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1"/>
  <workbookPr filterPrivacy="1" defaultThemeVersion="124226"/>
  <xr:revisionPtr revIDLastSave="74" documentId="13_ncr:1_{360D3D62-7FE5-461A-866C-A3B8B9EDE3F0}" xr6:coauthVersionLast="47" xr6:coauthVersionMax="47" xr10:uidLastSave="{5952B75B-99BB-43AE-9BF6-7C3A148C1BD9}"/>
  <bookViews>
    <workbookView xWindow="28680" yWindow="-120" windowWidth="29040" windowHeight="16440" activeTab="1" xr2:uid="{00000000-000D-0000-FFFF-FFFF00000000}"/>
  </bookViews>
  <sheets>
    <sheet name="Answers" sheetId="58" r:id="rId1"/>
    <sheet name="Calculations" sheetId="57" r:id="rId2"/>
    <sheet name="CaseData" sheetId="55" r:id="rId3"/>
    <sheet name="CaseSolution" sheetId="56" r:id="rId4"/>
  </sheets>
  <definedNames>
    <definedName name="company">CaseData!$G$3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40869.3787037037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A8" hidden="1">"$A$9:$A$261"</definedName>
    <definedName name="IQRB8" hidden="1">"$B$9:$B$261"</definedName>
    <definedName name="IQRC8" hidden="1">"$C$9:$C$261"</definedName>
    <definedName name="ListAssetClasses1">CaseData!$C$15:$C$17</definedName>
    <definedName name="ListDepMethods1">CaseData!$C$22:$C$25</definedName>
    <definedName name="periods">CaseData!$G$5</definedName>
    <definedName name="_xlnm.Print_Titles" localSheetId="0">Answers!$1:$4</definedName>
    <definedName name="_xlnm.Print_Titles" localSheetId="1">Calculations!$1:$4</definedName>
    <definedName name="selector">Answers!$F$5</definedName>
    <definedName name="start_date">CaseData!$G$7</definedName>
    <definedName name="topic">"CFM Topic: " &amp; CaseData!$G$4</definedName>
  </definedNames>
  <calcPr calcId="191029" calcMode="autoNoTable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5" i="57" l="1" a="1"/>
  <c r="J246" i="57" a="1"/>
  <c r="J127" i="57" a="1"/>
  <c r="J307" i="57" a="1"/>
  <c r="J278" i="57" a="1"/>
  <c r="J188" i="57" a="1"/>
  <c r="J159" i="57" a="1"/>
  <c r="J69" i="57" a="1"/>
  <c r="J40" i="57" a="1"/>
  <c r="H45" i="58" a="1"/>
  <c r="J65" i="57" a="1"/>
  <c r="J94" i="57" a="1"/>
  <c r="J152" i="57" a="1"/>
  <c r="J11" i="58" a="1"/>
  <c r="J184" i="57" a="1"/>
  <c r="J213" i="57" a="1"/>
  <c r="J271" i="57" a="1"/>
  <c r="J18" i="58" a="1"/>
  <c r="J303" i="57" a="1"/>
  <c r="J332" i="57" a="1"/>
  <c r="J390" i="57" a="1"/>
  <c r="J25" i="58" a="1"/>
  <c r="J32" i="58" a="1"/>
  <c r="J37" i="58" a="1"/>
  <c r="J38" i="58" a="1"/>
  <c r="J44" i="58"/>
  <c r="H40" i="58"/>
  <c r="H41" i="58"/>
  <c r="K44" i="58"/>
  <c r="F365" i="57" a="1"/>
  <c r="F336" i="57" a="1"/>
  <c r="F307" i="57" a="1"/>
  <c r="J31" i="58" a="1"/>
  <c r="J336" i="57" a="1"/>
  <c r="J361" i="57" a="1"/>
  <c r="J24" i="58" a="1"/>
  <c r="J17" i="58" a="1"/>
  <c r="J10" i="58" a="1"/>
  <c r="J3" i="58" a="1"/>
  <c r="A2" i="58" a="1"/>
  <c r="A1" i="58"/>
  <c r="F278" i="57" a="1"/>
  <c r="J26" i="58" a="1"/>
  <c r="J23" i="58" a="1"/>
  <c r="J19" i="58" a="1"/>
  <c r="J16" i="58" a="1"/>
  <c r="J12" i="58" a="1"/>
  <c r="J9" i="58" a="1"/>
  <c r="J30" i="58" a="1"/>
  <c r="J33" i="58" a="1"/>
  <c r="E8" i="57" a="1"/>
  <c r="J3" i="57" a="1"/>
  <c r="A2" i="57" a="1"/>
  <c r="A1" i="57"/>
  <c r="F9" i="56"/>
  <c r="B407" i="56"/>
  <c r="B406" i="56"/>
  <c r="B405" i="56"/>
  <c r="G404" i="56"/>
  <c r="G402" i="56"/>
  <c r="H402" i="56"/>
  <c r="I402" i="56"/>
  <c r="J402" i="56"/>
  <c r="C401" i="56" a="1"/>
  <c r="B374" i="56"/>
  <c r="B375" i="56"/>
  <c r="B376" i="56"/>
  <c r="G373" i="56"/>
  <c r="G371" i="56"/>
  <c r="C370" i="56" a="1"/>
  <c r="B343" i="56"/>
  <c r="G342" i="56"/>
  <c r="I340" i="56"/>
  <c r="H340" i="56"/>
  <c r="G340" i="56"/>
  <c r="C339" i="56" a="1"/>
  <c r="F332" i="56"/>
  <c r="C331" i="56" a="1"/>
  <c r="F326" i="56"/>
  <c r="C325" i="56" a="1"/>
  <c r="F320" i="56"/>
  <c r="C319" i="56" a="1"/>
  <c r="C315" i="56" a="1"/>
  <c r="B315" i="56"/>
  <c r="B316" i="56"/>
  <c r="C316" i="56" a="1"/>
  <c r="C314" i="56" a="1"/>
  <c r="C311" i="56"/>
  <c r="B285" i="56"/>
  <c r="B284" i="56"/>
  <c r="G283" i="56"/>
  <c r="G281" i="56"/>
  <c r="C280" i="56" a="1"/>
  <c r="B253" i="56"/>
  <c r="G252" i="56"/>
  <c r="G250" i="56"/>
  <c r="H250" i="56"/>
  <c r="I250" i="56"/>
  <c r="C249" i="56" a="1"/>
  <c r="B222" i="56"/>
  <c r="G221" i="56"/>
  <c r="G219" i="56"/>
  <c r="C218" i="56" a="1"/>
  <c r="F212" i="56"/>
  <c r="C211" i="56" a="1"/>
  <c r="F206" i="56"/>
  <c r="C205" i="56" a="1"/>
  <c r="F200" i="56"/>
  <c r="C199" i="56" a="1"/>
  <c r="B196" i="56"/>
  <c r="C196" i="56" a="1"/>
  <c r="B195" i="56"/>
  <c r="C195" i="56" a="1"/>
  <c r="C194" i="56" a="1"/>
  <c r="C191" i="56"/>
  <c r="B164" i="56"/>
  <c r="B165" i="56"/>
  <c r="G163" i="56"/>
  <c r="C162" i="56" a="1"/>
  <c r="B136" i="56"/>
  <c r="B135" i="56"/>
  <c r="G134" i="56"/>
  <c r="C133" i="56" a="1"/>
  <c r="B106" i="56"/>
  <c r="B107" i="56"/>
  <c r="G105" i="56"/>
  <c r="C104" i="56" a="1"/>
  <c r="F98" i="56"/>
  <c r="C97" i="56" a="1"/>
  <c r="F92" i="56"/>
  <c r="C91" i="56" a="1"/>
  <c r="F86" i="56"/>
  <c r="C85" i="56" a="1"/>
  <c r="C82" i="56" a="1"/>
  <c r="B82" i="56"/>
  <c r="C81" i="56" a="1"/>
  <c r="D81" i="56"/>
  <c r="D133" i="56" a="1"/>
  <c r="B81" i="56"/>
  <c r="C80" i="56" a="1"/>
  <c r="E72" i="56"/>
  <c r="F70" i="56"/>
  <c r="C69" i="56" a="1"/>
  <c r="D69" i="56"/>
  <c r="E64" i="56"/>
  <c r="F62" i="56"/>
  <c r="C61" i="56" a="1"/>
  <c r="E56" i="56"/>
  <c r="F54" i="56"/>
  <c r="C53" i="56" a="1"/>
  <c r="C49" i="56" a="1"/>
  <c r="B49" i="56"/>
  <c r="B50" i="56"/>
  <c r="C50" i="56" a="1"/>
  <c r="C48" i="56" a="1"/>
  <c r="C46" i="56"/>
  <c r="B42" i="56"/>
  <c r="B43" i="56"/>
  <c r="E41" i="56" a="1"/>
  <c r="D38" i="56"/>
  <c r="D37" i="56"/>
  <c r="D35" i="56"/>
  <c r="A25" i="56"/>
  <c r="C23" i="56"/>
  <c r="C22" i="56"/>
  <c r="C21" i="56"/>
  <c r="C20" i="56"/>
  <c r="B15" i="56"/>
  <c r="B16" i="56"/>
  <c r="C16" i="56" a="1"/>
  <c r="C15" i="56" a="1"/>
  <c r="C14" i="56" a="1"/>
  <c r="F11" i="56"/>
  <c r="C135" i="56"/>
  <c r="F10" i="56"/>
  <c r="F8" i="56"/>
  <c r="C8" i="56"/>
  <c r="G437" i="55"/>
  <c r="G436" i="55"/>
  <c r="G435" i="55"/>
  <c r="G434" i="55"/>
  <c r="G433" i="55"/>
  <c r="G432" i="55"/>
  <c r="G431" i="55"/>
  <c r="G430" i="55"/>
  <c r="G429" i="55"/>
  <c r="G428" i="55"/>
  <c r="G427" i="55"/>
  <c r="G426" i="55"/>
  <c r="G425" i="55"/>
  <c r="G424" i="55"/>
  <c r="G423" i="55"/>
  <c r="G422" i="55"/>
  <c r="G421" i="55"/>
  <c r="G420" i="55"/>
  <c r="G419" i="55"/>
  <c r="G418" i="55"/>
  <c r="G417" i="55"/>
  <c r="G416" i="55"/>
  <c r="G415" i="55"/>
  <c r="G414" i="55"/>
  <c r="G413" i="55"/>
  <c r="G412" i="55"/>
  <c r="G411" i="55"/>
  <c r="G410" i="55"/>
  <c r="G409" i="55"/>
  <c r="G408" i="55"/>
  <c r="G407" i="55"/>
  <c r="G406" i="55"/>
  <c r="G405" i="55"/>
  <c r="G404" i="55"/>
  <c r="G403" i="55"/>
  <c r="G402" i="55"/>
  <c r="G401" i="55"/>
  <c r="G400" i="55"/>
  <c r="G399" i="55"/>
  <c r="G398" i="55"/>
  <c r="G397" i="55"/>
  <c r="G396" i="55"/>
  <c r="G395" i="55"/>
  <c r="G394" i="55"/>
  <c r="G393" i="55"/>
  <c r="G392" i="55"/>
  <c r="G391" i="55"/>
  <c r="G390" i="55"/>
  <c r="G389" i="55"/>
  <c r="G388" i="55"/>
  <c r="G387" i="55"/>
  <c r="G386" i="55"/>
  <c r="G385" i="55"/>
  <c r="G384" i="55"/>
  <c r="G383" i="55"/>
  <c r="G382" i="55"/>
  <c r="G381" i="55"/>
  <c r="G380" i="55"/>
  <c r="G379" i="55"/>
  <c r="G378" i="55"/>
  <c r="G377" i="55"/>
  <c r="G376" i="55"/>
  <c r="G375" i="55"/>
  <c r="G374" i="55"/>
  <c r="G373" i="55"/>
  <c r="G372" i="55"/>
  <c r="G371" i="55"/>
  <c r="G370" i="55"/>
  <c r="G369" i="55"/>
  <c r="G368" i="55"/>
  <c r="G367" i="55"/>
  <c r="G366" i="55"/>
  <c r="G365" i="55"/>
  <c r="G364" i="55"/>
  <c r="G363" i="55"/>
  <c r="G362" i="55"/>
  <c r="G361" i="55"/>
  <c r="G360" i="55"/>
  <c r="G359" i="55"/>
  <c r="G358" i="55"/>
  <c r="G357" i="55"/>
  <c r="G356" i="55"/>
  <c r="G355" i="55"/>
  <c r="G354" i="55"/>
  <c r="G353" i="55"/>
  <c r="G352" i="55"/>
  <c r="G351" i="55"/>
  <c r="G350" i="55"/>
  <c r="G349" i="55"/>
  <c r="G348" i="55"/>
  <c r="G347" i="55"/>
  <c r="G346" i="55"/>
  <c r="G345" i="55"/>
  <c r="G344" i="55"/>
  <c r="G343" i="55"/>
  <c r="G342" i="55"/>
  <c r="G341" i="55"/>
  <c r="G340" i="55"/>
  <c r="G339" i="55"/>
  <c r="G338" i="55"/>
  <c r="G337" i="55"/>
  <c r="G336" i="55"/>
  <c r="G335" i="55"/>
  <c r="G334" i="55"/>
  <c r="G333" i="55"/>
  <c r="G332" i="55"/>
  <c r="G331" i="55"/>
  <c r="G330" i="55"/>
  <c r="G329" i="55"/>
  <c r="G328" i="55"/>
  <c r="G327" i="55"/>
  <c r="G326" i="55"/>
  <c r="G325" i="55"/>
  <c r="G324" i="55"/>
  <c r="G323" i="55"/>
  <c r="G322" i="55"/>
  <c r="G321" i="55"/>
  <c r="G320" i="55"/>
  <c r="G319" i="55"/>
  <c r="G318" i="55"/>
  <c r="G317" i="55"/>
  <c r="G316" i="55"/>
  <c r="G315" i="55"/>
  <c r="G314" i="55"/>
  <c r="G313" i="55"/>
  <c r="G312" i="55"/>
  <c r="G311" i="55"/>
  <c r="G310" i="55"/>
  <c r="G309" i="55"/>
  <c r="G308" i="55"/>
  <c r="G307" i="55"/>
  <c r="G306" i="55"/>
  <c r="G305" i="55"/>
  <c r="G304" i="55"/>
  <c r="G303" i="55"/>
  <c r="G302" i="55"/>
  <c r="G301" i="55"/>
  <c r="G300" i="55"/>
  <c r="G299" i="55"/>
  <c r="G298" i="55"/>
  <c r="G297" i="55"/>
  <c r="G296" i="55"/>
  <c r="G295" i="55"/>
  <c r="G294" i="55"/>
  <c r="G293" i="55"/>
  <c r="G292" i="55"/>
  <c r="G291" i="55"/>
  <c r="G290" i="55"/>
  <c r="G289" i="55"/>
  <c r="G288" i="55"/>
  <c r="G287" i="55"/>
  <c r="G286" i="55"/>
  <c r="G285" i="55"/>
  <c r="G284" i="55"/>
  <c r="G283" i="55"/>
  <c r="G282" i="55"/>
  <c r="G281" i="55"/>
  <c r="G280" i="55"/>
  <c r="G279" i="55"/>
  <c r="G278" i="55"/>
  <c r="G277" i="55"/>
  <c r="G276" i="55"/>
  <c r="G275" i="55"/>
  <c r="G274" i="55"/>
  <c r="G273" i="55"/>
  <c r="G272" i="55"/>
  <c r="G271" i="55"/>
  <c r="G270" i="55"/>
  <c r="G269" i="55"/>
  <c r="G268" i="55"/>
  <c r="G267" i="55"/>
  <c r="G266" i="55"/>
  <c r="G265" i="55"/>
  <c r="G264" i="55"/>
  <c r="G263" i="55"/>
  <c r="G262" i="55"/>
  <c r="G261" i="55"/>
  <c r="G260" i="55"/>
  <c r="G259" i="55"/>
  <c r="G258" i="55"/>
  <c r="G257" i="55"/>
  <c r="G256" i="55"/>
  <c r="G255" i="55"/>
  <c r="G254" i="55"/>
  <c r="G253" i="55"/>
  <c r="G252" i="55"/>
  <c r="G251" i="55"/>
  <c r="G250" i="55"/>
  <c r="G249" i="55"/>
  <c r="G248" i="55"/>
  <c r="G247" i="55"/>
  <c r="G246" i="55"/>
  <c r="G245" i="55"/>
  <c r="G244" i="55"/>
  <c r="G243" i="55"/>
  <c r="G242" i="55"/>
  <c r="G241" i="55"/>
  <c r="G240" i="55"/>
  <c r="G239" i="55"/>
  <c r="G238" i="55"/>
  <c r="G237" i="55"/>
  <c r="G236" i="55"/>
  <c r="G235" i="55"/>
  <c r="G234" i="55"/>
  <c r="G233" i="55"/>
  <c r="G232" i="55"/>
  <c r="G231" i="55"/>
  <c r="G230" i="55"/>
  <c r="G229" i="55"/>
  <c r="G228" i="55"/>
  <c r="G227" i="55"/>
  <c r="G226" i="55"/>
  <c r="G225" i="55"/>
  <c r="G224" i="55"/>
  <c r="G223" i="55"/>
  <c r="G222" i="55"/>
  <c r="G221" i="55"/>
  <c r="G220" i="55"/>
  <c r="G219" i="55"/>
  <c r="G218" i="55"/>
  <c r="G217" i="55"/>
  <c r="G216" i="55"/>
  <c r="G215" i="55"/>
  <c r="G214" i="55"/>
  <c r="G213" i="55"/>
  <c r="G212" i="55"/>
  <c r="G211" i="55"/>
  <c r="G210" i="55"/>
  <c r="G209" i="55"/>
  <c r="G208" i="55"/>
  <c r="G207" i="55"/>
  <c r="G206" i="55"/>
  <c r="G205" i="55"/>
  <c r="G204" i="55"/>
  <c r="G203" i="55"/>
  <c r="G202" i="55"/>
  <c r="G201" i="55"/>
  <c r="G200" i="55"/>
  <c r="G199" i="55"/>
  <c r="G198" i="55"/>
  <c r="G197" i="55"/>
  <c r="G196" i="55"/>
  <c r="G195" i="55"/>
  <c r="G194" i="55"/>
  <c r="G193" i="55"/>
  <c r="G192" i="55"/>
  <c r="G191" i="55"/>
  <c r="G190" i="55"/>
  <c r="G189" i="55"/>
  <c r="G188" i="55"/>
  <c r="G187" i="55"/>
  <c r="G186" i="55"/>
  <c r="G185" i="55"/>
  <c r="G184" i="55"/>
  <c r="G183" i="55"/>
  <c r="G182" i="55"/>
  <c r="G181" i="55"/>
  <c r="G180" i="55"/>
  <c r="G179" i="55"/>
  <c r="G178" i="55"/>
  <c r="G177" i="55"/>
  <c r="G176" i="55"/>
  <c r="G175" i="55"/>
  <c r="G174" i="55"/>
  <c r="G173" i="55"/>
  <c r="G172" i="55"/>
  <c r="G171" i="55"/>
  <c r="G170" i="55"/>
  <c r="G169" i="55"/>
  <c r="G168" i="55"/>
  <c r="G167" i="55"/>
  <c r="G166" i="55"/>
  <c r="G165" i="55"/>
  <c r="G164" i="55"/>
  <c r="G163" i="55"/>
  <c r="G162" i="55"/>
  <c r="G161" i="55"/>
  <c r="G160" i="55"/>
  <c r="G159" i="55"/>
  <c r="G158" i="55"/>
  <c r="G157" i="55"/>
  <c r="G156" i="55"/>
  <c r="G155" i="55"/>
  <c r="G154" i="55"/>
  <c r="G153" i="55"/>
  <c r="G152" i="55"/>
  <c r="G151" i="55"/>
  <c r="G150" i="55"/>
  <c r="G149" i="55"/>
  <c r="G148" i="55"/>
  <c r="G147" i="55"/>
  <c r="G146" i="55"/>
  <c r="G145" i="55"/>
  <c r="G144" i="55"/>
  <c r="G143" i="55"/>
  <c r="G142" i="55"/>
  <c r="G141" i="55"/>
  <c r="G140" i="55"/>
  <c r="G139" i="55"/>
  <c r="G138" i="55"/>
  <c r="C122" i="55"/>
  <c r="C108" i="55"/>
  <c r="C100" i="55"/>
  <c r="C92" i="55"/>
  <c r="D68" i="55"/>
  <c r="E66" i="55"/>
  <c r="E67" i="55"/>
  <c r="F65" i="55"/>
  <c r="G65" i="55"/>
  <c r="B64" i="55"/>
  <c r="D43" i="55"/>
  <c r="D44" i="55"/>
  <c r="D45" i="55"/>
  <c r="D46" i="55"/>
  <c r="D47" i="55"/>
  <c r="D48" i="55"/>
  <c r="D49" i="55"/>
  <c r="D50" i="55"/>
  <c r="D51" i="55"/>
  <c r="D52" i="55"/>
  <c r="D53" i="55"/>
  <c r="D54" i="55"/>
  <c r="D55" i="55"/>
  <c r="D56" i="55"/>
  <c r="D57" i="55"/>
  <c r="D58" i="55"/>
  <c r="D59" i="55"/>
  <c r="D60" i="55"/>
  <c r="D61" i="55"/>
  <c r="F40" i="55"/>
  <c r="G40" i="55"/>
  <c r="H40" i="55"/>
  <c r="I40" i="55"/>
  <c r="J40" i="55"/>
  <c r="K40" i="55"/>
  <c r="L40" i="55"/>
  <c r="M40" i="55"/>
  <c r="N40" i="55"/>
  <c r="O40" i="55"/>
  <c r="P40" i="55"/>
  <c r="Q40" i="55"/>
  <c r="R40" i="55"/>
  <c r="S40" i="55"/>
  <c r="T40" i="55"/>
  <c r="T39" i="55"/>
  <c r="S39" i="55"/>
  <c r="R39" i="55"/>
  <c r="Q39" i="55"/>
  <c r="P39" i="55"/>
  <c r="O39" i="55"/>
  <c r="N39" i="55"/>
  <c r="M39" i="55"/>
  <c r="L39" i="55"/>
  <c r="K39" i="55"/>
  <c r="J39" i="55"/>
  <c r="I39" i="55"/>
  <c r="H39" i="55"/>
  <c r="G39" i="55"/>
  <c r="F39" i="55"/>
  <c r="B38" i="55"/>
  <c r="C32" i="55" a="1"/>
  <c r="C35" i="55"/>
  <c r="C34" i="55"/>
  <c r="G31" i="55" a="1"/>
  <c r="G31" i="55"/>
  <c r="I31" i="55"/>
  <c r="G10" i="55"/>
  <c r="E10" i="56"/>
  <c r="E11" i="56"/>
  <c r="G11" i="56"/>
  <c r="G137" i="56"/>
  <c r="C405" i="56"/>
  <c r="C374" i="56"/>
  <c r="C253" i="56"/>
  <c r="C222" i="56"/>
  <c r="E42" i="56" a="1"/>
  <c r="H31" i="55"/>
  <c r="F66" i="55"/>
  <c r="F67" i="55"/>
  <c r="B223" i="56"/>
  <c r="B224" i="56"/>
  <c r="B225" i="56"/>
  <c r="H281" i="56"/>
  <c r="I281" i="56"/>
  <c r="J281" i="56"/>
  <c r="B286" i="56"/>
  <c r="J340" i="56"/>
  <c r="K340" i="56"/>
  <c r="H371" i="56"/>
  <c r="B408" i="56"/>
  <c r="C254" i="56"/>
  <c r="I371" i="56"/>
  <c r="C136" i="56"/>
  <c r="C137" i="56"/>
  <c r="J250" i="56"/>
  <c r="K250" i="56"/>
  <c r="K402" i="56"/>
  <c r="G10" i="56"/>
  <c r="B409" i="56"/>
  <c r="B410" i="56"/>
  <c r="B287" i="56"/>
  <c r="C223" i="56"/>
  <c r="C224" i="56"/>
  <c r="C255" i="56"/>
  <c r="F255" i="56" a="1"/>
  <c r="F254" i="56" a="1"/>
  <c r="F136" i="56"/>
  <c r="L402" i="56"/>
  <c r="M402" i="56"/>
  <c r="N402" i="56"/>
  <c r="L250" i="56"/>
  <c r="M250" i="56"/>
  <c r="N250" i="56"/>
  <c r="C138" i="56"/>
  <c r="K281" i="56"/>
  <c r="B411" i="56"/>
  <c r="B412" i="56"/>
  <c r="L281" i="56"/>
  <c r="M281" i="56"/>
  <c r="O402" i="56"/>
  <c r="N281" i="56"/>
  <c r="O250" i="56"/>
  <c r="P402" i="56"/>
  <c r="Q402" i="56"/>
  <c r="O281" i="56"/>
  <c r="P250" i="56"/>
  <c r="P281" i="56"/>
  <c r="R402" i="56"/>
  <c r="Q281" i="56"/>
  <c r="R281" i="56"/>
  <c r="S281" i="56"/>
  <c r="T281" i="56"/>
  <c r="U281" i="56"/>
  <c r="V281" i="56"/>
  <c r="W281" i="56"/>
  <c r="X281" i="56"/>
  <c r="Y281" i="56"/>
  <c r="C430" i="56"/>
  <c r="C399" i="56"/>
  <c r="C368" i="56"/>
  <c r="D316" i="56"/>
  <c r="F401" i="56" a="1"/>
  <c r="D314" i="56"/>
  <c r="F339" i="56" a="1"/>
  <c r="C309" i="56"/>
  <c r="C278" i="56"/>
  <c r="C247" i="56"/>
  <c r="D196" i="56"/>
  <c r="F280" i="56" a="1"/>
  <c r="D195" i="56"/>
  <c r="F249" i="56" a="1"/>
  <c r="D194" i="56"/>
  <c r="F218" i="56" a="1"/>
  <c r="C189" i="56"/>
  <c r="C160" i="56"/>
  <c r="C131" i="56"/>
  <c r="D82" i="56"/>
  <c r="D162" i="56" a="1"/>
  <c r="D80" i="56"/>
  <c r="D104" i="56" a="1"/>
  <c r="D61" i="56"/>
  <c r="D53" i="56"/>
  <c r="C32" i="55"/>
  <c r="C33" i="55"/>
  <c r="D315" i="56"/>
  <c r="F370" i="56" a="1"/>
  <c r="J364" i="57" a="1"/>
  <c r="J335" i="57" a="1"/>
  <c r="J277" i="57" a="1"/>
  <c r="J126" i="57" a="1"/>
  <c r="J187" i="57" a="1"/>
  <c r="J245" i="57" a="1"/>
  <c r="J306" i="57" a="1"/>
  <c r="J216" i="57" a="1"/>
  <c r="J158" i="57" a="1"/>
  <c r="F246" i="57" a="1"/>
  <c r="F217" i="57" a="1"/>
  <c r="J217" i="57" a="1"/>
  <c r="F188" i="57" a="1"/>
  <c r="F159" i="57" a="1"/>
  <c r="F127" i="57" a="1"/>
  <c r="F98" i="57" a="1"/>
  <c r="J98" i="57" a="1"/>
  <c r="J97" i="57" a="1"/>
  <c r="J68" i="57" a="1"/>
  <c r="J39" i="57" a="1"/>
  <c r="F69" i="57" a="1"/>
  <c r="F40" i="57" a="1"/>
  <c r="F282" i="56"/>
  <c r="G282" i="56"/>
  <c r="I282" i="56"/>
  <c r="D282" i="56"/>
  <c r="K282" i="56"/>
  <c r="M282" i="56"/>
  <c r="L282" i="56"/>
  <c r="Q282" i="56"/>
  <c r="N282" i="56"/>
  <c r="P282" i="56"/>
  <c r="O282" i="56"/>
  <c r="R282" i="56"/>
  <c r="U282" i="56"/>
  <c r="T282" i="56"/>
  <c r="V282" i="56"/>
  <c r="X282" i="56"/>
  <c r="W282" i="56"/>
  <c r="F341" i="56"/>
  <c r="F251" i="56"/>
  <c r="G251" i="56"/>
  <c r="D251" i="56"/>
  <c r="H251" i="56"/>
  <c r="I251" i="56"/>
  <c r="O251" i="56"/>
  <c r="M251" i="56"/>
  <c r="N251" i="56"/>
  <c r="F220" i="56"/>
  <c r="D220" i="56"/>
  <c r="F14" i="56"/>
  <c r="G14" i="56"/>
  <c r="F15" i="56"/>
  <c r="G15" i="56"/>
  <c r="D136" i="56" a="1"/>
  <c r="G136" i="56"/>
  <c r="G16" i="56"/>
  <c r="F16" i="56"/>
  <c r="D405" i="56" a="1"/>
  <c r="Y282" i="56"/>
  <c r="S282" i="56"/>
  <c r="B413" i="56"/>
  <c r="S402" i="56"/>
  <c r="P251" i="56"/>
  <c r="Q250" i="56"/>
  <c r="C406" i="56"/>
  <c r="B288" i="56"/>
  <c r="J371" i="56"/>
  <c r="E68" i="55"/>
  <c r="G341" i="56"/>
  <c r="D69" i="55"/>
  <c r="B254" i="56"/>
  <c r="D253" i="56" a="1"/>
  <c r="C139" i="56"/>
  <c r="G138" i="56"/>
  <c r="L340" i="56"/>
  <c r="H219" i="56"/>
  <c r="G220" i="56"/>
  <c r="F224" i="56" a="1"/>
  <c r="C225" i="56"/>
  <c r="G224" i="56" a="1"/>
  <c r="D222" i="56" a="1"/>
  <c r="B108" i="56"/>
  <c r="L251" i="56"/>
  <c r="B226" i="56"/>
  <c r="B166" i="56"/>
  <c r="J251" i="56"/>
  <c r="H282" i="56"/>
  <c r="B377" i="56"/>
  <c r="K251" i="56"/>
  <c r="B44" i="56"/>
  <c r="E44" i="56" a="1"/>
  <c r="E43" i="56" a="1"/>
  <c r="C256" i="56"/>
  <c r="G255" i="56" a="1"/>
  <c r="H11" i="56"/>
  <c r="H65" i="55"/>
  <c r="G66" i="55"/>
  <c r="G67" i="55"/>
  <c r="F68" i="55"/>
  <c r="B137" i="56"/>
  <c r="B344" i="56"/>
  <c r="D343" i="56" a="1"/>
  <c r="F223" i="56" a="1"/>
  <c r="J282" i="56"/>
  <c r="C375" i="56"/>
  <c r="D374" i="56" a="1"/>
  <c r="A34" i="56"/>
  <c r="A46" i="56"/>
  <c r="F138" i="56"/>
  <c r="C164" i="56"/>
  <c r="C106" i="56"/>
  <c r="C284" i="56"/>
  <c r="F137" i="56"/>
  <c r="C343" i="56"/>
  <c r="H307" i="57" a="1"/>
  <c r="H336" i="57" a="1"/>
  <c r="H127" i="57" a="1"/>
  <c r="F222" i="56" a="1"/>
  <c r="G253" i="56" a="1"/>
  <c r="H66" i="55"/>
  <c r="H69" i="55"/>
  <c r="I65" i="55"/>
  <c r="C376" i="56"/>
  <c r="D375" i="56" a="1"/>
  <c r="F375" i="56" a="1"/>
  <c r="H10" i="56"/>
  <c r="H136" i="56"/>
  <c r="I11" i="56"/>
  <c r="H138" i="56"/>
  <c r="H139" i="56"/>
  <c r="G222" i="56" a="1"/>
  <c r="E69" i="55"/>
  <c r="F69" i="55"/>
  <c r="G69" i="55"/>
  <c r="D70" i="55"/>
  <c r="B109" i="56"/>
  <c r="H225" i="56" a="1"/>
  <c r="C226" i="56"/>
  <c r="G225" i="56" a="1"/>
  <c r="F225" i="56" a="1"/>
  <c r="M340" i="56"/>
  <c r="K371" i="56"/>
  <c r="B345" i="56"/>
  <c r="T402" i="56"/>
  <c r="G327" i="56" a="1"/>
  <c r="G93" i="56" a="1"/>
  <c r="G207" i="56" a="1"/>
  <c r="G63" i="56" a="1"/>
  <c r="C285" i="56"/>
  <c r="D284" i="56" a="1"/>
  <c r="H284" i="56" a="1"/>
  <c r="G343" i="56" a="1"/>
  <c r="F343" i="56" a="1"/>
  <c r="C344" i="56"/>
  <c r="D344" i="56" a="1"/>
  <c r="H253" i="56" a="1"/>
  <c r="F333" i="56" a="1"/>
  <c r="F99" i="56" a="1"/>
  <c r="F213" i="56" a="1"/>
  <c r="F71" i="56" a="1"/>
  <c r="F253" i="56" a="1"/>
  <c r="B167" i="56"/>
  <c r="G68" i="55"/>
  <c r="K8" i="57" a="1"/>
  <c r="C140" i="56"/>
  <c r="H140" i="56"/>
  <c r="F139" i="56"/>
  <c r="G139" i="56"/>
  <c r="B289" i="56"/>
  <c r="H16" i="56"/>
  <c r="H15" i="56"/>
  <c r="D137" i="56" a="1"/>
  <c r="H137" i="56"/>
  <c r="H14" i="56"/>
  <c r="G213" i="56" a="1"/>
  <c r="G71" i="56" a="1"/>
  <c r="G333" i="56" a="1"/>
  <c r="G99" i="56" a="1"/>
  <c r="B227" i="56"/>
  <c r="D254" i="56" a="1"/>
  <c r="H254" i="56" a="1"/>
  <c r="B255" i="56"/>
  <c r="D406" i="56" a="1"/>
  <c r="F406" i="56" a="1"/>
  <c r="C407" i="56"/>
  <c r="B414" i="56"/>
  <c r="F327" i="56" a="1"/>
  <c r="F63" i="56" a="1"/>
  <c r="F207" i="56" a="1"/>
  <c r="F93" i="56" a="1"/>
  <c r="B138" i="56"/>
  <c r="C107" i="56"/>
  <c r="D106" i="56" a="1"/>
  <c r="F106" i="56"/>
  <c r="B378" i="56"/>
  <c r="F201" i="56" a="1"/>
  <c r="F55" i="56" a="1"/>
  <c r="F321" i="56" a="1"/>
  <c r="F17" i="56"/>
  <c r="F30" i="56"/>
  <c r="F87" i="56" a="1"/>
  <c r="H341" i="56"/>
  <c r="H343" i="56" a="1"/>
  <c r="F256" i="56" a="1"/>
  <c r="C257" i="56"/>
  <c r="H256" i="56" a="1"/>
  <c r="G256" i="56" a="1"/>
  <c r="G321" i="56" a="1"/>
  <c r="G55" i="56" a="1"/>
  <c r="G17" i="56"/>
  <c r="G30" i="56"/>
  <c r="G87" i="56" a="1"/>
  <c r="D223" i="56" a="1"/>
  <c r="H223" i="56" a="1"/>
  <c r="G201" i="56" a="1"/>
  <c r="C165" i="56"/>
  <c r="D164" i="56" a="1"/>
  <c r="A77" i="56"/>
  <c r="D135" i="56" a="1"/>
  <c r="I219" i="56"/>
  <c r="H220" i="56"/>
  <c r="H222" i="56" a="1"/>
  <c r="R250" i="56"/>
  <c r="Q251" i="56"/>
  <c r="I284" i="56" a="1"/>
  <c r="H278" i="57" a="1"/>
  <c r="H365" i="57" a="1"/>
  <c r="H159" i="57" a="1"/>
  <c r="H246" i="57" a="1"/>
  <c r="J242" i="57" a="1"/>
  <c r="H217" i="57" a="1"/>
  <c r="H188" i="57" a="1"/>
  <c r="J123" i="57" a="1"/>
  <c r="H98" i="57" a="1"/>
  <c r="H69" i="57" a="1"/>
  <c r="H40" i="57" a="1"/>
  <c r="F284" i="56" a="1"/>
  <c r="D71" i="55"/>
  <c r="E70" i="55"/>
  <c r="I341" i="56"/>
  <c r="I343" i="56" a="1"/>
  <c r="F70" i="55"/>
  <c r="G70" i="55"/>
  <c r="H67" i="55"/>
  <c r="B168" i="56"/>
  <c r="B346" i="56"/>
  <c r="N340" i="56"/>
  <c r="C377" i="56"/>
  <c r="D376" i="56" a="1"/>
  <c r="F376" i="56" a="1"/>
  <c r="J65" i="55"/>
  <c r="I66" i="55"/>
  <c r="I67" i="55"/>
  <c r="H70" i="55"/>
  <c r="H213" i="56" a="1"/>
  <c r="H99" i="56" a="1"/>
  <c r="H333" i="56" a="1"/>
  <c r="H71" i="56" a="1"/>
  <c r="H72" i="56"/>
  <c r="L371" i="56"/>
  <c r="F135" i="56"/>
  <c r="B415" i="56"/>
  <c r="F56" i="56"/>
  <c r="F57" i="56"/>
  <c r="F58" i="56"/>
  <c r="F48" i="56"/>
  <c r="G56" i="56"/>
  <c r="C408" i="56"/>
  <c r="D407" i="56" a="1"/>
  <c r="F407" i="56" a="1"/>
  <c r="F164" i="56"/>
  <c r="G164" i="56"/>
  <c r="F257" i="56" a="1"/>
  <c r="I257" i="56" a="1"/>
  <c r="C258" i="56"/>
  <c r="G257" i="56" a="1"/>
  <c r="H257" i="56" a="1"/>
  <c r="F165" i="56"/>
  <c r="C166" i="56"/>
  <c r="D165" i="56" a="1"/>
  <c r="B379" i="56"/>
  <c r="F64" i="56"/>
  <c r="F65" i="56"/>
  <c r="F66" i="56"/>
  <c r="F49" i="56"/>
  <c r="G64" i="56"/>
  <c r="B256" i="56"/>
  <c r="D255" i="56" a="1"/>
  <c r="H255" i="56" a="1"/>
  <c r="G254" i="56" a="1"/>
  <c r="B290" i="56"/>
  <c r="G284" i="56" a="1"/>
  <c r="G223" i="56" a="1"/>
  <c r="B139" i="56"/>
  <c r="U402" i="56"/>
  <c r="S250" i="56"/>
  <c r="R251" i="56"/>
  <c r="G106" i="56"/>
  <c r="H106" i="56"/>
  <c r="F72" i="56"/>
  <c r="F73" i="56"/>
  <c r="F74" i="56"/>
  <c r="F50" i="56"/>
  <c r="G72" i="56"/>
  <c r="I136" i="56"/>
  <c r="I137" i="56"/>
  <c r="I140" i="56"/>
  <c r="J11" i="56"/>
  <c r="I139" i="56"/>
  <c r="I10" i="56"/>
  <c r="I223" i="56" a="1"/>
  <c r="I254" i="56" a="1"/>
  <c r="I14" i="56"/>
  <c r="D225" i="56" a="1"/>
  <c r="I225" i="56" a="1"/>
  <c r="I15" i="56"/>
  <c r="I253" i="56" a="1"/>
  <c r="I16" i="56"/>
  <c r="H68" i="55"/>
  <c r="B228" i="56"/>
  <c r="H55" i="56" a="1"/>
  <c r="H321" i="56" a="1"/>
  <c r="H17" i="56"/>
  <c r="H30" i="56"/>
  <c r="H201" i="56" a="1"/>
  <c r="H87" i="56" a="1"/>
  <c r="B110" i="56"/>
  <c r="J219" i="56"/>
  <c r="I220" i="56"/>
  <c r="I222" i="56" a="1"/>
  <c r="C108" i="56"/>
  <c r="F107" i="56"/>
  <c r="G107" i="56"/>
  <c r="D107" i="56" a="1"/>
  <c r="H93" i="56" a="1"/>
  <c r="H63" i="56" a="1"/>
  <c r="H207" i="56" a="1"/>
  <c r="H327" i="56" a="1"/>
  <c r="F140" i="56"/>
  <c r="G140" i="56"/>
  <c r="C141" i="56"/>
  <c r="I141" i="56"/>
  <c r="D224" i="56" a="1"/>
  <c r="H224" i="56" a="1"/>
  <c r="H344" i="56" a="1"/>
  <c r="F344" i="56" a="1"/>
  <c r="C345" i="56"/>
  <c r="D345" i="56" a="1"/>
  <c r="G344" i="56" a="1"/>
  <c r="J344" i="56" a="1"/>
  <c r="I344" i="56" a="1"/>
  <c r="D285" i="56" a="1"/>
  <c r="G285" i="56" a="1"/>
  <c r="F285" i="56" a="1"/>
  <c r="C286" i="56"/>
  <c r="I226" i="56" a="1"/>
  <c r="H226" i="56" a="1"/>
  <c r="G226" i="56" a="1"/>
  <c r="C227" i="56"/>
  <c r="F226" i="56" a="1"/>
  <c r="A191" i="56"/>
  <c r="A311" i="56"/>
  <c r="F67" i="56"/>
  <c r="G62" i="56"/>
  <c r="F51" i="56"/>
  <c r="F20" i="56"/>
  <c r="I255" i="56" a="1"/>
  <c r="I224" i="56" a="1"/>
  <c r="G407" i="56" a="1"/>
  <c r="I106" i="56"/>
  <c r="S251" i="56"/>
  <c r="T250" i="56"/>
  <c r="K65" i="55"/>
  <c r="J66" i="55"/>
  <c r="J71" i="55"/>
  <c r="J372" i="56"/>
  <c r="J374" i="56" a="1"/>
  <c r="J70" i="55"/>
  <c r="I372" i="56"/>
  <c r="G376" i="56" a="1"/>
  <c r="F71" i="55"/>
  <c r="D72" i="55"/>
  <c r="E71" i="55"/>
  <c r="G71" i="55"/>
  <c r="H71" i="55"/>
  <c r="J341" i="56"/>
  <c r="J343" i="56" a="1"/>
  <c r="H227" i="56" a="1"/>
  <c r="C228" i="56"/>
  <c r="G227" i="56" a="1"/>
  <c r="J227" i="56" a="1"/>
  <c r="F227" i="56" a="1"/>
  <c r="I227" i="56" a="1"/>
  <c r="J220" i="56"/>
  <c r="K219" i="56"/>
  <c r="V402" i="56"/>
  <c r="B291" i="56"/>
  <c r="B380" i="56"/>
  <c r="H164" i="56"/>
  <c r="H56" i="56"/>
  <c r="G135" i="56"/>
  <c r="I70" i="55"/>
  <c r="I71" i="56" a="1"/>
  <c r="I99" i="56" a="1"/>
  <c r="I333" i="56" a="1"/>
  <c r="I213" i="56" a="1"/>
  <c r="B416" i="56"/>
  <c r="C378" i="56"/>
  <c r="D377" i="56" a="1"/>
  <c r="G377" i="56" a="1"/>
  <c r="B169" i="56"/>
  <c r="H107" i="56"/>
  <c r="I107" i="56"/>
  <c r="J107" i="56"/>
  <c r="H345" i="56" a="1"/>
  <c r="C346" i="56"/>
  <c r="I345" i="56" a="1"/>
  <c r="G345" i="56" a="1"/>
  <c r="K345" i="56" a="1"/>
  <c r="J345" i="56" a="1"/>
  <c r="F345" i="56" a="1"/>
  <c r="I285" i="56" a="1"/>
  <c r="B229" i="56"/>
  <c r="B111" i="56"/>
  <c r="F75" i="56"/>
  <c r="G70" i="56"/>
  <c r="B140" i="56"/>
  <c r="G165" i="56"/>
  <c r="M371" i="56"/>
  <c r="I68" i="55"/>
  <c r="I63" i="56" a="1"/>
  <c r="I64" i="56"/>
  <c r="I93" i="56" a="1"/>
  <c r="I207" i="56" a="1"/>
  <c r="I327" i="56" a="1"/>
  <c r="J137" i="56"/>
  <c r="J136" i="56"/>
  <c r="J222" i="56" a="1"/>
  <c r="J140" i="56"/>
  <c r="J106" i="56"/>
  <c r="J10" i="56"/>
  <c r="K11" i="56"/>
  <c r="J254" i="56" a="1"/>
  <c r="J255" i="56" a="1"/>
  <c r="J141" i="56"/>
  <c r="J253" i="56" a="1"/>
  <c r="J14" i="56"/>
  <c r="D226" i="56" a="1"/>
  <c r="J226" i="56" a="1"/>
  <c r="J224" i="56" a="1"/>
  <c r="J15" i="56"/>
  <c r="D139" i="56" a="1"/>
  <c r="J139" i="56"/>
  <c r="J16" i="56"/>
  <c r="J223" i="56" a="1"/>
  <c r="J284" i="56" a="1"/>
  <c r="J225" i="56" a="1"/>
  <c r="D138" i="56" a="1"/>
  <c r="I138" i="56"/>
  <c r="C167" i="56"/>
  <c r="F166" i="56"/>
  <c r="H166" i="56"/>
  <c r="G166" i="56"/>
  <c r="D166" i="56" a="1"/>
  <c r="I69" i="55"/>
  <c r="I87" i="56" a="1"/>
  <c r="I321" i="56" a="1"/>
  <c r="I17" i="56"/>
  <c r="I30" i="56"/>
  <c r="I201" i="56" a="1"/>
  <c r="I55" i="56" a="1"/>
  <c r="D256" i="56" a="1"/>
  <c r="I256" i="56" a="1"/>
  <c r="B257" i="56"/>
  <c r="H64" i="56"/>
  <c r="G258" i="56" a="1"/>
  <c r="F258" i="56" a="1"/>
  <c r="I258" i="56" a="1"/>
  <c r="H258" i="56" a="1"/>
  <c r="C259" i="56"/>
  <c r="J258" i="56" a="1"/>
  <c r="C409" i="56"/>
  <c r="D408" i="56" a="1"/>
  <c r="H408" i="56" a="1"/>
  <c r="O340" i="56"/>
  <c r="H285" i="56" a="1"/>
  <c r="C142" i="56"/>
  <c r="G141" i="56"/>
  <c r="F141" i="56"/>
  <c r="H141" i="56"/>
  <c r="G286" i="56" a="1"/>
  <c r="C287" i="56"/>
  <c r="D286" i="56" a="1"/>
  <c r="J286" i="56" a="1"/>
  <c r="F286" i="56" a="1"/>
  <c r="J285" i="56" a="1"/>
  <c r="C109" i="56"/>
  <c r="G108" i="56"/>
  <c r="F108" i="56"/>
  <c r="D108" i="56" a="1"/>
  <c r="H108" i="56"/>
  <c r="G65" i="56"/>
  <c r="G66" i="56"/>
  <c r="G49" i="56"/>
  <c r="F59" i="56"/>
  <c r="G54" i="56"/>
  <c r="I71" i="55"/>
  <c r="D346" i="56" a="1"/>
  <c r="B347" i="56"/>
  <c r="H377" i="56" a="1"/>
  <c r="I374" i="56" a="1"/>
  <c r="J375" i="56" a="1"/>
  <c r="G408" i="56" a="1"/>
  <c r="B348" i="56"/>
  <c r="K286" i="56" a="1"/>
  <c r="P340" i="56"/>
  <c r="J138" i="56"/>
  <c r="K138" i="56"/>
  <c r="B230" i="56"/>
  <c r="C379" i="56"/>
  <c r="D378" i="56" a="1"/>
  <c r="I378" i="56" a="1"/>
  <c r="J72" i="55"/>
  <c r="L65" i="55"/>
  <c r="K69" i="55"/>
  <c r="K70" i="55"/>
  <c r="K67" i="55"/>
  <c r="K72" i="55"/>
  <c r="K66" i="55"/>
  <c r="K71" i="55"/>
  <c r="H286" i="56" a="1"/>
  <c r="G57" i="56"/>
  <c r="G58" i="56"/>
  <c r="G48" i="56"/>
  <c r="G51" i="56"/>
  <c r="G20" i="56"/>
  <c r="I166" i="56"/>
  <c r="J166" i="56"/>
  <c r="B141" i="56"/>
  <c r="F377" i="56" a="1"/>
  <c r="W402" i="56"/>
  <c r="J333" i="56" a="1"/>
  <c r="J213" i="56" a="1"/>
  <c r="J71" i="56" a="1"/>
  <c r="J99" i="56" a="1"/>
  <c r="G346" i="56" a="1"/>
  <c r="K346" i="56" a="1"/>
  <c r="J346" i="56" a="1"/>
  <c r="F346" i="56" a="1"/>
  <c r="H346" i="56" a="1"/>
  <c r="C347" i="56"/>
  <c r="D347" i="56" a="1"/>
  <c r="I346" i="56" a="1"/>
  <c r="G73" i="56"/>
  <c r="G74" i="56"/>
  <c r="G50" i="56"/>
  <c r="H135" i="56"/>
  <c r="B381" i="56"/>
  <c r="J63" i="56" a="1"/>
  <c r="J93" i="56" a="1"/>
  <c r="J207" i="56" a="1"/>
  <c r="J327" i="56" a="1"/>
  <c r="B417" i="56"/>
  <c r="K220" i="56"/>
  <c r="K222" i="56" a="1"/>
  <c r="L219" i="56"/>
  <c r="F408" i="56" a="1"/>
  <c r="K259" i="56" a="1"/>
  <c r="G259" i="56" a="1"/>
  <c r="I259" i="56" a="1"/>
  <c r="F259" i="56" a="1"/>
  <c r="H259" i="56" a="1"/>
  <c r="J259" i="56" a="1"/>
  <c r="C260" i="56"/>
  <c r="F142" i="56"/>
  <c r="G142" i="56"/>
  <c r="C143" i="56"/>
  <c r="H142" i="56"/>
  <c r="I142" i="56"/>
  <c r="B258" i="56"/>
  <c r="D257" i="56" a="1"/>
  <c r="J257" i="56" a="1"/>
  <c r="K106" i="56"/>
  <c r="K223" i="56" a="1"/>
  <c r="K107" i="56"/>
  <c r="K254" i="56" a="1"/>
  <c r="K10" i="56"/>
  <c r="K136" i="56"/>
  <c r="K137" i="56"/>
  <c r="L11" i="56"/>
  <c r="K139" i="56"/>
  <c r="K141" i="56"/>
  <c r="K253" i="56" a="1"/>
  <c r="K143" i="56"/>
  <c r="K142" i="56"/>
  <c r="K255" i="56" a="1"/>
  <c r="K16" i="56"/>
  <c r="K224" i="56" a="1"/>
  <c r="K14" i="56"/>
  <c r="D227" i="56" a="1"/>
  <c r="K227" i="56" a="1"/>
  <c r="K15" i="56"/>
  <c r="D140" i="56" a="1"/>
  <c r="K140" i="56"/>
  <c r="K256" i="56" a="1"/>
  <c r="K375" i="56" a="1"/>
  <c r="K284" i="56" a="1"/>
  <c r="K225" i="56" a="1"/>
  <c r="K344" i="56" a="1"/>
  <c r="K285" i="56" a="1"/>
  <c r="K226" i="56" a="1"/>
  <c r="K376" i="56" a="1"/>
  <c r="J68" i="55"/>
  <c r="G372" i="56"/>
  <c r="K378" i="56" a="1"/>
  <c r="G67" i="56"/>
  <c r="H62" i="56"/>
  <c r="J17" i="56"/>
  <c r="J30" i="56"/>
  <c r="J201" i="56" a="1"/>
  <c r="J87" i="56" a="1"/>
  <c r="J321" i="56" a="1"/>
  <c r="J55" i="56" a="1"/>
  <c r="B170" i="56"/>
  <c r="C229" i="56"/>
  <c r="J228" i="56" a="1"/>
  <c r="K228" i="56" a="1"/>
  <c r="G228" i="56" a="1"/>
  <c r="F228" i="56" a="1"/>
  <c r="H228" i="56" a="1"/>
  <c r="I228" i="56" a="1"/>
  <c r="J69" i="55"/>
  <c r="H372" i="56"/>
  <c r="K377" i="56" a="1"/>
  <c r="J67" i="55"/>
  <c r="F372" i="56"/>
  <c r="J378" i="56" a="1"/>
  <c r="C110" i="56"/>
  <c r="G109" i="56"/>
  <c r="F109" i="56"/>
  <c r="H109" i="56"/>
  <c r="D109" i="56" a="1"/>
  <c r="I109" i="56"/>
  <c r="I286" i="56" a="1"/>
  <c r="C168" i="56"/>
  <c r="G167" i="56"/>
  <c r="F167" i="56"/>
  <c r="H167" i="56"/>
  <c r="D167" i="56" a="1"/>
  <c r="I108" i="56"/>
  <c r="J108" i="56"/>
  <c r="G287" i="56" a="1"/>
  <c r="C288" i="56"/>
  <c r="H287" i="56" a="1"/>
  <c r="F287" i="56" a="1"/>
  <c r="D287" i="56" a="1"/>
  <c r="J287" i="56" a="1"/>
  <c r="D409" i="56" a="1"/>
  <c r="F409" i="56" a="1"/>
  <c r="I409" i="56" a="1"/>
  <c r="C410" i="56"/>
  <c r="G409" i="56" a="1"/>
  <c r="I56" i="56"/>
  <c r="J142" i="56"/>
  <c r="B112" i="56"/>
  <c r="J72" i="56"/>
  <c r="I72" i="56"/>
  <c r="I164" i="56"/>
  <c r="U250" i="56"/>
  <c r="T251" i="56"/>
  <c r="H165" i="56"/>
  <c r="I165" i="56"/>
  <c r="J165" i="56"/>
  <c r="J256" i="56" a="1"/>
  <c r="N371" i="56"/>
  <c r="B292" i="56"/>
  <c r="D73" i="55"/>
  <c r="E72" i="55"/>
  <c r="K341" i="56"/>
  <c r="K343" i="56" a="1"/>
  <c r="F72" i="55"/>
  <c r="G72" i="55"/>
  <c r="H72" i="55"/>
  <c r="I72" i="55"/>
  <c r="K372" i="56"/>
  <c r="K374" i="56" a="1"/>
  <c r="I287" i="56" a="1"/>
  <c r="H409" i="56" a="1"/>
  <c r="G75" i="56"/>
  <c r="H70" i="56"/>
  <c r="L287" i="56" a="1"/>
  <c r="K287" i="56" a="1"/>
  <c r="G59" i="56"/>
  <c r="H54" i="56"/>
  <c r="H378" i="56" a="1"/>
  <c r="K257" i="56" a="1"/>
  <c r="I167" i="56"/>
  <c r="J167" i="56"/>
  <c r="K99" i="56" a="1"/>
  <c r="K71" i="56" a="1"/>
  <c r="K333" i="56" a="1"/>
  <c r="K213" i="56" a="1"/>
  <c r="K165" i="56"/>
  <c r="L165" i="56"/>
  <c r="B142" i="56"/>
  <c r="O371" i="56"/>
  <c r="J164" i="56"/>
  <c r="B113" i="56"/>
  <c r="C144" i="56"/>
  <c r="F143" i="56"/>
  <c r="G143" i="56"/>
  <c r="H143" i="56"/>
  <c r="I143" i="56"/>
  <c r="J143" i="56"/>
  <c r="I260" i="56" a="1"/>
  <c r="C261" i="56"/>
  <c r="J260" i="56" a="1"/>
  <c r="G260" i="56" a="1"/>
  <c r="L260" i="56" a="1"/>
  <c r="H260" i="56" a="1"/>
  <c r="F260" i="56" a="1"/>
  <c r="K260" i="56" a="1"/>
  <c r="L220" i="56"/>
  <c r="M219" i="56"/>
  <c r="H73" i="56"/>
  <c r="H74" i="56"/>
  <c r="H50" i="56"/>
  <c r="G378" i="56" a="1"/>
  <c r="J56" i="56"/>
  <c r="B349" i="56"/>
  <c r="J109" i="56"/>
  <c r="H229" i="56" a="1"/>
  <c r="G229" i="56" a="1"/>
  <c r="K229" i="56" a="1"/>
  <c r="C230" i="56"/>
  <c r="I229" i="56" a="1"/>
  <c r="L229" i="56" a="1"/>
  <c r="F229" i="56" a="1"/>
  <c r="J229" i="56" a="1"/>
  <c r="C289" i="56"/>
  <c r="I288" i="56" a="1"/>
  <c r="H288" i="56" a="1"/>
  <c r="G288" i="56" a="1"/>
  <c r="F288" i="56" a="1"/>
  <c r="D288" i="56" a="1"/>
  <c r="J288" i="56" a="1"/>
  <c r="C111" i="56"/>
  <c r="F110" i="56"/>
  <c r="G110" i="56"/>
  <c r="H110" i="56"/>
  <c r="I110" i="56"/>
  <c r="D110" i="56" a="1"/>
  <c r="J110" i="56"/>
  <c r="K166" i="56"/>
  <c r="K109" i="56"/>
  <c r="B382" i="56"/>
  <c r="F347" i="56" a="1"/>
  <c r="K347" i="56" a="1"/>
  <c r="H347" i="56" a="1"/>
  <c r="C348" i="56"/>
  <c r="G347" i="56" a="1"/>
  <c r="I347" i="56" a="1"/>
  <c r="J347" i="56" a="1"/>
  <c r="L347" i="56" a="1"/>
  <c r="C169" i="56"/>
  <c r="F168" i="56"/>
  <c r="G168" i="56"/>
  <c r="H168" i="56"/>
  <c r="I168" i="56"/>
  <c r="D168" i="56" a="1"/>
  <c r="F374" i="56" a="1"/>
  <c r="G375" i="56" a="1"/>
  <c r="H376" i="56" a="1"/>
  <c r="I377" i="56" a="1"/>
  <c r="K73" i="55"/>
  <c r="L66" i="55"/>
  <c r="L67" i="55"/>
  <c r="L69" i="55"/>
  <c r="M65" i="55"/>
  <c r="L71" i="55"/>
  <c r="L73" i="55"/>
  <c r="L68" i="55"/>
  <c r="L74" i="55"/>
  <c r="H374" i="56" a="1"/>
  <c r="I375" i="56" a="1"/>
  <c r="J376" i="56" a="1"/>
  <c r="B171" i="56"/>
  <c r="H57" i="56"/>
  <c r="H58" i="56"/>
  <c r="H48" i="56"/>
  <c r="J64" i="56"/>
  <c r="I135" i="56"/>
  <c r="X402" i="56"/>
  <c r="H65" i="56"/>
  <c r="H66" i="56"/>
  <c r="H49" i="56"/>
  <c r="K68" i="55"/>
  <c r="F378" i="56" a="1"/>
  <c r="Q340" i="56"/>
  <c r="E73" i="55"/>
  <c r="L341" i="56"/>
  <c r="L343" i="56" a="1"/>
  <c r="F73" i="55"/>
  <c r="D74" i="55"/>
  <c r="G73" i="55"/>
  <c r="H73" i="55"/>
  <c r="I73" i="55"/>
  <c r="J73" i="55"/>
  <c r="L372" i="56"/>
  <c r="L374" i="56" a="1"/>
  <c r="G374" i="56" a="1"/>
  <c r="H375" i="56" a="1"/>
  <c r="I376" i="56" a="1"/>
  <c r="J377" i="56" a="1"/>
  <c r="K327" i="56" a="1"/>
  <c r="K207" i="56" a="1"/>
  <c r="K63" i="56" a="1"/>
  <c r="K93" i="56" a="1"/>
  <c r="K108" i="56"/>
  <c r="U251" i="56"/>
  <c r="V250" i="56"/>
  <c r="B293" i="56"/>
  <c r="C411" i="56"/>
  <c r="D410" i="56" a="1"/>
  <c r="J410" i="56" a="1"/>
  <c r="K321" i="56" a="1"/>
  <c r="K87" i="56" a="1"/>
  <c r="K17" i="56"/>
  <c r="K30" i="56"/>
  <c r="K201" i="56" a="1"/>
  <c r="K55" i="56" a="1"/>
  <c r="K56" i="56"/>
  <c r="L166" i="56"/>
  <c r="L253" i="56" a="1"/>
  <c r="L108" i="56"/>
  <c r="L222" i="56" a="1"/>
  <c r="L107" i="56"/>
  <c r="M11" i="56"/>
  <c r="M379" i="56" a="1"/>
  <c r="L139" i="56"/>
  <c r="L10" i="56"/>
  <c r="L223" i="56" a="1"/>
  <c r="L137" i="56"/>
  <c r="L254" i="56" a="1"/>
  <c r="L106" i="56"/>
  <c r="L136" i="56"/>
  <c r="L140" i="56"/>
  <c r="L138" i="56"/>
  <c r="L144" i="56"/>
  <c r="L143" i="56"/>
  <c r="L255" i="56" a="1"/>
  <c r="L142" i="56"/>
  <c r="L109" i="56"/>
  <c r="L15" i="56"/>
  <c r="D141" i="56" a="1"/>
  <c r="L141" i="56"/>
  <c r="L16" i="56"/>
  <c r="L224" i="56" a="1"/>
  <c r="L14" i="56"/>
  <c r="D228" i="56" a="1"/>
  <c r="L228" i="56" a="1"/>
  <c r="L284" i="56" a="1"/>
  <c r="L256" i="56" a="1"/>
  <c r="L225" i="56" a="1"/>
  <c r="L375" i="56" a="1"/>
  <c r="L376" i="56" a="1"/>
  <c r="L344" i="56" a="1"/>
  <c r="L257" i="56" a="1"/>
  <c r="L285" i="56" a="1"/>
  <c r="L226" i="56" a="1"/>
  <c r="L286" i="56" a="1"/>
  <c r="L227" i="56" a="1"/>
  <c r="L345" i="56" a="1"/>
  <c r="L377" i="56" a="1"/>
  <c r="B259" i="56"/>
  <c r="D258" i="56" a="1"/>
  <c r="K258" i="56" a="1"/>
  <c r="B418" i="56"/>
  <c r="L346" i="56" a="1"/>
  <c r="L378" i="56" a="1"/>
  <c r="C380" i="56"/>
  <c r="G379" i="56" a="1"/>
  <c r="I379" i="56" a="1"/>
  <c r="D379" i="56" a="1"/>
  <c r="F379" i="56" a="1"/>
  <c r="B231" i="56"/>
  <c r="K167" i="56"/>
  <c r="L167" i="56"/>
  <c r="H75" i="56"/>
  <c r="I70" i="56"/>
  <c r="J168" i="56"/>
  <c r="K168" i="56"/>
  <c r="L168" i="56"/>
  <c r="M168" i="56"/>
  <c r="L379" i="56" a="1"/>
  <c r="H379" i="56" a="1"/>
  <c r="D259" i="56" a="1"/>
  <c r="L259" i="56" a="1"/>
  <c r="B260" i="56"/>
  <c r="I411" i="56" a="1"/>
  <c r="C412" i="56"/>
  <c r="D411" i="56" a="1"/>
  <c r="H411" i="56" a="1"/>
  <c r="K411" i="56" a="1"/>
  <c r="F74" i="55"/>
  <c r="D75" i="55"/>
  <c r="E74" i="55"/>
  <c r="G74" i="55"/>
  <c r="H74" i="55"/>
  <c r="I74" i="55"/>
  <c r="J74" i="55"/>
  <c r="M372" i="56"/>
  <c r="K74" i="55"/>
  <c r="H67" i="56"/>
  <c r="I62" i="56"/>
  <c r="C170" i="56"/>
  <c r="F169" i="56"/>
  <c r="G169" i="56"/>
  <c r="H169" i="56"/>
  <c r="I169" i="56"/>
  <c r="J169" i="56"/>
  <c r="D169" i="56" a="1"/>
  <c r="K169" i="56"/>
  <c r="M347" i="56" a="1"/>
  <c r="H59" i="56"/>
  <c r="I54" i="56"/>
  <c r="C381" i="56"/>
  <c r="J380" i="56" a="1"/>
  <c r="D380" i="56" a="1"/>
  <c r="I380" i="56" a="1"/>
  <c r="L258" i="56" a="1"/>
  <c r="M341" i="56"/>
  <c r="M343" i="56" a="1"/>
  <c r="Y402" i="56"/>
  <c r="L72" i="55"/>
  <c r="B114" i="56"/>
  <c r="K72" i="56"/>
  <c r="B232" i="56"/>
  <c r="K379" i="56" a="1"/>
  <c r="B419" i="56"/>
  <c r="J379" i="56" a="1"/>
  <c r="F410" i="56" a="1"/>
  <c r="K110" i="56"/>
  <c r="L110" i="56"/>
  <c r="M288" i="56" a="1"/>
  <c r="B143" i="56"/>
  <c r="I410" i="56" a="1"/>
  <c r="R340" i="56"/>
  <c r="L70" i="55"/>
  <c r="J135" i="56"/>
  <c r="C349" i="56"/>
  <c r="L288" i="56" a="1"/>
  <c r="N219" i="56"/>
  <c r="M220" i="56"/>
  <c r="K164" i="56"/>
  <c r="H410" i="56" a="1"/>
  <c r="M166" i="56"/>
  <c r="M255" i="56" a="1"/>
  <c r="M138" i="56"/>
  <c r="M136" i="56"/>
  <c r="M107" i="56"/>
  <c r="M137" i="56"/>
  <c r="M106" i="56"/>
  <c r="M222" i="56" a="1"/>
  <c r="M140" i="56"/>
  <c r="M165" i="56"/>
  <c r="M109" i="56"/>
  <c r="M108" i="56"/>
  <c r="M254" i="56" a="1"/>
  <c r="N11" i="56"/>
  <c r="M10" i="56"/>
  <c r="M374" i="56" a="1"/>
  <c r="M143" i="56"/>
  <c r="M253" i="56" a="1"/>
  <c r="M141" i="56"/>
  <c r="M145" i="56"/>
  <c r="M144" i="56"/>
  <c r="M223" i="56" a="1"/>
  <c r="M139" i="56"/>
  <c r="M15" i="56"/>
  <c r="D142" i="56" a="1"/>
  <c r="M142" i="56"/>
  <c r="M224" i="56" a="1"/>
  <c r="M16" i="56"/>
  <c r="M14" i="56"/>
  <c r="M375" i="56" a="1"/>
  <c r="M256" i="56" a="1"/>
  <c r="M284" i="56" a="1"/>
  <c r="M225" i="56" a="1"/>
  <c r="M257" i="56" a="1"/>
  <c r="M226" i="56" a="1"/>
  <c r="M376" i="56" a="1"/>
  <c r="M344" i="56" a="1"/>
  <c r="M285" i="56" a="1"/>
  <c r="M227" i="56" a="1"/>
  <c r="M345" i="56" a="1"/>
  <c r="M258" i="56" a="1"/>
  <c r="M286" i="56" a="1"/>
  <c r="M377" i="56" a="1"/>
  <c r="M378" i="56" a="1"/>
  <c r="M228" i="56" a="1"/>
  <c r="M287" i="56" a="1"/>
  <c r="M346" i="56" a="1"/>
  <c r="B294" i="56"/>
  <c r="B172" i="56"/>
  <c r="I75" i="56"/>
  <c r="J70" i="56"/>
  <c r="L321" i="56" a="1"/>
  <c r="L201" i="56" a="1"/>
  <c r="L87" i="56" a="1"/>
  <c r="L55" i="56" a="1"/>
  <c r="L56" i="56"/>
  <c r="L17" i="56"/>
  <c r="L30" i="56"/>
  <c r="G410" i="56" a="1"/>
  <c r="F111" i="56"/>
  <c r="G111" i="56"/>
  <c r="C112" i="56"/>
  <c r="H111" i="56"/>
  <c r="I111" i="56"/>
  <c r="J111" i="56"/>
  <c r="D111" i="56" a="1"/>
  <c r="K288" i="56" a="1"/>
  <c r="G230" i="56" a="1"/>
  <c r="J230" i="56" a="1"/>
  <c r="M230" i="56" a="1"/>
  <c r="I230" i="56" a="1"/>
  <c r="L230" i="56" a="1"/>
  <c r="C231" i="56"/>
  <c r="F230" i="56" a="1"/>
  <c r="K230" i="56" a="1"/>
  <c r="H230" i="56" a="1"/>
  <c r="D348" i="56" a="1"/>
  <c r="J348" i="56" a="1"/>
  <c r="C262" i="56"/>
  <c r="L261" i="56" a="1"/>
  <c r="G261" i="56" a="1"/>
  <c r="J261" i="56" a="1"/>
  <c r="F261" i="56" a="1"/>
  <c r="K261" i="56" a="1"/>
  <c r="M261" i="56" a="1"/>
  <c r="I261" i="56" a="1"/>
  <c r="H261" i="56" a="1"/>
  <c r="C145" i="56"/>
  <c r="F144" i="56"/>
  <c r="G144" i="56"/>
  <c r="H144" i="56"/>
  <c r="I144" i="56"/>
  <c r="J144" i="56"/>
  <c r="K144" i="56"/>
  <c r="H51" i="56"/>
  <c r="H20" i="56"/>
  <c r="B350" i="56"/>
  <c r="D349" i="56" a="1"/>
  <c r="P371" i="56"/>
  <c r="L333" i="56" a="1"/>
  <c r="L71" i="56" a="1"/>
  <c r="L213" i="56" a="1"/>
  <c r="L99" i="56" a="1"/>
  <c r="V251" i="56"/>
  <c r="W250" i="56"/>
  <c r="K64" i="56"/>
  <c r="M66" i="55"/>
  <c r="M69" i="55"/>
  <c r="N65" i="55"/>
  <c r="M75" i="55"/>
  <c r="M73" i="55"/>
  <c r="M68" i="55"/>
  <c r="I73" i="56"/>
  <c r="I74" i="56"/>
  <c r="I50" i="56"/>
  <c r="L327" i="56" a="1"/>
  <c r="L207" i="56" a="1"/>
  <c r="L93" i="56" a="1"/>
  <c r="L63" i="56" a="1"/>
  <c r="B383" i="56"/>
  <c r="I289" i="56" a="1"/>
  <c r="C290" i="56"/>
  <c r="H289" i="56" a="1"/>
  <c r="K289" i="56" a="1"/>
  <c r="J289" i="56" a="1"/>
  <c r="G289" i="56" a="1"/>
  <c r="F289" i="56" a="1"/>
  <c r="D289" i="56" a="1"/>
  <c r="L289" i="56" a="1"/>
  <c r="I348" i="56" a="1"/>
  <c r="K348" i="56" a="1"/>
  <c r="M167" i="56"/>
  <c r="K111" i="56"/>
  <c r="L111" i="56"/>
  <c r="M111" i="56"/>
  <c r="M259" i="56" a="1"/>
  <c r="M110" i="56"/>
  <c r="N110" i="56"/>
  <c r="M55" i="56" a="1"/>
  <c r="M321" i="56" a="1"/>
  <c r="M201" i="56" a="1"/>
  <c r="M87" i="56" a="1"/>
  <c r="M17" i="56"/>
  <c r="M30" i="56"/>
  <c r="K135" i="56"/>
  <c r="L135" i="56"/>
  <c r="L169" i="56"/>
  <c r="M169" i="56"/>
  <c r="D229" i="56" a="1"/>
  <c r="M229" i="56" a="1"/>
  <c r="H380" i="56" a="1"/>
  <c r="B261" i="56"/>
  <c r="D260" i="56" a="1"/>
  <c r="M260" i="56" a="1"/>
  <c r="C232" i="56"/>
  <c r="M231" i="56" a="1"/>
  <c r="K231" i="56" a="1"/>
  <c r="I231" i="56" a="1"/>
  <c r="G231" i="56" a="1"/>
  <c r="H231" i="56" a="1"/>
  <c r="N231" i="56" a="1"/>
  <c r="J231" i="56" a="1"/>
  <c r="F231" i="56" a="1"/>
  <c r="L231" i="56" a="1"/>
  <c r="B295" i="56"/>
  <c r="M213" i="56" a="1"/>
  <c r="M71" i="56" a="1"/>
  <c r="M333" i="56" a="1"/>
  <c r="M99" i="56" a="1"/>
  <c r="N136" i="56"/>
  <c r="N140" i="56"/>
  <c r="N223" i="56" a="1"/>
  <c r="N141" i="56"/>
  <c r="N165" i="56"/>
  <c r="N106" i="56"/>
  <c r="N253" i="56" a="1"/>
  <c r="N138" i="56"/>
  <c r="N142" i="56"/>
  <c r="N168" i="56"/>
  <c r="N109" i="56"/>
  <c r="N10" i="56"/>
  <c r="N108" i="56"/>
  <c r="N166" i="56"/>
  <c r="N254" i="56" a="1"/>
  <c r="N139" i="56"/>
  <c r="N137" i="56"/>
  <c r="N107" i="56"/>
  <c r="N167" i="56"/>
  <c r="O11" i="56"/>
  <c r="N144" i="56"/>
  <c r="N146" i="56"/>
  <c r="N255" i="56" a="1"/>
  <c r="N145" i="56"/>
  <c r="N14" i="56"/>
  <c r="N16" i="56"/>
  <c r="N15" i="56"/>
  <c r="N224" i="56" a="1"/>
  <c r="N256" i="56" a="1"/>
  <c r="N225" i="56" a="1"/>
  <c r="N284" i="56" a="1"/>
  <c r="N375" i="56" a="1"/>
  <c r="N226" i="56" a="1"/>
  <c r="N285" i="56" a="1"/>
  <c r="N257" i="56" a="1"/>
  <c r="N344" i="56" a="1"/>
  <c r="N376" i="56" a="1"/>
  <c r="N227" i="56" a="1"/>
  <c r="N258" i="56" a="1"/>
  <c r="N377" i="56" a="1"/>
  <c r="N345" i="56" a="1"/>
  <c r="N286" i="56" a="1"/>
  <c r="N228" i="56" a="1"/>
  <c r="N287" i="56" a="1"/>
  <c r="N378" i="56" a="1"/>
  <c r="N259" i="56" a="1"/>
  <c r="N346" i="56" a="1"/>
  <c r="N288" i="56" a="1"/>
  <c r="N347" i="56" a="1"/>
  <c r="N229" i="56" a="1"/>
  <c r="N379" i="56" a="1"/>
  <c r="L164" i="56"/>
  <c r="L348" i="56" a="1"/>
  <c r="I65" i="56"/>
  <c r="I66" i="56"/>
  <c r="I49" i="56"/>
  <c r="F145" i="56"/>
  <c r="G145" i="56"/>
  <c r="C146" i="56"/>
  <c r="H145" i="56"/>
  <c r="I145" i="56"/>
  <c r="J145" i="56"/>
  <c r="K145" i="56"/>
  <c r="L145" i="56"/>
  <c r="J73" i="56"/>
  <c r="J74" i="56"/>
  <c r="J50" i="56"/>
  <c r="F348" i="56" a="1"/>
  <c r="L72" i="56"/>
  <c r="N380" i="56" a="1"/>
  <c r="L380" i="56" a="1"/>
  <c r="B384" i="56"/>
  <c r="M74" i="55"/>
  <c r="W251" i="56"/>
  <c r="X250" i="56"/>
  <c r="C263" i="56"/>
  <c r="K262" i="56" a="1"/>
  <c r="N262" i="56" a="1"/>
  <c r="J262" i="56" a="1"/>
  <c r="F262" i="56" a="1"/>
  <c r="L262" i="56" a="1"/>
  <c r="H262" i="56" a="1"/>
  <c r="G262" i="56" a="1"/>
  <c r="M262" i="56" a="1"/>
  <c r="I262" i="56" a="1"/>
  <c r="M207" i="56" a="1"/>
  <c r="M63" i="56" a="1"/>
  <c r="M64" i="56"/>
  <c r="M327" i="56" a="1"/>
  <c r="M93" i="56" a="1"/>
  <c r="G348" i="56" a="1"/>
  <c r="B144" i="56"/>
  <c r="B420" i="56"/>
  <c r="K380" i="56" a="1"/>
  <c r="G380" i="56" a="1"/>
  <c r="D76" i="55"/>
  <c r="F75" i="55"/>
  <c r="E75" i="55"/>
  <c r="G75" i="55"/>
  <c r="H75" i="55"/>
  <c r="I75" i="55"/>
  <c r="J75" i="55"/>
  <c r="N372" i="56"/>
  <c r="N374" i="56" a="1"/>
  <c r="K75" i="55"/>
  <c r="N341" i="56"/>
  <c r="N343" i="56" a="1"/>
  <c r="L75" i="55"/>
  <c r="G411" i="56" a="1"/>
  <c r="M289" i="56" a="1"/>
  <c r="I290" i="56" a="1"/>
  <c r="H290" i="56" a="1"/>
  <c r="C291" i="56"/>
  <c r="J290" i="56" a="1"/>
  <c r="F290" i="56" a="1"/>
  <c r="K290" i="56" a="1"/>
  <c r="G290" i="56" a="1"/>
  <c r="D290" i="56" a="1"/>
  <c r="N290" i="56" a="1"/>
  <c r="M67" i="55"/>
  <c r="B173" i="56"/>
  <c r="N220" i="56"/>
  <c r="N222" i="56" a="1"/>
  <c r="O219" i="56"/>
  <c r="L349" i="56" a="1"/>
  <c r="F349" i="56" a="1"/>
  <c r="G349" i="56" a="1"/>
  <c r="C350" i="56"/>
  <c r="N349" i="56" a="1"/>
  <c r="J349" i="56" a="1"/>
  <c r="O349" i="56" a="1"/>
  <c r="K349" i="56" a="1"/>
  <c r="I349" i="56" a="1"/>
  <c r="M349" i="56" a="1"/>
  <c r="H349" i="56" a="1"/>
  <c r="F380" i="56" a="1"/>
  <c r="C382" i="56"/>
  <c r="K381" i="56" a="1"/>
  <c r="G381" i="56" a="1"/>
  <c r="F381" i="56" a="1"/>
  <c r="J381" i="56" a="1"/>
  <c r="O381" i="56" a="1"/>
  <c r="M381" i="56" a="1"/>
  <c r="H381" i="56" a="1"/>
  <c r="D381" i="56" a="1"/>
  <c r="I381" i="56" a="1"/>
  <c r="C413" i="56"/>
  <c r="D412" i="56" a="1"/>
  <c r="F412" i="56" a="1"/>
  <c r="B233" i="56"/>
  <c r="N69" i="55"/>
  <c r="O65" i="55"/>
  <c r="N71" i="55"/>
  <c r="N66" i="55"/>
  <c r="N68" i="55"/>
  <c r="N75" i="55"/>
  <c r="N70" i="55"/>
  <c r="Q371" i="56"/>
  <c r="N289" i="56" a="1"/>
  <c r="M72" i="55"/>
  <c r="M71" i="55"/>
  <c r="B351" i="56"/>
  <c r="G112" i="56"/>
  <c r="C113" i="56"/>
  <c r="F112" i="56"/>
  <c r="H112" i="56"/>
  <c r="I112" i="56"/>
  <c r="J112" i="56"/>
  <c r="K112" i="56"/>
  <c r="D112" i="56" a="1"/>
  <c r="M348" i="56" a="1"/>
  <c r="H348" i="56" a="1"/>
  <c r="S340" i="56"/>
  <c r="M380" i="56" a="1"/>
  <c r="I57" i="56"/>
  <c r="I58" i="56"/>
  <c r="I48" i="56"/>
  <c r="F411" i="56" a="1"/>
  <c r="J411" i="56" a="1"/>
  <c r="M70" i="55"/>
  <c r="M56" i="56"/>
  <c r="N348" i="56" a="1"/>
  <c r="B115" i="56"/>
  <c r="F170" i="56"/>
  <c r="G170" i="56"/>
  <c r="C171" i="56"/>
  <c r="H170" i="56"/>
  <c r="I170" i="56"/>
  <c r="J170" i="56"/>
  <c r="K170" i="56"/>
  <c r="D170" i="56" a="1"/>
  <c r="L64" i="56"/>
  <c r="M290" i="56" a="1"/>
  <c r="M164" i="56"/>
  <c r="N164" i="56"/>
  <c r="O164" i="56"/>
  <c r="M112" i="56"/>
  <c r="O290" i="56" a="1"/>
  <c r="N260" i="56" a="1"/>
  <c r="N169" i="56"/>
  <c r="O169" i="56"/>
  <c r="L290" i="56" a="1"/>
  <c r="L170" i="56"/>
  <c r="L112" i="56"/>
  <c r="B262" i="56"/>
  <c r="D261" i="56" a="1"/>
  <c r="N261" i="56" a="1"/>
  <c r="O66" i="55"/>
  <c r="O69" i="55"/>
  <c r="O70" i="55"/>
  <c r="O73" i="55"/>
  <c r="O71" i="55"/>
  <c r="O75" i="55"/>
  <c r="O74" i="55"/>
  <c r="O67" i="55"/>
  <c r="O72" i="55"/>
  <c r="O76" i="55"/>
  <c r="O77" i="55"/>
  <c r="P65" i="55"/>
  <c r="O68" i="55"/>
  <c r="J412" i="56" a="1"/>
  <c r="C351" i="56"/>
  <c r="B174" i="56"/>
  <c r="B145" i="56"/>
  <c r="I67" i="56"/>
  <c r="J62" i="56"/>
  <c r="N99" i="56" a="1"/>
  <c r="N333" i="56" a="1"/>
  <c r="N213" i="56" a="1"/>
  <c r="N71" i="56" a="1"/>
  <c r="M72" i="56"/>
  <c r="F113" i="56"/>
  <c r="G113" i="56"/>
  <c r="C114" i="56"/>
  <c r="H113" i="56"/>
  <c r="I113" i="56"/>
  <c r="J113" i="56"/>
  <c r="K113" i="56"/>
  <c r="L113" i="56"/>
  <c r="D113" i="56" a="1"/>
  <c r="H412" i="56" a="1"/>
  <c r="N55" i="56" a="1"/>
  <c r="N17" i="56"/>
  <c r="N30" i="56"/>
  <c r="N87" i="56" a="1"/>
  <c r="N321" i="56" a="1"/>
  <c r="N201" i="56" a="1"/>
  <c r="N112" i="56"/>
  <c r="K412" i="56" a="1"/>
  <c r="N73" i="55"/>
  <c r="N72" i="55"/>
  <c r="G412" i="56" a="1"/>
  <c r="I291" i="56" a="1"/>
  <c r="H291" i="56" a="1"/>
  <c r="C292" i="56"/>
  <c r="K291" i="56" a="1"/>
  <c r="F291" i="56" a="1"/>
  <c r="L291" i="56" a="1"/>
  <c r="G291" i="56" a="1"/>
  <c r="J291" i="56" a="1"/>
  <c r="D291" i="56" a="1"/>
  <c r="M291" i="56" a="1"/>
  <c r="X251" i="56"/>
  <c r="Y250" i="56"/>
  <c r="Y251" i="56"/>
  <c r="D230" i="56" a="1"/>
  <c r="N230" i="56" a="1"/>
  <c r="E76" i="55"/>
  <c r="G76" i="55"/>
  <c r="D77" i="55"/>
  <c r="F76" i="55"/>
  <c r="H76" i="55"/>
  <c r="I76" i="55"/>
  <c r="J76" i="55"/>
  <c r="O372" i="56"/>
  <c r="O374" i="56" a="1"/>
  <c r="K76" i="55"/>
  <c r="L76" i="55"/>
  <c r="M76" i="55"/>
  <c r="K263" i="56" a="1"/>
  <c r="M263" i="56" a="1"/>
  <c r="G263" i="56" a="1"/>
  <c r="I263" i="56" a="1"/>
  <c r="F263" i="56" a="1"/>
  <c r="N263" i="56" a="1"/>
  <c r="L263" i="56" a="1"/>
  <c r="J263" i="56" a="1"/>
  <c r="H263" i="56" a="1"/>
  <c r="C264" i="56"/>
  <c r="O263" i="56" a="1"/>
  <c r="B385" i="56"/>
  <c r="D350" i="56" a="1"/>
  <c r="N350" i="56" a="1"/>
  <c r="B116" i="56"/>
  <c r="I51" i="56"/>
  <c r="I20" i="56"/>
  <c r="T340" i="56"/>
  <c r="B352" i="56"/>
  <c r="D351" i="56" a="1"/>
  <c r="N67" i="55"/>
  <c r="C414" i="56"/>
  <c r="D413" i="56" a="1"/>
  <c r="K413" i="56" a="1"/>
  <c r="N381" i="56" a="1"/>
  <c r="J75" i="56"/>
  <c r="K70" i="56"/>
  <c r="B296" i="56"/>
  <c r="N207" i="56" a="1"/>
  <c r="N327" i="56" a="1"/>
  <c r="N63" i="56" a="1"/>
  <c r="N93" i="56" a="1"/>
  <c r="F171" i="56"/>
  <c r="G171" i="56"/>
  <c r="C172" i="56"/>
  <c r="H171" i="56"/>
  <c r="I171" i="56"/>
  <c r="J171" i="56"/>
  <c r="K171" i="56"/>
  <c r="L171" i="56"/>
  <c r="D171" i="56" a="1"/>
  <c r="M171" i="56"/>
  <c r="R371" i="56"/>
  <c r="N76" i="55"/>
  <c r="M170" i="56"/>
  <c r="N170" i="56"/>
  <c r="I59" i="56"/>
  <c r="J54" i="56"/>
  <c r="N74" i="55"/>
  <c r="L412" i="56" a="1"/>
  <c r="L381" i="56" a="1"/>
  <c r="O220" i="56"/>
  <c r="P219" i="56"/>
  <c r="O341" i="56"/>
  <c r="O343" i="56" a="1"/>
  <c r="C147" i="56"/>
  <c r="F146" i="56"/>
  <c r="G146" i="56"/>
  <c r="H146" i="56"/>
  <c r="I146" i="56"/>
  <c r="J146" i="56"/>
  <c r="K146" i="56"/>
  <c r="L146" i="56"/>
  <c r="M146" i="56"/>
  <c r="N111" i="56"/>
  <c r="O111" i="56"/>
  <c r="H232" i="56" a="1"/>
  <c r="F232" i="56" a="1"/>
  <c r="C233" i="56"/>
  <c r="N232" i="56" a="1"/>
  <c r="O232" i="56" a="1"/>
  <c r="M232" i="56" a="1"/>
  <c r="K232" i="56" a="1"/>
  <c r="G232" i="56" a="1"/>
  <c r="J232" i="56" a="1"/>
  <c r="L232" i="56" a="1"/>
  <c r="I232" i="56" a="1"/>
  <c r="M382" i="56" a="1"/>
  <c r="C383" i="56"/>
  <c r="D382" i="56" a="1"/>
  <c r="O382" i="56" a="1"/>
  <c r="D143" i="56" a="1"/>
  <c r="N143" i="56"/>
  <c r="O143" i="56"/>
  <c r="I412" i="56" a="1"/>
  <c r="B234" i="56"/>
  <c r="B421" i="56"/>
  <c r="O140" i="56"/>
  <c r="O109" i="56"/>
  <c r="O106" i="56"/>
  <c r="O223" i="56" a="1"/>
  <c r="O168" i="56"/>
  <c r="O107" i="56"/>
  <c r="O255" i="56" a="1"/>
  <c r="O138" i="56"/>
  <c r="O110" i="56"/>
  <c r="O108" i="56"/>
  <c r="O141" i="56"/>
  <c r="O137" i="56"/>
  <c r="O139" i="56"/>
  <c r="O253" i="56" a="1"/>
  <c r="O167" i="56"/>
  <c r="O136" i="56"/>
  <c r="O224" i="56" a="1"/>
  <c r="O142" i="56"/>
  <c r="O112" i="56"/>
  <c r="O222" i="56" a="1"/>
  <c r="O10" i="56"/>
  <c r="O254" i="56" a="1"/>
  <c r="O165" i="56"/>
  <c r="P11" i="56"/>
  <c r="O146" i="56"/>
  <c r="O147" i="56"/>
  <c r="O145" i="56"/>
  <c r="O166" i="56"/>
  <c r="O14" i="56"/>
  <c r="O16" i="56"/>
  <c r="O15" i="56"/>
  <c r="O375" i="56" a="1"/>
  <c r="O225" i="56" a="1"/>
  <c r="O284" i="56" a="1"/>
  <c r="O256" i="56" a="1"/>
  <c r="O376" i="56" a="1"/>
  <c r="O285" i="56" a="1"/>
  <c r="O344" i="56" a="1"/>
  <c r="O226" i="56" a="1"/>
  <c r="O257" i="56" a="1"/>
  <c r="O377" i="56" a="1"/>
  <c r="O345" i="56" a="1"/>
  <c r="O286" i="56" a="1"/>
  <c r="O227" i="56" a="1"/>
  <c r="O258" i="56" a="1"/>
  <c r="O378" i="56" a="1"/>
  <c r="O228" i="56" a="1"/>
  <c r="O287" i="56" a="1"/>
  <c r="O346" i="56" a="1"/>
  <c r="O259" i="56" a="1"/>
  <c r="O260" i="56" a="1"/>
  <c r="O288" i="56" a="1"/>
  <c r="O347" i="56" a="1"/>
  <c r="O229" i="56" a="1"/>
  <c r="O379" i="56" a="1"/>
  <c r="O289" i="56" a="1"/>
  <c r="O348" i="56" a="1"/>
  <c r="O261" i="56" a="1"/>
  <c r="O380" i="56" a="1"/>
  <c r="M135" i="56"/>
  <c r="J382" i="56" a="1"/>
  <c r="N171" i="56"/>
  <c r="O171" i="56"/>
  <c r="P291" i="56" a="1"/>
  <c r="M113" i="56"/>
  <c r="N113" i="56"/>
  <c r="O113" i="56"/>
  <c r="P113" i="56"/>
  <c r="G413" i="56" a="1"/>
  <c r="I413" i="56" a="1"/>
  <c r="J413" i="56" a="1"/>
  <c r="K382" i="56" a="1"/>
  <c r="O170" i="56"/>
  <c r="B146" i="56"/>
  <c r="C384" i="56"/>
  <c r="N383" i="56" a="1"/>
  <c r="I383" i="56" a="1"/>
  <c r="K383" i="56" a="1"/>
  <c r="D383" i="56" a="1"/>
  <c r="G383" i="56" a="1"/>
  <c r="F350" i="56" a="1"/>
  <c r="J350" i="56" a="1"/>
  <c r="P74" i="55"/>
  <c r="P69" i="55"/>
  <c r="P68" i="55"/>
  <c r="P67" i="55"/>
  <c r="P71" i="55"/>
  <c r="P70" i="55"/>
  <c r="P66" i="55"/>
  <c r="Q65" i="55"/>
  <c r="P72" i="55"/>
  <c r="P75" i="55"/>
  <c r="P77" i="55"/>
  <c r="P76" i="55"/>
  <c r="P73" i="55"/>
  <c r="O333" i="56" a="1"/>
  <c r="O213" i="56" a="1"/>
  <c r="O99" i="56" a="1"/>
  <c r="O71" i="56" a="1"/>
  <c r="P166" i="56"/>
  <c r="P112" i="56"/>
  <c r="P141" i="56"/>
  <c r="P138" i="56"/>
  <c r="P165" i="56"/>
  <c r="P111" i="56"/>
  <c r="P164" i="56"/>
  <c r="P167" i="56"/>
  <c r="P143" i="56"/>
  <c r="P10" i="56"/>
  <c r="P168" i="56"/>
  <c r="P253" i="56" a="1"/>
  <c r="P142" i="56"/>
  <c r="P139" i="56"/>
  <c r="P109" i="56"/>
  <c r="P140" i="56"/>
  <c r="P136" i="56"/>
  <c r="P108" i="56"/>
  <c r="P170" i="56"/>
  <c r="P106" i="56"/>
  <c r="P254" i="56" a="1"/>
  <c r="P137" i="56"/>
  <c r="P146" i="56"/>
  <c r="Q11" i="56"/>
  <c r="Q383" i="56" a="1"/>
  <c r="P223" i="56" a="1"/>
  <c r="P255" i="56" a="1"/>
  <c r="P171" i="56"/>
  <c r="P107" i="56"/>
  <c r="P110" i="56"/>
  <c r="P224" i="56" a="1"/>
  <c r="P147" i="56"/>
  <c r="P169" i="56"/>
  <c r="P14" i="56"/>
  <c r="P15" i="56"/>
  <c r="P16" i="56"/>
  <c r="P284" i="56" a="1"/>
  <c r="P256" i="56" a="1"/>
  <c r="P375" i="56" a="1"/>
  <c r="P225" i="56" a="1"/>
  <c r="P344" i="56" a="1"/>
  <c r="P285" i="56" a="1"/>
  <c r="P226" i="56" a="1"/>
  <c r="P257" i="56" a="1"/>
  <c r="P376" i="56" a="1"/>
  <c r="P377" i="56" a="1"/>
  <c r="P258" i="56" a="1"/>
  <c r="P227" i="56" a="1"/>
  <c r="P345" i="56" a="1"/>
  <c r="P286" i="56" a="1"/>
  <c r="P378" i="56" a="1"/>
  <c r="P259" i="56" a="1"/>
  <c r="P346" i="56" a="1"/>
  <c r="P228" i="56" a="1"/>
  <c r="P287" i="56" a="1"/>
  <c r="P288" i="56" a="1"/>
  <c r="P347" i="56" a="1"/>
  <c r="P260" i="56" a="1"/>
  <c r="P229" i="56" a="1"/>
  <c r="P379" i="56" a="1"/>
  <c r="P289" i="56" a="1"/>
  <c r="P230" i="56" a="1"/>
  <c r="P261" i="56" a="1"/>
  <c r="P380" i="56" a="1"/>
  <c r="P348" i="56" a="1"/>
  <c r="P290" i="56" a="1"/>
  <c r="P349" i="56" a="1"/>
  <c r="P381" i="56" a="1"/>
  <c r="P382" i="56" a="1"/>
  <c r="K75" i="56"/>
  <c r="L70" i="56"/>
  <c r="K73" i="56"/>
  <c r="K74" i="56"/>
  <c r="K50" i="56"/>
  <c r="B353" i="56"/>
  <c r="B386" i="56"/>
  <c r="N56" i="56"/>
  <c r="O72" i="56"/>
  <c r="N72" i="56"/>
  <c r="O350" i="56" a="1"/>
  <c r="H350" i="56" a="1"/>
  <c r="N135" i="56"/>
  <c r="B422" i="56"/>
  <c r="C173" i="56"/>
  <c r="F172" i="56"/>
  <c r="G172" i="56"/>
  <c r="H172" i="56"/>
  <c r="I172" i="56"/>
  <c r="J172" i="56"/>
  <c r="K172" i="56"/>
  <c r="L172" i="56"/>
  <c r="M172" i="56"/>
  <c r="D172" i="56" a="1"/>
  <c r="L350" i="56" a="1"/>
  <c r="J57" i="56"/>
  <c r="J58" i="56"/>
  <c r="J48" i="56"/>
  <c r="F147" i="56"/>
  <c r="G147" i="56"/>
  <c r="C148" i="56"/>
  <c r="P148" i="56"/>
  <c r="H147" i="56"/>
  <c r="I147" i="56"/>
  <c r="J147" i="56"/>
  <c r="K147" i="56"/>
  <c r="L147" i="56"/>
  <c r="M147" i="56"/>
  <c r="N147" i="56"/>
  <c r="L413" i="56" a="1"/>
  <c r="N291" i="56" a="1"/>
  <c r="B175" i="56"/>
  <c r="G350" i="56" a="1"/>
  <c r="O321" i="56" a="1"/>
  <c r="O87" i="56" a="1"/>
  <c r="O55" i="56" a="1"/>
  <c r="O56" i="56"/>
  <c r="O201" i="56" a="1"/>
  <c r="O17" i="56"/>
  <c r="O30" i="56"/>
  <c r="D231" i="56" a="1"/>
  <c r="O231" i="56" a="1"/>
  <c r="B235" i="56"/>
  <c r="H382" i="56" a="1"/>
  <c r="O230" i="56" a="1"/>
  <c r="F382" i="56" a="1"/>
  <c r="H413" i="56" a="1"/>
  <c r="U340" i="56"/>
  <c r="D78" i="55"/>
  <c r="E77" i="55"/>
  <c r="P341" i="56"/>
  <c r="P343" i="56" a="1"/>
  <c r="G77" i="55"/>
  <c r="F77" i="55"/>
  <c r="H77" i="55"/>
  <c r="I77" i="55"/>
  <c r="J77" i="55"/>
  <c r="K77" i="55"/>
  <c r="L77" i="55"/>
  <c r="M77" i="55"/>
  <c r="N77" i="55"/>
  <c r="N64" i="56"/>
  <c r="F114" i="56"/>
  <c r="G114" i="56"/>
  <c r="C115" i="56"/>
  <c r="H114" i="56"/>
  <c r="I114" i="56"/>
  <c r="J114" i="56"/>
  <c r="K114" i="56"/>
  <c r="L114" i="56"/>
  <c r="M114" i="56"/>
  <c r="D114" i="56" a="1"/>
  <c r="P350" i="56" a="1"/>
  <c r="G351" i="56" a="1"/>
  <c r="F351" i="56" a="1"/>
  <c r="N351" i="56" a="1"/>
  <c r="J351" i="56" a="1"/>
  <c r="L351" i="56" a="1"/>
  <c r="O351" i="56" a="1"/>
  <c r="H351" i="56" a="1"/>
  <c r="P351" i="56" a="1"/>
  <c r="I351" i="56" a="1"/>
  <c r="C352" i="56"/>
  <c r="M351" i="56" a="1"/>
  <c r="Q351" i="56" a="1"/>
  <c r="K351" i="56" a="1"/>
  <c r="S371" i="56"/>
  <c r="I382" i="56" a="1"/>
  <c r="P233" i="56" a="1"/>
  <c r="J233" i="56" a="1"/>
  <c r="H233" i="56" a="1"/>
  <c r="F233" i="56" a="1"/>
  <c r="L233" i="56" a="1"/>
  <c r="O233" i="56" a="1"/>
  <c r="N233" i="56" a="1"/>
  <c r="C234" i="56"/>
  <c r="K233" i="56" a="1"/>
  <c r="G233" i="56" a="1"/>
  <c r="M233" i="56" a="1"/>
  <c r="I233" i="56" a="1"/>
  <c r="P220" i="56"/>
  <c r="P222" i="56" a="1"/>
  <c r="Q219" i="56"/>
  <c r="M413" i="56" a="1"/>
  <c r="O291" i="56" a="1"/>
  <c r="G292" i="56" a="1"/>
  <c r="L292" i="56" a="1"/>
  <c r="M292" i="56" a="1"/>
  <c r="H292" i="56" a="1"/>
  <c r="K292" i="56" a="1"/>
  <c r="C293" i="56"/>
  <c r="J292" i="56" a="1"/>
  <c r="F292" i="56" a="1"/>
  <c r="I292" i="56" a="1"/>
  <c r="D292" i="56" a="1"/>
  <c r="P292" i="56" a="1"/>
  <c r="I350" i="56" a="1"/>
  <c r="K350" i="56" a="1"/>
  <c r="G382" i="56" a="1"/>
  <c r="N382" i="56" a="1"/>
  <c r="C415" i="56"/>
  <c r="D414" i="56" a="1"/>
  <c r="H414" i="56" a="1"/>
  <c r="J65" i="56"/>
  <c r="J66" i="56"/>
  <c r="J49" i="56"/>
  <c r="M350" i="56" a="1"/>
  <c r="B263" i="56"/>
  <c r="D262" i="56" a="1"/>
  <c r="O262" i="56" a="1"/>
  <c r="O327" i="56" a="1"/>
  <c r="O93" i="56" a="1"/>
  <c r="O207" i="56" a="1"/>
  <c r="O63" i="56" a="1"/>
  <c r="O64" i="56"/>
  <c r="L382" i="56" a="1"/>
  <c r="B297" i="56"/>
  <c r="F413" i="56" a="1"/>
  <c r="B117" i="56"/>
  <c r="L264" i="56" a="1"/>
  <c r="H264" i="56" a="1"/>
  <c r="C265" i="56"/>
  <c r="N264" i="56" a="1"/>
  <c r="G264" i="56" a="1"/>
  <c r="J264" i="56" a="1"/>
  <c r="O264" i="56" a="1"/>
  <c r="I264" i="56" a="1"/>
  <c r="P264" i="56" a="1"/>
  <c r="K264" i="56" a="1"/>
  <c r="F264" i="56" a="1"/>
  <c r="M264" i="56" a="1"/>
  <c r="D144" i="56" a="1"/>
  <c r="O144" i="56"/>
  <c r="P372" i="56"/>
  <c r="P374" i="56" a="1"/>
  <c r="J67" i="56"/>
  <c r="K62" i="56"/>
  <c r="K65" i="56"/>
  <c r="K66" i="56"/>
  <c r="K49" i="56"/>
  <c r="M383" i="56" a="1"/>
  <c r="Q292" i="56" a="1"/>
  <c r="P231" i="56" a="1"/>
  <c r="K414" i="56" a="1"/>
  <c r="J383" i="56" a="1"/>
  <c r="N292" i="56" a="1"/>
  <c r="O292" i="56" a="1"/>
  <c r="N172" i="56"/>
  <c r="O172" i="56"/>
  <c r="P172" i="56"/>
  <c r="N114" i="56"/>
  <c r="P114" i="56"/>
  <c r="C116" i="56"/>
  <c r="F115" i="56"/>
  <c r="G115" i="56"/>
  <c r="H115" i="56"/>
  <c r="I115" i="56"/>
  <c r="J115" i="56"/>
  <c r="K115" i="56"/>
  <c r="L115" i="56"/>
  <c r="M115" i="56"/>
  <c r="N115" i="56"/>
  <c r="D115" i="56" a="1"/>
  <c r="F78" i="55"/>
  <c r="D79" i="55"/>
  <c r="E78" i="55"/>
  <c r="G78" i="55"/>
  <c r="H78" i="55"/>
  <c r="I78" i="55"/>
  <c r="J78" i="55"/>
  <c r="K78" i="55"/>
  <c r="L78" i="55"/>
  <c r="M78" i="55"/>
  <c r="N78" i="55"/>
  <c r="Q372" i="56"/>
  <c r="O78" i="55"/>
  <c r="Q341" i="56"/>
  <c r="B176" i="56"/>
  <c r="P207" i="56" a="1"/>
  <c r="P327" i="56" a="1"/>
  <c r="P63" i="56" a="1"/>
  <c r="P64" i="56"/>
  <c r="P93" i="56" a="1"/>
  <c r="L383" i="56" a="1"/>
  <c r="B147" i="56"/>
  <c r="L73" i="56"/>
  <c r="L74" i="56"/>
  <c r="L50" i="56"/>
  <c r="P17" i="56"/>
  <c r="P30" i="56"/>
  <c r="P87" i="56" a="1"/>
  <c r="P321" i="56" a="1"/>
  <c r="P201" i="56" a="1"/>
  <c r="P55" i="56" a="1"/>
  <c r="P56" i="56"/>
  <c r="P144" i="56"/>
  <c r="Q144" i="56"/>
  <c r="P78" i="55"/>
  <c r="M414" i="56" a="1"/>
  <c r="L414" i="56" a="1"/>
  <c r="G414" i="56" a="1"/>
  <c r="K293" i="56" a="1"/>
  <c r="M293" i="56" a="1"/>
  <c r="N293" i="56" a="1"/>
  <c r="I293" i="56" a="1"/>
  <c r="C294" i="56"/>
  <c r="L293" i="56" a="1"/>
  <c r="J293" i="56" a="1"/>
  <c r="H293" i="56" a="1"/>
  <c r="G293" i="56" a="1"/>
  <c r="F293" i="56" a="1"/>
  <c r="D293" i="56" a="1"/>
  <c r="Q293" i="56" a="1"/>
  <c r="V340" i="56"/>
  <c r="C149" i="56"/>
  <c r="Q149" i="56"/>
  <c r="F148" i="56"/>
  <c r="G148" i="56"/>
  <c r="H148" i="56"/>
  <c r="I148" i="56"/>
  <c r="J148" i="56"/>
  <c r="K148" i="56"/>
  <c r="L148" i="56"/>
  <c r="M148" i="56"/>
  <c r="N148" i="56"/>
  <c r="O148" i="56"/>
  <c r="D232" i="56" a="1"/>
  <c r="P232" i="56" a="1"/>
  <c r="R219" i="56"/>
  <c r="Q220" i="56"/>
  <c r="T371" i="56"/>
  <c r="O114" i="56"/>
  <c r="J414" i="56" a="1"/>
  <c r="Q265" i="56" a="1"/>
  <c r="M265" i="56" a="1"/>
  <c r="G265" i="56" a="1"/>
  <c r="H265" i="56" a="1"/>
  <c r="J265" i="56" a="1"/>
  <c r="F265" i="56" a="1"/>
  <c r="I265" i="56" a="1"/>
  <c r="P265" i="56" a="1"/>
  <c r="C266" i="56"/>
  <c r="L265" i="56" a="1"/>
  <c r="O265" i="56" a="1"/>
  <c r="K265" i="56" a="1"/>
  <c r="N265" i="56" a="1"/>
  <c r="B298" i="56"/>
  <c r="D263" i="56" a="1"/>
  <c r="P263" i="56" a="1"/>
  <c r="B264" i="56"/>
  <c r="N414" i="56" a="1"/>
  <c r="Q166" i="56"/>
  <c r="Q137" i="56"/>
  <c r="Q106" i="56"/>
  <c r="Q110" i="56"/>
  <c r="Q141" i="56"/>
  <c r="Q136" i="56"/>
  <c r="Q165" i="56"/>
  <c r="Q113" i="56"/>
  <c r="Q222" i="56" a="1"/>
  <c r="Q140" i="56"/>
  <c r="R11" i="56"/>
  <c r="Q254" i="56" a="1"/>
  <c r="Q164" i="56"/>
  <c r="Q138" i="56"/>
  <c r="Q108" i="56"/>
  <c r="Q223" i="56" a="1"/>
  <c r="Q224" i="56" a="1"/>
  <c r="Q139" i="56"/>
  <c r="Q111" i="56"/>
  <c r="Q168" i="56"/>
  <c r="Q253" i="56" a="1"/>
  <c r="Q255" i="56" a="1"/>
  <c r="Q143" i="56"/>
  <c r="Q112" i="56"/>
  <c r="Q109" i="56"/>
  <c r="Q142" i="56"/>
  <c r="Q171" i="56"/>
  <c r="Q10" i="56"/>
  <c r="Q167" i="56"/>
  <c r="Q374" i="56" a="1"/>
  <c r="Q148" i="56"/>
  <c r="Q147" i="56"/>
  <c r="Q170" i="56"/>
  <c r="Q107" i="56"/>
  <c r="Q169" i="56"/>
  <c r="Q14" i="56"/>
  <c r="Q16" i="56"/>
  <c r="Q15" i="56"/>
  <c r="Q375" i="56" a="1"/>
  <c r="Q225" i="56" a="1"/>
  <c r="Q284" i="56" a="1"/>
  <c r="Q256" i="56" a="1"/>
  <c r="Q343" i="56" a="1"/>
  <c r="Q257" i="56" a="1"/>
  <c r="Q344" i="56" a="1"/>
  <c r="Q285" i="56" a="1"/>
  <c r="Q376" i="56" a="1"/>
  <c r="Q226" i="56" a="1"/>
  <c r="Q345" i="56" a="1"/>
  <c r="Q377" i="56" a="1"/>
  <c r="Q286" i="56" a="1"/>
  <c r="Q258" i="56" a="1"/>
  <c r="Q227" i="56" a="1"/>
  <c r="Q287" i="56" a="1"/>
  <c r="Q346" i="56" a="1"/>
  <c r="Q228" i="56" a="1"/>
  <c r="Q259" i="56" a="1"/>
  <c r="Q378" i="56" a="1"/>
  <c r="Q229" i="56" a="1"/>
  <c r="Q288" i="56" a="1"/>
  <c r="Q260" i="56" a="1"/>
  <c r="Q347" i="56" a="1"/>
  <c r="Q379" i="56" a="1"/>
  <c r="Q261" i="56" a="1"/>
  <c r="Q230" i="56" a="1"/>
  <c r="Q348" i="56" a="1"/>
  <c r="Q289" i="56" a="1"/>
  <c r="Q380" i="56" a="1"/>
  <c r="Q290" i="56" a="1"/>
  <c r="Q231" i="56" a="1"/>
  <c r="Q349" i="56" a="1"/>
  <c r="Q381" i="56" a="1"/>
  <c r="Q262" i="56" a="1"/>
  <c r="Q382" i="56" a="1"/>
  <c r="Q350" i="56" a="1"/>
  <c r="Q232" i="56" a="1"/>
  <c r="Q291" i="56" a="1"/>
  <c r="O383" i="56" a="1"/>
  <c r="P383" i="56" a="1"/>
  <c r="F414" i="56" a="1"/>
  <c r="C416" i="56"/>
  <c r="D415" i="56" a="1"/>
  <c r="K415" i="56" a="1"/>
  <c r="I414" i="56" a="1"/>
  <c r="C235" i="56"/>
  <c r="N234" i="56" a="1"/>
  <c r="Q234" i="56" a="1"/>
  <c r="L234" i="56" a="1"/>
  <c r="M234" i="56" a="1"/>
  <c r="I234" i="56" a="1"/>
  <c r="K234" i="56" a="1"/>
  <c r="H234" i="56" a="1"/>
  <c r="G234" i="56" a="1"/>
  <c r="J234" i="56" a="1"/>
  <c r="P234" i="56" a="1"/>
  <c r="F234" i="56" a="1"/>
  <c r="O234" i="56" a="1"/>
  <c r="C353" i="56"/>
  <c r="D353" i="56" a="1"/>
  <c r="F352" i="56" a="1"/>
  <c r="G352" i="56" a="1"/>
  <c r="N352" i="56" a="1"/>
  <c r="B236" i="56"/>
  <c r="J51" i="56"/>
  <c r="J20" i="56"/>
  <c r="G173" i="56"/>
  <c r="F173" i="56"/>
  <c r="C174" i="56"/>
  <c r="H173" i="56"/>
  <c r="I173" i="56"/>
  <c r="J173" i="56"/>
  <c r="K173" i="56"/>
  <c r="L173" i="56"/>
  <c r="M173" i="56"/>
  <c r="N173" i="56"/>
  <c r="D173" i="56" a="1"/>
  <c r="B387" i="56"/>
  <c r="Q78" i="55"/>
  <c r="R65" i="55"/>
  <c r="Q76" i="55"/>
  <c r="Q71" i="55"/>
  <c r="Q66" i="55"/>
  <c r="Q75" i="55"/>
  <c r="F383" i="56" a="1"/>
  <c r="C385" i="56"/>
  <c r="D384" i="56" a="1"/>
  <c r="I384" i="56" a="1"/>
  <c r="B118" i="56"/>
  <c r="J59" i="56"/>
  <c r="K54" i="56"/>
  <c r="D352" i="56" a="1"/>
  <c r="M352" i="56" a="1"/>
  <c r="P262" i="56" a="1"/>
  <c r="H383" i="56" a="1"/>
  <c r="B423" i="56"/>
  <c r="B354" i="56"/>
  <c r="P333" i="56" a="1"/>
  <c r="P213" i="56" a="1"/>
  <c r="P99" i="56" a="1"/>
  <c r="P71" i="56" a="1"/>
  <c r="P72" i="56"/>
  <c r="D145" i="56" a="1"/>
  <c r="P145" i="56"/>
  <c r="O135" i="56"/>
  <c r="O115" i="56"/>
  <c r="P293" i="56" a="1"/>
  <c r="L384" i="56" a="1"/>
  <c r="K352" i="56" a="1"/>
  <c r="O293" i="56" a="1"/>
  <c r="H384" i="56" a="1"/>
  <c r="N415" i="56" a="1"/>
  <c r="M384" i="56" a="1"/>
  <c r="J415" i="56" a="1"/>
  <c r="R384" i="56" a="1"/>
  <c r="J352" i="56" a="1"/>
  <c r="F384" i="56" a="1"/>
  <c r="Q352" i="56" a="1"/>
  <c r="O415" i="56" a="1"/>
  <c r="R293" i="56" a="1"/>
  <c r="N384" i="56" a="1"/>
  <c r="R352" i="56" a="1"/>
  <c r="P173" i="56"/>
  <c r="P115" i="56"/>
  <c r="Q115" i="56"/>
  <c r="R115" i="56"/>
  <c r="Q172" i="56"/>
  <c r="Q114" i="56"/>
  <c r="B237" i="56"/>
  <c r="Q384" i="56" a="1"/>
  <c r="O173" i="56"/>
  <c r="C175" i="56"/>
  <c r="F174" i="56"/>
  <c r="G174" i="56"/>
  <c r="H174" i="56"/>
  <c r="I174" i="56"/>
  <c r="J174" i="56"/>
  <c r="K174" i="56"/>
  <c r="L174" i="56"/>
  <c r="M174" i="56"/>
  <c r="N174" i="56"/>
  <c r="O174" i="56"/>
  <c r="D174" i="56" a="1"/>
  <c r="H352" i="56" a="1"/>
  <c r="I415" i="56" a="1"/>
  <c r="K384" i="56" a="1"/>
  <c r="G384" i="56" a="1"/>
  <c r="O384" i="56" a="1"/>
  <c r="Q70" i="55"/>
  <c r="Q68" i="55"/>
  <c r="L352" i="56" a="1"/>
  <c r="G415" i="56" a="1"/>
  <c r="I416" i="56" a="1"/>
  <c r="C417" i="56"/>
  <c r="K416" i="56" a="1"/>
  <c r="D416" i="56" a="1"/>
  <c r="G416" i="56" a="1"/>
  <c r="Q263" i="56" a="1"/>
  <c r="B119" i="56"/>
  <c r="P384" i="56" a="1"/>
  <c r="Q69" i="55"/>
  <c r="I352" i="56" a="1"/>
  <c r="B355" i="56"/>
  <c r="B424" i="56"/>
  <c r="J384" i="56" a="1"/>
  <c r="R66" i="55"/>
  <c r="R79" i="55"/>
  <c r="R72" i="55"/>
  <c r="R68" i="55"/>
  <c r="R74" i="55"/>
  <c r="R75" i="55"/>
  <c r="R77" i="55"/>
  <c r="R78" i="55"/>
  <c r="R70" i="55"/>
  <c r="R69" i="55"/>
  <c r="R73" i="55"/>
  <c r="S65" i="55"/>
  <c r="P352" i="56" a="1"/>
  <c r="O352" i="56" a="1"/>
  <c r="C236" i="56"/>
  <c r="F235" i="56" a="1"/>
  <c r="P235" i="56" a="1"/>
  <c r="M235" i="56" a="1"/>
  <c r="L235" i="56" a="1"/>
  <c r="O235" i="56" a="1"/>
  <c r="K235" i="56" a="1"/>
  <c r="I235" i="56" a="1"/>
  <c r="G235" i="56" a="1"/>
  <c r="Q235" i="56" a="1"/>
  <c r="R235" i="56" a="1"/>
  <c r="H235" i="56" a="1"/>
  <c r="N235" i="56" a="1"/>
  <c r="J235" i="56" a="1"/>
  <c r="H415" i="56" a="1"/>
  <c r="R170" i="56"/>
  <c r="R110" i="56"/>
  <c r="R166" i="56"/>
  <c r="R10" i="56"/>
  <c r="R254" i="56" a="1"/>
  <c r="R255" i="56" a="1"/>
  <c r="R144" i="56"/>
  <c r="R165" i="56"/>
  <c r="R108" i="56"/>
  <c r="R136" i="56"/>
  <c r="R172" i="56"/>
  <c r="R140" i="56"/>
  <c r="R137" i="56"/>
  <c r="R167" i="56"/>
  <c r="R111" i="56"/>
  <c r="R112" i="56"/>
  <c r="R142" i="56"/>
  <c r="R141" i="56"/>
  <c r="R109" i="56"/>
  <c r="R114" i="56"/>
  <c r="R168" i="56"/>
  <c r="R106" i="56"/>
  <c r="R223" i="56" a="1"/>
  <c r="S11" i="56"/>
  <c r="R143" i="56"/>
  <c r="R224" i="56" a="1"/>
  <c r="R107" i="56"/>
  <c r="R253" i="56" a="1"/>
  <c r="R171" i="56"/>
  <c r="R113" i="56"/>
  <c r="R138" i="56"/>
  <c r="R148" i="56"/>
  <c r="R164" i="56"/>
  <c r="R149" i="56"/>
  <c r="R139" i="56"/>
  <c r="R169" i="56"/>
  <c r="R14" i="56"/>
  <c r="D234" i="56" a="1"/>
  <c r="R234" i="56" a="1"/>
  <c r="R16" i="56"/>
  <c r="R15" i="56"/>
  <c r="R284" i="56" a="1"/>
  <c r="R256" i="56" a="1"/>
  <c r="R225" i="56" a="1"/>
  <c r="R375" i="56" a="1"/>
  <c r="R376" i="56" a="1"/>
  <c r="R344" i="56" a="1"/>
  <c r="R226" i="56" a="1"/>
  <c r="R257" i="56" a="1"/>
  <c r="R285" i="56" a="1"/>
  <c r="R345" i="56" a="1"/>
  <c r="R286" i="56" a="1"/>
  <c r="R377" i="56" a="1"/>
  <c r="R258" i="56" a="1"/>
  <c r="R227" i="56" a="1"/>
  <c r="R346" i="56" a="1"/>
  <c r="R378" i="56" a="1"/>
  <c r="R259" i="56" a="1"/>
  <c r="R287" i="56" a="1"/>
  <c r="R228" i="56" a="1"/>
  <c r="R229" i="56" a="1"/>
  <c r="R379" i="56" a="1"/>
  <c r="R347" i="56" a="1"/>
  <c r="R288" i="56" a="1"/>
  <c r="R260" i="56" a="1"/>
  <c r="R289" i="56" a="1"/>
  <c r="R230" i="56" a="1"/>
  <c r="R261" i="56" a="1"/>
  <c r="R348" i="56" a="1"/>
  <c r="R380" i="56" a="1"/>
  <c r="R231" i="56" a="1"/>
  <c r="R381" i="56" a="1"/>
  <c r="R262" i="56" a="1"/>
  <c r="R290" i="56" a="1"/>
  <c r="R349" i="56" a="1"/>
  <c r="R350" i="56" a="1"/>
  <c r="R291" i="56" a="1"/>
  <c r="R382" i="56" a="1"/>
  <c r="R232" i="56" a="1"/>
  <c r="R263" i="56" a="1"/>
  <c r="R292" i="56" a="1"/>
  <c r="R383" i="56" a="1"/>
  <c r="R351" i="56" a="1"/>
  <c r="I294" i="56" a="1"/>
  <c r="K294" i="56" a="1"/>
  <c r="Q294" i="56" a="1"/>
  <c r="H294" i="56" a="1"/>
  <c r="C295" i="56"/>
  <c r="O294" i="56" a="1"/>
  <c r="N294" i="56" a="1"/>
  <c r="J294" i="56" a="1"/>
  <c r="F294" i="56" a="1"/>
  <c r="G294" i="56" a="1"/>
  <c r="M294" i="56" a="1"/>
  <c r="L294" i="56" a="1"/>
  <c r="D294" i="56" a="1"/>
  <c r="P294" i="56" a="1"/>
  <c r="B177" i="56"/>
  <c r="Q79" i="55"/>
  <c r="Q145" i="56"/>
  <c r="R145" i="56"/>
  <c r="C150" i="56"/>
  <c r="F149" i="56"/>
  <c r="G149" i="56"/>
  <c r="H149" i="56"/>
  <c r="I149" i="56"/>
  <c r="J149" i="56"/>
  <c r="K149" i="56"/>
  <c r="L149" i="56"/>
  <c r="M149" i="56"/>
  <c r="N149" i="56"/>
  <c r="O149" i="56"/>
  <c r="P149" i="56"/>
  <c r="C117" i="56"/>
  <c r="F116" i="56"/>
  <c r="G116" i="56"/>
  <c r="H116" i="56"/>
  <c r="I116" i="56"/>
  <c r="J116" i="56"/>
  <c r="K116" i="56"/>
  <c r="L116" i="56"/>
  <c r="M116" i="56"/>
  <c r="N116" i="56"/>
  <c r="O116" i="56"/>
  <c r="D116" i="56" a="1"/>
  <c r="Q93" i="56" a="1"/>
  <c r="Q327" i="56" a="1"/>
  <c r="Q207" i="56" a="1"/>
  <c r="Q63" i="56" a="1"/>
  <c r="Q64" i="56"/>
  <c r="U371" i="56"/>
  <c r="Q71" i="56" a="1"/>
  <c r="Q72" i="56"/>
  <c r="Q333" i="56" a="1"/>
  <c r="Q213" i="56" a="1"/>
  <c r="Q99" i="56" a="1"/>
  <c r="W340" i="56"/>
  <c r="L75" i="56"/>
  <c r="M70" i="56"/>
  <c r="Q67" i="55"/>
  <c r="J353" i="56" a="1"/>
  <c r="R353" i="56" a="1"/>
  <c r="N353" i="56" a="1"/>
  <c r="O353" i="56" a="1"/>
  <c r="H353" i="56" a="1"/>
  <c r="K353" i="56" a="1"/>
  <c r="L353" i="56" a="1"/>
  <c r="I353" i="56" a="1"/>
  <c r="P353" i="56" a="1"/>
  <c r="C354" i="56"/>
  <c r="Q353" i="56" a="1"/>
  <c r="M353" i="56" a="1"/>
  <c r="F353" i="56" a="1"/>
  <c r="G353" i="56" a="1"/>
  <c r="S353" i="56" a="1"/>
  <c r="Q87" i="56" a="1"/>
  <c r="Q55" i="56" a="1"/>
  <c r="Q56" i="56"/>
  <c r="Q321" i="56" a="1"/>
  <c r="Q201" i="56" a="1"/>
  <c r="Q17" i="56"/>
  <c r="Q30" i="56"/>
  <c r="D233" i="56" a="1"/>
  <c r="Q233" i="56" a="1"/>
  <c r="Q173" i="56"/>
  <c r="R173" i="56"/>
  <c r="B265" i="56"/>
  <c r="D264" i="56" a="1"/>
  <c r="Q264" i="56" a="1"/>
  <c r="P135" i="56"/>
  <c r="R220" i="56"/>
  <c r="R222" i="56" a="1"/>
  <c r="S219" i="56"/>
  <c r="F79" i="55"/>
  <c r="G79" i="55"/>
  <c r="E79" i="55"/>
  <c r="R341" i="56"/>
  <c r="R343" i="56" a="1"/>
  <c r="D80" i="55"/>
  <c r="H79" i="55"/>
  <c r="I79" i="55"/>
  <c r="J79" i="55"/>
  <c r="R372" i="56"/>
  <c r="R374" i="56" a="1"/>
  <c r="K79" i="55"/>
  <c r="L79" i="55"/>
  <c r="M79" i="55"/>
  <c r="N79" i="55"/>
  <c r="O79" i="55"/>
  <c r="P79" i="55"/>
  <c r="K67" i="56"/>
  <c r="L62" i="56"/>
  <c r="Q72" i="55"/>
  <c r="M415" i="56" a="1"/>
  <c r="D146" i="56" a="1"/>
  <c r="Q146" i="56"/>
  <c r="B388" i="56"/>
  <c r="Q77" i="55"/>
  <c r="L415" i="56" a="1"/>
  <c r="Q74" i="55"/>
  <c r="K57" i="56"/>
  <c r="K58" i="56"/>
  <c r="K48" i="56"/>
  <c r="K51" i="56"/>
  <c r="K20" i="56"/>
  <c r="C386" i="56"/>
  <c r="D385" i="56" a="1"/>
  <c r="P385" i="56" a="1"/>
  <c r="Q73" i="55"/>
  <c r="F415" i="56" a="1"/>
  <c r="B299" i="56"/>
  <c r="O266" i="56" a="1"/>
  <c r="M266" i="56" a="1"/>
  <c r="K266" i="56" a="1"/>
  <c r="I266" i="56" a="1"/>
  <c r="P266" i="56" a="1"/>
  <c r="F266" i="56" a="1"/>
  <c r="L266" i="56" a="1"/>
  <c r="Q266" i="56" a="1"/>
  <c r="H266" i="56" a="1"/>
  <c r="C267" i="56"/>
  <c r="G266" i="56" a="1"/>
  <c r="R266" i="56" a="1"/>
  <c r="N266" i="56" a="1"/>
  <c r="J266" i="56" a="1"/>
  <c r="B148" i="56"/>
  <c r="D147" i="56" a="1"/>
  <c r="R147" i="56"/>
  <c r="F385" i="56" a="1"/>
  <c r="O385" i="56" a="1"/>
  <c r="F416" i="56" a="1"/>
  <c r="H385" i="56" a="1"/>
  <c r="R233" i="56" a="1"/>
  <c r="P174" i="56"/>
  <c r="Q174" i="56"/>
  <c r="R174" i="56"/>
  <c r="L416" i="56" a="1"/>
  <c r="S294" i="56" a="1"/>
  <c r="R294" i="56" a="1"/>
  <c r="P416" i="56" a="1"/>
  <c r="J416" i="56" a="1"/>
  <c r="L65" i="56"/>
  <c r="L66" i="56"/>
  <c r="L49" i="56"/>
  <c r="P267" i="56" a="1"/>
  <c r="K267" i="56" a="1"/>
  <c r="M267" i="56" a="1"/>
  <c r="J267" i="56" a="1"/>
  <c r="I267" i="56" a="1"/>
  <c r="G267" i="56" a="1"/>
  <c r="F267" i="56" a="1"/>
  <c r="C268" i="56"/>
  <c r="Q267" i="56" a="1"/>
  <c r="R267" i="56" a="1"/>
  <c r="L267" i="56" a="1"/>
  <c r="N267" i="56" a="1"/>
  <c r="S267" i="56" a="1"/>
  <c r="H267" i="56" a="1"/>
  <c r="O267" i="56" a="1"/>
  <c r="C151" i="56"/>
  <c r="F150" i="56"/>
  <c r="G150" i="56"/>
  <c r="H150" i="56"/>
  <c r="I150" i="56"/>
  <c r="J150" i="56"/>
  <c r="K150" i="56"/>
  <c r="L150" i="56"/>
  <c r="M150" i="56"/>
  <c r="N150" i="56"/>
  <c r="O150" i="56"/>
  <c r="P150" i="56"/>
  <c r="Q150" i="56"/>
  <c r="B178" i="56"/>
  <c r="B120" i="56"/>
  <c r="C418" i="56"/>
  <c r="D417" i="56" a="1"/>
  <c r="O417" i="56" a="1"/>
  <c r="K385" i="56" a="1"/>
  <c r="Q385" i="56" a="1"/>
  <c r="B300" i="56"/>
  <c r="S385" i="56" a="1"/>
  <c r="I385" i="56" a="1"/>
  <c r="K59" i="56"/>
  <c r="L54" i="56"/>
  <c r="C355" i="56"/>
  <c r="I354" i="56" a="1"/>
  <c r="S354" i="56" a="1"/>
  <c r="V371" i="56"/>
  <c r="T65" i="55"/>
  <c r="S66" i="55"/>
  <c r="S71" i="55"/>
  <c r="S70" i="55"/>
  <c r="R71" i="55"/>
  <c r="D354" i="56" a="1"/>
  <c r="Q354" i="56" a="1"/>
  <c r="H416" i="56" a="1"/>
  <c r="B238" i="56"/>
  <c r="N385" i="56" a="1"/>
  <c r="J385" i="56" a="1"/>
  <c r="Q135" i="56"/>
  <c r="R264" i="56" a="1"/>
  <c r="R150" i="56"/>
  <c r="R146" i="56"/>
  <c r="S146" i="56"/>
  <c r="B356" i="56"/>
  <c r="D355" i="56" a="1"/>
  <c r="R93" i="56" a="1"/>
  <c r="R207" i="56" a="1"/>
  <c r="R63" i="56" a="1"/>
  <c r="R64" i="56"/>
  <c r="R327" i="56" a="1"/>
  <c r="S137" i="56"/>
  <c r="S113" i="56"/>
  <c r="S114" i="56"/>
  <c r="S112" i="56"/>
  <c r="S173" i="56"/>
  <c r="S139" i="56"/>
  <c r="S106" i="56"/>
  <c r="S144" i="56"/>
  <c r="S170" i="56"/>
  <c r="S165" i="56"/>
  <c r="T11" i="56"/>
  <c r="S168" i="56"/>
  <c r="S140" i="56"/>
  <c r="S10" i="56"/>
  <c r="S167" i="56"/>
  <c r="S111" i="56"/>
  <c r="S115" i="56"/>
  <c r="S255" i="56" a="1"/>
  <c r="S142" i="56"/>
  <c r="S141" i="56"/>
  <c r="S224" i="56" a="1"/>
  <c r="S145" i="56"/>
  <c r="S166" i="56"/>
  <c r="S253" i="56" a="1"/>
  <c r="S143" i="56"/>
  <c r="S136" i="56"/>
  <c r="S109" i="56"/>
  <c r="S171" i="56"/>
  <c r="S110" i="56"/>
  <c r="S254" i="56" a="1"/>
  <c r="S172" i="56"/>
  <c r="S138" i="56"/>
  <c r="S107" i="56"/>
  <c r="S223" i="56" a="1"/>
  <c r="S147" i="56"/>
  <c r="S149" i="56"/>
  <c r="S164" i="56"/>
  <c r="S150" i="56"/>
  <c r="S108" i="56"/>
  <c r="S151" i="56"/>
  <c r="S169" i="56"/>
  <c r="S16" i="56"/>
  <c r="S14" i="56"/>
  <c r="D235" i="56" a="1"/>
  <c r="S235" i="56" a="1"/>
  <c r="S15" i="56"/>
  <c r="D148" i="56" a="1"/>
  <c r="S148" i="56"/>
  <c r="S256" i="56" a="1"/>
  <c r="S225" i="56" a="1"/>
  <c r="S375" i="56" a="1"/>
  <c r="S284" i="56" a="1"/>
  <c r="S226" i="56" a="1"/>
  <c r="S344" i="56" a="1"/>
  <c r="S376" i="56" a="1"/>
  <c r="S257" i="56" a="1"/>
  <c r="S285" i="56" a="1"/>
  <c r="S258" i="56" a="1"/>
  <c r="S227" i="56" a="1"/>
  <c r="S377" i="56" a="1"/>
  <c r="S345" i="56" a="1"/>
  <c r="S286" i="56" a="1"/>
  <c r="S259" i="56" a="1"/>
  <c r="S287" i="56" a="1"/>
  <c r="S228" i="56" a="1"/>
  <c r="S346" i="56" a="1"/>
  <c r="S378" i="56" a="1"/>
  <c r="S347" i="56" a="1"/>
  <c r="S260" i="56" a="1"/>
  <c r="S379" i="56" a="1"/>
  <c r="S229" i="56" a="1"/>
  <c r="S288" i="56" a="1"/>
  <c r="S289" i="56" a="1"/>
  <c r="S380" i="56" a="1"/>
  <c r="S230" i="56" a="1"/>
  <c r="S348" i="56" a="1"/>
  <c r="S261" i="56" a="1"/>
  <c r="S262" i="56" a="1"/>
  <c r="S349" i="56" a="1"/>
  <c r="S381" i="56" a="1"/>
  <c r="S290" i="56" a="1"/>
  <c r="S231" i="56" a="1"/>
  <c r="S263" i="56" a="1"/>
  <c r="S291" i="56" a="1"/>
  <c r="S232" i="56" a="1"/>
  <c r="S350" i="56" a="1"/>
  <c r="S382" i="56" a="1"/>
  <c r="S383" i="56" a="1"/>
  <c r="S292" i="56" a="1"/>
  <c r="S233" i="56" a="1"/>
  <c r="S351" i="56" a="1"/>
  <c r="S264" i="56" a="1"/>
  <c r="S234" i="56" a="1"/>
  <c r="S352" i="56" a="1"/>
  <c r="S384" i="56" a="1"/>
  <c r="S293" i="56" a="1"/>
  <c r="T219" i="56"/>
  <c r="S220" i="56"/>
  <c r="S222" i="56" a="1"/>
  <c r="M73" i="56"/>
  <c r="M74" i="56"/>
  <c r="M50" i="56"/>
  <c r="R333" i="56" a="1"/>
  <c r="R213" i="56" a="1"/>
  <c r="R99" i="56" a="1"/>
  <c r="R71" i="56" a="1"/>
  <c r="R72" i="56"/>
  <c r="R67" i="55"/>
  <c r="R76" i="55"/>
  <c r="O416" i="56" a="1"/>
  <c r="M416" i="56" a="1"/>
  <c r="L385" i="56" a="1"/>
  <c r="R321" i="56" a="1"/>
  <c r="R87" i="56" a="1"/>
  <c r="R17" i="56"/>
  <c r="R30" i="56"/>
  <c r="R201" i="56" a="1"/>
  <c r="R55" i="56" a="1"/>
  <c r="R56" i="56"/>
  <c r="H236" i="56" a="1"/>
  <c r="R236" i="56" a="1"/>
  <c r="C237" i="56"/>
  <c r="Q236" i="56" a="1"/>
  <c r="J236" i="56" a="1"/>
  <c r="P236" i="56" a="1"/>
  <c r="F236" i="56" a="1"/>
  <c r="L236" i="56" a="1"/>
  <c r="N236" i="56" a="1"/>
  <c r="S236" i="56" a="1"/>
  <c r="M236" i="56" a="1"/>
  <c r="O236" i="56" a="1"/>
  <c r="K236" i="56" a="1"/>
  <c r="G236" i="56" a="1"/>
  <c r="I236" i="56" a="1"/>
  <c r="N416" i="56" a="1"/>
  <c r="F175" i="56"/>
  <c r="G175" i="56"/>
  <c r="C176" i="56"/>
  <c r="H175" i="56"/>
  <c r="I175" i="56"/>
  <c r="J175" i="56"/>
  <c r="K175" i="56"/>
  <c r="L175" i="56"/>
  <c r="M175" i="56"/>
  <c r="N175" i="56"/>
  <c r="O175" i="56"/>
  <c r="P175" i="56"/>
  <c r="D175" i="56" a="1"/>
  <c r="C118" i="56"/>
  <c r="F117" i="56"/>
  <c r="G117" i="56"/>
  <c r="H117" i="56"/>
  <c r="I117" i="56"/>
  <c r="J117" i="56"/>
  <c r="K117" i="56"/>
  <c r="L117" i="56"/>
  <c r="M117" i="56"/>
  <c r="N117" i="56"/>
  <c r="O117" i="56"/>
  <c r="P117" i="56"/>
  <c r="D117" i="56" a="1"/>
  <c r="R385" i="56" a="1"/>
  <c r="M385" i="56" a="1"/>
  <c r="B389" i="56"/>
  <c r="X340" i="56"/>
  <c r="K295" i="56" a="1"/>
  <c r="I295" i="56" a="1"/>
  <c r="G295" i="56" a="1"/>
  <c r="P295" i="56" a="1"/>
  <c r="M295" i="56" a="1"/>
  <c r="L295" i="56" a="1"/>
  <c r="C296" i="56"/>
  <c r="J295" i="56" a="1"/>
  <c r="H295" i="56" a="1"/>
  <c r="O295" i="56" a="1"/>
  <c r="N295" i="56" a="1"/>
  <c r="F295" i="56" a="1"/>
  <c r="D295" i="56" a="1"/>
  <c r="R295" i="56" a="1"/>
  <c r="G385" i="56" a="1"/>
  <c r="B149" i="56"/>
  <c r="C387" i="56"/>
  <c r="D386" i="56" a="1"/>
  <c r="H386" i="56" a="1"/>
  <c r="D81" i="55"/>
  <c r="F80" i="55"/>
  <c r="G80" i="55"/>
  <c r="E80" i="55"/>
  <c r="H80" i="55"/>
  <c r="I80" i="55"/>
  <c r="J80" i="55"/>
  <c r="K80" i="55"/>
  <c r="L80" i="55"/>
  <c r="M80" i="55"/>
  <c r="N80" i="55"/>
  <c r="O80" i="55"/>
  <c r="P80" i="55"/>
  <c r="Q80" i="55"/>
  <c r="S341" i="56"/>
  <c r="S343" i="56" a="1"/>
  <c r="S372" i="56"/>
  <c r="S374" i="56" a="1"/>
  <c r="B266" i="56"/>
  <c r="D265" i="56" a="1"/>
  <c r="R265" i="56" a="1"/>
  <c r="P116" i="56"/>
  <c r="R135" i="56"/>
  <c r="S135" i="56"/>
  <c r="R80" i="55"/>
  <c r="B425" i="56"/>
  <c r="H417" i="56" a="1"/>
  <c r="P417" i="56" a="1"/>
  <c r="J417" i="56" a="1"/>
  <c r="T386" i="56" a="1"/>
  <c r="M75" i="56"/>
  <c r="N70" i="56"/>
  <c r="F386" i="56" a="1"/>
  <c r="L386" i="56" a="1"/>
  <c r="S174" i="56"/>
  <c r="T174" i="56"/>
  <c r="S333" i="56" a="1"/>
  <c r="S213" i="56" a="1"/>
  <c r="S99" i="56" a="1"/>
  <c r="S71" i="56" a="1"/>
  <c r="S72" i="56"/>
  <c r="S68" i="55"/>
  <c r="S72" i="55"/>
  <c r="T354" i="56" a="1"/>
  <c r="L354" i="56" a="1"/>
  <c r="K417" i="56" a="1"/>
  <c r="I417" i="56" a="1"/>
  <c r="C388" i="56"/>
  <c r="D387" i="56" a="1"/>
  <c r="Q387" i="56" a="1"/>
  <c r="O386" i="56" a="1"/>
  <c r="S295" i="56" a="1"/>
  <c r="S386" i="56" a="1"/>
  <c r="K386" i="56" a="1"/>
  <c r="N386" i="56" a="1"/>
  <c r="Q295" i="56" a="1"/>
  <c r="S69" i="55"/>
  <c r="S78" i="55"/>
  <c r="P354" i="56" a="1"/>
  <c r="L417" i="56" a="1"/>
  <c r="F417" i="56" a="1"/>
  <c r="C419" i="56"/>
  <c r="D418" i="56" a="1"/>
  <c r="G418" i="56" a="1"/>
  <c r="O237" i="56" a="1"/>
  <c r="G237" i="56" a="1"/>
  <c r="I237" i="56" a="1"/>
  <c r="Q237" i="56" a="1"/>
  <c r="K237" i="56" a="1"/>
  <c r="M237" i="56" a="1"/>
  <c r="J237" i="56" a="1"/>
  <c r="T237" i="56" a="1"/>
  <c r="S237" i="56" a="1"/>
  <c r="P237" i="56" a="1"/>
  <c r="R237" i="56" a="1"/>
  <c r="L237" i="56" a="1"/>
  <c r="F237" i="56" a="1"/>
  <c r="N237" i="56" a="1"/>
  <c r="H237" i="56" a="1"/>
  <c r="C238" i="56"/>
  <c r="G81" i="55"/>
  <c r="D82" i="55"/>
  <c r="E81" i="55"/>
  <c r="F81" i="55"/>
  <c r="H81" i="55"/>
  <c r="I81" i="55"/>
  <c r="J81" i="55"/>
  <c r="T372" i="56"/>
  <c r="T374" i="56" a="1"/>
  <c r="K81" i="55"/>
  <c r="L81" i="55"/>
  <c r="M81" i="55"/>
  <c r="N81" i="55"/>
  <c r="O81" i="55"/>
  <c r="P81" i="55"/>
  <c r="Q81" i="55"/>
  <c r="R81" i="55"/>
  <c r="T295" i="56" a="1"/>
  <c r="Q175" i="56"/>
  <c r="I386" i="56" a="1"/>
  <c r="Q386" i="56" a="1"/>
  <c r="Y340" i="56"/>
  <c r="Q117" i="56"/>
  <c r="R117" i="56"/>
  <c r="C177" i="56"/>
  <c r="G176" i="56"/>
  <c r="F176" i="56"/>
  <c r="H176" i="56"/>
  <c r="I176" i="56"/>
  <c r="J176" i="56"/>
  <c r="K176" i="56"/>
  <c r="L176" i="56"/>
  <c r="M176" i="56"/>
  <c r="N176" i="56"/>
  <c r="O176" i="56"/>
  <c r="P176" i="56"/>
  <c r="Q176" i="56"/>
  <c r="D176" i="56" a="1"/>
  <c r="S265" i="56" a="1"/>
  <c r="S67" i="55"/>
  <c r="S76" i="55"/>
  <c r="S79" i="55"/>
  <c r="W371" i="56"/>
  <c r="R354" i="56" a="1"/>
  <c r="F354" i="56" a="1"/>
  <c r="M417" i="56" a="1"/>
  <c r="G417" i="56" a="1"/>
  <c r="L67" i="56"/>
  <c r="M62" i="56"/>
  <c r="C119" i="56"/>
  <c r="F118" i="56"/>
  <c r="G118" i="56"/>
  <c r="H118" i="56"/>
  <c r="I118" i="56"/>
  <c r="J118" i="56"/>
  <c r="K118" i="56"/>
  <c r="L118" i="56"/>
  <c r="M118" i="56"/>
  <c r="N118" i="56"/>
  <c r="O118" i="56"/>
  <c r="P118" i="56"/>
  <c r="Q118" i="56"/>
  <c r="D118" i="56" a="1"/>
  <c r="J386" i="56" a="1"/>
  <c r="M386" i="56" a="1"/>
  <c r="K296" i="56" a="1"/>
  <c r="F296" i="56" a="1"/>
  <c r="M296" i="56" a="1"/>
  <c r="P296" i="56" a="1"/>
  <c r="I296" i="56" a="1"/>
  <c r="H296" i="56" a="1"/>
  <c r="G296" i="56" a="1"/>
  <c r="C297" i="56"/>
  <c r="N296" i="56" a="1"/>
  <c r="L296" i="56" a="1"/>
  <c r="J296" i="56" a="1"/>
  <c r="Q296" i="56" a="1"/>
  <c r="O296" i="56" a="1"/>
  <c r="T296" i="56" a="1"/>
  <c r="D296" i="56" a="1"/>
  <c r="R296" i="56" a="1"/>
  <c r="S77" i="55"/>
  <c r="S73" i="55"/>
  <c r="G354" i="56" a="1"/>
  <c r="N354" i="56" a="1"/>
  <c r="J354" i="56" a="1"/>
  <c r="B301" i="56"/>
  <c r="Q417" i="56" a="1"/>
  <c r="C152" i="56"/>
  <c r="F151" i="56"/>
  <c r="G151" i="56"/>
  <c r="H151" i="56"/>
  <c r="I151" i="56"/>
  <c r="J151" i="56"/>
  <c r="K151" i="56"/>
  <c r="L151" i="56"/>
  <c r="M151" i="56"/>
  <c r="N151" i="56"/>
  <c r="O151" i="56"/>
  <c r="P151" i="56"/>
  <c r="Q151" i="56"/>
  <c r="R151" i="56"/>
  <c r="P386" i="56" a="1"/>
  <c r="B267" i="56"/>
  <c r="D266" i="56" a="1"/>
  <c r="S266" i="56" a="1"/>
  <c r="R386" i="56" a="1"/>
  <c r="G386" i="56" a="1"/>
  <c r="B150" i="56"/>
  <c r="B357" i="56"/>
  <c r="S74" i="55"/>
  <c r="S75" i="55"/>
  <c r="M354" i="56" a="1"/>
  <c r="K354" i="56" a="1"/>
  <c r="N417" i="56" a="1"/>
  <c r="B121" i="56"/>
  <c r="Q116" i="56"/>
  <c r="B426" i="56"/>
  <c r="B390" i="56"/>
  <c r="N73" i="56"/>
  <c r="N74" i="56"/>
  <c r="N50" i="56"/>
  <c r="O354" i="56" a="1"/>
  <c r="S327" i="56" a="1"/>
  <c r="S207" i="56" a="1"/>
  <c r="S93" i="56" a="1"/>
  <c r="S63" i="56" a="1"/>
  <c r="S64" i="56"/>
  <c r="B239" i="56"/>
  <c r="S81" i="55"/>
  <c r="H354" i="56" a="1"/>
  <c r="B179" i="56"/>
  <c r="U219" i="56"/>
  <c r="T220" i="56"/>
  <c r="T222" i="56" a="1"/>
  <c r="S17" i="56"/>
  <c r="S30" i="56"/>
  <c r="S321" i="56" a="1"/>
  <c r="S201" i="56" a="1"/>
  <c r="S87" i="56" a="1"/>
  <c r="S55" i="56" a="1"/>
  <c r="S56" i="56"/>
  <c r="T173" i="56"/>
  <c r="T141" i="56"/>
  <c r="T114" i="56"/>
  <c r="T144" i="56"/>
  <c r="U11" i="56"/>
  <c r="T165" i="56"/>
  <c r="T143" i="56"/>
  <c r="T106" i="56"/>
  <c r="T223" i="56" a="1"/>
  <c r="T171" i="56"/>
  <c r="T111" i="56"/>
  <c r="T254" i="56" a="1"/>
  <c r="T147" i="56"/>
  <c r="T138" i="56"/>
  <c r="T135" i="56"/>
  <c r="T115" i="56"/>
  <c r="T167" i="56"/>
  <c r="T164" i="56"/>
  <c r="T142" i="56"/>
  <c r="T170" i="56"/>
  <c r="T166" i="56"/>
  <c r="T136" i="56"/>
  <c r="T113" i="56"/>
  <c r="T255" i="56" a="1"/>
  <c r="T150" i="56"/>
  <c r="T145" i="56"/>
  <c r="T139" i="56"/>
  <c r="T110" i="56"/>
  <c r="T137" i="56"/>
  <c r="T109" i="56"/>
  <c r="T107" i="56"/>
  <c r="T253" i="56" a="1"/>
  <c r="T140" i="56"/>
  <c r="T108" i="56"/>
  <c r="T112" i="56"/>
  <c r="T224" i="56" a="1"/>
  <c r="T10" i="56"/>
  <c r="T148" i="56"/>
  <c r="T146" i="56"/>
  <c r="T151" i="56"/>
  <c r="T168" i="56"/>
  <c r="T152" i="56"/>
  <c r="T172" i="56"/>
  <c r="T169" i="56"/>
  <c r="T15" i="56"/>
  <c r="T16" i="56"/>
  <c r="T14" i="56"/>
  <c r="D236" i="56" a="1"/>
  <c r="T236" i="56" a="1"/>
  <c r="T375" i="56" a="1"/>
  <c r="T225" i="56" a="1"/>
  <c r="T256" i="56" a="1"/>
  <c r="T284" i="56" a="1"/>
  <c r="T285" i="56" a="1"/>
  <c r="T226" i="56" a="1"/>
  <c r="T376" i="56" a="1"/>
  <c r="T344" i="56" a="1"/>
  <c r="T257" i="56" a="1"/>
  <c r="T258" i="56" a="1"/>
  <c r="T227" i="56" a="1"/>
  <c r="T345" i="56" a="1"/>
  <c r="T377" i="56" a="1"/>
  <c r="T286" i="56" a="1"/>
  <c r="T378" i="56" a="1"/>
  <c r="T259" i="56" a="1"/>
  <c r="T287" i="56" a="1"/>
  <c r="T228" i="56" a="1"/>
  <c r="T346" i="56" a="1"/>
  <c r="T260" i="56" a="1"/>
  <c r="T288" i="56" a="1"/>
  <c r="T379" i="56" a="1"/>
  <c r="T229" i="56" a="1"/>
  <c r="T347" i="56" a="1"/>
  <c r="T380" i="56" a="1"/>
  <c r="T289" i="56" a="1"/>
  <c r="T261" i="56" a="1"/>
  <c r="T348" i="56" a="1"/>
  <c r="T230" i="56" a="1"/>
  <c r="T381" i="56" a="1"/>
  <c r="T262" i="56" a="1"/>
  <c r="T290" i="56" a="1"/>
  <c r="T231" i="56" a="1"/>
  <c r="T349" i="56" a="1"/>
  <c r="T291" i="56" a="1"/>
  <c r="T350" i="56" a="1"/>
  <c r="T382" i="56" a="1"/>
  <c r="T263" i="56" a="1"/>
  <c r="T232" i="56" a="1"/>
  <c r="T233" i="56" a="1"/>
  <c r="T292" i="56" a="1"/>
  <c r="T264" i="56" a="1"/>
  <c r="T383" i="56" a="1"/>
  <c r="T351" i="56" a="1"/>
  <c r="T293" i="56" a="1"/>
  <c r="T352" i="56" a="1"/>
  <c r="T234" i="56" a="1"/>
  <c r="T265" i="56" a="1"/>
  <c r="T384" i="56" a="1"/>
  <c r="T235" i="56" a="1"/>
  <c r="T294" i="56" a="1"/>
  <c r="T266" i="56" a="1"/>
  <c r="T353" i="56" a="1"/>
  <c r="T385" i="56" a="1"/>
  <c r="S80" i="55"/>
  <c r="T66" i="55"/>
  <c r="T69" i="55"/>
  <c r="T77" i="55"/>
  <c r="T75" i="55"/>
  <c r="T73" i="55"/>
  <c r="T80" i="55"/>
  <c r="T79" i="55"/>
  <c r="T70" i="55"/>
  <c r="T74" i="55"/>
  <c r="L403" i="56"/>
  <c r="T413" i="56" a="1"/>
  <c r="N403" i="56"/>
  <c r="F403" i="56"/>
  <c r="K403" i="56"/>
  <c r="J403" i="56"/>
  <c r="H403" i="56"/>
  <c r="I403" i="56"/>
  <c r="T416" i="56" a="1"/>
  <c r="M403" i="56"/>
  <c r="T412" i="56" a="1"/>
  <c r="P355" i="56" a="1"/>
  <c r="F355" i="56" a="1"/>
  <c r="J355" i="56" a="1"/>
  <c r="L355" i="56" a="1"/>
  <c r="Q355" i="56" a="1"/>
  <c r="R355" i="56" a="1"/>
  <c r="T355" i="56" a="1"/>
  <c r="H355" i="56" a="1"/>
  <c r="O355" i="56" a="1"/>
  <c r="C356" i="56"/>
  <c r="S355" i="56" a="1"/>
  <c r="K355" i="56" a="1"/>
  <c r="G355" i="56" a="1"/>
  <c r="N355" i="56" a="1"/>
  <c r="M355" i="56" a="1"/>
  <c r="U355" i="56" a="1"/>
  <c r="I355" i="56" a="1"/>
  <c r="L57" i="56"/>
  <c r="L58" i="56"/>
  <c r="L48" i="56"/>
  <c r="L51" i="56"/>
  <c r="L20" i="56"/>
  <c r="C269" i="56"/>
  <c r="L268" i="56" a="1"/>
  <c r="M268" i="56" a="1"/>
  <c r="P268" i="56" a="1"/>
  <c r="S268" i="56" a="1"/>
  <c r="I268" i="56" a="1"/>
  <c r="N268" i="56" a="1"/>
  <c r="T268" i="56" a="1"/>
  <c r="H268" i="56" a="1"/>
  <c r="O268" i="56" a="1"/>
  <c r="R268" i="56" a="1"/>
  <c r="J268" i="56" a="1"/>
  <c r="G268" i="56" a="1"/>
  <c r="K268" i="56" a="1"/>
  <c r="Q268" i="56" a="1"/>
  <c r="F268" i="56" a="1"/>
  <c r="T341" i="56"/>
  <c r="T343" i="56" a="1"/>
  <c r="I418" i="56" a="1"/>
  <c r="J418" i="56" a="1"/>
  <c r="M418" i="56" a="1"/>
  <c r="U296" i="56" a="1"/>
  <c r="R418" i="56" a="1"/>
  <c r="R118" i="56"/>
  <c r="H418" i="56" a="1"/>
  <c r="P418" i="56" a="1"/>
  <c r="K418" i="56" a="1"/>
  <c r="S117" i="56"/>
  <c r="T117" i="56"/>
  <c r="U117" i="56"/>
  <c r="T63" i="56" a="1"/>
  <c r="T64" i="56"/>
  <c r="T327" i="56" a="1"/>
  <c r="T207" i="56" a="1"/>
  <c r="T93" i="56" a="1"/>
  <c r="D149" i="56" a="1"/>
  <c r="T149" i="56"/>
  <c r="S296" i="56" a="1"/>
  <c r="D83" i="55"/>
  <c r="E82" i="55"/>
  <c r="U341" i="56"/>
  <c r="U343" i="56" a="1"/>
  <c r="G82" i="55"/>
  <c r="F82" i="55"/>
  <c r="H82" i="55"/>
  <c r="I82" i="55"/>
  <c r="J82" i="55"/>
  <c r="U372" i="56"/>
  <c r="U374" i="56" a="1"/>
  <c r="K82" i="55"/>
  <c r="L82" i="55"/>
  <c r="M82" i="55"/>
  <c r="N82" i="55"/>
  <c r="O82" i="55"/>
  <c r="P82" i="55"/>
  <c r="Q82" i="55"/>
  <c r="R82" i="55"/>
  <c r="S82" i="55"/>
  <c r="J387" i="56" a="1"/>
  <c r="N387" i="56" a="1"/>
  <c r="K405" i="56" a="1"/>
  <c r="L406" i="56" a="1"/>
  <c r="M407" i="56" a="1"/>
  <c r="N408" i="56" a="1"/>
  <c r="O409" i="56" a="1"/>
  <c r="P410" i="56" a="1"/>
  <c r="Q411" i="56" a="1"/>
  <c r="R412" i="56" a="1"/>
  <c r="S413" i="56" a="1"/>
  <c r="T72" i="55"/>
  <c r="L59" i="56"/>
  <c r="M54" i="56"/>
  <c r="F405" i="56" a="1"/>
  <c r="G406" i="56" a="1"/>
  <c r="H407" i="56" a="1"/>
  <c r="I408" i="56" a="1"/>
  <c r="J409" i="56" a="1"/>
  <c r="K410" i="56" a="1"/>
  <c r="L411" i="56" a="1"/>
  <c r="M412" i="56" a="1"/>
  <c r="N413" i="56" a="1"/>
  <c r="O414" i="56" a="1"/>
  <c r="P415" i="56" a="1"/>
  <c r="Q416" i="56" a="1"/>
  <c r="R417" i="56" a="1"/>
  <c r="T68" i="55"/>
  <c r="T78" i="55"/>
  <c r="U143" i="56"/>
  <c r="U172" i="56"/>
  <c r="U109" i="56"/>
  <c r="U10" i="56"/>
  <c r="U135" i="56"/>
  <c r="V11" i="56"/>
  <c r="U113" i="56"/>
  <c r="U140" i="56"/>
  <c r="U111" i="56"/>
  <c r="U147" i="56"/>
  <c r="U167" i="56"/>
  <c r="U253" i="56" a="1"/>
  <c r="U171" i="56"/>
  <c r="U114" i="56"/>
  <c r="U115" i="56"/>
  <c r="U110" i="56"/>
  <c r="U174" i="56"/>
  <c r="U106" i="56"/>
  <c r="U107" i="56"/>
  <c r="U139" i="56"/>
  <c r="U224" i="56" a="1"/>
  <c r="U148" i="56"/>
  <c r="U170" i="56"/>
  <c r="U166" i="56"/>
  <c r="U164" i="56"/>
  <c r="U255" i="56" a="1"/>
  <c r="U145" i="56"/>
  <c r="U141" i="56"/>
  <c r="U138" i="56"/>
  <c r="U137" i="56"/>
  <c r="U173" i="56"/>
  <c r="U144" i="56"/>
  <c r="U142" i="56"/>
  <c r="U108" i="56"/>
  <c r="U152" i="56"/>
  <c r="U146" i="56"/>
  <c r="U151" i="56"/>
  <c r="U165" i="56"/>
  <c r="U168" i="56"/>
  <c r="U223" i="56" a="1"/>
  <c r="U149" i="56"/>
  <c r="U136" i="56"/>
  <c r="U112" i="56"/>
  <c r="U254" i="56" a="1"/>
  <c r="U169" i="56"/>
  <c r="U14" i="56"/>
  <c r="U15" i="56"/>
  <c r="D150" i="56" a="1"/>
  <c r="U150" i="56"/>
  <c r="U16" i="56"/>
  <c r="U375" i="56" a="1"/>
  <c r="U284" i="56" a="1"/>
  <c r="U225" i="56" a="1"/>
  <c r="U256" i="56" a="1"/>
  <c r="U226" i="56" a="1"/>
  <c r="U344" i="56" a="1"/>
  <c r="U376" i="56" a="1"/>
  <c r="U285" i="56" a="1"/>
  <c r="U257" i="56" a="1"/>
  <c r="U227" i="56" a="1"/>
  <c r="U345" i="56" a="1"/>
  <c r="U377" i="56" a="1"/>
  <c r="U286" i="56" a="1"/>
  <c r="U258" i="56" a="1"/>
  <c r="U378" i="56" a="1"/>
  <c r="U287" i="56" a="1"/>
  <c r="U346" i="56" a="1"/>
  <c r="U228" i="56" a="1"/>
  <c r="U259" i="56" a="1"/>
  <c r="U288" i="56" a="1"/>
  <c r="U229" i="56" a="1"/>
  <c r="U379" i="56" a="1"/>
  <c r="U260" i="56" a="1"/>
  <c r="U347" i="56" a="1"/>
  <c r="U348" i="56" a="1"/>
  <c r="U230" i="56" a="1"/>
  <c r="U380" i="56" a="1"/>
  <c r="U261" i="56" a="1"/>
  <c r="U289" i="56" a="1"/>
  <c r="U290" i="56" a="1"/>
  <c r="U231" i="56" a="1"/>
  <c r="U262" i="56" a="1"/>
  <c r="U349" i="56" a="1"/>
  <c r="U381" i="56" a="1"/>
  <c r="U412" i="56" a="1"/>
  <c r="U382" i="56" a="1"/>
  <c r="U263" i="56" a="1"/>
  <c r="U350" i="56" a="1"/>
  <c r="U291" i="56" a="1"/>
  <c r="U413" i="56" a="1"/>
  <c r="U232" i="56" a="1"/>
  <c r="U383" i="56" a="1"/>
  <c r="U351" i="56" a="1"/>
  <c r="U414" i="56" a="1"/>
  <c r="U292" i="56" a="1"/>
  <c r="U233" i="56" a="1"/>
  <c r="U264" i="56" a="1"/>
  <c r="U265" i="56" a="1"/>
  <c r="U415" i="56" a="1"/>
  <c r="U384" i="56" a="1"/>
  <c r="U293" i="56" a="1"/>
  <c r="U234" i="56" a="1"/>
  <c r="U352" i="56" a="1"/>
  <c r="U235" i="56" a="1"/>
  <c r="U353" i="56" a="1"/>
  <c r="U416" i="56" a="1"/>
  <c r="U294" i="56" a="1"/>
  <c r="U266" i="56" a="1"/>
  <c r="U385" i="56" a="1"/>
  <c r="U417" i="56" a="1"/>
  <c r="U354" i="56" a="1"/>
  <c r="U386" i="56" a="1"/>
  <c r="U236" i="56" a="1"/>
  <c r="U295" i="56" a="1"/>
  <c r="B427" i="56"/>
  <c r="B151" i="56"/>
  <c r="N418" i="56" a="1"/>
  <c r="U387" i="56" a="1"/>
  <c r="R387" i="56" a="1"/>
  <c r="F387" i="56" a="1"/>
  <c r="C357" i="56"/>
  <c r="N405" i="56" a="1"/>
  <c r="O406" i="56" a="1"/>
  <c r="P407" i="56" a="1"/>
  <c r="Q408" i="56" a="1"/>
  <c r="R409" i="56" a="1"/>
  <c r="S410" i="56" a="1"/>
  <c r="T81" i="55"/>
  <c r="T82" i="55"/>
  <c r="R116" i="56"/>
  <c r="D356" i="56" a="1"/>
  <c r="T356" i="56" a="1"/>
  <c r="X371" i="56"/>
  <c r="R176" i="56"/>
  <c r="S176" i="56"/>
  <c r="U418" i="56" a="1"/>
  <c r="P387" i="56" a="1"/>
  <c r="M387" i="56" a="1"/>
  <c r="L405" i="56" a="1"/>
  <c r="M406" i="56" a="1"/>
  <c r="N407" i="56" a="1"/>
  <c r="O408" i="56" a="1"/>
  <c r="P409" i="56" a="1"/>
  <c r="Q410" i="56" a="1"/>
  <c r="R411" i="56" a="1"/>
  <c r="S412" i="56" a="1"/>
  <c r="B240" i="56"/>
  <c r="D357" i="56" a="1"/>
  <c r="B358" i="56"/>
  <c r="I297" i="56" a="1"/>
  <c r="L297" i="56" a="1"/>
  <c r="C298" i="56"/>
  <c r="K297" i="56" a="1"/>
  <c r="Q297" i="56" a="1"/>
  <c r="R297" i="56" a="1"/>
  <c r="M297" i="56" a="1"/>
  <c r="J297" i="56" a="1"/>
  <c r="P297" i="56" a="1"/>
  <c r="H297" i="56" a="1"/>
  <c r="O297" i="56" a="1"/>
  <c r="G297" i="56" a="1"/>
  <c r="N297" i="56" a="1"/>
  <c r="F297" i="56" a="1"/>
  <c r="D297" i="56" a="1"/>
  <c r="U297" i="56" a="1"/>
  <c r="L387" i="56" a="1"/>
  <c r="C389" i="56"/>
  <c r="D388" i="56" a="1"/>
  <c r="H388" i="56" a="1"/>
  <c r="J405" i="56" a="1"/>
  <c r="K406" i="56" a="1"/>
  <c r="L407" i="56" a="1"/>
  <c r="M408" i="56" a="1"/>
  <c r="N409" i="56" a="1"/>
  <c r="O410" i="56" a="1"/>
  <c r="P411" i="56" a="1"/>
  <c r="Q412" i="56" a="1"/>
  <c r="R413" i="56" a="1"/>
  <c r="S414" i="56" a="1"/>
  <c r="T415" i="56" a="1"/>
  <c r="M405" i="56" a="1"/>
  <c r="N406" i="56" a="1"/>
  <c r="O407" i="56" a="1"/>
  <c r="P408" i="56" a="1"/>
  <c r="Q409" i="56" a="1"/>
  <c r="R410" i="56" a="1"/>
  <c r="S411" i="56" a="1"/>
  <c r="T76" i="55"/>
  <c r="T67" i="55"/>
  <c r="T411" i="56" a="1"/>
  <c r="U220" i="56"/>
  <c r="U222" i="56" a="1"/>
  <c r="V219" i="56"/>
  <c r="B122" i="56"/>
  <c r="C153" i="56"/>
  <c r="F152" i="56"/>
  <c r="G152" i="56"/>
  <c r="H152" i="56"/>
  <c r="I152" i="56"/>
  <c r="J152" i="56"/>
  <c r="K152" i="56"/>
  <c r="L152" i="56"/>
  <c r="M152" i="56"/>
  <c r="N152" i="56"/>
  <c r="O152" i="56"/>
  <c r="P152" i="56"/>
  <c r="Q152" i="56"/>
  <c r="R152" i="56"/>
  <c r="S152" i="56"/>
  <c r="G119" i="56"/>
  <c r="F119" i="56"/>
  <c r="C120" i="56"/>
  <c r="H119" i="56"/>
  <c r="I119" i="56"/>
  <c r="J119" i="56"/>
  <c r="K119" i="56"/>
  <c r="L119" i="56"/>
  <c r="M119" i="56"/>
  <c r="N119" i="56"/>
  <c r="O119" i="56"/>
  <c r="P119" i="56"/>
  <c r="Q119" i="56"/>
  <c r="R119" i="56"/>
  <c r="D119" i="56" a="1"/>
  <c r="H387" i="56" a="1"/>
  <c r="I387" i="56" a="1"/>
  <c r="R175" i="56"/>
  <c r="H269" i="56" a="1"/>
  <c r="C270" i="56"/>
  <c r="O269" i="56" a="1"/>
  <c r="F269" i="56" a="1"/>
  <c r="N269" i="56" a="1"/>
  <c r="T269" i="56" a="1"/>
  <c r="G269" i="56" a="1"/>
  <c r="P269" i="56" a="1"/>
  <c r="S269" i="56" a="1"/>
  <c r="L269" i="56" a="1"/>
  <c r="M269" i="56" a="1"/>
  <c r="Q269" i="56" a="1"/>
  <c r="R269" i="56" a="1"/>
  <c r="I269" i="56" a="1"/>
  <c r="J269" i="56" a="1"/>
  <c r="U269" i="56" a="1"/>
  <c r="K269" i="56" a="1"/>
  <c r="I405" i="56" a="1"/>
  <c r="J406" i="56" a="1"/>
  <c r="K407" i="56" a="1"/>
  <c r="L408" i="56" a="1"/>
  <c r="M409" i="56" a="1"/>
  <c r="N410" i="56" a="1"/>
  <c r="O411" i="56" a="1"/>
  <c r="P412" i="56" a="1"/>
  <c r="Q413" i="56" a="1"/>
  <c r="R414" i="56" a="1"/>
  <c r="S415" i="56" a="1"/>
  <c r="T71" i="55"/>
  <c r="T414" i="56" a="1"/>
  <c r="N75" i="56"/>
  <c r="O70" i="56"/>
  <c r="S118" i="56"/>
  <c r="D267" i="56" a="1"/>
  <c r="T267" i="56" a="1"/>
  <c r="B268" i="56"/>
  <c r="M65" i="56"/>
  <c r="M66" i="56"/>
  <c r="M49" i="56"/>
  <c r="S418" i="56" a="1"/>
  <c r="F418" i="56" a="1"/>
  <c r="Q418" i="56" a="1"/>
  <c r="O387" i="56" a="1"/>
  <c r="S387" i="56" a="1"/>
  <c r="H405" i="56" a="1"/>
  <c r="I406" i="56" a="1"/>
  <c r="J407" i="56" a="1"/>
  <c r="K408" i="56" a="1"/>
  <c r="L409" i="56" a="1"/>
  <c r="M410" i="56" a="1"/>
  <c r="O412" i="56" a="1"/>
  <c r="N411" i="56" a="1"/>
  <c r="P413" i="56" a="1"/>
  <c r="Q414" i="56" a="1"/>
  <c r="R415" i="56" a="1"/>
  <c r="T417" i="56" a="1"/>
  <c r="S416" i="56" a="1"/>
  <c r="T17" i="56"/>
  <c r="T30" i="56"/>
  <c r="T321" i="56" a="1"/>
  <c r="T55" i="56" a="1"/>
  <c r="T56" i="56"/>
  <c r="T201" i="56" a="1"/>
  <c r="T87" i="56" a="1"/>
  <c r="O418" i="56" a="1"/>
  <c r="L418" i="56" a="1"/>
  <c r="G387" i="56" a="1"/>
  <c r="K387" i="56" a="1"/>
  <c r="T333" i="56" a="1"/>
  <c r="T99" i="56" a="1"/>
  <c r="T71" i="56" a="1"/>
  <c r="T72" i="56"/>
  <c r="T213" i="56" a="1"/>
  <c r="B180" i="56"/>
  <c r="B391" i="56"/>
  <c r="B302" i="56"/>
  <c r="F177" i="56"/>
  <c r="S177" i="56"/>
  <c r="G177" i="56"/>
  <c r="C178" i="56"/>
  <c r="H177" i="56"/>
  <c r="I177" i="56"/>
  <c r="J177" i="56"/>
  <c r="K177" i="56"/>
  <c r="L177" i="56"/>
  <c r="M177" i="56"/>
  <c r="N177" i="56"/>
  <c r="O177" i="56"/>
  <c r="P177" i="56"/>
  <c r="Q177" i="56"/>
  <c r="R177" i="56"/>
  <c r="D177" i="56" a="1"/>
  <c r="M238" i="56" a="1"/>
  <c r="N238" i="56" a="1"/>
  <c r="S238" i="56" a="1"/>
  <c r="C239" i="56"/>
  <c r="I238" i="56" a="1"/>
  <c r="T238" i="56" a="1"/>
  <c r="H238" i="56" a="1"/>
  <c r="R238" i="56" a="1"/>
  <c r="G238" i="56" a="1"/>
  <c r="J238" i="56" a="1"/>
  <c r="P238" i="56" a="1"/>
  <c r="U238" i="56" a="1"/>
  <c r="L238" i="56" a="1"/>
  <c r="F238" i="56" a="1"/>
  <c r="Q238" i="56" a="1"/>
  <c r="O238" i="56" a="1"/>
  <c r="K238" i="56" a="1"/>
  <c r="C420" i="56"/>
  <c r="P419" i="56" a="1"/>
  <c r="H419" i="56" a="1"/>
  <c r="S419" i="56" a="1"/>
  <c r="Q419" i="56" a="1"/>
  <c r="T419" i="56" a="1"/>
  <c r="D419" i="56" a="1"/>
  <c r="G419" i="56" a="1"/>
  <c r="T387" i="56" a="1"/>
  <c r="I388" i="56" a="1"/>
  <c r="P388" i="56" a="1"/>
  <c r="N419" i="56" a="1"/>
  <c r="S119" i="56"/>
  <c r="V419" i="56" a="1"/>
  <c r="F388" i="56" a="1"/>
  <c r="V388" i="56" a="1"/>
  <c r="R388" i="56" a="1"/>
  <c r="J419" i="56" a="1"/>
  <c r="F419" i="56" a="1"/>
  <c r="K419" i="56" a="1"/>
  <c r="C121" i="56"/>
  <c r="F120" i="56"/>
  <c r="G120" i="56"/>
  <c r="H120" i="56"/>
  <c r="I120" i="56"/>
  <c r="J120" i="56"/>
  <c r="K120" i="56"/>
  <c r="L120" i="56"/>
  <c r="M120" i="56"/>
  <c r="N120" i="56"/>
  <c r="O120" i="56"/>
  <c r="P120" i="56"/>
  <c r="Q120" i="56"/>
  <c r="R120" i="56"/>
  <c r="S120" i="56"/>
  <c r="D120" i="56" a="1"/>
  <c r="N298" i="56" a="1"/>
  <c r="K298" i="56" a="1"/>
  <c r="J298" i="56" a="1"/>
  <c r="I298" i="56" a="1"/>
  <c r="M298" i="56" a="1"/>
  <c r="H298" i="56" a="1"/>
  <c r="C299" i="56"/>
  <c r="L298" i="56" a="1"/>
  <c r="S298" i="56" a="1"/>
  <c r="Q298" i="56" a="1"/>
  <c r="P298" i="56" a="1"/>
  <c r="R298" i="56" a="1"/>
  <c r="G298" i="56" a="1"/>
  <c r="F298" i="56" a="1"/>
  <c r="O298" i="56" a="1"/>
  <c r="D298" i="56" a="1"/>
  <c r="T298" i="56" a="1"/>
  <c r="L356" i="56" a="1"/>
  <c r="G356" i="56" a="1"/>
  <c r="S356" i="56" a="1"/>
  <c r="U201" i="56" a="1"/>
  <c r="U17" i="56"/>
  <c r="U30" i="56"/>
  <c r="U55" i="56" a="1"/>
  <c r="U56" i="56"/>
  <c r="U87" i="56" a="1"/>
  <c r="U321" i="56" a="1"/>
  <c r="T118" i="56"/>
  <c r="U118" i="56"/>
  <c r="V118" i="56"/>
  <c r="N356" i="56" a="1"/>
  <c r="R419" i="56" a="1"/>
  <c r="L419" i="56" a="1"/>
  <c r="O419" i="56" a="1"/>
  <c r="O239" i="56" a="1"/>
  <c r="P239" i="56" a="1"/>
  <c r="K239" i="56" a="1"/>
  <c r="M239" i="56" a="1"/>
  <c r="G239" i="56" a="1"/>
  <c r="L239" i="56" a="1"/>
  <c r="V239" i="56" a="1"/>
  <c r="U239" i="56" a="1"/>
  <c r="R239" i="56" a="1"/>
  <c r="T239" i="56" a="1"/>
  <c r="I239" i="56" a="1"/>
  <c r="H239" i="56" a="1"/>
  <c r="C240" i="56"/>
  <c r="Q239" i="56" a="1"/>
  <c r="S239" i="56" a="1"/>
  <c r="N239" i="56" a="1"/>
  <c r="J239" i="56" a="1"/>
  <c r="F239" i="56" a="1"/>
  <c r="B392" i="56"/>
  <c r="D268" i="56" a="1"/>
  <c r="U268" i="56" a="1"/>
  <c r="B269" i="56"/>
  <c r="N388" i="56" a="1"/>
  <c r="V297" i="56" a="1"/>
  <c r="D237" i="56" a="1"/>
  <c r="U237" i="56" a="1"/>
  <c r="U356" i="56" a="1"/>
  <c r="P356" i="56" a="1"/>
  <c r="U267" i="56" a="1"/>
  <c r="C154" i="56"/>
  <c r="F153" i="56"/>
  <c r="G153" i="56"/>
  <c r="H153" i="56"/>
  <c r="I153" i="56"/>
  <c r="J153" i="56"/>
  <c r="K153" i="56"/>
  <c r="L153" i="56"/>
  <c r="M153" i="56"/>
  <c r="N153" i="56"/>
  <c r="O153" i="56"/>
  <c r="P153" i="56"/>
  <c r="Q153" i="56"/>
  <c r="R153" i="56"/>
  <c r="S153" i="56"/>
  <c r="T153" i="56"/>
  <c r="S175" i="56"/>
  <c r="T119" i="56"/>
  <c r="M388" i="56" a="1"/>
  <c r="Q388" i="56" a="1"/>
  <c r="O388" i="56" a="1"/>
  <c r="T297" i="56" a="1"/>
  <c r="B359" i="56"/>
  <c r="K356" i="56" a="1"/>
  <c r="R356" i="56" a="1"/>
  <c r="C358" i="56"/>
  <c r="I357" i="56" a="1"/>
  <c r="Q357" i="56" a="1"/>
  <c r="L357" i="56" a="1"/>
  <c r="G357" i="56" a="1"/>
  <c r="U357" i="56" a="1"/>
  <c r="T357" i="56" a="1"/>
  <c r="P357" i="56" a="1"/>
  <c r="H357" i="56" a="1"/>
  <c r="O357" i="56" a="1"/>
  <c r="R357" i="56" a="1"/>
  <c r="N357" i="56" a="1"/>
  <c r="V357" i="56" a="1"/>
  <c r="S357" i="56" a="1"/>
  <c r="K357" i="56" a="1"/>
  <c r="J357" i="56" a="1"/>
  <c r="M357" i="56" a="1"/>
  <c r="F357" i="56" a="1"/>
  <c r="U153" i="56"/>
  <c r="T176" i="56"/>
  <c r="U176" i="56"/>
  <c r="V176" i="56"/>
  <c r="T177" i="56"/>
  <c r="U177" i="56"/>
  <c r="V177" i="56"/>
  <c r="Q356" i="56" a="1"/>
  <c r="M67" i="56"/>
  <c r="N62" i="56"/>
  <c r="B123" i="56"/>
  <c r="C179" i="56"/>
  <c r="F178" i="56"/>
  <c r="G178" i="56"/>
  <c r="H178" i="56"/>
  <c r="I178" i="56"/>
  <c r="J178" i="56"/>
  <c r="K178" i="56"/>
  <c r="L178" i="56"/>
  <c r="M178" i="56"/>
  <c r="N178" i="56"/>
  <c r="O178" i="56"/>
  <c r="P178" i="56"/>
  <c r="Q178" i="56"/>
  <c r="R178" i="56"/>
  <c r="S178" i="56"/>
  <c r="D178" i="56" a="1"/>
  <c r="T178" i="56"/>
  <c r="W219" i="56"/>
  <c r="V220" i="56"/>
  <c r="V222" i="56" a="1"/>
  <c r="L388" i="56" a="1"/>
  <c r="G388" i="56" a="1"/>
  <c r="P389" i="56" a="1"/>
  <c r="C390" i="56"/>
  <c r="V389" i="56" a="1"/>
  <c r="D389" i="56" a="1"/>
  <c r="K389" i="56" a="1"/>
  <c r="J356" i="56" a="1"/>
  <c r="H356" i="56" a="1"/>
  <c r="B152" i="56"/>
  <c r="B303" i="56"/>
  <c r="M419" i="56" a="1"/>
  <c r="O73" i="56"/>
  <c r="O74" i="56"/>
  <c r="O50" i="56"/>
  <c r="I270" i="56" a="1"/>
  <c r="S270" i="56" a="1"/>
  <c r="T270" i="56" a="1"/>
  <c r="L270" i="56" a="1"/>
  <c r="C271" i="56"/>
  <c r="F270" i="56" a="1"/>
  <c r="O270" i="56" a="1"/>
  <c r="R270" i="56" a="1"/>
  <c r="V270" i="56" a="1"/>
  <c r="K270" i="56" a="1"/>
  <c r="Q270" i="56" a="1"/>
  <c r="M270" i="56" a="1"/>
  <c r="H270" i="56" a="1"/>
  <c r="N270" i="56" a="1"/>
  <c r="G270" i="56" a="1"/>
  <c r="P270" i="56" a="1"/>
  <c r="J270" i="56" a="1"/>
  <c r="U270" i="56" a="1"/>
  <c r="J388" i="56" a="1"/>
  <c r="T388" i="56" a="1"/>
  <c r="S388" i="56" a="1"/>
  <c r="B241" i="56"/>
  <c r="O356" i="56" a="1"/>
  <c r="F356" i="56" a="1"/>
  <c r="D84" i="55"/>
  <c r="E83" i="55"/>
  <c r="G83" i="55"/>
  <c r="F83" i="55"/>
  <c r="H83" i="55"/>
  <c r="I83" i="55"/>
  <c r="J83" i="55"/>
  <c r="K83" i="55"/>
  <c r="L83" i="55"/>
  <c r="M83" i="55"/>
  <c r="N83" i="55"/>
  <c r="O83" i="55"/>
  <c r="P83" i="55"/>
  <c r="Q83" i="55"/>
  <c r="R83" i="55"/>
  <c r="S83" i="55"/>
  <c r="T83" i="55"/>
  <c r="V341" i="56"/>
  <c r="V372" i="56"/>
  <c r="C421" i="56"/>
  <c r="U420" i="56" a="1"/>
  <c r="D420" i="56" a="1"/>
  <c r="Q420" i="56" a="1"/>
  <c r="B181" i="56"/>
  <c r="I419" i="56" a="1"/>
  <c r="S116" i="56"/>
  <c r="T116" i="56"/>
  <c r="K388" i="56" a="1"/>
  <c r="U388" i="56" a="1"/>
  <c r="S297" i="56" a="1"/>
  <c r="Y371" i="56"/>
  <c r="M356" i="56" a="1"/>
  <c r="B428" i="56"/>
  <c r="V173" i="56"/>
  <c r="V138" i="56"/>
  <c r="V139" i="56"/>
  <c r="V141" i="56"/>
  <c r="V148" i="56"/>
  <c r="V166" i="56"/>
  <c r="V106" i="56"/>
  <c r="V112" i="56"/>
  <c r="V111" i="56"/>
  <c r="W11" i="56"/>
  <c r="V168" i="56"/>
  <c r="V144" i="56"/>
  <c r="V140" i="56"/>
  <c r="V142" i="56"/>
  <c r="V108" i="56"/>
  <c r="V374" i="56" a="1"/>
  <c r="V136" i="56"/>
  <c r="V145" i="56"/>
  <c r="V149" i="56"/>
  <c r="V172" i="56"/>
  <c r="V113" i="56"/>
  <c r="V224" i="56" a="1"/>
  <c r="V165" i="56"/>
  <c r="V164" i="56"/>
  <c r="V115" i="56"/>
  <c r="V170" i="56"/>
  <c r="V152" i="56"/>
  <c r="V143" i="56"/>
  <c r="V147" i="56"/>
  <c r="V107" i="56"/>
  <c r="V10" i="56"/>
  <c r="V223" i="56" a="1"/>
  <c r="V135" i="56"/>
  <c r="V114" i="56"/>
  <c r="V167" i="56"/>
  <c r="V150" i="56"/>
  <c r="V146" i="56"/>
  <c r="V109" i="56"/>
  <c r="V110" i="56"/>
  <c r="V255" i="56" a="1"/>
  <c r="V137" i="56"/>
  <c r="V253" i="56" a="1"/>
  <c r="V154" i="56"/>
  <c r="V171" i="56"/>
  <c r="V254" i="56" a="1"/>
  <c r="V153" i="56"/>
  <c r="V174" i="56"/>
  <c r="V117" i="56"/>
  <c r="V169" i="56"/>
  <c r="V16" i="56"/>
  <c r="V14" i="56"/>
  <c r="D238" i="56" a="1"/>
  <c r="V238" i="56" a="1"/>
  <c r="V15" i="56"/>
  <c r="V284" i="56" a="1"/>
  <c r="V343" i="56" a="1"/>
  <c r="V375" i="56" a="1"/>
  <c r="V225" i="56" a="1"/>
  <c r="V256" i="56" a="1"/>
  <c r="V257" i="56" a="1"/>
  <c r="V285" i="56" a="1"/>
  <c r="V344" i="56" a="1"/>
  <c r="V376" i="56" a="1"/>
  <c r="V226" i="56" a="1"/>
  <c r="V227" i="56" a="1"/>
  <c r="V258" i="56" a="1"/>
  <c r="V286" i="56" a="1"/>
  <c r="V345" i="56" a="1"/>
  <c r="V377" i="56" a="1"/>
  <c r="V378" i="56" a="1"/>
  <c r="V346" i="56" a="1"/>
  <c r="V228" i="56" a="1"/>
  <c r="V259" i="56" a="1"/>
  <c r="V287" i="56" a="1"/>
  <c r="V260" i="56" a="1"/>
  <c r="V347" i="56" a="1"/>
  <c r="V229" i="56" a="1"/>
  <c r="V288" i="56" a="1"/>
  <c r="V379" i="56" a="1"/>
  <c r="V230" i="56" a="1"/>
  <c r="V289" i="56" a="1"/>
  <c r="V261" i="56" a="1"/>
  <c r="V348" i="56" a="1"/>
  <c r="V380" i="56" a="1"/>
  <c r="V231" i="56" a="1"/>
  <c r="V290" i="56" a="1"/>
  <c r="V349" i="56" a="1"/>
  <c r="V381" i="56" a="1"/>
  <c r="V262" i="56" a="1"/>
  <c r="V291" i="56" a="1"/>
  <c r="V350" i="56" a="1"/>
  <c r="V413" i="56" a="1"/>
  <c r="V232" i="56" a="1"/>
  <c r="V382" i="56" a="1"/>
  <c r="V263" i="56" a="1"/>
  <c r="V233" i="56" a="1"/>
  <c r="V292" i="56" a="1"/>
  <c r="V383" i="56" a="1"/>
  <c r="V351" i="56" a="1"/>
  <c r="V264" i="56" a="1"/>
  <c r="V414" i="56" a="1"/>
  <c r="V352" i="56" a="1"/>
  <c r="V384" i="56" a="1"/>
  <c r="V415" i="56" a="1"/>
  <c r="V293" i="56" a="1"/>
  <c r="V265" i="56" a="1"/>
  <c r="V234" i="56" a="1"/>
  <c r="V416" i="56" a="1"/>
  <c r="V385" i="56" a="1"/>
  <c r="V235" i="56" a="1"/>
  <c r="V294" i="56" a="1"/>
  <c r="V353" i="56" a="1"/>
  <c r="V266" i="56" a="1"/>
  <c r="V417" i="56" a="1"/>
  <c r="V386" i="56" a="1"/>
  <c r="V236" i="56" a="1"/>
  <c r="V267" i="56" a="1"/>
  <c r="V354" i="56" a="1"/>
  <c r="V295" i="56" a="1"/>
  <c r="V268" i="56" a="1"/>
  <c r="V296" i="56" a="1"/>
  <c r="V355" i="56" a="1"/>
  <c r="V387" i="56" a="1"/>
  <c r="V418" i="56" a="1"/>
  <c r="M57" i="56"/>
  <c r="M58" i="56"/>
  <c r="M48" i="56"/>
  <c r="M51" i="56"/>
  <c r="M20" i="56"/>
  <c r="I356" i="56" a="1"/>
  <c r="V356" i="56" a="1"/>
  <c r="U333" i="56" a="1"/>
  <c r="U99" i="56" a="1"/>
  <c r="U213" i="56" a="1"/>
  <c r="U71" i="56" a="1"/>
  <c r="U72" i="56"/>
  <c r="U63" i="56" a="1"/>
  <c r="U64" i="56"/>
  <c r="U327" i="56" a="1"/>
  <c r="U207" i="56" a="1"/>
  <c r="U93" i="56" a="1"/>
  <c r="U119" i="56"/>
  <c r="V119" i="56"/>
  <c r="U178" i="56"/>
  <c r="V178" i="56"/>
  <c r="T120" i="56"/>
  <c r="U120" i="56"/>
  <c r="V120" i="56"/>
  <c r="W120" i="56"/>
  <c r="V237" i="56" a="1"/>
  <c r="N420" i="56" a="1"/>
  <c r="S420" i="56" a="1"/>
  <c r="F179" i="56"/>
  <c r="C180" i="56"/>
  <c r="G179" i="56"/>
  <c r="H179" i="56"/>
  <c r="I179" i="56"/>
  <c r="J179" i="56"/>
  <c r="K179" i="56"/>
  <c r="L179" i="56"/>
  <c r="M179" i="56"/>
  <c r="N179" i="56"/>
  <c r="O179" i="56"/>
  <c r="P179" i="56"/>
  <c r="Q179" i="56"/>
  <c r="R179" i="56"/>
  <c r="S179" i="56"/>
  <c r="T179" i="56"/>
  <c r="D179" i="56" a="1"/>
  <c r="W138" i="56"/>
  <c r="W139" i="56"/>
  <c r="W173" i="56"/>
  <c r="W107" i="56"/>
  <c r="W168" i="56"/>
  <c r="W149" i="56"/>
  <c r="W150" i="56"/>
  <c r="W135" i="56"/>
  <c r="W118" i="56"/>
  <c r="W171" i="56"/>
  <c r="X11" i="56"/>
  <c r="W177" i="56"/>
  <c r="W153" i="56"/>
  <c r="W146" i="56"/>
  <c r="W167" i="56"/>
  <c r="W112" i="56"/>
  <c r="W113" i="56"/>
  <c r="W223" i="56" a="1"/>
  <c r="W174" i="56"/>
  <c r="W142" i="56"/>
  <c r="W136" i="56"/>
  <c r="W114" i="56"/>
  <c r="W106" i="56"/>
  <c r="W255" i="56" a="1"/>
  <c r="W166" i="56"/>
  <c r="W140" i="56"/>
  <c r="W115" i="56"/>
  <c r="W111" i="56"/>
  <c r="W170" i="56"/>
  <c r="W141" i="56"/>
  <c r="W117" i="56"/>
  <c r="W165" i="56"/>
  <c r="W108" i="56"/>
  <c r="W143" i="56"/>
  <c r="W164" i="56"/>
  <c r="W148" i="56"/>
  <c r="W110" i="56"/>
  <c r="W119" i="56"/>
  <c r="W109" i="56"/>
  <c r="W254" i="56" a="1"/>
  <c r="W145" i="56"/>
  <c r="W137" i="56"/>
  <c r="W224" i="56" a="1"/>
  <c r="W144" i="56"/>
  <c r="W10" i="56"/>
  <c r="W172" i="56"/>
  <c r="W147" i="56"/>
  <c r="W253" i="56" a="1"/>
  <c r="W154" i="56"/>
  <c r="W176" i="56"/>
  <c r="W169" i="56"/>
  <c r="W14" i="56"/>
  <c r="W15" i="56"/>
  <c r="W16" i="56"/>
  <c r="W284" i="56" a="1"/>
  <c r="W375" i="56" a="1"/>
  <c r="W256" i="56" a="1"/>
  <c r="W225" i="56" a="1"/>
  <c r="W257" i="56" a="1"/>
  <c r="W285" i="56" a="1"/>
  <c r="W226" i="56" a="1"/>
  <c r="W376" i="56" a="1"/>
  <c r="W344" i="56" a="1"/>
  <c r="W377" i="56" a="1"/>
  <c r="W258" i="56" a="1"/>
  <c r="W227" i="56" a="1"/>
  <c r="W345" i="56" a="1"/>
  <c r="W286" i="56" a="1"/>
  <c r="W228" i="56" a="1"/>
  <c r="W378" i="56" a="1"/>
  <c r="W259" i="56" a="1"/>
  <c r="W287" i="56" a="1"/>
  <c r="W346" i="56" a="1"/>
  <c r="W288" i="56" a="1"/>
  <c r="W260" i="56" a="1"/>
  <c r="W347" i="56" a="1"/>
  <c r="W229" i="56" a="1"/>
  <c r="W379" i="56" a="1"/>
  <c r="W289" i="56" a="1"/>
  <c r="W230" i="56" a="1"/>
  <c r="W380" i="56" a="1"/>
  <c r="W348" i="56" a="1"/>
  <c r="W261" i="56" a="1"/>
  <c r="W262" i="56" a="1"/>
  <c r="W231" i="56" a="1"/>
  <c r="W290" i="56" a="1"/>
  <c r="W349" i="56" a="1"/>
  <c r="W381" i="56" a="1"/>
  <c r="W263" i="56" a="1"/>
  <c r="W382" i="56" a="1"/>
  <c r="W232" i="56" a="1"/>
  <c r="W291" i="56" a="1"/>
  <c r="W350" i="56" a="1"/>
  <c r="W264" i="56" a="1"/>
  <c r="W383" i="56" a="1"/>
  <c r="W351" i="56" a="1"/>
  <c r="W292" i="56" a="1"/>
  <c r="W233" i="56" a="1"/>
  <c r="W414" i="56" a="1"/>
  <c r="W415" i="56" a="1"/>
  <c r="W352" i="56" a="1"/>
  <c r="W234" i="56" a="1"/>
  <c r="W293" i="56" a="1"/>
  <c r="W265" i="56" a="1"/>
  <c r="W384" i="56" a="1"/>
  <c r="W385" i="56" a="1"/>
  <c r="W266" i="56" a="1"/>
  <c r="W294" i="56" a="1"/>
  <c r="W416" i="56" a="1"/>
  <c r="W235" i="56" a="1"/>
  <c r="W353" i="56" a="1"/>
  <c r="W236" i="56" a="1"/>
  <c r="W267" i="56" a="1"/>
  <c r="W386" i="56" a="1"/>
  <c r="W354" i="56" a="1"/>
  <c r="W295" i="56" a="1"/>
  <c r="W417" i="56" a="1"/>
  <c r="W387" i="56" a="1"/>
  <c r="W237" i="56" a="1"/>
  <c r="W296" i="56" a="1"/>
  <c r="W355" i="56" a="1"/>
  <c r="W268" i="56" a="1"/>
  <c r="W418" i="56" a="1"/>
  <c r="W297" i="56" a="1"/>
  <c r="W238" i="56" a="1"/>
  <c r="W419" i="56" a="1"/>
  <c r="W356" i="56" a="1"/>
  <c r="W388" i="56" a="1"/>
  <c r="R420" i="56" a="1"/>
  <c r="R271" i="56" a="1"/>
  <c r="L271" i="56" a="1"/>
  <c r="N271" i="56" a="1"/>
  <c r="C272" i="56"/>
  <c r="J271" i="56" a="1"/>
  <c r="T271" i="56" a="1"/>
  <c r="W271" i="56" a="1"/>
  <c r="F271" i="56" a="1"/>
  <c r="H271" i="56" a="1"/>
  <c r="S271" i="56" a="1"/>
  <c r="U271" i="56" a="1"/>
  <c r="P271" i="56" a="1"/>
  <c r="O271" i="56" a="1"/>
  <c r="K271" i="56" a="1"/>
  <c r="V271" i="56" a="1"/>
  <c r="Q271" i="56" a="1"/>
  <c r="M271" i="56" a="1"/>
  <c r="I271" i="56" a="1"/>
  <c r="G271" i="56" a="1"/>
  <c r="O75" i="56"/>
  <c r="P70" i="56"/>
  <c r="M389" i="56" a="1"/>
  <c r="Q389" i="56" a="1"/>
  <c r="S389" i="56" a="1"/>
  <c r="W357" i="56" a="1"/>
  <c r="B393" i="56"/>
  <c r="P420" i="56" a="1"/>
  <c r="C422" i="56"/>
  <c r="Q421" i="56" a="1"/>
  <c r="D421" i="56" a="1"/>
  <c r="O421" i="56" a="1"/>
  <c r="B242" i="56"/>
  <c r="R389" i="56" a="1"/>
  <c r="G389" i="56" a="1"/>
  <c r="B124" i="56"/>
  <c r="F154" i="56"/>
  <c r="C155" i="56"/>
  <c r="W155" i="56"/>
  <c r="G154" i="56"/>
  <c r="H154" i="56"/>
  <c r="I154" i="56"/>
  <c r="J154" i="56"/>
  <c r="K154" i="56"/>
  <c r="L154" i="56"/>
  <c r="M154" i="56"/>
  <c r="N154" i="56"/>
  <c r="O154" i="56"/>
  <c r="P154" i="56"/>
  <c r="Q154" i="56"/>
  <c r="R154" i="56"/>
  <c r="S154" i="56"/>
  <c r="T154" i="56"/>
  <c r="U154" i="56"/>
  <c r="K420" i="56" a="1"/>
  <c r="L420" i="56" a="1"/>
  <c r="J389" i="56" a="1"/>
  <c r="W389" i="56" a="1"/>
  <c r="I389" i="56" a="1"/>
  <c r="N67" i="56"/>
  <c r="O62" i="56"/>
  <c r="N65" i="56"/>
  <c r="N66" i="56"/>
  <c r="N49" i="56"/>
  <c r="F358" i="56" a="1"/>
  <c r="I358" i="56" a="1"/>
  <c r="S358" i="56" a="1"/>
  <c r="N358" i="56" a="1"/>
  <c r="R358" i="56" a="1"/>
  <c r="J358" i="56" a="1"/>
  <c r="Q358" i="56" a="1"/>
  <c r="C359" i="56"/>
  <c r="W358" i="56" a="1"/>
  <c r="O358" i="56" a="1"/>
  <c r="T175" i="56"/>
  <c r="W298" i="56" a="1"/>
  <c r="M59" i="56"/>
  <c r="N54" i="56"/>
  <c r="B182" i="56"/>
  <c r="F420" i="56" a="1"/>
  <c r="G420" i="56" a="1"/>
  <c r="B304" i="56"/>
  <c r="F389" i="56" a="1"/>
  <c r="C391" i="56"/>
  <c r="D390" i="56" a="1"/>
  <c r="V390" i="56" a="1"/>
  <c r="V298" i="56" a="1"/>
  <c r="U298" i="56" a="1"/>
  <c r="U116" i="56"/>
  <c r="V327" i="56" a="1"/>
  <c r="V63" i="56" a="1"/>
  <c r="V64" i="56"/>
  <c r="V207" i="56" a="1"/>
  <c r="V93" i="56" a="1"/>
  <c r="M420" i="56" a="1"/>
  <c r="O420" i="56" a="1"/>
  <c r="E84" i="55"/>
  <c r="W341" i="56"/>
  <c r="W343" i="56" a="1"/>
  <c r="G84" i="55"/>
  <c r="F84" i="55"/>
  <c r="D85" i="55"/>
  <c r="H84" i="55"/>
  <c r="I84" i="55"/>
  <c r="J84" i="55"/>
  <c r="W372" i="56"/>
  <c r="W374" i="56" a="1"/>
  <c r="K84" i="55"/>
  <c r="L84" i="55"/>
  <c r="M84" i="55"/>
  <c r="N84" i="55"/>
  <c r="O84" i="55"/>
  <c r="P84" i="55"/>
  <c r="Q84" i="55"/>
  <c r="R84" i="55"/>
  <c r="S84" i="55"/>
  <c r="T84" i="55"/>
  <c r="D151" i="56" a="1"/>
  <c r="V151" i="56"/>
  <c r="L389" i="56" a="1"/>
  <c r="N389" i="56" a="1"/>
  <c r="B270" i="56"/>
  <c r="D269" i="56" a="1"/>
  <c r="V269" i="56" a="1"/>
  <c r="V87" i="56" a="1"/>
  <c r="V201" i="56" a="1"/>
  <c r="V55" i="56" a="1"/>
  <c r="V56" i="56"/>
  <c r="V17" i="56"/>
  <c r="V30" i="56"/>
  <c r="V321" i="56" a="1"/>
  <c r="T420" i="56" a="1"/>
  <c r="I420" i="56" a="1"/>
  <c r="J420" i="56" a="1"/>
  <c r="B153" i="56"/>
  <c r="U389" i="56" a="1"/>
  <c r="T389" i="56" a="1"/>
  <c r="O389" i="56" a="1"/>
  <c r="D359" i="56" a="1"/>
  <c r="B360" i="56"/>
  <c r="O240" i="56" a="1"/>
  <c r="N240" i="56" a="1"/>
  <c r="T240" i="56" a="1"/>
  <c r="K240" i="56" a="1"/>
  <c r="M240" i="56" a="1"/>
  <c r="P240" i="56" a="1"/>
  <c r="G240" i="56" a="1"/>
  <c r="V240" i="56" a="1"/>
  <c r="L240" i="56" a="1"/>
  <c r="I240" i="56" a="1"/>
  <c r="U240" i="56" a="1"/>
  <c r="H240" i="56" a="1"/>
  <c r="J240" i="56" a="1"/>
  <c r="C241" i="56"/>
  <c r="W240" i="56" a="1"/>
  <c r="S240" i="56" a="1"/>
  <c r="R240" i="56" a="1"/>
  <c r="Q240" i="56" a="1"/>
  <c r="F240" i="56" a="1"/>
  <c r="V333" i="56" a="1"/>
  <c r="V213" i="56" a="1"/>
  <c r="V99" i="56" a="1"/>
  <c r="V71" i="56" a="1"/>
  <c r="V72" i="56"/>
  <c r="V116" i="56"/>
  <c r="B429" i="56"/>
  <c r="W420" i="56" a="1"/>
  <c r="H420" i="56" a="1"/>
  <c r="H389" i="56" a="1"/>
  <c r="X219" i="56"/>
  <c r="W220" i="56"/>
  <c r="W222" i="56" a="1"/>
  <c r="D358" i="56" a="1"/>
  <c r="V358" i="56" a="1"/>
  <c r="J299" i="56" a="1"/>
  <c r="T299" i="56" a="1"/>
  <c r="S299" i="56" a="1"/>
  <c r="P299" i="56" a="1"/>
  <c r="G299" i="56" a="1"/>
  <c r="L299" i="56" a="1"/>
  <c r="R299" i="56" a="1"/>
  <c r="Q299" i="56" a="1"/>
  <c r="I299" i="56" a="1"/>
  <c r="H299" i="56" a="1"/>
  <c r="X299" i="56" a="1"/>
  <c r="O299" i="56" a="1"/>
  <c r="F299" i="56" a="1"/>
  <c r="N299" i="56" a="1"/>
  <c r="M299" i="56" a="1"/>
  <c r="C300" i="56"/>
  <c r="K299" i="56" a="1"/>
  <c r="D299" i="56" a="1"/>
  <c r="W299" i="56" a="1"/>
  <c r="C122" i="56"/>
  <c r="F121" i="56"/>
  <c r="G121" i="56"/>
  <c r="H121" i="56"/>
  <c r="I121" i="56"/>
  <c r="J121" i="56"/>
  <c r="K121" i="56"/>
  <c r="L121" i="56"/>
  <c r="M121" i="56"/>
  <c r="N121" i="56"/>
  <c r="O121" i="56"/>
  <c r="P121" i="56"/>
  <c r="Q121" i="56"/>
  <c r="R121" i="56"/>
  <c r="S121" i="56"/>
  <c r="T121" i="56"/>
  <c r="D121" i="56" a="1"/>
  <c r="N390" i="56" a="1"/>
  <c r="I390" i="56" a="1"/>
  <c r="U358" i="56" a="1"/>
  <c r="S421" i="56" a="1"/>
  <c r="X390" i="56" a="1"/>
  <c r="R421" i="56" a="1"/>
  <c r="K390" i="56" a="1"/>
  <c r="P390" i="56" a="1"/>
  <c r="K358" i="56" a="1"/>
  <c r="G421" i="56" a="1"/>
  <c r="W178" i="56"/>
  <c r="W116" i="56"/>
  <c r="X116" i="56"/>
  <c r="G390" i="56" a="1"/>
  <c r="U421" i="56" a="1"/>
  <c r="T421" i="56" a="1"/>
  <c r="Q390" i="56" a="1"/>
  <c r="U299" i="56" a="1"/>
  <c r="S390" i="56" a="1"/>
  <c r="L358" i="56" a="1"/>
  <c r="N421" i="56" a="1"/>
  <c r="B125" i="56"/>
  <c r="W321" i="56" a="1"/>
  <c r="W201" i="56" a="1"/>
  <c r="W87" i="56" a="1"/>
  <c r="W55" i="56" a="1"/>
  <c r="W56" i="56"/>
  <c r="W17" i="56"/>
  <c r="W30" i="56"/>
  <c r="X177" i="56"/>
  <c r="X150" i="56"/>
  <c r="X120" i="56"/>
  <c r="X147" i="56"/>
  <c r="X114" i="56"/>
  <c r="X139" i="56"/>
  <c r="X224" i="56" a="1"/>
  <c r="Y11" i="56"/>
  <c r="X144" i="56"/>
  <c r="X142" i="56"/>
  <c r="X112" i="56"/>
  <c r="X111" i="56"/>
  <c r="X117" i="56"/>
  <c r="X171" i="56"/>
  <c r="X136" i="56"/>
  <c r="X170" i="56"/>
  <c r="X113" i="56"/>
  <c r="X10" i="56"/>
  <c r="X143" i="56"/>
  <c r="X223" i="56" a="1"/>
  <c r="X146" i="56"/>
  <c r="X145" i="56"/>
  <c r="X115" i="56"/>
  <c r="X109" i="56"/>
  <c r="X174" i="56"/>
  <c r="X172" i="56"/>
  <c r="X137" i="56"/>
  <c r="X107" i="56"/>
  <c r="X108" i="56"/>
  <c r="X168" i="56"/>
  <c r="X148" i="56"/>
  <c r="X166" i="56"/>
  <c r="X135" i="56"/>
  <c r="X140" i="56"/>
  <c r="X149" i="56"/>
  <c r="X165" i="56"/>
  <c r="X106" i="56"/>
  <c r="X141" i="56"/>
  <c r="X118" i="56"/>
  <c r="X255" i="56" a="1"/>
  <c r="X164" i="56"/>
  <c r="X110" i="56"/>
  <c r="X138" i="56"/>
  <c r="X167" i="56"/>
  <c r="X253" i="56" a="1"/>
  <c r="X154" i="56"/>
  <c r="X254" i="56" a="1"/>
  <c r="X155" i="56"/>
  <c r="X173" i="56"/>
  <c r="X119" i="56"/>
  <c r="X178" i="56"/>
  <c r="X176" i="56"/>
  <c r="X169" i="56"/>
  <c r="X14" i="56"/>
  <c r="X15" i="56"/>
  <c r="D153" i="56" a="1"/>
  <c r="X153" i="56"/>
  <c r="X16" i="56"/>
  <c r="X225" i="56" a="1"/>
  <c r="X256" i="56" a="1"/>
  <c r="X284" i="56" a="1"/>
  <c r="X375" i="56" a="1"/>
  <c r="X344" i="56" a="1"/>
  <c r="X285" i="56" a="1"/>
  <c r="X257" i="56" a="1"/>
  <c r="X226" i="56" a="1"/>
  <c r="X376" i="56" a="1"/>
  <c r="X227" i="56" a="1"/>
  <c r="X377" i="56" a="1"/>
  <c r="X345" i="56" a="1"/>
  <c r="X286" i="56" a="1"/>
  <c r="X258" i="56" a="1"/>
  <c r="X346" i="56" a="1"/>
  <c r="X259" i="56" a="1"/>
  <c r="X228" i="56" a="1"/>
  <c r="X287" i="56" a="1"/>
  <c r="X378" i="56" a="1"/>
  <c r="X229" i="56" a="1"/>
  <c r="X288" i="56" a="1"/>
  <c r="X347" i="56" a="1"/>
  <c r="X379" i="56" a="1"/>
  <c r="X260" i="56" a="1"/>
  <c r="X261" i="56" a="1"/>
  <c r="X348" i="56" a="1"/>
  <c r="X230" i="56" a="1"/>
  <c r="X380" i="56" a="1"/>
  <c r="X289" i="56" a="1"/>
  <c r="X349" i="56" a="1"/>
  <c r="X381" i="56" a="1"/>
  <c r="X290" i="56" a="1"/>
  <c r="X231" i="56" a="1"/>
  <c r="X262" i="56" a="1"/>
  <c r="X232" i="56" a="1"/>
  <c r="X382" i="56" a="1"/>
  <c r="X263" i="56" a="1"/>
  <c r="X350" i="56" a="1"/>
  <c r="X291" i="56" a="1"/>
  <c r="X292" i="56" a="1"/>
  <c r="X351" i="56" a="1"/>
  <c r="X264" i="56" a="1"/>
  <c r="X383" i="56" a="1"/>
  <c r="X233" i="56" a="1"/>
  <c r="X265" i="56" a="1"/>
  <c r="X234" i="56" a="1"/>
  <c r="X293" i="56" a="1"/>
  <c r="X352" i="56" a="1"/>
  <c r="X415" i="56" a="1"/>
  <c r="X384" i="56" a="1"/>
  <c r="X353" i="56" a="1"/>
  <c r="X235" i="56" a="1"/>
  <c r="X416" i="56" a="1"/>
  <c r="X294" i="56" a="1"/>
  <c r="X266" i="56" a="1"/>
  <c r="X385" i="56" a="1"/>
  <c r="X295" i="56" a="1"/>
  <c r="X354" i="56" a="1"/>
  <c r="X417" i="56" a="1"/>
  <c r="X236" i="56" a="1"/>
  <c r="X267" i="56" a="1"/>
  <c r="X386" i="56" a="1"/>
  <c r="X418" i="56" a="1"/>
  <c r="X387" i="56" a="1"/>
  <c r="X237" i="56" a="1"/>
  <c r="X268" i="56" a="1"/>
  <c r="X296" i="56" a="1"/>
  <c r="X355" i="56" a="1"/>
  <c r="X238" i="56" a="1"/>
  <c r="X356" i="56" a="1"/>
  <c r="X419" i="56" a="1"/>
  <c r="X297" i="56" a="1"/>
  <c r="X269" i="56" a="1"/>
  <c r="X388" i="56" a="1"/>
  <c r="X298" i="56" a="1"/>
  <c r="X239" i="56" a="1"/>
  <c r="X389" i="56" a="1"/>
  <c r="X420" i="56" a="1"/>
  <c r="X357" i="56" a="1"/>
  <c r="U121" i="56"/>
  <c r="T390" i="56" a="1"/>
  <c r="O390" i="56" a="1"/>
  <c r="M390" i="56" a="1"/>
  <c r="U175" i="56"/>
  <c r="V421" i="56" a="1"/>
  <c r="C181" i="56"/>
  <c r="F180" i="56"/>
  <c r="G180" i="56"/>
  <c r="H180" i="56"/>
  <c r="I180" i="56"/>
  <c r="J180" i="56"/>
  <c r="K180" i="56"/>
  <c r="L180" i="56"/>
  <c r="M180" i="56"/>
  <c r="N180" i="56"/>
  <c r="O180" i="56"/>
  <c r="P180" i="56"/>
  <c r="Q180" i="56"/>
  <c r="R180" i="56"/>
  <c r="S180" i="56"/>
  <c r="T180" i="56"/>
  <c r="U180" i="56"/>
  <c r="D180" i="56" a="1"/>
  <c r="W327" i="56" a="1"/>
  <c r="W207" i="56" a="1"/>
  <c r="W93" i="56" a="1"/>
  <c r="W63" i="56" a="1"/>
  <c r="W64" i="56"/>
  <c r="C392" i="56"/>
  <c r="R391" i="56" a="1"/>
  <c r="D391" i="56" a="1"/>
  <c r="S391" i="56" a="1"/>
  <c r="L390" i="56" a="1"/>
  <c r="B183" i="56"/>
  <c r="J359" i="56" a="1"/>
  <c r="G359" i="56" a="1"/>
  <c r="K359" i="56" a="1"/>
  <c r="R359" i="56" a="1"/>
  <c r="F359" i="56" a="1"/>
  <c r="O359" i="56" a="1"/>
  <c r="C360" i="56"/>
  <c r="M359" i="56" a="1"/>
  <c r="X359" i="56" a="1"/>
  <c r="H359" i="56" a="1"/>
  <c r="Q359" i="56" a="1"/>
  <c r="W359" i="56" a="1"/>
  <c r="N359" i="56" a="1"/>
  <c r="V359" i="56" a="1"/>
  <c r="T359" i="56" a="1"/>
  <c r="Y359" i="56" a="1"/>
  <c r="P359" i="56" a="1"/>
  <c r="U359" i="56" a="1"/>
  <c r="I359" i="56" a="1"/>
  <c r="S359" i="56" a="1"/>
  <c r="L359" i="56" a="1"/>
  <c r="H358" i="56" a="1"/>
  <c r="P358" i="56" a="1"/>
  <c r="I421" i="56" a="1"/>
  <c r="K421" i="56" a="1"/>
  <c r="U179" i="56"/>
  <c r="V179" i="56"/>
  <c r="C423" i="56"/>
  <c r="H422" i="56" a="1"/>
  <c r="N422" i="56" a="1"/>
  <c r="D422" i="56" a="1"/>
  <c r="Y422" i="56" a="1"/>
  <c r="V299" i="56" a="1"/>
  <c r="H390" i="56" a="1"/>
  <c r="J390" i="56" a="1"/>
  <c r="F390" i="56" a="1"/>
  <c r="D239" i="56" a="1"/>
  <c r="W239" i="56" a="1"/>
  <c r="M358" i="56" a="1"/>
  <c r="T358" i="56" a="1"/>
  <c r="H421" i="56" a="1"/>
  <c r="M421" i="56" a="1"/>
  <c r="W269" i="56" a="1"/>
  <c r="P300" i="56" a="1"/>
  <c r="N300" i="56" a="1"/>
  <c r="I300" i="56" a="1"/>
  <c r="L300" i="56" a="1"/>
  <c r="F300" i="56" a="1"/>
  <c r="Q300" i="56" a="1"/>
  <c r="H300" i="56" a="1"/>
  <c r="U300" i="56" a="1"/>
  <c r="C301" i="56"/>
  <c r="M300" i="56" a="1"/>
  <c r="S300" i="56" a="1"/>
  <c r="O300" i="56" a="1"/>
  <c r="R300" i="56" a="1"/>
  <c r="K300" i="56" a="1"/>
  <c r="J300" i="56" a="1"/>
  <c r="T300" i="56" a="1"/>
  <c r="G300" i="56" a="1"/>
  <c r="D300" i="56" a="1"/>
  <c r="W300" i="56" a="1"/>
  <c r="D152" i="56" a="1"/>
  <c r="W152" i="56"/>
  <c r="E85" i="55"/>
  <c r="X341" i="56"/>
  <c r="X343" i="56" a="1"/>
  <c r="G85" i="55"/>
  <c r="F85" i="55"/>
  <c r="D86" i="55"/>
  <c r="H85" i="55"/>
  <c r="I85" i="55"/>
  <c r="J85" i="55"/>
  <c r="K85" i="55"/>
  <c r="L85" i="55"/>
  <c r="M85" i="55"/>
  <c r="N85" i="55"/>
  <c r="O85" i="55"/>
  <c r="P85" i="55"/>
  <c r="Q85" i="55"/>
  <c r="R85" i="55"/>
  <c r="S85" i="55"/>
  <c r="T85" i="55"/>
  <c r="X372" i="56"/>
  <c r="X374" i="56" a="1"/>
  <c r="B154" i="56"/>
  <c r="Q241" i="56" a="1"/>
  <c r="N241" i="56" a="1"/>
  <c r="G241" i="56" a="1"/>
  <c r="I241" i="56" a="1"/>
  <c r="C242" i="56"/>
  <c r="O241" i="56" a="1"/>
  <c r="X241" i="56" a="1"/>
  <c r="V241" i="56" a="1"/>
  <c r="K241" i="56" a="1"/>
  <c r="U241" i="56" a="1"/>
  <c r="J241" i="56" a="1"/>
  <c r="M241" i="56" a="1"/>
  <c r="S241" i="56" a="1"/>
  <c r="T241" i="56" a="1"/>
  <c r="R241" i="56" a="1"/>
  <c r="P241" i="56" a="1"/>
  <c r="F241" i="56" a="1"/>
  <c r="L241" i="56" a="1"/>
  <c r="H241" i="56" a="1"/>
  <c r="W241" i="56" a="1"/>
  <c r="B361" i="56"/>
  <c r="D360" i="56" a="1"/>
  <c r="U390" i="56" a="1"/>
  <c r="R390" i="56" a="1"/>
  <c r="X358" i="56" a="1"/>
  <c r="G358" i="56" a="1"/>
  <c r="B243" i="56"/>
  <c r="P421" i="56" a="1"/>
  <c r="F421" i="56" a="1"/>
  <c r="L421" i="56" a="1"/>
  <c r="C273" i="56"/>
  <c r="U272" i="56" a="1"/>
  <c r="R272" i="56" a="1"/>
  <c r="X272" i="56" a="1"/>
  <c r="W272" i="56" a="1"/>
  <c r="N272" i="56" a="1"/>
  <c r="H272" i="56" a="1"/>
  <c r="F272" i="56" a="1"/>
  <c r="Q272" i="56" a="1"/>
  <c r="S272" i="56" a="1"/>
  <c r="M272" i="56" a="1"/>
  <c r="O272" i="56" a="1"/>
  <c r="I272" i="56" a="1"/>
  <c r="K272" i="56" a="1"/>
  <c r="T272" i="56" a="1"/>
  <c r="G272" i="56" a="1"/>
  <c r="P272" i="56" a="1"/>
  <c r="V272" i="56" a="1"/>
  <c r="L272" i="56" a="1"/>
  <c r="J272" i="56" a="1"/>
  <c r="G122" i="56"/>
  <c r="C123" i="56"/>
  <c r="F122" i="56"/>
  <c r="H122" i="56"/>
  <c r="I122" i="56"/>
  <c r="J122" i="56"/>
  <c r="K122" i="56"/>
  <c r="L122" i="56"/>
  <c r="M122" i="56"/>
  <c r="N122" i="56"/>
  <c r="O122" i="56"/>
  <c r="P122" i="56"/>
  <c r="Q122" i="56"/>
  <c r="R122" i="56"/>
  <c r="S122" i="56"/>
  <c r="T122" i="56"/>
  <c r="U122" i="56"/>
  <c r="D122" i="56" a="1"/>
  <c r="B394" i="56"/>
  <c r="X220" i="56"/>
  <c r="X222" i="56" a="1"/>
  <c r="Y219" i="56"/>
  <c r="Y220" i="56"/>
  <c r="W390" i="56" a="1"/>
  <c r="G155" i="56"/>
  <c r="C156" i="56"/>
  <c r="F155" i="56"/>
  <c r="H155" i="56"/>
  <c r="I155" i="56"/>
  <c r="J155" i="56"/>
  <c r="K155" i="56"/>
  <c r="L155" i="56"/>
  <c r="M155" i="56"/>
  <c r="N155" i="56"/>
  <c r="O155" i="56"/>
  <c r="P155" i="56"/>
  <c r="Q155" i="56"/>
  <c r="R155" i="56"/>
  <c r="S155" i="56"/>
  <c r="T155" i="56"/>
  <c r="U155" i="56"/>
  <c r="V155" i="56"/>
  <c r="X421" i="56" a="1"/>
  <c r="J421" i="56" a="1"/>
  <c r="P75" i="56"/>
  <c r="Q70" i="56"/>
  <c r="P73" i="56"/>
  <c r="P74" i="56"/>
  <c r="P50" i="56"/>
  <c r="W151" i="56"/>
  <c r="X151" i="56"/>
  <c r="B271" i="56"/>
  <c r="D270" i="56" a="1"/>
  <c r="W270" i="56" a="1"/>
  <c r="B305" i="56"/>
  <c r="N57" i="56"/>
  <c r="N58" i="56"/>
  <c r="N48" i="56"/>
  <c r="N51" i="56"/>
  <c r="N20" i="56"/>
  <c r="O67" i="56"/>
  <c r="P62" i="56"/>
  <c r="O65" i="56"/>
  <c r="O66" i="56"/>
  <c r="O49" i="56"/>
  <c r="W333" i="56" a="1"/>
  <c r="W99" i="56" a="1"/>
  <c r="W71" i="56" a="1"/>
  <c r="W72" i="56"/>
  <c r="W213" i="56" a="1"/>
  <c r="T391" i="56" a="1"/>
  <c r="V180" i="56"/>
  <c r="V300" i="56" a="1"/>
  <c r="N391" i="56" a="1"/>
  <c r="X300" i="56" a="1"/>
  <c r="M391" i="56" a="1"/>
  <c r="Y391" i="56" a="1"/>
  <c r="I391" i="56" a="1"/>
  <c r="N59" i="56"/>
  <c r="O54" i="56"/>
  <c r="R422" i="56" a="1"/>
  <c r="K391" i="56" a="1"/>
  <c r="X391" i="56" a="1"/>
  <c r="Y300" i="56" a="1"/>
  <c r="L391" i="56" a="1"/>
  <c r="J391" i="56" a="1"/>
  <c r="X152" i="56"/>
  <c r="Y152" i="56"/>
  <c r="Q73" i="56"/>
  <c r="Q74" i="56"/>
  <c r="Q50" i="56"/>
  <c r="X55" i="56" a="1"/>
  <c r="X56" i="56"/>
  <c r="X87" i="56" a="1"/>
  <c r="X17" i="56"/>
  <c r="X30" i="56"/>
  <c r="X201" i="56" a="1"/>
  <c r="X321" i="56" a="1"/>
  <c r="D240" i="56" a="1"/>
  <c r="X240" i="56" a="1"/>
  <c r="S273" i="56" a="1"/>
  <c r="U273" i="56" a="1"/>
  <c r="P273" i="56" a="1"/>
  <c r="L273" i="56" a="1"/>
  <c r="J273" i="56" a="1"/>
  <c r="Y273" i="56" a="1"/>
  <c r="H273" i="56" a="1"/>
  <c r="V273" i="56" a="1"/>
  <c r="Q273" i="56" a="1"/>
  <c r="C274" i="56"/>
  <c r="F273" i="56" a="1"/>
  <c r="M273" i="56" a="1"/>
  <c r="W273" i="56" a="1"/>
  <c r="R273" i="56" a="1"/>
  <c r="I273" i="56" a="1"/>
  <c r="O273" i="56" a="1"/>
  <c r="K273" i="56" a="1"/>
  <c r="X273" i="56" a="1"/>
  <c r="G273" i="56" a="1"/>
  <c r="T273" i="56" a="1"/>
  <c r="N273" i="56" a="1"/>
  <c r="G86" i="55"/>
  <c r="F86" i="55"/>
  <c r="E86" i="55"/>
  <c r="H86" i="55"/>
  <c r="I86" i="55"/>
  <c r="J86" i="55"/>
  <c r="O403" i="56"/>
  <c r="K86" i="55"/>
  <c r="Q403" i="56"/>
  <c r="L86" i="55"/>
  <c r="R403" i="56"/>
  <c r="Y412" i="56" a="1"/>
  <c r="M86" i="55"/>
  <c r="P403" i="56"/>
  <c r="U403" i="56"/>
  <c r="N86" i="55"/>
  <c r="S403" i="56"/>
  <c r="T403" i="56"/>
  <c r="O86" i="55"/>
  <c r="P86" i="55"/>
  <c r="V403" i="56"/>
  <c r="Q86" i="55"/>
  <c r="R86" i="55"/>
  <c r="S86" i="55"/>
  <c r="Y403" i="56"/>
  <c r="W403" i="56"/>
  <c r="X403" i="56"/>
  <c r="X405" i="56" a="1"/>
  <c r="T86" i="55"/>
  <c r="G403" i="56"/>
  <c r="Q422" i="56" a="1"/>
  <c r="V121" i="56"/>
  <c r="K422" i="56" a="1"/>
  <c r="V422" i="56" a="1"/>
  <c r="H391" i="56" a="1"/>
  <c r="W391" i="56" a="1"/>
  <c r="Y372" i="56"/>
  <c r="X270" i="56" a="1"/>
  <c r="W179" i="56"/>
  <c r="X179" i="56"/>
  <c r="Y179" i="56"/>
  <c r="P422" i="56" a="1"/>
  <c r="U422" i="56" a="1"/>
  <c r="C157" i="56"/>
  <c r="F156" i="56"/>
  <c r="G156" i="56"/>
  <c r="H156" i="56"/>
  <c r="I156" i="56"/>
  <c r="J156" i="56"/>
  <c r="K156" i="56"/>
  <c r="L156" i="56"/>
  <c r="M156" i="56"/>
  <c r="N156" i="56"/>
  <c r="O156" i="56"/>
  <c r="P156" i="56"/>
  <c r="Q156" i="56"/>
  <c r="R156" i="56"/>
  <c r="S156" i="56"/>
  <c r="T156" i="56"/>
  <c r="U156" i="56"/>
  <c r="V156" i="56"/>
  <c r="W156" i="56"/>
  <c r="B395" i="56"/>
  <c r="Y242" i="56" a="1"/>
  <c r="G242" i="56" a="1"/>
  <c r="T242" i="56" a="1"/>
  <c r="V242" i="56" a="1"/>
  <c r="M242" i="56" a="1"/>
  <c r="O242" i="56" a="1"/>
  <c r="J242" i="56" a="1"/>
  <c r="F242" i="56" a="1"/>
  <c r="P242" i="56" a="1"/>
  <c r="U242" i="56" a="1"/>
  <c r="X242" i="56" a="1"/>
  <c r="Q242" i="56" a="1"/>
  <c r="W242" i="56" a="1"/>
  <c r="C243" i="56"/>
  <c r="I242" i="56" a="1"/>
  <c r="L242" i="56" a="1"/>
  <c r="S242" i="56" a="1"/>
  <c r="K242" i="56" a="1"/>
  <c r="R242" i="56" a="1"/>
  <c r="H242" i="56" a="1"/>
  <c r="N242" i="56" a="1"/>
  <c r="L422" i="56" a="1"/>
  <c r="C424" i="56"/>
  <c r="D423" i="56" a="1"/>
  <c r="S423" i="56" a="1"/>
  <c r="P391" i="56" a="1"/>
  <c r="O391" i="56" a="1"/>
  <c r="O57" i="56"/>
  <c r="O58" i="56"/>
  <c r="O48" i="56"/>
  <c r="O51" i="56"/>
  <c r="O20" i="56"/>
  <c r="C182" i="56"/>
  <c r="F181" i="56"/>
  <c r="G181" i="56"/>
  <c r="H181" i="56"/>
  <c r="I181" i="56"/>
  <c r="J181" i="56"/>
  <c r="K181" i="56"/>
  <c r="L181" i="56"/>
  <c r="M181" i="56"/>
  <c r="N181" i="56"/>
  <c r="O181" i="56"/>
  <c r="P181" i="56"/>
  <c r="Q181" i="56"/>
  <c r="R181" i="56"/>
  <c r="S181" i="56"/>
  <c r="T181" i="56"/>
  <c r="U181" i="56"/>
  <c r="V181" i="56"/>
  <c r="D181" i="56" a="1"/>
  <c r="T422" i="56" a="1"/>
  <c r="B155" i="56"/>
  <c r="C393" i="56"/>
  <c r="M392" i="56" a="1"/>
  <c r="W392" i="56" a="1"/>
  <c r="S392" i="56" a="1"/>
  <c r="D392" i="56" a="1"/>
  <c r="R392" i="56" a="1"/>
  <c r="B272" i="56"/>
  <c r="D271" i="56" a="1"/>
  <c r="X271" i="56" a="1"/>
  <c r="W422" i="56" a="1"/>
  <c r="B184" i="56"/>
  <c r="V122" i="56"/>
  <c r="W122" i="56"/>
  <c r="C124" i="56"/>
  <c r="F123" i="56"/>
  <c r="G123" i="56"/>
  <c r="H123" i="56"/>
  <c r="I123" i="56"/>
  <c r="J123" i="56"/>
  <c r="K123" i="56"/>
  <c r="W123" i="56"/>
  <c r="L123" i="56"/>
  <c r="M123" i="56"/>
  <c r="N123" i="56"/>
  <c r="O123" i="56"/>
  <c r="P123" i="56"/>
  <c r="Q123" i="56"/>
  <c r="R123" i="56"/>
  <c r="S123" i="56"/>
  <c r="T123" i="56"/>
  <c r="U123" i="56"/>
  <c r="V123" i="56"/>
  <c r="D123" i="56" a="1"/>
  <c r="D361" i="56" a="1"/>
  <c r="B362" i="56"/>
  <c r="M422" i="56" a="1"/>
  <c r="O422" i="56" a="1"/>
  <c r="S422" i="56" a="1"/>
  <c r="U391" i="56" a="1"/>
  <c r="V391" i="56" a="1"/>
  <c r="F391" i="56" a="1"/>
  <c r="V175" i="56"/>
  <c r="B126" i="56"/>
  <c r="H360" i="56" a="1"/>
  <c r="I360" i="56" a="1"/>
  <c r="O360" i="56" a="1"/>
  <c r="W360" i="56" a="1"/>
  <c r="F360" i="56" a="1"/>
  <c r="Q360" i="56" a="1"/>
  <c r="L360" i="56" a="1"/>
  <c r="Y360" i="56" a="1"/>
  <c r="C361" i="56"/>
  <c r="V360" i="56" a="1"/>
  <c r="S360" i="56" a="1"/>
  <c r="N360" i="56" a="1"/>
  <c r="U360" i="56" a="1"/>
  <c r="P360" i="56" a="1"/>
  <c r="X360" i="56" a="1"/>
  <c r="J360" i="56" a="1"/>
  <c r="K360" i="56" a="1"/>
  <c r="R360" i="56" a="1"/>
  <c r="M360" i="56" a="1"/>
  <c r="G360" i="56" a="1"/>
  <c r="Z360" i="56" a="1"/>
  <c r="T360" i="56" a="1"/>
  <c r="P65" i="56"/>
  <c r="P66" i="56"/>
  <c r="P49" i="56"/>
  <c r="B244" i="56"/>
  <c r="J422" i="56" a="1"/>
  <c r="F422" i="56" a="1"/>
  <c r="I422" i="56" a="1"/>
  <c r="G391" i="56" a="1"/>
  <c r="Q391" i="56" a="1"/>
  <c r="W180" i="56"/>
  <c r="X180" i="56"/>
  <c r="X156" i="56"/>
  <c r="Y177" i="56"/>
  <c r="Y144" i="56"/>
  <c r="Y167" i="56"/>
  <c r="Y136" i="56"/>
  <c r="Y170" i="56"/>
  <c r="Y145" i="56"/>
  <c r="Y139" i="56"/>
  <c r="Y141" i="56"/>
  <c r="Y116" i="56"/>
  <c r="Z11" i="56"/>
  <c r="Y114" i="56"/>
  <c r="Y254" i="56" a="1"/>
  <c r="Y137" i="56"/>
  <c r="Y118" i="56"/>
  <c r="Y108" i="56"/>
  <c r="Y171" i="56"/>
  <c r="Y255" i="56" a="1"/>
  <c r="Y174" i="56"/>
  <c r="Y173" i="56"/>
  <c r="Y110" i="56"/>
  <c r="Y168" i="56"/>
  <c r="Y166" i="56"/>
  <c r="Y165" i="56"/>
  <c r="Y150" i="56"/>
  <c r="Y138" i="56"/>
  <c r="Y146" i="56"/>
  <c r="Y374" i="56" a="1"/>
  <c r="Y223" i="56" a="1"/>
  <c r="Y149" i="56"/>
  <c r="Y148" i="56"/>
  <c r="Y142" i="56"/>
  <c r="Y119" i="56"/>
  <c r="Y112" i="56"/>
  <c r="Y10" i="56"/>
  <c r="Y172" i="56"/>
  <c r="Y140" i="56"/>
  <c r="Y111" i="56"/>
  <c r="Y109" i="56"/>
  <c r="Y106" i="56"/>
  <c r="Y405" i="56" a="1"/>
  <c r="Y164" i="56"/>
  <c r="Y115" i="56"/>
  <c r="Y113" i="56"/>
  <c r="Y117" i="56"/>
  <c r="Y151" i="56"/>
  <c r="Y120" i="56"/>
  <c r="Y222" i="56" a="1"/>
  <c r="Y135" i="56"/>
  <c r="Y143" i="56"/>
  <c r="Y155" i="56"/>
  <c r="Y253" i="56" a="1"/>
  <c r="Y224" i="56" a="1"/>
  <c r="Y153" i="56"/>
  <c r="Y147" i="56"/>
  <c r="Y107" i="56"/>
  <c r="Y157" i="56"/>
  <c r="Y156" i="56"/>
  <c r="Y169" i="56"/>
  <c r="Y178" i="56"/>
  <c r="Y176" i="56"/>
  <c r="Y15" i="56"/>
  <c r="Y14" i="56"/>
  <c r="Y16" i="56"/>
  <c r="Y256" i="56" a="1"/>
  <c r="Y406" i="56" a="1"/>
  <c r="Y284" i="56" a="1"/>
  <c r="Y375" i="56" a="1"/>
  <c r="Y225" i="56" a="1"/>
  <c r="Y344" i="56" a="1"/>
  <c r="Y376" i="56" a="1"/>
  <c r="Y407" i="56" a="1"/>
  <c r="Y257" i="56" a="1"/>
  <c r="Y285" i="56" a="1"/>
  <c r="Y226" i="56" a="1"/>
  <c r="Y345" i="56" a="1"/>
  <c r="Y377" i="56" a="1"/>
  <c r="Y258" i="56" a="1"/>
  <c r="Y286" i="56" a="1"/>
  <c r="Y227" i="56" a="1"/>
  <c r="Y408" i="56" a="1"/>
  <c r="Y228" i="56" a="1"/>
  <c r="Y409" i="56" a="1"/>
  <c r="Y346" i="56" a="1"/>
  <c r="Y378" i="56" a="1"/>
  <c r="Y287" i="56" a="1"/>
  <c r="Y259" i="56" a="1"/>
  <c r="Y229" i="56" a="1"/>
  <c r="Y347" i="56" a="1"/>
  <c r="Y410" i="56" a="1"/>
  <c r="Y260" i="56" a="1"/>
  <c r="Y288" i="56" a="1"/>
  <c r="Y379" i="56" a="1"/>
  <c r="Y289" i="56" a="1"/>
  <c r="Y261" i="56" a="1"/>
  <c r="Y348" i="56" a="1"/>
  <c r="Y411" i="56" a="1"/>
  <c r="Y230" i="56" a="1"/>
  <c r="Y380" i="56" a="1"/>
  <c r="Y262" i="56" a="1"/>
  <c r="Y381" i="56" a="1"/>
  <c r="Y290" i="56" a="1"/>
  <c r="Y231" i="56" a="1"/>
  <c r="Y349" i="56" a="1"/>
  <c r="Y232" i="56" a="1"/>
  <c r="Y382" i="56" a="1"/>
  <c r="Y291" i="56" a="1"/>
  <c r="Y263" i="56" a="1"/>
  <c r="Y350" i="56" a="1"/>
  <c r="Y413" i="56" a="1"/>
  <c r="Y292" i="56" a="1"/>
  <c r="Y414" i="56" a="1"/>
  <c r="Y383" i="56" a="1"/>
  <c r="Y351" i="56" a="1"/>
  <c r="Y233" i="56" a="1"/>
  <c r="Y264" i="56" a="1"/>
  <c r="Y265" i="56" a="1"/>
  <c r="Y384" i="56" a="1"/>
  <c r="Y293" i="56" a="1"/>
  <c r="Y352" i="56" a="1"/>
  <c r="Y234" i="56" a="1"/>
  <c r="Y294" i="56" a="1"/>
  <c r="Y353" i="56" a="1"/>
  <c r="Y416" i="56" a="1"/>
  <c r="Y385" i="56" a="1"/>
  <c r="Y235" i="56" a="1"/>
  <c r="Y266" i="56" a="1"/>
  <c r="Y417" i="56" a="1"/>
  <c r="Y386" i="56" a="1"/>
  <c r="Y236" i="56" a="1"/>
  <c r="Y295" i="56" a="1"/>
  <c r="Y267" i="56" a="1"/>
  <c r="Y354" i="56" a="1"/>
  <c r="Y387" i="56" a="1"/>
  <c r="Y296" i="56" a="1"/>
  <c r="Y268" i="56" a="1"/>
  <c r="Y355" i="56" a="1"/>
  <c r="Y418" i="56" a="1"/>
  <c r="Y237" i="56" a="1"/>
  <c r="Y269" i="56" a="1"/>
  <c r="Y297" i="56" a="1"/>
  <c r="Y238" i="56" a="1"/>
  <c r="Y356" i="56" a="1"/>
  <c r="Y388" i="56" a="1"/>
  <c r="Y419" i="56" a="1"/>
  <c r="Y357" i="56" a="1"/>
  <c r="Y389" i="56" a="1"/>
  <c r="Y270" i="56" a="1"/>
  <c r="Y420" i="56" a="1"/>
  <c r="Y298" i="56" a="1"/>
  <c r="Y239" i="56" a="1"/>
  <c r="Y240" i="56" a="1"/>
  <c r="Y421" i="56" a="1"/>
  <c r="Y358" i="56" a="1"/>
  <c r="Y299" i="56" a="1"/>
  <c r="Y271" i="56" a="1"/>
  <c r="Y390" i="56" a="1"/>
  <c r="Y341" i="56"/>
  <c r="Y343" i="56" a="1"/>
  <c r="U301" i="56" a="1"/>
  <c r="K301" i="56" a="1"/>
  <c r="F301" i="56" a="1"/>
  <c r="Q301" i="56" a="1"/>
  <c r="R301" i="56" a="1"/>
  <c r="V301" i="56" a="1"/>
  <c r="M301" i="56" a="1"/>
  <c r="J301" i="56" a="1"/>
  <c r="I301" i="56" a="1"/>
  <c r="P301" i="56" a="1"/>
  <c r="C302" i="56"/>
  <c r="H301" i="56" a="1"/>
  <c r="W301" i="56" a="1"/>
  <c r="L301" i="56" a="1"/>
  <c r="G301" i="56" a="1"/>
  <c r="O301" i="56" a="1"/>
  <c r="N301" i="56" a="1"/>
  <c r="T301" i="56" a="1"/>
  <c r="S301" i="56" a="1"/>
  <c r="D301" i="56" a="1"/>
  <c r="X301" i="56" a="1"/>
  <c r="B306" i="56"/>
  <c r="G422" i="56" a="1"/>
  <c r="X333" i="56" a="1"/>
  <c r="X213" i="56" a="1"/>
  <c r="X99" i="56" a="1"/>
  <c r="X71" i="56" a="1"/>
  <c r="X72" i="56"/>
  <c r="X327" i="56" a="1"/>
  <c r="X207" i="56" a="1"/>
  <c r="X93" i="56" a="1"/>
  <c r="X63" i="56" a="1"/>
  <c r="X64" i="56"/>
  <c r="O423" i="56" a="1"/>
  <c r="U392" i="56" a="1"/>
  <c r="F423" i="56" a="1"/>
  <c r="T392" i="56" a="1"/>
  <c r="X123" i="56"/>
  <c r="N392" i="56" a="1"/>
  <c r="X122" i="56"/>
  <c r="Y122" i="56"/>
  <c r="G392" i="56" a="1"/>
  <c r="Z392" i="56" a="1"/>
  <c r="F392" i="56" a="1"/>
  <c r="Y213" i="56" a="1"/>
  <c r="Y99" i="56" a="1"/>
  <c r="Y333" i="56" a="1"/>
  <c r="Y71" i="56" a="1"/>
  <c r="Y72" i="56"/>
  <c r="Y180" i="56"/>
  <c r="B127" i="56"/>
  <c r="K392" i="56" a="1"/>
  <c r="V392" i="56" a="1"/>
  <c r="P392" i="56" a="1"/>
  <c r="K423" i="56" a="1"/>
  <c r="N423" i="56" a="1"/>
  <c r="J423" i="56" a="1"/>
  <c r="O243" i="56" a="1"/>
  <c r="F243" i="56" a="1"/>
  <c r="G243" i="56" a="1"/>
  <c r="M243" i="56" a="1"/>
  <c r="Q243" i="56" a="1"/>
  <c r="V243" i="56" a="1"/>
  <c r="U243" i="56" a="1"/>
  <c r="C244" i="56"/>
  <c r="R243" i="56" a="1"/>
  <c r="T243" i="56" a="1"/>
  <c r="W243" i="56" a="1"/>
  <c r="N243" i="56" a="1"/>
  <c r="I243" i="56" a="1"/>
  <c r="S243" i="56" a="1"/>
  <c r="Y243" i="56" a="1"/>
  <c r="K243" i="56" a="1"/>
  <c r="P243" i="56" a="1"/>
  <c r="Z243" i="56" a="1"/>
  <c r="J243" i="56" a="1"/>
  <c r="X243" i="56" a="1"/>
  <c r="L243" i="56" a="1"/>
  <c r="H243" i="56" a="1"/>
  <c r="U405" i="56" a="1"/>
  <c r="V406" i="56" a="1"/>
  <c r="W407" i="56" a="1"/>
  <c r="X408" i="56" a="1"/>
  <c r="Y201" i="56" a="1"/>
  <c r="Y17" i="56"/>
  <c r="Y30" i="56"/>
  <c r="Y321" i="56" a="1"/>
  <c r="Y55" i="56" a="1"/>
  <c r="Y56" i="56"/>
  <c r="Y87" i="56" a="1"/>
  <c r="D241" i="56" a="1"/>
  <c r="Y241" i="56" a="1"/>
  <c r="C125" i="56"/>
  <c r="F124" i="56"/>
  <c r="G124" i="56"/>
  <c r="H124" i="56"/>
  <c r="I124" i="56"/>
  <c r="J124" i="56"/>
  <c r="K124" i="56"/>
  <c r="L124" i="56"/>
  <c r="M124" i="56"/>
  <c r="N124" i="56"/>
  <c r="O124" i="56"/>
  <c r="P124" i="56"/>
  <c r="Q124" i="56"/>
  <c r="R124" i="56"/>
  <c r="S124" i="56"/>
  <c r="T124" i="56"/>
  <c r="U124" i="56"/>
  <c r="V124" i="56"/>
  <c r="W124" i="56"/>
  <c r="D124" i="56" a="1"/>
  <c r="C394" i="56"/>
  <c r="D393" i="56" a="1"/>
  <c r="I393" i="56" a="1"/>
  <c r="W181" i="56"/>
  <c r="L423" i="56" a="1"/>
  <c r="G423" i="56" a="1"/>
  <c r="Y423" i="56" a="1"/>
  <c r="B396" i="56"/>
  <c r="P405" i="56" a="1"/>
  <c r="Q406" i="56" a="1"/>
  <c r="R407" i="56" a="1"/>
  <c r="S408" i="56" a="1"/>
  <c r="T409" i="56" a="1"/>
  <c r="U410" i="56" a="1"/>
  <c r="V411" i="56" a="1"/>
  <c r="W412" i="56" a="1"/>
  <c r="X413" i="56" a="1"/>
  <c r="W175" i="56"/>
  <c r="X175" i="56"/>
  <c r="Y93" i="56" a="1"/>
  <c r="Y327" i="56" a="1"/>
  <c r="Y207" i="56" a="1"/>
  <c r="Y63" i="56" a="1"/>
  <c r="Y64" i="56"/>
  <c r="P67" i="56"/>
  <c r="Q62" i="56"/>
  <c r="X392" i="56" a="1"/>
  <c r="L392" i="56" a="1"/>
  <c r="J392" i="56" a="1"/>
  <c r="H423" i="56" a="1"/>
  <c r="V423" i="56" a="1"/>
  <c r="C425" i="56"/>
  <c r="K424" i="56" a="1"/>
  <c r="D424" i="56" a="1"/>
  <c r="Z424" i="56" a="1"/>
  <c r="V405" i="56" a="1"/>
  <c r="W406" i="56" a="1"/>
  <c r="X407" i="56" a="1"/>
  <c r="B245" i="56"/>
  <c r="B273" i="56"/>
  <c r="D272" i="56" a="1"/>
  <c r="Y272" i="56" a="1"/>
  <c r="B307" i="56"/>
  <c r="Z301" i="56" a="1"/>
  <c r="T302" i="56" a="1"/>
  <c r="I302" i="56" a="1"/>
  <c r="R302" i="56" a="1"/>
  <c r="L302" i="56" a="1"/>
  <c r="Q302" i="56" a="1"/>
  <c r="N302" i="56" a="1"/>
  <c r="H302" i="56" a="1"/>
  <c r="G302" i="56" a="1"/>
  <c r="J302" i="56" a="1"/>
  <c r="K302" i="56" a="1"/>
  <c r="F302" i="56" a="1"/>
  <c r="S302" i="56" a="1"/>
  <c r="O302" i="56" a="1"/>
  <c r="X302" i="56" a="1"/>
  <c r="M302" i="56" a="1"/>
  <c r="P302" i="56" a="1"/>
  <c r="W302" i="56" a="1"/>
  <c r="C303" i="56"/>
  <c r="U302" i="56" a="1"/>
  <c r="V302" i="56" a="1"/>
  <c r="D302" i="56" a="1"/>
  <c r="Z302" i="56" a="1"/>
  <c r="Z172" i="56"/>
  <c r="Z170" i="56"/>
  <c r="Z135" i="56"/>
  <c r="Z113" i="56"/>
  <c r="Z119" i="56"/>
  <c r="Z149" i="56"/>
  <c r="Z117" i="56"/>
  <c r="Z222" i="56" a="1"/>
  <c r="Z154" i="56"/>
  <c r="Z147" i="56"/>
  <c r="Z165" i="56"/>
  <c r="Z141" i="56"/>
  <c r="Z179" i="56"/>
  <c r="Z10" i="56"/>
  <c r="Z223" i="56" a="1"/>
  <c r="Z139" i="56"/>
  <c r="Z148" i="56"/>
  <c r="Z118" i="56"/>
  <c r="Z116" i="56"/>
  <c r="Z122" i="56"/>
  <c r="Z115" i="56"/>
  <c r="Z224" i="56" a="1"/>
  <c r="Z152" i="56"/>
  <c r="Z164" i="56"/>
  <c r="Z151" i="56"/>
  <c r="Z108" i="56"/>
  <c r="Z171" i="56"/>
  <c r="Z143" i="56"/>
  <c r="Z166" i="56"/>
  <c r="Z107" i="56"/>
  <c r="Z405" i="56" a="1"/>
  <c r="Z255" i="56" a="1"/>
  <c r="Z167" i="56"/>
  <c r="Z145" i="56"/>
  <c r="Z138" i="56"/>
  <c r="Z112" i="56"/>
  <c r="Z150" i="56"/>
  <c r="Z110" i="56"/>
  <c r="Z109" i="56"/>
  <c r="Z374" i="56" a="1"/>
  <c r="Z142" i="56"/>
  <c r="Z174" i="56"/>
  <c r="Z111" i="56"/>
  <c r="Z177" i="56"/>
  <c r="Z173" i="56"/>
  <c r="Z136" i="56"/>
  <c r="Z114" i="56"/>
  <c r="Z120" i="56"/>
  <c r="Z153" i="56"/>
  <c r="AA11" i="56"/>
  <c r="AA361" i="56" a="1"/>
  <c r="Z144" i="56"/>
  <c r="Z140" i="56"/>
  <c r="Z106" i="56"/>
  <c r="Z168" i="56"/>
  <c r="Z137" i="56"/>
  <c r="Z146" i="56"/>
  <c r="Z253" i="56" a="1"/>
  <c r="Z254" i="56" a="1"/>
  <c r="Z180" i="56"/>
  <c r="Z157" i="56"/>
  <c r="Z169" i="56"/>
  <c r="Z178" i="56"/>
  <c r="Z176" i="56"/>
  <c r="Z156" i="56"/>
  <c r="Z16" i="56"/>
  <c r="Z15" i="56"/>
  <c r="Z14" i="56"/>
  <c r="Z225" i="56" a="1"/>
  <c r="Z343" i="56" a="1"/>
  <c r="Z256" i="56" a="1"/>
  <c r="Z406" i="56" a="1"/>
  <c r="Z375" i="56" a="1"/>
  <c r="Z284" i="56" a="1"/>
  <c r="Z376" i="56" a="1"/>
  <c r="Z344" i="56" a="1"/>
  <c r="Z226" i="56" a="1"/>
  <c r="Z257" i="56" a="1"/>
  <c r="Z285" i="56" a="1"/>
  <c r="Z407" i="56" a="1"/>
  <c r="Z345" i="56" a="1"/>
  <c r="Z377" i="56" a="1"/>
  <c r="Z258" i="56" a="1"/>
  <c r="Z408" i="56" a="1"/>
  <c r="Z286" i="56" a="1"/>
  <c r="Z227" i="56" a="1"/>
  <c r="Z287" i="56" a="1"/>
  <c r="Z409" i="56" a="1"/>
  <c r="Z346" i="56" a="1"/>
  <c r="Z228" i="56" a="1"/>
  <c r="Z259" i="56" a="1"/>
  <c r="Z378" i="56" a="1"/>
  <c r="Z229" i="56" a="1"/>
  <c r="Z379" i="56" a="1"/>
  <c r="Z288" i="56" a="1"/>
  <c r="Z260" i="56" a="1"/>
  <c r="Z410" i="56" a="1"/>
  <c r="Z347" i="56" a="1"/>
  <c r="Z230" i="56" a="1"/>
  <c r="Z261" i="56" a="1"/>
  <c r="Z380" i="56" a="1"/>
  <c r="Z411" i="56" a="1"/>
  <c r="Z348" i="56" a="1"/>
  <c r="Z289" i="56" a="1"/>
  <c r="Z349" i="56" a="1"/>
  <c r="Z262" i="56" a="1"/>
  <c r="Z412" i="56" a="1"/>
  <c r="Z231" i="56" a="1"/>
  <c r="Z290" i="56" a="1"/>
  <c r="Z381" i="56" a="1"/>
  <c r="Z350" i="56" a="1"/>
  <c r="Z263" i="56" a="1"/>
  <c r="Z232" i="56" a="1"/>
  <c r="Z413" i="56" a="1"/>
  <c r="Z291" i="56" a="1"/>
  <c r="Z382" i="56" a="1"/>
  <c r="Z414" i="56" a="1"/>
  <c r="Z264" i="56" a="1"/>
  <c r="Z292" i="56" a="1"/>
  <c r="Z233" i="56" a="1"/>
  <c r="Z383" i="56" a="1"/>
  <c r="Z351" i="56" a="1"/>
  <c r="Z415" i="56" a="1"/>
  <c r="Z265" i="56" a="1"/>
  <c r="Z293" i="56" a="1"/>
  <c r="Z352" i="56" a="1"/>
  <c r="Z384" i="56" a="1"/>
  <c r="Z234" i="56" a="1"/>
  <c r="Z235" i="56" a="1"/>
  <c r="Z294" i="56" a="1"/>
  <c r="Z416" i="56" a="1"/>
  <c r="Z353" i="56" a="1"/>
  <c r="Z266" i="56" a="1"/>
  <c r="Z385" i="56" a="1"/>
  <c r="Z417" i="56" a="1"/>
  <c r="Z386" i="56" a="1"/>
  <c r="Z267" i="56" a="1"/>
  <c r="Z236" i="56" a="1"/>
  <c r="Z295" i="56" a="1"/>
  <c r="Z354" i="56" a="1"/>
  <c r="Z237" i="56" a="1"/>
  <c r="Z355" i="56" a="1"/>
  <c r="Z268" i="56" a="1"/>
  <c r="Z387" i="56" a="1"/>
  <c r="Z418" i="56" a="1"/>
  <c r="Z296" i="56" a="1"/>
  <c r="Z297" i="56" a="1"/>
  <c r="Z269" i="56" a="1"/>
  <c r="Z388" i="56" a="1"/>
  <c r="Z238" i="56" a="1"/>
  <c r="Z356" i="56" a="1"/>
  <c r="Z419" i="56" a="1"/>
  <c r="Z239" i="56" a="1"/>
  <c r="Z357" i="56" a="1"/>
  <c r="Z420" i="56" a="1"/>
  <c r="Z270" i="56" a="1"/>
  <c r="Z298" i="56" a="1"/>
  <c r="Z389" i="56" a="1"/>
  <c r="Z390" i="56" a="1"/>
  <c r="Z421" i="56" a="1"/>
  <c r="Z240" i="56" a="1"/>
  <c r="Z271" i="56" a="1"/>
  <c r="Z358" i="56" a="1"/>
  <c r="Z299" i="56" a="1"/>
  <c r="Z391" i="56" a="1"/>
  <c r="Z300" i="56" a="1"/>
  <c r="Z359" i="56" a="1"/>
  <c r="Z422" i="56" a="1"/>
  <c r="Z241" i="56" a="1"/>
  <c r="Y123" i="56"/>
  <c r="Z123" i="56"/>
  <c r="D362" i="56" a="1"/>
  <c r="B363" i="56"/>
  <c r="B185" i="56"/>
  <c r="H392" i="56" a="1"/>
  <c r="Y392" i="56" a="1"/>
  <c r="Q392" i="56" a="1"/>
  <c r="D154" i="56" a="1"/>
  <c r="Y154" i="56"/>
  <c r="C183" i="56"/>
  <c r="F182" i="56"/>
  <c r="G182" i="56"/>
  <c r="H182" i="56"/>
  <c r="I182" i="56"/>
  <c r="J182" i="56"/>
  <c r="K182" i="56"/>
  <c r="L182" i="56"/>
  <c r="M182" i="56"/>
  <c r="N182" i="56"/>
  <c r="O182" i="56"/>
  <c r="P182" i="56"/>
  <c r="Q182" i="56"/>
  <c r="R182" i="56"/>
  <c r="S182" i="56"/>
  <c r="T182" i="56"/>
  <c r="U182" i="56"/>
  <c r="V182" i="56"/>
  <c r="W182" i="56"/>
  <c r="D182" i="56" a="1"/>
  <c r="W423" i="56" a="1"/>
  <c r="Z423" i="56" a="1"/>
  <c r="M423" i="56" a="1"/>
  <c r="G405" i="56" a="1"/>
  <c r="H406" i="56" a="1"/>
  <c r="I407" i="56" a="1"/>
  <c r="J408" i="56" a="1"/>
  <c r="K409" i="56" a="1"/>
  <c r="L410" i="56" a="1"/>
  <c r="M411" i="56" a="1"/>
  <c r="N412" i="56" a="1"/>
  <c r="O413" i="56" a="1"/>
  <c r="P414" i="56" a="1"/>
  <c r="Q415" i="56" a="1"/>
  <c r="R416" i="56" a="1"/>
  <c r="S417" i="56" a="1"/>
  <c r="T418" i="56" a="1"/>
  <c r="U419" i="56" a="1"/>
  <c r="V420" i="56" a="1"/>
  <c r="W421" i="56" a="1"/>
  <c r="X422" i="56" a="1"/>
  <c r="R405" i="56" a="1"/>
  <c r="S406" i="56" a="1"/>
  <c r="T407" i="56" a="1"/>
  <c r="U408" i="56" a="1"/>
  <c r="V409" i="56" a="1"/>
  <c r="W410" i="56" a="1"/>
  <c r="X411" i="56" a="1"/>
  <c r="Q75" i="56"/>
  <c r="R70" i="56"/>
  <c r="O405" i="56" a="1"/>
  <c r="P406" i="56" a="1"/>
  <c r="Q407" i="56" a="1"/>
  <c r="R408" i="56" a="1"/>
  <c r="S409" i="56" a="1"/>
  <c r="T410" i="56" a="1"/>
  <c r="U411" i="56" a="1"/>
  <c r="V412" i="56" a="1"/>
  <c r="W413" i="56" a="1"/>
  <c r="X414" i="56" a="1"/>
  <c r="Y301" i="56" a="1"/>
  <c r="B156" i="56"/>
  <c r="D155" i="56" a="1"/>
  <c r="Z155" i="56"/>
  <c r="T423" i="56" a="1"/>
  <c r="X423" i="56" a="1"/>
  <c r="C158" i="56"/>
  <c r="Z158" i="56"/>
  <c r="F157" i="56"/>
  <c r="G157" i="56"/>
  <c r="H157" i="56"/>
  <c r="I157" i="56"/>
  <c r="J157" i="56"/>
  <c r="K157" i="56"/>
  <c r="L157" i="56"/>
  <c r="M157" i="56"/>
  <c r="N157" i="56"/>
  <c r="O157" i="56"/>
  <c r="P157" i="56"/>
  <c r="Q157" i="56"/>
  <c r="R157" i="56"/>
  <c r="S157" i="56"/>
  <c r="T157" i="56"/>
  <c r="U157" i="56"/>
  <c r="V157" i="56"/>
  <c r="W157" i="56"/>
  <c r="X157" i="56"/>
  <c r="Y415" i="56" a="1"/>
  <c r="C362" i="56"/>
  <c r="Y361" i="56" a="1"/>
  <c r="G361" i="56" a="1"/>
  <c r="L361" i="56" a="1"/>
  <c r="I361" i="56" a="1"/>
  <c r="F361" i="56" a="1"/>
  <c r="H361" i="56" a="1"/>
  <c r="W361" i="56" a="1"/>
  <c r="Z361" i="56" a="1"/>
  <c r="N361" i="56" a="1"/>
  <c r="K361" i="56" a="1"/>
  <c r="J361" i="56" a="1"/>
  <c r="P361" i="56" a="1"/>
  <c r="V361" i="56" a="1"/>
  <c r="U361" i="56" a="1"/>
  <c r="T361" i="56" a="1"/>
  <c r="X361" i="56" a="1"/>
  <c r="S361" i="56" a="1"/>
  <c r="Q361" i="56" a="1"/>
  <c r="O361" i="56" a="1"/>
  <c r="R361" i="56" a="1"/>
  <c r="M361" i="56" a="1"/>
  <c r="D242" i="56" a="1"/>
  <c r="Z242" i="56" a="1"/>
  <c r="O392" i="56" a="1"/>
  <c r="I392" i="56" a="1"/>
  <c r="O59" i="56"/>
  <c r="P54" i="56"/>
  <c r="U423" i="56" a="1"/>
  <c r="P423" i="56" a="1"/>
  <c r="I423" i="56" a="1"/>
  <c r="W405" i="56" a="1"/>
  <c r="X406" i="56" a="1"/>
  <c r="T405" i="56" a="1"/>
  <c r="U406" i="56" a="1"/>
  <c r="V407" i="56" a="1"/>
  <c r="W408" i="56" a="1"/>
  <c r="X409" i="56" a="1"/>
  <c r="Q405" i="56" a="1"/>
  <c r="R406" i="56" a="1"/>
  <c r="S407" i="56" a="1"/>
  <c r="T408" i="56" a="1"/>
  <c r="U409" i="56" a="1"/>
  <c r="V410" i="56" a="1"/>
  <c r="W411" i="56" a="1"/>
  <c r="X412" i="56" a="1"/>
  <c r="J274" i="56" a="1"/>
  <c r="O274" i="56" a="1"/>
  <c r="U274" i="56" a="1"/>
  <c r="P274" i="56" a="1"/>
  <c r="G274" i="56" a="1"/>
  <c r="Z274" i="56" a="1"/>
  <c r="Q274" i="56" a="1"/>
  <c r="L274" i="56" a="1"/>
  <c r="Y274" i="56" a="1"/>
  <c r="S274" i="56" a="1"/>
  <c r="M274" i="56" a="1"/>
  <c r="K274" i="56" a="1"/>
  <c r="I274" i="56" a="1"/>
  <c r="W274" i="56" a="1"/>
  <c r="V274" i="56" a="1"/>
  <c r="X274" i="56" a="1"/>
  <c r="R274" i="56" a="1"/>
  <c r="T274" i="56" a="1"/>
  <c r="N274" i="56" a="1"/>
  <c r="F274" i="56" a="1"/>
  <c r="H274" i="56" a="1"/>
  <c r="C275" i="56"/>
  <c r="Q423" i="56" a="1"/>
  <c r="R423" i="56" a="1"/>
  <c r="S405" i="56" a="1"/>
  <c r="T406" i="56" a="1"/>
  <c r="U407" i="56" a="1"/>
  <c r="V408" i="56" a="1"/>
  <c r="W409" i="56" a="1"/>
  <c r="X410" i="56" a="1"/>
  <c r="W121" i="56"/>
  <c r="R424" i="56" a="1"/>
  <c r="X182" i="56"/>
  <c r="H424" i="56" a="1"/>
  <c r="P393" i="56" a="1"/>
  <c r="Q393" i="56" a="1"/>
  <c r="C184" i="56"/>
  <c r="F183" i="56"/>
  <c r="G183" i="56"/>
  <c r="H183" i="56"/>
  <c r="I183" i="56"/>
  <c r="J183" i="56"/>
  <c r="K183" i="56"/>
  <c r="L183" i="56"/>
  <c r="M183" i="56"/>
  <c r="N183" i="56"/>
  <c r="O183" i="56"/>
  <c r="P183" i="56"/>
  <c r="Q183" i="56"/>
  <c r="R183" i="56"/>
  <c r="S183" i="56"/>
  <c r="T183" i="56"/>
  <c r="U183" i="56"/>
  <c r="V183" i="56"/>
  <c r="W183" i="56"/>
  <c r="X183" i="56"/>
  <c r="D183" i="56" a="1"/>
  <c r="Z17" i="56"/>
  <c r="Z30" i="56"/>
  <c r="Z321" i="56" a="1"/>
  <c r="Z55" i="56" a="1"/>
  <c r="Z56" i="56"/>
  <c r="Z201" i="56" a="1"/>
  <c r="Z87" i="56" a="1"/>
  <c r="Y302" i="56" a="1"/>
  <c r="AA302" i="56" a="1"/>
  <c r="B246" i="56"/>
  <c r="AA424" i="56" a="1"/>
  <c r="L424" i="56" a="1"/>
  <c r="Q424" i="56" a="1"/>
  <c r="X393" i="56" a="1"/>
  <c r="G393" i="56" a="1"/>
  <c r="Y393" i="56" a="1"/>
  <c r="Q65" i="56"/>
  <c r="Q66" i="56"/>
  <c r="Q49" i="56"/>
  <c r="U393" i="56" a="1"/>
  <c r="Z93" i="56" a="1"/>
  <c r="Z63" i="56" a="1"/>
  <c r="Z64" i="56"/>
  <c r="Z327" i="56" a="1"/>
  <c r="Z207" i="56" a="1"/>
  <c r="P424" i="56" a="1"/>
  <c r="I424" i="56" a="1"/>
  <c r="C426" i="56"/>
  <c r="U425" i="56" a="1"/>
  <c r="D425" i="56" a="1"/>
  <c r="V425" i="56" a="1"/>
  <c r="B397" i="56"/>
  <c r="C395" i="56"/>
  <c r="T394" i="56" a="1"/>
  <c r="F394" i="56" a="1"/>
  <c r="U394" i="56" a="1"/>
  <c r="Q394" i="56" a="1"/>
  <c r="V394" i="56" a="1"/>
  <c r="Z394" i="56" a="1"/>
  <c r="P394" i="56" a="1"/>
  <c r="G394" i="56" a="1"/>
  <c r="I394" i="56" a="1"/>
  <c r="N394" i="56" a="1"/>
  <c r="AB394" i="56" a="1"/>
  <c r="D394" i="56" a="1"/>
  <c r="K394" i="56" a="1"/>
  <c r="H393" i="56" a="1"/>
  <c r="AA150" i="56"/>
  <c r="AA168" i="56"/>
  <c r="AA174" i="56"/>
  <c r="AA119" i="56"/>
  <c r="AA117" i="56"/>
  <c r="AA118" i="56"/>
  <c r="AA222" i="56" a="1"/>
  <c r="AA180" i="56"/>
  <c r="AA170" i="56"/>
  <c r="AA172" i="56"/>
  <c r="AA153" i="56"/>
  <c r="AA135" i="56"/>
  <c r="AA113" i="56"/>
  <c r="AA144" i="56"/>
  <c r="AA148" i="56"/>
  <c r="AB11" i="56"/>
  <c r="AA255" i="56" a="1"/>
  <c r="AA145" i="56"/>
  <c r="AA146" i="56"/>
  <c r="AA111" i="56"/>
  <c r="AA139" i="56"/>
  <c r="AA120" i="56"/>
  <c r="AA224" i="56" a="1"/>
  <c r="AA152" i="56"/>
  <c r="AA137" i="56"/>
  <c r="AA138" i="56"/>
  <c r="AA177" i="56"/>
  <c r="AA110" i="56"/>
  <c r="AA140" i="56"/>
  <c r="AA173" i="56"/>
  <c r="AA136" i="56"/>
  <c r="AA122" i="56"/>
  <c r="AA107" i="56"/>
  <c r="AA223" i="56" a="1"/>
  <c r="AA154" i="56"/>
  <c r="AA164" i="56"/>
  <c r="AA165" i="56"/>
  <c r="AA114" i="56"/>
  <c r="AA10" i="56"/>
  <c r="AA147" i="56"/>
  <c r="AA151" i="56"/>
  <c r="AA106" i="56"/>
  <c r="AA115" i="56"/>
  <c r="AA405" i="56" a="1"/>
  <c r="AA254" i="56" a="1"/>
  <c r="AA143" i="56"/>
  <c r="AA116" i="56"/>
  <c r="AA149" i="56"/>
  <c r="AA112" i="56"/>
  <c r="AA167" i="56"/>
  <c r="AA179" i="56"/>
  <c r="AA108" i="56"/>
  <c r="AA109" i="56"/>
  <c r="AA253" i="56" a="1"/>
  <c r="AA155" i="56"/>
  <c r="AA142" i="56"/>
  <c r="AA171" i="56"/>
  <c r="AA166" i="56"/>
  <c r="AA158" i="56"/>
  <c r="AA141" i="56"/>
  <c r="AA374" i="56" a="1"/>
  <c r="AA157" i="56"/>
  <c r="AA178" i="56"/>
  <c r="AA176" i="56"/>
  <c r="AA169" i="56"/>
  <c r="AA123" i="56"/>
  <c r="AA14" i="56"/>
  <c r="AA16" i="56"/>
  <c r="AA15" i="56"/>
  <c r="AA343" i="56" a="1"/>
  <c r="AA406" i="56" a="1"/>
  <c r="AA256" i="56" a="1"/>
  <c r="AA284" i="56" a="1"/>
  <c r="AA375" i="56" a="1"/>
  <c r="AA225" i="56" a="1"/>
  <c r="AA376" i="56" a="1"/>
  <c r="AA344" i="56" a="1"/>
  <c r="AA257" i="56" a="1"/>
  <c r="AA285" i="56" a="1"/>
  <c r="AA226" i="56" a="1"/>
  <c r="AA407" i="56" a="1"/>
  <c r="AA345" i="56" a="1"/>
  <c r="AA258" i="56" a="1"/>
  <c r="AA377" i="56" a="1"/>
  <c r="AA227" i="56" a="1"/>
  <c r="AA408" i="56" a="1"/>
  <c r="AA286" i="56" a="1"/>
  <c r="AA378" i="56" a="1"/>
  <c r="AA346" i="56" a="1"/>
  <c r="AA228" i="56" a="1"/>
  <c r="AA409" i="56" a="1"/>
  <c r="AA287" i="56" a="1"/>
  <c r="AA259" i="56" a="1"/>
  <c r="AA229" i="56" a="1"/>
  <c r="AA379" i="56" a="1"/>
  <c r="AA410" i="56" a="1"/>
  <c r="AA347" i="56" a="1"/>
  <c r="AA260" i="56" a="1"/>
  <c r="AA288" i="56" a="1"/>
  <c r="AA380" i="56" a="1"/>
  <c r="AA261" i="56" a="1"/>
  <c r="AA230" i="56" a="1"/>
  <c r="AA289" i="56" a="1"/>
  <c r="AA411" i="56" a="1"/>
  <c r="AA348" i="56" a="1"/>
  <c r="AA349" i="56" a="1"/>
  <c r="AA381" i="56" a="1"/>
  <c r="AA231" i="56" a="1"/>
  <c r="AA262" i="56" a="1"/>
  <c r="AA412" i="56" a="1"/>
  <c r="AA290" i="56" a="1"/>
  <c r="AA291" i="56" a="1"/>
  <c r="AA232" i="56" a="1"/>
  <c r="AA382" i="56" a="1"/>
  <c r="AA413" i="56" a="1"/>
  <c r="AA350" i="56" a="1"/>
  <c r="AA263" i="56" a="1"/>
  <c r="AA383" i="56" a="1"/>
  <c r="AA414" i="56" a="1"/>
  <c r="AA264" i="56" a="1"/>
  <c r="AA292" i="56" a="1"/>
  <c r="AA351" i="56" a="1"/>
  <c r="AA233" i="56" a="1"/>
  <c r="AA384" i="56" a="1"/>
  <c r="AA265" i="56" a="1"/>
  <c r="AA234" i="56" a="1"/>
  <c r="AA415" i="56" a="1"/>
  <c r="AA352" i="56" a="1"/>
  <c r="AA293" i="56" a="1"/>
  <c r="AA294" i="56" a="1"/>
  <c r="AA353" i="56" a="1"/>
  <c r="AA416" i="56" a="1"/>
  <c r="AA266" i="56" a="1"/>
  <c r="AA385" i="56" a="1"/>
  <c r="AA235" i="56" a="1"/>
  <c r="AA267" i="56" a="1"/>
  <c r="AA354" i="56" a="1"/>
  <c r="AA417" i="56" a="1"/>
  <c r="AA386" i="56" a="1"/>
  <c r="AA295" i="56" a="1"/>
  <c r="AA236" i="56" a="1"/>
  <c r="AA296" i="56" a="1"/>
  <c r="AA387" i="56" a="1"/>
  <c r="AA418" i="56" a="1"/>
  <c r="AA268" i="56" a="1"/>
  <c r="AA237" i="56" a="1"/>
  <c r="AA355" i="56" a="1"/>
  <c r="AA419" i="56" a="1"/>
  <c r="AA238" i="56" a="1"/>
  <c r="AA356" i="56" a="1"/>
  <c r="AA297" i="56" a="1"/>
  <c r="AA269" i="56" a="1"/>
  <c r="AA388" i="56" a="1"/>
  <c r="AA389" i="56" a="1"/>
  <c r="AA239" i="56" a="1"/>
  <c r="AA357" i="56" a="1"/>
  <c r="AA270" i="56" a="1"/>
  <c r="AA420" i="56" a="1"/>
  <c r="AA298" i="56" a="1"/>
  <c r="AA390" i="56" a="1"/>
  <c r="AA240" i="56" a="1"/>
  <c r="AA299" i="56" a="1"/>
  <c r="AA358" i="56" a="1"/>
  <c r="AA271" i="56" a="1"/>
  <c r="AA421" i="56" a="1"/>
  <c r="AA241" i="56" a="1"/>
  <c r="AA359" i="56" a="1"/>
  <c r="AA300" i="56" a="1"/>
  <c r="AA272" i="56" a="1"/>
  <c r="AA391" i="56" a="1"/>
  <c r="AA422" i="56" a="1"/>
  <c r="AA392" i="56" a="1"/>
  <c r="AA423" i="56" a="1"/>
  <c r="AA242" i="56" a="1"/>
  <c r="AA301" i="56" a="1"/>
  <c r="AA360" i="56" a="1"/>
  <c r="Z272" i="56" a="1"/>
  <c r="Z333" i="56" a="1"/>
  <c r="Z99" i="56" a="1"/>
  <c r="Z71" i="56" a="1"/>
  <c r="Z72" i="56"/>
  <c r="Z213" i="56" a="1"/>
  <c r="G424" i="56" a="1"/>
  <c r="O424" i="56" a="1"/>
  <c r="N393" i="56" a="1"/>
  <c r="K393" i="56" a="1"/>
  <c r="X124" i="56"/>
  <c r="Y124" i="56"/>
  <c r="B186" i="56"/>
  <c r="W303" i="56" a="1"/>
  <c r="M303" i="56" a="1"/>
  <c r="J303" i="56" a="1"/>
  <c r="O303" i="56" a="1"/>
  <c r="F303" i="56" a="1"/>
  <c r="R303" i="56" a="1"/>
  <c r="K303" i="56" a="1"/>
  <c r="P303" i="56" a="1"/>
  <c r="H303" i="56" a="1"/>
  <c r="X303" i="56" a="1"/>
  <c r="S303" i="56" a="1"/>
  <c r="V303" i="56" a="1"/>
  <c r="G303" i="56" a="1"/>
  <c r="L303" i="56" a="1"/>
  <c r="T303" i="56" a="1"/>
  <c r="U303" i="56" a="1"/>
  <c r="C304" i="56"/>
  <c r="Q303" i="56" a="1"/>
  <c r="I303" i="56" a="1"/>
  <c r="N303" i="56" a="1"/>
  <c r="D303" i="56" a="1"/>
  <c r="AB303" i="56" a="1"/>
  <c r="O393" i="56" a="1"/>
  <c r="B274" i="56"/>
  <c r="D273" i="56" a="1"/>
  <c r="Z273" i="56" a="1"/>
  <c r="X424" i="56" a="1"/>
  <c r="X121" i="56"/>
  <c r="P57" i="56"/>
  <c r="P58" i="56"/>
  <c r="B157" i="56"/>
  <c r="D156" i="56" a="1"/>
  <c r="AA156" i="56"/>
  <c r="M424" i="56" a="1"/>
  <c r="S424" i="56" a="1"/>
  <c r="T424" i="56" a="1"/>
  <c r="M393" i="56" a="1"/>
  <c r="V393" i="56" a="1"/>
  <c r="W393" i="56" a="1"/>
  <c r="B364" i="56"/>
  <c r="D363" i="56" a="1"/>
  <c r="V424" i="56" a="1"/>
  <c r="T393" i="56" a="1"/>
  <c r="G275" i="56" a="1"/>
  <c r="U275" i="56" a="1"/>
  <c r="C276" i="56"/>
  <c r="W275" i="56" a="1"/>
  <c r="N275" i="56" a="1"/>
  <c r="X275" i="56" a="1"/>
  <c r="K275" i="56" a="1"/>
  <c r="M275" i="56" a="1"/>
  <c r="Z275" i="56" a="1"/>
  <c r="I275" i="56" a="1"/>
  <c r="V275" i="56" a="1"/>
  <c r="H275" i="56" a="1"/>
  <c r="R275" i="56" a="1"/>
  <c r="T275" i="56" a="1"/>
  <c r="J275" i="56" a="1"/>
  <c r="P275" i="56" a="1"/>
  <c r="AA275" i="56" a="1"/>
  <c r="F275" i="56" a="1"/>
  <c r="L275" i="56" a="1"/>
  <c r="O275" i="56" a="1"/>
  <c r="Y275" i="56" a="1"/>
  <c r="Q275" i="56" a="1"/>
  <c r="S275" i="56" a="1"/>
  <c r="Y182" i="56"/>
  <c r="Z182" i="56"/>
  <c r="U424" i="56" a="1"/>
  <c r="Y424" i="56" a="1"/>
  <c r="W424" i="56" a="1"/>
  <c r="L393" i="56" a="1"/>
  <c r="AA393" i="56" a="1"/>
  <c r="F393" i="56" a="1"/>
  <c r="X181" i="56"/>
  <c r="Y121" i="56"/>
  <c r="J393" i="56" a="1"/>
  <c r="H244" i="56" a="1"/>
  <c r="M244" i="56" a="1"/>
  <c r="X244" i="56" a="1"/>
  <c r="S244" i="56" a="1"/>
  <c r="F244" i="56" a="1"/>
  <c r="U244" i="56" a="1"/>
  <c r="T244" i="56" a="1"/>
  <c r="G244" i="56" a="1"/>
  <c r="P244" i="56" a="1"/>
  <c r="L244" i="56" a="1"/>
  <c r="R244" i="56" a="1"/>
  <c r="J244" i="56" a="1"/>
  <c r="C245" i="56"/>
  <c r="Q244" i="56" a="1"/>
  <c r="I244" i="56" a="1"/>
  <c r="AA244" i="56" a="1"/>
  <c r="Z244" i="56" a="1"/>
  <c r="W244" i="56" a="1"/>
  <c r="Y244" i="56" a="1"/>
  <c r="V244" i="56" a="1"/>
  <c r="O244" i="56" a="1"/>
  <c r="K244" i="56" a="1"/>
  <c r="N244" i="56" a="1"/>
  <c r="R73" i="56"/>
  <c r="R74" i="56"/>
  <c r="R50" i="56"/>
  <c r="F424" i="56" a="1"/>
  <c r="Z393" i="56" a="1"/>
  <c r="M362" i="56" a="1"/>
  <c r="V362" i="56" a="1"/>
  <c r="Q362" i="56" a="1"/>
  <c r="T362" i="56" a="1"/>
  <c r="I362" i="56" a="1"/>
  <c r="P362" i="56" a="1"/>
  <c r="U362" i="56" a="1"/>
  <c r="Z362" i="56" a="1"/>
  <c r="K362" i="56" a="1"/>
  <c r="N362" i="56" a="1"/>
  <c r="W362" i="56" a="1"/>
  <c r="X362" i="56" a="1"/>
  <c r="L362" i="56" a="1"/>
  <c r="J362" i="56" a="1"/>
  <c r="Y362" i="56" a="1"/>
  <c r="H362" i="56" a="1"/>
  <c r="C363" i="56"/>
  <c r="O362" i="56" a="1"/>
  <c r="AA362" i="56" a="1"/>
  <c r="F362" i="56" a="1"/>
  <c r="AB362" i="56" a="1"/>
  <c r="G362" i="56" a="1"/>
  <c r="S362" i="56" a="1"/>
  <c r="R362" i="56" a="1"/>
  <c r="C159" i="56"/>
  <c r="F158" i="56"/>
  <c r="G158" i="56"/>
  <c r="H158" i="56"/>
  <c r="I158" i="56"/>
  <c r="J158" i="56"/>
  <c r="K158" i="56"/>
  <c r="L158" i="56"/>
  <c r="M158" i="56"/>
  <c r="N158" i="56"/>
  <c r="O158" i="56"/>
  <c r="P158" i="56"/>
  <c r="Q158" i="56"/>
  <c r="R158" i="56"/>
  <c r="S158" i="56"/>
  <c r="T158" i="56"/>
  <c r="U158" i="56"/>
  <c r="V158" i="56"/>
  <c r="W158" i="56"/>
  <c r="X158" i="56"/>
  <c r="Y158" i="56"/>
  <c r="B308" i="56"/>
  <c r="J424" i="56" a="1"/>
  <c r="N424" i="56" a="1"/>
  <c r="Y175" i="56"/>
  <c r="R393" i="56" a="1"/>
  <c r="S393" i="56" a="1"/>
  <c r="C126" i="56"/>
  <c r="F125" i="56"/>
  <c r="Y125" i="56"/>
  <c r="G125" i="56"/>
  <c r="H125" i="56"/>
  <c r="I125" i="56"/>
  <c r="J125" i="56"/>
  <c r="K125" i="56"/>
  <c r="L125" i="56"/>
  <c r="M125" i="56"/>
  <c r="N125" i="56"/>
  <c r="O125" i="56"/>
  <c r="P125" i="56"/>
  <c r="Q125" i="56"/>
  <c r="R125" i="56"/>
  <c r="S125" i="56"/>
  <c r="T125" i="56"/>
  <c r="U125" i="56"/>
  <c r="V125" i="56"/>
  <c r="W125" i="56"/>
  <c r="X125" i="56"/>
  <c r="D125" i="56" a="1"/>
  <c r="B128" i="56"/>
  <c r="D243" i="56" a="1"/>
  <c r="AA243" i="56" a="1"/>
  <c r="W394" i="56" a="1"/>
  <c r="S394" i="56" a="1"/>
  <c r="AA273" i="56" a="1"/>
  <c r="Z121" i="56"/>
  <c r="AA121" i="56"/>
  <c r="AB121" i="56"/>
  <c r="O394" i="56" a="1"/>
  <c r="J394" i="56" a="1"/>
  <c r="T425" i="56" a="1"/>
  <c r="X394" i="56" a="1"/>
  <c r="R394" i="56" a="1"/>
  <c r="H394" i="56" a="1"/>
  <c r="Q425" i="56" a="1"/>
  <c r="N425" i="56" a="1"/>
  <c r="F425" i="56" a="1"/>
  <c r="O425" i="56" a="1"/>
  <c r="R425" i="56" a="1"/>
  <c r="I425" i="56" a="1"/>
  <c r="C427" i="56"/>
  <c r="D426" i="56" a="1"/>
  <c r="AB426" i="56" a="1"/>
  <c r="B158" i="56"/>
  <c r="L304" i="56" a="1"/>
  <c r="K304" i="56" a="1"/>
  <c r="O304" i="56" a="1"/>
  <c r="V304" i="56" a="1"/>
  <c r="I304" i="56" a="1"/>
  <c r="W304" i="56" a="1"/>
  <c r="J304" i="56" a="1"/>
  <c r="M304" i="56" a="1"/>
  <c r="X304" i="56" a="1"/>
  <c r="F304" i="56" a="1"/>
  <c r="Y304" i="56" a="1"/>
  <c r="T304" i="56" a="1"/>
  <c r="U304" i="56" a="1"/>
  <c r="AB304" i="56" a="1"/>
  <c r="P304" i="56" a="1"/>
  <c r="S304" i="56" a="1"/>
  <c r="H304" i="56" a="1"/>
  <c r="G304" i="56" a="1"/>
  <c r="C305" i="56"/>
  <c r="R304" i="56" a="1"/>
  <c r="AA304" i="56" a="1"/>
  <c r="N304" i="56" a="1"/>
  <c r="Q304" i="56" a="1"/>
  <c r="Z304" i="56" a="1"/>
  <c r="D304" i="56" a="1"/>
  <c r="AA63" i="56" a="1"/>
  <c r="AA64" i="56"/>
  <c r="AA327" i="56" a="1"/>
  <c r="AA207" i="56" a="1"/>
  <c r="AA93" i="56" a="1"/>
  <c r="AB167" i="56"/>
  <c r="AB165" i="56"/>
  <c r="AB138" i="56"/>
  <c r="AB116" i="56"/>
  <c r="AB147" i="56"/>
  <c r="AB152" i="56"/>
  <c r="AB110" i="56"/>
  <c r="AB151" i="56"/>
  <c r="AB222" i="56" a="1"/>
  <c r="AB153" i="56"/>
  <c r="AB168" i="56"/>
  <c r="AB174" i="56"/>
  <c r="AB142" i="56"/>
  <c r="AB114" i="56"/>
  <c r="AB112" i="56"/>
  <c r="AB374" i="56" a="1"/>
  <c r="AB145" i="56"/>
  <c r="AB179" i="56"/>
  <c r="AB166" i="56"/>
  <c r="AB106" i="56"/>
  <c r="AB172" i="56"/>
  <c r="AB118" i="56"/>
  <c r="AB171" i="56"/>
  <c r="AB108" i="56"/>
  <c r="AB117" i="56"/>
  <c r="AB10" i="56"/>
  <c r="AB224" i="56" a="1"/>
  <c r="AC11" i="56"/>
  <c r="AB155" i="56"/>
  <c r="AB150" i="56"/>
  <c r="AB154" i="56"/>
  <c r="AB164" i="56"/>
  <c r="AB109" i="56"/>
  <c r="AB115" i="56"/>
  <c r="AB253" i="56" a="1"/>
  <c r="AB170" i="56"/>
  <c r="AB146" i="56"/>
  <c r="AB119" i="56"/>
  <c r="AB139" i="56"/>
  <c r="AB136" i="56"/>
  <c r="AB405" i="56" a="1"/>
  <c r="AB137" i="56"/>
  <c r="AB111" i="56"/>
  <c r="AB120" i="56"/>
  <c r="AB123" i="56"/>
  <c r="AB223" i="56" a="1"/>
  <c r="AB177" i="56"/>
  <c r="AB135" i="56"/>
  <c r="AB143" i="56"/>
  <c r="AB173" i="56"/>
  <c r="AB149" i="56"/>
  <c r="AB144" i="56"/>
  <c r="AB180" i="56"/>
  <c r="AB254" i="56" a="1"/>
  <c r="AB158" i="56"/>
  <c r="AB113" i="56"/>
  <c r="AB107" i="56"/>
  <c r="AB159" i="56"/>
  <c r="AB148" i="56"/>
  <c r="AB140" i="56"/>
  <c r="AB141" i="56"/>
  <c r="AB122" i="56"/>
  <c r="AB255" i="56" a="1"/>
  <c r="AB156" i="56"/>
  <c r="AB178" i="56"/>
  <c r="AB176" i="56"/>
  <c r="AB169" i="56"/>
  <c r="AB14" i="56"/>
  <c r="AB15" i="56"/>
  <c r="AB16" i="56"/>
  <c r="AB375" i="56" a="1"/>
  <c r="AB225" i="56" a="1"/>
  <c r="AB256" i="56" a="1"/>
  <c r="AB343" i="56" a="1"/>
  <c r="AB406" i="56" a="1"/>
  <c r="AB284" i="56" a="1"/>
  <c r="AB407" i="56" a="1"/>
  <c r="AB226" i="56" a="1"/>
  <c r="AB376" i="56" a="1"/>
  <c r="AB344" i="56" a="1"/>
  <c r="AB285" i="56" a="1"/>
  <c r="AB257" i="56" a="1"/>
  <c r="AB227" i="56" a="1"/>
  <c r="AB345" i="56" a="1"/>
  <c r="AB377" i="56" a="1"/>
  <c r="AB408" i="56" a="1"/>
  <c r="AB258" i="56" a="1"/>
  <c r="AB286" i="56" a="1"/>
  <c r="AB378" i="56" a="1"/>
  <c r="AB259" i="56" a="1"/>
  <c r="AB287" i="56" a="1"/>
  <c r="AB409" i="56" a="1"/>
  <c r="AB228" i="56" a="1"/>
  <c r="AB346" i="56" a="1"/>
  <c r="AB347" i="56" a="1"/>
  <c r="AB260" i="56" a="1"/>
  <c r="AB379" i="56" a="1"/>
  <c r="AB410" i="56" a="1"/>
  <c r="AB288" i="56" a="1"/>
  <c r="AB229" i="56" a="1"/>
  <c r="AB289" i="56" a="1"/>
  <c r="AB411" i="56" a="1"/>
  <c r="AB380" i="56" a="1"/>
  <c r="AB348" i="56" a="1"/>
  <c r="AB261" i="56" a="1"/>
  <c r="AB230" i="56" a="1"/>
  <c r="AB231" i="56" a="1"/>
  <c r="AB290" i="56" a="1"/>
  <c r="AB381" i="56" a="1"/>
  <c r="AB349" i="56" a="1"/>
  <c r="AB412" i="56" a="1"/>
  <c r="AB262" i="56" a="1"/>
  <c r="AB413" i="56" a="1"/>
  <c r="AB350" i="56" a="1"/>
  <c r="AB232" i="56" a="1"/>
  <c r="AB263" i="56" a="1"/>
  <c r="AB382" i="56" a="1"/>
  <c r="AB291" i="56" a="1"/>
  <c r="AB264" i="56" a="1"/>
  <c r="AB233" i="56" a="1"/>
  <c r="AB414" i="56" a="1"/>
  <c r="AB292" i="56" a="1"/>
  <c r="AB383" i="56" a="1"/>
  <c r="AB351" i="56" a="1"/>
  <c r="AB265" i="56" a="1"/>
  <c r="AB234" i="56" a="1"/>
  <c r="AB293" i="56" a="1"/>
  <c r="AB384" i="56" a="1"/>
  <c r="AB415" i="56" a="1"/>
  <c r="AB352" i="56" a="1"/>
  <c r="AB416" i="56" a="1"/>
  <c r="AB235" i="56" a="1"/>
  <c r="AB294" i="56" a="1"/>
  <c r="AB353" i="56" a="1"/>
  <c r="AB266" i="56" a="1"/>
  <c r="AB385" i="56" a="1"/>
  <c r="AB354" i="56" a="1"/>
  <c r="AB417" i="56" a="1"/>
  <c r="AB295" i="56" a="1"/>
  <c r="AB236" i="56" a="1"/>
  <c r="AB386" i="56" a="1"/>
  <c r="AB267" i="56" a="1"/>
  <c r="AB237" i="56" a="1"/>
  <c r="AB296" i="56" a="1"/>
  <c r="AB355" i="56" a="1"/>
  <c r="AB387" i="56" a="1"/>
  <c r="AB268" i="56" a="1"/>
  <c r="AB418" i="56" a="1"/>
  <c r="AB356" i="56" a="1"/>
  <c r="AB388" i="56" a="1"/>
  <c r="AB419" i="56" a="1"/>
  <c r="AB238" i="56" a="1"/>
  <c r="AB297" i="56" a="1"/>
  <c r="AB269" i="56" a="1"/>
  <c r="AB420" i="56" a="1"/>
  <c r="AB298" i="56" a="1"/>
  <c r="AB239" i="56" a="1"/>
  <c r="AB357" i="56" a="1"/>
  <c r="AB389" i="56" a="1"/>
  <c r="AB270" i="56" a="1"/>
  <c r="AB358" i="56" a="1"/>
  <c r="AB240" i="56" a="1"/>
  <c r="AB299" i="56" a="1"/>
  <c r="AB390" i="56" a="1"/>
  <c r="AB271" i="56" a="1"/>
  <c r="AB421" i="56" a="1"/>
  <c r="AB422" i="56" a="1"/>
  <c r="AB272" i="56" a="1"/>
  <c r="AB241" i="56" a="1"/>
  <c r="AB391" i="56" a="1"/>
  <c r="AB359" i="56" a="1"/>
  <c r="AB300" i="56" a="1"/>
  <c r="AB360" i="56" a="1"/>
  <c r="AB301" i="56" a="1"/>
  <c r="AB273" i="56" a="1"/>
  <c r="AB392" i="56" a="1"/>
  <c r="AB423" i="56" a="1"/>
  <c r="AB242" i="56" a="1"/>
  <c r="AB243" i="56" a="1"/>
  <c r="AB302" i="56" a="1"/>
  <c r="AB361" i="56" a="1"/>
  <c r="AB393" i="56" a="1"/>
  <c r="AB424" i="56" a="1"/>
  <c r="W425" i="56" a="1"/>
  <c r="P425" i="56" a="1"/>
  <c r="S425" i="56" a="1"/>
  <c r="AA213" i="56" a="1"/>
  <c r="AA99" i="56" a="1"/>
  <c r="AA71" i="56" a="1"/>
  <c r="AA72" i="56"/>
  <c r="AA333" i="56" a="1"/>
  <c r="M425" i="56" a="1"/>
  <c r="Z425" i="56" a="1"/>
  <c r="AA425" i="56" a="1"/>
  <c r="Y183" i="56"/>
  <c r="Z124" i="56"/>
  <c r="AA124" i="56"/>
  <c r="C127" i="56"/>
  <c r="F126" i="56"/>
  <c r="G126" i="56"/>
  <c r="H126" i="56"/>
  <c r="I126" i="56"/>
  <c r="J126" i="56"/>
  <c r="K126" i="56"/>
  <c r="L126" i="56"/>
  <c r="M126" i="56"/>
  <c r="N126" i="56"/>
  <c r="O126" i="56"/>
  <c r="P126" i="56"/>
  <c r="Q126" i="56"/>
  <c r="R126" i="56"/>
  <c r="S126" i="56"/>
  <c r="T126" i="56"/>
  <c r="U126" i="56"/>
  <c r="V126" i="56"/>
  <c r="W126" i="56"/>
  <c r="X126" i="56"/>
  <c r="Y126" i="56"/>
  <c r="D126" i="56" a="1"/>
  <c r="F4" i="56"/>
  <c r="P48" i="56"/>
  <c r="P51" i="56"/>
  <c r="P20" i="56"/>
  <c r="AA303" i="56" a="1"/>
  <c r="AA321" i="56" a="1"/>
  <c r="AA201" i="56" a="1"/>
  <c r="AA87" i="56" a="1"/>
  <c r="AA55" i="56" a="1"/>
  <c r="AA56" i="56"/>
  <c r="AA17" i="56"/>
  <c r="AA30" i="56"/>
  <c r="AA182" i="56"/>
  <c r="AB182" i="56"/>
  <c r="AA394" i="56" a="1"/>
  <c r="L394" i="56" a="1"/>
  <c r="Y394" i="56" a="1"/>
  <c r="X425" i="56" a="1"/>
  <c r="J425" i="56" a="1"/>
  <c r="Y425" i="56" a="1"/>
  <c r="L425" i="56" a="1"/>
  <c r="D244" i="56" a="1"/>
  <c r="AB244" i="56" a="1"/>
  <c r="Y181" i="56"/>
  <c r="P59" i="56"/>
  <c r="Q54" i="56"/>
  <c r="G425" i="56" a="1"/>
  <c r="B275" i="56"/>
  <c r="D274" i="56" a="1"/>
  <c r="AA274" i="56" a="1"/>
  <c r="B398" i="56"/>
  <c r="R75" i="56"/>
  <c r="S70" i="56"/>
  <c r="Z303" i="56" a="1"/>
  <c r="F159" i="56"/>
  <c r="F160" i="56"/>
  <c r="F81" i="56"/>
  <c r="F94" i="56"/>
  <c r="F95" i="56"/>
  <c r="G92" i="56"/>
  <c r="G159" i="56"/>
  <c r="G160" i="56"/>
  <c r="G81" i="56"/>
  <c r="G94" i="56"/>
  <c r="H159" i="56"/>
  <c r="H160" i="56"/>
  <c r="H81" i="56"/>
  <c r="H94" i="56"/>
  <c r="I159" i="56"/>
  <c r="I160" i="56"/>
  <c r="I81" i="56"/>
  <c r="I94" i="56"/>
  <c r="J159" i="56"/>
  <c r="J160" i="56"/>
  <c r="J81" i="56"/>
  <c r="J94" i="56"/>
  <c r="K159" i="56"/>
  <c r="K160" i="56"/>
  <c r="L159" i="56"/>
  <c r="L160" i="56"/>
  <c r="L81" i="56"/>
  <c r="L94" i="56"/>
  <c r="M159" i="56"/>
  <c r="M160" i="56"/>
  <c r="M81" i="56"/>
  <c r="M94" i="56"/>
  <c r="N159" i="56"/>
  <c r="N160" i="56"/>
  <c r="N81" i="56"/>
  <c r="N94" i="56"/>
  <c r="O159" i="56"/>
  <c r="O160" i="56"/>
  <c r="O81" i="56"/>
  <c r="O94" i="56"/>
  <c r="P159" i="56"/>
  <c r="P160" i="56"/>
  <c r="P81" i="56"/>
  <c r="P94" i="56"/>
  <c r="Q159" i="56"/>
  <c r="Q160" i="56"/>
  <c r="Q81" i="56"/>
  <c r="Q94" i="56"/>
  <c r="R159" i="56"/>
  <c r="R160" i="56"/>
  <c r="R81" i="56"/>
  <c r="R94" i="56"/>
  <c r="S159" i="56"/>
  <c r="S160" i="56"/>
  <c r="S81" i="56"/>
  <c r="S94" i="56"/>
  <c r="T159" i="56"/>
  <c r="T160" i="56"/>
  <c r="T81" i="56"/>
  <c r="T94" i="56"/>
  <c r="U159" i="56"/>
  <c r="U160" i="56"/>
  <c r="U81" i="56"/>
  <c r="U94" i="56"/>
  <c r="V159" i="56"/>
  <c r="V160" i="56"/>
  <c r="V81" i="56"/>
  <c r="V94" i="56"/>
  <c r="W159" i="56"/>
  <c r="W160" i="56"/>
  <c r="W81" i="56"/>
  <c r="W94" i="56"/>
  <c r="X159" i="56"/>
  <c r="X160" i="56"/>
  <c r="X81" i="56"/>
  <c r="X94" i="56"/>
  <c r="Y159" i="56"/>
  <c r="Y160" i="56"/>
  <c r="Y81" i="56"/>
  <c r="Y94" i="56"/>
  <c r="Z159" i="56"/>
  <c r="Z160" i="56"/>
  <c r="Z81" i="56"/>
  <c r="Z94" i="56"/>
  <c r="B129" i="56"/>
  <c r="L276" i="56" a="1"/>
  <c r="G276" i="56" a="1"/>
  <c r="F276" i="56" a="1"/>
  <c r="C277" i="56"/>
  <c r="Y276" i="56" a="1"/>
  <c r="AB276" i="56" a="1"/>
  <c r="W276" i="56" a="1"/>
  <c r="V276" i="56" a="1"/>
  <c r="U276" i="56" a="1"/>
  <c r="X276" i="56" a="1"/>
  <c r="S276" i="56" a="1"/>
  <c r="R276" i="56" a="1"/>
  <c r="Q276" i="56" a="1"/>
  <c r="Z276" i="56" a="1"/>
  <c r="T276" i="56" a="1"/>
  <c r="N276" i="56" a="1"/>
  <c r="P276" i="56" a="1"/>
  <c r="J276" i="56" a="1"/>
  <c r="H276" i="56" a="1"/>
  <c r="M276" i="56" a="1"/>
  <c r="AA276" i="56" a="1"/>
  <c r="I276" i="56" a="1"/>
  <c r="K276" i="56" a="1"/>
  <c r="O276" i="56" a="1"/>
  <c r="D364" i="56" a="1"/>
  <c r="B365" i="56"/>
  <c r="Z125" i="56"/>
  <c r="AB363" i="56" a="1"/>
  <c r="X363" i="56" a="1"/>
  <c r="H363" i="56" a="1"/>
  <c r="I363" i="56" a="1"/>
  <c r="M363" i="56" a="1"/>
  <c r="AA363" i="56" a="1"/>
  <c r="V363" i="56" a="1"/>
  <c r="Z363" i="56" a="1"/>
  <c r="O363" i="56" a="1"/>
  <c r="R363" i="56" a="1"/>
  <c r="L363" i="56" a="1"/>
  <c r="N363" i="56" a="1"/>
  <c r="U363" i="56" a="1"/>
  <c r="W363" i="56" a="1"/>
  <c r="P363" i="56" a="1"/>
  <c r="G363" i="56" a="1"/>
  <c r="T363" i="56" a="1"/>
  <c r="F363" i="56" a="1"/>
  <c r="K363" i="56" a="1"/>
  <c r="S363" i="56" a="1"/>
  <c r="C364" i="56"/>
  <c r="J363" i="56" a="1"/>
  <c r="Q363" i="56" a="1"/>
  <c r="Y363" i="56" a="1"/>
  <c r="AB245" i="56" a="1"/>
  <c r="J245" i="56" a="1"/>
  <c r="M245" i="56" a="1"/>
  <c r="F245" i="56" a="1"/>
  <c r="T245" i="56" a="1"/>
  <c r="Q245" i="56" a="1"/>
  <c r="O245" i="56" a="1"/>
  <c r="Z245" i="56" a="1"/>
  <c r="L245" i="56" a="1"/>
  <c r="V245" i="56" a="1"/>
  <c r="S245" i="56" a="1"/>
  <c r="U245" i="56" a="1"/>
  <c r="X245" i="56" a="1"/>
  <c r="AA245" i="56" a="1"/>
  <c r="H245" i="56" a="1"/>
  <c r="R245" i="56" a="1"/>
  <c r="G245" i="56" a="1"/>
  <c r="N245" i="56" a="1"/>
  <c r="C246" i="56"/>
  <c r="Y245" i="56" a="1"/>
  <c r="P245" i="56" a="1"/>
  <c r="K245" i="56" a="1"/>
  <c r="I245" i="56" a="1"/>
  <c r="W245" i="56" a="1"/>
  <c r="Y303" i="56" a="1"/>
  <c r="M394" i="56" a="1"/>
  <c r="C396" i="56"/>
  <c r="D395" i="56" a="1"/>
  <c r="X395" i="56" a="1"/>
  <c r="H425" i="56" a="1"/>
  <c r="K425" i="56" a="1"/>
  <c r="Q67" i="56"/>
  <c r="R62" i="56"/>
  <c r="B187" i="56"/>
  <c r="AA159" i="56"/>
  <c r="AA160" i="56"/>
  <c r="AA81" i="56"/>
  <c r="AA94" i="56"/>
  <c r="AA125" i="56"/>
  <c r="AB425" i="56" a="1"/>
  <c r="C185" i="56"/>
  <c r="F184" i="56"/>
  <c r="G184" i="56"/>
  <c r="H184" i="56"/>
  <c r="I184" i="56"/>
  <c r="J184" i="56"/>
  <c r="K184" i="56"/>
  <c r="L184" i="56"/>
  <c r="M184" i="56"/>
  <c r="N184" i="56"/>
  <c r="O184" i="56"/>
  <c r="P184" i="56"/>
  <c r="Q184" i="56"/>
  <c r="R184" i="56"/>
  <c r="S184" i="56"/>
  <c r="T184" i="56"/>
  <c r="U184" i="56"/>
  <c r="V184" i="56"/>
  <c r="W184" i="56"/>
  <c r="X184" i="56"/>
  <c r="Y184" i="56"/>
  <c r="D184" i="56" a="1"/>
  <c r="Z175" i="56"/>
  <c r="S426" i="56" a="1"/>
  <c r="F426" i="56" a="1"/>
  <c r="Q426" i="56" a="1"/>
  <c r="K426" i="56" a="1"/>
  <c r="AA426" i="56" a="1"/>
  <c r="Z426" i="56" a="1"/>
  <c r="AB181" i="56"/>
  <c r="Z126" i="56"/>
  <c r="AA126" i="56"/>
  <c r="AA181" i="56"/>
  <c r="AC181" i="56"/>
  <c r="J426" i="56" a="1"/>
  <c r="W426" i="56" a="1"/>
  <c r="Z181" i="56"/>
  <c r="T426" i="56" a="1"/>
  <c r="R426" i="56" a="1"/>
  <c r="V426" i="56" a="1"/>
  <c r="H426" i="56" a="1"/>
  <c r="O426" i="56" a="1"/>
  <c r="N426" i="56" a="1"/>
  <c r="X426" i="56" a="1"/>
  <c r="G426" i="56" a="1"/>
  <c r="Z184" i="56"/>
  <c r="AA183" i="56"/>
  <c r="AB183" i="56"/>
  <c r="U426" i="56" a="1"/>
  <c r="P426" i="56" a="1"/>
  <c r="AB125" i="56"/>
  <c r="AC125" i="56"/>
  <c r="L426" i="56" a="1"/>
  <c r="M426" i="56" a="1"/>
  <c r="Z183" i="56"/>
  <c r="AC145" i="56"/>
  <c r="AC151" i="56"/>
  <c r="AC166" i="56"/>
  <c r="AC137" i="56"/>
  <c r="AC167" i="56"/>
  <c r="AC148" i="56"/>
  <c r="AC171" i="56"/>
  <c r="AC177" i="56"/>
  <c r="AC111" i="56"/>
  <c r="AC138" i="56"/>
  <c r="AC180" i="56"/>
  <c r="AC110" i="56"/>
  <c r="AD11" i="56"/>
  <c r="AC140" i="56"/>
  <c r="AC174" i="56"/>
  <c r="AC142" i="56"/>
  <c r="AC123" i="56"/>
  <c r="AC155" i="56"/>
  <c r="AC374" i="56" a="1"/>
  <c r="AC223" i="56" a="1"/>
  <c r="AC255" i="56" a="1"/>
  <c r="AC149" i="56"/>
  <c r="AC119" i="56"/>
  <c r="AC117" i="56"/>
  <c r="AC115" i="56"/>
  <c r="AC222" i="56" a="1"/>
  <c r="AC254" i="56" a="1"/>
  <c r="AC168" i="56"/>
  <c r="AC141" i="56"/>
  <c r="AC109" i="56"/>
  <c r="AC107" i="56"/>
  <c r="AC121" i="56"/>
  <c r="AC170" i="56"/>
  <c r="AC143" i="56"/>
  <c r="AC150" i="56"/>
  <c r="AC139" i="56"/>
  <c r="AC116" i="56"/>
  <c r="AC118" i="56"/>
  <c r="AC253" i="56" a="1"/>
  <c r="AC153" i="56"/>
  <c r="AC135" i="56"/>
  <c r="AC152" i="56"/>
  <c r="AC147" i="56"/>
  <c r="AC120" i="56"/>
  <c r="AC113" i="56"/>
  <c r="AC405" i="56" a="1"/>
  <c r="AC179" i="56"/>
  <c r="AC144" i="56"/>
  <c r="AC122" i="56"/>
  <c r="AC112" i="56"/>
  <c r="AC10" i="56"/>
  <c r="AC164" i="56"/>
  <c r="AC114" i="56"/>
  <c r="AC106" i="56"/>
  <c r="AC173" i="56"/>
  <c r="AC146" i="56"/>
  <c r="AC165" i="56"/>
  <c r="AC224" i="56" a="1"/>
  <c r="AC159" i="56"/>
  <c r="AC154" i="56"/>
  <c r="AC172" i="56"/>
  <c r="AC178" i="56"/>
  <c r="AC182" i="56"/>
  <c r="AC156" i="56"/>
  <c r="AC136" i="56"/>
  <c r="AC176" i="56"/>
  <c r="AC108" i="56"/>
  <c r="AC169" i="56"/>
  <c r="AC183" i="56"/>
  <c r="AC15" i="56"/>
  <c r="AC14" i="56"/>
  <c r="AC16" i="56"/>
  <c r="AC375" i="56" a="1"/>
  <c r="AC284" i="56" a="1"/>
  <c r="AC343" i="56" a="1"/>
  <c r="AC225" i="56" a="1"/>
  <c r="AC256" i="56" a="1"/>
  <c r="AC406" i="56" a="1"/>
  <c r="AC285" i="56" a="1"/>
  <c r="AC226" i="56" a="1"/>
  <c r="AC407" i="56" a="1"/>
  <c r="AC376" i="56" a="1"/>
  <c r="AC344" i="56" a="1"/>
  <c r="AC257" i="56" a="1"/>
  <c r="AC227" i="56" a="1"/>
  <c r="AC408" i="56" a="1"/>
  <c r="AC286" i="56" a="1"/>
  <c r="AC345" i="56" a="1"/>
  <c r="AC258" i="56" a="1"/>
  <c r="AC377" i="56" a="1"/>
  <c r="AC378" i="56" a="1"/>
  <c r="AC287" i="56" a="1"/>
  <c r="AC259" i="56" a="1"/>
  <c r="AC228" i="56" a="1"/>
  <c r="AC409" i="56" a="1"/>
  <c r="AC346" i="56" a="1"/>
  <c r="AC260" i="56" a="1"/>
  <c r="AC288" i="56" a="1"/>
  <c r="AC347" i="56" a="1"/>
  <c r="AC229" i="56" a="1"/>
  <c r="AC379" i="56" a="1"/>
  <c r="AC410" i="56" a="1"/>
  <c r="AC411" i="56" a="1"/>
  <c r="AC289" i="56" a="1"/>
  <c r="AC380" i="56" a="1"/>
  <c r="AC261" i="56" a="1"/>
  <c r="AC230" i="56" a="1"/>
  <c r="AC348" i="56" a="1"/>
  <c r="AC231" i="56" a="1"/>
  <c r="AC381" i="56" a="1"/>
  <c r="AC290" i="56" a="1"/>
  <c r="AC412" i="56" a="1"/>
  <c r="AC262" i="56" a="1"/>
  <c r="AC349" i="56" a="1"/>
  <c r="AC232" i="56" a="1"/>
  <c r="AC382" i="56" a="1"/>
  <c r="AC350" i="56" a="1"/>
  <c r="AC263" i="56" a="1"/>
  <c r="AC291" i="56" a="1"/>
  <c r="AC413" i="56" a="1"/>
  <c r="AC351" i="56" a="1"/>
  <c r="AC233" i="56" a="1"/>
  <c r="AC383" i="56" a="1"/>
  <c r="AC414" i="56" a="1"/>
  <c r="AC292" i="56" a="1"/>
  <c r="AC264" i="56" a="1"/>
  <c r="AC293" i="56" a="1"/>
  <c r="AC415" i="56" a="1"/>
  <c r="AC352" i="56" a="1"/>
  <c r="AC265" i="56" a="1"/>
  <c r="AC234" i="56" a="1"/>
  <c r="AC384" i="56" a="1"/>
  <c r="AC385" i="56" a="1"/>
  <c r="AC416" i="56" a="1"/>
  <c r="AC235" i="56" a="1"/>
  <c r="AC266" i="56" a="1"/>
  <c r="AC294" i="56" a="1"/>
  <c r="AC353" i="56" a="1"/>
  <c r="AC354" i="56" a="1"/>
  <c r="AC417" i="56" a="1"/>
  <c r="AC386" i="56" a="1"/>
  <c r="AC236" i="56" a="1"/>
  <c r="AC267" i="56" a="1"/>
  <c r="AC295" i="56" a="1"/>
  <c r="AC418" i="56" a="1"/>
  <c r="AC355" i="56" a="1"/>
  <c r="AC296" i="56" a="1"/>
  <c r="AC237" i="56" a="1"/>
  <c r="AC268" i="56" a="1"/>
  <c r="AC387" i="56" a="1"/>
  <c r="AC388" i="56" a="1"/>
  <c r="AC238" i="56" a="1"/>
  <c r="AC419" i="56" a="1"/>
  <c r="AC269" i="56" a="1"/>
  <c r="AC356" i="56" a="1"/>
  <c r="AC297" i="56" a="1"/>
  <c r="AC298" i="56" a="1"/>
  <c r="AC270" i="56" a="1"/>
  <c r="AC239" i="56" a="1"/>
  <c r="AC357" i="56" a="1"/>
  <c r="AC389" i="56" a="1"/>
  <c r="AC420" i="56" a="1"/>
  <c r="AC271" i="56" a="1"/>
  <c r="AC358" i="56" a="1"/>
  <c r="AC390" i="56" a="1"/>
  <c r="AC240" i="56" a="1"/>
  <c r="AC299" i="56" a="1"/>
  <c r="AC421" i="56" a="1"/>
  <c r="AC241" i="56" a="1"/>
  <c r="AC359" i="56" a="1"/>
  <c r="AC422" i="56" a="1"/>
  <c r="AC300" i="56" a="1"/>
  <c r="AC272" i="56" a="1"/>
  <c r="AC391" i="56" a="1"/>
  <c r="AC242" i="56" a="1"/>
  <c r="AC273" i="56" a="1"/>
  <c r="AC423" i="56" a="1"/>
  <c r="AC360" i="56" a="1"/>
  <c r="AC301" i="56" a="1"/>
  <c r="AC392" i="56" a="1"/>
  <c r="AC361" i="56" a="1"/>
  <c r="AC302" i="56" a="1"/>
  <c r="AC274" i="56" a="1"/>
  <c r="AC424" i="56" a="1"/>
  <c r="AC393" i="56" a="1"/>
  <c r="AC243" i="56" a="1"/>
  <c r="AC244" i="56" a="1"/>
  <c r="AC303" i="56" a="1"/>
  <c r="AC425" i="56" a="1"/>
  <c r="AC362" i="56" a="1"/>
  <c r="D245" i="56" a="1"/>
  <c r="AC245" i="56" a="1"/>
  <c r="AC394" i="56" a="1"/>
  <c r="AB327" i="56" a="1"/>
  <c r="AB93" i="56" a="1"/>
  <c r="AB207" i="56" a="1"/>
  <c r="AB63" i="56" a="1"/>
  <c r="AB64" i="56"/>
  <c r="AC304" i="56" a="1"/>
  <c r="D157" i="56" a="1"/>
  <c r="AB157" i="56"/>
  <c r="AB160" i="56"/>
  <c r="AB81" i="56"/>
  <c r="AB94" i="56"/>
  <c r="N395" i="56" a="1"/>
  <c r="AB201" i="56" a="1"/>
  <c r="AB17" i="56"/>
  <c r="AB30" i="56"/>
  <c r="AB55" i="56" a="1"/>
  <c r="AB56" i="56"/>
  <c r="AB321" i="56" a="1"/>
  <c r="AB87" i="56" a="1"/>
  <c r="B159" i="56"/>
  <c r="D158" i="56" a="1"/>
  <c r="AC158" i="56"/>
  <c r="I395" i="56" a="1"/>
  <c r="R395" i="56" a="1"/>
  <c r="T395" i="56" a="1"/>
  <c r="C186" i="56"/>
  <c r="F185" i="56"/>
  <c r="G185" i="56"/>
  <c r="H185" i="56"/>
  <c r="I185" i="56"/>
  <c r="J185" i="56"/>
  <c r="K185" i="56"/>
  <c r="L185" i="56"/>
  <c r="M185" i="56"/>
  <c r="N185" i="56"/>
  <c r="O185" i="56"/>
  <c r="P185" i="56"/>
  <c r="Q185" i="56"/>
  <c r="R185" i="56"/>
  <c r="S185" i="56"/>
  <c r="T185" i="56"/>
  <c r="U185" i="56"/>
  <c r="V185" i="56"/>
  <c r="W185" i="56"/>
  <c r="X185" i="56"/>
  <c r="Y185" i="56"/>
  <c r="Z185" i="56"/>
  <c r="D185" i="56" a="1"/>
  <c r="J395" i="56" a="1"/>
  <c r="S73" i="56"/>
  <c r="S74" i="56"/>
  <c r="S50" i="56"/>
  <c r="Z395" i="56" a="1"/>
  <c r="AB274" i="56" a="1"/>
  <c r="AC426" i="56" a="1"/>
  <c r="K395" i="56" a="1"/>
  <c r="S395" i="56" a="1"/>
  <c r="H395" i="56" a="1"/>
  <c r="AC395" i="56" a="1"/>
  <c r="P395" i="56" a="1"/>
  <c r="AB395" i="56" a="1"/>
  <c r="F395" i="56" a="1"/>
  <c r="B130" i="56"/>
  <c r="K81" i="56"/>
  <c r="K94" i="56"/>
  <c r="F3" i="56"/>
  <c r="Q57" i="56"/>
  <c r="Q58" i="56"/>
  <c r="Q48" i="56"/>
  <c r="Q51" i="56"/>
  <c r="Q20" i="56"/>
  <c r="AB124" i="56"/>
  <c r="AC124" i="56"/>
  <c r="AB427" i="56" a="1"/>
  <c r="H427" i="56" a="1"/>
  <c r="T427" i="56" a="1"/>
  <c r="C428" i="56"/>
  <c r="D427" i="56" a="1"/>
  <c r="X427" i="56" a="1"/>
  <c r="AB99" i="56" a="1"/>
  <c r="AB71" i="56" a="1"/>
  <c r="AB72" i="56"/>
  <c r="AB333" i="56" a="1"/>
  <c r="AB213" i="56" a="1"/>
  <c r="G95" i="56"/>
  <c r="H92" i="56"/>
  <c r="H95" i="56"/>
  <c r="I92" i="56"/>
  <c r="I95" i="56"/>
  <c r="J92" i="56"/>
  <c r="J95" i="56"/>
  <c r="K92" i="56"/>
  <c r="B188" i="56"/>
  <c r="U395" i="56" a="1"/>
  <c r="G396" i="56" a="1"/>
  <c r="V396" i="56" a="1"/>
  <c r="C397" i="56"/>
  <c r="AD396" i="56" a="1"/>
  <c r="M396" i="56" a="1"/>
  <c r="D396" i="56" a="1"/>
  <c r="U396" i="56" a="1"/>
  <c r="W395" i="56" a="1"/>
  <c r="R67" i="56"/>
  <c r="S62" i="56"/>
  <c r="R65" i="56"/>
  <c r="R66" i="56"/>
  <c r="R49" i="56"/>
  <c r="G395" i="56" a="1"/>
  <c r="Y395" i="56" a="1"/>
  <c r="AA184" i="56"/>
  <c r="V395" i="56" a="1"/>
  <c r="Q395" i="56" a="1"/>
  <c r="M395" i="56" a="1"/>
  <c r="AA175" i="56"/>
  <c r="AB175" i="56"/>
  <c r="AC175" i="56"/>
  <c r="Y246" i="56" a="1"/>
  <c r="Y247" i="56"/>
  <c r="Y194" i="56"/>
  <c r="P246" i="56" a="1"/>
  <c r="P247" i="56"/>
  <c r="P194" i="56"/>
  <c r="G246" i="56" a="1"/>
  <c r="G247" i="56"/>
  <c r="G194" i="56"/>
  <c r="M246" i="56" a="1"/>
  <c r="M247" i="56"/>
  <c r="M194" i="56"/>
  <c r="AA246" i="56" a="1"/>
  <c r="AA247" i="56"/>
  <c r="AA194" i="56"/>
  <c r="N246" i="56" a="1"/>
  <c r="N247" i="56"/>
  <c r="N194" i="56"/>
  <c r="X246" i="56" a="1"/>
  <c r="X247" i="56"/>
  <c r="X194" i="56"/>
  <c r="O246" i="56" a="1"/>
  <c r="O247" i="56"/>
  <c r="O194" i="56"/>
  <c r="R246" i="56" a="1"/>
  <c r="R247" i="56"/>
  <c r="R194" i="56"/>
  <c r="U246" i="56" a="1"/>
  <c r="U247" i="56"/>
  <c r="U194" i="56"/>
  <c r="L246" i="56" a="1"/>
  <c r="L247" i="56"/>
  <c r="L194" i="56"/>
  <c r="J246" i="56" a="1"/>
  <c r="J247" i="56"/>
  <c r="J194" i="56"/>
  <c r="I246" i="56" a="1"/>
  <c r="I247" i="56"/>
  <c r="I194" i="56"/>
  <c r="W246" i="56" a="1"/>
  <c r="W247" i="56"/>
  <c r="W194" i="56"/>
  <c r="F246" i="56" a="1"/>
  <c r="F247" i="56"/>
  <c r="F194" i="56"/>
  <c r="AC246" i="56" a="1"/>
  <c r="T246" i="56" a="1"/>
  <c r="T247" i="56"/>
  <c r="T194" i="56"/>
  <c r="K246" i="56" a="1"/>
  <c r="K247" i="56"/>
  <c r="K194" i="56"/>
  <c r="H246" i="56" a="1"/>
  <c r="H247" i="56"/>
  <c r="H194" i="56"/>
  <c r="Z246" i="56" a="1"/>
  <c r="Z247" i="56"/>
  <c r="Z194" i="56"/>
  <c r="Q246" i="56" a="1"/>
  <c r="Q247" i="56"/>
  <c r="Q194" i="56"/>
  <c r="S246" i="56" a="1"/>
  <c r="S247" i="56"/>
  <c r="S194" i="56"/>
  <c r="V246" i="56" a="1"/>
  <c r="V247" i="56"/>
  <c r="V194" i="56"/>
  <c r="AB246" i="56" a="1"/>
  <c r="AB247" i="56"/>
  <c r="AB194" i="56"/>
  <c r="AC363" i="56" a="1"/>
  <c r="U305" i="56" a="1"/>
  <c r="K305" i="56" a="1"/>
  <c r="V305" i="56" a="1"/>
  <c r="I305" i="56" a="1"/>
  <c r="F305" i="56" a="1"/>
  <c r="AB305" i="56" a="1"/>
  <c r="C306" i="56"/>
  <c r="Z305" i="56" a="1"/>
  <c r="R305" i="56" a="1"/>
  <c r="P305" i="56" a="1"/>
  <c r="Y305" i="56" a="1"/>
  <c r="X305" i="56" a="1"/>
  <c r="Q305" i="56" a="1"/>
  <c r="N305" i="56" a="1"/>
  <c r="M305" i="56" a="1"/>
  <c r="L305" i="56" a="1"/>
  <c r="W305" i="56" a="1"/>
  <c r="T305" i="56" a="1"/>
  <c r="S305" i="56" a="1"/>
  <c r="J305" i="56" a="1"/>
  <c r="G305" i="56" a="1"/>
  <c r="H305" i="56" a="1"/>
  <c r="O305" i="56" a="1"/>
  <c r="D305" i="56" a="1"/>
  <c r="AD305" i="56" a="1"/>
  <c r="I426" i="56" a="1"/>
  <c r="Y426" i="56" a="1"/>
  <c r="O395" i="56" a="1"/>
  <c r="B276" i="56"/>
  <c r="D275" i="56" a="1"/>
  <c r="AB275" i="56" a="1"/>
  <c r="L395" i="56" a="1"/>
  <c r="AA395" i="56" a="1"/>
  <c r="AA364" i="56" a="1"/>
  <c r="R364" i="56" a="1"/>
  <c r="X364" i="56" a="1"/>
  <c r="G364" i="56" a="1"/>
  <c r="P364" i="56" a="1"/>
  <c r="O364" i="56" a="1"/>
  <c r="AB364" i="56" a="1"/>
  <c r="S364" i="56" a="1"/>
  <c r="F364" i="56" a="1"/>
  <c r="T364" i="56" a="1"/>
  <c r="V364" i="56" a="1"/>
  <c r="W364" i="56" a="1"/>
  <c r="L364" i="56" a="1"/>
  <c r="Y364" i="56" a="1"/>
  <c r="AD364" i="56" a="1"/>
  <c r="N364" i="56" a="1"/>
  <c r="H364" i="56" a="1"/>
  <c r="I364" i="56" a="1"/>
  <c r="Z364" i="56" a="1"/>
  <c r="AC364" i="56" a="1"/>
  <c r="U364" i="56" a="1"/>
  <c r="K364" i="56" a="1"/>
  <c r="M364" i="56" a="1"/>
  <c r="Q364" i="56" a="1"/>
  <c r="C365" i="56"/>
  <c r="J364" i="56" a="1"/>
  <c r="D365" i="56" a="1"/>
  <c r="B366" i="56"/>
  <c r="T277" i="56" a="1"/>
  <c r="T278" i="56"/>
  <c r="T195" i="56"/>
  <c r="T208" i="56"/>
  <c r="L277" i="56" a="1"/>
  <c r="L278" i="56"/>
  <c r="L195" i="56"/>
  <c r="L208" i="56"/>
  <c r="AA277" i="56" a="1"/>
  <c r="AA278" i="56"/>
  <c r="AA195" i="56"/>
  <c r="AA208" i="56"/>
  <c r="S277" i="56" a="1"/>
  <c r="S278" i="56"/>
  <c r="S195" i="56"/>
  <c r="S208" i="56"/>
  <c r="K277" i="56" a="1"/>
  <c r="K278" i="56"/>
  <c r="K195" i="56"/>
  <c r="K208" i="56"/>
  <c r="R277" i="56" a="1"/>
  <c r="R278" i="56"/>
  <c r="R195" i="56"/>
  <c r="R208" i="56"/>
  <c r="V277" i="56" a="1"/>
  <c r="V278" i="56"/>
  <c r="V195" i="56"/>
  <c r="V208" i="56"/>
  <c r="N277" i="56" a="1"/>
  <c r="N278" i="56"/>
  <c r="N195" i="56"/>
  <c r="N208" i="56"/>
  <c r="F277" i="56" a="1"/>
  <c r="F278" i="56"/>
  <c r="F195" i="56"/>
  <c r="F208" i="56"/>
  <c r="F209" i="56"/>
  <c r="G206" i="56"/>
  <c r="AC277" i="56" a="1"/>
  <c r="U277" i="56" a="1"/>
  <c r="U278" i="56"/>
  <c r="U195" i="56"/>
  <c r="U208" i="56"/>
  <c r="M277" i="56" a="1"/>
  <c r="M278" i="56"/>
  <c r="M195" i="56"/>
  <c r="M208" i="56"/>
  <c r="AB277" i="56" a="1"/>
  <c r="X277" i="56" a="1"/>
  <c r="X278" i="56"/>
  <c r="X195" i="56"/>
  <c r="X208" i="56"/>
  <c r="P277" i="56" a="1"/>
  <c r="P278" i="56"/>
  <c r="P195" i="56"/>
  <c r="P208" i="56"/>
  <c r="H277" i="56" a="1"/>
  <c r="H278" i="56"/>
  <c r="H195" i="56"/>
  <c r="H208" i="56"/>
  <c r="W277" i="56" a="1"/>
  <c r="W278" i="56"/>
  <c r="W195" i="56"/>
  <c r="W208" i="56"/>
  <c r="O277" i="56" a="1"/>
  <c r="O278" i="56"/>
  <c r="O195" i="56"/>
  <c r="O208" i="56"/>
  <c r="G277" i="56" a="1"/>
  <c r="G278" i="56"/>
  <c r="G195" i="56"/>
  <c r="G208" i="56"/>
  <c r="Z277" i="56" a="1"/>
  <c r="Z278" i="56"/>
  <c r="Z195" i="56"/>
  <c r="Z208" i="56"/>
  <c r="Q277" i="56" a="1"/>
  <c r="Q278" i="56"/>
  <c r="Q195" i="56"/>
  <c r="Q208" i="56"/>
  <c r="J277" i="56" a="1"/>
  <c r="J278" i="56"/>
  <c r="J195" i="56"/>
  <c r="J208" i="56"/>
  <c r="I277" i="56" a="1"/>
  <c r="I278" i="56"/>
  <c r="I195" i="56"/>
  <c r="I208" i="56"/>
  <c r="Y277" i="56" a="1"/>
  <c r="Y278" i="56"/>
  <c r="Y195" i="56"/>
  <c r="Y208" i="56"/>
  <c r="F127" i="56"/>
  <c r="C128" i="56"/>
  <c r="G127" i="56"/>
  <c r="H127" i="56"/>
  <c r="I127" i="56"/>
  <c r="J127" i="56"/>
  <c r="K127" i="56"/>
  <c r="L127" i="56"/>
  <c r="M127" i="56"/>
  <c r="N127" i="56"/>
  <c r="O127" i="56"/>
  <c r="P127" i="56"/>
  <c r="Q127" i="56"/>
  <c r="R127" i="56"/>
  <c r="S127" i="56"/>
  <c r="T127" i="56"/>
  <c r="U127" i="56"/>
  <c r="V127" i="56"/>
  <c r="W127" i="56"/>
  <c r="X127" i="56"/>
  <c r="Y127" i="56"/>
  <c r="Z127" i="56"/>
  <c r="D127" i="56" a="1"/>
  <c r="W396" i="56" a="1"/>
  <c r="Y396" i="56" a="1"/>
  <c r="Q59" i="56"/>
  <c r="R54" i="56"/>
  <c r="AA127" i="56"/>
  <c r="AC396" i="56" a="1"/>
  <c r="S396" i="56" a="1"/>
  <c r="L396" i="56" a="1"/>
  <c r="AC427" i="56" a="1"/>
  <c r="AA396" i="56" a="1"/>
  <c r="R396" i="56" a="1"/>
  <c r="P427" i="56" a="1"/>
  <c r="K396" i="56" a="1"/>
  <c r="Y427" i="56" a="1"/>
  <c r="Z427" i="56" a="1"/>
  <c r="J396" i="56" a="1"/>
  <c r="X396" i="56" a="1"/>
  <c r="U427" i="56" a="1"/>
  <c r="J427" i="56" a="1"/>
  <c r="AA185" i="56"/>
  <c r="AB185" i="56"/>
  <c r="AA305" i="56" a="1"/>
  <c r="I396" i="56" a="1"/>
  <c r="F396" i="56" a="1"/>
  <c r="AD427" i="56" a="1"/>
  <c r="AB278" i="56"/>
  <c r="AB195" i="56"/>
  <c r="AB208" i="56"/>
  <c r="Y202" i="56"/>
  <c r="Z202" i="56"/>
  <c r="AC185" i="56"/>
  <c r="S65" i="56"/>
  <c r="S66" i="56"/>
  <c r="S49" i="56"/>
  <c r="AB127" i="56"/>
  <c r="AC127" i="56"/>
  <c r="V306" i="56" a="1"/>
  <c r="I306" i="56" a="1"/>
  <c r="F306" i="56" a="1"/>
  <c r="L306" i="56" a="1"/>
  <c r="O306" i="56" a="1"/>
  <c r="N306" i="56" a="1"/>
  <c r="H306" i="56" a="1"/>
  <c r="AB306" i="56" a="1"/>
  <c r="J306" i="56" a="1"/>
  <c r="U306" i="56" a="1"/>
  <c r="Z306" i="56" a="1"/>
  <c r="K306" i="56" a="1"/>
  <c r="Y306" i="56" a="1"/>
  <c r="S306" i="56" a="1"/>
  <c r="Q306" i="56" a="1"/>
  <c r="C307" i="56"/>
  <c r="X306" i="56" a="1"/>
  <c r="G306" i="56" a="1"/>
  <c r="AD306" i="56" a="1"/>
  <c r="P306" i="56" a="1"/>
  <c r="W306" i="56" a="1"/>
  <c r="M306" i="56" a="1"/>
  <c r="AA306" i="56" a="1"/>
  <c r="R306" i="56" a="1"/>
  <c r="T306" i="56" a="1"/>
  <c r="D306" i="56" a="1"/>
  <c r="AC306" i="56" a="1"/>
  <c r="Q202" i="56"/>
  <c r="W202" i="56"/>
  <c r="N202" i="56"/>
  <c r="H396" i="56" a="1"/>
  <c r="P396" i="56" a="1"/>
  <c r="N396" i="56" a="1"/>
  <c r="K95" i="56"/>
  <c r="L92" i="56"/>
  <c r="L95" i="56"/>
  <c r="M92" i="56"/>
  <c r="M95" i="56"/>
  <c r="N92" i="56"/>
  <c r="N95" i="56"/>
  <c r="O92" i="56"/>
  <c r="O95" i="56"/>
  <c r="P92" i="56"/>
  <c r="P95" i="56"/>
  <c r="Q92" i="56"/>
  <c r="Q95" i="56"/>
  <c r="R92" i="56"/>
  <c r="R95" i="56"/>
  <c r="S92" i="56"/>
  <c r="S95" i="56"/>
  <c r="T92" i="56"/>
  <c r="T95" i="56"/>
  <c r="U92" i="56"/>
  <c r="U95" i="56"/>
  <c r="V92" i="56"/>
  <c r="V95" i="56"/>
  <c r="W92" i="56"/>
  <c r="W95" i="56"/>
  <c r="X92" i="56"/>
  <c r="X95" i="56"/>
  <c r="Y92" i="56"/>
  <c r="Y95" i="56"/>
  <c r="Z92" i="56"/>
  <c r="Z95" i="56"/>
  <c r="AA92" i="56"/>
  <c r="AA95" i="56"/>
  <c r="AB92" i="56"/>
  <c r="AB95" i="56"/>
  <c r="AC92" i="56"/>
  <c r="G427" i="56" a="1"/>
  <c r="AA427" i="56" a="1"/>
  <c r="K427" i="56" a="1"/>
  <c r="AC275" i="56" a="1"/>
  <c r="AB184" i="56"/>
  <c r="AC184" i="56"/>
  <c r="F202" i="56"/>
  <c r="F203" i="56"/>
  <c r="G200" i="56"/>
  <c r="AA202" i="56"/>
  <c r="H202" i="56"/>
  <c r="J202" i="56"/>
  <c r="M202" i="56"/>
  <c r="T396" i="56" a="1"/>
  <c r="Q396" i="56" a="1"/>
  <c r="AB396" i="56" a="1"/>
  <c r="C429" i="56"/>
  <c r="D428" i="56" a="1"/>
  <c r="S428" i="56" a="1"/>
  <c r="M427" i="56" a="1"/>
  <c r="N427" i="56" a="1"/>
  <c r="S75" i="56"/>
  <c r="T70" i="56"/>
  <c r="B277" i="56"/>
  <c r="D276" i="56" a="1"/>
  <c r="AC276" i="56" a="1"/>
  <c r="K202" i="56"/>
  <c r="L202" i="56"/>
  <c r="G202" i="56"/>
  <c r="C398" i="56"/>
  <c r="D397" i="56" a="1"/>
  <c r="AC397" i="56" a="1"/>
  <c r="O427" i="56" a="1"/>
  <c r="S427" i="56" a="1"/>
  <c r="L427" i="56" a="1"/>
  <c r="C187" i="56"/>
  <c r="F186" i="56"/>
  <c r="G186" i="56"/>
  <c r="H186" i="56"/>
  <c r="I186" i="56"/>
  <c r="J186" i="56"/>
  <c r="K186" i="56"/>
  <c r="L186" i="56"/>
  <c r="M186" i="56"/>
  <c r="N186" i="56"/>
  <c r="O186" i="56"/>
  <c r="P186" i="56"/>
  <c r="Q186" i="56"/>
  <c r="R186" i="56"/>
  <c r="S186" i="56"/>
  <c r="T186" i="56"/>
  <c r="U186" i="56"/>
  <c r="V186" i="56"/>
  <c r="W186" i="56"/>
  <c r="X186" i="56"/>
  <c r="Y186" i="56"/>
  <c r="Z186" i="56"/>
  <c r="AA186" i="56"/>
  <c r="D186" i="56" a="1"/>
  <c r="AB186" i="56"/>
  <c r="AC213" i="56" a="1"/>
  <c r="AC71" i="56" a="1"/>
  <c r="AC72" i="56"/>
  <c r="AC333" i="56" a="1"/>
  <c r="AC99" i="56" a="1"/>
  <c r="S202" i="56"/>
  <c r="C129" i="56"/>
  <c r="F128" i="56"/>
  <c r="G128" i="56"/>
  <c r="H128" i="56"/>
  <c r="I128" i="56"/>
  <c r="J128" i="56"/>
  <c r="K128" i="56"/>
  <c r="L128" i="56"/>
  <c r="M128" i="56"/>
  <c r="N128" i="56"/>
  <c r="O128" i="56"/>
  <c r="P128" i="56"/>
  <c r="Q128" i="56"/>
  <c r="R128" i="56"/>
  <c r="S128" i="56"/>
  <c r="T128" i="56"/>
  <c r="U128" i="56"/>
  <c r="V128" i="56"/>
  <c r="W128" i="56"/>
  <c r="X128" i="56"/>
  <c r="Y128" i="56"/>
  <c r="Z128" i="56"/>
  <c r="AA128" i="56"/>
  <c r="D128" i="56" a="1"/>
  <c r="T202" i="56"/>
  <c r="U202" i="56"/>
  <c r="P202" i="56"/>
  <c r="AC321" i="56" a="1"/>
  <c r="AC201" i="56" a="1"/>
  <c r="AC17" i="56"/>
  <c r="AC30" i="56"/>
  <c r="AC87" i="56" a="1"/>
  <c r="AC55" i="56" a="1"/>
  <c r="AC56" i="56"/>
  <c r="AB126" i="56"/>
  <c r="AC126" i="56"/>
  <c r="X202" i="56"/>
  <c r="R59" i="56"/>
  <c r="S54" i="56"/>
  <c r="R57" i="56"/>
  <c r="R58" i="56"/>
  <c r="R48" i="56"/>
  <c r="R51" i="56"/>
  <c r="R20" i="56"/>
  <c r="I202" i="56"/>
  <c r="G209" i="56"/>
  <c r="H206" i="56"/>
  <c r="H209" i="56"/>
  <c r="I206" i="56"/>
  <c r="I209" i="56"/>
  <c r="J206" i="56"/>
  <c r="J209" i="56"/>
  <c r="K206" i="56"/>
  <c r="K209" i="56"/>
  <c r="L206" i="56"/>
  <c r="L209" i="56"/>
  <c r="M206" i="56"/>
  <c r="M209" i="56"/>
  <c r="N206" i="56"/>
  <c r="N209" i="56"/>
  <c r="O206" i="56"/>
  <c r="O209" i="56"/>
  <c r="P206" i="56"/>
  <c r="P209" i="56"/>
  <c r="Q206" i="56"/>
  <c r="Q209" i="56"/>
  <c r="R206" i="56"/>
  <c r="R209" i="56"/>
  <c r="S206" i="56"/>
  <c r="S209" i="56"/>
  <c r="T206" i="56"/>
  <c r="T209" i="56"/>
  <c r="U206" i="56"/>
  <c r="U209" i="56"/>
  <c r="V206" i="56"/>
  <c r="V209" i="56"/>
  <c r="W206" i="56"/>
  <c r="W209" i="56"/>
  <c r="X206" i="56"/>
  <c r="X209" i="56"/>
  <c r="Y206" i="56"/>
  <c r="Y209" i="56"/>
  <c r="Z206" i="56"/>
  <c r="Z209" i="56"/>
  <c r="AA206" i="56"/>
  <c r="AA209" i="56"/>
  <c r="AB206" i="56"/>
  <c r="R202" i="56"/>
  <c r="I427" i="56" a="1"/>
  <c r="W427" i="56" a="1"/>
  <c r="Q427" i="56" a="1"/>
  <c r="AC207" i="56" a="1"/>
  <c r="AC63" i="56" a="1"/>
  <c r="AC64" i="56"/>
  <c r="AC327" i="56" a="1"/>
  <c r="AC93" i="56" a="1"/>
  <c r="AC247" i="56"/>
  <c r="AC194" i="56"/>
  <c r="AD143" i="56"/>
  <c r="AD182" i="56"/>
  <c r="AD150" i="56"/>
  <c r="AD109" i="56"/>
  <c r="AD115" i="56"/>
  <c r="AD145" i="56"/>
  <c r="AD113" i="56"/>
  <c r="AD405" i="56" a="1"/>
  <c r="AD173" i="56"/>
  <c r="AD179" i="56"/>
  <c r="AD166" i="56"/>
  <c r="AD172" i="56"/>
  <c r="AD122" i="56"/>
  <c r="AD118" i="56"/>
  <c r="AD142" i="56"/>
  <c r="AD253" i="56" a="1"/>
  <c r="AD148" i="56"/>
  <c r="AD154" i="56"/>
  <c r="AD177" i="56"/>
  <c r="AD155" i="56"/>
  <c r="AD106" i="56"/>
  <c r="AD112" i="56"/>
  <c r="AD124" i="56"/>
  <c r="AD141" i="56"/>
  <c r="AD146" i="56"/>
  <c r="AD152" i="56"/>
  <c r="AD147" i="56"/>
  <c r="AD149" i="56"/>
  <c r="AD121" i="56"/>
  <c r="AD10" i="56"/>
  <c r="AD254" i="56" a="1"/>
  <c r="AD255" i="56" a="1"/>
  <c r="AD158" i="56"/>
  <c r="AD135" i="56"/>
  <c r="AD180" i="56"/>
  <c r="AD167" i="56"/>
  <c r="AD111" i="56"/>
  <c r="AD222" i="56" a="1"/>
  <c r="AD171" i="56"/>
  <c r="AD164" i="56"/>
  <c r="AD120" i="56"/>
  <c r="AD108" i="56"/>
  <c r="AD138" i="56"/>
  <c r="AD139" i="56"/>
  <c r="AD170" i="56"/>
  <c r="AD175" i="56"/>
  <c r="AD123" i="56"/>
  <c r="AD140" i="56"/>
  <c r="AD181" i="56"/>
  <c r="AD174" i="56"/>
  <c r="AD137" i="56"/>
  <c r="AD107" i="56"/>
  <c r="AD153" i="56"/>
  <c r="AD223" i="56" a="1"/>
  <c r="AD165" i="56"/>
  <c r="AD185" i="56"/>
  <c r="AD114" i="56"/>
  <c r="AD110" i="56"/>
  <c r="AD224" i="56" a="1"/>
  <c r="AD116" i="56"/>
  <c r="AD178" i="56"/>
  <c r="AD168" i="56"/>
  <c r="AD374" i="56" a="1"/>
  <c r="AD183" i="56"/>
  <c r="AD151" i="56"/>
  <c r="AD144" i="56"/>
  <c r="AD136" i="56"/>
  <c r="AD125" i="56"/>
  <c r="AD156" i="56"/>
  <c r="AD117" i="56"/>
  <c r="AD119" i="56"/>
  <c r="AD176" i="56"/>
  <c r="AD169" i="56"/>
  <c r="AD15" i="56"/>
  <c r="D159" i="56" a="1"/>
  <c r="AD159" i="56"/>
  <c r="AD14" i="56"/>
  <c r="AD16" i="56"/>
  <c r="AD284" i="56" a="1"/>
  <c r="AD375" i="56" a="1"/>
  <c r="AD343" i="56" a="1"/>
  <c r="AD256" i="56" a="1"/>
  <c r="AD406" i="56" a="1"/>
  <c r="AD225" i="56" a="1"/>
  <c r="AD257" i="56" a="1"/>
  <c r="AD285" i="56" a="1"/>
  <c r="AD407" i="56" a="1"/>
  <c r="AD226" i="56" a="1"/>
  <c r="AD376" i="56" a="1"/>
  <c r="AD344" i="56" a="1"/>
  <c r="AD227" i="56" a="1"/>
  <c r="AD408" i="56" a="1"/>
  <c r="AD345" i="56" a="1"/>
  <c r="AD377" i="56" a="1"/>
  <c r="AD258" i="56" a="1"/>
  <c r="AD286" i="56" a="1"/>
  <c r="AD228" i="56" a="1"/>
  <c r="AD287" i="56" a="1"/>
  <c r="AD378" i="56" a="1"/>
  <c r="AD259" i="56" a="1"/>
  <c r="AD346" i="56" a="1"/>
  <c r="AD409" i="56" a="1"/>
  <c r="AD288" i="56" a="1"/>
  <c r="AD410" i="56" a="1"/>
  <c r="AD260" i="56" a="1"/>
  <c r="AD347" i="56" a="1"/>
  <c r="AD229" i="56" a="1"/>
  <c r="AD379" i="56" a="1"/>
  <c r="AD348" i="56" a="1"/>
  <c r="AD411" i="56" a="1"/>
  <c r="AD230" i="56" a="1"/>
  <c r="AD289" i="56" a="1"/>
  <c r="AD380" i="56" a="1"/>
  <c r="AD261" i="56" a="1"/>
  <c r="AD290" i="56" a="1"/>
  <c r="AD231" i="56" a="1"/>
  <c r="AD381" i="56" a="1"/>
  <c r="AD349" i="56" a="1"/>
  <c r="AD262" i="56" a="1"/>
  <c r="AD412" i="56" a="1"/>
  <c r="AD232" i="56" a="1"/>
  <c r="AD291" i="56" a="1"/>
  <c r="AD413" i="56" a="1"/>
  <c r="AD382" i="56" a="1"/>
  <c r="AD350" i="56" a="1"/>
  <c r="AD263" i="56" a="1"/>
  <c r="AD383" i="56" a="1"/>
  <c r="AD264" i="56" a="1"/>
  <c r="AD351" i="56" a="1"/>
  <c r="AD233" i="56" a="1"/>
  <c r="AD414" i="56" a="1"/>
  <c r="AD292" i="56" a="1"/>
  <c r="AD384" i="56" a="1"/>
  <c r="AD293" i="56" a="1"/>
  <c r="AD415" i="56" a="1"/>
  <c r="AD352" i="56" a="1"/>
  <c r="AD265" i="56" a="1"/>
  <c r="AD234" i="56" a="1"/>
  <c r="AD266" i="56" a="1"/>
  <c r="AD385" i="56" a="1"/>
  <c r="AD416" i="56" a="1"/>
  <c r="AD235" i="56" a="1"/>
  <c r="AD353" i="56" a="1"/>
  <c r="AD294" i="56" a="1"/>
  <c r="AD267" i="56" a="1"/>
  <c r="AD354" i="56" a="1"/>
  <c r="AD386" i="56" a="1"/>
  <c r="AD417" i="56" a="1"/>
  <c r="AD295" i="56" a="1"/>
  <c r="AD236" i="56" a="1"/>
  <c r="AD418" i="56" a="1"/>
  <c r="AD237" i="56" a="1"/>
  <c r="AD268" i="56" a="1"/>
  <c r="AD296" i="56" a="1"/>
  <c r="AD355" i="56" a="1"/>
  <c r="AD387" i="56" a="1"/>
  <c r="AD238" i="56" a="1"/>
  <c r="AD297" i="56" a="1"/>
  <c r="AD388" i="56" a="1"/>
  <c r="AD269" i="56" a="1"/>
  <c r="AD419" i="56" a="1"/>
  <c r="AD356" i="56" a="1"/>
  <c r="AD270" i="56" a="1"/>
  <c r="AD420" i="56" a="1"/>
  <c r="AD298" i="56" a="1"/>
  <c r="AD239" i="56" a="1"/>
  <c r="AD357" i="56" a="1"/>
  <c r="AD389" i="56" a="1"/>
  <c r="AD421" i="56" a="1"/>
  <c r="AD240" i="56" a="1"/>
  <c r="AD358" i="56" a="1"/>
  <c r="AD390" i="56" a="1"/>
  <c r="AD299" i="56" a="1"/>
  <c r="AD271" i="56" a="1"/>
  <c r="AD391" i="56" a="1"/>
  <c r="AD300" i="56" a="1"/>
  <c r="AD241" i="56" a="1"/>
  <c r="AD422" i="56" a="1"/>
  <c r="AD359" i="56" a="1"/>
  <c r="AD272" i="56" a="1"/>
  <c r="AD273" i="56" a="1"/>
  <c r="AD242" i="56" a="1"/>
  <c r="AD360" i="56" a="1"/>
  <c r="AD301" i="56" a="1"/>
  <c r="AD423" i="56" a="1"/>
  <c r="AD392" i="56" a="1"/>
  <c r="AD243" i="56" a="1"/>
  <c r="AD361" i="56" a="1"/>
  <c r="AD274" i="56" a="1"/>
  <c r="AD302" i="56" a="1"/>
  <c r="AD393" i="56" a="1"/>
  <c r="AD424" i="56" a="1"/>
  <c r="AD394" i="56" a="1"/>
  <c r="AD275" i="56" a="1"/>
  <c r="AD244" i="56" a="1"/>
  <c r="AD303" i="56" a="1"/>
  <c r="AD362" i="56" a="1"/>
  <c r="AD425" i="56" a="1"/>
  <c r="AD276" i="56" a="1"/>
  <c r="AD363" i="56" a="1"/>
  <c r="AD426" i="56" a="1"/>
  <c r="AD245" i="56" a="1"/>
  <c r="AD395" i="56" a="1"/>
  <c r="AD304" i="56" a="1"/>
  <c r="C366" i="56"/>
  <c r="P365" i="56" a="1"/>
  <c r="S365" i="56" a="1"/>
  <c r="W365" i="56" a="1"/>
  <c r="N365" i="56" a="1"/>
  <c r="X365" i="56" a="1"/>
  <c r="O365" i="56" a="1"/>
  <c r="Q365" i="56" a="1"/>
  <c r="I365" i="56" a="1"/>
  <c r="K365" i="56" a="1"/>
  <c r="J365" i="56" a="1"/>
  <c r="G365" i="56" a="1"/>
  <c r="AA365" i="56" a="1"/>
  <c r="T365" i="56" a="1"/>
  <c r="AD365" i="56" a="1"/>
  <c r="AC365" i="56" a="1"/>
  <c r="U365" i="56" a="1"/>
  <c r="H365" i="56" a="1"/>
  <c r="M365" i="56" a="1"/>
  <c r="Y365" i="56" a="1"/>
  <c r="F365" i="56" a="1"/>
  <c r="V365" i="56" a="1"/>
  <c r="AB365" i="56" a="1"/>
  <c r="R365" i="56" a="1"/>
  <c r="Z365" i="56" a="1"/>
  <c r="L365" i="56" a="1"/>
  <c r="AB202" i="56"/>
  <c r="AC305" i="56" a="1"/>
  <c r="B367" i="56"/>
  <c r="D366" i="56" a="1"/>
  <c r="V202" i="56"/>
  <c r="O202" i="56"/>
  <c r="Z396" i="56" a="1"/>
  <c r="O396" i="56" a="1"/>
  <c r="F427" i="56" a="1"/>
  <c r="R427" i="56" a="1"/>
  <c r="V427" i="56" a="1"/>
  <c r="AC157" i="56"/>
  <c r="AD157" i="56"/>
  <c r="AD127" i="56"/>
  <c r="G203" i="56"/>
  <c r="H200" i="56"/>
  <c r="H203" i="56"/>
  <c r="I200" i="56"/>
  <c r="I203" i="56"/>
  <c r="J200" i="56"/>
  <c r="S67" i="56"/>
  <c r="T62" i="56"/>
  <c r="F397" i="56" a="1"/>
  <c r="AB209" i="56"/>
  <c r="AC206" i="56"/>
  <c r="W397" i="56" a="1"/>
  <c r="AD126" i="56"/>
  <c r="X397" i="56" a="1"/>
  <c r="AC278" i="56"/>
  <c r="AC195" i="56"/>
  <c r="AC208" i="56"/>
  <c r="AD184" i="56"/>
  <c r="AC128" i="56"/>
  <c r="AB128" i="56"/>
  <c r="Z397" i="56" a="1"/>
  <c r="J428" i="56" a="1"/>
  <c r="Z428" i="56" a="1"/>
  <c r="T65" i="56"/>
  <c r="T66" i="56"/>
  <c r="T49" i="56"/>
  <c r="Q397" i="56" a="1"/>
  <c r="I397" i="56" a="1"/>
  <c r="G397" i="56" a="1"/>
  <c r="L397" i="56" a="1"/>
  <c r="AC428" i="56" a="1"/>
  <c r="Q428" i="56" a="1"/>
  <c r="I428" i="56" a="1"/>
  <c r="Q429" i="56" a="1"/>
  <c r="Q430" i="56"/>
  <c r="Q316" i="56"/>
  <c r="Q334" i="56"/>
  <c r="D429" i="56" a="1"/>
  <c r="M429" i="56" a="1"/>
  <c r="K397" i="56" a="1"/>
  <c r="O397" i="56" a="1"/>
  <c r="X428" i="56" a="1"/>
  <c r="R428" i="56" a="1"/>
  <c r="AC209" i="56"/>
  <c r="AD206" i="56"/>
  <c r="F187" i="56"/>
  <c r="G187" i="56"/>
  <c r="C188" i="56"/>
  <c r="H187" i="56"/>
  <c r="I187" i="56"/>
  <c r="J187" i="56"/>
  <c r="K187" i="56"/>
  <c r="L187" i="56"/>
  <c r="M187" i="56"/>
  <c r="N187" i="56"/>
  <c r="O187" i="56"/>
  <c r="P187" i="56"/>
  <c r="Q187" i="56"/>
  <c r="R187" i="56"/>
  <c r="S187" i="56"/>
  <c r="T187" i="56"/>
  <c r="U187" i="56"/>
  <c r="V187" i="56"/>
  <c r="W187" i="56"/>
  <c r="X187" i="56"/>
  <c r="Y187" i="56"/>
  <c r="Z187" i="56"/>
  <c r="AA187" i="56"/>
  <c r="AB187" i="56"/>
  <c r="D187" i="56" a="1"/>
  <c r="M397" i="56" a="1"/>
  <c r="S397" i="56" a="1"/>
  <c r="U397" i="56" a="1"/>
  <c r="R397" i="56" a="1"/>
  <c r="D277" i="56" a="1"/>
  <c r="AD277" i="56" a="1"/>
  <c r="AD278" i="56"/>
  <c r="AD195" i="56"/>
  <c r="AD208" i="56"/>
  <c r="O428" i="56" a="1"/>
  <c r="K428" i="56" a="1"/>
  <c r="AB428" i="56" a="1"/>
  <c r="H397" i="56" a="1"/>
  <c r="AA428" i="56" a="1"/>
  <c r="AC186" i="56"/>
  <c r="AD186" i="56"/>
  <c r="N397" i="56" a="1"/>
  <c r="P397" i="56" a="1"/>
  <c r="H428" i="56" a="1"/>
  <c r="AD428" i="56" a="1"/>
  <c r="Y307" i="56" a="1"/>
  <c r="R307" i="56" a="1"/>
  <c r="Q307" i="56" a="1"/>
  <c r="AD307" i="56" a="1"/>
  <c r="S307" i="56" a="1"/>
  <c r="P307" i="56" a="1"/>
  <c r="L307" i="56" a="1"/>
  <c r="I307" i="56" a="1"/>
  <c r="AB307" i="56" a="1"/>
  <c r="W307" i="56" a="1"/>
  <c r="X307" i="56" a="1"/>
  <c r="V307" i="56" a="1"/>
  <c r="T307" i="56" a="1"/>
  <c r="U307" i="56" a="1"/>
  <c r="O307" i="56" a="1"/>
  <c r="N307" i="56" a="1"/>
  <c r="AA307" i="56" a="1"/>
  <c r="M307" i="56" a="1"/>
  <c r="J307" i="56" a="1"/>
  <c r="C308" i="56"/>
  <c r="H307" i="56" a="1"/>
  <c r="G307" i="56" a="1"/>
  <c r="Z307" i="56" a="1"/>
  <c r="K307" i="56" a="1"/>
  <c r="F307" i="56" a="1"/>
  <c r="D307" i="56" a="1"/>
  <c r="AC307" i="56" a="1"/>
  <c r="Y366" i="56" a="1"/>
  <c r="AB366" i="56" a="1"/>
  <c r="AD366" i="56" a="1"/>
  <c r="L366" i="56" a="1"/>
  <c r="V366" i="56" a="1"/>
  <c r="H366" i="56" a="1"/>
  <c r="I366" i="56" a="1"/>
  <c r="O366" i="56" a="1"/>
  <c r="W366" i="56" a="1"/>
  <c r="G366" i="56" a="1"/>
  <c r="Q366" i="56" a="1"/>
  <c r="C367" i="56"/>
  <c r="S366" i="56" a="1"/>
  <c r="Z366" i="56" a="1"/>
  <c r="AC366" i="56" a="1"/>
  <c r="J366" i="56" a="1"/>
  <c r="X366" i="56" a="1"/>
  <c r="R366" i="56" a="1"/>
  <c r="M366" i="56" a="1"/>
  <c r="F366" i="56" a="1"/>
  <c r="T366" i="56" a="1"/>
  <c r="K366" i="56" a="1"/>
  <c r="P366" i="56" a="1"/>
  <c r="U366" i="56" a="1"/>
  <c r="N366" i="56" a="1"/>
  <c r="AA366" i="56" a="1"/>
  <c r="AC202" i="56"/>
  <c r="AA397" i="56" a="1"/>
  <c r="J397" i="56" a="1"/>
  <c r="D398" i="56" a="1"/>
  <c r="X398" i="56" a="1"/>
  <c r="X399" i="56"/>
  <c r="X315" i="56"/>
  <c r="X328" i="56"/>
  <c r="T75" i="56"/>
  <c r="U70" i="56"/>
  <c r="T73" i="56"/>
  <c r="T74" i="56"/>
  <c r="T50" i="56"/>
  <c r="F428" i="56" a="1"/>
  <c r="T428" i="56" a="1"/>
  <c r="U428" i="56" a="1"/>
  <c r="AD333" i="56" a="1"/>
  <c r="AD213" i="56" a="1"/>
  <c r="AD99" i="56" a="1"/>
  <c r="AD71" i="56" a="1"/>
  <c r="AD72" i="56"/>
  <c r="AD128" i="56"/>
  <c r="AC160" i="56"/>
  <c r="AC81" i="56"/>
  <c r="AC94" i="56"/>
  <c r="AD397" i="56" a="1"/>
  <c r="Y397" i="56" a="1"/>
  <c r="V397" i="56" a="1"/>
  <c r="W428" i="56" a="1"/>
  <c r="L428" i="56" a="1"/>
  <c r="N428" i="56" a="1"/>
  <c r="AD207" i="56" a="1"/>
  <c r="AD63" i="56" a="1"/>
  <c r="AD64" i="56"/>
  <c r="AD93" i="56" a="1"/>
  <c r="AD327" i="56" a="1"/>
  <c r="AD321" i="56" a="1"/>
  <c r="AD201" i="56" a="1"/>
  <c r="AD87" i="56" a="1"/>
  <c r="AD55" i="56" a="1"/>
  <c r="AD56" i="56"/>
  <c r="AD17" i="56"/>
  <c r="AD30" i="56"/>
  <c r="D246" i="56" a="1"/>
  <c r="AD246" i="56" a="1"/>
  <c r="AD247" i="56"/>
  <c r="AD194" i="56"/>
  <c r="AD160" i="56"/>
  <c r="AD81" i="56"/>
  <c r="AD94" i="56"/>
  <c r="S57" i="56"/>
  <c r="S58" i="56"/>
  <c r="S48" i="56"/>
  <c r="S51" i="56"/>
  <c r="S20" i="56"/>
  <c r="T397" i="56" a="1"/>
  <c r="AB397" i="56" a="1"/>
  <c r="V428" i="56" a="1"/>
  <c r="G428" i="56" a="1"/>
  <c r="Y428" i="56" a="1"/>
  <c r="C130" i="56"/>
  <c r="F129" i="56"/>
  <c r="G129" i="56"/>
  <c r="H129" i="56"/>
  <c r="I129" i="56"/>
  <c r="J129" i="56"/>
  <c r="K129" i="56"/>
  <c r="L129" i="56"/>
  <c r="M129" i="56"/>
  <c r="N129" i="56"/>
  <c r="O129" i="56"/>
  <c r="P129" i="56"/>
  <c r="Q129" i="56"/>
  <c r="R129" i="56"/>
  <c r="S129" i="56"/>
  <c r="T129" i="56"/>
  <c r="U129" i="56"/>
  <c r="V129" i="56"/>
  <c r="W129" i="56"/>
  <c r="X129" i="56"/>
  <c r="Y129" i="56"/>
  <c r="Z129" i="56"/>
  <c r="AA129" i="56"/>
  <c r="AB129" i="56"/>
  <c r="D129" i="56" a="1"/>
  <c r="P428" i="56" a="1"/>
  <c r="M428" i="56" a="1"/>
  <c r="J203" i="56"/>
  <c r="K200" i="56"/>
  <c r="K203" i="56"/>
  <c r="L200" i="56"/>
  <c r="L203" i="56"/>
  <c r="M200" i="56"/>
  <c r="M203" i="56"/>
  <c r="N200" i="56"/>
  <c r="N203" i="56"/>
  <c r="O200" i="56"/>
  <c r="O203" i="56"/>
  <c r="P200" i="56"/>
  <c r="P203" i="56"/>
  <c r="Q200" i="56"/>
  <c r="Q203" i="56"/>
  <c r="R200" i="56"/>
  <c r="R203" i="56"/>
  <c r="S200" i="56"/>
  <c r="S203" i="56"/>
  <c r="T200" i="56"/>
  <c r="T203" i="56"/>
  <c r="U200" i="56"/>
  <c r="U203" i="56"/>
  <c r="V200" i="56"/>
  <c r="V203" i="56"/>
  <c r="W200" i="56"/>
  <c r="W203" i="56"/>
  <c r="X200" i="56"/>
  <c r="X203" i="56"/>
  <c r="Y200" i="56"/>
  <c r="Y203" i="56"/>
  <c r="Z200" i="56"/>
  <c r="Z203" i="56"/>
  <c r="AA200" i="56"/>
  <c r="AA203" i="56"/>
  <c r="AB200" i="56"/>
  <c r="AB203" i="56"/>
  <c r="AC200" i="56"/>
  <c r="AC203" i="56"/>
  <c r="AD200" i="56"/>
  <c r="AC95" i="56"/>
  <c r="AD92" i="56"/>
  <c r="AD95" i="56"/>
  <c r="F398" i="56" a="1"/>
  <c r="F399" i="56"/>
  <c r="F315" i="56"/>
  <c r="F328" i="56"/>
  <c r="F329" i="56"/>
  <c r="G326" i="56"/>
  <c r="M430" i="56"/>
  <c r="M316" i="56"/>
  <c r="M334" i="56"/>
  <c r="AB398" i="56" a="1"/>
  <c r="AB399" i="56"/>
  <c r="AB315" i="56"/>
  <c r="AB328" i="56"/>
  <c r="H398" i="56" a="1"/>
  <c r="H399" i="56"/>
  <c r="H315" i="56"/>
  <c r="H328" i="56"/>
  <c r="R429" i="56" a="1"/>
  <c r="R430" i="56"/>
  <c r="R316" i="56"/>
  <c r="R334" i="56"/>
  <c r="AC398" i="56" a="1"/>
  <c r="AC399" i="56"/>
  <c r="AC315" i="56"/>
  <c r="AC328" i="56"/>
  <c r="AC187" i="56"/>
  <c r="O429" i="56" a="1"/>
  <c r="O430" i="56"/>
  <c r="O316" i="56"/>
  <c r="O334" i="56"/>
  <c r="N398" i="56" a="1"/>
  <c r="N399" i="56"/>
  <c r="N315" i="56"/>
  <c r="N328" i="56"/>
  <c r="U429" i="56" a="1"/>
  <c r="U430" i="56"/>
  <c r="U316" i="56"/>
  <c r="U334" i="56"/>
  <c r="T429" i="56" a="1"/>
  <c r="AB429" i="56" a="1"/>
  <c r="AD202" i="56"/>
  <c r="AD203" i="56"/>
  <c r="T398" i="56" a="1"/>
  <c r="T399" i="56"/>
  <c r="T315" i="56"/>
  <c r="T328" i="56"/>
  <c r="Z398" i="56" a="1"/>
  <c r="Z399" i="56"/>
  <c r="Z315" i="56"/>
  <c r="Z328" i="56"/>
  <c r="U398" i="56" a="1"/>
  <c r="U399" i="56"/>
  <c r="U315" i="56"/>
  <c r="U328" i="56"/>
  <c r="AB430" i="56"/>
  <c r="AB316" i="56"/>
  <c r="AB334" i="56"/>
  <c r="H429" i="56" a="1"/>
  <c r="H430" i="56"/>
  <c r="H316" i="56"/>
  <c r="H334" i="56"/>
  <c r="L429" i="56" a="1"/>
  <c r="L430" i="56"/>
  <c r="L316" i="56"/>
  <c r="L334" i="56"/>
  <c r="F429" i="56" a="1"/>
  <c r="F430" i="56"/>
  <c r="F316" i="56"/>
  <c r="F334" i="56"/>
  <c r="F335" i="56"/>
  <c r="G332" i="56"/>
  <c r="T67" i="56"/>
  <c r="U62" i="56"/>
  <c r="U73" i="56"/>
  <c r="U74" i="56"/>
  <c r="U50" i="56"/>
  <c r="J398" i="56" a="1"/>
  <c r="J399" i="56"/>
  <c r="J315" i="56"/>
  <c r="J328" i="56"/>
  <c r="O398" i="56" a="1"/>
  <c r="O399" i="56"/>
  <c r="O315" i="56"/>
  <c r="O328" i="56"/>
  <c r="S398" i="56" a="1"/>
  <c r="S399" i="56"/>
  <c r="S315" i="56"/>
  <c r="S328" i="56"/>
  <c r="AD187" i="56"/>
  <c r="P429" i="56" a="1"/>
  <c r="P430" i="56"/>
  <c r="P316" i="56"/>
  <c r="P334" i="56"/>
  <c r="Y429" i="56" a="1"/>
  <c r="Y430" i="56"/>
  <c r="Y316" i="56"/>
  <c r="Y334" i="56"/>
  <c r="V429" i="56" a="1"/>
  <c r="V430" i="56"/>
  <c r="V316" i="56"/>
  <c r="V334" i="56"/>
  <c r="P398" i="56" a="1"/>
  <c r="P399" i="56"/>
  <c r="P315" i="56"/>
  <c r="P328" i="56"/>
  <c r="T430" i="56"/>
  <c r="T316" i="56"/>
  <c r="T334" i="56"/>
  <c r="AD429" i="56" a="1"/>
  <c r="AD430" i="56"/>
  <c r="AD316" i="56"/>
  <c r="AD334" i="56"/>
  <c r="G398" i="56" a="1"/>
  <c r="G399" i="56"/>
  <c r="G315" i="56"/>
  <c r="G328" i="56"/>
  <c r="G329" i="56"/>
  <c r="H326" i="56"/>
  <c r="H329" i="56"/>
  <c r="I326" i="56"/>
  <c r="Q398" i="56" a="1"/>
  <c r="Q399" i="56"/>
  <c r="Q315" i="56"/>
  <c r="Q328" i="56"/>
  <c r="K398" i="56" a="1"/>
  <c r="K399" i="56"/>
  <c r="K315" i="56"/>
  <c r="K328" i="56"/>
  <c r="W398" i="56" a="1"/>
  <c r="W399" i="56"/>
  <c r="W315" i="56"/>
  <c r="W328" i="56"/>
  <c r="V398" i="56" a="1"/>
  <c r="V399" i="56"/>
  <c r="V315" i="56"/>
  <c r="V328" i="56"/>
  <c r="AD209" i="56"/>
  <c r="N429" i="56" a="1"/>
  <c r="N430" i="56"/>
  <c r="N316" i="56"/>
  <c r="N334" i="56"/>
  <c r="AA429" i="56" a="1"/>
  <c r="AA430" i="56"/>
  <c r="AA316" i="56"/>
  <c r="AA334" i="56"/>
  <c r="K429" i="56" a="1"/>
  <c r="K430" i="56"/>
  <c r="K316" i="56"/>
  <c r="K334" i="56"/>
  <c r="G188" i="56"/>
  <c r="G189" i="56"/>
  <c r="G82" i="56"/>
  <c r="G100" i="56"/>
  <c r="F188" i="56"/>
  <c r="F189" i="56"/>
  <c r="F82" i="56"/>
  <c r="F100" i="56"/>
  <c r="F101" i="56"/>
  <c r="G98" i="56"/>
  <c r="G101" i="56"/>
  <c r="H98" i="56"/>
  <c r="H188" i="56"/>
  <c r="H189" i="56"/>
  <c r="H82" i="56"/>
  <c r="H100" i="56"/>
  <c r="I188" i="56"/>
  <c r="I189" i="56"/>
  <c r="I82" i="56"/>
  <c r="I100" i="56"/>
  <c r="J188" i="56"/>
  <c r="J189" i="56"/>
  <c r="J82" i="56"/>
  <c r="J100" i="56"/>
  <c r="K188" i="56"/>
  <c r="K189" i="56"/>
  <c r="K82" i="56"/>
  <c r="K100" i="56"/>
  <c r="L188" i="56"/>
  <c r="L189" i="56"/>
  <c r="L82" i="56"/>
  <c r="L100" i="56"/>
  <c r="M188" i="56"/>
  <c r="M189" i="56"/>
  <c r="M82" i="56"/>
  <c r="M100" i="56"/>
  <c r="N188" i="56"/>
  <c r="N189" i="56"/>
  <c r="N82" i="56"/>
  <c r="N100" i="56"/>
  <c r="O188" i="56"/>
  <c r="O189" i="56"/>
  <c r="O82" i="56"/>
  <c r="O100" i="56"/>
  <c r="P188" i="56"/>
  <c r="P189" i="56"/>
  <c r="P82" i="56"/>
  <c r="P100" i="56"/>
  <c r="Q188" i="56"/>
  <c r="Q189" i="56"/>
  <c r="Q82" i="56"/>
  <c r="Q100" i="56"/>
  <c r="R188" i="56"/>
  <c r="R189" i="56"/>
  <c r="R82" i="56"/>
  <c r="R100" i="56"/>
  <c r="S188" i="56"/>
  <c r="S189" i="56"/>
  <c r="S82" i="56"/>
  <c r="S100" i="56"/>
  <c r="T188" i="56"/>
  <c r="T189" i="56"/>
  <c r="T82" i="56"/>
  <c r="T100" i="56"/>
  <c r="U188" i="56"/>
  <c r="U189" i="56"/>
  <c r="U82" i="56"/>
  <c r="U100" i="56"/>
  <c r="V188" i="56"/>
  <c r="V189" i="56"/>
  <c r="V82" i="56"/>
  <c r="V100" i="56"/>
  <c r="W188" i="56"/>
  <c r="W189" i="56"/>
  <c r="W82" i="56"/>
  <c r="W100" i="56"/>
  <c r="X188" i="56"/>
  <c r="X189" i="56"/>
  <c r="X82" i="56"/>
  <c r="X100" i="56"/>
  <c r="Y188" i="56"/>
  <c r="Y189" i="56"/>
  <c r="Y82" i="56"/>
  <c r="Y100" i="56"/>
  <c r="Z188" i="56"/>
  <c r="Z189" i="56"/>
  <c r="Z82" i="56"/>
  <c r="Z100" i="56"/>
  <c r="AA188" i="56"/>
  <c r="AA189" i="56"/>
  <c r="AA82" i="56"/>
  <c r="AA100" i="56"/>
  <c r="AB188" i="56"/>
  <c r="AB189" i="56"/>
  <c r="AB82" i="56"/>
  <c r="AB100" i="56"/>
  <c r="AC188" i="56"/>
  <c r="AC189" i="56"/>
  <c r="AC82" i="56"/>
  <c r="AC100" i="56"/>
  <c r="D188" i="56" a="1"/>
  <c r="R398" i="56" a="1"/>
  <c r="R399" i="56"/>
  <c r="R315" i="56"/>
  <c r="R328" i="56"/>
  <c r="AA308" i="56" a="1"/>
  <c r="S308" i="56" a="1"/>
  <c r="S309" i="56"/>
  <c r="S196" i="56"/>
  <c r="K308" i="56" a="1"/>
  <c r="K309" i="56"/>
  <c r="K196" i="56"/>
  <c r="O308" i="56" a="1"/>
  <c r="O309" i="56"/>
  <c r="O196" i="56"/>
  <c r="R308" i="56" a="1"/>
  <c r="R309" i="56"/>
  <c r="R196" i="56"/>
  <c r="J308" i="56" a="1"/>
  <c r="J309" i="56"/>
  <c r="J196" i="56"/>
  <c r="Y308" i="56" a="1"/>
  <c r="Y309" i="56"/>
  <c r="Y196" i="56"/>
  <c r="AB308" i="56" a="1"/>
  <c r="AB309" i="56"/>
  <c r="AB196" i="56"/>
  <c r="M308" i="56" a="1"/>
  <c r="M309" i="56"/>
  <c r="M196" i="56"/>
  <c r="I308" i="56" a="1"/>
  <c r="I309" i="56"/>
  <c r="I196" i="56"/>
  <c r="H308" i="56" a="1"/>
  <c r="H309" i="56"/>
  <c r="H196" i="56"/>
  <c r="P308" i="56" a="1"/>
  <c r="P309" i="56"/>
  <c r="P196" i="56"/>
  <c r="W308" i="56" a="1"/>
  <c r="W309" i="56"/>
  <c r="W196" i="56"/>
  <c r="Z308" i="56" a="1"/>
  <c r="Z309" i="56"/>
  <c r="Z196" i="56"/>
  <c r="V308" i="56" a="1"/>
  <c r="V309" i="56"/>
  <c r="V196" i="56"/>
  <c r="N308" i="56" a="1"/>
  <c r="N309" i="56"/>
  <c r="N196" i="56"/>
  <c r="F308" i="56" a="1"/>
  <c r="F309" i="56"/>
  <c r="F196" i="56"/>
  <c r="U308" i="56" a="1"/>
  <c r="U309" i="56"/>
  <c r="U196" i="56"/>
  <c r="X308" i="56" a="1"/>
  <c r="X309" i="56"/>
  <c r="X196" i="56"/>
  <c r="Q308" i="56" a="1"/>
  <c r="Q309" i="56"/>
  <c r="Q196" i="56"/>
  <c r="L308" i="56" a="1"/>
  <c r="L309" i="56"/>
  <c r="L196" i="56"/>
  <c r="T308" i="56" a="1"/>
  <c r="T309" i="56"/>
  <c r="T196" i="56"/>
  <c r="AC308" i="56" a="1"/>
  <c r="AC309" i="56"/>
  <c r="AC196" i="56"/>
  <c r="G308" i="56" a="1"/>
  <c r="G309" i="56"/>
  <c r="G196" i="56"/>
  <c r="D308" i="56" a="1"/>
  <c r="AD308" i="56" a="1"/>
  <c r="AD309" i="56"/>
  <c r="AD196" i="56"/>
  <c r="AA398" i="56" a="1"/>
  <c r="I398" i="56" a="1"/>
  <c r="I399" i="56"/>
  <c r="I315" i="56"/>
  <c r="I328" i="56"/>
  <c r="M398" i="56" a="1"/>
  <c r="M399" i="56"/>
  <c r="M315" i="56"/>
  <c r="M328" i="56"/>
  <c r="Z429" i="56" a="1"/>
  <c r="Z430" i="56"/>
  <c r="Z316" i="56"/>
  <c r="Z334" i="56"/>
  <c r="J429" i="56" a="1"/>
  <c r="J430" i="56"/>
  <c r="J316" i="56"/>
  <c r="J334" i="56"/>
  <c r="W429" i="56" a="1"/>
  <c r="W430" i="56"/>
  <c r="W316" i="56"/>
  <c r="W334" i="56"/>
  <c r="AC129" i="56"/>
  <c r="AD129" i="56"/>
  <c r="F130" i="56"/>
  <c r="F131" i="56"/>
  <c r="F80" i="56"/>
  <c r="G130" i="56"/>
  <c r="G131" i="56"/>
  <c r="G80" i="56"/>
  <c r="H130" i="56"/>
  <c r="H131" i="56"/>
  <c r="H80" i="56"/>
  <c r="I130" i="56"/>
  <c r="I131" i="56"/>
  <c r="I80" i="56"/>
  <c r="J130" i="56"/>
  <c r="J131" i="56"/>
  <c r="J80" i="56"/>
  <c r="K130" i="56"/>
  <c r="K131" i="56"/>
  <c r="K80" i="56"/>
  <c r="L130" i="56"/>
  <c r="L131" i="56"/>
  <c r="L80" i="56"/>
  <c r="M130" i="56"/>
  <c r="M131" i="56"/>
  <c r="M80" i="56"/>
  <c r="N130" i="56"/>
  <c r="N131" i="56"/>
  <c r="N80" i="56"/>
  <c r="O130" i="56"/>
  <c r="O131" i="56"/>
  <c r="O80" i="56"/>
  <c r="P130" i="56"/>
  <c r="P131" i="56"/>
  <c r="P80" i="56"/>
  <c r="Q130" i="56"/>
  <c r="Q131" i="56"/>
  <c r="Q80" i="56"/>
  <c r="R130" i="56"/>
  <c r="R131" i="56"/>
  <c r="R80" i="56"/>
  <c r="S130" i="56"/>
  <c r="S131" i="56"/>
  <c r="S80" i="56"/>
  <c r="T130" i="56"/>
  <c r="T131" i="56"/>
  <c r="T80" i="56"/>
  <c r="U130" i="56"/>
  <c r="U131" i="56"/>
  <c r="U80" i="56"/>
  <c r="V130" i="56"/>
  <c r="V131" i="56"/>
  <c r="V80" i="56"/>
  <c r="W130" i="56"/>
  <c r="W131" i="56"/>
  <c r="W80" i="56"/>
  <c r="X130" i="56"/>
  <c r="X131" i="56"/>
  <c r="X80" i="56"/>
  <c r="Y130" i="56"/>
  <c r="Y131" i="56"/>
  <c r="Y80" i="56"/>
  <c r="Z130" i="56"/>
  <c r="Z131" i="56"/>
  <c r="Z80" i="56"/>
  <c r="AA130" i="56"/>
  <c r="AA131" i="56"/>
  <c r="AA80" i="56"/>
  <c r="AB130" i="56"/>
  <c r="AB131" i="56"/>
  <c r="AB80" i="56"/>
  <c r="AC130" i="56"/>
  <c r="D130" i="56" a="1"/>
  <c r="D367" i="56" a="1"/>
  <c r="G367" i="56" a="1"/>
  <c r="G368" i="56"/>
  <c r="G314" i="56"/>
  <c r="S59" i="56"/>
  <c r="T54" i="56"/>
  <c r="AD398" i="56" a="1"/>
  <c r="AD399" i="56"/>
  <c r="AD315" i="56"/>
  <c r="AD328" i="56"/>
  <c r="L398" i="56" a="1"/>
  <c r="L399" i="56"/>
  <c r="L315" i="56"/>
  <c r="L328" i="56"/>
  <c r="Y398" i="56" a="1"/>
  <c r="Y399" i="56"/>
  <c r="Y315" i="56"/>
  <c r="Y328" i="56"/>
  <c r="AA399" i="56"/>
  <c r="AA315" i="56"/>
  <c r="AA328" i="56"/>
  <c r="G429" i="56" a="1"/>
  <c r="G430" i="56"/>
  <c r="G316" i="56"/>
  <c r="G334" i="56"/>
  <c r="AC429" i="56" a="1"/>
  <c r="AC430" i="56"/>
  <c r="AC316" i="56"/>
  <c r="AC334" i="56"/>
  <c r="X429" i="56" a="1"/>
  <c r="X430" i="56"/>
  <c r="X316" i="56"/>
  <c r="X334" i="56"/>
  <c r="AA309" i="56"/>
  <c r="AA196" i="56"/>
  <c r="S429" i="56" a="1"/>
  <c r="S430" i="56"/>
  <c r="S316" i="56"/>
  <c r="S334" i="56"/>
  <c r="I429" i="56" a="1"/>
  <c r="I430" i="56"/>
  <c r="I316" i="56"/>
  <c r="I334" i="56"/>
  <c r="AD188" i="56"/>
  <c r="AD189" i="56"/>
  <c r="AD82" i="56"/>
  <c r="AD100" i="56"/>
  <c r="I329" i="56"/>
  <c r="J326" i="56"/>
  <c r="J329" i="56"/>
  <c r="K326" i="56"/>
  <c r="K329" i="56"/>
  <c r="L326" i="56"/>
  <c r="L329" i="56"/>
  <c r="M326" i="56"/>
  <c r="M329" i="56"/>
  <c r="N326" i="56"/>
  <c r="N329" i="56"/>
  <c r="O326" i="56"/>
  <c r="O329" i="56"/>
  <c r="P326" i="56"/>
  <c r="P329" i="56"/>
  <c r="Q326" i="56"/>
  <c r="Q329" i="56"/>
  <c r="R326" i="56"/>
  <c r="R329" i="56"/>
  <c r="S326" i="56"/>
  <c r="S329" i="56"/>
  <c r="T326" i="56"/>
  <c r="T329" i="56"/>
  <c r="U326" i="56"/>
  <c r="U329" i="56"/>
  <c r="V326" i="56"/>
  <c r="V329" i="56"/>
  <c r="W326" i="56"/>
  <c r="W329" i="56"/>
  <c r="X326" i="56"/>
  <c r="X329" i="56"/>
  <c r="Y326" i="56"/>
  <c r="Y329" i="56"/>
  <c r="AC131" i="56"/>
  <c r="AC80" i="56"/>
  <c r="F6" i="56"/>
  <c r="Z326" i="56"/>
  <c r="Z329" i="56"/>
  <c r="AA326" i="56"/>
  <c r="AA329" i="56"/>
  <c r="AB326" i="56"/>
  <c r="AB329" i="56"/>
  <c r="AC326" i="56"/>
  <c r="AC329" i="56"/>
  <c r="AD326" i="56"/>
  <c r="AD329" i="56"/>
  <c r="G322" i="56"/>
  <c r="G317" i="56"/>
  <c r="G23" i="56"/>
  <c r="AD214" i="56"/>
  <c r="AD197" i="56"/>
  <c r="AD22" i="56"/>
  <c r="AC88" i="56"/>
  <c r="AC83" i="56"/>
  <c r="AC21" i="56"/>
  <c r="AC26" i="56"/>
  <c r="AC31" i="56"/>
  <c r="AC36" i="56"/>
  <c r="AB214" i="56"/>
  <c r="AB197" i="56"/>
  <c r="AB22" i="56"/>
  <c r="P214" i="56"/>
  <c r="P197" i="56"/>
  <c r="P22" i="56"/>
  <c r="U75" i="56"/>
  <c r="V70" i="56"/>
  <c r="T367" i="56" a="1"/>
  <c r="T368" i="56"/>
  <c r="T314" i="56"/>
  <c r="AD367" i="56" a="1"/>
  <c r="AD368" i="56"/>
  <c r="AD314" i="56"/>
  <c r="W367" i="56" a="1"/>
  <c r="W368" i="56"/>
  <c r="W314" i="56"/>
  <c r="W88" i="56"/>
  <c r="W83" i="56"/>
  <c r="W21" i="56"/>
  <c r="W26" i="56"/>
  <c r="W31" i="56"/>
  <c r="W36" i="56"/>
  <c r="O88" i="56"/>
  <c r="O83" i="56"/>
  <c r="O21" i="56"/>
  <c r="O26" i="56"/>
  <c r="O31" i="56"/>
  <c r="O36" i="56"/>
  <c r="G83" i="56"/>
  <c r="G21" i="56"/>
  <c r="G26" i="56"/>
  <c r="G31" i="56"/>
  <c r="G36" i="56"/>
  <c r="G88" i="56"/>
  <c r="X214" i="56"/>
  <c r="X197" i="56"/>
  <c r="X22" i="56"/>
  <c r="H214" i="56"/>
  <c r="H197" i="56"/>
  <c r="H22" i="56"/>
  <c r="K214" i="56"/>
  <c r="K197" i="56"/>
  <c r="K22" i="56"/>
  <c r="U67" i="56"/>
  <c r="V62" i="56"/>
  <c r="U65" i="56"/>
  <c r="U66" i="56"/>
  <c r="U49" i="56"/>
  <c r="O367" i="56" a="1"/>
  <c r="O368" i="56"/>
  <c r="O314" i="56"/>
  <c r="X367" i="56" a="1"/>
  <c r="X368" i="56"/>
  <c r="X314" i="56"/>
  <c r="K367" i="56" a="1"/>
  <c r="K368" i="56"/>
  <c r="K314" i="56"/>
  <c r="W214" i="56"/>
  <c r="W197" i="56"/>
  <c r="W22" i="56"/>
  <c r="P83" i="56"/>
  <c r="P21" i="56"/>
  <c r="P26" i="56"/>
  <c r="P31" i="56"/>
  <c r="P36" i="56"/>
  <c r="P88" i="56"/>
  <c r="AD130" i="56"/>
  <c r="AD131" i="56"/>
  <c r="AD80" i="56"/>
  <c r="V88" i="56"/>
  <c r="V83" i="56"/>
  <c r="V21" i="56"/>
  <c r="V26" i="56"/>
  <c r="V31" i="56"/>
  <c r="V36" i="56"/>
  <c r="N88" i="56"/>
  <c r="N83" i="56"/>
  <c r="N21" i="56"/>
  <c r="N26" i="56"/>
  <c r="N31" i="56"/>
  <c r="N36" i="56"/>
  <c r="F88" i="56"/>
  <c r="F89" i="56"/>
  <c r="G86" i="56"/>
  <c r="F83" i="56"/>
  <c r="F21" i="56"/>
  <c r="F26" i="56"/>
  <c r="F31" i="56"/>
  <c r="U214" i="56"/>
  <c r="U197" i="56"/>
  <c r="U22" i="56"/>
  <c r="I214" i="56"/>
  <c r="I197" i="56"/>
  <c r="I22" i="56"/>
  <c r="S214" i="56"/>
  <c r="S197" i="56"/>
  <c r="S22" i="56"/>
  <c r="G335" i="56"/>
  <c r="H332" i="56"/>
  <c r="H335" i="56"/>
  <c r="I332" i="56"/>
  <c r="I335" i="56"/>
  <c r="J332" i="56"/>
  <c r="J335" i="56"/>
  <c r="K332" i="56"/>
  <c r="K335" i="56"/>
  <c r="L332" i="56"/>
  <c r="L335" i="56"/>
  <c r="M332" i="56"/>
  <c r="M335" i="56"/>
  <c r="N332" i="56"/>
  <c r="N335" i="56"/>
  <c r="O332" i="56"/>
  <c r="O335" i="56"/>
  <c r="P332" i="56"/>
  <c r="P335" i="56"/>
  <c r="Q332" i="56"/>
  <c r="Q335" i="56"/>
  <c r="R332" i="56"/>
  <c r="R335" i="56"/>
  <c r="S332" i="56"/>
  <c r="S335" i="56"/>
  <c r="T332" i="56"/>
  <c r="T335" i="56"/>
  <c r="U332" i="56"/>
  <c r="U335" i="56"/>
  <c r="V332" i="56"/>
  <c r="V335" i="56"/>
  <c r="W332" i="56"/>
  <c r="W335" i="56"/>
  <c r="X332" i="56"/>
  <c r="X335" i="56"/>
  <c r="Y332" i="56"/>
  <c r="Y335" i="56"/>
  <c r="Z332" i="56"/>
  <c r="Z335" i="56"/>
  <c r="AA332" i="56"/>
  <c r="AA335" i="56"/>
  <c r="AB332" i="56"/>
  <c r="AB335" i="56"/>
  <c r="AC332" i="56"/>
  <c r="AC335" i="56"/>
  <c r="AD332" i="56"/>
  <c r="AD335" i="56"/>
  <c r="L367" i="56" a="1"/>
  <c r="L368" i="56"/>
  <c r="L314" i="56"/>
  <c r="M367" i="56" a="1"/>
  <c r="M368" i="56"/>
  <c r="M314" i="56"/>
  <c r="U367" i="56" a="1"/>
  <c r="U368" i="56"/>
  <c r="U314" i="56"/>
  <c r="L214" i="56"/>
  <c r="L197" i="56"/>
  <c r="L22" i="56"/>
  <c r="X88" i="56"/>
  <c r="X83" i="56"/>
  <c r="X21" i="56"/>
  <c r="X26" i="56"/>
  <c r="X31" i="56"/>
  <c r="X36" i="56"/>
  <c r="O214" i="56"/>
  <c r="O197" i="56"/>
  <c r="O22" i="56"/>
  <c r="G214" i="56"/>
  <c r="G197" i="56"/>
  <c r="G22" i="56"/>
  <c r="F367" i="56" a="1"/>
  <c r="F368" i="56"/>
  <c r="F314" i="56"/>
  <c r="AA214" i="56"/>
  <c r="AA197" i="56"/>
  <c r="AA22" i="56"/>
  <c r="I88" i="56"/>
  <c r="I83" i="56"/>
  <c r="I21" i="56"/>
  <c r="I26" i="56"/>
  <c r="I31" i="56"/>
  <c r="I36" i="56"/>
  <c r="P367" i="56" a="1"/>
  <c r="P368" i="56"/>
  <c r="P314" i="56"/>
  <c r="AA367" i="56" a="1"/>
  <c r="AA368" i="56"/>
  <c r="AA314" i="56"/>
  <c r="AB88" i="56"/>
  <c r="AB83" i="56"/>
  <c r="AB21" i="56"/>
  <c r="AB26" i="56"/>
  <c r="AB31" i="56"/>
  <c r="AB36" i="56"/>
  <c r="T88" i="56"/>
  <c r="T83" i="56"/>
  <c r="T21" i="56"/>
  <c r="T26" i="56"/>
  <c r="T31" i="56"/>
  <c r="T36" i="56"/>
  <c r="L88" i="56"/>
  <c r="L83" i="56"/>
  <c r="L21" i="56"/>
  <c r="L26" i="56"/>
  <c r="L31" i="56"/>
  <c r="L36" i="56"/>
  <c r="N214" i="56"/>
  <c r="N197" i="56"/>
  <c r="N22" i="56"/>
  <c r="J367" i="56" a="1"/>
  <c r="J368" i="56"/>
  <c r="J314" i="56"/>
  <c r="AB367" i="56" a="1"/>
  <c r="AB368" i="56"/>
  <c r="AB314" i="56"/>
  <c r="I367" i="56" a="1"/>
  <c r="I368" i="56"/>
  <c r="I314" i="56"/>
  <c r="Q88" i="56"/>
  <c r="Q83" i="56"/>
  <c r="Q21" i="56"/>
  <c r="Q26" i="56"/>
  <c r="Q31" i="56"/>
  <c r="Q36" i="56"/>
  <c r="Q214" i="56"/>
  <c r="Q197" i="56"/>
  <c r="Q22" i="56"/>
  <c r="M88" i="56"/>
  <c r="M83" i="56"/>
  <c r="M21" i="56"/>
  <c r="M26" i="56"/>
  <c r="M31" i="56"/>
  <c r="M36" i="56"/>
  <c r="F5" i="56"/>
  <c r="F214" i="56"/>
  <c r="F215" i="56"/>
  <c r="G212" i="56"/>
  <c r="F197" i="56"/>
  <c r="F22" i="56"/>
  <c r="R367" i="56" a="1"/>
  <c r="R368" i="56"/>
  <c r="R314" i="56"/>
  <c r="AA88" i="56"/>
  <c r="AA83" i="56"/>
  <c r="AA21" i="56"/>
  <c r="AA26" i="56"/>
  <c r="AA31" i="56"/>
  <c r="AA36" i="56"/>
  <c r="S88" i="56"/>
  <c r="S83" i="56"/>
  <c r="S21" i="56"/>
  <c r="S26" i="56"/>
  <c r="S31" i="56"/>
  <c r="S36" i="56"/>
  <c r="K88" i="56"/>
  <c r="K83" i="56"/>
  <c r="K21" i="56"/>
  <c r="K26" i="56"/>
  <c r="K31" i="56"/>
  <c r="K36" i="56"/>
  <c r="V214" i="56"/>
  <c r="V197" i="56"/>
  <c r="V22" i="56"/>
  <c r="Y214" i="56"/>
  <c r="Y197" i="56"/>
  <c r="Y22" i="56"/>
  <c r="H101" i="56"/>
  <c r="I98" i="56"/>
  <c r="I101" i="56"/>
  <c r="J98" i="56"/>
  <c r="J101" i="56"/>
  <c r="K98" i="56"/>
  <c r="K101" i="56"/>
  <c r="L98" i="56"/>
  <c r="L101" i="56"/>
  <c r="M98" i="56"/>
  <c r="M101" i="56"/>
  <c r="N98" i="56"/>
  <c r="N101" i="56"/>
  <c r="O98" i="56"/>
  <c r="O101" i="56"/>
  <c r="P98" i="56"/>
  <c r="P101" i="56"/>
  <c r="Q98" i="56"/>
  <c r="Q101" i="56"/>
  <c r="R98" i="56"/>
  <c r="R101" i="56"/>
  <c r="S98" i="56"/>
  <c r="S101" i="56"/>
  <c r="T98" i="56"/>
  <c r="T101" i="56"/>
  <c r="U98" i="56"/>
  <c r="U101" i="56"/>
  <c r="V98" i="56"/>
  <c r="V101" i="56"/>
  <c r="W98" i="56"/>
  <c r="W101" i="56"/>
  <c r="X98" i="56"/>
  <c r="X101" i="56"/>
  <c r="Y98" i="56"/>
  <c r="Y101" i="56"/>
  <c r="Z98" i="56"/>
  <c r="Z101" i="56"/>
  <c r="AA98" i="56"/>
  <c r="AA101" i="56"/>
  <c r="AB98" i="56"/>
  <c r="AB101" i="56"/>
  <c r="AC98" i="56"/>
  <c r="AC101" i="56"/>
  <c r="AD98" i="56"/>
  <c r="AC367" i="56" a="1"/>
  <c r="AC368" i="56"/>
  <c r="AC314" i="56"/>
  <c r="N367" i="56" a="1"/>
  <c r="N368" i="56"/>
  <c r="N314" i="56"/>
  <c r="Q367" i="56" a="1"/>
  <c r="Q368" i="56"/>
  <c r="Q314" i="56"/>
  <c r="Y88" i="56"/>
  <c r="Y83" i="56"/>
  <c r="Y21" i="56"/>
  <c r="Y26" i="56"/>
  <c r="Y31" i="56"/>
  <c r="Y36" i="56"/>
  <c r="H88" i="56"/>
  <c r="H83" i="56"/>
  <c r="H21" i="56"/>
  <c r="H26" i="56"/>
  <c r="H31" i="56"/>
  <c r="H36" i="56"/>
  <c r="U88" i="56"/>
  <c r="U83" i="56"/>
  <c r="U21" i="56"/>
  <c r="U26" i="56"/>
  <c r="U31" i="56"/>
  <c r="U36" i="56"/>
  <c r="M214" i="56"/>
  <c r="M197" i="56"/>
  <c r="M22" i="56"/>
  <c r="Z88" i="56"/>
  <c r="Z83" i="56"/>
  <c r="Z21" i="56"/>
  <c r="Z26" i="56"/>
  <c r="Z31" i="56"/>
  <c r="Z36" i="56"/>
  <c r="R83" i="56"/>
  <c r="R21" i="56"/>
  <c r="R26" i="56"/>
  <c r="R31" i="56"/>
  <c r="R36" i="56"/>
  <c r="R88" i="56"/>
  <c r="J88" i="56"/>
  <c r="J83" i="56"/>
  <c r="J21" i="56"/>
  <c r="J26" i="56"/>
  <c r="J31" i="56"/>
  <c r="J36" i="56"/>
  <c r="T214" i="56"/>
  <c r="T197" i="56"/>
  <c r="T22" i="56"/>
  <c r="Z214" i="56"/>
  <c r="Z197" i="56"/>
  <c r="Z22" i="56"/>
  <c r="J214" i="56"/>
  <c r="J197" i="56"/>
  <c r="J22" i="56"/>
  <c r="S367" i="56" a="1"/>
  <c r="S368" i="56"/>
  <c r="S314" i="56"/>
  <c r="Y367" i="56" a="1"/>
  <c r="Y368" i="56"/>
  <c r="Y314" i="56"/>
  <c r="V367" i="56" a="1"/>
  <c r="V368" i="56"/>
  <c r="V314" i="56"/>
  <c r="T59" i="56"/>
  <c r="U54" i="56"/>
  <c r="T57" i="56"/>
  <c r="T58" i="56"/>
  <c r="T48" i="56"/>
  <c r="T51" i="56"/>
  <c r="T20" i="56"/>
  <c r="R214" i="56"/>
  <c r="R197" i="56"/>
  <c r="R22" i="56"/>
  <c r="Z367" i="56" a="1"/>
  <c r="Z368" i="56"/>
  <c r="Z314" i="56"/>
  <c r="H367" i="56" a="1"/>
  <c r="H368" i="56"/>
  <c r="H314" i="56"/>
  <c r="AC214" i="56"/>
  <c r="AC197" i="56"/>
  <c r="AC22" i="56"/>
  <c r="AD101" i="56"/>
  <c r="AD88" i="56"/>
  <c r="AD83" i="56"/>
  <c r="AD21" i="56"/>
  <c r="AD26" i="56"/>
  <c r="AD31" i="56"/>
  <c r="AD36" i="56"/>
  <c r="V317" i="56"/>
  <c r="V23" i="56"/>
  <c r="V322" i="56"/>
  <c r="O322" i="56"/>
  <c r="O317" i="56"/>
  <c r="O23" i="56"/>
  <c r="AC322" i="56"/>
  <c r="AC317" i="56"/>
  <c r="AC23" i="56"/>
  <c r="J317" i="56"/>
  <c r="J23" i="56"/>
  <c r="J322" i="56"/>
  <c r="U322" i="56"/>
  <c r="U317" i="56"/>
  <c r="U23" i="56"/>
  <c r="T317" i="56"/>
  <c r="T23" i="56"/>
  <c r="T322" i="56"/>
  <c r="AA322" i="56"/>
  <c r="AA317" i="56"/>
  <c r="AA23" i="56"/>
  <c r="M317" i="56"/>
  <c r="M23" i="56"/>
  <c r="M322" i="56"/>
  <c r="V65" i="56"/>
  <c r="V66" i="56"/>
  <c r="V49" i="56"/>
  <c r="V73" i="56"/>
  <c r="V74" i="56"/>
  <c r="V50" i="56"/>
  <c r="N317" i="56"/>
  <c r="N23" i="56"/>
  <c r="N322" i="56"/>
  <c r="F322" i="56"/>
  <c r="F323" i="56"/>
  <c r="G320" i="56"/>
  <c r="G323" i="56"/>
  <c r="H320" i="56"/>
  <c r="H323" i="56"/>
  <c r="I320" i="56"/>
  <c r="I323" i="56"/>
  <c r="J320" i="56"/>
  <c r="J323" i="56"/>
  <c r="K320" i="56"/>
  <c r="K323" i="56"/>
  <c r="L320" i="56"/>
  <c r="F317" i="56"/>
  <c r="F23" i="56"/>
  <c r="Y317" i="56"/>
  <c r="Y23" i="56"/>
  <c r="Y322" i="56"/>
  <c r="Z317" i="56"/>
  <c r="Z23" i="56"/>
  <c r="Z322" i="56"/>
  <c r="P317" i="56"/>
  <c r="P23" i="56"/>
  <c r="P322" i="56"/>
  <c r="L317" i="56"/>
  <c r="L23" i="56"/>
  <c r="L322" i="56"/>
  <c r="F36" i="56"/>
  <c r="F32" i="56"/>
  <c r="G29" i="56"/>
  <c r="G32" i="56"/>
  <c r="H29" i="56"/>
  <c r="H32" i="56"/>
  <c r="I29" i="56"/>
  <c r="I32" i="56"/>
  <c r="J29" i="56"/>
  <c r="J32" i="56"/>
  <c r="K29" i="56"/>
  <c r="K32" i="56"/>
  <c r="L29" i="56"/>
  <c r="L32" i="56"/>
  <c r="M29" i="56"/>
  <c r="M32" i="56"/>
  <c r="N29" i="56"/>
  <c r="N32" i="56"/>
  <c r="O29" i="56"/>
  <c r="O32" i="56"/>
  <c r="P29" i="56"/>
  <c r="P32" i="56"/>
  <c r="Q29" i="56"/>
  <c r="Q32" i="56"/>
  <c r="R29" i="56"/>
  <c r="R32" i="56"/>
  <c r="S29" i="56"/>
  <c r="S32" i="56"/>
  <c r="T29" i="56"/>
  <c r="T32" i="56"/>
  <c r="U29" i="56"/>
  <c r="U32" i="56"/>
  <c r="V29" i="56"/>
  <c r="V32" i="56"/>
  <c r="W29" i="56"/>
  <c r="W32" i="56"/>
  <c r="X29" i="56"/>
  <c r="X32" i="56"/>
  <c r="Y29" i="56"/>
  <c r="Y32" i="56"/>
  <c r="Z29" i="56"/>
  <c r="Z32" i="56"/>
  <c r="AA29" i="56"/>
  <c r="AA32" i="56"/>
  <c r="AB29" i="56"/>
  <c r="AB32" i="56"/>
  <c r="AC29" i="56"/>
  <c r="AC32" i="56"/>
  <c r="AD29" i="56"/>
  <c r="AD32" i="56"/>
  <c r="AB317" i="56"/>
  <c r="AB23" i="56"/>
  <c r="AB322" i="56"/>
  <c r="G89" i="56"/>
  <c r="H86" i="56"/>
  <c r="H89" i="56"/>
  <c r="I86" i="56"/>
  <c r="I89" i="56"/>
  <c r="J86" i="56"/>
  <c r="J89" i="56"/>
  <c r="K86" i="56"/>
  <c r="K89" i="56"/>
  <c r="L86" i="56"/>
  <c r="L89" i="56"/>
  <c r="M86" i="56"/>
  <c r="M89" i="56"/>
  <c r="N86" i="56"/>
  <c r="N89" i="56"/>
  <c r="O86" i="56"/>
  <c r="O89" i="56"/>
  <c r="P86" i="56"/>
  <c r="P89" i="56"/>
  <c r="Q86" i="56"/>
  <c r="Q89" i="56"/>
  <c r="R86" i="56"/>
  <c r="R89" i="56"/>
  <c r="S86" i="56"/>
  <c r="S89" i="56"/>
  <c r="T86" i="56"/>
  <c r="T89" i="56"/>
  <c r="U86" i="56"/>
  <c r="U89" i="56"/>
  <c r="V86" i="56"/>
  <c r="V89" i="56"/>
  <c r="W86" i="56"/>
  <c r="W89" i="56"/>
  <c r="X86" i="56"/>
  <c r="X89" i="56"/>
  <c r="Y86" i="56"/>
  <c r="Y89" i="56"/>
  <c r="Z86" i="56"/>
  <c r="Z89" i="56"/>
  <c r="AA86" i="56"/>
  <c r="AA89" i="56"/>
  <c r="AB86" i="56"/>
  <c r="AB89" i="56"/>
  <c r="AC86" i="56"/>
  <c r="AC89" i="56"/>
  <c r="AD86" i="56"/>
  <c r="AD89" i="56"/>
  <c r="H322" i="56"/>
  <c r="H317" i="56"/>
  <c r="H23" i="56"/>
  <c r="R322" i="56"/>
  <c r="R317" i="56"/>
  <c r="R23" i="56"/>
  <c r="AD322" i="56"/>
  <c r="AD317" i="56"/>
  <c r="AD23" i="56"/>
  <c r="S317" i="56"/>
  <c r="S23" i="56"/>
  <c r="S322" i="56"/>
  <c r="K322" i="56"/>
  <c r="K317" i="56"/>
  <c r="K23" i="56"/>
  <c r="U57" i="56"/>
  <c r="U58" i="56"/>
  <c r="U48" i="56"/>
  <c r="U51" i="56"/>
  <c r="U20" i="56"/>
  <c r="Q317" i="56"/>
  <c r="Q23" i="56"/>
  <c r="Q322" i="56"/>
  <c r="G215" i="56"/>
  <c r="H212" i="56"/>
  <c r="H215" i="56"/>
  <c r="I212" i="56"/>
  <c r="I215" i="56"/>
  <c r="J212" i="56"/>
  <c r="J215" i="56"/>
  <c r="K212" i="56"/>
  <c r="K215" i="56"/>
  <c r="L212" i="56"/>
  <c r="L215" i="56"/>
  <c r="M212" i="56"/>
  <c r="M215" i="56"/>
  <c r="N212" i="56"/>
  <c r="N215" i="56"/>
  <c r="O212" i="56"/>
  <c r="O215" i="56"/>
  <c r="P212" i="56"/>
  <c r="P215" i="56"/>
  <c r="Q212" i="56"/>
  <c r="Q215" i="56"/>
  <c r="R212" i="56"/>
  <c r="R215" i="56"/>
  <c r="S212" i="56"/>
  <c r="S215" i="56"/>
  <c r="T212" i="56"/>
  <c r="T215" i="56"/>
  <c r="U212" i="56"/>
  <c r="U215" i="56"/>
  <c r="V212" i="56"/>
  <c r="V215" i="56"/>
  <c r="W212" i="56"/>
  <c r="W215" i="56"/>
  <c r="X212" i="56"/>
  <c r="X215" i="56"/>
  <c r="Y212" i="56"/>
  <c r="Y215" i="56"/>
  <c r="Z212" i="56"/>
  <c r="Z215" i="56"/>
  <c r="AA212" i="56"/>
  <c r="AA215" i="56"/>
  <c r="AB212" i="56"/>
  <c r="AB215" i="56"/>
  <c r="AC212" i="56"/>
  <c r="AC215" i="56"/>
  <c r="AD212" i="56"/>
  <c r="AD215" i="56"/>
  <c r="I322" i="56"/>
  <c r="I317" i="56"/>
  <c r="I23" i="56"/>
  <c r="X317" i="56"/>
  <c r="X23" i="56"/>
  <c r="X322" i="56"/>
  <c r="W317" i="56"/>
  <c r="W23" i="56"/>
  <c r="W322" i="56"/>
  <c r="L323" i="56"/>
  <c r="M320" i="56"/>
  <c r="M323" i="56"/>
  <c r="N320" i="56"/>
  <c r="N323" i="56"/>
  <c r="O320" i="56"/>
  <c r="O323" i="56"/>
  <c r="P320" i="56"/>
  <c r="P323" i="56"/>
  <c r="Q320" i="56"/>
  <c r="Q323" i="56"/>
  <c r="R320" i="56"/>
  <c r="R323" i="56"/>
  <c r="S320" i="56"/>
  <c r="S323" i="56"/>
  <c r="T320" i="56"/>
  <c r="T323" i="56"/>
  <c r="U320" i="56"/>
  <c r="U323" i="56"/>
  <c r="V320" i="56"/>
  <c r="V323" i="56"/>
  <c r="W320" i="56"/>
  <c r="W323" i="56"/>
  <c r="X320" i="56"/>
  <c r="X323" i="56"/>
  <c r="Y320" i="56"/>
  <c r="Y323" i="56"/>
  <c r="Z320" i="56"/>
  <c r="Z323" i="56"/>
  <c r="AA320" i="56"/>
  <c r="AA323" i="56"/>
  <c r="AB320" i="56"/>
  <c r="AB323" i="56"/>
  <c r="AC320" i="56"/>
  <c r="AC323" i="56"/>
  <c r="AD320" i="56"/>
  <c r="AD323" i="56"/>
  <c r="V75" i="56"/>
  <c r="W70" i="56"/>
  <c r="E37" i="56"/>
  <c r="F40" i="56"/>
  <c r="E38" i="56"/>
  <c r="G40" i="56"/>
  <c r="V67" i="56"/>
  <c r="W62" i="56"/>
  <c r="U59" i="56"/>
  <c r="V54" i="56"/>
  <c r="V57" i="56"/>
  <c r="V58" i="56"/>
  <c r="V48" i="56"/>
  <c r="V51" i="56"/>
  <c r="V20" i="56"/>
  <c r="W65" i="56"/>
  <c r="W66" i="56"/>
  <c r="W49" i="56"/>
  <c r="W75" i="56"/>
  <c r="X70" i="56"/>
  <c r="W73" i="56"/>
  <c r="W74" i="56"/>
  <c r="W50" i="56"/>
  <c r="V59" i="56"/>
  <c r="W54" i="56"/>
  <c r="W57" i="56"/>
  <c r="W58" i="56"/>
  <c r="W48" i="56"/>
  <c r="W51" i="56"/>
  <c r="W20" i="56"/>
  <c r="X73" i="56"/>
  <c r="X74" i="56"/>
  <c r="X50" i="56"/>
  <c r="W67" i="56"/>
  <c r="X62" i="56"/>
  <c r="X75" i="56"/>
  <c r="Y70" i="56"/>
  <c r="Y73" i="56"/>
  <c r="Y74" i="56"/>
  <c r="Y50" i="56"/>
  <c r="X65" i="56"/>
  <c r="X66" i="56"/>
  <c r="X49" i="56"/>
  <c r="W59" i="56"/>
  <c r="X54" i="56"/>
  <c r="X67" i="56"/>
  <c r="Y62" i="56"/>
  <c r="X59" i="56"/>
  <c r="Y54" i="56"/>
  <c r="X57" i="56"/>
  <c r="X58" i="56"/>
  <c r="X48" i="56"/>
  <c r="X51" i="56"/>
  <c r="X20" i="56"/>
  <c r="Y75" i="56"/>
  <c r="Z70" i="56"/>
  <c r="Y65" i="56"/>
  <c r="Y66" i="56"/>
  <c r="Y49" i="56"/>
  <c r="Y67" i="56"/>
  <c r="Z62" i="56"/>
  <c r="Z73" i="56"/>
  <c r="Z74" i="56"/>
  <c r="Z50" i="56"/>
  <c r="Y59" i="56"/>
  <c r="Z54" i="56"/>
  <c r="Y57" i="56"/>
  <c r="Y58" i="56"/>
  <c r="Y48" i="56"/>
  <c r="Y51" i="56"/>
  <c r="Y20" i="56"/>
  <c r="Z57" i="56"/>
  <c r="Z58" i="56"/>
  <c r="Z48" i="56"/>
  <c r="Z75" i="56"/>
  <c r="AA70" i="56"/>
  <c r="Z65" i="56"/>
  <c r="Z66" i="56"/>
  <c r="Z49" i="56"/>
  <c r="Z59" i="56"/>
  <c r="AA54" i="56"/>
  <c r="Z67" i="56"/>
  <c r="AA62" i="56"/>
  <c r="AA73" i="56"/>
  <c r="AA74" i="56"/>
  <c r="AA50" i="56"/>
  <c r="Z51" i="56"/>
  <c r="Z20" i="56"/>
  <c r="AA57" i="56"/>
  <c r="AA58" i="56"/>
  <c r="AA48" i="56"/>
  <c r="AA59" i="56"/>
  <c r="AB54" i="56"/>
  <c r="AA75" i="56"/>
  <c r="AB70" i="56"/>
  <c r="AA65" i="56"/>
  <c r="AA66" i="56"/>
  <c r="AA49" i="56"/>
  <c r="AA51" i="56"/>
  <c r="AA20" i="56"/>
  <c r="AA67" i="56"/>
  <c r="AB62" i="56"/>
  <c r="AB73" i="56"/>
  <c r="AB74" i="56"/>
  <c r="AB50" i="56"/>
  <c r="AB57" i="56"/>
  <c r="AB58" i="56"/>
  <c r="AB48" i="56"/>
  <c r="AB59" i="56"/>
  <c r="AC54" i="56"/>
  <c r="AC57" i="56"/>
  <c r="AC58" i="56"/>
  <c r="AC48" i="56"/>
  <c r="AB75" i="56"/>
  <c r="AC70" i="56"/>
  <c r="AB65" i="56"/>
  <c r="AB66" i="56"/>
  <c r="AB49" i="56"/>
  <c r="AB51" i="56"/>
  <c r="AB20" i="56"/>
  <c r="AB67" i="56"/>
  <c r="AC62" i="56"/>
  <c r="AC73" i="56"/>
  <c r="AC74" i="56"/>
  <c r="AC50" i="56"/>
  <c r="AC65" i="56"/>
  <c r="AC66" i="56"/>
  <c r="AC49" i="56"/>
  <c r="AC51" i="56"/>
  <c r="AC20" i="56"/>
  <c r="AC59" i="56"/>
  <c r="AD54" i="56"/>
  <c r="AD57" i="56"/>
  <c r="AD58" i="56"/>
  <c r="AD48" i="56"/>
  <c r="AC67" i="56"/>
  <c r="AD62" i="56"/>
  <c r="AC75" i="56"/>
  <c r="AD70" i="56"/>
  <c r="AD73" i="56"/>
  <c r="AD74" i="56"/>
  <c r="AD50" i="56"/>
  <c r="AD65" i="56"/>
  <c r="AD66" i="56"/>
  <c r="AD49" i="56"/>
  <c r="AD51" i="56"/>
  <c r="AD20" i="56"/>
  <c r="AD59" i="56"/>
  <c r="AD67" i="56"/>
  <c r="AD75" i="5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<sst xmlns="http://schemas.openxmlformats.org/spreadsheetml/2006/main" count="717" uniqueCount="116">
  <si>
    <t>Amount</t>
  </si>
  <si>
    <t>Straight Line</t>
  </si>
  <si>
    <t>Depreciation</t>
  </si>
  <si>
    <t>Net PP&amp;E</t>
  </si>
  <si>
    <t>Total Depreciation</t>
  </si>
  <si>
    <t>Tax Rate</t>
  </si>
  <si>
    <t>Capital Expenditures</t>
  </si>
  <si>
    <t>[$]</t>
  </si>
  <si>
    <t>[date]</t>
  </si>
  <si>
    <t>End Sheet</t>
  </si>
  <si>
    <t>e)</t>
  </si>
  <si>
    <t>Opening Balance</t>
  </si>
  <si>
    <t>Closing Balance</t>
  </si>
  <si>
    <t>General Assumptions</t>
  </si>
  <si>
    <t>Model Start Date (do not change)</t>
  </si>
  <si>
    <t>[%]</t>
  </si>
  <si>
    <t>Discount Rate per Annum</t>
  </si>
  <si>
    <t>Discount Date for Present Value of Tax Benefits</t>
  </si>
  <si>
    <t>Salvage Value (% of CAPEX)</t>
  </si>
  <si>
    <t>Names of Asset Classes</t>
  </si>
  <si>
    <t>ListAssetClasses1</t>
  </si>
  <si>
    <t>Short Term</t>
  </si>
  <si>
    <t>Medium Term</t>
  </si>
  <si>
    <t>Long Term</t>
  </si>
  <si>
    <t>Names of Depreciation Methods</t>
  </si>
  <si>
    <t>ListDepMethods1</t>
  </si>
  <si>
    <t>Declining Balance</t>
  </si>
  <si>
    <t>Units of Production</t>
  </si>
  <si>
    <t>Sum of Years Digits</t>
  </si>
  <si>
    <t>Depreciation Assumptions</t>
  </si>
  <si>
    <t>General Depreciation Assumption Data</t>
  </si>
  <si>
    <t>Annual %</t>
  </si>
  <si>
    <t>Useful Life</t>
  </si>
  <si>
    <t>[years]</t>
  </si>
  <si>
    <t>(See below)</t>
  </si>
  <si>
    <t>Total Prod. --&gt;</t>
  </si>
  <si>
    <t>Useful Life --&gt;</t>
  </si>
  <si>
    <t>Year</t>
  </si>
  <si>
    <t>Explanation and example of Depreciation Methods</t>
  </si>
  <si>
    <t>All examples will be for an asset purchased in the year 2022 for $100, with a salvage value of $5</t>
  </si>
  <si>
    <t>The depreciation each year is the provided % rate multiplied by the remaining asset balance minus the salvage value.</t>
  </si>
  <si>
    <t>Example - rate of 40%</t>
  </si>
  <si>
    <t>New Capex</t>
  </si>
  <si>
    <t>The asset is depreciated in an equal amount over each year of its useful life, taking into account the salvage value.</t>
  </si>
  <si>
    <t>Example - useful life of 3 years</t>
  </si>
  <si>
    <t>The asset is depreciated a certain amount each year of its life, based on its estimated production profile.</t>
  </si>
  <si>
    <t>The estimated production profile is multiplied by the Units of Production Rate to calculate the annual depreciation (Units of Production Rate = [Initial Cost of the Asset - Salvage Value] / Estimated Total Production over its useful life).</t>
  </si>
  <si>
    <t>Total Production</t>
  </si>
  <si>
    <t>Example - useful life of 5 years</t>
  </si>
  <si>
    <t>Yearly Production</t>
  </si>
  <si>
    <t>The asset is depreciated a certain % each year of its life, based on the provided table.</t>
  </si>
  <si>
    <t>The profile of % rates is applied to the initial cost of the asset minus the salvage value to calculate the annual depreciation.</t>
  </si>
  <si>
    <t>Capital Expenditure Assumptions</t>
  </si>
  <si>
    <t>column built as part of solution</t>
  </si>
  <si>
    <t>Date of</t>
  </si>
  <si>
    <t>Purchase</t>
  </si>
  <si>
    <t>Asset Class</t>
  </si>
  <si>
    <t>[text]</t>
  </si>
  <si>
    <t>Case 1 Answers</t>
  </si>
  <si>
    <t>c) i)Depn MTA, 2027 SL</t>
  </si>
  <si>
    <t>ii)Depn STA, 2032 DB</t>
  </si>
  <si>
    <t>iii)Depn LTA, all 25yrs, Units of Production</t>
  </si>
  <si>
    <t>iv) Closing Bal, MTA pool, Dec 2041, SYD</t>
  </si>
  <si>
    <t>NPV</t>
  </si>
  <si>
    <t>XNPV</t>
  </si>
  <si>
    <t>Units</t>
  </si>
  <si>
    <t>Summary</t>
  </si>
  <si>
    <t>Capex</t>
  </si>
  <si>
    <t>$</t>
  </si>
  <si>
    <t>Total Capex</t>
  </si>
  <si>
    <t>Modeled Depn</t>
  </si>
  <si>
    <t>Tax Deduction</t>
  </si>
  <si>
    <t>Salvage Value</t>
  </si>
  <si>
    <t>Depreciable Amount</t>
  </si>
  <si>
    <t>Years</t>
  </si>
  <si>
    <t>Straight Line Depreciation Waterfall Schedules</t>
  </si>
  <si>
    <t>Capex Year</t>
  </si>
  <si>
    <t>Depreciable</t>
  </si>
  <si>
    <t>Class</t>
  </si>
  <si>
    <t>Units of Production Depreciation Waterfall Schedules</t>
  </si>
  <si>
    <t>Life</t>
  </si>
  <si>
    <t>Production</t>
  </si>
  <si>
    <t>Sum of Year Digits Depreciation Waterfall Schedules</t>
  </si>
  <si>
    <t>% Depn</t>
  </si>
  <si>
    <t>Company name</t>
  </si>
  <si>
    <t>Mineral to Rock</t>
  </si>
  <si>
    <t>[label]</t>
  </si>
  <si>
    <t>Number of periods</t>
  </si>
  <si>
    <t>CFM Topic</t>
  </si>
  <si>
    <t>CAPEX and depreciation</t>
  </si>
  <si>
    <t>CALCULATION SCHEDULE</t>
  </si>
  <si>
    <t>CAPEX</t>
  </si>
  <si>
    <t>Capital investments</t>
  </si>
  <si>
    <t>Salvage value</t>
  </si>
  <si>
    <t>Long Term assets</t>
  </si>
  <si>
    <t>Declining balance</t>
  </si>
  <si>
    <t>Date</t>
  </si>
  <si>
    <t>Cost</t>
  </si>
  <si>
    <t>Straight line</t>
  </si>
  <si>
    <t>Units of production</t>
  </si>
  <si>
    <t>Sum of digits</t>
  </si>
  <si>
    <t>Medium Term assets</t>
  </si>
  <si>
    <t>Short Term assets</t>
  </si>
  <si>
    <t>ANSWERS SCHEDULE</t>
  </si>
  <si>
    <t>Depreciation method</t>
  </si>
  <si>
    <t>USD m</t>
  </si>
  <si>
    <t>Long Term assets closing balance</t>
  </si>
  <si>
    <t>Long Term assets opening balance</t>
  </si>
  <si>
    <t>Medium Term assets opening balance</t>
  </si>
  <si>
    <t>Medium Term assets closing balance</t>
  </si>
  <si>
    <t>Short Term assets opening balance</t>
  </si>
  <si>
    <t>Short Term assets closing balance</t>
  </si>
  <si>
    <t>Assets Schedule</t>
  </si>
  <si>
    <t>Assets opening balance</t>
  </si>
  <si>
    <t>Assets closing balance</t>
  </si>
  <si>
    <t>Tax 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</si>
</sst>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164" formatCode="&quot;$&quot;#,##0.00;[Red]\-&quot;$&quot;#,##0.00"/>
    <numFmt numFmtId="165" formatCode="&quot;$&quot;#,##0_);[Red]\(&quot;$&quot;#,##0\)"/>
    <numFmt numFmtId="166" formatCode="&quot;$&quot;#,##0.00_);[Red]\(&quot;$&quot;#,##0.00\)"/>
    <numFmt numFmtId="167" formatCode="_(* #,##0.00_);_(* \(#,##0.00\);_(* &quot;-&quot;??_);_(@_)"/>
    <numFmt numFmtId="168" formatCode="_-* #,##0_-;\-* #,##0_-;_-* &quot;-&quot;??_-;_-@_-"/>
    <numFmt numFmtId="169" formatCode="#,##0_);\(#,##0\);\-"/>
    <numFmt numFmtId="170" formatCode="#,##0_);\(#,##0\);\-_)"/>
    <numFmt numFmtId="171" formatCode="#,##0.00_);\(#,##0.00\);\-_)"/>
    <numFmt numFmtId="172" formatCode="0.00%_);\(0.00%\);\-_)"/>
    <numFmt numFmtId="173" formatCode="d/mmm/yy;d/mmm/yy;\-"/>
    <numFmt numFmtId="174" formatCode="[Red]&quot;Error&quot;;[Red]&quot;Error&quot;;&quot;OK&quot;;[Red]General"/>
    <numFmt numFmtId="175" formatCode="&quot;On&quot;;[Black]\(#,##0\);[Red]&quot;Off&quot;;[Black]General"/>
    <numFmt numFmtId="176" formatCode="&quot;Yes&quot;;[Black]\(#,##0\);[Red]&quot;No&quot;;[Black]General"/>
    <numFmt numFmtId="177" formatCode="d\-mmm\-yy;d\-mmm\-yy;\-"/>
    <numFmt numFmtId="178" formatCode="###0_);\(###0\);\-_)"/>
    <numFmt numFmtId="179" formatCode="#,##0.0_);\(#,##0.0\);\-_)"/>
    <numFmt numFmtId="180" formatCode="#,##0.000000_);\(#,##0.000000\);\-_)"/>
    <numFmt numFmtId="181" formatCode="0.0000%_);\(0.0000%\);\–_);General_)"/>
    <numFmt numFmtId="182" formatCode="#,##0.000_);\(#,##0.000\);\-_)"/>
    <numFmt numFmtId="183" formatCode="0.000%"/>
    <numFmt numFmtId="184" formatCode="&quot;$&quot;#,##0_);\(&quot;$&quot;#,##0\);\–_);General_)"/>
    <numFmt numFmtId="185" formatCode="d\-mmm\-yy;@"/>
    <numFmt numFmtId="186" formatCode="#,##0_);\(#,##0\);\–_);General_)"/>
    <numFmt numFmtId="187" formatCode="#,##0.0_);\(#,##0.0\);\–_);General_)"/>
    <numFmt numFmtId="188" formatCode="#,##0_);\(#,##0\);&quot;-  &quot;;&quot; &quot;@"/>
    <numFmt numFmtId="189" formatCode="0.00%\ ;\-0.00%\ _);&quot;-  &quot;;&quot; &quot;@&quot; &quot;"/>
    <numFmt numFmtId="190" formatCode="#,##0.0000_);\(#,##0.0000\);&quot;-  &quot;;&quot; &quot;@&quot; &quot;"/>
    <numFmt numFmtId="191" formatCode="dd\ mmm\ yyyy_);\(###0\);&quot;-  &quot;;&quot; &quot;@&quot; &quot;"/>
    <numFmt numFmtId="192" formatCode="dd\ mmm\ yy_);\(###0\);&quot;-  &quot;;&quot; &quot;@&quot; &quot;"/>
    <numFmt numFmtId="193" formatCode="###0_);\(###0\);&quot;-  &quot;;&quot; &quot;@&quot; &quot;"/>
  </numFmts>
  <fonts count="46"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ldine401 BT"/>
    </font>
    <font>
      <sz val="10"/>
      <name val="Book Antiqua"/>
      <family val="1"/>
    </font>
    <font>
      <sz val="11"/>
      <color indexed="12"/>
      <name val="Book Antiqua"/>
      <family val="1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366092"/>
      <name val="Arial"/>
      <family val="2"/>
    </font>
    <font>
      <sz val="10"/>
      <color rgb="FF0000FF"/>
      <name val="Arial"/>
      <family val="2"/>
    </font>
    <font>
      <sz val="10"/>
      <color rgb="FF7030A0"/>
      <name val="Arial"/>
      <family val="2"/>
    </font>
    <font>
      <sz val="10"/>
      <color theme="0" tint="-0.499984740745262"/>
      <name val="Arial"/>
      <family val="2"/>
    </font>
    <font>
      <b/>
      <sz val="10"/>
      <color rgb="FF008000"/>
      <name val="Arial"/>
      <family val="2"/>
    </font>
    <font>
      <sz val="9"/>
      <color rgb="FFFF0000"/>
      <name val="Arial"/>
      <family val="2"/>
    </font>
    <font>
      <sz val="10"/>
      <color theme="0" tint="-0.34998626667073579"/>
      <name val="Arial"/>
      <family val="2"/>
    </font>
    <font>
      <sz val="10"/>
      <color theme="9" tint="-0.499984740745262"/>
      <name val="Arial"/>
      <family val="2"/>
    </font>
    <font>
      <sz val="10"/>
      <color rgb="FF4F6228"/>
      <name val="Arial"/>
      <family val="2"/>
    </font>
    <font>
      <sz val="10"/>
      <color rgb="FF006600"/>
      <name val="Arial"/>
      <family val="2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indexed="10"/>
      <name val="Arial"/>
      <family val="2"/>
    </font>
    <font>
      <sz val="10"/>
      <color rgb="FF000000"/>
      <name val="Arial"/>
      <family val="2"/>
    </font>
    <font>
      <sz val="10"/>
      <color theme="0" tint="-0.249977111117893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17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12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u/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003264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83E64"/>
        <bgColor indexed="64"/>
      </patternFill>
    </fill>
    <fill>
      <patternFill patternType="solid">
        <fgColor rgb="FF60A3D9"/>
        <bgColor indexed="64"/>
      </patternFill>
    </fill>
    <fill>
      <patternFill patternType="solid">
        <fgColor rgb="FF075BA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FFFF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0000FF"/>
      </left>
      <right style="hair">
        <color rgb="FF0000FF"/>
      </right>
      <top/>
      <bottom style="hair">
        <color rgb="FF0000FF"/>
      </bottom>
      <diagonal/>
    </border>
    <border>
      <left style="hair">
        <color rgb="FF0000FF"/>
      </left>
      <right style="hair">
        <color rgb="FF0000FF"/>
      </right>
      <top style="thin">
        <color indexed="64"/>
      </top>
      <bottom style="thin">
        <color indexed="64"/>
      </bottom>
      <diagonal/>
    </border>
    <border>
      <left style="hair">
        <color rgb="FF0000F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56">
    <xf numFmtId="188" fontId="0" fillId="0" borderId="0" applyFont="0" applyFill="0" applyBorder="0" applyProtection="0">
      <alignment vertical="top"/>
    </xf>
    <xf numFmtId="0" fontId="2" fillId="0" borderId="0"/>
    <xf numFmtId="167" fontId="3" fillId="0" borderId="0" applyFont="0" applyFill="0" applyBorder="0" applyAlignment="0" applyProtection="0"/>
    <xf numFmtId="0" fontId="4" fillId="0" borderId="0" applyNumberFormat="0" applyFont="0" applyFill="0" applyBorder="0" applyProtection="0">
      <alignment horizontal="centerContinuous"/>
    </xf>
    <xf numFmtId="0" fontId="4" fillId="0" borderId="1" applyNumberFormat="0" applyFont="0" applyFill="0" applyAlignment="0" applyProtection="0"/>
    <xf numFmtId="0" fontId="4" fillId="0" borderId="0" applyNumberFormat="0" applyFont="0" applyFill="0" applyBorder="0" applyProtection="0">
      <alignment horizontal="center"/>
    </xf>
    <xf numFmtId="166" fontId="5" fillId="0" borderId="4">
      <protection locked="0"/>
    </xf>
    <xf numFmtId="0" fontId="4" fillId="0" borderId="5" applyNumberFormat="0" applyFont="0" applyFill="0" applyAlignment="0" applyProtection="0"/>
    <xf numFmtId="0" fontId="6" fillId="0" borderId="0" applyNumberFormat="0" applyFill="0" applyBorder="0" applyAlignment="0" applyProtection="0"/>
    <xf numFmtId="168" fontId="3" fillId="0" borderId="0" applyNumberFormat="0" applyFill="0" applyBorder="0" applyAlignment="0" applyProtection="0"/>
    <xf numFmtId="0" fontId="4" fillId="0" borderId="3" applyNumberFormat="0" applyFont="0" applyFill="0" applyAlignment="0" applyProtection="0"/>
    <xf numFmtId="9" fontId="2" fillId="0" borderId="0" applyFont="0" applyFill="0" applyBorder="0" applyAlignment="0" applyProtection="0"/>
    <xf numFmtId="0" fontId="10" fillId="3" borderId="0" applyNumberFormat="0" applyAlignment="0"/>
    <xf numFmtId="170" fontId="1" fillId="0" borderId="0" applyBorder="0"/>
    <xf numFmtId="4" fontId="7" fillId="4" borderId="2">
      <alignment horizontal="left"/>
    </xf>
    <xf numFmtId="169" fontId="11" fillId="0" borderId="0" applyFill="0" applyBorder="0"/>
    <xf numFmtId="170" fontId="9" fillId="0" borderId="0" applyBorder="0"/>
    <xf numFmtId="0" fontId="12" fillId="0" borderId="0" applyNumberFormat="0" applyFill="0" applyBorder="0">
      <alignment horizontal="right"/>
    </xf>
    <xf numFmtId="170" fontId="12" fillId="5" borderId="8">
      <protection locked="0"/>
    </xf>
    <xf numFmtId="171" fontId="12" fillId="5" borderId="8">
      <protection locked="0"/>
    </xf>
    <xf numFmtId="172" fontId="12" fillId="5" borderId="8">
      <protection locked="0"/>
    </xf>
    <xf numFmtId="173" fontId="1" fillId="0" borderId="0" applyBorder="0"/>
    <xf numFmtId="173" fontId="12" fillId="5" borderId="8">
      <protection locked="0"/>
    </xf>
    <xf numFmtId="170" fontId="12" fillId="0" borderId="8"/>
    <xf numFmtId="15" fontId="8" fillId="0" borderId="0" applyFill="0" applyBorder="0" applyAlignment="0"/>
    <xf numFmtId="174" fontId="13" fillId="0" borderId="9">
      <alignment horizontal="center"/>
    </xf>
    <xf numFmtId="170" fontId="14" fillId="7" borderId="0" applyBorder="0" applyAlignment="0"/>
    <xf numFmtId="174" fontId="15" fillId="8" borderId="10">
      <alignment horizontal="center"/>
    </xf>
    <xf numFmtId="0" fontId="16" fillId="0" borderId="0" applyNumberFormat="0" applyFill="0" applyBorder="0" applyAlignment="0"/>
    <xf numFmtId="0" fontId="17" fillId="0" borderId="0" applyNumberFormat="0" applyFill="0" applyBorder="0" applyAlignment="0"/>
    <xf numFmtId="169" fontId="18" fillId="6" borderId="8" applyNumberFormat="0" applyAlignment="0">
      <protection locked="0"/>
    </xf>
    <xf numFmtId="175" fontId="19" fillId="5" borderId="8">
      <alignment horizontal="center"/>
      <protection locked="0"/>
    </xf>
    <xf numFmtId="176" fontId="19" fillId="5" borderId="8">
      <alignment horizontal="center"/>
      <protection locked="0"/>
    </xf>
    <xf numFmtId="171" fontId="1" fillId="0" borderId="0" applyBorder="0"/>
    <xf numFmtId="176" fontId="20" fillId="0" borderId="11" applyFill="0">
      <alignment horizontal="center"/>
    </xf>
    <xf numFmtId="175" fontId="19" fillId="0" borderId="11">
      <alignment horizontal="center"/>
    </xf>
    <xf numFmtId="172" fontId="2" fillId="0" borderId="0" applyFill="0" applyBorder="0" applyAlignment="0"/>
    <xf numFmtId="170" fontId="1" fillId="9" borderId="11"/>
    <xf numFmtId="0" fontId="21" fillId="0" borderId="6" applyNumberFormat="0" applyFill="0" applyAlignment="0" applyProtection="0"/>
    <xf numFmtId="0" fontId="22" fillId="0" borderId="0"/>
    <xf numFmtId="0" fontId="23" fillId="2" borderId="7" applyNumberFormat="0" applyAlignment="0" applyProtection="0"/>
    <xf numFmtId="0" fontId="23" fillId="2" borderId="7" applyFill="0" applyAlignment="0" applyProtection="0"/>
    <xf numFmtId="0" fontId="1" fillId="0" borderId="0"/>
    <xf numFmtId="0" fontId="24" fillId="0" borderId="0"/>
    <xf numFmtId="177" fontId="1" fillId="0" borderId="0" applyBorder="0"/>
    <xf numFmtId="178" fontId="1" fillId="0" borderId="0" applyBorder="0"/>
    <xf numFmtId="177" fontId="12" fillId="5" borderId="8">
      <protection locked="0"/>
    </xf>
    <xf numFmtId="167" fontId="22" fillId="0" borderId="0" applyFont="0" applyFill="0" applyBorder="0" applyAlignment="0" applyProtection="0"/>
    <xf numFmtId="0" fontId="25" fillId="2" borderId="7" applyNumberFormat="0" applyAlignment="0" applyProtection="0"/>
    <xf numFmtId="4" fontId="7" fillId="4" borderId="12">
      <alignment horizontal="left"/>
    </xf>
    <xf numFmtId="0" fontId="26" fillId="0" borderId="0"/>
    <xf numFmtId="189" fontId="24" fillId="0" borderId="0" applyFont="0" applyFill="0" applyBorder="0" applyProtection="0">
      <alignment vertical="top"/>
    </xf>
    <xf numFmtId="190" fontId="26" fillId="0" borderId="0" applyFont="0" applyFill="0" applyBorder="0" applyProtection="0">
      <alignment vertical="top"/>
    </xf>
    <xf numFmtId="191" fontId="26" fillId="0" borderId="0" applyFont="0" applyFill="0" applyBorder="0" applyProtection="0">
      <alignment vertical="top"/>
    </xf>
    <xf numFmtId="192" fontId="26" fillId="0" borderId="0" applyFont="0" applyFill="0" applyBorder="0" applyProtection="0">
      <alignment vertical="top"/>
    </xf>
    <xf numFmtId="193" fontId="26" fillId="0" borderId="0" applyFont="0" applyFill="0" applyBorder="0" applyProtection="0">
      <alignment vertical="top"/>
    </xf>
  </cellStyleXfs>
  <cellXfs count="146">
    <xf numFmtId="188" fontId="0" fillId="0" borderId="0" xfId="0">
      <alignment vertical="top"/>
    </xf>
    <xf numFmtId="4" fontId="7" fillId="4" borderId="2" xfId="14">
      <alignment horizontal="left"/>
    </xf>
    <xf numFmtId="170" fontId="1" fillId="0" borderId="0" xfId="13"/>
    <xf numFmtId="170" fontId="12" fillId="0" borderId="0" xfId="17" applyNumberFormat="1">
      <alignment horizontal="right"/>
    </xf>
    <xf numFmtId="170" fontId="12" fillId="5" borderId="8" xfId="18">
      <protection locked="0"/>
    </xf>
    <xf numFmtId="172" fontId="12" fillId="5" borderId="8" xfId="20">
      <protection locked="0"/>
    </xf>
    <xf numFmtId="170" fontId="9" fillId="0" borderId="0" xfId="16"/>
    <xf numFmtId="170" fontId="9" fillId="0" borderId="0" xfId="16" applyAlignment="1">
      <alignment horizontal="center"/>
    </xf>
    <xf numFmtId="170" fontId="12" fillId="5" borderId="8" xfId="18" applyAlignment="1">
      <alignment horizontal="center"/>
      <protection locked="0"/>
    </xf>
    <xf numFmtId="170" fontId="12" fillId="0" borderId="0" xfId="17" applyNumberFormat="1" applyAlignment="1">
      <alignment horizontal="center"/>
    </xf>
    <xf numFmtId="170" fontId="12" fillId="0" borderId="0" xfId="17" applyNumberFormat="1" applyFill="1">
      <alignment horizontal="right"/>
    </xf>
    <xf numFmtId="170" fontId="12" fillId="0" borderId="8" xfId="23"/>
    <xf numFmtId="170" fontId="27" fillId="0" borderId="0" xfId="13" applyFont="1"/>
    <xf numFmtId="177" fontId="12" fillId="5" borderId="8" xfId="46">
      <protection locked="0"/>
    </xf>
    <xf numFmtId="177" fontId="12" fillId="0" borderId="8" xfId="46" applyFill="1">
      <protection locked="0"/>
    </xf>
    <xf numFmtId="170" fontId="29" fillId="0" borderId="0" xfId="13" applyFont="1"/>
    <xf numFmtId="177" fontId="1" fillId="0" borderId="0" xfId="44"/>
    <xf numFmtId="170" fontId="16" fillId="0" borderId="0" xfId="28" applyNumberFormat="1"/>
    <xf numFmtId="169" fontId="11" fillId="0" borderId="0" xfId="15"/>
    <xf numFmtId="170" fontId="9" fillId="0" borderId="20" xfId="16" applyBorder="1" applyAlignment="1">
      <alignment horizontal="center" vertical="center"/>
    </xf>
    <xf numFmtId="170" fontId="9" fillId="0" borderId="21" xfId="16" applyBorder="1" applyAlignment="1">
      <alignment horizontal="center" vertical="center"/>
    </xf>
    <xf numFmtId="170" fontId="9" fillId="0" borderId="22" xfId="16" applyBorder="1" applyAlignment="1">
      <alignment horizontal="center" vertical="center"/>
    </xf>
    <xf numFmtId="172" fontId="12" fillId="5" borderId="23" xfId="20" applyBorder="1">
      <protection locked="0"/>
    </xf>
    <xf numFmtId="169" fontId="11" fillId="0" borderId="0" xfId="15" applyFill="1"/>
    <xf numFmtId="170" fontId="1" fillId="0" borderId="16" xfId="13" applyBorder="1"/>
    <xf numFmtId="170" fontId="30" fillId="0" borderId="24" xfId="13" applyFont="1" applyBorder="1"/>
    <xf numFmtId="170" fontId="31" fillId="0" borderId="24" xfId="13" applyFont="1" applyBorder="1"/>
    <xf numFmtId="170" fontId="31" fillId="0" borderId="25" xfId="13" applyFont="1" applyBorder="1"/>
    <xf numFmtId="170" fontId="1" fillId="0" borderId="24" xfId="13" applyBorder="1"/>
    <xf numFmtId="170" fontId="1" fillId="0" borderId="25" xfId="13" applyBorder="1"/>
    <xf numFmtId="170" fontId="9" fillId="0" borderId="14" xfId="13" applyFont="1" applyBorder="1" applyAlignment="1">
      <alignment horizontal="center"/>
    </xf>
    <xf numFmtId="170" fontId="9" fillId="0" borderId="26" xfId="13" applyFont="1" applyBorder="1" applyAlignment="1">
      <alignment horizontal="center"/>
    </xf>
    <xf numFmtId="170" fontId="12" fillId="0" borderId="24" xfId="13" applyFont="1" applyBorder="1"/>
    <xf numFmtId="170" fontId="9" fillId="0" borderId="27" xfId="13" applyFont="1" applyBorder="1" applyAlignment="1">
      <alignment horizontal="center"/>
    </xf>
    <xf numFmtId="170" fontId="8" fillId="0" borderId="24" xfId="13" applyFont="1" applyBorder="1"/>
    <xf numFmtId="170" fontId="32" fillId="9" borderId="16" xfId="13" applyFont="1" applyFill="1" applyBorder="1"/>
    <xf numFmtId="170" fontId="32" fillId="9" borderId="2" xfId="13" applyFont="1" applyFill="1" applyBorder="1"/>
    <xf numFmtId="170" fontId="32" fillId="9" borderId="17" xfId="13" applyFont="1" applyFill="1" applyBorder="1"/>
    <xf numFmtId="172" fontId="2" fillId="0" borderId="28" xfId="36" applyFill="1" applyBorder="1"/>
    <xf numFmtId="172" fontId="2" fillId="0" borderId="29" xfId="36" applyFill="1" applyBorder="1"/>
    <xf numFmtId="172" fontId="2" fillId="0" borderId="30" xfId="36" applyFill="1" applyBorder="1"/>
    <xf numFmtId="172" fontId="2" fillId="0" borderId="31" xfId="36" applyFill="1" applyBorder="1"/>
    <xf numFmtId="172" fontId="2" fillId="0" borderId="11" xfId="36" applyFill="1" applyBorder="1"/>
    <xf numFmtId="172" fontId="2" fillId="0" borderId="32" xfId="36" applyFill="1" applyBorder="1"/>
    <xf numFmtId="172" fontId="2" fillId="0" borderId="33" xfId="36" applyFill="1" applyBorder="1"/>
    <xf numFmtId="172" fontId="2" fillId="0" borderId="34" xfId="36" applyFill="1" applyBorder="1"/>
    <xf numFmtId="172" fontId="2" fillId="0" borderId="35" xfId="36" applyFill="1" applyBorder="1"/>
    <xf numFmtId="170" fontId="27" fillId="0" borderId="34" xfId="13" applyFont="1" applyBorder="1"/>
    <xf numFmtId="178" fontId="9" fillId="0" borderId="34" xfId="45" applyFont="1" applyBorder="1"/>
    <xf numFmtId="170" fontId="9" fillId="0" borderId="36" xfId="13" applyFont="1" applyBorder="1"/>
    <xf numFmtId="171" fontId="31" fillId="0" borderId="36" xfId="33" applyFont="1" applyBorder="1"/>
    <xf numFmtId="170" fontId="9" fillId="0" borderId="11" xfId="13" applyFont="1" applyBorder="1"/>
    <xf numFmtId="171" fontId="31" fillId="0" borderId="11" xfId="33" applyFont="1" applyBorder="1"/>
    <xf numFmtId="171" fontId="1" fillId="0" borderId="0" xfId="13" applyNumberFormat="1"/>
    <xf numFmtId="179" fontId="1" fillId="0" borderId="0" xfId="13" applyNumberFormat="1"/>
    <xf numFmtId="171" fontId="1" fillId="0" borderId="36" xfId="33" applyBorder="1"/>
    <xf numFmtId="171" fontId="1" fillId="0" borderId="11" xfId="33" applyBorder="1"/>
    <xf numFmtId="164" fontId="12" fillId="0" borderId="0" xfId="13" applyNumberFormat="1" applyFont="1"/>
    <xf numFmtId="170" fontId="12" fillId="0" borderId="0" xfId="13" applyFont="1"/>
    <xf numFmtId="170" fontId="31" fillId="0" borderId="0" xfId="13" applyFont="1"/>
    <xf numFmtId="170" fontId="9" fillId="0" borderId="0" xfId="13" applyFont="1"/>
    <xf numFmtId="170" fontId="33" fillId="0" borderId="34" xfId="13" applyFont="1" applyBorder="1"/>
    <xf numFmtId="178" fontId="34" fillId="0" borderId="34" xfId="45" applyFont="1" applyBorder="1"/>
    <xf numFmtId="170" fontId="34" fillId="0" borderId="36" xfId="13" applyFont="1" applyBorder="1"/>
    <xf numFmtId="170" fontId="34" fillId="0" borderId="11" xfId="13" applyFont="1" applyBorder="1"/>
    <xf numFmtId="170" fontId="31" fillId="0" borderId="11" xfId="33" applyNumberFormat="1" applyFont="1" applyBorder="1"/>
    <xf numFmtId="180" fontId="1" fillId="0" borderId="0" xfId="13" applyNumberFormat="1"/>
    <xf numFmtId="181" fontId="1" fillId="0" borderId="0" xfId="13" applyNumberFormat="1"/>
    <xf numFmtId="170" fontId="8" fillId="0" borderId="0" xfId="13" applyFont="1"/>
    <xf numFmtId="182" fontId="1" fillId="0" borderId="0" xfId="13" applyNumberFormat="1"/>
    <xf numFmtId="170" fontId="27" fillId="10" borderId="0" xfId="13" applyFont="1" applyFill="1"/>
    <xf numFmtId="170" fontId="1" fillId="10" borderId="0" xfId="13" applyFill="1"/>
    <xf numFmtId="170" fontId="1" fillId="0" borderId="0" xfId="13" applyAlignment="1">
      <alignment horizontal="center"/>
    </xf>
    <xf numFmtId="170" fontId="9" fillId="0" borderId="0" xfId="13" applyFont="1" applyAlignment="1">
      <alignment horizontal="right"/>
    </xf>
    <xf numFmtId="0" fontId="1" fillId="0" borderId="0" xfId="13" applyNumberFormat="1"/>
    <xf numFmtId="183" fontId="1" fillId="0" borderId="0" xfId="13" applyNumberFormat="1"/>
    <xf numFmtId="188" fontId="28" fillId="0" borderId="37" xfId="0" applyFont="1" applyBorder="1">
      <alignment vertical="top"/>
    </xf>
    <xf numFmtId="188" fontId="0" fillId="0" borderId="38" xfId="0" applyBorder="1">
      <alignment vertical="top"/>
    </xf>
    <xf numFmtId="188" fontId="0" fillId="0" borderId="39" xfId="0" applyBorder="1">
      <alignment vertical="top"/>
    </xf>
    <xf numFmtId="188" fontId="0" fillId="0" borderId="40" xfId="0" applyBorder="1">
      <alignment vertical="top"/>
    </xf>
    <xf numFmtId="184" fontId="0" fillId="0" borderId="41" xfId="0" applyNumberFormat="1" applyBorder="1">
      <alignment vertical="top"/>
    </xf>
    <xf numFmtId="188" fontId="0" fillId="0" borderId="40" xfId="0" applyBorder="1" applyAlignment="1">
      <alignment horizontal="left" indent="1"/>
    </xf>
    <xf numFmtId="188" fontId="0" fillId="0" borderId="41" xfId="0" applyBorder="1">
      <alignment vertical="top"/>
    </xf>
    <xf numFmtId="188" fontId="0" fillId="0" borderId="42" xfId="0" applyBorder="1">
      <alignment vertical="top"/>
    </xf>
    <xf numFmtId="188" fontId="0" fillId="0" borderId="19" xfId="0" applyBorder="1">
      <alignment vertical="top"/>
    </xf>
    <xf numFmtId="184" fontId="0" fillId="0" borderId="43" xfId="0" applyNumberFormat="1" applyBorder="1">
      <alignment vertical="top"/>
    </xf>
    <xf numFmtId="14" fontId="35" fillId="0" borderId="0" xfId="0" applyNumberFormat="1" applyFont="1">
      <alignment vertical="top"/>
    </xf>
    <xf numFmtId="14" fontId="0" fillId="0" borderId="0" xfId="0" applyNumberFormat="1">
      <alignment vertical="top"/>
    </xf>
    <xf numFmtId="185" fontId="36" fillId="11" borderId="0" xfId="0" applyNumberFormat="1" applyFont="1" applyFill="1">
      <alignment vertical="top"/>
    </xf>
    <xf numFmtId="188" fontId="37" fillId="11" borderId="0" xfId="0" applyFont="1" applyFill="1">
      <alignment vertical="top"/>
    </xf>
    <xf numFmtId="188" fontId="36" fillId="11" borderId="0" xfId="0" applyFont="1" applyFill="1">
      <alignment vertical="top"/>
    </xf>
    <xf numFmtId="188" fontId="36" fillId="12" borderId="0" xfId="0" applyFont="1" applyFill="1">
      <alignment vertical="top"/>
    </xf>
    <xf numFmtId="188" fontId="38" fillId="12" borderId="0" xfId="0" applyFont="1" applyFill="1">
      <alignment vertical="top"/>
    </xf>
    <xf numFmtId="188" fontId="28" fillId="0" borderId="0" xfId="0" applyFont="1">
      <alignment vertical="top"/>
    </xf>
    <xf numFmtId="188" fontId="39" fillId="0" borderId="0" xfId="0" applyFont="1">
      <alignment vertical="top"/>
    </xf>
    <xf numFmtId="184" fontId="0" fillId="0" borderId="0" xfId="0" applyNumberFormat="1">
      <alignment vertical="top"/>
    </xf>
    <xf numFmtId="184" fontId="28" fillId="0" borderId="13" xfId="0" applyNumberFormat="1" applyFont="1" applyBorder="1">
      <alignment vertical="top"/>
    </xf>
    <xf numFmtId="186" fontId="0" fillId="0" borderId="0" xfId="0" applyNumberFormat="1">
      <alignment vertical="top"/>
    </xf>
    <xf numFmtId="188" fontId="39" fillId="0" borderId="44" xfId="0" applyFont="1" applyBorder="1">
      <alignment vertical="top"/>
    </xf>
    <xf numFmtId="187" fontId="39" fillId="0" borderId="0" xfId="0" applyNumberFormat="1" applyFont="1">
      <alignment vertical="top"/>
    </xf>
    <xf numFmtId="9" fontId="35" fillId="0" borderId="0" xfId="0" applyNumberFormat="1" applyFont="1">
      <alignment vertical="top"/>
    </xf>
    <xf numFmtId="184" fontId="39" fillId="0" borderId="0" xfId="0" applyNumberFormat="1" applyFont="1">
      <alignment vertical="top"/>
    </xf>
    <xf numFmtId="165" fontId="0" fillId="0" borderId="0" xfId="0" applyNumberFormat="1">
      <alignment vertical="top"/>
    </xf>
    <xf numFmtId="166" fontId="0" fillId="0" borderId="0" xfId="0" applyNumberFormat="1">
      <alignment vertical="top"/>
    </xf>
    <xf numFmtId="184" fontId="0" fillId="0" borderId="15" xfId="0" applyNumberFormat="1" applyBorder="1">
      <alignment vertical="top"/>
    </xf>
    <xf numFmtId="184" fontId="0" fillId="0" borderId="13" xfId="0" applyNumberFormat="1" applyBorder="1">
      <alignment vertical="top"/>
    </xf>
    <xf numFmtId="184" fontId="0" fillId="0" borderId="18" xfId="0" applyNumberFormat="1" applyBorder="1">
      <alignment vertical="top"/>
    </xf>
    <xf numFmtId="188" fontId="38" fillId="11" borderId="0" xfId="0" applyFont="1" applyFill="1">
      <alignment vertical="top"/>
    </xf>
    <xf numFmtId="188" fontId="36" fillId="13" borderId="0" xfId="0" applyFont="1" applyFill="1">
      <alignment vertical="top"/>
    </xf>
    <xf numFmtId="188" fontId="38" fillId="13" borderId="0" xfId="0" applyFont="1" applyFill="1">
      <alignment vertical="top"/>
    </xf>
    <xf numFmtId="184" fontId="36" fillId="13" borderId="13" xfId="0" applyNumberFormat="1" applyFont="1" applyFill="1" applyBorder="1">
      <alignment vertical="top"/>
    </xf>
    <xf numFmtId="188" fontId="40" fillId="0" borderId="0" xfId="0" applyFont="1">
      <alignment vertical="top"/>
    </xf>
    <xf numFmtId="186" fontId="28" fillId="0" borderId="13" xfId="0" applyNumberFormat="1" applyFont="1" applyBorder="1">
      <alignment vertical="top"/>
    </xf>
    <xf numFmtId="186" fontId="40" fillId="0" borderId="0" xfId="0" applyNumberFormat="1" applyFont="1">
      <alignment vertical="top"/>
    </xf>
    <xf numFmtId="186" fontId="41" fillId="0" borderId="0" xfId="0" applyNumberFormat="1" applyFont="1">
      <alignment vertical="top"/>
    </xf>
    <xf numFmtId="188" fontId="28" fillId="0" borderId="16" xfId="0" applyFont="1" applyBorder="1">
      <alignment vertical="top"/>
    </xf>
    <xf numFmtId="188" fontId="0" fillId="0" borderId="2" xfId="0" applyBorder="1">
      <alignment vertical="top"/>
    </xf>
    <xf numFmtId="172" fontId="35" fillId="0" borderId="17" xfId="0" applyNumberFormat="1" applyFont="1" applyBorder="1">
      <alignment vertical="top"/>
    </xf>
    <xf numFmtId="3" fontId="0" fillId="0" borderId="0" xfId="0" applyNumberFormat="1">
      <alignment vertical="top"/>
    </xf>
    <xf numFmtId="188" fontId="28" fillId="0" borderId="2" xfId="0" applyFont="1" applyBorder="1">
      <alignment vertical="top"/>
    </xf>
    <xf numFmtId="186" fontId="35" fillId="0" borderId="0" xfId="0" applyNumberFormat="1" applyFont="1">
      <alignment vertical="top"/>
    </xf>
    <xf numFmtId="186" fontId="28" fillId="0" borderId="0" xfId="0" applyNumberFormat="1" applyFont="1">
      <alignment vertical="top"/>
    </xf>
    <xf numFmtId="188" fontId="42" fillId="0" borderId="0" xfId="0" applyFont="1">
      <alignment vertical="top"/>
    </xf>
    <xf numFmtId="170" fontId="35" fillId="0" borderId="17" xfId="0" applyNumberFormat="1" applyFont="1" applyBorder="1">
      <alignment vertical="top"/>
    </xf>
    <xf numFmtId="170" fontId="35" fillId="0" borderId="0" xfId="0" applyNumberFormat="1" applyFont="1">
      <alignment vertical="top"/>
    </xf>
    <xf numFmtId="172" fontId="35" fillId="0" borderId="0" xfId="0" applyNumberFormat="1" applyFont="1">
      <alignment vertical="top"/>
    </xf>
    <xf numFmtId="188" fontId="36" fillId="0" borderId="0" xfId="0" applyFont="1">
      <alignment vertical="top"/>
    </xf>
    <xf numFmtId="188" fontId="38" fillId="0" borderId="0" xfId="0" applyFont="1">
      <alignment vertical="top"/>
    </xf>
    <xf numFmtId="170" fontId="12" fillId="0" borderId="0" xfId="13" applyFont="1" applyAlignment="1">
      <alignment horizontal="right"/>
    </xf>
    <xf numFmtId="188" fontId="43" fillId="14" borderId="0" xfId="0" applyFont="1" applyFill="1">
      <alignment vertical="top"/>
    </xf>
    <xf numFmtId="192" fontId="43" fillId="14" borderId="0" xfId="54" applyFont="1" applyFill="1">
      <alignment vertical="top"/>
    </xf>
    <xf numFmtId="188" fontId="0" fillId="15" borderId="0" xfId="0" applyFill="1">
      <alignment vertical="top"/>
    </xf>
    <xf numFmtId="188" fontId="44" fillId="15" borderId="0" xfId="0" applyFont="1" applyFill="1">
      <alignment vertical="top"/>
    </xf>
    <xf numFmtId="193" fontId="0" fillId="0" borderId="0" xfId="55" applyFont="1">
      <alignment vertical="top"/>
    </xf>
    <xf numFmtId="188" fontId="44" fillId="0" borderId="0" xfId="0" applyFont="1">
      <alignment vertical="top"/>
    </xf>
    <xf numFmtId="188" fontId="44" fillId="0" borderId="0" xfId="0" applyFont="1" applyAlignment="1">
      <alignment horizontal="center" vertical="top"/>
    </xf>
    <xf numFmtId="188" fontId="45" fillId="0" borderId="0" xfId="0" applyFont="1">
      <alignment vertical="top"/>
    </xf>
    <xf numFmtId="188" fontId="0" fillId="0" borderId="0" xfId="0" applyFill="1">
      <alignment vertical="top"/>
    </xf>
    <xf numFmtId="193" fontId="0" fillId="0" borderId="0" xfId="55" applyFont="1" applyFill="1">
      <alignment vertical="top"/>
    </xf>
    <xf numFmtId="192" fontId="0" fillId="0" borderId="0" xfId="54" applyFont="1">
      <alignment vertical="top"/>
    </xf>
    <xf numFmtId="188" fontId="0" fillId="16" borderId="0" xfId="0" applyFill="1">
      <alignment vertical="top"/>
    </xf>
    <xf numFmtId="188" fontId="0" fillId="0" borderId="45" xfId="0" applyBorder="1">
      <alignment vertical="top"/>
    </xf>
    <xf numFmtId="188" fontId="0" fillId="15" borderId="46" xfId="0" applyFill="1" applyBorder="1">
      <alignment vertical="top"/>
    </xf>
    <xf numFmtId="188" fontId="0" fillId="0" borderId="1" xfId="0" applyBorder="1">
      <alignment vertical="top"/>
    </xf>
    <xf numFmtId="188" fontId="0" fillId="0" borderId="0" xfId="0" applyAlignment="1">
      <alignment horizontal="right" vertical="top"/>
    </xf>
    <xf numFmtId="188" fontId="44" fillId="0" borderId="1" xfId="0" applyFont="1" applyBorder="1">
      <alignment vertical="top"/>
    </xf>
  </cellXfs>
  <cellStyles count="56">
    <cellStyle name="Across" xfId="3" xr:uid="{00000000-0005-0000-0000-000000000000}"/>
    <cellStyle name="Bottom" xfId="4" xr:uid="{00000000-0005-0000-0000-000001000000}"/>
    <cellStyle name="Center" xfId="5" xr:uid="{00000000-0005-0000-0000-000002000000}"/>
    <cellStyle name="Comma 2" xfId="2" xr:uid="{00000000-0005-0000-0000-000003000000}"/>
    <cellStyle name="Comma 3" xfId="47" xr:uid="{3570D88B-62A3-40C8-909A-C17A3140EBF0}"/>
    <cellStyle name="Currency [2]" xfId="6" xr:uid="{00000000-0005-0000-0000-000004000000}"/>
    <cellStyle name="DateLong" xfId="53" xr:uid="{BC3F4C94-D6C4-465E-B053-68868B3E84AC}"/>
    <cellStyle name="DateShort" xfId="54" xr:uid="{A09CA72B-EC18-4778-9B56-35170FD6168F}"/>
    <cellStyle name="Double" xfId="7" xr:uid="{00000000-0005-0000-0000-000005000000}"/>
    <cellStyle name="F Check NonZero" xfId="25" xr:uid="{00000000-0005-0000-0000-000006000000}"/>
    <cellStyle name="F Date(U)" xfId="24" xr:uid="{00000000-0005-0000-0000-000007000000}"/>
    <cellStyle name="F Grey-Grey" xfId="26" xr:uid="{00000000-0005-0000-0000-000008000000}"/>
    <cellStyle name="F Header" xfId="15" xr:uid="{00000000-0005-0000-0000-000009000000}"/>
    <cellStyle name="F Integrity" xfId="27" xr:uid="{00000000-0005-0000-0000-00000A000000}"/>
    <cellStyle name="F range" xfId="28" xr:uid="{00000000-0005-0000-0000-00000B000000}"/>
    <cellStyle name="F Section Header" xfId="14" xr:uid="{00000000-0005-0000-0000-00000C000000}"/>
    <cellStyle name="F Section Header 2" xfId="49" xr:uid="{18B3665B-19FF-46C4-8B82-732D8E4E6C60}"/>
    <cellStyle name="F TopHeader" xfId="12" xr:uid="{00000000-0005-0000-0000-00000D000000}"/>
    <cellStyle name="F Units" xfId="17" xr:uid="{00000000-0005-0000-0000-00000E000000}"/>
    <cellStyle name="F Wkg text" xfId="29" xr:uid="{00000000-0005-0000-0000-00000F000000}"/>
    <cellStyle name="F-A 0dp" xfId="18" xr:uid="{00000000-0005-0000-0000-000010000000}"/>
    <cellStyle name="F-A 2dp" xfId="19" xr:uid="{00000000-0005-0000-0000-000011000000}"/>
    <cellStyle name="F-A Date" xfId="22" xr:uid="{00000000-0005-0000-0000-000012000000}"/>
    <cellStyle name="F-A Date 2" xfId="46" xr:uid="{00000000-0005-0000-0000-000013000000}"/>
    <cellStyle name="F-A Fixed 0dp" xfId="23" xr:uid="{00000000-0005-0000-0000-000014000000}"/>
    <cellStyle name="F-A LinkInput" xfId="30" xr:uid="{00000000-0005-0000-0000-000015000000}"/>
    <cellStyle name="F-A OnOff" xfId="31" xr:uid="{00000000-0005-0000-0000-000016000000}"/>
    <cellStyle name="F-A Pct2dp" xfId="20" xr:uid="{00000000-0005-0000-0000-000017000000}"/>
    <cellStyle name="F-A YesNo" xfId="32" xr:uid="{00000000-0005-0000-0000-000018000000}"/>
    <cellStyle name="Factor" xfId="52" xr:uid="{E0FF2E60-BF7D-419B-A6CA-CE336F4116B4}"/>
    <cellStyle name="F-C 0dp Num" xfId="13" xr:uid="{00000000-0005-0000-0000-000019000000}"/>
    <cellStyle name="F-C 2dp Num" xfId="33" xr:uid="{00000000-0005-0000-0000-00001A000000}"/>
    <cellStyle name="F-C Bld 0dp" xfId="16" xr:uid="{00000000-0005-0000-0000-00001B000000}"/>
    <cellStyle name="F-C Date" xfId="21" xr:uid="{00000000-0005-0000-0000-00001C000000}"/>
    <cellStyle name="F-C Date 2" xfId="44" xr:uid="{00000000-0005-0000-0000-00001D000000}"/>
    <cellStyle name="F-C NoYes" xfId="34" xr:uid="{00000000-0005-0000-0000-00001E000000}"/>
    <cellStyle name="F-C OnOff" xfId="35" xr:uid="{00000000-0005-0000-0000-00001F000000}"/>
    <cellStyle name="F-C Pct 2DP" xfId="36" xr:uid="{00000000-0005-0000-0000-000020000000}"/>
    <cellStyle name="F-C Year" xfId="45" xr:uid="{00000000-0005-0000-0000-000021000000}"/>
    <cellStyle name="Fixed input" xfId="41" xr:uid="{00000000-0005-0000-0000-000022000000}"/>
    <cellStyle name="F-RowSum 0dp" xfId="37" xr:uid="{00000000-0005-0000-0000-000023000000}"/>
    <cellStyle name="Heading 1 2" xfId="38" xr:uid="{00000000-0005-0000-0000-000024000000}"/>
    <cellStyle name="Input 2" xfId="40" xr:uid="{00000000-0005-0000-0000-000025000000}"/>
    <cellStyle name="Input 3" xfId="48" xr:uid="{FBF2AAA1-25AA-4193-BE47-25FEB66D3873}"/>
    <cellStyle name="Normal" xfId="0" builtinId="0" customBuiltin="1"/>
    <cellStyle name="Normal 2" xfId="1" xr:uid="{00000000-0005-0000-0000-000027000000}"/>
    <cellStyle name="Normal 2 2" xfId="43" xr:uid="{00000000-0005-0000-0000-000028000000}"/>
    <cellStyle name="Normal 3" xfId="39" xr:uid="{00000000-0005-0000-0000-000029000000}"/>
    <cellStyle name="Normal 4" xfId="42" xr:uid="{00000000-0005-0000-0000-00002A000000}"/>
    <cellStyle name="Normal 5" xfId="50" xr:uid="{1C775B2B-0598-46C6-BD92-10F7105A3C16}"/>
    <cellStyle name="Numbers" xfId="8" xr:uid="{00000000-0005-0000-0000-00002B000000}"/>
    <cellStyle name="Numbers - Bold - Italic" xfId="9" xr:uid="{00000000-0005-0000-0000-00002C000000}"/>
    <cellStyle name="Outline" xfId="10" xr:uid="{00000000-0005-0000-0000-00002D000000}"/>
    <cellStyle name="Percent" xfId="51" builtinId="5" customBuiltin="1"/>
    <cellStyle name="Percent 2" xfId="11" xr:uid="{00000000-0005-0000-0000-00002E000000}"/>
    <cellStyle name="Year" xfId="55" xr:uid="{CA2FE095-C16F-49DE-A770-66EC8B639E00}"/>
  </cellStyles>
  <dxfs count="0"/>
  <tableStyles count="0" defaultTableStyle="TableStyleMedium2" defaultPivotStyle="PivotStyleLight16"/>
  <colors>
    <mruColors>
      <color rgb="FFFFD966"/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31" fmlaLink="selector" fmlaRange="ListDepMethods1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</xdr:row>
          <xdr:rowOff>144780</xdr:rowOff>
        </xdr:from>
        <xdr:to>
          <xdr:col>6</xdr:col>
          <xdr:colOff>495300</xdr:colOff>
          <xdr:row>4</xdr:row>
          <xdr:rowOff>175260</xdr:rowOff>
        </xdr:to>
        <xdr:sp macro="" textlink="">
          <xdr:nvSpPr>
            <xdr:cNvPr id="4097" name="Drop Dow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E01F9D-5159-4735-9716-600E374F0152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5A474-B4C1-40D2-A602-6899EDFB5861}">
  <dimension ref="A1:AH48"/>
  <sheetViews>
    <sheetView showGridLines="0" zoomScale="85" zoomScaleNormal="85" workbookViewId="0">
      <pane xSplit="9" ySplit="3" topLeftCell="J25" activePane="bottomRight" state="frozen"/>
      <selection pane="topRight" activeCell="J1" sqref="J1"/>
      <selection pane="bottomLeft" activeCell="A4" sqref="A4"/>
      <selection pane="bottomRight" activeCell="P203" sqref="P203"/>
    </sheetView>
  </sheetViews>
  <sheetFormatPr defaultRowHeight="13.8"/>
  <cols>
    <col min="1" max="1" width="1.59765625" customWidth="1"/>
    <col min="2" max="4" width="1.5" customWidth="1"/>
    <col min="5" max="5" width="33.3984375" customWidth="1"/>
    <col min="6" max="8" width="12.59765625" customWidth="1"/>
    <col min="9" max="9" width="1.5" customWidth="1"/>
    <col min="10" max="34" width="11.59765625" customWidth="1"/>
  </cols>
  <sheetData>
    <row r="1" spans="1:34" s="129" customFormat="1">
      <c r="A1" s="129" t="str">
        <f>company</f>
        <v>Mineral to Rock</v>
      </c>
    </row>
    <row r="2" spans="1:34" s="129" customFormat="1">
      <c r="A2" s="129" t="str" cm="1">
        <f t="array" ref="A2">topic</f>
        <v>CFM Topic: CAPEX and depreciation</v>
      </c>
    </row>
    <row r="3" spans="1:34" s="129" customFormat="1">
      <c r="A3" s="129" t="s">
        <v>103</v>
      </c>
      <c r="J3" s="130" cm="1">
        <f t="array" ref="J3:AH3" xml:space="preserve"> EOMONTH( start_date, _xlfn.SEQUENCE( 1, periods, 0, 12 ) )</f>
        <v>44592</v>
      </c>
      <c r="K3" s="130">
        <v>44957</v>
      </c>
      <c r="L3" s="130">
        <v>45322</v>
      </c>
      <c r="M3" s="130">
        <v>45688</v>
      </c>
      <c r="N3" s="130">
        <v>46053</v>
      </c>
      <c r="O3" s="130">
        <v>46418</v>
      </c>
      <c r="P3" s="130">
        <v>46783</v>
      </c>
      <c r="Q3" s="130">
        <v>47149</v>
      </c>
      <c r="R3" s="130">
        <v>47514</v>
      </c>
      <c r="S3" s="130">
        <v>47879</v>
      </c>
      <c r="T3" s="130">
        <v>48244</v>
      </c>
      <c r="U3" s="130">
        <v>48610</v>
      </c>
      <c r="V3" s="130">
        <v>48975</v>
      </c>
      <c r="W3" s="130">
        <v>49340</v>
      </c>
      <c r="X3" s="130">
        <v>49705</v>
      </c>
      <c r="Y3" s="130">
        <v>50071</v>
      </c>
      <c r="Z3" s="130">
        <v>50436</v>
      </c>
      <c r="AA3" s="130">
        <v>50801</v>
      </c>
      <c r="AB3" s="130">
        <v>51166</v>
      </c>
      <c r="AC3" s="130">
        <v>51532</v>
      </c>
      <c r="AD3" s="130">
        <v>51897</v>
      </c>
      <c r="AE3" s="130">
        <v>52262</v>
      </c>
      <c r="AF3" s="130">
        <v>52627</v>
      </c>
      <c r="AG3" s="130">
        <v>52993</v>
      </c>
      <c r="AH3" s="130">
        <v>53358</v>
      </c>
    </row>
    <row r="5" spans="1:34">
      <c r="E5" t="s">
        <v>104</v>
      </c>
      <c r="F5" s="142">
        <v>1</v>
      </c>
    </row>
    <row r="7" spans="1:34" s="131" customFormat="1">
      <c r="B7" s="132" t="s">
        <v>94</v>
      </c>
    </row>
    <row r="9" spans="1:34">
      <c r="E9" t="s">
        <v>107</v>
      </c>
      <c r="G9" t="s">
        <v>105</v>
      </c>
      <c r="J9" cm="1">
        <f t="array" ref="J9:AH9" xml:space="preserve"> _xlfn.DROP( _xlfn.HSTACK( 0,_xlfn.ANCHORARRAY( J12) ),, -1 )</f>
        <v>0</v>
      </c>
      <c r="K9">
        <v>2909497.5</v>
      </c>
      <c r="L9">
        <v>3074760.375</v>
      </c>
      <c r="M9">
        <v>4641580.0687499996</v>
      </c>
      <c r="N9">
        <v>4479504.3084375001</v>
      </c>
      <c r="O9">
        <v>5925507.4121718751</v>
      </c>
      <c r="P9">
        <v>7266573.8003460942</v>
      </c>
      <c r="Q9">
        <v>8060073.9802941801</v>
      </c>
      <c r="R9">
        <v>7065255.383250054</v>
      </c>
      <c r="S9">
        <v>6111284.5757625466</v>
      </c>
      <c r="T9">
        <v>6034858.139398165</v>
      </c>
      <c r="U9">
        <v>6313316.918488441</v>
      </c>
      <c r="V9">
        <v>6727876.8807151755</v>
      </c>
      <c r="W9">
        <v>6352790.3486078996</v>
      </c>
      <c r="X9">
        <v>7831386.796316715</v>
      </c>
      <c r="Y9">
        <v>8355807.5268692086</v>
      </c>
      <c r="Z9">
        <v>8866503.8978388272</v>
      </c>
      <c r="AA9">
        <v>9063715.8131630048</v>
      </c>
      <c r="AB9">
        <v>9201930.9411885552</v>
      </c>
      <c r="AC9">
        <v>8454862.5500102732</v>
      </c>
      <c r="AD9">
        <v>7893035.6675087335</v>
      </c>
      <c r="AE9">
        <v>8423089.0673824251</v>
      </c>
      <c r="AF9">
        <v>8630776.9572750628</v>
      </c>
      <c r="AG9">
        <v>8186630.4136838047</v>
      </c>
      <c r="AH9">
        <v>8799717.1016312353</v>
      </c>
    </row>
    <row r="10" spans="1:34">
      <c r="E10" t="s">
        <v>91</v>
      </c>
      <c r="G10" t="s">
        <v>105</v>
      </c>
      <c r="J10" cm="1">
        <f t="array" ref="J10:AH10" xml:space="preserve"> IF( _xlfn.DROP( TRANSPOSE( INDEX(_xlfn.ANCHORARRAY( Calculations!$E$8),, 2 ) ), , 1 ) = "", 0, _xlfn.DROP( TRANSPOSE( INDEX(_xlfn.ANCHORARRAY( Calculations!E8),, 2 ) ), , 1 ) )</f>
        <v>3393000</v>
      </c>
      <c r="K10">
        <v>672000</v>
      </c>
      <c r="L10">
        <v>2329500</v>
      </c>
      <c r="M10">
        <v>567000</v>
      </c>
      <c r="N10">
        <v>2409000</v>
      </c>
      <c r="O10">
        <v>2518500</v>
      </c>
      <c r="P10">
        <v>2092500</v>
      </c>
      <c r="Q10">
        <v>127500</v>
      </c>
      <c r="R10">
        <v>0</v>
      </c>
      <c r="S10">
        <v>856500</v>
      </c>
      <c r="T10">
        <v>1249500</v>
      </c>
      <c r="U10">
        <v>1446000</v>
      </c>
      <c r="V10">
        <v>585000</v>
      </c>
      <c r="W10">
        <v>2676000</v>
      </c>
      <c r="X10">
        <v>1798500</v>
      </c>
      <c r="Y10">
        <v>1858500</v>
      </c>
      <c r="Z10">
        <v>1566000</v>
      </c>
      <c r="AA10">
        <v>1518000</v>
      </c>
      <c r="AB10">
        <v>496500</v>
      </c>
      <c r="AC10">
        <v>577500</v>
      </c>
      <c r="AD10">
        <v>1747500</v>
      </c>
      <c r="AE10">
        <v>1449000</v>
      </c>
      <c r="AF10">
        <v>712500</v>
      </c>
      <c r="AG10">
        <v>1861500</v>
      </c>
      <c r="AH10">
        <v>2253000</v>
      </c>
    </row>
    <row r="11" spans="1:34">
      <c r="E11" t="s">
        <v>2</v>
      </c>
      <c r="G11" t="s">
        <v>105</v>
      </c>
      <c r="J11" cm="1">
        <f t="array" ref="J11:AH11" xml:space="preserve"> _xlfn.LET(
     _xlpm.depreciation_method,      selector,
     _xlpm.declining_balance,_xlfn.ANCHORARRAY(        Calculations!J65),
     _xlpm.straight_line,_xlfn.ANCHORARRAY(            Calculations!J94),
     _xlpm.units_of_production,_xlfn.ANCHORARRAY(      Calculations!J123),
     _xlpm.sum_of_digits,_xlfn.ANCHORARRAY(            Calculations!J152),
     CHOOSE( selector, _xlpm.declining_balance, _xlpm.straight_line, _xlpm.units_of_production, _xlpm.sum_of_digits ) ) * - 1</f>
        <v>-483502.5</v>
      </c>
      <c r="K11">
        <v>-506737.125</v>
      </c>
      <c r="L11">
        <v>-762680.30624999991</v>
      </c>
      <c r="M11">
        <v>-729075.76031249994</v>
      </c>
      <c r="N11">
        <v>-962996.89626562491</v>
      </c>
      <c r="O11">
        <v>-1177433.6118257812</v>
      </c>
      <c r="P11">
        <v>-1298999.8200519138</v>
      </c>
      <c r="Q11">
        <v>-1122318.5970441266</v>
      </c>
      <c r="R11">
        <v>-953970.8074875077</v>
      </c>
      <c r="S11">
        <v>-932926.43636438157</v>
      </c>
      <c r="T11">
        <v>-971041.22090972413</v>
      </c>
      <c r="U11">
        <v>-1031440.0377732656</v>
      </c>
      <c r="V11">
        <v>-960086.53210727568</v>
      </c>
      <c r="W11">
        <v>-1197403.5522911842</v>
      </c>
      <c r="X11">
        <v>-1274079.2694475064</v>
      </c>
      <c r="Y11">
        <v>-1347803.6290303804</v>
      </c>
      <c r="Z11">
        <v>-1368788.0846758233</v>
      </c>
      <c r="AA11">
        <v>-1379784.8719744501</v>
      </c>
      <c r="AB11">
        <v>-1243568.3911782824</v>
      </c>
      <c r="AC11">
        <v>-1139326.8825015398</v>
      </c>
      <c r="AD11">
        <v>-1217446.6001263089</v>
      </c>
      <c r="AE11">
        <v>-1241312.1101073625</v>
      </c>
      <c r="AF11">
        <v>-1156646.5435912581</v>
      </c>
      <c r="AG11">
        <v>-1248413.3120525694</v>
      </c>
      <c r="AH11">
        <v>-1382203.815244684</v>
      </c>
    </row>
    <row r="12" spans="1:34">
      <c r="E12" s="141" t="s">
        <v>106</v>
      </c>
      <c r="F12" s="141"/>
      <c r="G12" s="141" t="s">
        <v>105</v>
      </c>
      <c r="H12" s="141"/>
      <c r="I12" s="141"/>
      <c r="J12" s="141" cm="1">
        <f t="array" ref="J12:AH12" xml:space="preserve"> _xlfn.LET(
     _xlpm.opening_balance,  0,
     _xlpm.mouvements,_xlfn.ANCHORARRAY(      J10) +_xlfn.ANCHORARRAY( J11),
     _xlfn.SCAN( _xlpm.opening_balance, _xlpm.mouvements, _xleta.SUM ) )</f>
        <v>2909497.5</v>
      </c>
      <c r="K12" s="141">
        <v>3074760.375</v>
      </c>
      <c r="L12" s="141">
        <v>4641580.0687499996</v>
      </c>
      <c r="M12" s="141">
        <v>4479504.3084375001</v>
      </c>
      <c r="N12" s="141">
        <v>5925507.4121718751</v>
      </c>
      <c r="O12" s="141">
        <v>7266573.8003460942</v>
      </c>
      <c r="P12" s="141">
        <v>8060073.9802941801</v>
      </c>
      <c r="Q12" s="141">
        <v>7065255.383250054</v>
      </c>
      <c r="R12" s="141">
        <v>6111284.5757625466</v>
      </c>
      <c r="S12" s="141">
        <v>6034858.139398165</v>
      </c>
      <c r="T12" s="141">
        <v>6313316.918488441</v>
      </c>
      <c r="U12" s="141">
        <v>6727876.8807151755</v>
      </c>
      <c r="V12" s="141">
        <v>6352790.3486078996</v>
      </c>
      <c r="W12" s="141">
        <v>7831386.796316715</v>
      </c>
      <c r="X12" s="141">
        <v>8355807.5268692086</v>
      </c>
      <c r="Y12" s="141">
        <v>8866503.8978388272</v>
      </c>
      <c r="Z12" s="141">
        <v>9063715.8131630048</v>
      </c>
      <c r="AA12" s="141">
        <v>9201930.9411885552</v>
      </c>
      <c r="AB12" s="141">
        <v>8454862.5500102732</v>
      </c>
      <c r="AC12" s="141">
        <v>7893035.6675087335</v>
      </c>
      <c r="AD12" s="141">
        <v>8423089.0673824251</v>
      </c>
      <c r="AE12" s="141">
        <v>8630776.9572750628</v>
      </c>
      <c r="AF12" s="141">
        <v>8186630.4136838047</v>
      </c>
      <c r="AG12" s="141">
        <v>8799717.1016312353</v>
      </c>
      <c r="AH12" s="141">
        <v>9670513.2863865513</v>
      </c>
    </row>
    <row r="14" spans="1:34" s="131" customFormat="1">
      <c r="B14" s="132" t="s">
        <v>101</v>
      </c>
    </row>
    <row r="16" spans="1:34">
      <c r="E16" t="s">
        <v>108</v>
      </c>
      <c r="G16" t="s">
        <v>105</v>
      </c>
      <c r="J16" cm="1">
        <f t="array" ref="J16:AH16" xml:space="preserve"> _xlfn.DROP( _xlfn.HSTACK( 0,_xlfn.ANCHORARRAY( J19) ),, -1 )</f>
        <v>0</v>
      </c>
      <c r="K16">
        <v>2260861.875</v>
      </c>
      <c r="L16">
        <v>2441429.203125</v>
      </c>
      <c r="M16">
        <v>2752342.6324218749</v>
      </c>
      <c r="N16">
        <v>2898868.0401269533</v>
      </c>
      <c r="O16">
        <v>3021438.3560983888</v>
      </c>
      <c r="P16">
        <v>4522985.9759762511</v>
      </c>
      <c r="Q16">
        <v>3768513.5063815946</v>
      </c>
      <c r="R16">
        <v>4293508.5924457358</v>
      </c>
      <c r="S16">
        <v>5002732.9091454446</v>
      </c>
      <c r="T16">
        <v>5396486.7545877192</v>
      </c>
      <c r="U16">
        <v>7032753.4848054815</v>
      </c>
      <c r="V16">
        <v>6111428.3257242478</v>
      </c>
      <c r="W16">
        <v>6054946.9524362916</v>
      </c>
      <c r="X16">
        <v>6143777.6381381247</v>
      </c>
      <c r="Y16">
        <v>7045085.7945570461</v>
      </c>
      <c r="Z16">
        <v>6002534.6157817096</v>
      </c>
      <c r="AA16">
        <v>7550078.7022308242</v>
      </c>
      <c r="AB16">
        <v>6646355.9942288883</v>
      </c>
      <c r="AC16">
        <v>6173382.145527387</v>
      </c>
      <c r="AD16">
        <v>6838189.9127837233</v>
      </c>
      <c r="AE16">
        <v>7227093.4324073847</v>
      </c>
      <c r="AF16">
        <v>7593428.6601157216</v>
      </c>
      <c r="AG16">
        <v>8038410.3365896828</v>
      </c>
      <c r="AH16">
        <v>7688911.7608570028</v>
      </c>
    </row>
    <row r="17" spans="2:34">
      <c r="E17" t="s">
        <v>91</v>
      </c>
      <c r="G17" t="s">
        <v>105</v>
      </c>
      <c r="J17" cm="1">
        <f t="array" ref="J17:AH17" xml:space="preserve"> IF( _xlfn.DROP( TRANSPOSE( INDEX(_xlfn.ANCHORARRAY( Calculations!$E$8),, 3 ) ), , 1 ) = "", 0, _xlfn.DROP( TRANSPOSE( INDEX(_xlfn.ANCHORARRAY( Calculations!$E$8),,3 ) ), , 1 ) )</f>
        <v>2875500</v>
      </c>
      <c r="K17">
        <v>835500</v>
      </c>
      <c r="L17">
        <v>1041000</v>
      </c>
      <c r="M17">
        <v>906000</v>
      </c>
      <c r="N17">
        <v>904500</v>
      </c>
      <c r="O17">
        <v>2680500</v>
      </c>
      <c r="P17">
        <v>202500</v>
      </c>
      <c r="Q17">
        <v>1611000</v>
      </c>
      <c r="R17">
        <v>1972500</v>
      </c>
      <c r="S17">
        <v>1746000</v>
      </c>
      <c r="T17">
        <v>3414000</v>
      </c>
      <c r="U17">
        <v>580500</v>
      </c>
      <c r="V17">
        <v>1408500</v>
      </c>
      <c r="W17">
        <v>1557000</v>
      </c>
      <c r="X17">
        <v>2593500</v>
      </c>
      <c r="Y17">
        <v>342000</v>
      </c>
      <c r="Z17">
        <v>3333000</v>
      </c>
      <c r="AA17">
        <v>610500</v>
      </c>
      <c r="AB17">
        <v>891000</v>
      </c>
      <c r="AC17">
        <v>2190000</v>
      </c>
      <c r="AD17">
        <v>1998000</v>
      </c>
      <c r="AE17">
        <v>2052000</v>
      </c>
      <c r="AF17">
        <v>2227500</v>
      </c>
      <c r="AG17">
        <v>1312500</v>
      </c>
      <c r="AH17">
        <v>2460000</v>
      </c>
    </row>
    <row r="18" spans="2:34">
      <c r="E18" t="s">
        <v>2</v>
      </c>
      <c r="G18" t="s">
        <v>105</v>
      </c>
      <c r="J18" cm="1">
        <f t="array" ref="J18:AH18" xml:space="preserve"> _xlfn.LET(
     _xlpm.depreciation_method,      selector,
     _xlpm.declining_balance,_xlfn.ANCHORARRAY(        Calculations!$J184),
     _xlpm.straight_line,_xlfn.ANCHORARRAY(            Calculations!$J213),
     _xlpm.units_of_production,_xlfn.ANCHORARRAY(      Calculations!$J242),
     _xlpm.sum_of_digits,_xlfn.ANCHORARRAY(            Calculations!$J271),
     CHOOSE( selector, _xlpm.declining_balance, _xlpm.straight_line, _xlpm.units_of_production, _xlpm.sum_of_digits ) ) * - 1</f>
        <v>-614638.125</v>
      </c>
      <c r="K18">
        <v>-654932.671875</v>
      </c>
      <c r="L18">
        <v>-730086.57070312509</v>
      </c>
      <c r="M18">
        <v>-759474.59229492187</v>
      </c>
      <c r="N18">
        <v>-781929.6840285646</v>
      </c>
      <c r="O18">
        <v>-1178952.3801221375</v>
      </c>
      <c r="P18">
        <v>-956972.46959465661</v>
      </c>
      <c r="Q18">
        <v>-1086004.913935859</v>
      </c>
      <c r="R18">
        <v>-1263275.6833002907</v>
      </c>
      <c r="S18">
        <v>-1352246.1545577254</v>
      </c>
      <c r="T18">
        <v>-1777733.2697822372</v>
      </c>
      <c r="U18">
        <v>-1501825.1590812339</v>
      </c>
      <c r="V18">
        <v>-1464981.3732879562</v>
      </c>
      <c r="W18">
        <v>-1468169.3142981664</v>
      </c>
      <c r="X18">
        <v>-1692191.843581079</v>
      </c>
      <c r="Y18">
        <v>-1384551.1787753361</v>
      </c>
      <c r="Z18">
        <v>-1785455.9135508859</v>
      </c>
      <c r="AA18">
        <v>-1514222.7080019363</v>
      </c>
      <c r="AB18">
        <v>-1363973.8487015008</v>
      </c>
      <c r="AC18">
        <v>-1525192.2327436632</v>
      </c>
      <c r="AD18">
        <v>-1609096.4803763391</v>
      </c>
      <c r="AE18">
        <v>-1685664.7722916629</v>
      </c>
      <c r="AF18">
        <v>-1782518.3235260388</v>
      </c>
      <c r="AG18">
        <v>-1661998.5757326803</v>
      </c>
      <c r="AH18">
        <v>-1813873.8961928273</v>
      </c>
    </row>
    <row r="19" spans="2:34">
      <c r="E19" s="141" t="s">
        <v>109</v>
      </c>
      <c r="F19" s="141"/>
      <c r="G19" s="141" t="s">
        <v>105</v>
      </c>
      <c r="H19" s="141"/>
      <c r="I19" s="141"/>
      <c r="J19" s="141" cm="1">
        <f t="array" ref="J19:AH19" xml:space="preserve"> _xlfn.LET(
     _xlpm.opening_balance,  0,
     _xlpm.mouvements,_xlfn.ANCHORARRAY(      J17) +_xlfn.ANCHORARRAY( J18),
     _xlfn.SCAN( _xlpm.opening_balance, _xlpm.mouvements, _xleta.SUM ) )</f>
        <v>2260861.875</v>
      </c>
      <c r="K19" s="141">
        <v>2441429.203125</v>
      </c>
      <c r="L19" s="141">
        <v>2752342.6324218749</v>
      </c>
      <c r="M19" s="141">
        <v>2898868.0401269533</v>
      </c>
      <c r="N19" s="141">
        <v>3021438.3560983888</v>
      </c>
      <c r="O19" s="141">
        <v>4522985.9759762511</v>
      </c>
      <c r="P19" s="141">
        <v>3768513.5063815946</v>
      </c>
      <c r="Q19" s="141">
        <v>4293508.5924457358</v>
      </c>
      <c r="R19" s="141">
        <v>5002732.9091454446</v>
      </c>
      <c r="S19" s="141">
        <v>5396486.7545877192</v>
      </c>
      <c r="T19" s="141">
        <v>7032753.4848054815</v>
      </c>
      <c r="U19" s="141">
        <v>6111428.3257242478</v>
      </c>
      <c r="V19" s="141">
        <v>6054946.9524362916</v>
      </c>
      <c r="W19" s="141">
        <v>6143777.6381381247</v>
      </c>
      <c r="X19" s="141">
        <v>7045085.7945570461</v>
      </c>
      <c r="Y19" s="141">
        <v>6002534.6157817096</v>
      </c>
      <c r="Z19" s="141">
        <v>7550078.7022308242</v>
      </c>
      <c r="AA19" s="141">
        <v>6646355.9942288883</v>
      </c>
      <c r="AB19" s="141">
        <v>6173382.145527387</v>
      </c>
      <c r="AC19" s="141">
        <v>6838189.9127837233</v>
      </c>
      <c r="AD19" s="141">
        <v>7227093.4324073847</v>
      </c>
      <c r="AE19" s="141">
        <v>7593428.6601157216</v>
      </c>
      <c r="AF19" s="141">
        <v>8038410.3365896828</v>
      </c>
      <c r="AG19" s="141">
        <v>7688911.7608570028</v>
      </c>
      <c r="AH19" s="141">
        <v>8335037.8646641755</v>
      </c>
    </row>
    <row r="21" spans="2:34" s="131" customFormat="1">
      <c r="B21" s="132" t="s">
        <v>102</v>
      </c>
    </row>
    <row r="23" spans="2:34">
      <c r="E23" t="s">
        <v>110</v>
      </c>
      <c r="G23" t="s">
        <v>105</v>
      </c>
      <c r="J23" cm="1">
        <f t="array" ref="J23:AH23" xml:space="preserve"> _xlfn.DROP( _xlfn.HSTACK( 0,_xlfn.ANCHORARRAY( J26) ),, -1 )</f>
        <v>0</v>
      </c>
      <c r="K23">
        <v>1559490</v>
      </c>
      <c r="L23">
        <v>1094194.5</v>
      </c>
      <c r="M23">
        <v>1204983.2249999999</v>
      </c>
      <c r="N23">
        <v>2203229.5237499997</v>
      </c>
      <c r="O23">
        <v>2087093.7380624996</v>
      </c>
      <c r="P23">
        <v>2319802.8059343742</v>
      </c>
      <c r="Q23">
        <v>2188131.5432639052</v>
      </c>
      <c r="R23">
        <v>1610726.0987951471</v>
      </c>
      <c r="S23">
        <v>1769403.1043373302</v>
      </c>
      <c r="T23">
        <v>2588401.7073855307</v>
      </c>
      <c r="U23">
        <v>2602973.4390620412</v>
      </c>
      <c r="V23">
        <v>3033549.1414841218</v>
      </c>
      <c r="W23">
        <v>2698325.7778162658</v>
      </c>
      <c r="X23">
        <v>2705844.177798945</v>
      </c>
      <c r="Y23">
        <v>2960835.5477894186</v>
      </c>
      <c r="Z23">
        <v>2432268.3012841791</v>
      </c>
      <c r="AA23">
        <v>3265450.0657062973</v>
      </c>
      <c r="AB23">
        <v>2940220.0361384624</v>
      </c>
      <c r="AC23">
        <v>3501803.5198761532</v>
      </c>
      <c r="AD23">
        <v>3630430.6859318828</v>
      </c>
      <c r="AE23">
        <v>3479220.6272625341</v>
      </c>
      <c r="AF23">
        <v>3806942.5949943922</v>
      </c>
      <c r="AG23">
        <v>3902897.1772469142</v>
      </c>
      <c r="AH23">
        <v>3473800.9474858013</v>
      </c>
    </row>
    <row r="24" spans="2:34">
      <c r="E24" t="s">
        <v>91</v>
      </c>
      <c r="G24" t="s">
        <v>105</v>
      </c>
      <c r="J24" cm="1">
        <f t="array" ref="J24:AH24" xml:space="preserve"> IF( _xlfn.DROP( TRANSPOSE( INDEX(_xlfn.ANCHORARRAY( Calculations!$E$8),, 4 ) ), , 1 ) = "", 0, _xlfn.DROP( TRANSPOSE( INDEX(_xlfn.ANCHORARRAY( Calculations!$E$8),, 4 ) ), , 1 ) )</f>
        <v>2724000</v>
      </c>
      <c r="K24">
        <v>306000</v>
      </c>
      <c r="L24">
        <v>934500</v>
      </c>
      <c r="M24">
        <v>2535000</v>
      </c>
      <c r="N24">
        <v>1273500</v>
      </c>
      <c r="O24">
        <v>1741500</v>
      </c>
      <c r="P24">
        <v>1219500</v>
      </c>
      <c r="Q24">
        <v>289500</v>
      </c>
      <c r="R24">
        <v>1110000</v>
      </c>
      <c r="S24">
        <v>2344500</v>
      </c>
      <c r="T24">
        <v>1491000</v>
      </c>
      <c r="U24">
        <v>2170500</v>
      </c>
      <c r="V24">
        <v>1086000</v>
      </c>
      <c r="W24">
        <v>1378500</v>
      </c>
      <c r="X24">
        <v>1762500</v>
      </c>
      <c r="Y24">
        <v>525000</v>
      </c>
      <c r="Z24">
        <v>2467500</v>
      </c>
      <c r="AA24">
        <v>1002000</v>
      </c>
      <c r="AB24">
        <v>2256000</v>
      </c>
      <c r="AC24">
        <v>1852500</v>
      </c>
      <c r="AD24">
        <v>1392000</v>
      </c>
      <c r="AE24">
        <v>2055000</v>
      </c>
      <c r="AF24">
        <v>1827000</v>
      </c>
      <c r="AG24">
        <v>913500</v>
      </c>
      <c r="AH24">
        <v>1356000</v>
      </c>
    </row>
    <row r="25" spans="2:34">
      <c r="E25" t="s">
        <v>2</v>
      </c>
      <c r="G25" t="s">
        <v>105</v>
      </c>
      <c r="J25" cm="1">
        <f t="array" ref="J25:AH25" xml:space="preserve"> _xlfn.LET(
     _xlpm.depreciation_method,      selector,
     _xlpm.declining_balance,_xlfn.ANCHORARRAY(        Calculations!J303),
     _xlpm.straight_line,_xlfn.ANCHORARRAY(            Calculations!J332),
     _xlpm.units_of_production,_xlfn.ANCHORARRAY(      Calculations!J361),
     _xlpm.sum_of_digits,_xlfn.ANCHORARRAY(            Calculations!J390),
     CHOOSE( selector, _xlpm.declining_balance, _xlpm.straight_line, _xlpm.units_of_production, _xlpm.sum_of_digits ) ) * - 1</f>
        <v>-1164510</v>
      </c>
      <c r="K25">
        <v>-771295.5</v>
      </c>
      <c r="L25">
        <v>-823711.27500000014</v>
      </c>
      <c r="M25">
        <v>-1536753.7012500002</v>
      </c>
      <c r="N25">
        <v>-1389635.7856875001</v>
      </c>
      <c r="O25">
        <v>-1508790.9321281251</v>
      </c>
      <c r="P25">
        <v>-1351171.262670469</v>
      </c>
      <c r="Q25">
        <v>-866905.44446875795</v>
      </c>
      <c r="R25">
        <v>-951322.99445781694</v>
      </c>
      <c r="S25">
        <v>-1525501.3969517993</v>
      </c>
      <c r="T25">
        <v>-1476428.2683234897</v>
      </c>
      <c r="U25">
        <v>-1739924.2975779194</v>
      </c>
      <c r="V25">
        <v>-1421223.3636678557</v>
      </c>
      <c r="W25">
        <v>-1370981.6000173208</v>
      </c>
      <c r="X25">
        <v>-1507508.6300095264</v>
      </c>
      <c r="Y25">
        <v>-1053567.2465052395</v>
      </c>
      <c r="Z25">
        <v>-1634318.2355778818</v>
      </c>
      <c r="AA25">
        <v>-1327230.0295678349</v>
      </c>
      <c r="AB25">
        <v>-1694416.5162623094</v>
      </c>
      <c r="AC25">
        <v>-1723872.8339442702</v>
      </c>
      <c r="AD25">
        <v>-1543210.0586693487</v>
      </c>
      <c r="AE25">
        <v>-1727278.0322681419</v>
      </c>
      <c r="AF25">
        <v>-1731045.417747478</v>
      </c>
      <c r="AG25">
        <v>-1342596.2297611129</v>
      </c>
      <c r="AH25">
        <v>-1318117.9263686123</v>
      </c>
    </row>
    <row r="26" spans="2:34">
      <c r="E26" s="141" t="s">
        <v>111</v>
      </c>
      <c r="F26" s="141"/>
      <c r="G26" s="141" t="s">
        <v>105</v>
      </c>
      <c r="H26" s="141"/>
      <c r="I26" s="141"/>
      <c r="J26" s="141" cm="1">
        <f t="array" ref="J26:AH26" xml:space="preserve"> _xlfn.LET(
     _xlpm.opening_balance,  0,
     _xlpm.mouvements,_xlfn.ANCHORARRAY(      J24) +_xlfn.ANCHORARRAY( J25),
     _xlfn.SCAN( _xlpm.opening_balance, _xlpm.mouvements, _xleta.SUM ) )</f>
        <v>1559490</v>
      </c>
      <c r="K26" s="141">
        <v>1094194.5</v>
      </c>
      <c r="L26" s="141">
        <v>1204983.2249999999</v>
      </c>
      <c r="M26" s="141">
        <v>2203229.5237499997</v>
      </c>
      <c r="N26" s="141">
        <v>2087093.7380624996</v>
      </c>
      <c r="O26" s="141">
        <v>2319802.8059343742</v>
      </c>
      <c r="P26" s="141">
        <v>2188131.5432639052</v>
      </c>
      <c r="Q26" s="141">
        <v>1610726.0987951471</v>
      </c>
      <c r="R26" s="141">
        <v>1769403.1043373302</v>
      </c>
      <c r="S26" s="141">
        <v>2588401.7073855307</v>
      </c>
      <c r="T26" s="141">
        <v>2602973.4390620412</v>
      </c>
      <c r="U26" s="141">
        <v>3033549.1414841218</v>
      </c>
      <c r="V26" s="141">
        <v>2698325.7778162658</v>
      </c>
      <c r="W26" s="141">
        <v>2705844.177798945</v>
      </c>
      <c r="X26" s="141">
        <v>2960835.5477894186</v>
      </c>
      <c r="Y26" s="141">
        <v>2432268.3012841791</v>
      </c>
      <c r="Z26" s="141">
        <v>3265450.0657062973</v>
      </c>
      <c r="AA26" s="141">
        <v>2940220.0361384624</v>
      </c>
      <c r="AB26" s="141">
        <v>3501803.5198761532</v>
      </c>
      <c r="AC26" s="141">
        <v>3630430.6859318828</v>
      </c>
      <c r="AD26" s="141">
        <v>3479220.6272625341</v>
      </c>
      <c r="AE26" s="141">
        <v>3806942.5949943922</v>
      </c>
      <c r="AF26" s="141">
        <v>3902897.1772469142</v>
      </c>
      <c r="AG26" s="141">
        <v>3473800.9474858013</v>
      </c>
      <c r="AH26" s="141">
        <v>3511683.021117189</v>
      </c>
    </row>
    <row r="28" spans="2:34" s="131" customFormat="1">
      <c r="B28" s="132" t="s">
        <v>112</v>
      </c>
    </row>
    <row r="30" spans="2:34">
      <c r="E30" t="s">
        <v>113</v>
      </c>
      <c r="G30" t="s">
        <v>105</v>
      </c>
      <c r="J30" cm="1">
        <f t="array" ref="J30:AH30">_xlfn.ANCHORARRAY( J9) +_xlfn.ANCHORARRAY( J16) +_xlfn.ANCHORARRAY( J23)</f>
        <v>0</v>
      </c>
      <c r="K30">
        <v>6729849.375</v>
      </c>
      <c r="L30">
        <v>6610384.078125</v>
      </c>
      <c r="M30">
        <v>8598905.9261718746</v>
      </c>
      <c r="N30">
        <v>9581601.8723144531</v>
      </c>
      <c r="O30">
        <v>11034039.506332763</v>
      </c>
      <c r="P30">
        <v>14109362.582256719</v>
      </c>
      <c r="Q30">
        <v>14016719.029939679</v>
      </c>
      <c r="R30">
        <v>12969490.074490936</v>
      </c>
      <c r="S30">
        <v>12883420.589245323</v>
      </c>
      <c r="T30">
        <v>14019746.601371415</v>
      </c>
      <c r="U30">
        <v>15949043.842355963</v>
      </c>
      <c r="V30">
        <v>15872854.347923547</v>
      </c>
      <c r="W30">
        <v>15106063.078860458</v>
      </c>
      <c r="X30">
        <v>16681008.612253785</v>
      </c>
      <c r="Y30">
        <v>18361728.869215671</v>
      </c>
      <c r="Z30">
        <v>17301306.814904716</v>
      </c>
      <c r="AA30">
        <v>19879244.581100125</v>
      </c>
      <c r="AB30">
        <v>18788506.971555907</v>
      </c>
      <c r="AC30">
        <v>18130048.215413813</v>
      </c>
      <c r="AD30">
        <v>18361656.26622434</v>
      </c>
      <c r="AE30">
        <v>19129403.127052344</v>
      </c>
      <c r="AF30">
        <v>20031148.212385178</v>
      </c>
      <c r="AG30">
        <v>20127937.927520402</v>
      </c>
      <c r="AH30">
        <v>19962429.809974041</v>
      </c>
    </row>
    <row r="31" spans="2:34">
      <c r="E31" t="s">
        <v>91</v>
      </c>
      <c r="G31" t="s">
        <v>105</v>
      </c>
      <c r="J31" cm="1">
        <f t="array" ref="J31:AH31">_xlfn.ANCHORARRAY( J10) +_xlfn.ANCHORARRAY( J17) +_xlfn.ANCHORARRAY( J24)</f>
        <v>8992500</v>
      </c>
      <c r="K31">
        <v>1813500</v>
      </c>
      <c r="L31">
        <v>4305000</v>
      </c>
      <c r="M31">
        <v>4008000</v>
      </c>
      <c r="N31">
        <v>4587000</v>
      </c>
      <c r="O31">
        <v>6940500</v>
      </c>
      <c r="P31">
        <v>3514500</v>
      </c>
      <c r="Q31">
        <v>2028000</v>
      </c>
      <c r="R31">
        <v>3082500</v>
      </c>
      <c r="S31">
        <v>4947000</v>
      </c>
      <c r="T31">
        <v>6154500</v>
      </c>
      <c r="U31">
        <v>4197000</v>
      </c>
      <c r="V31">
        <v>3079500</v>
      </c>
      <c r="W31">
        <v>5611500</v>
      </c>
      <c r="X31">
        <v>6154500</v>
      </c>
      <c r="Y31">
        <v>2725500</v>
      </c>
      <c r="Z31">
        <v>7366500</v>
      </c>
      <c r="AA31">
        <v>3130500</v>
      </c>
      <c r="AB31">
        <v>3643500</v>
      </c>
      <c r="AC31">
        <v>4620000</v>
      </c>
      <c r="AD31">
        <v>5137500</v>
      </c>
      <c r="AE31">
        <v>5556000</v>
      </c>
      <c r="AF31">
        <v>4767000</v>
      </c>
      <c r="AG31">
        <v>4087500</v>
      </c>
      <c r="AH31">
        <v>6069000</v>
      </c>
    </row>
    <row r="32" spans="2:34">
      <c r="E32" t="s">
        <v>2</v>
      </c>
      <c r="G32" t="s">
        <v>105</v>
      </c>
      <c r="J32" cm="1">
        <f t="array" ref="J32:AH32">_xlfn.ANCHORARRAY( J11) +_xlfn.ANCHORARRAY( J18) +_xlfn.ANCHORARRAY( J25)</f>
        <v>-2262650.625</v>
      </c>
      <c r="K32">
        <v>-1932965.296875</v>
      </c>
      <c r="L32">
        <v>-2316478.1519531254</v>
      </c>
      <c r="M32">
        <v>-3025304.053857422</v>
      </c>
      <c r="N32">
        <v>-3134562.3659816897</v>
      </c>
      <c r="O32">
        <v>-3865176.924076044</v>
      </c>
      <c r="P32">
        <v>-3607143.5523170396</v>
      </c>
      <c r="Q32">
        <v>-3075228.9554487439</v>
      </c>
      <c r="R32">
        <v>-3168569.4852456152</v>
      </c>
      <c r="S32">
        <v>-3810673.9878739063</v>
      </c>
      <c r="T32">
        <v>-4225202.7590154512</v>
      </c>
      <c r="U32">
        <v>-4273189.4944324195</v>
      </c>
      <c r="V32">
        <v>-3846291.2690630881</v>
      </c>
      <c r="W32">
        <v>-4036554.4666066715</v>
      </c>
      <c r="X32">
        <v>-4473779.7430381123</v>
      </c>
      <c r="Y32">
        <v>-3785922.054310956</v>
      </c>
      <c r="Z32">
        <v>-4788562.233804591</v>
      </c>
      <c r="AA32">
        <v>-4221237.6095442213</v>
      </c>
      <c r="AB32">
        <v>-4301958.7561420929</v>
      </c>
      <c r="AC32">
        <v>-4388391.9491894729</v>
      </c>
      <c r="AD32">
        <v>-4369753.1391719971</v>
      </c>
      <c r="AE32">
        <v>-4654254.9146671668</v>
      </c>
      <c r="AF32">
        <v>-4670210.2848647749</v>
      </c>
      <c r="AG32">
        <v>-4253008.1175463628</v>
      </c>
      <c r="AH32">
        <v>-4514195.6378061231</v>
      </c>
    </row>
    <row r="33" spans="2:34">
      <c r="E33" s="141" t="s">
        <v>114</v>
      </c>
      <c r="F33" s="141"/>
      <c r="G33" s="141" t="s">
        <v>105</v>
      </c>
      <c r="H33" s="141"/>
      <c r="I33" s="141"/>
      <c r="J33" s="141" cm="1">
        <f t="array" ref="J33:AH33">_xlfn.BYCOL(_xlfn.ANCHORARRAY( J30) +_xlfn.ANCHORARRAY( J31) +_xlfn.ANCHORARRAY( J32), _xleta.SUM )</f>
        <v>6729849.375</v>
      </c>
      <c r="K33" s="141">
        <v>6610384.078125</v>
      </c>
      <c r="L33" s="141">
        <v>8598905.9261718746</v>
      </c>
      <c r="M33" s="141">
        <v>9581601.8723144531</v>
      </c>
      <c r="N33" s="141">
        <v>11034039.506332763</v>
      </c>
      <c r="O33" s="141">
        <v>14109362.582256719</v>
      </c>
      <c r="P33" s="141">
        <v>14016719.029939679</v>
      </c>
      <c r="Q33" s="141">
        <v>12969490.074490935</v>
      </c>
      <c r="R33" s="141">
        <v>12883420.589245321</v>
      </c>
      <c r="S33" s="141">
        <v>14019746.601371417</v>
      </c>
      <c r="T33" s="141">
        <v>15949043.842355963</v>
      </c>
      <c r="U33" s="141">
        <v>15872854.347923543</v>
      </c>
      <c r="V33" s="141">
        <v>15106063.078860458</v>
      </c>
      <c r="W33" s="141">
        <v>16681008.612253787</v>
      </c>
      <c r="X33" s="141">
        <v>18361728.869215675</v>
      </c>
      <c r="Y33" s="141">
        <v>17301306.814904716</v>
      </c>
      <c r="Z33" s="141">
        <v>19879244.581100125</v>
      </c>
      <c r="AA33" s="141">
        <v>18788506.971555904</v>
      </c>
      <c r="AB33" s="141">
        <v>18130048.215413816</v>
      </c>
      <c r="AC33" s="141">
        <v>18361656.26622434</v>
      </c>
      <c r="AD33" s="141">
        <v>19129403.127052344</v>
      </c>
      <c r="AE33" s="141">
        <v>20031148.212385178</v>
      </c>
      <c r="AF33" s="141">
        <v>20127937.927520402</v>
      </c>
      <c r="AG33" s="141">
        <v>19962429.809974037</v>
      </c>
      <c r="AH33" s="141">
        <v>21517234.17216792</v>
      </c>
    </row>
    <row r="35" spans="2:34" s="131" customFormat="1">
      <c r="B35" s="132" t="s">
        <v>115</v>
      </c>
    </row>
    <row r="37" spans="2:34">
      <c r="E37" t="s">
        <v>2</v>
      </c>
      <c r="G37" t="s">
        <v>105</v>
      </c>
      <c r="J37" cm="1">
        <f t="array" ref="J37:AH37">_xlfn.ANCHORARRAY( J32) * -1</f>
        <v>2262650.625</v>
      </c>
      <c r="K37">
        <v>1932965.296875</v>
      </c>
      <c r="L37">
        <v>2316478.1519531254</v>
      </c>
      <c r="M37">
        <v>3025304.053857422</v>
      </c>
      <c r="N37">
        <v>3134562.3659816897</v>
      </c>
      <c r="O37">
        <v>3865176.924076044</v>
      </c>
      <c r="P37">
        <v>3607143.5523170396</v>
      </c>
      <c r="Q37">
        <v>3075228.9554487439</v>
      </c>
      <c r="R37">
        <v>3168569.4852456152</v>
      </c>
      <c r="S37">
        <v>3810673.9878739063</v>
      </c>
      <c r="T37">
        <v>4225202.7590154512</v>
      </c>
      <c r="U37">
        <v>4273189.4944324195</v>
      </c>
      <c r="V37">
        <v>3846291.2690630881</v>
      </c>
      <c r="W37">
        <v>4036554.4666066715</v>
      </c>
      <c r="X37">
        <v>4473779.7430381123</v>
      </c>
      <c r="Y37">
        <v>3785922.054310956</v>
      </c>
      <c r="Z37">
        <v>4788562.233804591</v>
      </c>
      <c r="AA37">
        <v>4221237.6095442213</v>
      </c>
      <c r="AB37">
        <v>4301958.7561420929</v>
      </c>
      <c r="AC37">
        <v>4388391.9491894729</v>
      </c>
      <c r="AD37">
        <v>4369753.1391719971</v>
      </c>
      <c r="AE37">
        <v>4654254.9146671668</v>
      </c>
      <c r="AF37">
        <v>4670210.2848647749</v>
      </c>
      <c r="AG37">
        <v>4253008.1175463628</v>
      </c>
      <c r="AH37">
        <v>4514195.6378061231</v>
      </c>
    </row>
    <row r="38" spans="2:34">
      <c r="E38" s="141" t="s">
        <v>115</v>
      </c>
      <c r="F38" s="141"/>
      <c r="G38" s="141" t="s">
        <v>105</v>
      </c>
      <c r="H38" s="141"/>
      <c r="I38" s="141"/>
      <c r="J38" s="141" cm="1">
        <f t="array" ref="J38:AH38" xml:space="preserve"> _xlfn.LET(
     _xlpm.tax_rate,           CaseData!$G$8,
     _xlpm.depreciation,_xlfn.ANCHORARRAY(       Answers!$J$37),
     _xlpm.depreciation * _xlpm.tax_rate )</f>
        <v>565662.65625</v>
      </c>
      <c r="K38" s="141">
        <v>483241.32421875</v>
      </c>
      <c r="L38" s="141">
        <v>579119.53798828134</v>
      </c>
      <c r="M38" s="141">
        <v>756326.01346435549</v>
      </c>
      <c r="N38" s="141">
        <v>783640.59149542241</v>
      </c>
      <c r="O38" s="141">
        <v>966294.231019011</v>
      </c>
      <c r="P38" s="141">
        <v>901785.88807925989</v>
      </c>
      <c r="Q38" s="141">
        <v>768807.23886218597</v>
      </c>
      <c r="R38" s="141">
        <v>792142.37131140381</v>
      </c>
      <c r="S38" s="141">
        <v>952668.49696847657</v>
      </c>
      <c r="T38" s="141">
        <v>1056300.6897538628</v>
      </c>
      <c r="U38" s="141">
        <v>1068297.3736081049</v>
      </c>
      <c r="V38" s="141">
        <v>961572.81726577203</v>
      </c>
      <c r="W38" s="141">
        <v>1009138.6166516679</v>
      </c>
      <c r="X38" s="141">
        <v>1118444.9357595281</v>
      </c>
      <c r="Y38" s="141">
        <v>946480.51357773901</v>
      </c>
      <c r="Z38" s="141">
        <v>1197140.5584511478</v>
      </c>
      <c r="AA38" s="141">
        <v>1055309.4023860553</v>
      </c>
      <c r="AB38" s="141">
        <v>1075489.6890355232</v>
      </c>
      <c r="AC38" s="141">
        <v>1097097.9872973682</v>
      </c>
      <c r="AD38" s="141">
        <v>1092438.2847929993</v>
      </c>
      <c r="AE38" s="141">
        <v>1163563.7286667917</v>
      </c>
      <c r="AF38" s="141">
        <v>1167552.5712161937</v>
      </c>
      <c r="AG38" s="141">
        <v>1063252.0293865907</v>
      </c>
      <c r="AH38" s="141">
        <v>1128548.9094515308</v>
      </c>
    </row>
    <row r="40" spans="2:34">
      <c r="E40" t="s">
        <v>63</v>
      </c>
      <c r="G40" t="s">
        <v>105</v>
      </c>
      <c r="H40">
        <f xml:space="preserve"> _xlfn.LET(
      _xlpm.discount_rate, CaseData!$G$9,
      _xlpm.tax_deduction,_xlfn.ANCHORARRAY( Answers!J38),
      NPV( _xlpm.discount_rate, _xlpm.tax_deduction ) )</f>
        <v>7549234.7261684444</v>
      </c>
    </row>
    <row r="41" spans="2:34">
      <c r="E41" t="s">
        <v>64</v>
      </c>
      <c r="G41" t="s">
        <v>105</v>
      </c>
      <c r="H41">
        <f xml:space="preserve"> _xlfn.LET(
      _xlpm.discount_rate, CaseData!$G$9,
      _xlpm.tax_deduction,_xlfn.ANCHORARRAY( Answers!J38),
      XNPV( _xlpm.discount_rate, _xlpm.tax_deduction,_xlfn.ANCHORARRAY( J3) ) )</f>
        <v>8299633.4760418283</v>
      </c>
    </row>
    <row r="43" spans="2:34">
      <c r="J43" s="135" t="s">
        <v>63</v>
      </c>
      <c r="K43" s="135" t="s">
        <v>64</v>
      </c>
    </row>
    <row r="44" spans="2:34">
      <c r="H44" s="145" t="s">
        <v>26</v>
      </c>
      <c r="J44" s="143">
        <f xml:space="preserve"> _xlfn.LET(
      _xlpm.discount_rate, CaseData!$G$9,
      _xlpm.tax_deduction,_xlfn.ANCHORARRAY( Answers!J38),
      NPV( _xlpm.discount_rate, _xlpm.tax_deduction ) )</f>
        <v>7549234.7261684444</v>
      </c>
      <c r="K44" s="143">
        <f>H41</f>
        <v>8299633.4760418283</v>
      </c>
    </row>
    <row r="45" spans="2:34">
      <c r="H45" s="144" t="str" cm="1">
        <f t="array" ref="H45:H48">ListDepMethods1</f>
        <v>Declining Balance</v>
      </c>
      <c r="I45">
        <v>1</v>
      </c>
      <c r="J45">
        <f t="dataTable" ref="J45:K48" dt2D="0" dtr="0" r1="F5"/>
        <v>7549234.7261684444</v>
      </c>
      <c r="K45">
        <v>8299633.4760418283</v>
      </c>
    </row>
    <row r="46" spans="2:34">
      <c r="H46" s="144" t="str">
        <v>Straight Line</v>
      </c>
      <c r="I46">
        <v>2</v>
      </c>
      <c r="J46">
        <v>6602901.0089119906</v>
      </c>
      <c r="K46">
        <v>7258752.698994644</v>
      </c>
    </row>
    <row r="47" spans="2:34">
      <c r="H47" s="144" t="str">
        <v>Units of Production</v>
      </c>
      <c r="I47">
        <v>3</v>
      </c>
      <c r="J47">
        <v>7445363.951282315</v>
      </c>
      <c r="K47">
        <v>8185326.4869133998</v>
      </c>
    </row>
    <row r="48" spans="2:34">
      <c r="H48" s="144" t="str">
        <v>Sum of Years Digits</v>
      </c>
      <c r="I48">
        <v>4</v>
      </c>
      <c r="J48">
        <v>7602001.9038272016</v>
      </c>
      <c r="K48">
        <v>8357542.8589203106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paperSize="9" scale="85" orientation="landscape" horizontalDpi="300" verticalDpi="300" r:id="rId1"/>
  <headerFooter>
    <oddFooter>&amp;LFinancial Modeling Institute
CFM October 2026&amp;CPage &amp;P of &amp;N&amp;R&amp;D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Drop Down 1">
              <controlPr defaultSize="0" autoLine="0" autoPict="0">
                <anchor moveWithCells="1">
                  <from>
                    <xdr:col>5</xdr:col>
                    <xdr:colOff>0</xdr:colOff>
                    <xdr:row>3</xdr:row>
                    <xdr:rowOff>144780</xdr:rowOff>
                  </from>
                  <to>
                    <xdr:col>6</xdr:col>
                    <xdr:colOff>495300</xdr:colOff>
                    <xdr:row>4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6F8AC-50D0-4840-8D8C-9DE0013C729A}">
  <dimension ref="A1:AH390"/>
  <sheetViews>
    <sheetView tabSelected="1" zoomScale="85" zoomScaleNormal="85" workbookViewId="0">
      <pane xSplit="9" ySplit="3" topLeftCell="J360" activePane="bottomRight" state="frozen"/>
      <selection pane="topRight" activeCell="J1" sqref="J1"/>
      <selection pane="bottomLeft" activeCell="A4" sqref="A4"/>
      <selection pane="bottomRight" activeCell="J365" sqref="J365"/>
    </sheetView>
  </sheetViews>
  <sheetFormatPr defaultRowHeight="13.8"/>
  <cols>
    <col min="1" max="1" width="1.59765625" customWidth="1"/>
    <col min="2" max="4" width="1.5" customWidth="1"/>
    <col min="5" max="5" width="33.3984375" customWidth="1"/>
    <col min="6" max="8" width="12.59765625" customWidth="1"/>
    <col min="9" max="9" width="1.5" customWidth="1"/>
    <col min="10" max="34" width="10.59765625" customWidth="1"/>
  </cols>
  <sheetData>
    <row r="1" spans="1:34" s="129" customFormat="1">
      <c r="A1" s="129" t="str">
        <f>company</f>
        <v>Mineral to Rock</v>
      </c>
    </row>
    <row r="2" spans="1:34" s="129" customFormat="1">
      <c r="A2" s="129" t="str" cm="1">
        <f t="array" ref="A2">topic</f>
        <v>CFM Topic: CAPEX and depreciation</v>
      </c>
    </row>
    <row r="3" spans="1:34" s="129" customFormat="1">
      <c r="A3" s="129" t="s">
        <v>90</v>
      </c>
      <c r="J3" s="130" cm="1">
        <f t="array" ref="J3:AH3" xml:space="preserve"> EOMONTH( start_date, _xlfn.SEQUENCE( 1, periods, 0, 12 ) )</f>
        <v>44592</v>
      </c>
      <c r="K3" s="130">
        <v>44957</v>
      </c>
      <c r="L3" s="130">
        <v>45322</v>
      </c>
      <c r="M3" s="130">
        <v>45688</v>
      </c>
      <c r="N3" s="130">
        <v>46053</v>
      </c>
      <c r="O3" s="130">
        <v>46418</v>
      </c>
      <c r="P3" s="130">
        <v>46783</v>
      </c>
      <c r="Q3" s="130">
        <v>47149</v>
      </c>
      <c r="R3" s="130">
        <v>47514</v>
      </c>
      <c r="S3" s="130">
        <v>47879</v>
      </c>
      <c r="T3" s="130">
        <v>48244</v>
      </c>
      <c r="U3" s="130">
        <v>48610</v>
      </c>
      <c r="V3" s="130">
        <v>48975</v>
      </c>
      <c r="W3" s="130">
        <v>49340</v>
      </c>
      <c r="X3" s="130">
        <v>49705</v>
      </c>
      <c r="Y3" s="130">
        <v>50071</v>
      </c>
      <c r="Z3" s="130">
        <v>50436</v>
      </c>
      <c r="AA3" s="130">
        <v>50801</v>
      </c>
      <c r="AB3" s="130">
        <v>51166</v>
      </c>
      <c r="AC3" s="130">
        <v>51532</v>
      </c>
      <c r="AD3" s="130">
        <v>51897</v>
      </c>
      <c r="AE3" s="130">
        <v>52262</v>
      </c>
      <c r="AF3" s="130">
        <v>52627</v>
      </c>
      <c r="AG3" s="130">
        <v>52993</v>
      </c>
      <c r="AH3" s="130">
        <v>53358</v>
      </c>
    </row>
    <row r="5" spans="1:34" s="131" customFormat="1">
      <c r="B5" s="132" t="s">
        <v>91</v>
      </c>
      <c r="J5" s="132"/>
    </row>
    <row r="7" spans="1:34">
      <c r="D7" s="136" t="s">
        <v>92</v>
      </c>
      <c r="F7" s="135"/>
      <c r="G7" s="135"/>
      <c r="H7" s="135"/>
      <c r="K7" s="136" t="s">
        <v>93</v>
      </c>
      <c r="L7" s="134"/>
      <c r="M7" s="134"/>
    </row>
    <row r="8" spans="1:34">
      <c r="E8" t="str" cm="1">
        <f t="array" ref="E8:H33">_xlfn.PIVOTBY( YEAR( CaseData!$D$138:$D$437 ), CaseData!$F$138:$F$437, CaseData!$E$138:$E$437, _xleta.SUM,,0,,0 )</f>
        <v/>
      </c>
      <c r="F8" s="134" t="str">
        <v>Long Term</v>
      </c>
      <c r="G8" s="134" t="str">
        <v>Medium Term</v>
      </c>
      <c r="H8" s="134" t="str">
        <v>Short Term</v>
      </c>
      <c r="J8" s="133"/>
      <c r="K8" s="134" t="str" cm="1">
        <f t="array" ref="K8:N33">_xlfn.LET(
     _xlpm.capex,         _xlfn.DROP( _xlfn.CHOOSECOLS(_xlfn.ANCHORARRAY(E8), {2,3,4} ), 1 ),
     _xlpm.years,         _xlfn.DROP( INDEX(_xlfn.ANCHORARRAY( E8),, 1 ), 1 ),
     _xlpm.residual_rate, CaseData!$G$11,
     IFERROR( _xlfn.VSTACK( _xlfn.HSTACK("", "Long Term", "Medium Term", "Short Term" ), _xlfn.HSTACK( _xlpm.years, _xlpm.capex * _xlpm.residual_rate ) ), 0 ) )</f>
        <v/>
      </c>
      <c r="L8" s="134" t="str">
        <v>Long Term</v>
      </c>
      <c r="M8" s="134" t="str">
        <v>Medium Term</v>
      </c>
      <c r="N8" s="134" t="str">
        <v>Short Term</v>
      </c>
    </row>
    <row r="9" spans="1:34">
      <c r="E9" s="133">
        <v>2022</v>
      </c>
      <c r="F9">
        <v>3393000</v>
      </c>
      <c r="G9">
        <v>2875500</v>
      </c>
      <c r="H9">
        <v>2724000</v>
      </c>
      <c r="J9" s="133"/>
      <c r="K9" s="133">
        <v>2022</v>
      </c>
      <c r="L9">
        <v>169650</v>
      </c>
      <c r="M9">
        <v>143775</v>
      </c>
      <c r="N9">
        <v>136200</v>
      </c>
    </row>
    <row r="10" spans="1:34">
      <c r="E10" s="133">
        <v>2023</v>
      </c>
      <c r="F10">
        <v>672000</v>
      </c>
      <c r="G10">
        <v>835500</v>
      </c>
      <c r="H10">
        <v>306000</v>
      </c>
      <c r="J10" s="133"/>
      <c r="K10" s="133">
        <v>2023</v>
      </c>
      <c r="L10">
        <v>33600</v>
      </c>
      <c r="M10">
        <v>41775</v>
      </c>
      <c r="N10">
        <v>15300</v>
      </c>
    </row>
    <row r="11" spans="1:34">
      <c r="E11" s="133">
        <v>2024</v>
      </c>
      <c r="F11">
        <v>2329500</v>
      </c>
      <c r="G11">
        <v>1041000</v>
      </c>
      <c r="H11">
        <v>934500</v>
      </c>
      <c r="J11" s="133"/>
      <c r="K11" s="133">
        <v>2024</v>
      </c>
      <c r="L11">
        <v>116475</v>
      </c>
      <c r="M11">
        <v>52050</v>
      </c>
      <c r="N11">
        <v>46725</v>
      </c>
    </row>
    <row r="12" spans="1:34">
      <c r="E12" s="133">
        <v>2025</v>
      </c>
      <c r="F12">
        <v>567000</v>
      </c>
      <c r="G12">
        <v>906000</v>
      </c>
      <c r="H12">
        <v>2535000</v>
      </c>
      <c r="J12" s="133"/>
      <c r="K12" s="133">
        <v>2025</v>
      </c>
      <c r="L12">
        <v>28350</v>
      </c>
      <c r="M12">
        <v>45300</v>
      </c>
      <c r="N12">
        <v>126750</v>
      </c>
    </row>
    <row r="13" spans="1:34">
      <c r="E13" s="133">
        <v>2026</v>
      </c>
      <c r="F13">
        <v>2409000</v>
      </c>
      <c r="G13">
        <v>904500</v>
      </c>
      <c r="H13">
        <v>1273500</v>
      </c>
      <c r="J13" s="133"/>
      <c r="K13" s="133">
        <v>2026</v>
      </c>
      <c r="L13">
        <v>120450</v>
      </c>
      <c r="M13">
        <v>45225</v>
      </c>
      <c r="N13">
        <v>63675</v>
      </c>
    </row>
    <row r="14" spans="1:34">
      <c r="E14" s="133">
        <v>2027</v>
      </c>
      <c r="F14">
        <v>2518500</v>
      </c>
      <c r="G14">
        <v>2680500</v>
      </c>
      <c r="H14">
        <v>1741500</v>
      </c>
      <c r="J14" s="133"/>
      <c r="K14" s="133">
        <v>2027</v>
      </c>
      <c r="L14">
        <v>125925</v>
      </c>
      <c r="M14">
        <v>134025</v>
      </c>
      <c r="N14">
        <v>87075</v>
      </c>
    </row>
    <row r="15" spans="1:34">
      <c r="E15" s="133">
        <v>2028</v>
      </c>
      <c r="F15">
        <v>2092500</v>
      </c>
      <c r="G15">
        <v>202500</v>
      </c>
      <c r="H15">
        <v>1219500</v>
      </c>
      <c r="J15" s="133"/>
      <c r="K15" s="133">
        <v>2028</v>
      </c>
      <c r="L15">
        <v>104625</v>
      </c>
      <c r="M15">
        <v>10125</v>
      </c>
      <c r="N15">
        <v>60975</v>
      </c>
    </row>
    <row r="16" spans="1:34">
      <c r="E16" s="133">
        <v>2029</v>
      </c>
      <c r="F16">
        <v>127500</v>
      </c>
      <c r="G16">
        <v>1611000</v>
      </c>
      <c r="H16">
        <v>289500</v>
      </c>
      <c r="J16" s="133"/>
      <c r="K16" s="133">
        <v>2029</v>
      </c>
      <c r="L16">
        <v>6375</v>
      </c>
      <c r="M16">
        <v>80550</v>
      </c>
      <c r="N16">
        <v>14475</v>
      </c>
    </row>
    <row r="17" spans="5:14">
      <c r="E17" s="133">
        <v>2030</v>
      </c>
      <c r="F17" t="str">
        <v/>
      </c>
      <c r="G17">
        <v>1972500</v>
      </c>
      <c r="H17">
        <v>1110000</v>
      </c>
      <c r="J17" s="133"/>
      <c r="K17" s="133">
        <v>2030</v>
      </c>
      <c r="L17">
        <v>0</v>
      </c>
      <c r="M17">
        <v>98625</v>
      </c>
      <c r="N17">
        <v>55500</v>
      </c>
    </row>
    <row r="18" spans="5:14">
      <c r="E18" s="133">
        <v>2031</v>
      </c>
      <c r="F18">
        <v>856500</v>
      </c>
      <c r="G18">
        <v>1746000</v>
      </c>
      <c r="H18">
        <v>2344500</v>
      </c>
      <c r="J18" s="133"/>
      <c r="K18" s="133">
        <v>2031</v>
      </c>
      <c r="L18">
        <v>42825</v>
      </c>
      <c r="M18">
        <v>87300</v>
      </c>
      <c r="N18">
        <v>117225</v>
      </c>
    </row>
    <row r="19" spans="5:14">
      <c r="E19" s="133">
        <v>2032</v>
      </c>
      <c r="F19">
        <v>1249500</v>
      </c>
      <c r="G19">
        <v>3414000</v>
      </c>
      <c r="H19">
        <v>1491000</v>
      </c>
      <c r="J19" s="133"/>
      <c r="K19" s="133">
        <v>2032</v>
      </c>
      <c r="L19">
        <v>62475</v>
      </c>
      <c r="M19">
        <v>170700</v>
      </c>
      <c r="N19">
        <v>74550</v>
      </c>
    </row>
    <row r="20" spans="5:14">
      <c r="E20" s="133">
        <v>2033</v>
      </c>
      <c r="F20">
        <v>1446000</v>
      </c>
      <c r="G20">
        <v>580500</v>
      </c>
      <c r="H20">
        <v>2170500</v>
      </c>
      <c r="J20" s="133"/>
      <c r="K20" s="133">
        <v>2033</v>
      </c>
      <c r="L20">
        <v>72300</v>
      </c>
      <c r="M20">
        <v>29025</v>
      </c>
      <c r="N20">
        <v>108525</v>
      </c>
    </row>
    <row r="21" spans="5:14">
      <c r="E21" s="133">
        <v>2034</v>
      </c>
      <c r="F21">
        <v>585000</v>
      </c>
      <c r="G21">
        <v>1408500</v>
      </c>
      <c r="H21">
        <v>1086000</v>
      </c>
      <c r="J21" s="133"/>
      <c r="K21" s="133">
        <v>2034</v>
      </c>
      <c r="L21">
        <v>29250</v>
      </c>
      <c r="M21">
        <v>70425</v>
      </c>
      <c r="N21">
        <v>54300</v>
      </c>
    </row>
    <row r="22" spans="5:14">
      <c r="E22" s="133">
        <v>2035</v>
      </c>
      <c r="F22">
        <v>2676000</v>
      </c>
      <c r="G22">
        <v>1557000</v>
      </c>
      <c r="H22">
        <v>1378500</v>
      </c>
      <c r="J22" s="133"/>
      <c r="K22" s="133">
        <v>2035</v>
      </c>
      <c r="L22">
        <v>133800</v>
      </c>
      <c r="M22">
        <v>77850</v>
      </c>
      <c r="N22">
        <v>68925</v>
      </c>
    </row>
    <row r="23" spans="5:14">
      <c r="E23" s="133">
        <v>2036</v>
      </c>
      <c r="F23">
        <v>1798500</v>
      </c>
      <c r="G23">
        <v>2593500</v>
      </c>
      <c r="H23">
        <v>1762500</v>
      </c>
      <c r="J23" s="133"/>
      <c r="K23" s="133">
        <v>2036</v>
      </c>
      <c r="L23">
        <v>89925</v>
      </c>
      <c r="M23">
        <v>129675</v>
      </c>
      <c r="N23">
        <v>88125</v>
      </c>
    </row>
    <row r="24" spans="5:14">
      <c r="E24" s="133">
        <v>2037</v>
      </c>
      <c r="F24">
        <v>1858500</v>
      </c>
      <c r="G24">
        <v>342000</v>
      </c>
      <c r="H24">
        <v>525000</v>
      </c>
      <c r="J24" s="133"/>
      <c r="K24" s="133">
        <v>2037</v>
      </c>
      <c r="L24">
        <v>92925</v>
      </c>
      <c r="M24">
        <v>17100</v>
      </c>
      <c r="N24">
        <v>26250</v>
      </c>
    </row>
    <row r="25" spans="5:14">
      <c r="E25" s="133">
        <v>2038</v>
      </c>
      <c r="F25">
        <v>1566000</v>
      </c>
      <c r="G25">
        <v>3333000</v>
      </c>
      <c r="H25">
        <v>2467500</v>
      </c>
      <c r="J25" s="133"/>
      <c r="K25" s="133">
        <v>2038</v>
      </c>
      <c r="L25">
        <v>78300</v>
      </c>
      <c r="M25">
        <v>166650</v>
      </c>
      <c r="N25">
        <v>123375</v>
      </c>
    </row>
    <row r="26" spans="5:14">
      <c r="E26" s="133">
        <v>2039</v>
      </c>
      <c r="F26">
        <v>1518000</v>
      </c>
      <c r="G26">
        <v>610500</v>
      </c>
      <c r="H26">
        <v>1002000</v>
      </c>
      <c r="J26" s="133"/>
      <c r="K26" s="133">
        <v>2039</v>
      </c>
      <c r="L26">
        <v>75900</v>
      </c>
      <c r="M26">
        <v>30525</v>
      </c>
      <c r="N26">
        <v>50100</v>
      </c>
    </row>
    <row r="27" spans="5:14">
      <c r="E27" s="133">
        <v>2040</v>
      </c>
      <c r="F27">
        <v>496500</v>
      </c>
      <c r="G27">
        <v>891000</v>
      </c>
      <c r="H27">
        <v>2256000</v>
      </c>
      <c r="J27" s="133"/>
      <c r="K27" s="133">
        <v>2040</v>
      </c>
      <c r="L27">
        <v>24825</v>
      </c>
      <c r="M27">
        <v>44550</v>
      </c>
      <c r="N27">
        <v>112800</v>
      </c>
    </row>
    <row r="28" spans="5:14">
      <c r="E28" s="133">
        <v>2041</v>
      </c>
      <c r="F28">
        <v>577500</v>
      </c>
      <c r="G28">
        <v>2190000</v>
      </c>
      <c r="H28">
        <v>1852500</v>
      </c>
      <c r="J28" s="133"/>
      <c r="K28" s="133">
        <v>2041</v>
      </c>
      <c r="L28">
        <v>28875</v>
      </c>
      <c r="M28">
        <v>109500</v>
      </c>
      <c r="N28">
        <v>92625</v>
      </c>
    </row>
    <row r="29" spans="5:14">
      <c r="E29" s="133">
        <v>2042</v>
      </c>
      <c r="F29">
        <v>1747500</v>
      </c>
      <c r="G29">
        <v>1998000</v>
      </c>
      <c r="H29">
        <v>1392000</v>
      </c>
      <c r="J29" s="133"/>
      <c r="K29" s="133">
        <v>2042</v>
      </c>
      <c r="L29">
        <v>87375</v>
      </c>
      <c r="M29">
        <v>99900</v>
      </c>
      <c r="N29">
        <v>69600</v>
      </c>
    </row>
    <row r="30" spans="5:14">
      <c r="E30" s="133">
        <v>2043</v>
      </c>
      <c r="F30">
        <v>1449000</v>
      </c>
      <c r="G30">
        <v>2052000</v>
      </c>
      <c r="H30">
        <v>2055000</v>
      </c>
      <c r="J30" s="133"/>
      <c r="K30" s="133">
        <v>2043</v>
      </c>
      <c r="L30">
        <v>72450</v>
      </c>
      <c r="M30">
        <v>102600</v>
      </c>
      <c r="N30">
        <v>102750</v>
      </c>
    </row>
    <row r="31" spans="5:14">
      <c r="E31" s="133">
        <v>2044</v>
      </c>
      <c r="F31">
        <v>712500</v>
      </c>
      <c r="G31">
        <v>2227500</v>
      </c>
      <c r="H31">
        <v>1827000</v>
      </c>
      <c r="J31" s="133"/>
      <c r="K31" s="133">
        <v>2044</v>
      </c>
      <c r="L31">
        <v>35625</v>
      </c>
      <c r="M31">
        <v>111375</v>
      </c>
      <c r="N31">
        <v>91350</v>
      </c>
    </row>
    <row r="32" spans="5:14">
      <c r="E32" s="133">
        <v>2045</v>
      </c>
      <c r="F32">
        <v>1861500</v>
      </c>
      <c r="G32">
        <v>1312500</v>
      </c>
      <c r="H32">
        <v>913500</v>
      </c>
      <c r="J32" s="133"/>
      <c r="K32" s="133">
        <v>2045</v>
      </c>
      <c r="L32">
        <v>93075</v>
      </c>
      <c r="M32">
        <v>65625</v>
      </c>
      <c r="N32">
        <v>45675</v>
      </c>
    </row>
    <row r="33" spans="2:34">
      <c r="E33" s="133">
        <v>2046</v>
      </c>
      <c r="F33">
        <v>2253000</v>
      </c>
      <c r="G33">
        <v>2460000</v>
      </c>
      <c r="H33">
        <v>1356000</v>
      </c>
      <c r="K33" s="133">
        <v>2046</v>
      </c>
      <c r="L33">
        <v>112650</v>
      </c>
      <c r="M33">
        <v>123000</v>
      </c>
      <c r="N33">
        <v>67800</v>
      </c>
    </row>
    <row r="36" spans="2:34" s="131" customFormat="1">
      <c r="B36" s="132" t="s">
        <v>94</v>
      </c>
    </row>
    <row r="38" spans="2:34">
      <c r="C38" s="136" t="s">
        <v>95</v>
      </c>
    </row>
    <row r="39" spans="2:34">
      <c r="F39" t="s">
        <v>96</v>
      </c>
      <c r="G39" t="s">
        <v>97</v>
      </c>
      <c r="J39" s="139" cm="1">
        <f t="array" ref="J39:AH39">_xlfn.ANCHORARRAY(J3)</f>
        <v>44592</v>
      </c>
      <c r="K39" s="139">
        <v>44957</v>
      </c>
      <c r="L39" s="139">
        <v>45322</v>
      </c>
      <c r="M39" s="139">
        <v>45688</v>
      </c>
      <c r="N39" s="139">
        <v>46053</v>
      </c>
      <c r="O39" s="139">
        <v>46418</v>
      </c>
      <c r="P39" s="139">
        <v>46783</v>
      </c>
      <c r="Q39" s="139">
        <v>47149</v>
      </c>
      <c r="R39" s="139">
        <v>47514</v>
      </c>
      <c r="S39" s="139">
        <v>47879</v>
      </c>
      <c r="T39" s="139">
        <v>48244</v>
      </c>
      <c r="U39" s="139">
        <v>48610</v>
      </c>
      <c r="V39" s="139">
        <v>48975</v>
      </c>
      <c r="W39" s="139">
        <v>49340</v>
      </c>
      <c r="X39" s="139">
        <v>49705</v>
      </c>
      <c r="Y39" s="139">
        <v>50071</v>
      </c>
      <c r="Z39" s="139">
        <v>50436</v>
      </c>
      <c r="AA39" s="139">
        <v>50801</v>
      </c>
      <c r="AB39" s="139">
        <v>51166</v>
      </c>
      <c r="AC39" s="139">
        <v>51532</v>
      </c>
      <c r="AD39" s="139">
        <v>51897</v>
      </c>
      <c r="AE39" s="139">
        <v>52262</v>
      </c>
      <c r="AF39" s="139">
        <v>52627</v>
      </c>
      <c r="AG39" s="139">
        <v>52993</v>
      </c>
      <c r="AH39" s="139">
        <v>53358</v>
      </c>
    </row>
    <row r="40" spans="2:34">
      <c r="F40" s="133" cm="1">
        <f t="array" ref="F40:G64" xml:space="preserve"> _xlfn.LET(
      _xlpm.date,      INDEX(_xlfn.ANCHORARRAY( $E$8),, 1 ),
      _xlpm.asset,     INDEX(_xlfn.ANCHORARRAY( $E$8),, 2 ),
      _xlfn.DROP( _xlfn.HSTACK( _xlpm.date, _xlpm.asset ), 1 ) )</f>
        <v>2022</v>
      </c>
      <c r="G40">
        <v>3393000</v>
      </c>
      <c r="H40" cm="1">
        <f t="array" ref="H40:H64">_xlfn.BYROW(_xlfn.ANCHORARRAY( J40), _xleta.SUM )</f>
        <v>3167915.4396128841</v>
      </c>
      <c r="J40" s="140" cm="1">
        <f t="array" ref="J40:AH64" xml:space="preserve"> _xlfn.LET(
      _xlpm.acquisition_date,    INDEX(_xlfn.ANCHORARRAY( $F40),,1 ),
      _xlpm.acquisition_cost,    INDEX(_xlfn.ANCHORARRAY( $F40),,2 ),
      _xlpm.current_date,_xlfn.ANCHORARRAY(        J3),
      _xlpm.salvage_value,       CaseData!$G$11,
      _xlpm.depreciable_amount,  _xlpm.acquisition_cost * ( 1 - _xlpm.salvage_value ),
      _xlpm.depreciation_rate,   CaseData!$I$32,
      _xlpm.period,              YEAR( _xlpm.current_date ) - _xlpm.acquisition_date,
      _xlpm.book_value,          _xlpm.depreciable_amount * ( 1 - _xlpm.depreciation_rate ) ^ _xlpm.period,
      _xlpm.depreciation,        _xlpm.depreciation_rate * _xlpm.book_value,
      IFERROR(
        IF( _xlpm.period &lt; 0, 0,
          IF( _xlpm.period &gt;= 0, _xlpm.depreciation, 0 ) ), 0 ) )</f>
        <v>483502.5</v>
      </c>
      <c r="K40">
        <v>410977.125</v>
      </c>
      <c r="L40">
        <v>349330.55624999991</v>
      </c>
      <c r="M40">
        <v>296930.97281249997</v>
      </c>
      <c r="N40">
        <v>252391.32689062491</v>
      </c>
      <c r="O40">
        <v>214532.62785703121</v>
      </c>
      <c r="P40">
        <v>182352.73367847651</v>
      </c>
      <c r="Q40">
        <v>154999.82362670501</v>
      </c>
      <c r="R40">
        <v>131749.85008269927</v>
      </c>
      <c r="S40">
        <v>111987.37257029436</v>
      </c>
      <c r="T40">
        <v>95189.266684750197</v>
      </c>
      <c r="U40">
        <v>80910.876682037677</v>
      </c>
      <c r="V40">
        <v>68774.245179732025</v>
      </c>
      <c r="W40">
        <v>58458.108402772217</v>
      </c>
      <c r="X40">
        <v>49689.392142356381</v>
      </c>
      <c r="Y40">
        <v>42235.98332100291</v>
      </c>
      <c r="Z40">
        <v>35900.585822852488</v>
      </c>
      <c r="AA40">
        <v>30515.497949424611</v>
      </c>
      <c r="AB40">
        <v>25938.17325701092</v>
      </c>
      <c r="AC40">
        <v>22047.44726845928</v>
      </c>
      <c r="AD40">
        <v>18740.330178190387</v>
      </c>
      <c r="AE40">
        <v>15929.280651461828</v>
      </c>
      <c r="AF40">
        <v>13539.888553742552</v>
      </c>
      <c r="AG40">
        <v>11508.905270681167</v>
      </c>
      <c r="AH40">
        <v>9782.5694800789934</v>
      </c>
    </row>
    <row r="41" spans="2:34">
      <c r="F41" s="133">
        <v>2023</v>
      </c>
      <c r="G41">
        <v>672000</v>
      </c>
      <c r="H41">
        <v>625483.43316511787</v>
      </c>
      <c r="J41">
        <v>0</v>
      </c>
      <c r="K41">
        <v>95760</v>
      </c>
      <c r="L41">
        <v>81396</v>
      </c>
      <c r="M41">
        <v>69186.599999999991</v>
      </c>
      <c r="N41">
        <v>58808.609999999993</v>
      </c>
      <c r="O41">
        <v>49987.318499999987</v>
      </c>
      <c r="P41">
        <v>42489.220724999985</v>
      </c>
      <c r="Q41">
        <v>36115.837616249992</v>
      </c>
      <c r="R41">
        <v>30698.461973812489</v>
      </c>
      <c r="S41">
        <v>26093.692677740615</v>
      </c>
      <c r="T41">
        <v>22179.638776079522</v>
      </c>
      <c r="U41">
        <v>18852.692959667591</v>
      </c>
      <c r="V41">
        <v>16024.789015717452</v>
      </c>
      <c r="W41">
        <v>13621.070663359833</v>
      </c>
      <c r="X41">
        <v>11577.910063855859</v>
      </c>
      <c r="Y41">
        <v>9841.2235542774797</v>
      </c>
      <c r="Z41">
        <v>8365.0400211358556</v>
      </c>
      <c r="AA41">
        <v>7110.2840179654786</v>
      </c>
      <c r="AB41">
        <v>6043.741415270656</v>
      </c>
      <c r="AC41">
        <v>5137.1802029800583</v>
      </c>
      <c r="AD41">
        <v>4366.6031725330495</v>
      </c>
      <c r="AE41">
        <v>3711.6126966530915</v>
      </c>
      <c r="AF41">
        <v>3154.8707921551277</v>
      </c>
      <c r="AG41">
        <v>2681.6401733318585</v>
      </c>
      <c r="AH41">
        <v>2279.3941473320792</v>
      </c>
    </row>
    <row r="42" spans="2:34">
      <c r="F42" s="133">
        <v>2024</v>
      </c>
      <c r="G42">
        <v>2329500</v>
      </c>
      <c r="H42">
        <v>2160347.9298987091</v>
      </c>
      <c r="J42">
        <v>0</v>
      </c>
      <c r="K42">
        <v>0</v>
      </c>
      <c r="L42">
        <v>331953.75</v>
      </c>
      <c r="M42">
        <v>282160.6875</v>
      </c>
      <c r="N42">
        <v>239836.58437499995</v>
      </c>
      <c r="O42">
        <v>203861.09671874999</v>
      </c>
      <c r="P42">
        <v>173281.93221093746</v>
      </c>
      <c r="Q42">
        <v>147289.64237929683</v>
      </c>
      <c r="R42">
        <v>125196.19602240231</v>
      </c>
      <c r="S42">
        <v>106416.76661904195</v>
      </c>
      <c r="T42">
        <v>90454.251626185665</v>
      </c>
      <c r="U42">
        <v>76886.113882257807</v>
      </c>
      <c r="V42">
        <v>65353.196799919126</v>
      </c>
      <c r="W42">
        <v>55550.217279931261</v>
      </c>
      <c r="X42">
        <v>47217.684687941568</v>
      </c>
      <c r="Y42">
        <v>40135.031984750334</v>
      </c>
      <c r="Z42">
        <v>34114.777187037776</v>
      </c>
      <c r="AA42">
        <v>28997.560608982109</v>
      </c>
      <c r="AB42">
        <v>24647.926517634794</v>
      </c>
      <c r="AC42">
        <v>20950.737539989575</v>
      </c>
      <c r="AD42">
        <v>17808.12690899114</v>
      </c>
      <c r="AE42">
        <v>15136.907872642467</v>
      </c>
      <c r="AF42">
        <v>12866.371691746097</v>
      </c>
      <c r="AG42">
        <v>10936.415937984182</v>
      </c>
      <c r="AH42">
        <v>9295.9535472865537</v>
      </c>
    </row>
    <row r="43" spans="2:34">
      <c r="F43" s="133">
        <v>2025</v>
      </c>
      <c r="G43">
        <v>567000</v>
      </c>
      <c r="H43">
        <v>523565.77402500808</v>
      </c>
      <c r="J43">
        <v>0</v>
      </c>
      <c r="K43">
        <v>0</v>
      </c>
      <c r="L43">
        <v>0</v>
      </c>
      <c r="M43">
        <v>80797.5</v>
      </c>
      <c r="N43">
        <v>68677.875</v>
      </c>
      <c r="O43">
        <v>58376.193749999991</v>
      </c>
      <c r="P43">
        <v>49619.764687499992</v>
      </c>
      <c r="Q43">
        <v>42176.799984374993</v>
      </c>
      <c r="R43">
        <v>35850.279986718735</v>
      </c>
      <c r="S43">
        <v>30472.737988710924</v>
      </c>
      <c r="T43">
        <v>25901.827290404286</v>
      </c>
      <c r="U43">
        <v>22016.553196843644</v>
      </c>
      <c r="V43">
        <v>18714.070217317094</v>
      </c>
      <c r="W43">
        <v>15906.95968471953</v>
      </c>
      <c r="X43">
        <v>13520.915732011601</v>
      </c>
      <c r="Y43">
        <v>11492.778372209859</v>
      </c>
      <c r="Z43">
        <v>9768.8616163783809</v>
      </c>
      <c r="AA43">
        <v>8303.5323739216237</v>
      </c>
      <c r="AB43">
        <v>7058.0025178333781</v>
      </c>
      <c r="AC43">
        <v>5999.3021401583728</v>
      </c>
      <c r="AD43">
        <v>5099.4068191346169</v>
      </c>
      <c r="AE43">
        <v>4334.4957962644239</v>
      </c>
      <c r="AF43">
        <v>3684.3214268247602</v>
      </c>
      <c r="AG43">
        <v>3131.6732128010458</v>
      </c>
      <c r="AH43">
        <v>2661.9222308808889</v>
      </c>
    </row>
    <row r="44" spans="2:34">
      <c r="F44" s="133">
        <v>2026</v>
      </c>
      <c r="G44">
        <v>2409000</v>
      </c>
      <c r="H44">
        <v>2213152.3438660544</v>
      </c>
      <c r="J44">
        <v>0</v>
      </c>
      <c r="K44">
        <v>0</v>
      </c>
      <c r="L44">
        <v>0</v>
      </c>
      <c r="M44">
        <v>0</v>
      </c>
      <c r="N44">
        <v>343282.5</v>
      </c>
      <c r="O44">
        <v>291790.125</v>
      </c>
      <c r="P44">
        <v>248021.60624999995</v>
      </c>
      <c r="Q44">
        <v>210818.36531249995</v>
      </c>
      <c r="R44">
        <v>179195.61051562495</v>
      </c>
      <c r="S44">
        <v>152316.26893828122</v>
      </c>
      <c r="T44">
        <v>129468.82859753902</v>
      </c>
      <c r="U44">
        <v>110048.50430790815</v>
      </c>
      <c r="V44">
        <v>93541.228661721936</v>
      </c>
      <c r="W44">
        <v>79510.044362463639</v>
      </c>
      <c r="X44">
        <v>67583.537708094082</v>
      </c>
      <c r="Y44">
        <v>57446.007051879969</v>
      </c>
      <c r="Z44">
        <v>48829.105994097983</v>
      </c>
      <c r="AA44">
        <v>41504.740094983281</v>
      </c>
      <c r="AB44">
        <v>35279.029080735781</v>
      </c>
      <c r="AC44">
        <v>29987.174718625411</v>
      </c>
      <c r="AD44">
        <v>25489.098510831605</v>
      </c>
      <c r="AE44">
        <v>21665.73373420686</v>
      </c>
      <c r="AF44">
        <v>18415.873674075832</v>
      </c>
      <c r="AG44">
        <v>15653.492622964457</v>
      </c>
      <c r="AH44">
        <v>13305.468729519789</v>
      </c>
    </row>
    <row r="45" spans="2:34">
      <c r="F45" s="133">
        <v>2027</v>
      </c>
      <c r="G45">
        <v>2518500</v>
      </c>
      <c r="H45">
        <v>2299839.9149154671</v>
      </c>
      <c r="J45">
        <v>0</v>
      </c>
      <c r="K45">
        <v>0</v>
      </c>
      <c r="L45">
        <v>0</v>
      </c>
      <c r="M45">
        <v>0</v>
      </c>
      <c r="N45">
        <v>0</v>
      </c>
      <c r="O45">
        <v>358886.25</v>
      </c>
      <c r="P45">
        <v>305053.3125</v>
      </c>
      <c r="Q45">
        <v>259295.31562499996</v>
      </c>
      <c r="R45">
        <v>220401.01828124994</v>
      </c>
      <c r="S45">
        <v>187340.86553906245</v>
      </c>
      <c r="T45">
        <v>159239.73570820308</v>
      </c>
      <c r="U45">
        <v>135353.77535197261</v>
      </c>
      <c r="V45">
        <v>115050.70904917672</v>
      </c>
      <c r="W45">
        <v>97793.102691800217</v>
      </c>
      <c r="X45">
        <v>83124.137288030164</v>
      </c>
      <c r="Y45">
        <v>70655.516694825637</v>
      </c>
      <c r="Z45">
        <v>60057.189190601799</v>
      </c>
      <c r="AA45">
        <v>51048.610812011524</v>
      </c>
      <c r="AB45">
        <v>43391.31919020979</v>
      </c>
      <c r="AC45">
        <v>36882.621311678318</v>
      </c>
      <c r="AD45">
        <v>31350.228114926569</v>
      </c>
      <c r="AE45">
        <v>26647.693897687586</v>
      </c>
      <c r="AF45">
        <v>22650.539813034447</v>
      </c>
      <c r="AG45">
        <v>19252.958841079282</v>
      </c>
      <c r="AH45">
        <v>16365.015014917386</v>
      </c>
    </row>
    <row r="46" spans="2:34">
      <c r="F46" s="133">
        <v>2028</v>
      </c>
      <c r="G46">
        <v>2092500</v>
      </c>
      <c r="H46">
        <v>1897228.9966416126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298181.25</v>
      </c>
      <c r="Q46">
        <v>253454.0625</v>
      </c>
      <c r="R46">
        <v>215435.95312499997</v>
      </c>
      <c r="S46">
        <v>183120.56015624997</v>
      </c>
      <c r="T46">
        <v>155652.47613281244</v>
      </c>
      <c r="U46">
        <v>132304.60471289058</v>
      </c>
      <c r="V46">
        <v>112458.91400595699</v>
      </c>
      <c r="W46">
        <v>95590.076905063426</v>
      </c>
      <c r="X46">
        <v>81251.56536930392</v>
      </c>
      <c r="Y46">
        <v>69063.830563908341</v>
      </c>
      <c r="Z46">
        <v>58704.255979322079</v>
      </c>
      <c r="AA46">
        <v>49898.617582423765</v>
      </c>
      <c r="AB46">
        <v>42413.824945060202</v>
      </c>
      <c r="AC46">
        <v>36051.751203301166</v>
      </c>
      <c r="AD46">
        <v>30643.98852280599</v>
      </c>
      <c r="AE46">
        <v>26047.390244385086</v>
      </c>
      <c r="AF46">
        <v>22140.281707727328</v>
      </c>
      <c r="AG46">
        <v>18819.239451568228</v>
      </c>
      <c r="AH46">
        <v>15996.353533832993</v>
      </c>
    </row>
    <row r="47" spans="2:34">
      <c r="F47" s="133">
        <v>2029</v>
      </c>
      <c r="G47">
        <v>127500</v>
      </c>
      <c r="H47">
        <v>114627.07861230201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18168.75</v>
      </c>
      <c r="R47">
        <v>15443.4375</v>
      </c>
      <c r="S47">
        <v>13126.921874999998</v>
      </c>
      <c r="T47">
        <v>11157.883593749997</v>
      </c>
      <c r="U47">
        <v>9484.2010546874972</v>
      </c>
      <c r="V47">
        <v>8061.5708964843725</v>
      </c>
      <c r="W47">
        <v>6852.3352620117166</v>
      </c>
      <c r="X47">
        <v>5824.4849727099581</v>
      </c>
      <c r="Y47">
        <v>4950.8122268034649</v>
      </c>
      <c r="Z47">
        <v>4208.1903927829444</v>
      </c>
      <c r="AA47">
        <v>3576.9618338655032</v>
      </c>
      <c r="AB47">
        <v>3040.4175587856776</v>
      </c>
      <c r="AC47">
        <v>2584.3549249678258</v>
      </c>
      <c r="AD47">
        <v>2196.7016862226519</v>
      </c>
      <c r="AE47">
        <v>1867.1964332892539</v>
      </c>
      <c r="AF47">
        <v>1587.1169682958655</v>
      </c>
      <c r="AG47">
        <v>1349.0494230514857</v>
      </c>
      <c r="AH47">
        <v>1146.692009593763</v>
      </c>
    </row>
    <row r="48" spans="2:34" s="137" customFormat="1">
      <c r="F48" s="138">
        <v>2030</v>
      </c>
      <c r="G48" s="137" t="str">
        <v/>
      </c>
      <c r="H48" s="137">
        <v>0</v>
      </c>
      <c r="J48" s="137">
        <v>0</v>
      </c>
      <c r="K48" s="137">
        <v>0</v>
      </c>
      <c r="L48" s="137">
        <v>0</v>
      </c>
      <c r="M48" s="137">
        <v>0</v>
      </c>
      <c r="N48" s="137">
        <v>0</v>
      </c>
      <c r="O48" s="137">
        <v>0</v>
      </c>
      <c r="P48" s="137">
        <v>0</v>
      </c>
      <c r="Q48" s="137">
        <v>0</v>
      </c>
      <c r="R48" s="137">
        <v>0</v>
      </c>
      <c r="S48" s="137">
        <v>0</v>
      </c>
      <c r="T48" s="137">
        <v>0</v>
      </c>
      <c r="U48" s="137">
        <v>0</v>
      </c>
      <c r="V48" s="137">
        <v>0</v>
      </c>
      <c r="W48" s="137">
        <v>0</v>
      </c>
      <c r="X48" s="137">
        <v>0</v>
      </c>
      <c r="Y48" s="137">
        <v>0</v>
      </c>
      <c r="Z48" s="137">
        <v>0</v>
      </c>
      <c r="AA48" s="137">
        <v>0</v>
      </c>
      <c r="AB48" s="137">
        <v>0</v>
      </c>
      <c r="AC48" s="137">
        <v>0</v>
      </c>
      <c r="AD48" s="137">
        <v>0</v>
      </c>
      <c r="AE48" s="137">
        <v>0</v>
      </c>
      <c r="AF48" s="137">
        <v>0</v>
      </c>
      <c r="AG48" s="137">
        <v>0</v>
      </c>
      <c r="AH48" s="137">
        <v>0</v>
      </c>
    </row>
    <row r="49" spans="6:34">
      <c r="F49" s="133">
        <v>2031</v>
      </c>
      <c r="G49">
        <v>856500</v>
      </c>
      <c r="H49">
        <v>753258.74740687048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122051.25</v>
      </c>
      <c r="T49">
        <v>103743.5625</v>
      </c>
      <c r="U49">
        <v>88182.028124999983</v>
      </c>
      <c r="V49">
        <v>74954.723906249987</v>
      </c>
      <c r="W49">
        <v>63711.515320312479</v>
      </c>
      <c r="X49">
        <v>54154.788022265617</v>
      </c>
      <c r="Y49">
        <v>46031.569818925767</v>
      </c>
      <c r="Z49">
        <v>39126.834346086893</v>
      </c>
      <c r="AA49">
        <v>33257.809194173868</v>
      </c>
      <c r="AB49">
        <v>28269.137815047787</v>
      </c>
      <c r="AC49">
        <v>24028.767142790613</v>
      </c>
      <c r="AD49">
        <v>20424.452071372023</v>
      </c>
      <c r="AE49">
        <v>17360.784260666216</v>
      </c>
      <c r="AF49">
        <v>14756.666621566284</v>
      </c>
      <c r="AG49">
        <v>12543.166628331341</v>
      </c>
      <c r="AH49">
        <v>10661.691634081637</v>
      </c>
    </row>
    <row r="50" spans="6:34">
      <c r="F50" s="133">
        <v>2032</v>
      </c>
      <c r="G50">
        <v>1249500</v>
      </c>
      <c r="H50">
        <v>1083333.3580713363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178053.75</v>
      </c>
      <c r="U50">
        <v>151345.6875</v>
      </c>
      <c r="V50">
        <v>128643.83437499998</v>
      </c>
      <c r="W50">
        <v>109347.25921874998</v>
      </c>
      <c r="X50">
        <v>92945.170335937481</v>
      </c>
      <c r="Y50">
        <v>79003.394785546843</v>
      </c>
      <c r="Z50">
        <v>67152.885567714809</v>
      </c>
      <c r="AA50">
        <v>57079.952732557598</v>
      </c>
      <c r="AB50">
        <v>48517.959822673954</v>
      </c>
      <c r="AC50">
        <v>41240.265849272866</v>
      </c>
      <c r="AD50">
        <v>35054.225971881933</v>
      </c>
      <c r="AE50">
        <v>29796.092076099638</v>
      </c>
      <c r="AF50">
        <v>25326.678264684691</v>
      </c>
      <c r="AG50">
        <v>21527.676524981984</v>
      </c>
      <c r="AH50">
        <v>18298.525046234688</v>
      </c>
    </row>
    <row r="51" spans="6:34">
      <c r="F51" s="133">
        <v>2033</v>
      </c>
      <c r="G51">
        <v>1446000</v>
      </c>
      <c r="H51">
        <v>1232525.3049654241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206055</v>
      </c>
      <c r="V51">
        <v>175146.75</v>
      </c>
      <c r="W51">
        <v>148874.73749999999</v>
      </c>
      <c r="X51">
        <v>126543.52687499997</v>
      </c>
      <c r="Y51">
        <v>107561.99784374998</v>
      </c>
      <c r="Z51">
        <v>91427.698167187467</v>
      </c>
      <c r="AA51">
        <v>77713.543442109352</v>
      </c>
      <c r="AB51">
        <v>66056.511925792933</v>
      </c>
      <c r="AC51">
        <v>56148.035136924002</v>
      </c>
      <c r="AD51">
        <v>47725.8298663854</v>
      </c>
      <c r="AE51">
        <v>40566.955386427588</v>
      </c>
      <c r="AF51">
        <v>34481.912078463451</v>
      </c>
      <c r="AG51">
        <v>29309.625266693929</v>
      </c>
      <c r="AH51">
        <v>24913.181476689842</v>
      </c>
    </row>
    <row r="52" spans="6:34">
      <c r="F52" s="133">
        <v>2034</v>
      </c>
      <c r="G52">
        <v>585000</v>
      </c>
      <c r="H52">
        <v>488556.77195083647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83362.5</v>
      </c>
      <c r="W52">
        <v>70858.125</v>
      </c>
      <c r="X52">
        <v>60229.406249999985</v>
      </c>
      <c r="Y52">
        <v>51194.995312499988</v>
      </c>
      <c r="Z52">
        <v>43515.746015624994</v>
      </c>
      <c r="AA52">
        <v>36988.384113281238</v>
      </c>
      <c r="AB52">
        <v>31440.126496289049</v>
      </c>
      <c r="AC52">
        <v>26724.10752184569</v>
      </c>
      <c r="AD52">
        <v>22715.491393568838</v>
      </c>
      <c r="AE52">
        <v>19308.167684533513</v>
      </c>
      <c r="AF52">
        <v>16411.942531853485</v>
      </c>
      <c r="AG52">
        <v>13950.151152075463</v>
      </c>
      <c r="AH52">
        <v>11857.628479264142</v>
      </c>
    </row>
    <row r="53" spans="6:34">
      <c r="F53" s="133">
        <v>2035</v>
      </c>
      <c r="G53">
        <v>2676000</v>
      </c>
      <c r="H53">
        <v>2180593.0050084228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381330</v>
      </c>
      <c r="X53">
        <v>324130.5</v>
      </c>
      <c r="Y53">
        <v>275510.92499999993</v>
      </c>
      <c r="Z53">
        <v>234184.28624999995</v>
      </c>
      <c r="AA53">
        <v>199056.64331249997</v>
      </c>
      <c r="AB53">
        <v>169198.14681562496</v>
      </c>
      <c r="AC53">
        <v>143818.42479328121</v>
      </c>
      <c r="AD53">
        <v>122245.661074289</v>
      </c>
      <c r="AE53">
        <v>103908.81191314566</v>
      </c>
      <c r="AF53">
        <v>88322.490126173812</v>
      </c>
      <c r="AG53">
        <v>75074.116607247735</v>
      </c>
      <c r="AH53">
        <v>63812.999116160572</v>
      </c>
    </row>
    <row r="54" spans="6:34">
      <c r="F54" s="133">
        <v>2036</v>
      </c>
      <c r="G54">
        <v>1798500</v>
      </c>
      <c r="H54">
        <v>1422656.5174130166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256286.25</v>
      </c>
      <c r="Y54">
        <v>217843.3125</v>
      </c>
      <c r="Z54">
        <v>185166.81562499996</v>
      </c>
      <c r="AA54">
        <v>157391.79328124999</v>
      </c>
      <c r="AB54">
        <v>133783.02428906245</v>
      </c>
      <c r="AC54">
        <v>113715.57064570309</v>
      </c>
      <c r="AD54">
        <v>96658.235048847622</v>
      </c>
      <c r="AE54">
        <v>82159.499791520459</v>
      </c>
      <c r="AF54">
        <v>69835.574822792405</v>
      </c>
      <c r="AG54">
        <v>59360.238599373537</v>
      </c>
      <c r="AH54">
        <v>50456.202809467504</v>
      </c>
    </row>
    <row r="55" spans="6:34">
      <c r="F55" s="133">
        <v>2037</v>
      </c>
      <c r="G55">
        <v>1858500</v>
      </c>
      <c r="H55">
        <v>1417978.4735561281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264836.25</v>
      </c>
      <c r="Z55">
        <v>225110.8125</v>
      </c>
      <c r="AA55">
        <v>191344.19062499996</v>
      </c>
      <c r="AB55">
        <v>162642.56203124998</v>
      </c>
      <c r="AC55">
        <v>138246.17772656248</v>
      </c>
      <c r="AD55">
        <v>117509.25106757808</v>
      </c>
      <c r="AE55">
        <v>99882.863407441371</v>
      </c>
      <c r="AF55">
        <v>84900.433896325165</v>
      </c>
      <c r="AG55">
        <v>72165.368811876397</v>
      </c>
      <c r="AH55">
        <v>61340.563490094923</v>
      </c>
    </row>
    <row r="56" spans="6:34">
      <c r="F56" s="133">
        <v>2038</v>
      </c>
      <c r="G56">
        <v>1566000</v>
      </c>
      <c r="H56">
        <v>1143123.4690144784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223155</v>
      </c>
      <c r="AA56">
        <v>189681.75</v>
      </c>
      <c r="AB56">
        <v>161229.48749999996</v>
      </c>
      <c r="AC56">
        <v>137045.06437499996</v>
      </c>
      <c r="AD56">
        <v>116488.30471874998</v>
      </c>
      <c r="AE56">
        <v>99015.059010937475</v>
      </c>
      <c r="AF56">
        <v>84162.80015929685</v>
      </c>
      <c r="AG56">
        <v>71538.380135402302</v>
      </c>
      <c r="AH56">
        <v>60807.62311509197</v>
      </c>
    </row>
    <row r="57" spans="6:34">
      <c r="F57" s="133">
        <v>2039</v>
      </c>
      <c r="G57">
        <v>1518000</v>
      </c>
      <c r="H57">
        <v>1049141.4138411677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216315</v>
      </c>
      <c r="AB57">
        <v>183867.75</v>
      </c>
      <c r="AC57">
        <v>156287.58749999997</v>
      </c>
      <c r="AD57">
        <v>132844.44937499997</v>
      </c>
      <c r="AE57">
        <v>112917.78196874999</v>
      </c>
      <c r="AF57">
        <v>95980.114673437478</v>
      </c>
      <c r="AG57">
        <v>81583.097472421839</v>
      </c>
      <c r="AH57">
        <v>69345.632851558563</v>
      </c>
    </row>
    <row r="58" spans="6:34">
      <c r="F58" s="133">
        <v>2040</v>
      </c>
      <c r="G58">
        <v>496500</v>
      </c>
      <c r="H58">
        <v>320466.80188494141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70751.25</v>
      </c>
      <c r="AC58">
        <v>60138.5625</v>
      </c>
      <c r="AD58">
        <v>51117.77812499999</v>
      </c>
      <c r="AE58">
        <v>43450.111406249998</v>
      </c>
      <c r="AF58">
        <v>36932.594695312488</v>
      </c>
      <c r="AG58">
        <v>31392.705491015615</v>
      </c>
      <c r="AH58">
        <v>26683.799667363273</v>
      </c>
    </row>
    <row r="59" spans="6:34">
      <c r="F59" s="133">
        <v>2041</v>
      </c>
      <c r="G59">
        <v>577500</v>
      </c>
      <c r="H59">
        <v>341711.34699023433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82293.75</v>
      </c>
      <c r="AD59">
        <v>69949.6875</v>
      </c>
      <c r="AE59">
        <v>59457.234374999985</v>
      </c>
      <c r="AF59">
        <v>50538.64921874999</v>
      </c>
      <c r="AG59">
        <v>42957.851835937487</v>
      </c>
      <c r="AH59">
        <v>36514.174060546866</v>
      </c>
    </row>
    <row r="60" spans="6:34">
      <c r="F60" s="133">
        <v>2042</v>
      </c>
      <c r="G60">
        <v>1747500</v>
      </c>
      <c r="H60">
        <v>923518.71808593755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249018.75</v>
      </c>
      <c r="AE60">
        <v>211665.9375</v>
      </c>
      <c r="AF60">
        <v>179916.04687499997</v>
      </c>
      <c r="AG60">
        <v>152928.63984374999</v>
      </c>
      <c r="AH60">
        <v>129989.34386718748</v>
      </c>
    </row>
    <row r="61" spans="6:34">
      <c r="F61" s="133">
        <v>2043</v>
      </c>
      <c r="G61">
        <v>1449000</v>
      </c>
      <c r="H61">
        <v>657982.29656249995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206482.5</v>
      </c>
      <c r="AF61">
        <v>175510.125</v>
      </c>
      <c r="AG61">
        <v>149183.60624999998</v>
      </c>
      <c r="AH61">
        <v>126806.06531249998</v>
      </c>
    </row>
    <row r="62" spans="6:34">
      <c r="F62" s="133">
        <v>2044</v>
      </c>
      <c r="G62">
        <v>712500</v>
      </c>
      <c r="H62">
        <v>261189.140625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101531.25</v>
      </c>
      <c r="AG62">
        <v>86301.5625</v>
      </c>
      <c r="AH62">
        <v>73356.328124999985</v>
      </c>
    </row>
    <row r="63" spans="6:34">
      <c r="F63" s="133">
        <v>2045</v>
      </c>
      <c r="G63">
        <v>1861500</v>
      </c>
      <c r="H63">
        <v>490737.9375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265263.75</v>
      </c>
      <c r="AH63">
        <v>225474.1875</v>
      </c>
    </row>
    <row r="64" spans="6:34">
      <c r="F64" s="133">
        <v>2046</v>
      </c>
      <c r="G64">
        <v>2253000</v>
      </c>
      <c r="H64">
        <v>321052.5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321052.5</v>
      </c>
    </row>
    <row r="65" spans="3:34">
      <c r="J65" s="141" cm="1">
        <f t="array" ref="J65:AH65">_xlfn.BYCOL(_xlfn.ANCHORARRAY( J40), _xleta.SUM )</f>
        <v>483502.5</v>
      </c>
      <c r="K65" s="141">
        <v>506737.125</v>
      </c>
      <c r="L65" s="141">
        <v>762680.30624999991</v>
      </c>
      <c r="M65" s="141">
        <v>729075.76031249994</v>
      </c>
      <c r="N65" s="141">
        <v>962996.89626562491</v>
      </c>
      <c r="O65" s="141">
        <v>1177433.6118257812</v>
      </c>
      <c r="P65" s="141">
        <v>1298999.8200519138</v>
      </c>
      <c r="Q65" s="141">
        <v>1122318.5970441266</v>
      </c>
      <c r="R65" s="141">
        <v>953970.8074875077</v>
      </c>
      <c r="S65" s="141">
        <v>932926.43636438157</v>
      </c>
      <c r="T65" s="141">
        <v>971041.22090972413</v>
      </c>
      <c r="U65" s="141">
        <v>1031440.0377732656</v>
      </c>
      <c r="V65" s="141">
        <v>960086.53210727568</v>
      </c>
      <c r="W65" s="141">
        <v>1197403.5522911842</v>
      </c>
      <c r="X65" s="141">
        <v>1274079.2694475064</v>
      </c>
      <c r="Y65" s="141">
        <v>1347803.6290303804</v>
      </c>
      <c r="Z65" s="141">
        <v>1368788.0846758233</v>
      </c>
      <c r="AA65" s="141">
        <v>1379784.8719744501</v>
      </c>
      <c r="AB65" s="141">
        <v>1243568.3911782824</v>
      </c>
      <c r="AC65" s="141">
        <v>1139326.8825015398</v>
      </c>
      <c r="AD65" s="141">
        <v>1217446.6001263089</v>
      </c>
      <c r="AE65" s="141">
        <v>1241312.1101073625</v>
      </c>
      <c r="AF65" s="141">
        <v>1156646.5435912581</v>
      </c>
      <c r="AG65" s="141">
        <v>1248413.3120525694</v>
      </c>
      <c r="AH65" s="141">
        <v>1382203.815244684</v>
      </c>
    </row>
    <row r="67" spans="3:34">
      <c r="C67" s="136" t="s">
        <v>98</v>
      </c>
    </row>
    <row r="68" spans="3:34">
      <c r="F68" t="s">
        <v>96</v>
      </c>
      <c r="G68" t="s">
        <v>97</v>
      </c>
      <c r="J68" s="139" cm="1">
        <f t="array" ref="J68:AH68">_xlfn.ANCHORARRAY(J3)</f>
        <v>44592</v>
      </c>
      <c r="K68" s="139">
        <v>44957</v>
      </c>
      <c r="L68" s="139">
        <v>45322</v>
      </c>
      <c r="M68" s="139">
        <v>45688</v>
      </c>
      <c r="N68" s="139">
        <v>46053</v>
      </c>
      <c r="O68" s="139">
        <v>46418</v>
      </c>
      <c r="P68" s="139">
        <v>46783</v>
      </c>
      <c r="Q68" s="139">
        <v>47149</v>
      </c>
      <c r="R68" s="139">
        <v>47514</v>
      </c>
      <c r="S68" s="139">
        <v>47879</v>
      </c>
      <c r="T68" s="139">
        <v>48244</v>
      </c>
      <c r="U68" s="139">
        <v>48610</v>
      </c>
      <c r="V68" s="139">
        <v>48975</v>
      </c>
      <c r="W68" s="139">
        <v>49340</v>
      </c>
      <c r="X68" s="139">
        <v>49705</v>
      </c>
      <c r="Y68" s="139">
        <v>50071</v>
      </c>
      <c r="Z68" s="139">
        <v>50436</v>
      </c>
      <c r="AA68" s="139">
        <v>50801</v>
      </c>
      <c r="AB68" s="139">
        <v>51166</v>
      </c>
      <c r="AC68" s="139">
        <v>51532</v>
      </c>
      <c r="AD68" s="139">
        <v>51897</v>
      </c>
      <c r="AE68" s="139">
        <v>52262</v>
      </c>
      <c r="AF68" s="139">
        <v>52627</v>
      </c>
      <c r="AG68" s="139">
        <v>52993</v>
      </c>
      <c r="AH68" s="139">
        <v>53358</v>
      </c>
    </row>
    <row r="69" spans="3:34">
      <c r="F69" s="133" cm="1">
        <f t="array" ref="F69:G93" xml:space="preserve"> _xlfn.LET(
      _xlpm.date,      INDEX(_xlfn.ANCHORARRAY( $E$8),, 1 ),
      _xlpm.asset,     INDEX(_xlfn.ANCHORARRAY( $E$8),, 2 ),
      _xlfn.DROP( _xlfn.HSTACK( _xlpm.date, _xlpm.asset ), 1 ) )</f>
        <v>2022</v>
      </c>
      <c r="G69">
        <v>3393000</v>
      </c>
      <c r="H69" cm="1">
        <f t="array" ref="H69:H93">_xlfn.BYROW(_xlfn.ANCHORARRAY( J69), _xleta.SUM )</f>
        <v>3223350</v>
      </c>
      <c r="J69" s="140" cm="1">
        <f t="array" ref="J69:AH93" xml:space="preserve"> _xlfn.LET(
      _xlpm.acquisition_date,    INDEX(_xlfn.ANCHORARRAY( $F69),,1 ),
      _xlpm.acquisition_cost,    INDEX(_xlfn.ANCHORARRAY( $F69),,2 ),
      _xlpm.current_date,_xlfn.ANCHORARRAY(        J3),
      _xlpm.salvage_value,       CaseData!$G$11,
      _xlpm.depreciable_amount,  _xlpm.acquisition_cost * ( 1 - _xlpm.salvage_value ),
      _xlpm.useful_life,         CaseData!$I$33,
      _xlpm.period,              YEAR( _xlpm.current_date ) - _xlpm.acquisition_date,
      _xlpm.depreciation,        _xlpm.depreciable_amount / _xlpm.useful_life,
      _xlpm.accumulated_depr,    _xlpm.depreciation * ( _xlpm.period ),
      _xlpm.book_value,          _xlpm.depreciable_amount - _xlpm.accumulated_depr,
      IFERROR(
        IF( _xlpm.period &lt; 0, 0,
          IF( _xlpm.period &lt; _xlpm.useful_life, _xlpm.depreciation, IF( _xlpm.book_value &gt; 0, _xlpm.book_value, 0 ) ) ), 0 ) )</f>
        <v>214890</v>
      </c>
      <c r="K69">
        <v>214890</v>
      </c>
      <c r="L69">
        <v>214890</v>
      </c>
      <c r="M69">
        <v>214890</v>
      </c>
      <c r="N69">
        <v>214890</v>
      </c>
      <c r="O69">
        <v>214890</v>
      </c>
      <c r="P69">
        <v>214890</v>
      </c>
      <c r="Q69">
        <v>214890</v>
      </c>
      <c r="R69">
        <v>214890</v>
      </c>
      <c r="S69">
        <v>214890</v>
      </c>
      <c r="T69">
        <v>214890</v>
      </c>
      <c r="U69">
        <v>214890</v>
      </c>
      <c r="V69">
        <v>214890</v>
      </c>
      <c r="W69">
        <v>214890</v>
      </c>
      <c r="X69">
        <v>214890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3:34">
      <c r="F70" s="133">
        <v>2023</v>
      </c>
      <c r="G70">
        <v>672000</v>
      </c>
      <c r="H70">
        <v>638400</v>
      </c>
      <c r="J70">
        <v>0</v>
      </c>
      <c r="K70">
        <v>42560</v>
      </c>
      <c r="L70">
        <v>42560</v>
      </c>
      <c r="M70">
        <v>42560</v>
      </c>
      <c r="N70">
        <v>42560</v>
      </c>
      <c r="O70">
        <v>42560</v>
      </c>
      <c r="P70">
        <v>42560</v>
      </c>
      <c r="Q70">
        <v>42560</v>
      </c>
      <c r="R70">
        <v>42560</v>
      </c>
      <c r="S70">
        <v>42560</v>
      </c>
      <c r="T70">
        <v>42560</v>
      </c>
      <c r="U70">
        <v>42560</v>
      </c>
      <c r="V70">
        <v>42560</v>
      </c>
      <c r="W70">
        <v>42560</v>
      </c>
      <c r="X70">
        <v>42560</v>
      </c>
      <c r="Y70">
        <v>42560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3:34">
      <c r="F71" s="133">
        <v>2024</v>
      </c>
      <c r="G71">
        <v>2329500</v>
      </c>
      <c r="H71">
        <v>2213025</v>
      </c>
      <c r="J71">
        <v>0</v>
      </c>
      <c r="K71">
        <v>0</v>
      </c>
      <c r="L71">
        <v>147535</v>
      </c>
      <c r="M71">
        <v>147535</v>
      </c>
      <c r="N71">
        <v>147535</v>
      </c>
      <c r="O71">
        <v>147535</v>
      </c>
      <c r="P71">
        <v>147535</v>
      </c>
      <c r="Q71">
        <v>147535</v>
      </c>
      <c r="R71">
        <v>147535</v>
      </c>
      <c r="S71">
        <v>147535</v>
      </c>
      <c r="T71">
        <v>147535</v>
      </c>
      <c r="U71">
        <v>147535</v>
      </c>
      <c r="V71">
        <v>147535</v>
      </c>
      <c r="W71">
        <v>147535</v>
      </c>
      <c r="X71">
        <v>147535</v>
      </c>
      <c r="Y71">
        <v>147535</v>
      </c>
      <c r="Z71">
        <v>147535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 spans="3:34">
      <c r="F72" s="133">
        <v>2025</v>
      </c>
      <c r="G72">
        <v>567000</v>
      </c>
      <c r="H72">
        <v>538650</v>
      </c>
      <c r="J72">
        <v>0</v>
      </c>
      <c r="K72">
        <v>0</v>
      </c>
      <c r="L72">
        <v>0</v>
      </c>
      <c r="M72">
        <v>35910</v>
      </c>
      <c r="N72">
        <v>35910</v>
      </c>
      <c r="O72">
        <v>35910</v>
      </c>
      <c r="P72">
        <v>35910</v>
      </c>
      <c r="Q72">
        <v>35910</v>
      </c>
      <c r="R72">
        <v>35910</v>
      </c>
      <c r="S72">
        <v>35910</v>
      </c>
      <c r="T72">
        <v>35910</v>
      </c>
      <c r="U72">
        <v>35910</v>
      </c>
      <c r="V72">
        <v>35910</v>
      </c>
      <c r="W72">
        <v>35910</v>
      </c>
      <c r="X72">
        <v>35910</v>
      </c>
      <c r="Y72">
        <v>35910</v>
      </c>
      <c r="Z72">
        <v>35910</v>
      </c>
      <c r="AA72">
        <v>35910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3:34">
      <c r="F73" s="133">
        <v>2026</v>
      </c>
      <c r="G73">
        <v>2409000</v>
      </c>
      <c r="H73">
        <v>2288550</v>
      </c>
      <c r="J73">
        <v>0</v>
      </c>
      <c r="K73">
        <v>0</v>
      </c>
      <c r="L73">
        <v>0</v>
      </c>
      <c r="M73">
        <v>0</v>
      </c>
      <c r="N73">
        <v>152570</v>
      </c>
      <c r="O73">
        <v>152570</v>
      </c>
      <c r="P73">
        <v>152570</v>
      </c>
      <c r="Q73">
        <v>152570</v>
      </c>
      <c r="R73">
        <v>152570</v>
      </c>
      <c r="S73">
        <v>152570</v>
      </c>
      <c r="T73">
        <v>152570</v>
      </c>
      <c r="U73">
        <v>152570</v>
      </c>
      <c r="V73">
        <v>152570</v>
      </c>
      <c r="W73">
        <v>152570</v>
      </c>
      <c r="X73">
        <v>152570</v>
      </c>
      <c r="Y73">
        <v>152570</v>
      </c>
      <c r="Z73">
        <v>152570</v>
      </c>
      <c r="AA73">
        <v>152570</v>
      </c>
      <c r="AB73">
        <v>152570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3:34">
      <c r="F74" s="133">
        <v>2027</v>
      </c>
      <c r="G74">
        <v>2518500</v>
      </c>
      <c r="H74">
        <v>2392575</v>
      </c>
      <c r="J74">
        <v>0</v>
      </c>
      <c r="K74">
        <v>0</v>
      </c>
      <c r="L74">
        <v>0</v>
      </c>
      <c r="M74">
        <v>0</v>
      </c>
      <c r="N74">
        <v>0</v>
      </c>
      <c r="O74">
        <v>159505</v>
      </c>
      <c r="P74">
        <v>159505</v>
      </c>
      <c r="Q74">
        <v>159505</v>
      </c>
      <c r="R74">
        <v>159505</v>
      </c>
      <c r="S74">
        <v>159505</v>
      </c>
      <c r="T74">
        <v>159505</v>
      </c>
      <c r="U74">
        <v>159505</v>
      </c>
      <c r="V74">
        <v>159505</v>
      </c>
      <c r="W74">
        <v>159505</v>
      </c>
      <c r="X74">
        <v>159505</v>
      </c>
      <c r="Y74">
        <v>159505</v>
      </c>
      <c r="Z74">
        <v>159505</v>
      </c>
      <c r="AA74">
        <v>159505</v>
      </c>
      <c r="AB74">
        <v>159505</v>
      </c>
      <c r="AC74">
        <v>159505</v>
      </c>
      <c r="AD74">
        <v>0</v>
      </c>
      <c r="AE74">
        <v>0</v>
      </c>
      <c r="AF74">
        <v>0</v>
      </c>
      <c r="AG74">
        <v>0</v>
      </c>
      <c r="AH74">
        <v>0</v>
      </c>
    </row>
    <row r="75" spans="3:34">
      <c r="F75" s="133">
        <v>2028</v>
      </c>
      <c r="G75">
        <v>2092500</v>
      </c>
      <c r="H75">
        <v>1987875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132525</v>
      </c>
      <c r="Q75">
        <v>132525</v>
      </c>
      <c r="R75">
        <v>132525</v>
      </c>
      <c r="S75">
        <v>132525</v>
      </c>
      <c r="T75">
        <v>132525</v>
      </c>
      <c r="U75">
        <v>132525</v>
      </c>
      <c r="V75">
        <v>132525</v>
      </c>
      <c r="W75">
        <v>132525</v>
      </c>
      <c r="X75">
        <v>132525</v>
      </c>
      <c r="Y75">
        <v>132525</v>
      </c>
      <c r="Z75">
        <v>132525</v>
      </c>
      <c r="AA75">
        <v>132525</v>
      </c>
      <c r="AB75">
        <v>132525</v>
      </c>
      <c r="AC75">
        <v>132525</v>
      </c>
      <c r="AD75">
        <v>132525</v>
      </c>
      <c r="AE75">
        <v>0</v>
      </c>
      <c r="AF75">
        <v>0</v>
      </c>
      <c r="AG75">
        <v>0</v>
      </c>
      <c r="AH75">
        <v>0</v>
      </c>
    </row>
    <row r="76" spans="3:34">
      <c r="F76" s="133">
        <v>2029</v>
      </c>
      <c r="G76">
        <v>127500</v>
      </c>
      <c r="H76">
        <v>121125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8075</v>
      </c>
      <c r="R76">
        <v>8075</v>
      </c>
      <c r="S76">
        <v>8075</v>
      </c>
      <c r="T76">
        <v>8075</v>
      </c>
      <c r="U76">
        <v>8075</v>
      </c>
      <c r="V76">
        <v>8075</v>
      </c>
      <c r="W76">
        <v>8075</v>
      </c>
      <c r="X76">
        <v>8075</v>
      </c>
      <c r="Y76">
        <v>8075</v>
      </c>
      <c r="Z76">
        <v>8075</v>
      </c>
      <c r="AA76">
        <v>8075</v>
      </c>
      <c r="AB76">
        <v>8075</v>
      </c>
      <c r="AC76">
        <v>8075</v>
      </c>
      <c r="AD76">
        <v>8075</v>
      </c>
      <c r="AE76">
        <v>8075</v>
      </c>
      <c r="AF76">
        <v>0</v>
      </c>
      <c r="AG76">
        <v>0</v>
      </c>
      <c r="AH76">
        <v>0</v>
      </c>
    </row>
    <row r="77" spans="3:34">
      <c r="F77" s="133">
        <v>2030</v>
      </c>
      <c r="G77" t="str">
        <v/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 spans="3:34">
      <c r="F78" s="133">
        <v>2031</v>
      </c>
      <c r="G78">
        <v>856500</v>
      </c>
      <c r="H78">
        <v>813675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54245</v>
      </c>
      <c r="T78">
        <v>54245</v>
      </c>
      <c r="U78">
        <v>54245</v>
      </c>
      <c r="V78">
        <v>54245</v>
      </c>
      <c r="W78">
        <v>54245</v>
      </c>
      <c r="X78">
        <v>54245</v>
      </c>
      <c r="Y78">
        <v>54245</v>
      </c>
      <c r="Z78">
        <v>54245</v>
      </c>
      <c r="AA78">
        <v>54245</v>
      </c>
      <c r="AB78">
        <v>54245</v>
      </c>
      <c r="AC78">
        <v>54245</v>
      </c>
      <c r="AD78">
        <v>54245</v>
      </c>
      <c r="AE78">
        <v>54245</v>
      </c>
      <c r="AF78">
        <v>54245</v>
      </c>
      <c r="AG78">
        <v>54245</v>
      </c>
      <c r="AH78">
        <v>0</v>
      </c>
    </row>
    <row r="79" spans="3:34">
      <c r="F79" s="133">
        <v>2032</v>
      </c>
      <c r="G79">
        <v>1249500</v>
      </c>
      <c r="H79">
        <v>1187025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79135</v>
      </c>
      <c r="U79">
        <v>79135</v>
      </c>
      <c r="V79">
        <v>79135</v>
      </c>
      <c r="W79">
        <v>79135</v>
      </c>
      <c r="X79">
        <v>79135</v>
      </c>
      <c r="Y79">
        <v>79135</v>
      </c>
      <c r="Z79">
        <v>79135</v>
      </c>
      <c r="AA79">
        <v>79135</v>
      </c>
      <c r="AB79">
        <v>79135</v>
      </c>
      <c r="AC79">
        <v>79135</v>
      </c>
      <c r="AD79">
        <v>79135</v>
      </c>
      <c r="AE79">
        <v>79135</v>
      </c>
      <c r="AF79">
        <v>79135</v>
      </c>
      <c r="AG79">
        <v>79135</v>
      </c>
      <c r="AH79">
        <v>79135</v>
      </c>
    </row>
    <row r="80" spans="3:34">
      <c r="F80" s="133">
        <v>2033</v>
      </c>
      <c r="G80">
        <v>1446000</v>
      </c>
      <c r="H80">
        <v>1282120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91580</v>
      </c>
      <c r="V80">
        <v>91580</v>
      </c>
      <c r="W80">
        <v>91580</v>
      </c>
      <c r="X80">
        <v>91580</v>
      </c>
      <c r="Y80">
        <v>91580</v>
      </c>
      <c r="Z80">
        <v>91580</v>
      </c>
      <c r="AA80">
        <v>91580</v>
      </c>
      <c r="AB80">
        <v>91580</v>
      </c>
      <c r="AC80">
        <v>91580</v>
      </c>
      <c r="AD80">
        <v>91580</v>
      </c>
      <c r="AE80">
        <v>91580</v>
      </c>
      <c r="AF80">
        <v>91580</v>
      </c>
      <c r="AG80">
        <v>91580</v>
      </c>
      <c r="AH80">
        <v>91580</v>
      </c>
    </row>
    <row r="81" spans="3:34">
      <c r="F81" s="133">
        <v>2034</v>
      </c>
      <c r="G81">
        <v>585000</v>
      </c>
      <c r="H81">
        <v>481650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37050</v>
      </c>
      <c r="W81">
        <v>37050</v>
      </c>
      <c r="X81">
        <v>37050</v>
      </c>
      <c r="Y81">
        <v>37050</v>
      </c>
      <c r="Z81">
        <v>37050</v>
      </c>
      <c r="AA81">
        <v>37050</v>
      </c>
      <c r="AB81">
        <v>37050</v>
      </c>
      <c r="AC81">
        <v>37050</v>
      </c>
      <c r="AD81">
        <v>37050</v>
      </c>
      <c r="AE81">
        <v>37050</v>
      </c>
      <c r="AF81">
        <v>37050</v>
      </c>
      <c r="AG81">
        <v>37050</v>
      </c>
      <c r="AH81">
        <v>37050</v>
      </c>
    </row>
    <row r="82" spans="3:34">
      <c r="F82" s="133">
        <v>2035</v>
      </c>
      <c r="G82">
        <v>2676000</v>
      </c>
      <c r="H82">
        <v>2033760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169480</v>
      </c>
      <c r="X82">
        <v>169480</v>
      </c>
      <c r="Y82">
        <v>169480</v>
      </c>
      <c r="Z82">
        <v>169480</v>
      </c>
      <c r="AA82">
        <v>169480</v>
      </c>
      <c r="AB82">
        <v>169480</v>
      </c>
      <c r="AC82">
        <v>169480</v>
      </c>
      <c r="AD82">
        <v>169480</v>
      </c>
      <c r="AE82">
        <v>169480</v>
      </c>
      <c r="AF82">
        <v>169480</v>
      </c>
      <c r="AG82">
        <v>169480</v>
      </c>
      <c r="AH82">
        <v>169480</v>
      </c>
    </row>
    <row r="83" spans="3:34">
      <c r="F83" s="133">
        <v>2036</v>
      </c>
      <c r="G83">
        <v>1798500</v>
      </c>
      <c r="H83">
        <v>1252955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113905</v>
      </c>
      <c r="Y83">
        <v>113905</v>
      </c>
      <c r="Z83">
        <v>113905</v>
      </c>
      <c r="AA83">
        <v>113905</v>
      </c>
      <c r="AB83">
        <v>113905</v>
      </c>
      <c r="AC83">
        <v>113905</v>
      </c>
      <c r="AD83">
        <v>113905</v>
      </c>
      <c r="AE83">
        <v>113905</v>
      </c>
      <c r="AF83">
        <v>113905</v>
      </c>
      <c r="AG83">
        <v>113905</v>
      </c>
      <c r="AH83">
        <v>113905</v>
      </c>
    </row>
    <row r="84" spans="3:34">
      <c r="F84" s="133">
        <v>2037</v>
      </c>
      <c r="G84">
        <v>1858500</v>
      </c>
      <c r="H84">
        <v>1177050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117705</v>
      </c>
      <c r="Z84">
        <v>117705</v>
      </c>
      <c r="AA84">
        <v>117705</v>
      </c>
      <c r="AB84">
        <v>117705</v>
      </c>
      <c r="AC84">
        <v>117705</v>
      </c>
      <c r="AD84">
        <v>117705</v>
      </c>
      <c r="AE84">
        <v>117705</v>
      </c>
      <c r="AF84">
        <v>117705</v>
      </c>
      <c r="AG84">
        <v>117705</v>
      </c>
      <c r="AH84">
        <v>117705</v>
      </c>
    </row>
    <row r="85" spans="3:34">
      <c r="F85" s="133">
        <v>2038</v>
      </c>
      <c r="G85">
        <v>1566000</v>
      </c>
      <c r="H85">
        <v>892620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99180</v>
      </c>
      <c r="AA85">
        <v>99180</v>
      </c>
      <c r="AB85">
        <v>99180</v>
      </c>
      <c r="AC85">
        <v>99180</v>
      </c>
      <c r="AD85">
        <v>99180</v>
      </c>
      <c r="AE85">
        <v>99180</v>
      </c>
      <c r="AF85">
        <v>99180</v>
      </c>
      <c r="AG85">
        <v>99180</v>
      </c>
      <c r="AH85">
        <v>99180</v>
      </c>
    </row>
    <row r="86" spans="3:34">
      <c r="F86" s="133">
        <v>2039</v>
      </c>
      <c r="G86">
        <v>1518000</v>
      </c>
      <c r="H86">
        <v>769120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96140</v>
      </c>
      <c r="AB86">
        <v>96140</v>
      </c>
      <c r="AC86">
        <v>96140</v>
      </c>
      <c r="AD86">
        <v>96140</v>
      </c>
      <c r="AE86">
        <v>96140</v>
      </c>
      <c r="AF86">
        <v>96140</v>
      </c>
      <c r="AG86">
        <v>96140</v>
      </c>
      <c r="AH86">
        <v>96140</v>
      </c>
    </row>
    <row r="87" spans="3:34">
      <c r="F87" s="133">
        <v>2040</v>
      </c>
      <c r="G87">
        <v>496500</v>
      </c>
      <c r="H87">
        <v>220115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31445</v>
      </c>
      <c r="AC87">
        <v>31445</v>
      </c>
      <c r="AD87">
        <v>31445</v>
      </c>
      <c r="AE87">
        <v>31445</v>
      </c>
      <c r="AF87">
        <v>31445</v>
      </c>
      <c r="AG87">
        <v>31445</v>
      </c>
      <c r="AH87">
        <v>31445</v>
      </c>
    </row>
    <row r="88" spans="3:34">
      <c r="F88" s="133">
        <v>2041</v>
      </c>
      <c r="G88">
        <v>577500</v>
      </c>
      <c r="H88">
        <v>219450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36575</v>
      </c>
      <c r="AD88">
        <v>36575</v>
      </c>
      <c r="AE88">
        <v>36575</v>
      </c>
      <c r="AF88">
        <v>36575</v>
      </c>
      <c r="AG88">
        <v>36575</v>
      </c>
      <c r="AH88">
        <v>36575</v>
      </c>
    </row>
    <row r="89" spans="3:34">
      <c r="F89" s="133">
        <v>2042</v>
      </c>
      <c r="G89">
        <v>1747500</v>
      </c>
      <c r="H89">
        <v>553375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110675</v>
      </c>
      <c r="AE89">
        <v>110675</v>
      </c>
      <c r="AF89">
        <v>110675</v>
      </c>
      <c r="AG89">
        <v>110675</v>
      </c>
      <c r="AH89">
        <v>110675</v>
      </c>
    </row>
    <row r="90" spans="3:34">
      <c r="F90" s="133">
        <v>2043</v>
      </c>
      <c r="G90">
        <v>1449000</v>
      </c>
      <c r="H90">
        <v>367080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91770</v>
      </c>
      <c r="AF90">
        <v>91770</v>
      </c>
      <c r="AG90">
        <v>91770</v>
      </c>
      <c r="AH90">
        <v>91770</v>
      </c>
    </row>
    <row r="91" spans="3:34">
      <c r="F91" s="133">
        <v>2044</v>
      </c>
      <c r="G91">
        <v>712500</v>
      </c>
      <c r="H91">
        <v>135375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45125</v>
      </c>
      <c r="AG91">
        <v>45125</v>
      </c>
      <c r="AH91">
        <v>45125</v>
      </c>
    </row>
    <row r="92" spans="3:34">
      <c r="F92" s="133">
        <v>2045</v>
      </c>
      <c r="G92">
        <v>1861500</v>
      </c>
      <c r="H92">
        <v>235790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117895</v>
      </c>
      <c r="AH92">
        <v>117895</v>
      </c>
    </row>
    <row r="93" spans="3:34">
      <c r="F93" s="133">
        <v>2046</v>
      </c>
      <c r="G93">
        <v>2253000</v>
      </c>
      <c r="H93">
        <v>142690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142690</v>
      </c>
    </row>
    <row r="94" spans="3:34">
      <c r="J94" s="141" cm="1">
        <f t="array" ref="J94:AH94">_xlfn.BYCOL(_xlfn.ANCHORARRAY( J69), _xleta.SUM )</f>
        <v>214890</v>
      </c>
      <c r="K94" s="141">
        <v>257450</v>
      </c>
      <c r="L94" s="141">
        <v>404985</v>
      </c>
      <c r="M94" s="141">
        <v>440895</v>
      </c>
      <c r="N94" s="141">
        <v>593465</v>
      </c>
      <c r="O94" s="141">
        <v>752970</v>
      </c>
      <c r="P94" s="141">
        <v>885495</v>
      </c>
      <c r="Q94" s="141">
        <v>893570</v>
      </c>
      <c r="R94" s="141">
        <v>893570</v>
      </c>
      <c r="S94" s="141">
        <v>947815</v>
      </c>
      <c r="T94" s="141">
        <v>1026950</v>
      </c>
      <c r="U94" s="141">
        <v>1118530</v>
      </c>
      <c r="V94" s="141">
        <v>1155580</v>
      </c>
      <c r="W94" s="141">
        <v>1325060</v>
      </c>
      <c r="X94" s="141">
        <v>1438965</v>
      </c>
      <c r="Y94" s="141">
        <v>1341780</v>
      </c>
      <c r="Z94" s="141">
        <v>1398400</v>
      </c>
      <c r="AA94" s="141">
        <v>1347005</v>
      </c>
      <c r="AB94" s="141">
        <v>1342540</v>
      </c>
      <c r="AC94" s="141">
        <v>1226545</v>
      </c>
      <c r="AD94" s="141">
        <v>1177715</v>
      </c>
      <c r="AE94" s="141">
        <v>1136960</v>
      </c>
      <c r="AF94" s="141">
        <v>1174010</v>
      </c>
      <c r="AG94" s="141">
        <v>1291905</v>
      </c>
      <c r="AH94" s="141">
        <v>1380350</v>
      </c>
    </row>
    <row r="96" spans="3:34">
      <c r="C96" s="136" t="s">
        <v>99</v>
      </c>
    </row>
    <row r="97" spans="6:34">
      <c r="F97" t="s">
        <v>96</v>
      </c>
      <c r="G97" t="s">
        <v>97</v>
      </c>
      <c r="J97" s="139" cm="1">
        <f t="array" ref="J97:AH97">_xlfn.ANCHORARRAY(J3)</f>
        <v>44592</v>
      </c>
      <c r="K97" s="139">
        <v>44957</v>
      </c>
      <c r="L97" s="139">
        <v>45322</v>
      </c>
      <c r="M97" s="139">
        <v>45688</v>
      </c>
      <c r="N97" s="139">
        <v>46053</v>
      </c>
      <c r="O97" s="139">
        <v>46418</v>
      </c>
      <c r="P97" s="139">
        <v>46783</v>
      </c>
      <c r="Q97" s="139">
        <v>47149</v>
      </c>
      <c r="R97" s="139">
        <v>47514</v>
      </c>
      <c r="S97" s="139">
        <v>47879</v>
      </c>
      <c r="T97" s="139">
        <v>48244</v>
      </c>
      <c r="U97" s="139">
        <v>48610</v>
      </c>
      <c r="V97" s="139">
        <v>48975</v>
      </c>
      <c r="W97" s="139">
        <v>49340</v>
      </c>
      <c r="X97" s="139">
        <v>49705</v>
      </c>
      <c r="Y97" s="139">
        <v>50071</v>
      </c>
      <c r="Z97" s="139">
        <v>50436</v>
      </c>
      <c r="AA97" s="139">
        <v>50801</v>
      </c>
      <c r="AB97" s="139">
        <v>51166</v>
      </c>
      <c r="AC97" s="139">
        <v>51532</v>
      </c>
      <c r="AD97" s="139">
        <v>51897</v>
      </c>
      <c r="AE97" s="139">
        <v>52262</v>
      </c>
      <c r="AF97" s="139">
        <v>52627</v>
      </c>
      <c r="AG97" s="139">
        <v>52993</v>
      </c>
      <c r="AH97" s="139">
        <v>53358</v>
      </c>
    </row>
    <row r="98" spans="6:34">
      <c r="F98" s="133" cm="1">
        <f t="array" ref="F98:G122" xml:space="preserve"> _xlfn.LET(
      _xlpm.date,      INDEX(_xlfn.ANCHORARRAY( $E$8),, 1 ),
      _xlpm.asset,     INDEX(_xlfn.ANCHORARRAY( $E$8),, 2 ),
      _xlfn.DROP( _xlfn.HSTACK( _xlpm.date, _xlpm.asset ), 1 ) )</f>
        <v>2022</v>
      </c>
      <c r="G98">
        <v>3393000</v>
      </c>
      <c r="H98" cm="1">
        <f t="array" ref="H98:H122">_xlfn.BYROW(_xlfn.ANCHORARRAY( J98), _xleta.SUM )</f>
        <v>3223349.9999999995</v>
      </c>
      <c r="J98" s="140" cm="1">
        <f t="array" ref="J98:AH122" xml:space="preserve"> _xlfn.LET(
      _xlpm.acquisition_date,    INDEX(_xlfn.ANCHORARRAY( $F98),,1 ),
      _xlpm.acquisition_cost,    INDEX(_xlfn.ANCHORARRAY( $F98),,2 ),
      _xlpm.current_date,_xlfn.ANCHORARRAY(        J3),
      _xlpm.salvage_value,       CaseData!$G$11,
      _xlpm.depreciable_amount,  _xlpm.acquisition_cost * ( 1 - _xlpm.salvage_value ),
      _xlpm.useful_life,         CaseData!$I$34,
      _xlpm.period,              YEAR( _xlpm.current_date ) - _xlpm.acquisition_date + 1,
      _xlpm.units_of_production, CaseData!$E$39,
      _xlpm.rate,                _xlpm.depreciable_amount / _xlpm.units_of_production,
      _xlpm.production_table,    CaseData!$E$42:$T$61,
      _xlpm.production_rows,     CaseData!$D$42:$D$61,
      _xlpm.production_columns,  CaseData!$E$40:$T$40,
      _xlpm.depreciation_amount, INDEX( _xlpm.production_table, MATCH( _xlpm.period, _xlpm.production_rows, 0 ), MATCH( _xlpm.useful_life, _xlpm.production_columns, 0 ) ),
      IFERROR( IF( _xlpm.period &lt; 0, 0, _xlpm.depreciation_amount * _xlpm.rate ), 0) )</f>
        <v>428705.55</v>
      </c>
      <c r="K98">
        <v>373908.6</v>
      </c>
      <c r="L98">
        <v>322335</v>
      </c>
      <c r="M98">
        <v>280431.45</v>
      </c>
      <c r="N98">
        <v>241751.25</v>
      </c>
      <c r="O98">
        <v>209517.75</v>
      </c>
      <c r="P98">
        <v>183730.94999999998</v>
      </c>
      <c r="Q98">
        <v>157944.15</v>
      </c>
      <c r="R98">
        <v>145050.75</v>
      </c>
      <c r="S98">
        <v>145050.75</v>
      </c>
      <c r="T98">
        <v>145050.75</v>
      </c>
      <c r="U98">
        <v>145050.75</v>
      </c>
      <c r="V98">
        <v>145050.75</v>
      </c>
      <c r="W98">
        <v>145050.75</v>
      </c>
      <c r="X98">
        <v>154720.79999999999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6:34">
      <c r="F99" s="133">
        <v>2023</v>
      </c>
      <c r="G99">
        <v>672000</v>
      </c>
      <c r="H99">
        <v>638399.99999999988</v>
      </c>
      <c r="J99">
        <v>0</v>
      </c>
      <c r="K99">
        <v>84907.199999999997</v>
      </c>
      <c r="L99">
        <v>74054.399999999994</v>
      </c>
      <c r="M99">
        <v>63840</v>
      </c>
      <c r="N99">
        <v>55540.799999999996</v>
      </c>
      <c r="O99">
        <v>47880</v>
      </c>
      <c r="P99">
        <v>41496</v>
      </c>
      <c r="Q99">
        <v>36388.799999999996</v>
      </c>
      <c r="R99">
        <v>31281.599999999999</v>
      </c>
      <c r="S99">
        <v>28728</v>
      </c>
      <c r="T99">
        <v>28728</v>
      </c>
      <c r="U99">
        <v>28728</v>
      </c>
      <c r="V99">
        <v>28728</v>
      </c>
      <c r="W99">
        <v>28728</v>
      </c>
      <c r="X99">
        <v>28728</v>
      </c>
      <c r="Y99">
        <v>30643.199999999997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6:34">
      <c r="F100" s="133">
        <v>2024</v>
      </c>
      <c r="G100">
        <v>2329500</v>
      </c>
      <c r="H100">
        <v>2213025</v>
      </c>
      <c r="J100">
        <v>0</v>
      </c>
      <c r="K100">
        <v>0</v>
      </c>
      <c r="L100">
        <v>294332.32500000001</v>
      </c>
      <c r="M100">
        <v>256710.9</v>
      </c>
      <c r="N100">
        <v>221302.5</v>
      </c>
      <c r="O100">
        <v>192533.17499999999</v>
      </c>
      <c r="P100">
        <v>165976.875</v>
      </c>
      <c r="Q100">
        <v>143846.625</v>
      </c>
      <c r="R100">
        <v>126142.425</v>
      </c>
      <c r="S100">
        <v>108438.22500000001</v>
      </c>
      <c r="T100">
        <v>99586.125</v>
      </c>
      <c r="U100">
        <v>99586.125</v>
      </c>
      <c r="V100">
        <v>99586.125</v>
      </c>
      <c r="W100">
        <v>99586.125</v>
      </c>
      <c r="X100">
        <v>99586.125</v>
      </c>
      <c r="Y100">
        <v>99586.125</v>
      </c>
      <c r="Z100">
        <v>106225.2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6:34">
      <c r="F101" s="133">
        <v>2025</v>
      </c>
      <c r="G101">
        <v>567000</v>
      </c>
      <c r="H101">
        <v>538649.99999999988</v>
      </c>
      <c r="J101">
        <v>0</v>
      </c>
      <c r="K101">
        <v>0</v>
      </c>
      <c r="L101">
        <v>0</v>
      </c>
      <c r="M101">
        <v>71640.45</v>
      </c>
      <c r="N101">
        <v>62483.399999999994</v>
      </c>
      <c r="O101">
        <v>53864.999999999993</v>
      </c>
      <c r="P101">
        <v>46862.549999999996</v>
      </c>
      <c r="Q101">
        <v>40398.75</v>
      </c>
      <c r="R101">
        <v>35012.25</v>
      </c>
      <c r="S101">
        <v>30703.05</v>
      </c>
      <c r="T101">
        <v>26393.85</v>
      </c>
      <c r="U101">
        <v>24239.25</v>
      </c>
      <c r="V101">
        <v>24239.25</v>
      </c>
      <c r="W101">
        <v>24239.25</v>
      </c>
      <c r="X101">
        <v>24239.25</v>
      </c>
      <c r="Y101">
        <v>24239.25</v>
      </c>
      <c r="Z101">
        <v>24239.25</v>
      </c>
      <c r="AA101">
        <v>25855.199999999997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6:34">
      <c r="F102" s="133">
        <v>2026</v>
      </c>
      <c r="G102">
        <v>2409000</v>
      </c>
      <c r="H102">
        <v>2288549.9999999995</v>
      </c>
      <c r="J102">
        <v>0</v>
      </c>
      <c r="K102">
        <v>0</v>
      </c>
      <c r="L102">
        <v>0</v>
      </c>
      <c r="M102">
        <v>0</v>
      </c>
      <c r="N102">
        <v>304377.14999999997</v>
      </c>
      <c r="O102">
        <v>265471.8</v>
      </c>
      <c r="P102">
        <v>228855</v>
      </c>
      <c r="Q102">
        <v>199103.84999999998</v>
      </c>
      <c r="R102">
        <v>171641.25</v>
      </c>
      <c r="S102">
        <v>148755.75</v>
      </c>
      <c r="T102">
        <v>130447.34999999999</v>
      </c>
      <c r="U102">
        <v>112138.95</v>
      </c>
      <c r="V102">
        <v>102984.75</v>
      </c>
      <c r="W102">
        <v>102984.75</v>
      </c>
      <c r="X102">
        <v>102984.75</v>
      </c>
      <c r="Y102">
        <v>102984.75</v>
      </c>
      <c r="Z102">
        <v>102984.75</v>
      </c>
      <c r="AA102">
        <v>102984.75</v>
      </c>
      <c r="AB102">
        <v>109850.4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6:34">
      <c r="F103" s="133">
        <v>2027</v>
      </c>
      <c r="G103">
        <v>2518500</v>
      </c>
      <c r="H103">
        <v>2392575.0000000005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318212.47499999998</v>
      </c>
      <c r="P103">
        <v>277538.7</v>
      </c>
      <c r="Q103">
        <v>239257.5</v>
      </c>
      <c r="R103">
        <v>208154.02499999999</v>
      </c>
      <c r="S103">
        <v>179443.125</v>
      </c>
      <c r="T103">
        <v>155517.375</v>
      </c>
      <c r="U103">
        <v>136376.77499999999</v>
      </c>
      <c r="V103">
        <v>117236.17499999999</v>
      </c>
      <c r="W103">
        <v>107665.875</v>
      </c>
      <c r="X103">
        <v>107665.875</v>
      </c>
      <c r="Y103">
        <v>107665.875</v>
      </c>
      <c r="Z103">
        <v>107665.875</v>
      </c>
      <c r="AA103">
        <v>107665.875</v>
      </c>
      <c r="AB103">
        <v>107665.875</v>
      </c>
      <c r="AC103">
        <v>114843.59999999999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6:34">
      <c r="F104" s="133">
        <v>2028</v>
      </c>
      <c r="G104">
        <v>2092500</v>
      </c>
      <c r="H104">
        <v>1987875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264387.375</v>
      </c>
      <c r="Q104">
        <v>230593.5</v>
      </c>
      <c r="R104">
        <v>198787.5</v>
      </c>
      <c r="S104">
        <v>172945.125</v>
      </c>
      <c r="T104">
        <v>149090.625</v>
      </c>
      <c r="U104">
        <v>129211.875</v>
      </c>
      <c r="V104">
        <v>113308.875</v>
      </c>
      <c r="W104">
        <v>97405.875</v>
      </c>
      <c r="X104">
        <v>89454.375</v>
      </c>
      <c r="Y104">
        <v>89454.375</v>
      </c>
      <c r="Z104">
        <v>89454.375</v>
      </c>
      <c r="AA104">
        <v>89454.375</v>
      </c>
      <c r="AB104">
        <v>89454.375</v>
      </c>
      <c r="AC104">
        <v>89454.375</v>
      </c>
      <c r="AD104">
        <v>95418</v>
      </c>
      <c r="AE104">
        <v>0</v>
      </c>
      <c r="AF104">
        <v>0</v>
      </c>
      <c r="AG104">
        <v>0</v>
      </c>
      <c r="AH104">
        <v>0</v>
      </c>
    </row>
    <row r="105" spans="6:34">
      <c r="F105" s="133">
        <v>2029</v>
      </c>
      <c r="G105">
        <v>127500</v>
      </c>
      <c r="H105">
        <v>121125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16109.625</v>
      </c>
      <c r="R105">
        <v>14050.5</v>
      </c>
      <c r="S105">
        <v>12112.5</v>
      </c>
      <c r="T105">
        <v>10537.875</v>
      </c>
      <c r="U105">
        <v>9084.375</v>
      </c>
      <c r="V105">
        <v>7873.125</v>
      </c>
      <c r="W105">
        <v>6904.125</v>
      </c>
      <c r="X105">
        <v>5935.125</v>
      </c>
      <c r="Y105">
        <v>5450.625</v>
      </c>
      <c r="Z105">
        <v>5450.625</v>
      </c>
      <c r="AA105">
        <v>5450.625</v>
      </c>
      <c r="AB105">
        <v>5450.625</v>
      </c>
      <c r="AC105">
        <v>5450.625</v>
      </c>
      <c r="AD105">
        <v>5450.625</v>
      </c>
      <c r="AE105">
        <v>5814</v>
      </c>
      <c r="AF105">
        <v>0</v>
      </c>
      <c r="AG105">
        <v>0</v>
      </c>
      <c r="AH105">
        <v>0</v>
      </c>
    </row>
    <row r="106" spans="6:34">
      <c r="F106" s="133">
        <v>2030</v>
      </c>
      <c r="G106" t="str">
        <v/>
      </c>
      <c r="H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6:34">
      <c r="F107" s="133">
        <v>2031</v>
      </c>
      <c r="G107">
        <v>856500</v>
      </c>
      <c r="H107">
        <v>813675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108218.77500000001</v>
      </c>
      <c r="T107">
        <v>94386.3</v>
      </c>
      <c r="U107">
        <v>81367.5</v>
      </c>
      <c r="V107">
        <v>70789.725000000006</v>
      </c>
      <c r="W107">
        <v>61025.625</v>
      </c>
      <c r="X107">
        <v>52888.875</v>
      </c>
      <c r="Y107">
        <v>46379.474999999999</v>
      </c>
      <c r="Z107">
        <v>39870.075000000004</v>
      </c>
      <c r="AA107">
        <v>36615.375</v>
      </c>
      <c r="AB107">
        <v>36615.375</v>
      </c>
      <c r="AC107">
        <v>36615.375</v>
      </c>
      <c r="AD107">
        <v>36615.375</v>
      </c>
      <c r="AE107">
        <v>36615.375</v>
      </c>
      <c r="AF107">
        <v>36615.375</v>
      </c>
      <c r="AG107">
        <v>39056.400000000001</v>
      </c>
      <c r="AH107">
        <v>0</v>
      </c>
    </row>
    <row r="108" spans="6:34">
      <c r="F108" s="133">
        <v>2032</v>
      </c>
      <c r="G108">
        <v>1249500</v>
      </c>
      <c r="H108">
        <v>1187024.9999999998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157874.32500000001</v>
      </c>
      <c r="U108">
        <v>137694.9</v>
      </c>
      <c r="V108">
        <v>118702.5</v>
      </c>
      <c r="W108">
        <v>103271.175</v>
      </c>
      <c r="X108">
        <v>89026.875</v>
      </c>
      <c r="Y108">
        <v>77156.625</v>
      </c>
      <c r="Z108">
        <v>67660.425000000003</v>
      </c>
      <c r="AA108">
        <v>58164.224999999999</v>
      </c>
      <c r="AB108">
        <v>53416.125</v>
      </c>
      <c r="AC108">
        <v>53416.125</v>
      </c>
      <c r="AD108">
        <v>53416.125</v>
      </c>
      <c r="AE108">
        <v>53416.125</v>
      </c>
      <c r="AF108">
        <v>53416.125</v>
      </c>
      <c r="AG108">
        <v>53416.125</v>
      </c>
      <c r="AH108">
        <v>56977.2</v>
      </c>
    </row>
    <row r="109" spans="6:34">
      <c r="F109" s="133">
        <v>2033</v>
      </c>
      <c r="G109">
        <v>1446000</v>
      </c>
      <c r="H109">
        <v>1307762.3999999999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182702.09999999998</v>
      </c>
      <c r="V109">
        <v>159349.19999999998</v>
      </c>
      <c r="W109">
        <v>137370</v>
      </c>
      <c r="X109">
        <v>119511.9</v>
      </c>
      <c r="Y109">
        <v>103027.5</v>
      </c>
      <c r="Z109">
        <v>89290.5</v>
      </c>
      <c r="AA109">
        <v>78300.899999999994</v>
      </c>
      <c r="AB109">
        <v>67311.3</v>
      </c>
      <c r="AC109">
        <v>61816.5</v>
      </c>
      <c r="AD109">
        <v>61816.5</v>
      </c>
      <c r="AE109">
        <v>61816.5</v>
      </c>
      <c r="AF109">
        <v>61816.5</v>
      </c>
      <c r="AG109">
        <v>61816.5</v>
      </c>
      <c r="AH109">
        <v>61816.5</v>
      </c>
    </row>
    <row r="110" spans="6:34">
      <c r="F110" s="133">
        <v>2034</v>
      </c>
      <c r="G110">
        <v>585000</v>
      </c>
      <c r="H110">
        <v>504065.25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73914.75</v>
      </c>
      <c r="W110">
        <v>64466.999999999993</v>
      </c>
      <c r="X110">
        <v>55575</v>
      </c>
      <c r="Y110">
        <v>48350.25</v>
      </c>
      <c r="Z110">
        <v>41681.25</v>
      </c>
      <c r="AA110">
        <v>36123.75</v>
      </c>
      <c r="AB110">
        <v>31677.749999999996</v>
      </c>
      <c r="AC110">
        <v>27231.75</v>
      </c>
      <c r="AD110">
        <v>25008.75</v>
      </c>
      <c r="AE110">
        <v>25008.75</v>
      </c>
      <c r="AF110">
        <v>25008.75</v>
      </c>
      <c r="AG110">
        <v>25008.75</v>
      </c>
      <c r="AH110">
        <v>25008.75</v>
      </c>
    </row>
    <row r="111" spans="6:34">
      <c r="F111" s="133">
        <v>2035</v>
      </c>
      <c r="G111">
        <v>2676000</v>
      </c>
      <c r="H111">
        <v>2191376.4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338112.6</v>
      </c>
      <c r="X111">
        <v>294895.19999999995</v>
      </c>
      <c r="Y111">
        <v>254219.99999999997</v>
      </c>
      <c r="Z111">
        <v>221171.4</v>
      </c>
      <c r="AA111">
        <v>190664.99999999997</v>
      </c>
      <c r="AB111">
        <v>165243</v>
      </c>
      <c r="AC111">
        <v>144905.4</v>
      </c>
      <c r="AD111">
        <v>124567.79999999999</v>
      </c>
      <c r="AE111">
        <v>114398.99999999999</v>
      </c>
      <c r="AF111">
        <v>114398.99999999999</v>
      </c>
      <c r="AG111">
        <v>114398.99999999999</v>
      </c>
      <c r="AH111">
        <v>114398.99999999999</v>
      </c>
    </row>
    <row r="112" spans="6:34">
      <c r="F112" s="133">
        <v>2036</v>
      </c>
      <c r="G112">
        <v>1798500</v>
      </c>
      <c r="H112">
        <v>1395905.7750000001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227240.47500000001</v>
      </c>
      <c r="Y112">
        <v>198194.69999999998</v>
      </c>
      <c r="Z112">
        <v>170857.5</v>
      </c>
      <c r="AA112">
        <v>148646.02499999999</v>
      </c>
      <c r="AB112">
        <v>128143.125</v>
      </c>
      <c r="AC112">
        <v>111057.375</v>
      </c>
      <c r="AD112">
        <v>97388.774999999994</v>
      </c>
      <c r="AE112">
        <v>83720.175000000003</v>
      </c>
      <c r="AF112">
        <v>76885.875</v>
      </c>
      <c r="AG112">
        <v>76885.875</v>
      </c>
      <c r="AH112">
        <v>76885.875</v>
      </c>
    </row>
    <row r="113" spans="3:34">
      <c r="F113" s="133">
        <v>2037</v>
      </c>
      <c r="G113">
        <v>1858500</v>
      </c>
      <c r="H113">
        <v>1363023.9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234821.47499999998</v>
      </c>
      <c r="Z113">
        <v>204806.69999999998</v>
      </c>
      <c r="AA113">
        <v>176557.5</v>
      </c>
      <c r="AB113">
        <v>153605.02499999999</v>
      </c>
      <c r="AC113">
        <v>132418.125</v>
      </c>
      <c r="AD113">
        <v>114762.375</v>
      </c>
      <c r="AE113">
        <v>100637.77499999999</v>
      </c>
      <c r="AF113">
        <v>86513.174999999988</v>
      </c>
      <c r="AG113">
        <v>79450.875</v>
      </c>
      <c r="AH113">
        <v>79450.875</v>
      </c>
    </row>
    <row r="114" spans="3:34">
      <c r="F114" s="133">
        <v>2038</v>
      </c>
      <c r="G114">
        <v>1566000</v>
      </c>
      <c r="H114">
        <v>1081557.9000000001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197864.1</v>
      </c>
      <c r="AA114">
        <v>172573.2</v>
      </c>
      <c r="AB114">
        <v>148770</v>
      </c>
      <c r="AC114">
        <v>129429.90000000001</v>
      </c>
      <c r="AD114">
        <v>111577.5</v>
      </c>
      <c r="AE114">
        <v>96700.5</v>
      </c>
      <c r="AF114">
        <v>84798.9</v>
      </c>
      <c r="AG114">
        <v>72897.3</v>
      </c>
      <c r="AH114">
        <v>66946.5</v>
      </c>
    </row>
    <row r="115" spans="3:34">
      <c r="F115" s="133">
        <v>2039</v>
      </c>
      <c r="G115">
        <v>1518000</v>
      </c>
      <c r="H115">
        <v>983512.2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191799.3</v>
      </c>
      <c r="AB115">
        <v>167283.6</v>
      </c>
      <c r="AC115">
        <v>144210</v>
      </c>
      <c r="AD115">
        <v>125462.7</v>
      </c>
      <c r="AE115">
        <v>108157.5</v>
      </c>
      <c r="AF115">
        <v>93736.5</v>
      </c>
      <c r="AG115">
        <v>82199.7</v>
      </c>
      <c r="AH115">
        <v>70662.899999999994</v>
      </c>
    </row>
    <row r="116" spans="3:34">
      <c r="F116" s="133">
        <v>2040</v>
      </c>
      <c r="G116">
        <v>496500</v>
      </c>
      <c r="H116">
        <v>298570.27500000002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62732.775000000001</v>
      </c>
      <c r="AC116">
        <v>54714.3</v>
      </c>
      <c r="AD116">
        <v>47167.5</v>
      </c>
      <c r="AE116">
        <v>41035.724999999999</v>
      </c>
      <c r="AF116">
        <v>35375.625</v>
      </c>
      <c r="AG116">
        <v>30658.875</v>
      </c>
      <c r="AH116">
        <v>26885.475000000002</v>
      </c>
    </row>
    <row r="117" spans="3:34">
      <c r="F117" s="133">
        <v>2041</v>
      </c>
      <c r="G117">
        <v>577500</v>
      </c>
      <c r="H117">
        <v>316008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72967.125</v>
      </c>
      <c r="AD117">
        <v>63640.5</v>
      </c>
      <c r="AE117">
        <v>54862.5</v>
      </c>
      <c r="AF117">
        <v>47730.375</v>
      </c>
      <c r="AG117">
        <v>41146.875</v>
      </c>
      <c r="AH117">
        <v>35660.625</v>
      </c>
    </row>
    <row r="118" spans="3:34">
      <c r="F118" s="133">
        <v>2042</v>
      </c>
      <c r="G118">
        <v>1747500</v>
      </c>
      <c r="H118">
        <v>848323.875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220796.625</v>
      </c>
      <c r="AE118">
        <v>192574.5</v>
      </c>
      <c r="AF118">
        <v>166012.5</v>
      </c>
      <c r="AG118">
        <v>144430.875</v>
      </c>
      <c r="AH118">
        <v>124509.375</v>
      </c>
    </row>
    <row r="119" spans="3:34">
      <c r="F119" s="133">
        <v>2043</v>
      </c>
      <c r="G119">
        <v>1449000</v>
      </c>
      <c r="H119">
        <v>600175.79999999993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183081.15</v>
      </c>
      <c r="AF119">
        <v>159679.79999999999</v>
      </c>
      <c r="AG119">
        <v>137655</v>
      </c>
      <c r="AH119">
        <v>119759.84999999999</v>
      </c>
    </row>
    <row r="120" spans="3:34">
      <c r="F120" s="133">
        <v>2044</v>
      </c>
      <c r="G120">
        <v>712500</v>
      </c>
      <c r="H120">
        <v>236229.375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90024.375</v>
      </c>
      <c r="AG120">
        <v>78517.5</v>
      </c>
      <c r="AH120">
        <v>67687.5</v>
      </c>
    </row>
    <row r="121" spans="3:34">
      <c r="F121" s="133">
        <v>2045</v>
      </c>
      <c r="G121">
        <v>1861500</v>
      </c>
      <c r="H121">
        <v>440337.82499999995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235200.52499999999</v>
      </c>
      <c r="AH121">
        <v>205137.3</v>
      </c>
    </row>
    <row r="122" spans="3:34">
      <c r="F122" s="133">
        <v>2046</v>
      </c>
      <c r="G122">
        <v>2253000</v>
      </c>
      <c r="H122">
        <v>284666.55000000005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284666.55000000005</v>
      </c>
    </row>
    <row r="123" spans="3:34">
      <c r="J123" s="141" cm="1">
        <f t="array" ref="J123:AH123">_xlfn.BYCOL(_xlfn.ANCHORARRAY( J98), _xleta.SUM )</f>
        <v>428705.55</v>
      </c>
      <c r="K123" s="141">
        <v>458815.8</v>
      </c>
      <c r="L123" s="141">
        <v>690721.72500000009</v>
      </c>
      <c r="M123" s="141">
        <v>672622.79999999993</v>
      </c>
      <c r="N123" s="141">
        <v>885455.09999999986</v>
      </c>
      <c r="O123" s="141">
        <v>1087480.2</v>
      </c>
      <c r="P123" s="141">
        <v>1208847.45</v>
      </c>
      <c r="Q123" s="141">
        <v>1063642.7999999998</v>
      </c>
      <c r="R123" s="141">
        <v>930120.3</v>
      </c>
      <c r="S123" s="141">
        <v>934395.29999999993</v>
      </c>
      <c r="T123" s="141">
        <v>997612.57499999995</v>
      </c>
      <c r="U123" s="141">
        <v>1086180.6000000001</v>
      </c>
      <c r="V123" s="141">
        <v>1061763.2250000001</v>
      </c>
      <c r="W123" s="141">
        <v>1316811.1499999999</v>
      </c>
      <c r="X123" s="141">
        <v>1452452.625</v>
      </c>
      <c r="Y123" s="141">
        <v>1422174.2250000001</v>
      </c>
      <c r="Z123" s="141">
        <v>1469222.0250000001</v>
      </c>
      <c r="AA123" s="141">
        <v>1420856.1</v>
      </c>
      <c r="AB123" s="141">
        <v>1327219.3500000001</v>
      </c>
      <c r="AC123" s="141">
        <v>1178530.575</v>
      </c>
      <c r="AD123" s="141">
        <v>1183089.1499999999</v>
      </c>
      <c r="AE123" s="141">
        <v>1157839.575</v>
      </c>
      <c r="AF123" s="141">
        <v>1132012.875</v>
      </c>
      <c r="AG123" s="141">
        <v>1272740.1749999998</v>
      </c>
      <c r="AH123" s="141">
        <v>1416454.2749999999</v>
      </c>
    </row>
    <row r="125" spans="3:34">
      <c r="C125" s="136" t="s">
        <v>100</v>
      </c>
    </row>
    <row r="126" spans="3:34">
      <c r="F126" t="s">
        <v>96</v>
      </c>
      <c r="G126" t="s">
        <v>97</v>
      </c>
      <c r="J126" s="139" cm="1">
        <f t="array" ref="J126:AH126">_xlfn.ANCHORARRAY(J3)</f>
        <v>44592</v>
      </c>
      <c r="K126" s="139">
        <v>44957</v>
      </c>
      <c r="L126" s="139">
        <v>45322</v>
      </c>
      <c r="M126" s="139">
        <v>45688</v>
      </c>
      <c r="N126" s="139">
        <v>46053</v>
      </c>
      <c r="O126" s="139">
        <v>46418</v>
      </c>
      <c r="P126" s="139">
        <v>46783</v>
      </c>
      <c r="Q126" s="139">
        <v>47149</v>
      </c>
      <c r="R126" s="139">
        <v>47514</v>
      </c>
      <c r="S126" s="139">
        <v>47879</v>
      </c>
      <c r="T126" s="139">
        <v>48244</v>
      </c>
      <c r="U126" s="139">
        <v>48610</v>
      </c>
      <c r="V126" s="139">
        <v>48975</v>
      </c>
      <c r="W126" s="139">
        <v>49340</v>
      </c>
      <c r="X126" s="139">
        <v>49705</v>
      </c>
      <c r="Y126" s="139">
        <v>50071</v>
      </c>
      <c r="Z126" s="139">
        <v>50436</v>
      </c>
      <c r="AA126" s="139">
        <v>50801</v>
      </c>
      <c r="AB126" s="139">
        <v>51166</v>
      </c>
      <c r="AC126" s="139">
        <v>51532</v>
      </c>
      <c r="AD126" s="139">
        <v>51897</v>
      </c>
      <c r="AE126" s="139">
        <v>52262</v>
      </c>
      <c r="AF126" s="139">
        <v>52627</v>
      </c>
      <c r="AG126" s="139">
        <v>52993</v>
      </c>
      <c r="AH126" s="139">
        <v>53358</v>
      </c>
    </row>
    <row r="127" spans="3:34">
      <c r="F127" s="133" cm="1">
        <f t="array" ref="F127:G151" xml:space="preserve"> _xlfn.LET(
      _xlpm.date,      INDEX(_xlfn.ANCHORARRAY( $E$8),, 1 ),
      _xlpm.asset,     INDEX(_xlfn.ANCHORARRAY( $E$8),, 2 ),
      _xlfn.DROP( _xlfn.HSTACK( _xlpm.date, _xlpm.asset ), 1 ) )</f>
        <v>2022</v>
      </c>
      <c r="G127">
        <v>3393000</v>
      </c>
      <c r="H127" cm="1">
        <f t="array" ref="H127:H151">_xlfn.BYROW(_xlfn.ANCHORARRAY( J127), _xleta.SUM )</f>
        <v>3223350</v>
      </c>
      <c r="J127" s="140" cm="1">
        <f t="array" ref="J127:AH151" xml:space="preserve"> _xlfn.LET(
      _xlpm.acquisition_date,    INDEX(_xlfn.ANCHORARRAY( $F127),,1 ),
      _xlpm.acquisition_cost,    INDEX(_xlfn.ANCHORARRAY( $F127),,2 ),
      _xlpm.current_date,_xlfn.ANCHORARRAY(        J3),
      _xlpm.salvage_value,       CaseData!$G$11,
      _xlpm.depreciable_amount,  _xlpm.acquisition_cost * ( 1 - _xlpm.salvage_value ),
      _xlpm.useful_life,         CaseData!$I$35,
      _xlpm.period,              YEAR( _xlpm.current_date ) - _xlpm.acquisition_date + 1,
      _xlpm.useful_life_percent, CaseData!$E$67:$T$86,
      _xlpm.useful_life_year,    CaseData!$D$67:$D$86,
      _xlpm.useful_life_digit,   CaseData!$E$65:$T$65,
      _xlpm.rate,                INDEX( _xlpm.useful_life_percent, MATCH( _xlpm.period, _xlpm.useful_life_year, 0 ), MATCH( _xlpm.useful_life, _xlpm.useful_life_digit, 0 ) ),
      IFERROR( IF( _xlpm.period &lt; 0, 0, _xlpm.depreciable_amount * _xlpm.rate ), 0 ) )</f>
        <v>402918.75</v>
      </c>
      <c r="K127">
        <v>376057.5</v>
      </c>
      <c r="L127">
        <v>349196.25</v>
      </c>
      <c r="M127">
        <v>322335</v>
      </c>
      <c r="N127">
        <v>295473.75</v>
      </c>
      <c r="O127">
        <v>268612.5</v>
      </c>
      <c r="P127">
        <v>241751.25</v>
      </c>
      <c r="Q127">
        <v>214890</v>
      </c>
      <c r="R127">
        <v>188028.75</v>
      </c>
      <c r="S127">
        <v>161167.5</v>
      </c>
      <c r="T127">
        <v>134306.25</v>
      </c>
      <c r="U127">
        <v>107445</v>
      </c>
      <c r="V127">
        <v>80583.75</v>
      </c>
      <c r="W127">
        <v>53722.5</v>
      </c>
      <c r="X127">
        <v>26861.25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3:34">
      <c r="F128" s="133">
        <v>2023</v>
      </c>
      <c r="G128">
        <v>672000</v>
      </c>
      <c r="H128">
        <v>638400</v>
      </c>
      <c r="J128">
        <v>0</v>
      </c>
      <c r="K128">
        <v>79800</v>
      </c>
      <c r="L128">
        <v>74480</v>
      </c>
      <c r="M128">
        <v>69160</v>
      </c>
      <c r="N128">
        <v>63840</v>
      </c>
      <c r="O128">
        <v>58519.999999999993</v>
      </c>
      <c r="P128">
        <v>53200</v>
      </c>
      <c r="Q128">
        <v>47880</v>
      </c>
      <c r="R128">
        <v>42560</v>
      </c>
      <c r="S128">
        <v>37240</v>
      </c>
      <c r="T128">
        <v>31920</v>
      </c>
      <c r="U128">
        <v>26600</v>
      </c>
      <c r="V128">
        <v>21280</v>
      </c>
      <c r="W128">
        <v>15960</v>
      </c>
      <c r="X128">
        <v>10640</v>
      </c>
      <c r="Y128">
        <v>5320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6:34">
      <c r="F129" s="133">
        <v>2024</v>
      </c>
      <c r="G129">
        <v>2329500</v>
      </c>
      <c r="H129">
        <v>2213025</v>
      </c>
      <c r="J129">
        <v>0</v>
      </c>
      <c r="K129">
        <v>0</v>
      </c>
      <c r="L129">
        <v>276628.125</v>
      </c>
      <c r="M129">
        <v>258186.25</v>
      </c>
      <c r="N129">
        <v>239744.375</v>
      </c>
      <c r="O129">
        <v>221302.5</v>
      </c>
      <c r="P129">
        <v>202860.625</v>
      </c>
      <c r="Q129">
        <v>184418.75</v>
      </c>
      <c r="R129">
        <v>165976.875</v>
      </c>
      <c r="S129">
        <v>147535</v>
      </c>
      <c r="T129">
        <v>129093.125</v>
      </c>
      <c r="U129">
        <v>110651.25</v>
      </c>
      <c r="V129">
        <v>92209.375</v>
      </c>
      <c r="W129">
        <v>73767.5</v>
      </c>
      <c r="X129">
        <v>55325.625</v>
      </c>
      <c r="Y129">
        <v>36883.75</v>
      </c>
      <c r="Z129">
        <v>18441.875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6:34">
      <c r="F130" s="133">
        <v>2025</v>
      </c>
      <c r="G130">
        <v>567000</v>
      </c>
      <c r="H130">
        <v>538650</v>
      </c>
      <c r="J130">
        <v>0</v>
      </c>
      <c r="K130">
        <v>0</v>
      </c>
      <c r="L130">
        <v>0</v>
      </c>
      <c r="M130">
        <v>67331.25</v>
      </c>
      <c r="N130">
        <v>62842.5</v>
      </c>
      <c r="O130">
        <v>58353.75</v>
      </c>
      <c r="P130">
        <v>53865</v>
      </c>
      <c r="Q130">
        <v>49376.25</v>
      </c>
      <c r="R130">
        <v>44887.5</v>
      </c>
      <c r="S130">
        <v>40398.75</v>
      </c>
      <c r="T130">
        <v>35910</v>
      </c>
      <c r="U130">
        <v>31421.25</v>
      </c>
      <c r="V130">
        <v>26932.5</v>
      </c>
      <c r="W130">
        <v>22443.75</v>
      </c>
      <c r="X130">
        <v>17955</v>
      </c>
      <c r="Y130">
        <v>13466.25</v>
      </c>
      <c r="Z130">
        <v>8977.5</v>
      </c>
      <c r="AA130">
        <v>4488.75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</row>
    <row r="131" spans="6:34">
      <c r="F131" s="133">
        <v>2026</v>
      </c>
      <c r="G131">
        <v>2409000</v>
      </c>
      <c r="H131">
        <v>2288550</v>
      </c>
      <c r="J131">
        <v>0</v>
      </c>
      <c r="K131">
        <v>0</v>
      </c>
      <c r="L131">
        <v>0</v>
      </c>
      <c r="M131">
        <v>0</v>
      </c>
      <c r="N131">
        <v>286068.75</v>
      </c>
      <c r="O131">
        <v>266997.5</v>
      </c>
      <c r="P131">
        <v>247926.25</v>
      </c>
      <c r="Q131">
        <v>228855</v>
      </c>
      <c r="R131">
        <v>209783.74999999997</v>
      </c>
      <c r="S131">
        <v>190712.5</v>
      </c>
      <c r="T131">
        <v>171641.25</v>
      </c>
      <c r="U131">
        <v>152570</v>
      </c>
      <c r="V131">
        <v>133498.75</v>
      </c>
      <c r="W131">
        <v>114427.5</v>
      </c>
      <c r="X131">
        <v>95356.25</v>
      </c>
      <c r="Y131">
        <v>76285</v>
      </c>
      <c r="Z131">
        <v>57213.75</v>
      </c>
      <c r="AA131">
        <v>38142.5</v>
      </c>
      <c r="AB131">
        <v>19071.25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 spans="6:34">
      <c r="F132" s="133">
        <v>2027</v>
      </c>
      <c r="G132">
        <v>2518500</v>
      </c>
      <c r="H132">
        <v>2392575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299071.875</v>
      </c>
      <c r="P132">
        <v>279133.75</v>
      </c>
      <c r="Q132">
        <v>259195.625</v>
      </c>
      <c r="R132">
        <v>239257.5</v>
      </c>
      <c r="S132">
        <v>219319.37499999997</v>
      </c>
      <c r="T132">
        <v>199381.25</v>
      </c>
      <c r="U132">
        <v>179443.125</v>
      </c>
      <c r="V132">
        <v>159505</v>
      </c>
      <c r="W132">
        <v>139566.875</v>
      </c>
      <c r="X132">
        <v>119628.75</v>
      </c>
      <c r="Y132">
        <v>99690.625</v>
      </c>
      <c r="Z132">
        <v>79752.5</v>
      </c>
      <c r="AA132">
        <v>59814.375</v>
      </c>
      <c r="AB132">
        <v>39876.25</v>
      </c>
      <c r="AC132">
        <v>19938.125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 spans="6:34">
      <c r="F133" s="133">
        <v>2028</v>
      </c>
      <c r="G133">
        <v>2092500</v>
      </c>
      <c r="H133">
        <v>1987875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248484.375</v>
      </c>
      <c r="Q133">
        <v>231918.75</v>
      </c>
      <c r="R133">
        <v>215353.125</v>
      </c>
      <c r="S133">
        <v>198787.5</v>
      </c>
      <c r="T133">
        <v>182221.875</v>
      </c>
      <c r="U133">
        <v>165656.25</v>
      </c>
      <c r="V133">
        <v>149090.625</v>
      </c>
      <c r="W133">
        <v>132525</v>
      </c>
      <c r="X133">
        <v>115959.375</v>
      </c>
      <c r="Y133">
        <v>99393.75</v>
      </c>
      <c r="Z133">
        <v>82828.125</v>
      </c>
      <c r="AA133">
        <v>66262.5</v>
      </c>
      <c r="AB133">
        <v>49696.875</v>
      </c>
      <c r="AC133">
        <v>33131.25</v>
      </c>
      <c r="AD133">
        <v>16565.625</v>
      </c>
      <c r="AE133">
        <v>0</v>
      </c>
      <c r="AF133">
        <v>0</v>
      </c>
      <c r="AG133">
        <v>0</v>
      </c>
      <c r="AH133">
        <v>0</v>
      </c>
    </row>
    <row r="134" spans="6:34">
      <c r="F134" s="133">
        <v>2029</v>
      </c>
      <c r="G134">
        <v>127500</v>
      </c>
      <c r="H134">
        <v>121125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15140.625</v>
      </c>
      <c r="R134">
        <v>14131.25</v>
      </c>
      <c r="S134">
        <v>13121.875</v>
      </c>
      <c r="T134">
        <v>12112.5</v>
      </c>
      <c r="U134">
        <v>11103.125</v>
      </c>
      <c r="V134">
        <v>10093.75</v>
      </c>
      <c r="W134">
        <v>9084.375</v>
      </c>
      <c r="X134">
        <v>8075</v>
      </c>
      <c r="Y134">
        <v>7065.625</v>
      </c>
      <c r="Z134">
        <v>6056.25</v>
      </c>
      <c r="AA134">
        <v>5046.875</v>
      </c>
      <c r="AB134">
        <v>4037.5</v>
      </c>
      <c r="AC134">
        <v>3028.125</v>
      </c>
      <c r="AD134">
        <v>2018.75</v>
      </c>
      <c r="AE134">
        <v>1009.375</v>
      </c>
      <c r="AF134">
        <v>0</v>
      </c>
      <c r="AG134">
        <v>0</v>
      </c>
      <c r="AH134">
        <v>0</v>
      </c>
    </row>
    <row r="135" spans="6:34">
      <c r="F135" s="133">
        <v>2030</v>
      </c>
      <c r="G135" t="str">
        <v/>
      </c>
      <c r="H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6:34">
      <c r="F136" s="133">
        <v>2031</v>
      </c>
      <c r="G136">
        <v>856500</v>
      </c>
      <c r="H136">
        <v>813675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101709.375</v>
      </c>
      <c r="T136">
        <v>94928.75</v>
      </c>
      <c r="U136">
        <v>88148.125</v>
      </c>
      <c r="V136">
        <v>81367.5</v>
      </c>
      <c r="W136">
        <v>74586.875</v>
      </c>
      <c r="X136">
        <v>67806.25</v>
      </c>
      <c r="Y136">
        <v>61025.625</v>
      </c>
      <c r="Z136">
        <v>54245</v>
      </c>
      <c r="AA136">
        <v>47464.375</v>
      </c>
      <c r="AB136">
        <v>40683.75</v>
      </c>
      <c r="AC136">
        <v>33903.125</v>
      </c>
      <c r="AD136">
        <v>27122.5</v>
      </c>
      <c r="AE136">
        <v>20341.875</v>
      </c>
      <c r="AF136">
        <v>13561.25</v>
      </c>
      <c r="AG136">
        <v>6780.625</v>
      </c>
      <c r="AH136">
        <v>0</v>
      </c>
    </row>
    <row r="137" spans="6:34">
      <c r="F137" s="133">
        <v>2032</v>
      </c>
      <c r="G137">
        <v>1249500</v>
      </c>
      <c r="H137">
        <v>1187025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148378.125</v>
      </c>
      <c r="U137">
        <v>138486.25</v>
      </c>
      <c r="V137">
        <v>128594.375</v>
      </c>
      <c r="W137">
        <v>118702.5</v>
      </c>
      <c r="X137">
        <v>108810.62499999999</v>
      </c>
      <c r="Y137">
        <v>98918.75</v>
      </c>
      <c r="Z137">
        <v>89026.875</v>
      </c>
      <c r="AA137">
        <v>79135</v>
      </c>
      <c r="AB137">
        <v>69243.125</v>
      </c>
      <c r="AC137">
        <v>59351.25</v>
      </c>
      <c r="AD137">
        <v>49459.375</v>
      </c>
      <c r="AE137">
        <v>39567.5</v>
      </c>
      <c r="AF137">
        <v>29675.625</v>
      </c>
      <c r="AG137">
        <v>19783.75</v>
      </c>
      <c r="AH137">
        <v>9891.875</v>
      </c>
    </row>
    <row r="138" spans="6:34">
      <c r="F138" s="133">
        <v>2033</v>
      </c>
      <c r="G138">
        <v>1446000</v>
      </c>
      <c r="H138">
        <v>1362252.5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171712.5</v>
      </c>
      <c r="V138">
        <v>160265</v>
      </c>
      <c r="W138">
        <v>148817.5</v>
      </c>
      <c r="X138">
        <v>137370</v>
      </c>
      <c r="Y138">
        <v>125922.49999999999</v>
      </c>
      <c r="Z138">
        <v>114475</v>
      </c>
      <c r="AA138">
        <v>103027.5</v>
      </c>
      <c r="AB138">
        <v>91580</v>
      </c>
      <c r="AC138">
        <v>80132.5</v>
      </c>
      <c r="AD138">
        <v>68685</v>
      </c>
      <c r="AE138">
        <v>57237.5</v>
      </c>
      <c r="AF138">
        <v>45790</v>
      </c>
      <c r="AG138">
        <v>34342.5</v>
      </c>
      <c r="AH138">
        <v>22895</v>
      </c>
    </row>
    <row r="139" spans="6:34">
      <c r="F139" s="133">
        <v>2034</v>
      </c>
      <c r="G139">
        <v>585000</v>
      </c>
      <c r="H139">
        <v>541856.25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69468.75</v>
      </c>
      <c r="W139">
        <v>64837.5</v>
      </c>
      <c r="X139">
        <v>60206.25</v>
      </c>
      <c r="Y139">
        <v>55575</v>
      </c>
      <c r="Z139">
        <v>50943.75</v>
      </c>
      <c r="AA139">
        <v>46312.5</v>
      </c>
      <c r="AB139">
        <v>41681.25</v>
      </c>
      <c r="AC139">
        <v>37050</v>
      </c>
      <c r="AD139">
        <v>32418.75</v>
      </c>
      <c r="AE139">
        <v>27787.5</v>
      </c>
      <c r="AF139">
        <v>23156.25</v>
      </c>
      <c r="AG139">
        <v>18525</v>
      </c>
      <c r="AH139">
        <v>13893.75</v>
      </c>
    </row>
    <row r="140" spans="6:34">
      <c r="F140" s="133">
        <v>2035</v>
      </c>
      <c r="G140">
        <v>2676000</v>
      </c>
      <c r="H140">
        <v>2415090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317775</v>
      </c>
      <c r="X140">
        <v>296590</v>
      </c>
      <c r="Y140">
        <v>275405</v>
      </c>
      <c r="Z140">
        <v>254220</v>
      </c>
      <c r="AA140">
        <v>233034.99999999997</v>
      </c>
      <c r="AB140">
        <v>211850</v>
      </c>
      <c r="AC140">
        <v>190665</v>
      </c>
      <c r="AD140">
        <v>169480</v>
      </c>
      <c r="AE140">
        <v>148295</v>
      </c>
      <c r="AF140">
        <v>127110</v>
      </c>
      <c r="AG140">
        <v>105925</v>
      </c>
      <c r="AH140">
        <v>84740</v>
      </c>
    </row>
    <row r="141" spans="6:34">
      <c r="F141" s="133">
        <v>2036</v>
      </c>
      <c r="G141">
        <v>1798500</v>
      </c>
      <c r="H141">
        <v>1566193.75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213571.875</v>
      </c>
      <c r="Y141">
        <v>199333.75</v>
      </c>
      <c r="Z141">
        <v>185095.625</v>
      </c>
      <c r="AA141">
        <v>170857.5</v>
      </c>
      <c r="AB141">
        <v>156619.375</v>
      </c>
      <c r="AC141">
        <v>142381.25</v>
      </c>
      <c r="AD141">
        <v>128143.125</v>
      </c>
      <c r="AE141">
        <v>113905</v>
      </c>
      <c r="AF141">
        <v>99666.875</v>
      </c>
      <c r="AG141">
        <v>85428.75</v>
      </c>
      <c r="AH141">
        <v>71190.625</v>
      </c>
    </row>
    <row r="142" spans="6:34">
      <c r="F142" s="133">
        <v>2037</v>
      </c>
      <c r="G142">
        <v>1858500</v>
      </c>
      <c r="H142">
        <v>1544878.125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220696.875</v>
      </c>
      <c r="Z142">
        <v>205983.75</v>
      </c>
      <c r="AA142">
        <v>191270.625</v>
      </c>
      <c r="AB142">
        <v>176557.5</v>
      </c>
      <c r="AC142">
        <v>161844.375</v>
      </c>
      <c r="AD142">
        <v>147131.25</v>
      </c>
      <c r="AE142">
        <v>132418.125</v>
      </c>
      <c r="AF142">
        <v>117705</v>
      </c>
      <c r="AG142">
        <v>102991.875</v>
      </c>
      <c r="AH142">
        <v>88278.75</v>
      </c>
    </row>
    <row r="143" spans="6:34">
      <c r="F143" s="133">
        <v>2038</v>
      </c>
      <c r="G143">
        <v>1566000</v>
      </c>
      <c r="H143">
        <v>1227352.5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185962.5</v>
      </c>
      <c r="AA143">
        <v>173565</v>
      </c>
      <c r="AB143">
        <v>161167.5</v>
      </c>
      <c r="AC143">
        <v>148770</v>
      </c>
      <c r="AD143">
        <v>136372.5</v>
      </c>
      <c r="AE143">
        <v>123975</v>
      </c>
      <c r="AF143">
        <v>111577.5</v>
      </c>
      <c r="AG143">
        <v>99180</v>
      </c>
      <c r="AH143">
        <v>86782.5</v>
      </c>
    </row>
    <row r="144" spans="6:34">
      <c r="F144" s="133">
        <v>2039</v>
      </c>
      <c r="G144">
        <v>1518000</v>
      </c>
      <c r="H144">
        <v>1105610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180262.5</v>
      </c>
      <c r="AB144">
        <v>168245</v>
      </c>
      <c r="AC144">
        <v>156227.5</v>
      </c>
      <c r="AD144">
        <v>144210</v>
      </c>
      <c r="AE144">
        <v>132192.5</v>
      </c>
      <c r="AF144">
        <v>120175</v>
      </c>
      <c r="AG144">
        <v>108157.5</v>
      </c>
      <c r="AH144">
        <v>96140</v>
      </c>
    </row>
    <row r="145" spans="2:34">
      <c r="F145" s="133">
        <v>2040</v>
      </c>
      <c r="G145">
        <v>496500</v>
      </c>
      <c r="H145">
        <v>330172.5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58959.375</v>
      </c>
      <c r="AC145">
        <v>55028.75</v>
      </c>
      <c r="AD145">
        <v>51098.125</v>
      </c>
      <c r="AE145">
        <v>47167.5</v>
      </c>
      <c r="AF145">
        <v>43236.875</v>
      </c>
      <c r="AG145">
        <v>39306.25</v>
      </c>
      <c r="AH145">
        <v>35375.625</v>
      </c>
    </row>
    <row r="146" spans="2:34">
      <c r="F146" s="133">
        <v>2041</v>
      </c>
      <c r="G146">
        <v>577500</v>
      </c>
      <c r="H146">
        <v>342890.625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68578.125</v>
      </c>
      <c r="AD146">
        <v>64006.25</v>
      </c>
      <c r="AE146">
        <v>59434.375</v>
      </c>
      <c r="AF146">
        <v>54862.5</v>
      </c>
      <c r="AG146">
        <v>50290.625</v>
      </c>
      <c r="AH146">
        <v>45718.75</v>
      </c>
    </row>
    <row r="147" spans="2:34">
      <c r="F147" s="133">
        <v>2042</v>
      </c>
      <c r="G147">
        <v>1747500</v>
      </c>
      <c r="H147">
        <v>899234.375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207515.625</v>
      </c>
      <c r="AE147">
        <v>193681.25</v>
      </c>
      <c r="AF147">
        <v>179846.875</v>
      </c>
      <c r="AG147">
        <v>166012.5</v>
      </c>
      <c r="AH147">
        <v>152178.125</v>
      </c>
    </row>
    <row r="148" spans="2:34">
      <c r="F148" s="133">
        <v>2043</v>
      </c>
      <c r="G148">
        <v>1449000</v>
      </c>
      <c r="H148">
        <v>619447.5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172068.75</v>
      </c>
      <c r="AF148">
        <v>160597.5</v>
      </c>
      <c r="AG148">
        <v>149126.25</v>
      </c>
      <c r="AH148">
        <v>137655</v>
      </c>
    </row>
    <row r="149" spans="2:34">
      <c r="F149" s="133">
        <v>2044</v>
      </c>
      <c r="G149">
        <v>712500</v>
      </c>
      <c r="H149">
        <v>236906.25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84609.375</v>
      </c>
      <c r="AG149">
        <v>78968.75</v>
      </c>
      <c r="AH149">
        <v>73328.125</v>
      </c>
    </row>
    <row r="150" spans="2:34">
      <c r="F150" s="133">
        <v>2045</v>
      </c>
      <c r="G150">
        <v>1861500</v>
      </c>
      <c r="H150">
        <v>427369.375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221053.125</v>
      </c>
      <c r="AH150">
        <v>206316.25</v>
      </c>
    </row>
    <row r="151" spans="2:34">
      <c r="F151" s="133">
        <v>2046</v>
      </c>
      <c r="G151">
        <v>2253000</v>
      </c>
      <c r="H151">
        <v>267543.75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267543.75</v>
      </c>
    </row>
    <row r="152" spans="2:34">
      <c r="J152" s="141" cm="1">
        <f t="array" ref="J152:AH152">_xlfn.BYCOL(_xlfn.ANCHORARRAY( J127), _xleta.SUM )</f>
        <v>402918.75</v>
      </c>
      <c r="K152" s="141">
        <v>455857.5</v>
      </c>
      <c r="L152" s="141">
        <v>700304.375</v>
      </c>
      <c r="M152" s="141">
        <v>717012.5</v>
      </c>
      <c r="N152" s="141">
        <v>947969.375</v>
      </c>
      <c r="O152" s="141">
        <v>1172858.125</v>
      </c>
      <c r="P152" s="141">
        <v>1327221.25</v>
      </c>
      <c r="Q152" s="141">
        <v>1231675</v>
      </c>
      <c r="R152" s="141">
        <v>1119978.75</v>
      </c>
      <c r="S152" s="141">
        <v>1109991.875</v>
      </c>
      <c r="T152" s="141">
        <v>1139893.125</v>
      </c>
      <c r="U152" s="141">
        <v>1183236.875</v>
      </c>
      <c r="V152" s="141">
        <v>1112889.375</v>
      </c>
      <c r="W152" s="141">
        <v>1286216.875</v>
      </c>
      <c r="X152" s="141">
        <v>1334156.25</v>
      </c>
      <c r="Y152" s="141">
        <v>1374982.5</v>
      </c>
      <c r="Z152" s="141">
        <v>1393222.5</v>
      </c>
      <c r="AA152" s="141">
        <v>1398685</v>
      </c>
      <c r="AB152" s="141">
        <v>1289268.75</v>
      </c>
      <c r="AC152" s="141">
        <v>1190029.375</v>
      </c>
      <c r="AD152" s="141">
        <v>1244226.875</v>
      </c>
      <c r="AE152" s="141">
        <v>1269081.25</v>
      </c>
      <c r="AF152" s="141">
        <v>1211570.625</v>
      </c>
      <c r="AG152" s="141">
        <v>1285872.5</v>
      </c>
      <c r="AH152" s="141">
        <v>1391928.125</v>
      </c>
    </row>
    <row r="155" spans="2:34" s="131" customFormat="1">
      <c r="B155" s="132" t="s">
        <v>101</v>
      </c>
    </row>
    <row r="157" spans="2:34">
      <c r="C157" s="136" t="s">
        <v>95</v>
      </c>
    </row>
    <row r="158" spans="2:34">
      <c r="F158" t="s">
        <v>96</v>
      </c>
      <c r="G158" t="s">
        <v>97</v>
      </c>
      <c r="J158" s="139" cm="1">
        <f t="array" ref="J158:AH158">_xlfn.ANCHORARRAY(J3)</f>
        <v>44592</v>
      </c>
      <c r="K158" s="139">
        <v>44957</v>
      </c>
      <c r="L158" s="139">
        <v>45322</v>
      </c>
      <c r="M158" s="139">
        <v>45688</v>
      </c>
      <c r="N158" s="139">
        <v>46053</v>
      </c>
      <c r="O158" s="139">
        <v>46418</v>
      </c>
      <c r="P158" s="139">
        <v>46783</v>
      </c>
      <c r="Q158" s="139">
        <v>47149</v>
      </c>
      <c r="R158" s="139">
        <v>47514</v>
      </c>
      <c r="S158" s="139">
        <v>47879</v>
      </c>
      <c r="T158" s="139">
        <v>48244</v>
      </c>
      <c r="U158" s="139">
        <v>48610</v>
      </c>
      <c r="V158" s="139">
        <v>48975</v>
      </c>
      <c r="W158" s="139">
        <v>49340</v>
      </c>
      <c r="X158" s="139">
        <v>49705</v>
      </c>
      <c r="Y158" s="139">
        <v>50071</v>
      </c>
      <c r="Z158" s="139">
        <v>50436</v>
      </c>
      <c r="AA158" s="139">
        <v>50801</v>
      </c>
      <c r="AB158" s="139">
        <v>51166</v>
      </c>
      <c r="AC158" s="139">
        <v>51532</v>
      </c>
      <c r="AD158" s="139">
        <v>51897</v>
      </c>
      <c r="AE158" s="139">
        <v>52262</v>
      </c>
      <c r="AF158" s="139">
        <v>52627</v>
      </c>
      <c r="AG158" s="139">
        <v>52993</v>
      </c>
      <c r="AH158" s="139">
        <v>53358</v>
      </c>
    </row>
    <row r="159" spans="2:34">
      <c r="F159" s="133" cm="1">
        <f t="array" ref="F159:G183" xml:space="preserve"> _xlfn.LET(
      _xlpm.date,      INDEX(_xlfn.ANCHORARRAY( $E$8),, 1 ),
      _xlpm.asset,     INDEX(_xlfn.ANCHORARRAY( $E$8),, 3 ),
      _xlfn.DROP( _xlfn.HSTACK( _xlpm.date, _xlpm.asset ), 1 ) )</f>
        <v>2022</v>
      </c>
      <c r="G159">
        <v>2875500</v>
      </c>
      <c r="H159" cm="1">
        <f t="array" ref="H159:H183">_xlfn.BYROW(_xlfn.ANCHORARRAY( J159), _xleta.SUM )</f>
        <v>2727058.6260403572</v>
      </c>
      <c r="J159" s="140" cm="1">
        <f t="array" ref="J159:AH183" xml:space="preserve"> _xlfn.LET(
      _xlpm.acquisition_date,    INDEX(_xlfn.ANCHORARRAY( $F159),,1 ),
      _xlpm.acquisition_cost,    INDEX(_xlfn.ANCHORARRAY( $F159),,2 ),
      _xlpm.current_date,_xlfn.ANCHORARRAY(        J3),
      _xlpm.salvage_value,       CaseData!$G$11,
      _xlpm.depreciable_amount,  _xlpm.acquisition_cost * ( 1 - _xlpm.salvage_value ),
      _xlpm.depreciation_rate,   CaseData!$H$32,
      _xlpm.period,              YEAR( _xlpm.current_date ) - _xlpm.acquisition_date,
      _xlpm.book_value,          _xlpm.depreciable_amount * ( 1 - _xlpm.depreciation_rate ) ^ _xlpm.period,
      _xlpm.depreciation,        _xlpm.depreciation_rate * _xlpm.book_value,
      IFERROR(
        IF( _xlpm.period &lt; 0, 0,
          IF( _xlpm.period &gt;= 0, _xlpm.depreciation, 0 ) ), 0 ) )</f>
        <v>614638.125</v>
      </c>
      <c r="K159">
        <v>476344.546875</v>
      </c>
      <c r="L159">
        <v>369167.02382812503</v>
      </c>
      <c r="M159">
        <v>286104.44346679689</v>
      </c>
      <c r="N159">
        <v>221730.94368676763</v>
      </c>
      <c r="O159">
        <v>171841.48135724492</v>
      </c>
      <c r="P159">
        <v>133177.14805186482</v>
      </c>
      <c r="Q159">
        <v>103212.28974019525</v>
      </c>
      <c r="R159">
        <v>79989.52454865133</v>
      </c>
      <c r="S159">
        <v>61991.881525204786</v>
      </c>
      <c r="T159">
        <v>48043.708182033704</v>
      </c>
      <c r="U159">
        <v>37233.873841076122</v>
      </c>
      <c r="V159">
        <v>28856.252226834</v>
      </c>
      <c r="W159">
        <v>22363.595475796352</v>
      </c>
      <c r="X159">
        <v>17331.786493742176</v>
      </c>
      <c r="Y159">
        <v>13432.134532650187</v>
      </c>
      <c r="Z159">
        <v>10409.904262803895</v>
      </c>
      <c r="AA159">
        <v>8067.6758036730189</v>
      </c>
      <c r="AB159">
        <v>6252.4487478465899</v>
      </c>
      <c r="AC159">
        <v>4845.647779581107</v>
      </c>
      <c r="AD159">
        <v>3755.3770291753585</v>
      </c>
      <c r="AE159">
        <v>2910.4171976109028</v>
      </c>
      <c r="AF159">
        <v>2255.5733281484499</v>
      </c>
      <c r="AG159">
        <v>1748.0693293150489</v>
      </c>
      <c r="AH159">
        <v>1354.7537302191631</v>
      </c>
    </row>
    <row r="160" spans="2:34">
      <c r="F160" s="133">
        <v>2023</v>
      </c>
      <c r="G160">
        <v>835500</v>
      </c>
      <c r="H160">
        <v>791975.51219444256</v>
      </c>
      <c r="J160">
        <v>0</v>
      </c>
      <c r="K160">
        <v>178588.125</v>
      </c>
      <c r="L160">
        <v>138405.796875</v>
      </c>
      <c r="M160">
        <v>107264.49257812502</v>
      </c>
      <c r="N160">
        <v>83129.981748046877</v>
      </c>
      <c r="O160">
        <v>64425.735854736347</v>
      </c>
      <c r="P160">
        <v>49929.945287420669</v>
      </c>
      <c r="Q160">
        <v>38695.707597751025</v>
      </c>
      <c r="R160">
        <v>29989.173388257048</v>
      </c>
      <c r="S160">
        <v>23241.609375899214</v>
      </c>
      <c r="T160">
        <v>18012.24726632189</v>
      </c>
      <c r="U160">
        <v>13959.491631399465</v>
      </c>
      <c r="V160">
        <v>10818.606014334586</v>
      </c>
      <c r="W160">
        <v>8384.4196611093048</v>
      </c>
      <c r="X160">
        <v>6497.9252373597128</v>
      </c>
      <c r="Y160">
        <v>5035.8920589537775</v>
      </c>
      <c r="Z160">
        <v>3902.8163456891775</v>
      </c>
      <c r="AA160">
        <v>3024.6826679091128</v>
      </c>
      <c r="AB160">
        <v>2344.1290676295621</v>
      </c>
      <c r="AC160">
        <v>1816.7000274129111</v>
      </c>
      <c r="AD160">
        <v>1407.942521245006</v>
      </c>
      <c r="AE160">
        <v>1091.1554539648796</v>
      </c>
      <c r="AF160">
        <v>845.64547682278192</v>
      </c>
      <c r="AG160">
        <v>655.37524453765604</v>
      </c>
      <c r="AH160">
        <v>507.9158145166835</v>
      </c>
    </row>
    <row r="161" spans="6:34">
      <c r="F161" s="133">
        <v>2024</v>
      </c>
      <c r="G161">
        <v>1041000</v>
      </c>
      <c r="H161">
        <v>986137.36425075179</v>
      </c>
      <c r="J161">
        <v>0</v>
      </c>
      <c r="K161">
        <v>0</v>
      </c>
      <c r="L161">
        <v>222513.75</v>
      </c>
      <c r="M161">
        <v>172448.15625</v>
      </c>
      <c r="N161">
        <v>133647.32109375004</v>
      </c>
      <c r="O161">
        <v>103576.67384765626</v>
      </c>
      <c r="P161">
        <v>80271.922231933611</v>
      </c>
      <c r="Q161">
        <v>62210.739729748559</v>
      </c>
      <c r="R161">
        <v>48213.323290555134</v>
      </c>
      <c r="S161">
        <v>37365.325550180234</v>
      </c>
      <c r="T161">
        <v>28958.127301389683</v>
      </c>
      <c r="U161">
        <v>22442.548658577005</v>
      </c>
      <c r="V161">
        <v>17392.97521039718</v>
      </c>
      <c r="W161">
        <v>13479.555788057814</v>
      </c>
      <c r="X161">
        <v>10446.655735744807</v>
      </c>
      <c r="Y161">
        <v>8096.1581952022261</v>
      </c>
      <c r="Z161">
        <v>6274.5226012817257</v>
      </c>
      <c r="AA161">
        <v>4862.755015993338</v>
      </c>
      <c r="AB161">
        <v>3768.6351373948373</v>
      </c>
      <c r="AC161">
        <v>2920.692231480999</v>
      </c>
      <c r="AD161">
        <v>2263.5364793977742</v>
      </c>
      <c r="AE161">
        <v>1754.2407715332749</v>
      </c>
      <c r="AF161">
        <v>1359.5365979382882</v>
      </c>
      <c r="AG161">
        <v>1053.6408634021734</v>
      </c>
      <c r="AH161">
        <v>816.57166913668459</v>
      </c>
    </row>
    <row r="162" spans="6:34">
      <c r="F162" s="133">
        <v>2025</v>
      </c>
      <c r="G162">
        <v>906000</v>
      </c>
      <c r="H162">
        <v>857541.43907679478</v>
      </c>
      <c r="J162">
        <v>0</v>
      </c>
      <c r="K162">
        <v>0</v>
      </c>
      <c r="L162">
        <v>0</v>
      </c>
      <c r="M162">
        <v>193657.5</v>
      </c>
      <c r="N162">
        <v>150084.5625</v>
      </c>
      <c r="O162">
        <v>116315.53593750001</v>
      </c>
      <c r="P162">
        <v>90144.540351562508</v>
      </c>
      <c r="Q162">
        <v>69862.018772460957</v>
      </c>
      <c r="R162">
        <v>54143.064548657239</v>
      </c>
      <c r="S162">
        <v>41960.875025209367</v>
      </c>
      <c r="T162">
        <v>32519.678144537262</v>
      </c>
      <c r="U162">
        <v>25202.750562016379</v>
      </c>
      <c r="V162">
        <v>19532.131685562697</v>
      </c>
      <c r="W162">
        <v>15137.402056311092</v>
      </c>
      <c r="X162">
        <v>11731.486593641095</v>
      </c>
      <c r="Y162">
        <v>9091.9021100718492</v>
      </c>
      <c r="Z162">
        <v>7046.2241353056843</v>
      </c>
      <c r="AA162">
        <v>5460.8237048619058</v>
      </c>
      <c r="AB162">
        <v>4232.1383712679772</v>
      </c>
      <c r="AC162">
        <v>3279.9072377326825</v>
      </c>
      <c r="AD162">
        <v>2541.9281092428291</v>
      </c>
      <c r="AE162">
        <v>1969.9942846631925</v>
      </c>
      <c r="AF162">
        <v>1526.7455706139742</v>
      </c>
      <c r="AG162">
        <v>1183.22781722583</v>
      </c>
      <c r="AH162">
        <v>917.00155835001851</v>
      </c>
    </row>
    <row r="163" spans="6:34">
      <c r="F163" s="133">
        <v>2026</v>
      </c>
      <c r="G163">
        <v>904500</v>
      </c>
      <c r="H163">
        <v>855206.18513844709</v>
      </c>
      <c r="J163">
        <v>0</v>
      </c>
      <c r="K163">
        <v>0</v>
      </c>
      <c r="L163">
        <v>0</v>
      </c>
      <c r="M163">
        <v>0</v>
      </c>
      <c r="N163">
        <v>193336.875</v>
      </c>
      <c r="O163">
        <v>149836.078125</v>
      </c>
      <c r="P163">
        <v>116122.96054687501</v>
      </c>
      <c r="Q163">
        <v>89995.294423828134</v>
      </c>
      <c r="R163">
        <v>69746.353178466816</v>
      </c>
      <c r="S163">
        <v>54053.423713311786</v>
      </c>
      <c r="T163">
        <v>41891.403377816641</v>
      </c>
      <c r="U163">
        <v>32465.837617807894</v>
      </c>
      <c r="V163">
        <v>25161.024153801121</v>
      </c>
      <c r="W163">
        <v>19499.79371919587</v>
      </c>
      <c r="X163">
        <v>15112.340132376799</v>
      </c>
      <c r="Y163">
        <v>11712.063602592021</v>
      </c>
      <c r="Z163">
        <v>9076.8492920088174</v>
      </c>
      <c r="AA163">
        <v>7034.5582013068333</v>
      </c>
      <c r="AB163">
        <v>5451.7826060127964</v>
      </c>
      <c r="AC163">
        <v>4225.131519659918</v>
      </c>
      <c r="AD163">
        <v>3274.4769277364362</v>
      </c>
      <c r="AE163">
        <v>2537.7196189957381</v>
      </c>
      <c r="AF163">
        <v>1966.7327047216972</v>
      </c>
      <c r="AG163">
        <v>1524.2178461593155</v>
      </c>
      <c r="AH163">
        <v>1181.2688307734695</v>
      </c>
    </row>
    <row r="164" spans="6:34">
      <c r="F164" s="133">
        <v>2027</v>
      </c>
      <c r="G164">
        <v>2680500</v>
      </c>
      <c r="H164">
        <v>2530916.2942650295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572956.875</v>
      </c>
      <c r="P164">
        <v>444041.578125</v>
      </c>
      <c r="Q164">
        <v>344132.22304687503</v>
      </c>
      <c r="R164">
        <v>266702.47286132816</v>
      </c>
      <c r="S164">
        <v>206694.41646752934</v>
      </c>
      <c r="T164">
        <v>160188.17276233525</v>
      </c>
      <c r="U164">
        <v>124145.83389080982</v>
      </c>
      <c r="V164">
        <v>96213.021265377625</v>
      </c>
      <c r="W164">
        <v>74565.091480667674</v>
      </c>
      <c r="X164">
        <v>57787.945897517449</v>
      </c>
      <c r="Y164">
        <v>44785.658070576021</v>
      </c>
      <c r="Z164">
        <v>34708.885004696422</v>
      </c>
      <c r="AA164">
        <v>26899.385878639729</v>
      </c>
      <c r="AB164">
        <v>20847.024055945789</v>
      </c>
      <c r="AC164">
        <v>16156.44364335799</v>
      </c>
      <c r="AD164">
        <v>12521.243823602443</v>
      </c>
      <c r="AE164">
        <v>9703.9639632918934</v>
      </c>
      <c r="AF164">
        <v>7520.5720715512161</v>
      </c>
      <c r="AG164">
        <v>5828.4433554521938</v>
      </c>
      <c r="AH164">
        <v>4517.0436004754501</v>
      </c>
    </row>
    <row r="165" spans="6:34">
      <c r="F165" s="133">
        <v>2028</v>
      </c>
      <c r="G165">
        <v>202500</v>
      </c>
      <c r="H165">
        <v>190858.36532720472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43284.375</v>
      </c>
      <c r="Q165">
        <v>33545.390625</v>
      </c>
      <c r="R165">
        <v>25997.677734375004</v>
      </c>
      <c r="S165">
        <v>20148.200244140629</v>
      </c>
      <c r="T165">
        <v>15614.855189208989</v>
      </c>
      <c r="U165">
        <v>12101.512771636966</v>
      </c>
      <c r="V165">
        <v>9378.6723980186507</v>
      </c>
      <c r="W165">
        <v>7268.4711084644541</v>
      </c>
      <c r="X165">
        <v>5633.0651090599522</v>
      </c>
      <c r="Y165">
        <v>4365.6254595214641</v>
      </c>
      <c r="Z165">
        <v>3383.3597311291342</v>
      </c>
      <c r="AA165">
        <v>2622.1037916250789</v>
      </c>
      <c r="AB165">
        <v>2032.1304385094368</v>
      </c>
      <c r="AC165">
        <v>1574.9010898448134</v>
      </c>
      <c r="AD165">
        <v>1220.5483446297305</v>
      </c>
      <c r="AE165">
        <v>945.92496708804129</v>
      </c>
      <c r="AF165">
        <v>733.09184949323208</v>
      </c>
      <c r="AG165">
        <v>568.14618335725481</v>
      </c>
      <c r="AH165">
        <v>440.31329210187249</v>
      </c>
    </row>
    <row r="166" spans="6:34">
      <c r="F166" s="133">
        <v>2029</v>
      </c>
      <c r="G166">
        <v>1611000</v>
      </c>
      <c r="H166">
        <v>1514881.3917459289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344351.25</v>
      </c>
      <c r="R166">
        <v>266872.21875</v>
      </c>
      <c r="S166">
        <v>206825.96953125004</v>
      </c>
      <c r="T166">
        <v>160290.12638671877</v>
      </c>
      <c r="U166">
        <v>124224.84794970705</v>
      </c>
      <c r="V166">
        <v>96274.257161022979</v>
      </c>
      <c r="W166">
        <v>74612.549299792823</v>
      </c>
      <c r="X166">
        <v>57824.725707339436</v>
      </c>
      <c r="Y166">
        <v>44814.162423188063</v>
      </c>
      <c r="Z166">
        <v>34730.975877970755</v>
      </c>
      <c r="AA166">
        <v>26916.506305427334</v>
      </c>
      <c r="AB166">
        <v>20860.292386706187</v>
      </c>
      <c r="AC166">
        <v>16166.726599697296</v>
      </c>
      <c r="AD166">
        <v>12529.213114765405</v>
      </c>
      <c r="AE166">
        <v>9710.1401639431915</v>
      </c>
      <c r="AF166">
        <v>7525.3586270559726</v>
      </c>
      <c r="AG166">
        <v>5832.1529359683791</v>
      </c>
      <c r="AH166">
        <v>4519.918525375494</v>
      </c>
    </row>
    <row r="167" spans="6:34" s="137" customFormat="1">
      <c r="F167" s="138">
        <v>2030</v>
      </c>
      <c r="G167" s="137">
        <v>1972500</v>
      </c>
      <c r="H167" s="137">
        <v>1849278.7125558916</v>
      </c>
      <c r="J167" s="137">
        <v>0</v>
      </c>
      <c r="K167" s="137">
        <v>0</v>
      </c>
      <c r="L167" s="137">
        <v>0</v>
      </c>
      <c r="M167" s="137">
        <v>0</v>
      </c>
      <c r="N167" s="137">
        <v>0</v>
      </c>
      <c r="O167" s="137">
        <v>0</v>
      </c>
      <c r="P167" s="137">
        <v>0</v>
      </c>
      <c r="Q167" s="137">
        <v>0</v>
      </c>
      <c r="R167" s="137">
        <v>421621.875</v>
      </c>
      <c r="S167" s="137">
        <v>326756.953125</v>
      </c>
      <c r="T167" s="137">
        <v>253236.63867187506</v>
      </c>
      <c r="U167" s="137">
        <v>196258.39497070314</v>
      </c>
      <c r="V167" s="137">
        <v>152100.25610229498</v>
      </c>
      <c r="W167" s="137">
        <v>117877.6984792786</v>
      </c>
      <c r="X167" s="137">
        <v>91355.216321440937</v>
      </c>
      <c r="Y167" s="137">
        <v>70800.292649116716</v>
      </c>
      <c r="Z167" s="137">
        <v>54870.226803065467</v>
      </c>
      <c r="AA167" s="137">
        <v>42524.42577237574</v>
      </c>
      <c r="AB167" s="137">
        <v>32956.429973591192</v>
      </c>
      <c r="AC167" s="137">
        <v>25541.23322953318</v>
      </c>
      <c r="AD167" s="137">
        <v>19794.455752888218</v>
      </c>
      <c r="AE167" s="137">
        <v>15340.70320848837</v>
      </c>
      <c r="AF167" s="137">
        <v>11889.044986578487</v>
      </c>
      <c r="AG167" s="137">
        <v>9214.0098645983289</v>
      </c>
      <c r="AH167" s="137">
        <v>7140.8576450637047</v>
      </c>
    </row>
    <row r="168" spans="6:34">
      <c r="F168" s="133">
        <v>2031</v>
      </c>
      <c r="G168">
        <v>1746000</v>
      </c>
      <c r="H168">
        <v>1630607.1962860869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373207.5</v>
      </c>
      <c r="T168">
        <v>289235.8125</v>
      </c>
      <c r="U168">
        <v>224157.75468750004</v>
      </c>
      <c r="V168">
        <v>173722.2598828125</v>
      </c>
      <c r="W168">
        <v>134634.75140917973</v>
      </c>
      <c r="X168">
        <v>104341.93234211429</v>
      </c>
      <c r="Y168">
        <v>80864.997565138576</v>
      </c>
      <c r="Z168">
        <v>62670.373112982401</v>
      </c>
      <c r="AA168">
        <v>48569.53916256137</v>
      </c>
      <c r="AB168">
        <v>37641.392850985067</v>
      </c>
      <c r="AC168">
        <v>29172.079459513421</v>
      </c>
      <c r="AD168">
        <v>22608.361581122903</v>
      </c>
      <c r="AE168">
        <v>17521.480225370255</v>
      </c>
      <c r="AF168">
        <v>13579.147174661948</v>
      </c>
      <c r="AG168">
        <v>10523.839060363011</v>
      </c>
      <c r="AH168">
        <v>8155.9752717813335</v>
      </c>
    </row>
    <row r="169" spans="6:34">
      <c r="F169" s="133">
        <v>2032</v>
      </c>
      <c r="G169">
        <v>3414000</v>
      </c>
      <c r="H169">
        <v>3172421.8032891406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729742.5</v>
      </c>
      <c r="U169">
        <v>565550.4375</v>
      </c>
      <c r="V169">
        <v>438301.58906250005</v>
      </c>
      <c r="W169">
        <v>339683.73152343754</v>
      </c>
      <c r="X169">
        <v>263254.89193066413</v>
      </c>
      <c r="Y169">
        <v>204022.54124626471</v>
      </c>
      <c r="Z169">
        <v>158117.46946585519</v>
      </c>
      <c r="AA169">
        <v>122541.03883603777</v>
      </c>
      <c r="AB169">
        <v>94969.305097929275</v>
      </c>
      <c r="AC169">
        <v>73601.211450895207</v>
      </c>
      <c r="AD169">
        <v>57040.938874443775</v>
      </c>
      <c r="AE169">
        <v>44206.727627693923</v>
      </c>
      <c r="AF169">
        <v>34260.213911462801</v>
      </c>
      <c r="AG169">
        <v>26551.665781383672</v>
      </c>
      <c r="AH169">
        <v>20577.54098057235</v>
      </c>
    </row>
    <row r="170" spans="6:34">
      <c r="F170" s="133">
        <v>2033</v>
      </c>
      <c r="G170">
        <v>580500</v>
      </c>
      <c r="H170">
        <v>535924.3099795325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124081.875</v>
      </c>
      <c r="V170">
        <v>96163.453125</v>
      </c>
      <c r="W170">
        <v>74526.67617187502</v>
      </c>
      <c r="X170">
        <v>57758.174033203133</v>
      </c>
      <c r="Y170">
        <v>44762.584875732435</v>
      </c>
      <c r="Z170">
        <v>34691.003278692639</v>
      </c>
      <c r="AA170">
        <v>26885.527540986797</v>
      </c>
      <c r="AB170">
        <v>20836.28384426477</v>
      </c>
      <c r="AC170">
        <v>16148.119979305198</v>
      </c>
      <c r="AD170">
        <v>12514.79298396153</v>
      </c>
      <c r="AE170">
        <v>9698.9645625701851</v>
      </c>
      <c r="AF170">
        <v>7516.6975359918943</v>
      </c>
      <c r="AG170">
        <v>5825.4405903937186</v>
      </c>
      <c r="AH170">
        <v>4514.7164575551324</v>
      </c>
    </row>
    <row r="171" spans="6:34">
      <c r="F171" s="133">
        <v>2034</v>
      </c>
      <c r="G171">
        <v>1408500</v>
      </c>
      <c r="H171">
        <v>1289389.1687781313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301066.875</v>
      </c>
      <c r="W171">
        <v>233326.828125</v>
      </c>
      <c r="X171">
        <v>180828.29179687504</v>
      </c>
      <c r="Y171">
        <v>140141.92614257813</v>
      </c>
      <c r="Z171">
        <v>108609.99276049808</v>
      </c>
      <c r="AA171">
        <v>84172.744389386004</v>
      </c>
      <c r="AB171">
        <v>65233.876901774172</v>
      </c>
      <c r="AC171">
        <v>50556.254598874984</v>
      </c>
      <c r="AD171">
        <v>39181.097314128114</v>
      </c>
      <c r="AE171">
        <v>30365.350418449292</v>
      </c>
      <c r="AF171">
        <v>23533.1465742982</v>
      </c>
      <c r="AG171">
        <v>18238.188595081105</v>
      </c>
      <c r="AH171">
        <v>14134.596161187859</v>
      </c>
    </row>
    <row r="172" spans="6:34">
      <c r="F172" s="133">
        <v>2035</v>
      </c>
      <c r="G172">
        <v>1557000</v>
      </c>
      <c r="H172">
        <v>1409706.3326692088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332808.75</v>
      </c>
      <c r="X172">
        <v>257926.78125</v>
      </c>
      <c r="Y172">
        <v>199893.25546875002</v>
      </c>
      <c r="Z172">
        <v>154917.27298828127</v>
      </c>
      <c r="AA172">
        <v>120060.886565918</v>
      </c>
      <c r="AB172">
        <v>93047.187088586448</v>
      </c>
      <c r="AC172">
        <v>72111.569993654513</v>
      </c>
      <c r="AD172">
        <v>55886.466745082245</v>
      </c>
      <c r="AE172">
        <v>43312.011727438752</v>
      </c>
      <c r="AF172">
        <v>33566.809088765032</v>
      </c>
      <c r="AG172">
        <v>26014.277043792899</v>
      </c>
      <c r="AH172">
        <v>20161.064708939499</v>
      </c>
    </row>
    <row r="173" spans="6:34">
      <c r="F173" s="133">
        <v>2036</v>
      </c>
      <c r="G173">
        <v>2593500</v>
      </c>
      <c r="H173">
        <v>2314570.1043384443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554360.625</v>
      </c>
      <c r="Y173">
        <v>429629.484375</v>
      </c>
      <c r="Z173">
        <v>332962.85039062507</v>
      </c>
      <c r="AA173">
        <v>258046.2090527344</v>
      </c>
      <c r="AB173">
        <v>199985.81201586919</v>
      </c>
      <c r="AC173">
        <v>154989.00431229864</v>
      </c>
      <c r="AD173">
        <v>120116.47834203146</v>
      </c>
      <c r="AE173">
        <v>93090.270715074381</v>
      </c>
      <c r="AF173">
        <v>72144.959804182654</v>
      </c>
      <c r="AG173">
        <v>55912.343848241559</v>
      </c>
      <c r="AH173">
        <v>43332.066482387207</v>
      </c>
    </row>
    <row r="174" spans="6:34">
      <c r="F174" s="133">
        <v>2037</v>
      </c>
      <c r="G174">
        <v>342000</v>
      </c>
      <c r="H174">
        <v>299503.91707991966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73102.5</v>
      </c>
      <c r="Z174">
        <v>56654.4375</v>
      </c>
      <c r="AA174">
        <v>43907.189062500009</v>
      </c>
      <c r="AB174">
        <v>34028.071523437502</v>
      </c>
      <c r="AC174">
        <v>26371.75543066407</v>
      </c>
      <c r="AD174">
        <v>20438.110458764655</v>
      </c>
      <c r="AE174">
        <v>15839.535605542609</v>
      </c>
      <c r="AF174">
        <v>12275.640094295522</v>
      </c>
      <c r="AG174">
        <v>9513.6210730790317</v>
      </c>
      <c r="AH174">
        <v>7373.0563316362504</v>
      </c>
    </row>
    <row r="175" spans="6:34">
      <c r="F175" s="133">
        <v>2038</v>
      </c>
      <c r="G175">
        <v>3333000</v>
      </c>
      <c r="H175">
        <v>2846994.6165907271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712428.75</v>
      </c>
      <c r="AA175">
        <v>552132.28125</v>
      </c>
      <c r="AB175">
        <v>427902.51796875003</v>
      </c>
      <c r="AC175">
        <v>331624.4514257813</v>
      </c>
      <c r="AD175">
        <v>257008.94985498051</v>
      </c>
      <c r="AE175">
        <v>199181.93613760994</v>
      </c>
      <c r="AF175">
        <v>154366.00050664772</v>
      </c>
      <c r="AG175">
        <v>119633.65039265199</v>
      </c>
      <c r="AH175">
        <v>92716.079054305301</v>
      </c>
    </row>
    <row r="176" spans="6:34">
      <c r="F176" s="133">
        <v>2039</v>
      </c>
      <c r="G176">
        <v>610500</v>
      </c>
      <c r="H176">
        <v>504496.56380617624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130494.375</v>
      </c>
      <c r="AB176">
        <v>101133.140625</v>
      </c>
      <c r="AC176">
        <v>78378.18398437502</v>
      </c>
      <c r="AD176">
        <v>60743.092587890635</v>
      </c>
      <c r="AE176">
        <v>47075.896755615249</v>
      </c>
      <c r="AF176">
        <v>36483.819985601818</v>
      </c>
      <c r="AG176">
        <v>28274.960488841414</v>
      </c>
      <c r="AH176">
        <v>21913.094378852093</v>
      </c>
    </row>
    <row r="177" spans="3:34">
      <c r="F177" s="133">
        <v>2040</v>
      </c>
      <c r="G177">
        <v>891000</v>
      </c>
      <c r="H177">
        <v>704311.009434473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190451.25</v>
      </c>
      <c r="AC177">
        <v>147599.71875</v>
      </c>
      <c r="AD177">
        <v>114389.78203125001</v>
      </c>
      <c r="AE177">
        <v>88652.08107421876</v>
      </c>
      <c r="AF177">
        <v>68705.362832519546</v>
      </c>
      <c r="AG177">
        <v>53246.656195202646</v>
      </c>
      <c r="AH177">
        <v>41266.15855128206</v>
      </c>
    </row>
    <row r="178" spans="3:34">
      <c r="F178" s="133">
        <v>2041</v>
      </c>
      <c r="G178">
        <v>2190000</v>
      </c>
      <c r="H178">
        <v>1629706.1991405028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468112.5</v>
      </c>
      <c r="AD178">
        <v>362787.1875</v>
      </c>
      <c r="AE178">
        <v>281160.07031250006</v>
      </c>
      <c r="AF178">
        <v>217899.05449218754</v>
      </c>
      <c r="AG178">
        <v>168871.76723144535</v>
      </c>
      <c r="AH178">
        <v>130875.61960437016</v>
      </c>
    </row>
    <row r="179" spans="3:34">
      <c r="F179" s="133">
        <v>2042</v>
      </c>
      <c r="G179">
        <v>1998000</v>
      </c>
      <c r="H179">
        <v>1367426.2547548828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427072.5</v>
      </c>
      <c r="AE179">
        <v>330981.1875</v>
      </c>
      <c r="AF179">
        <v>256510.42031250006</v>
      </c>
      <c r="AG179">
        <v>198795.57574218753</v>
      </c>
      <c r="AH179">
        <v>154066.57120019535</v>
      </c>
    </row>
    <row r="180" spans="3:34">
      <c r="F180" s="133">
        <v>2043</v>
      </c>
      <c r="G180">
        <v>2052000</v>
      </c>
      <c r="H180">
        <v>1246153.1885156252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438615</v>
      </c>
      <c r="AF180">
        <v>339926.625</v>
      </c>
      <c r="AG180">
        <v>263443.13437500008</v>
      </c>
      <c r="AH180">
        <v>204168.42914062503</v>
      </c>
    </row>
    <row r="181" spans="3:34">
      <c r="F181" s="133">
        <v>2044</v>
      </c>
      <c r="G181">
        <v>2227500</v>
      </c>
      <c r="H181">
        <v>1131101.876953125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476128.125</v>
      </c>
      <c r="AG181">
        <v>368999.296875</v>
      </c>
      <c r="AH181">
        <v>285974.45507812506</v>
      </c>
    </row>
    <row r="182" spans="3:34">
      <c r="F182" s="133">
        <v>2045</v>
      </c>
      <c r="G182">
        <v>1312500</v>
      </c>
      <c r="H182">
        <v>497970.703125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280546.875</v>
      </c>
      <c r="AH182">
        <v>217423.828125</v>
      </c>
    </row>
    <row r="183" spans="3:34">
      <c r="F183" s="133">
        <v>2046</v>
      </c>
      <c r="G183">
        <v>2460000</v>
      </c>
      <c r="H183">
        <v>525825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525825</v>
      </c>
    </row>
    <row r="184" spans="3:34">
      <c r="J184" s="141" cm="1">
        <f t="array" ref="J184:AH184">_xlfn.BYCOL(_xlfn.ANCHORARRAY( J159), _xleta.SUM )</f>
        <v>614638.125</v>
      </c>
      <c r="K184" s="141">
        <v>654932.671875</v>
      </c>
      <c r="L184" s="141">
        <v>730086.57070312509</v>
      </c>
      <c r="M184" s="141">
        <v>759474.59229492187</v>
      </c>
      <c r="N184" s="141">
        <v>781929.6840285646</v>
      </c>
      <c r="O184" s="141">
        <v>1178952.3801221375</v>
      </c>
      <c r="P184" s="141">
        <v>956972.46959465661</v>
      </c>
      <c r="Q184" s="141">
        <v>1086004.913935859</v>
      </c>
      <c r="R184" s="141">
        <v>1263275.6833002907</v>
      </c>
      <c r="S184" s="141">
        <v>1352246.1545577254</v>
      </c>
      <c r="T184" s="141">
        <v>1777733.2697822372</v>
      </c>
      <c r="U184" s="141">
        <v>1501825.1590812339</v>
      </c>
      <c r="V184" s="141">
        <v>1464981.3732879562</v>
      </c>
      <c r="W184" s="141">
        <v>1468169.3142981664</v>
      </c>
      <c r="X184" s="141">
        <v>1692191.843581079</v>
      </c>
      <c r="Y184" s="141">
        <v>1384551.1787753361</v>
      </c>
      <c r="Z184" s="141">
        <v>1785455.9135508859</v>
      </c>
      <c r="AA184" s="141">
        <v>1514222.7080019363</v>
      </c>
      <c r="AB184" s="141">
        <v>1363973.8487015008</v>
      </c>
      <c r="AC184" s="141">
        <v>1525192.2327436632</v>
      </c>
      <c r="AD184" s="141">
        <v>1609096.4803763391</v>
      </c>
      <c r="AE184" s="141">
        <v>1685664.7722916629</v>
      </c>
      <c r="AF184" s="141">
        <v>1782518.3235260388</v>
      </c>
      <c r="AG184" s="141">
        <v>1661998.5757326803</v>
      </c>
      <c r="AH184" s="141">
        <v>1813873.8961928273</v>
      </c>
    </row>
    <row r="186" spans="3:34">
      <c r="C186" s="136" t="s">
        <v>98</v>
      </c>
    </row>
    <row r="187" spans="3:34">
      <c r="F187" t="s">
        <v>96</v>
      </c>
      <c r="G187" t="s">
        <v>97</v>
      </c>
      <c r="J187" s="139" cm="1">
        <f t="array" ref="J187:AH187">_xlfn.ANCHORARRAY($J$3)</f>
        <v>44592</v>
      </c>
      <c r="K187" s="139">
        <v>44957</v>
      </c>
      <c r="L187" s="139">
        <v>45322</v>
      </c>
      <c r="M187" s="139">
        <v>45688</v>
      </c>
      <c r="N187" s="139">
        <v>46053</v>
      </c>
      <c r="O187" s="139">
        <v>46418</v>
      </c>
      <c r="P187" s="139">
        <v>46783</v>
      </c>
      <c r="Q187" s="139">
        <v>47149</v>
      </c>
      <c r="R187" s="139">
        <v>47514</v>
      </c>
      <c r="S187" s="139">
        <v>47879</v>
      </c>
      <c r="T187" s="139">
        <v>48244</v>
      </c>
      <c r="U187" s="139">
        <v>48610</v>
      </c>
      <c r="V187" s="139">
        <v>48975</v>
      </c>
      <c r="W187" s="139">
        <v>49340</v>
      </c>
      <c r="X187" s="139">
        <v>49705</v>
      </c>
      <c r="Y187" s="139">
        <v>50071</v>
      </c>
      <c r="Z187" s="139">
        <v>50436</v>
      </c>
      <c r="AA187" s="139">
        <v>50801</v>
      </c>
      <c r="AB187" s="139">
        <v>51166</v>
      </c>
      <c r="AC187" s="139">
        <v>51532</v>
      </c>
      <c r="AD187" s="139">
        <v>51897</v>
      </c>
      <c r="AE187" s="139">
        <v>52262</v>
      </c>
      <c r="AF187" s="139">
        <v>52627</v>
      </c>
      <c r="AG187" s="139">
        <v>52993</v>
      </c>
      <c r="AH187" s="139">
        <v>53358</v>
      </c>
    </row>
    <row r="188" spans="3:34">
      <c r="F188" s="133" cm="1">
        <f t="array" ref="F188:G212" xml:space="preserve"> _xlfn.LET(
      _xlpm.date,      INDEX(_xlfn.ANCHORARRAY( $E$8),, 1 ),
      _xlpm.asset,     INDEX(_xlfn.ANCHORARRAY( $E$8),, 3 ),
      _xlfn.DROP( _xlfn.HSTACK( _xlpm.date, _xlpm.asset ), 1 ) )</f>
        <v>2022</v>
      </c>
      <c r="G188">
        <v>2875500</v>
      </c>
      <c r="H188" cm="1">
        <f t="array" ref="H188:H212">_xlfn.BYROW(_xlfn.ANCHORARRAY( J188), _xleta.SUM )</f>
        <v>2731725</v>
      </c>
      <c r="J188" s="140" cm="1">
        <f t="array" ref="J188:AH212" xml:space="preserve"> _xlfn.LET(
      _xlpm.acquisition_date,    INDEX(_xlfn.ANCHORARRAY( $F188),,1 ),
      _xlpm.acquisition_cost,    INDEX(_xlfn.ANCHORARRAY( $F188),,2 ),
      _xlpm.current_date,_xlfn.ANCHORARRAY(        $J$3),
      _xlpm.salvage_value,       CaseData!$G$11,
      _xlpm.depreciable_amount,  _xlpm.acquisition_cost * ( 1 - _xlpm.salvage_value ),
      _xlpm.useful_life,         CaseData!$H$33,
      _xlpm.period,              YEAR( _xlpm.current_date ) - _xlpm.acquisition_date,
      _xlpm.depreciation,        _xlpm.depreciable_amount / _xlpm.useful_life,
      _xlpm.accumulated_depr,    _xlpm.depreciation * ( _xlpm.period ),
      _xlpm.book_value,          _xlpm.depreciable_amount - accumulated_dep,
      IFERROR(
        IF( _xlpm.period &lt; 0, 0,
          IF( _xlpm.period &lt; _xlpm.useful_life, _xlpm.depreciation, IF( _xlpm.book_value &gt; 0, _xlpm.book_value, 0 ) ) ), 0 ) )</f>
        <v>273172.5</v>
      </c>
      <c r="K188">
        <v>273172.5</v>
      </c>
      <c r="L188">
        <v>273172.5</v>
      </c>
      <c r="M188">
        <v>273172.5</v>
      </c>
      <c r="N188">
        <v>273172.5</v>
      </c>
      <c r="O188">
        <v>273172.5</v>
      </c>
      <c r="P188">
        <v>273172.5</v>
      </c>
      <c r="Q188">
        <v>273172.5</v>
      </c>
      <c r="R188">
        <v>273172.5</v>
      </c>
      <c r="S188">
        <v>273172.5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3:34">
      <c r="F189" s="133">
        <v>2023</v>
      </c>
      <c r="G189">
        <v>835500</v>
      </c>
      <c r="H189">
        <v>793725</v>
      </c>
      <c r="J189">
        <v>0</v>
      </c>
      <c r="K189">
        <v>79372.5</v>
      </c>
      <c r="L189">
        <v>79372.5</v>
      </c>
      <c r="M189">
        <v>79372.5</v>
      </c>
      <c r="N189">
        <v>79372.5</v>
      </c>
      <c r="O189">
        <v>79372.5</v>
      </c>
      <c r="P189">
        <v>79372.5</v>
      </c>
      <c r="Q189">
        <v>79372.5</v>
      </c>
      <c r="R189">
        <v>79372.5</v>
      </c>
      <c r="S189">
        <v>79372.5</v>
      </c>
      <c r="T189">
        <v>79372.5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3:34">
      <c r="F190" s="133">
        <v>2024</v>
      </c>
      <c r="G190">
        <v>1041000</v>
      </c>
      <c r="H190">
        <v>988950</v>
      </c>
      <c r="J190">
        <v>0</v>
      </c>
      <c r="K190">
        <v>0</v>
      </c>
      <c r="L190">
        <v>98895</v>
      </c>
      <c r="M190">
        <v>98895</v>
      </c>
      <c r="N190">
        <v>98895</v>
      </c>
      <c r="O190">
        <v>98895</v>
      </c>
      <c r="P190">
        <v>98895</v>
      </c>
      <c r="Q190">
        <v>98895</v>
      </c>
      <c r="R190">
        <v>98895</v>
      </c>
      <c r="S190">
        <v>98895</v>
      </c>
      <c r="T190">
        <v>98895</v>
      </c>
      <c r="U190">
        <v>98895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</row>
    <row r="191" spans="3:34">
      <c r="F191" s="133">
        <v>2025</v>
      </c>
      <c r="G191">
        <v>906000</v>
      </c>
      <c r="H191">
        <v>860700</v>
      </c>
      <c r="J191">
        <v>0</v>
      </c>
      <c r="K191">
        <v>0</v>
      </c>
      <c r="L191">
        <v>0</v>
      </c>
      <c r="M191">
        <v>86070</v>
      </c>
      <c r="N191">
        <v>86070</v>
      </c>
      <c r="O191">
        <v>86070</v>
      </c>
      <c r="P191">
        <v>86070</v>
      </c>
      <c r="Q191">
        <v>86070</v>
      </c>
      <c r="R191">
        <v>86070</v>
      </c>
      <c r="S191">
        <v>86070</v>
      </c>
      <c r="T191">
        <v>86070</v>
      </c>
      <c r="U191">
        <v>86070</v>
      </c>
      <c r="V191">
        <v>86070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</row>
    <row r="192" spans="3:34">
      <c r="F192" s="133">
        <v>2026</v>
      </c>
      <c r="G192">
        <v>904500</v>
      </c>
      <c r="H192">
        <v>859275</v>
      </c>
      <c r="J192">
        <v>0</v>
      </c>
      <c r="K192">
        <v>0</v>
      </c>
      <c r="L192">
        <v>0</v>
      </c>
      <c r="M192">
        <v>0</v>
      </c>
      <c r="N192">
        <v>85927.5</v>
      </c>
      <c r="O192">
        <v>85927.5</v>
      </c>
      <c r="P192">
        <v>85927.5</v>
      </c>
      <c r="Q192">
        <v>85927.5</v>
      </c>
      <c r="R192">
        <v>85927.5</v>
      </c>
      <c r="S192">
        <v>85927.5</v>
      </c>
      <c r="T192">
        <v>85927.5</v>
      </c>
      <c r="U192">
        <v>85927.5</v>
      </c>
      <c r="V192">
        <v>85927.5</v>
      </c>
      <c r="W192">
        <v>85927.5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</row>
    <row r="193" spans="6:34">
      <c r="F193" s="133">
        <v>2027</v>
      </c>
      <c r="G193">
        <v>2680500</v>
      </c>
      <c r="H193">
        <v>2546475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254647.5</v>
      </c>
      <c r="P193">
        <v>254647.5</v>
      </c>
      <c r="Q193">
        <v>254647.5</v>
      </c>
      <c r="R193">
        <v>254647.5</v>
      </c>
      <c r="S193">
        <v>254647.5</v>
      </c>
      <c r="T193">
        <v>254647.5</v>
      </c>
      <c r="U193">
        <v>254647.5</v>
      </c>
      <c r="V193">
        <v>254647.5</v>
      </c>
      <c r="W193">
        <v>254647.5</v>
      </c>
      <c r="X193">
        <v>254647.5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6:34">
      <c r="F194" s="133">
        <v>2028</v>
      </c>
      <c r="G194">
        <v>202500</v>
      </c>
      <c r="H194">
        <v>192375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19237.5</v>
      </c>
      <c r="Q194">
        <v>19237.5</v>
      </c>
      <c r="R194">
        <v>19237.5</v>
      </c>
      <c r="S194">
        <v>19237.5</v>
      </c>
      <c r="T194">
        <v>19237.5</v>
      </c>
      <c r="U194">
        <v>19237.5</v>
      </c>
      <c r="V194">
        <v>19237.5</v>
      </c>
      <c r="W194">
        <v>19237.5</v>
      </c>
      <c r="X194">
        <v>19237.5</v>
      </c>
      <c r="Y194">
        <v>19237.5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</row>
    <row r="195" spans="6:34">
      <c r="F195" s="133">
        <v>2029</v>
      </c>
      <c r="G195">
        <v>1611000</v>
      </c>
      <c r="H195">
        <v>1530450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153045</v>
      </c>
      <c r="R195">
        <v>153045</v>
      </c>
      <c r="S195">
        <v>153045</v>
      </c>
      <c r="T195">
        <v>153045</v>
      </c>
      <c r="U195">
        <v>153045</v>
      </c>
      <c r="V195">
        <v>153045</v>
      </c>
      <c r="W195">
        <v>153045</v>
      </c>
      <c r="X195">
        <v>153045</v>
      </c>
      <c r="Y195">
        <v>153045</v>
      </c>
      <c r="Z195">
        <v>153045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6:34">
      <c r="F196" s="133">
        <v>2030</v>
      </c>
      <c r="G196">
        <v>1972500</v>
      </c>
      <c r="H196">
        <v>1873875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187387.5</v>
      </c>
      <c r="S196">
        <v>187387.5</v>
      </c>
      <c r="T196">
        <v>187387.5</v>
      </c>
      <c r="U196">
        <v>187387.5</v>
      </c>
      <c r="V196">
        <v>187387.5</v>
      </c>
      <c r="W196">
        <v>187387.5</v>
      </c>
      <c r="X196">
        <v>187387.5</v>
      </c>
      <c r="Y196">
        <v>187387.5</v>
      </c>
      <c r="Z196">
        <v>187387.5</v>
      </c>
      <c r="AA196">
        <v>187387.5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6:34">
      <c r="F197" s="133">
        <v>2031</v>
      </c>
      <c r="G197">
        <v>1746000</v>
      </c>
      <c r="H197">
        <v>1658700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165870</v>
      </c>
      <c r="T197">
        <v>165870</v>
      </c>
      <c r="U197">
        <v>165870</v>
      </c>
      <c r="V197">
        <v>165870</v>
      </c>
      <c r="W197">
        <v>165870</v>
      </c>
      <c r="X197">
        <v>165870</v>
      </c>
      <c r="Y197">
        <v>165870</v>
      </c>
      <c r="Z197">
        <v>165870</v>
      </c>
      <c r="AA197">
        <v>165870</v>
      </c>
      <c r="AB197">
        <v>165870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 spans="6:34">
      <c r="F198" s="133">
        <v>2032</v>
      </c>
      <c r="G198">
        <v>3414000</v>
      </c>
      <c r="H198">
        <v>3243300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324330</v>
      </c>
      <c r="U198">
        <v>324330</v>
      </c>
      <c r="V198">
        <v>324330</v>
      </c>
      <c r="W198">
        <v>324330</v>
      </c>
      <c r="X198">
        <v>324330</v>
      </c>
      <c r="Y198">
        <v>324330</v>
      </c>
      <c r="Z198">
        <v>324330</v>
      </c>
      <c r="AA198">
        <v>324330</v>
      </c>
      <c r="AB198">
        <v>324330</v>
      </c>
      <c r="AC198">
        <v>324330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6:34">
      <c r="F199" s="133">
        <v>2033</v>
      </c>
      <c r="G199">
        <v>580500</v>
      </c>
      <c r="H199">
        <v>551475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55147.5</v>
      </c>
      <c r="V199">
        <v>55147.5</v>
      </c>
      <c r="W199">
        <v>55147.5</v>
      </c>
      <c r="X199">
        <v>55147.5</v>
      </c>
      <c r="Y199">
        <v>55147.5</v>
      </c>
      <c r="Z199">
        <v>55147.5</v>
      </c>
      <c r="AA199">
        <v>55147.5</v>
      </c>
      <c r="AB199">
        <v>55147.5</v>
      </c>
      <c r="AC199">
        <v>55147.5</v>
      </c>
      <c r="AD199">
        <v>55147.5</v>
      </c>
      <c r="AE199">
        <v>0</v>
      </c>
      <c r="AF199">
        <v>0</v>
      </c>
      <c r="AG199">
        <v>0</v>
      </c>
      <c r="AH199">
        <v>0</v>
      </c>
    </row>
    <row r="200" spans="6:34">
      <c r="F200" s="133">
        <v>2034</v>
      </c>
      <c r="G200">
        <v>1408500</v>
      </c>
      <c r="H200">
        <v>1338075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133807.5</v>
      </c>
      <c r="W200">
        <v>133807.5</v>
      </c>
      <c r="X200">
        <v>133807.5</v>
      </c>
      <c r="Y200">
        <v>133807.5</v>
      </c>
      <c r="Z200">
        <v>133807.5</v>
      </c>
      <c r="AA200">
        <v>133807.5</v>
      </c>
      <c r="AB200">
        <v>133807.5</v>
      </c>
      <c r="AC200">
        <v>133807.5</v>
      </c>
      <c r="AD200">
        <v>133807.5</v>
      </c>
      <c r="AE200">
        <v>133807.5</v>
      </c>
      <c r="AF200">
        <v>0</v>
      </c>
      <c r="AG200">
        <v>0</v>
      </c>
      <c r="AH200">
        <v>0</v>
      </c>
    </row>
    <row r="201" spans="6:34">
      <c r="F201" s="133">
        <v>2035</v>
      </c>
      <c r="G201">
        <v>1557000</v>
      </c>
      <c r="H201">
        <v>1479150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147915</v>
      </c>
      <c r="X201">
        <v>147915</v>
      </c>
      <c r="Y201">
        <v>147915</v>
      </c>
      <c r="Z201">
        <v>147915</v>
      </c>
      <c r="AA201">
        <v>147915</v>
      </c>
      <c r="AB201">
        <v>147915</v>
      </c>
      <c r="AC201">
        <v>147915</v>
      </c>
      <c r="AD201">
        <v>147915</v>
      </c>
      <c r="AE201">
        <v>147915</v>
      </c>
      <c r="AF201">
        <v>147915</v>
      </c>
      <c r="AG201">
        <v>0</v>
      </c>
      <c r="AH201">
        <v>0</v>
      </c>
    </row>
    <row r="202" spans="6:34">
      <c r="F202" s="133">
        <v>2036</v>
      </c>
      <c r="G202">
        <v>2593500</v>
      </c>
      <c r="H202">
        <v>2463825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246382.5</v>
      </c>
      <c r="Y202">
        <v>246382.5</v>
      </c>
      <c r="Z202">
        <v>246382.5</v>
      </c>
      <c r="AA202">
        <v>246382.5</v>
      </c>
      <c r="AB202">
        <v>246382.5</v>
      </c>
      <c r="AC202">
        <v>246382.5</v>
      </c>
      <c r="AD202">
        <v>246382.5</v>
      </c>
      <c r="AE202">
        <v>246382.5</v>
      </c>
      <c r="AF202">
        <v>246382.5</v>
      </c>
      <c r="AG202">
        <v>246382.5</v>
      </c>
      <c r="AH202">
        <v>0</v>
      </c>
    </row>
    <row r="203" spans="6:34">
      <c r="F203" s="133">
        <v>2037</v>
      </c>
      <c r="G203">
        <v>342000</v>
      </c>
      <c r="H203">
        <v>324900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32490</v>
      </c>
      <c r="Z203">
        <v>32490</v>
      </c>
      <c r="AA203">
        <v>32490</v>
      </c>
      <c r="AB203">
        <v>32490</v>
      </c>
      <c r="AC203">
        <v>32490</v>
      </c>
      <c r="AD203">
        <v>32490</v>
      </c>
      <c r="AE203">
        <v>32490</v>
      </c>
      <c r="AF203">
        <v>32490</v>
      </c>
      <c r="AG203">
        <v>32490</v>
      </c>
      <c r="AH203">
        <v>32490</v>
      </c>
    </row>
    <row r="204" spans="6:34">
      <c r="F204" s="133">
        <v>2038</v>
      </c>
      <c r="G204">
        <v>3333000</v>
      </c>
      <c r="H204">
        <v>2849715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316635</v>
      </c>
      <c r="AA204">
        <v>316635</v>
      </c>
      <c r="AB204">
        <v>316635</v>
      </c>
      <c r="AC204">
        <v>316635</v>
      </c>
      <c r="AD204">
        <v>316635</v>
      </c>
      <c r="AE204">
        <v>316635</v>
      </c>
      <c r="AF204">
        <v>316635</v>
      </c>
      <c r="AG204">
        <v>316635</v>
      </c>
      <c r="AH204">
        <v>316635</v>
      </c>
    </row>
    <row r="205" spans="6:34">
      <c r="F205" s="133">
        <v>2039</v>
      </c>
      <c r="G205">
        <v>610500</v>
      </c>
      <c r="H205">
        <v>463980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57997.5</v>
      </c>
      <c r="AB205">
        <v>57997.5</v>
      </c>
      <c r="AC205">
        <v>57997.5</v>
      </c>
      <c r="AD205">
        <v>57997.5</v>
      </c>
      <c r="AE205">
        <v>57997.5</v>
      </c>
      <c r="AF205">
        <v>57997.5</v>
      </c>
      <c r="AG205">
        <v>57997.5</v>
      </c>
      <c r="AH205">
        <v>57997.5</v>
      </c>
    </row>
    <row r="206" spans="6:34">
      <c r="F206" s="133">
        <v>2040</v>
      </c>
      <c r="G206">
        <v>891000</v>
      </c>
      <c r="H206">
        <v>592515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84645</v>
      </c>
      <c r="AC206">
        <v>84645</v>
      </c>
      <c r="AD206">
        <v>84645</v>
      </c>
      <c r="AE206">
        <v>84645</v>
      </c>
      <c r="AF206">
        <v>84645</v>
      </c>
      <c r="AG206">
        <v>84645</v>
      </c>
      <c r="AH206">
        <v>84645</v>
      </c>
    </row>
    <row r="207" spans="6:34">
      <c r="F207" s="133">
        <v>2041</v>
      </c>
      <c r="G207">
        <v>2190000</v>
      </c>
      <c r="H207">
        <v>1248300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208050</v>
      </c>
      <c r="AD207">
        <v>208050</v>
      </c>
      <c r="AE207">
        <v>208050</v>
      </c>
      <c r="AF207">
        <v>208050</v>
      </c>
      <c r="AG207">
        <v>208050</v>
      </c>
      <c r="AH207">
        <v>208050</v>
      </c>
    </row>
    <row r="208" spans="6:34">
      <c r="F208" s="133">
        <v>2042</v>
      </c>
      <c r="G208">
        <v>1998000</v>
      </c>
      <c r="H208">
        <v>949050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189810</v>
      </c>
      <c r="AE208">
        <v>189810</v>
      </c>
      <c r="AF208">
        <v>189810</v>
      </c>
      <c r="AG208">
        <v>189810</v>
      </c>
      <c r="AH208">
        <v>189810</v>
      </c>
    </row>
    <row r="209" spans="3:34">
      <c r="F209" s="133">
        <v>2043</v>
      </c>
      <c r="G209">
        <v>2052000</v>
      </c>
      <c r="H209">
        <v>779760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194940</v>
      </c>
      <c r="AF209">
        <v>194940</v>
      </c>
      <c r="AG209">
        <v>194940</v>
      </c>
      <c r="AH209">
        <v>194940</v>
      </c>
    </row>
    <row r="210" spans="3:34">
      <c r="F210" s="133">
        <v>2044</v>
      </c>
      <c r="G210">
        <v>2227500</v>
      </c>
      <c r="H210">
        <v>634837.5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211612.5</v>
      </c>
      <c r="AG210">
        <v>211612.5</v>
      </c>
      <c r="AH210">
        <v>211612.5</v>
      </c>
    </row>
    <row r="211" spans="3:34">
      <c r="F211" s="133">
        <v>2045</v>
      </c>
      <c r="G211">
        <v>1312500</v>
      </c>
      <c r="H211">
        <v>249375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124687.5</v>
      </c>
      <c r="AH211">
        <v>124687.5</v>
      </c>
    </row>
    <row r="212" spans="3:34">
      <c r="F212" s="133">
        <v>2046</v>
      </c>
      <c r="G212">
        <v>2460000</v>
      </c>
      <c r="H212">
        <v>233700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233700</v>
      </c>
    </row>
    <row r="213" spans="3:34">
      <c r="J213" s="141" cm="1">
        <f t="array" ref="J213:AH213">_xlfn.BYCOL(_xlfn.ANCHORARRAY( J188), _xleta.SUM )</f>
        <v>273172.5</v>
      </c>
      <c r="K213" s="141">
        <v>352545</v>
      </c>
      <c r="L213" s="141">
        <v>451440</v>
      </c>
      <c r="M213" s="141">
        <v>537510</v>
      </c>
      <c r="N213" s="141">
        <v>623437.5</v>
      </c>
      <c r="O213" s="141">
        <v>878085</v>
      </c>
      <c r="P213" s="141">
        <v>897322.5</v>
      </c>
      <c r="Q213" s="141">
        <v>1050367.5</v>
      </c>
      <c r="R213" s="141">
        <v>1237755</v>
      </c>
      <c r="S213" s="141">
        <v>1403625</v>
      </c>
      <c r="T213" s="141">
        <v>1454782.5</v>
      </c>
      <c r="U213" s="141">
        <v>1430557.5</v>
      </c>
      <c r="V213" s="141">
        <v>1465470</v>
      </c>
      <c r="W213" s="141">
        <v>1527315</v>
      </c>
      <c r="X213" s="141">
        <v>1687770</v>
      </c>
      <c r="Y213" s="141">
        <v>1465612.5</v>
      </c>
      <c r="Z213" s="141">
        <v>1763010</v>
      </c>
      <c r="AA213" s="141">
        <v>1667962.5</v>
      </c>
      <c r="AB213" s="141">
        <v>1565220</v>
      </c>
      <c r="AC213" s="141">
        <v>1607400</v>
      </c>
      <c r="AD213" s="141">
        <v>1472880</v>
      </c>
      <c r="AE213" s="141">
        <v>1612672.5</v>
      </c>
      <c r="AF213" s="141">
        <v>1690477.5</v>
      </c>
      <c r="AG213" s="141">
        <v>1667250</v>
      </c>
      <c r="AH213" s="141">
        <v>1654567.5</v>
      </c>
    </row>
    <row r="215" spans="3:34">
      <c r="C215" s="136" t="s">
        <v>99</v>
      </c>
    </row>
    <row r="216" spans="3:34">
      <c r="F216" t="s">
        <v>96</v>
      </c>
      <c r="G216" t="s">
        <v>97</v>
      </c>
      <c r="J216" s="139" cm="1">
        <f t="array" ref="J216:AH216">_xlfn.ANCHORARRAY(J3)</f>
        <v>44592</v>
      </c>
      <c r="K216" s="139">
        <v>44957</v>
      </c>
      <c r="L216" s="139">
        <v>45322</v>
      </c>
      <c r="M216" s="139">
        <v>45688</v>
      </c>
      <c r="N216" s="139">
        <v>46053</v>
      </c>
      <c r="O216" s="139">
        <v>46418</v>
      </c>
      <c r="P216" s="139">
        <v>46783</v>
      </c>
      <c r="Q216" s="139">
        <v>47149</v>
      </c>
      <c r="R216" s="139">
        <v>47514</v>
      </c>
      <c r="S216" s="139">
        <v>47879</v>
      </c>
      <c r="T216" s="139">
        <v>48244</v>
      </c>
      <c r="U216" s="139">
        <v>48610</v>
      </c>
      <c r="V216" s="139">
        <v>48975</v>
      </c>
      <c r="W216" s="139">
        <v>49340</v>
      </c>
      <c r="X216" s="139">
        <v>49705</v>
      </c>
      <c r="Y216" s="139">
        <v>50071</v>
      </c>
      <c r="Z216" s="139">
        <v>50436</v>
      </c>
      <c r="AA216" s="139">
        <v>50801</v>
      </c>
      <c r="AB216" s="139">
        <v>51166</v>
      </c>
      <c r="AC216" s="139">
        <v>51532</v>
      </c>
      <c r="AD216" s="139">
        <v>51897</v>
      </c>
      <c r="AE216" s="139">
        <v>52262</v>
      </c>
      <c r="AF216" s="139">
        <v>52627</v>
      </c>
      <c r="AG216" s="139">
        <v>52993</v>
      </c>
      <c r="AH216" s="139">
        <v>53358</v>
      </c>
    </row>
    <row r="217" spans="3:34">
      <c r="F217" s="133" cm="1">
        <f t="array" ref="F217:G241" xml:space="preserve"> _xlfn.LET(
      _xlpm.date,      INDEX(_xlfn.ANCHORARRAY( $E$8),, 1 ),
      _xlpm.asset,     INDEX(_xlfn.ANCHORARRAY( $E$8),, 3 ),
      _xlfn.DROP( _xlfn.HSTACK( _xlpm.date, _xlpm.asset ), 1 ) )</f>
        <v>2022</v>
      </c>
      <c r="G217">
        <v>2875500</v>
      </c>
      <c r="H217" cm="1">
        <f t="array" ref="H217:H241">_xlfn.BYROW(_xlfn.ANCHORARRAY( J217), _xleta.SUM )</f>
        <v>2731725</v>
      </c>
      <c r="J217" s="140" cm="1">
        <f t="array" ref="J217:AH241" xml:space="preserve"> _xlfn.LET(
      _xlpm.acquisition_date,    INDEX(_xlfn.ANCHORARRAY( $F217),,1 ),
      _xlpm.acquisition_cost,    INDEX(_xlfn.ANCHORARRAY( $F217),,2 ),
      _xlpm.current_date,_xlfn.ANCHORARRAY(        $J$3),
      _xlpm.salvage_value,       CaseData!$G$11,
      _xlpm.depreciable_amount,  _xlpm.acquisition_cost * ( 1 - _xlpm.salvage_value ),
      _xlpm.useful_life,         CaseData!$H$34,
      _xlpm.period,              YEAR( _xlpm.current_date ) - _xlpm.acquisition_date + 1,
      _xlpm.units_of_production, CaseData!$E$39,
      _xlpm.rate,                _xlpm.depreciable_amount / _xlpm.units_of_production,
      _xlpm.production_table,    CaseData!$E$42:$T$61,
      _xlpm.production_rows,     CaseData!$D$42:$D$61,
      _xlpm.production_columns,  CaseData!$E$40:$T$40,
      _xlpm.depreciation_amount, INDEX( _xlpm.production_table, MATCH( _xlpm.period, _xlpm.production_rows, 0 ), MATCH( _xlpm.useful_life, _xlpm.production_columns, 0 ) ),
      IFERROR( IF( _xlpm.period &lt; 0, 0, _xlpm.depreciation_amount * _xlpm.rate ), 0) )</f>
        <v>546345</v>
      </c>
      <c r="K217">
        <v>437076</v>
      </c>
      <c r="L217">
        <v>349660.8</v>
      </c>
      <c r="M217">
        <v>278635.95</v>
      </c>
      <c r="N217">
        <v>224001.44999999998</v>
      </c>
      <c r="O217">
        <v>180293.85</v>
      </c>
      <c r="P217">
        <v>180293.85</v>
      </c>
      <c r="Q217">
        <v>180293.85</v>
      </c>
      <c r="R217">
        <v>180293.85</v>
      </c>
      <c r="S217">
        <v>174830.4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</row>
    <row r="218" spans="3:34">
      <c r="F218" s="133">
        <v>2023</v>
      </c>
      <c r="G218">
        <v>835500</v>
      </c>
      <c r="H218">
        <v>793724.99999999988</v>
      </c>
      <c r="J218">
        <v>0</v>
      </c>
      <c r="K218">
        <v>158745</v>
      </c>
      <c r="L218">
        <v>126996</v>
      </c>
      <c r="M218">
        <v>101596.8</v>
      </c>
      <c r="N218">
        <v>80959.95</v>
      </c>
      <c r="O218">
        <v>65085.450000000004</v>
      </c>
      <c r="P218">
        <v>52385.85</v>
      </c>
      <c r="Q218">
        <v>52385.85</v>
      </c>
      <c r="R218">
        <v>52385.85</v>
      </c>
      <c r="S218">
        <v>52385.85</v>
      </c>
      <c r="T218">
        <v>50798.400000000001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3:34">
      <c r="F219" s="133">
        <v>2024</v>
      </c>
      <c r="G219">
        <v>1041000</v>
      </c>
      <c r="H219">
        <v>988949.99999999988</v>
      </c>
      <c r="J219">
        <v>0</v>
      </c>
      <c r="K219">
        <v>0</v>
      </c>
      <c r="L219">
        <v>197790</v>
      </c>
      <c r="M219">
        <v>158232</v>
      </c>
      <c r="N219">
        <v>126585.60000000001</v>
      </c>
      <c r="O219">
        <v>100872.9</v>
      </c>
      <c r="P219">
        <v>81093.899999999994</v>
      </c>
      <c r="Q219">
        <v>65270.7</v>
      </c>
      <c r="R219">
        <v>65270.7</v>
      </c>
      <c r="S219">
        <v>65270.7</v>
      </c>
      <c r="T219">
        <v>65270.7</v>
      </c>
      <c r="U219">
        <v>63292.800000000003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</row>
    <row r="220" spans="3:34">
      <c r="F220" s="133">
        <v>2025</v>
      </c>
      <c r="G220">
        <v>906000</v>
      </c>
      <c r="H220">
        <v>860699.99999999988</v>
      </c>
      <c r="J220">
        <v>0</v>
      </c>
      <c r="K220">
        <v>0</v>
      </c>
      <c r="L220">
        <v>0</v>
      </c>
      <c r="M220">
        <v>172140</v>
      </c>
      <c r="N220">
        <v>137712</v>
      </c>
      <c r="O220">
        <v>110169.60000000001</v>
      </c>
      <c r="P220">
        <v>87791.400000000009</v>
      </c>
      <c r="Q220">
        <v>70577.400000000009</v>
      </c>
      <c r="R220">
        <v>56806.200000000004</v>
      </c>
      <c r="S220">
        <v>56806.200000000004</v>
      </c>
      <c r="T220">
        <v>56806.200000000004</v>
      </c>
      <c r="U220">
        <v>56806.200000000004</v>
      </c>
      <c r="V220">
        <v>55084.800000000003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</row>
    <row r="221" spans="3:34">
      <c r="F221" s="133">
        <v>2026</v>
      </c>
      <c r="G221">
        <v>904500</v>
      </c>
      <c r="H221">
        <v>859275.00000000012</v>
      </c>
      <c r="J221">
        <v>0</v>
      </c>
      <c r="K221">
        <v>0</v>
      </c>
      <c r="L221">
        <v>0</v>
      </c>
      <c r="M221">
        <v>0</v>
      </c>
      <c r="N221">
        <v>171855</v>
      </c>
      <c r="O221">
        <v>137484</v>
      </c>
      <c r="P221">
        <v>109987.2</v>
      </c>
      <c r="Q221">
        <v>87646.05</v>
      </c>
      <c r="R221">
        <v>70460.55</v>
      </c>
      <c r="S221">
        <v>56712.15</v>
      </c>
      <c r="T221">
        <v>56712.15</v>
      </c>
      <c r="U221">
        <v>56712.15</v>
      </c>
      <c r="V221">
        <v>56712.15</v>
      </c>
      <c r="W221">
        <v>54993.599999999999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</row>
    <row r="222" spans="3:34">
      <c r="F222" s="133">
        <v>2027</v>
      </c>
      <c r="G222">
        <v>2680500</v>
      </c>
      <c r="H222">
        <v>2546475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509295</v>
      </c>
      <c r="P222">
        <v>407436</v>
      </c>
      <c r="Q222">
        <v>325948.79999999999</v>
      </c>
      <c r="R222">
        <v>259740.45</v>
      </c>
      <c r="S222">
        <v>208810.95</v>
      </c>
      <c r="T222">
        <v>168067.35</v>
      </c>
      <c r="U222">
        <v>168067.35</v>
      </c>
      <c r="V222">
        <v>168067.35</v>
      </c>
      <c r="W222">
        <v>168067.35</v>
      </c>
      <c r="X222">
        <v>162974.39999999999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</row>
    <row r="223" spans="3:34">
      <c r="F223" s="133">
        <v>2028</v>
      </c>
      <c r="G223">
        <v>202500</v>
      </c>
      <c r="H223">
        <v>192375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38475</v>
      </c>
      <c r="Q223">
        <v>30780</v>
      </c>
      <c r="R223">
        <v>24624</v>
      </c>
      <c r="S223">
        <v>19622.25</v>
      </c>
      <c r="T223">
        <v>15774.75</v>
      </c>
      <c r="U223">
        <v>12696.75</v>
      </c>
      <c r="V223">
        <v>12696.75</v>
      </c>
      <c r="W223">
        <v>12696.75</v>
      </c>
      <c r="X223">
        <v>12696.75</v>
      </c>
      <c r="Y223">
        <v>12312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</row>
    <row r="224" spans="3:34">
      <c r="F224" s="133">
        <v>2029</v>
      </c>
      <c r="G224">
        <v>1611000</v>
      </c>
      <c r="H224">
        <v>1530450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306090</v>
      </c>
      <c r="R224">
        <v>244872</v>
      </c>
      <c r="S224">
        <v>195897.60000000001</v>
      </c>
      <c r="T224">
        <v>156105.90000000002</v>
      </c>
      <c r="U224">
        <v>125496.90000000001</v>
      </c>
      <c r="V224">
        <v>101009.70000000001</v>
      </c>
      <c r="W224">
        <v>101009.70000000001</v>
      </c>
      <c r="X224">
        <v>101009.70000000001</v>
      </c>
      <c r="Y224">
        <v>101009.70000000001</v>
      </c>
      <c r="Z224">
        <v>97948.800000000003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</row>
    <row r="225" spans="6:34">
      <c r="F225" s="133">
        <v>2030</v>
      </c>
      <c r="G225">
        <v>1972500</v>
      </c>
      <c r="H225">
        <v>1873875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374775</v>
      </c>
      <c r="S225">
        <v>299820</v>
      </c>
      <c r="T225">
        <v>239856</v>
      </c>
      <c r="U225">
        <v>191135.25</v>
      </c>
      <c r="V225">
        <v>153657.75</v>
      </c>
      <c r="W225">
        <v>123675.75</v>
      </c>
      <c r="X225">
        <v>123675.75</v>
      </c>
      <c r="Y225">
        <v>123675.75</v>
      </c>
      <c r="Z225">
        <v>123675.75</v>
      </c>
      <c r="AA225">
        <v>119928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6:34">
      <c r="F226" s="133">
        <v>2031</v>
      </c>
      <c r="G226">
        <v>1746000</v>
      </c>
      <c r="H226">
        <v>1658699.9999999998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331740</v>
      </c>
      <c r="T226">
        <v>265392</v>
      </c>
      <c r="U226">
        <v>212313.60000000001</v>
      </c>
      <c r="V226">
        <v>169187.4</v>
      </c>
      <c r="W226">
        <v>136013.4</v>
      </c>
      <c r="X226">
        <v>109474.2</v>
      </c>
      <c r="Y226">
        <v>109474.2</v>
      </c>
      <c r="Z226">
        <v>109474.2</v>
      </c>
      <c r="AA226">
        <v>109474.2</v>
      </c>
      <c r="AB226">
        <v>106156.8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</row>
    <row r="227" spans="6:34">
      <c r="F227" s="133">
        <v>2032</v>
      </c>
      <c r="G227">
        <v>3414000</v>
      </c>
      <c r="H227">
        <v>3243299.9999999995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648660</v>
      </c>
      <c r="U227">
        <v>518928</v>
      </c>
      <c r="V227">
        <v>415142.40000000002</v>
      </c>
      <c r="W227">
        <v>330816.60000000003</v>
      </c>
      <c r="X227">
        <v>265950.60000000003</v>
      </c>
      <c r="Y227">
        <v>214057.80000000002</v>
      </c>
      <c r="Z227">
        <v>214057.80000000002</v>
      </c>
      <c r="AA227">
        <v>214057.80000000002</v>
      </c>
      <c r="AB227">
        <v>214057.80000000002</v>
      </c>
      <c r="AC227">
        <v>207571.20000000001</v>
      </c>
      <c r="AD227">
        <v>0</v>
      </c>
      <c r="AE227">
        <v>0</v>
      </c>
      <c r="AF227">
        <v>0</v>
      </c>
      <c r="AG227">
        <v>0</v>
      </c>
      <c r="AH227">
        <v>0</v>
      </c>
    </row>
    <row r="228" spans="6:34">
      <c r="F228" s="133">
        <v>2033</v>
      </c>
      <c r="G228">
        <v>580500</v>
      </c>
      <c r="H228">
        <v>551475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110295.00000000001</v>
      </c>
      <c r="V228">
        <v>88236.000000000015</v>
      </c>
      <c r="W228">
        <v>70588.800000000003</v>
      </c>
      <c r="X228">
        <v>56250.450000000004</v>
      </c>
      <c r="Y228">
        <v>45220.950000000004</v>
      </c>
      <c r="Z228">
        <v>36397.350000000006</v>
      </c>
      <c r="AA228">
        <v>36397.350000000006</v>
      </c>
      <c r="AB228">
        <v>36397.350000000006</v>
      </c>
      <c r="AC228">
        <v>36397.350000000006</v>
      </c>
      <c r="AD228">
        <v>35294.400000000001</v>
      </c>
      <c r="AE228">
        <v>0</v>
      </c>
      <c r="AF228">
        <v>0</v>
      </c>
      <c r="AG228">
        <v>0</v>
      </c>
      <c r="AH228">
        <v>0</v>
      </c>
    </row>
    <row r="229" spans="6:34">
      <c r="F229" s="133">
        <v>2034</v>
      </c>
      <c r="G229">
        <v>1408500</v>
      </c>
      <c r="H229">
        <v>1338075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267615</v>
      </c>
      <c r="W229">
        <v>214091.99999999997</v>
      </c>
      <c r="X229">
        <v>171273.59999999998</v>
      </c>
      <c r="Y229">
        <v>136483.65</v>
      </c>
      <c r="Z229">
        <v>109722.15</v>
      </c>
      <c r="AA229">
        <v>88312.95</v>
      </c>
      <c r="AB229">
        <v>88312.95</v>
      </c>
      <c r="AC229">
        <v>88312.95</v>
      </c>
      <c r="AD229">
        <v>88312.95</v>
      </c>
      <c r="AE229">
        <v>85636.799999999988</v>
      </c>
      <c r="AF229">
        <v>0</v>
      </c>
      <c r="AG229">
        <v>0</v>
      </c>
      <c r="AH229">
        <v>0</v>
      </c>
    </row>
    <row r="230" spans="6:34">
      <c r="F230" s="133">
        <v>2035</v>
      </c>
      <c r="G230">
        <v>1557000</v>
      </c>
      <c r="H230">
        <v>1479149.9999999998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295830</v>
      </c>
      <c r="X230">
        <v>236664</v>
      </c>
      <c r="Y230">
        <v>189331.19999999998</v>
      </c>
      <c r="Z230">
        <v>150873.29999999999</v>
      </c>
      <c r="AA230">
        <v>121290.3</v>
      </c>
      <c r="AB230">
        <v>97623.9</v>
      </c>
      <c r="AC230">
        <v>97623.9</v>
      </c>
      <c r="AD230">
        <v>97623.9</v>
      </c>
      <c r="AE230">
        <v>97623.9</v>
      </c>
      <c r="AF230">
        <v>94665.599999999991</v>
      </c>
      <c r="AG230">
        <v>0</v>
      </c>
      <c r="AH230">
        <v>0</v>
      </c>
    </row>
    <row r="231" spans="6:34">
      <c r="F231" s="133">
        <v>2036</v>
      </c>
      <c r="G231">
        <v>2593500</v>
      </c>
      <c r="H231">
        <v>2463825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492765</v>
      </c>
      <c r="Y231">
        <v>394212</v>
      </c>
      <c r="Z231">
        <v>315369.59999999998</v>
      </c>
      <c r="AA231">
        <v>251310.15</v>
      </c>
      <c r="AB231">
        <v>202033.65</v>
      </c>
      <c r="AC231">
        <v>162612.44999999998</v>
      </c>
      <c r="AD231">
        <v>162612.44999999998</v>
      </c>
      <c r="AE231">
        <v>162612.44999999998</v>
      </c>
      <c r="AF231">
        <v>162612.44999999998</v>
      </c>
      <c r="AG231">
        <v>157684.79999999999</v>
      </c>
      <c r="AH231">
        <v>0</v>
      </c>
    </row>
    <row r="232" spans="6:34">
      <c r="F232" s="133">
        <v>2037</v>
      </c>
      <c r="G232">
        <v>342000</v>
      </c>
      <c r="H232">
        <v>324900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64980.000000000007</v>
      </c>
      <c r="Z232">
        <v>51984</v>
      </c>
      <c r="AA232">
        <v>41587.200000000004</v>
      </c>
      <c r="AB232">
        <v>33139.800000000003</v>
      </c>
      <c r="AC232">
        <v>26641.800000000003</v>
      </c>
      <c r="AD232">
        <v>21443.4</v>
      </c>
      <c r="AE232">
        <v>21443.4</v>
      </c>
      <c r="AF232">
        <v>21443.4</v>
      </c>
      <c r="AG232">
        <v>21443.4</v>
      </c>
      <c r="AH232">
        <v>20793.600000000002</v>
      </c>
    </row>
    <row r="233" spans="6:34">
      <c r="F233" s="133">
        <v>2038</v>
      </c>
      <c r="G233">
        <v>3333000</v>
      </c>
      <c r="H233">
        <v>2963703.6000000006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633270</v>
      </c>
      <c r="AA233">
        <v>506616</v>
      </c>
      <c r="AB233">
        <v>405292.79999999999</v>
      </c>
      <c r="AC233">
        <v>322967.7</v>
      </c>
      <c r="AD233">
        <v>259640.7</v>
      </c>
      <c r="AE233">
        <v>208979.1</v>
      </c>
      <c r="AF233">
        <v>208979.1</v>
      </c>
      <c r="AG233">
        <v>208979.1</v>
      </c>
      <c r="AH233">
        <v>208979.1</v>
      </c>
    </row>
    <row r="234" spans="6:34">
      <c r="F234" s="133">
        <v>2039</v>
      </c>
      <c r="G234">
        <v>610500</v>
      </c>
      <c r="H234">
        <v>504578.24999999994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115995</v>
      </c>
      <c r="AB234">
        <v>92796</v>
      </c>
      <c r="AC234">
        <v>74236.800000000003</v>
      </c>
      <c r="AD234">
        <v>59157.450000000004</v>
      </c>
      <c r="AE234">
        <v>47557.950000000004</v>
      </c>
      <c r="AF234">
        <v>38278.35</v>
      </c>
      <c r="AG234">
        <v>38278.35</v>
      </c>
      <c r="AH234">
        <v>38278.35</v>
      </c>
    </row>
    <row r="235" spans="6:34">
      <c r="F235" s="133">
        <v>2040</v>
      </c>
      <c r="G235">
        <v>891000</v>
      </c>
      <c r="H235">
        <v>680545.79999999993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169290</v>
      </c>
      <c r="AC235">
        <v>135432</v>
      </c>
      <c r="AD235">
        <v>108345.60000000001</v>
      </c>
      <c r="AE235">
        <v>86337.900000000009</v>
      </c>
      <c r="AF235">
        <v>69408.900000000009</v>
      </c>
      <c r="AG235">
        <v>55865.700000000004</v>
      </c>
      <c r="AH235">
        <v>55865.700000000004</v>
      </c>
    </row>
    <row r="236" spans="6:34">
      <c r="F236" s="133">
        <v>2041</v>
      </c>
      <c r="G236">
        <v>2190000</v>
      </c>
      <c r="H236">
        <v>1535408.9999999998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416099.99999999994</v>
      </c>
      <c r="AD236">
        <v>332879.99999999994</v>
      </c>
      <c r="AE236">
        <v>266304</v>
      </c>
      <c r="AF236">
        <v>212210.99999999997</v>
      </c>
      <c r="AG236">
        <v>170600.99999999997</v>
      </c>
      <c r="AH236">
        <v>137313</v>
      </c>
    </row>
    <row r="237" spans="6:34">
      <c r="F237" s="133">
        <v>2042</v>
      </c>
      <c r="G237">
        <v>1998000</v>
      </c>
      <c r="H237">
        <v>1275523.2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379620</v>
      </c>
      <c r="AE237">
        <v>303696</v>
      </c>
      <c r="AF237">
        <v>242956.79999999999</v>
      </c>
      <c r="AG237">
        <v>193606.19999999998</v>
      </c>
      <c r="AH237">
        <v>155644.19999999998</v>
      </c>
    </row>
    <row r="238" spans="6:34">
      <c r="F238" s="133">
        <v>2043</v>
      </c>
      <c r="G238">
        <v>2052000</v>
      </c>
      <c r="H238">
        <v>1150146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389880</v>
      </c>
      <c r="AF238">
        <v>311904</v>
      </c>
      <c r="AG238">
        <v>249523.20000000001</v>
      </c>
      <c r="AH238">
        <v>198838.8</v>
      </c>
    </row>
    <row r="239" spans="6:34">
      <c r="F239" s="133">
        <v>2044</v>
      </c>
      <c r="G239">
        <v>2227500</v>
      </c>
      <c r="H239">
        <v>1032668.9999999999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423224.99999999994</v>
      </c>
      <c r="AG239">
        <v>338579.99999999994</v>
      </c>
      <c r="AH239">
        <v>270864</v>
      </c>
    </row>
    <row r="240" spans="6:34">
      <c r="F240" s="133">
        <v>2045</v>
      </c>
      <c r="G240">
        <v>1312500</v>
      </c>
      <c r="H240">
        <v>448875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249375</v>
      </c>
      <c r="AH240">
        <v>199500</v>
      </c>
    </row>
    <row r="241" spans="3:34">
      <c r="F241" s="133">
        <v>2046</v>
      </c>
      <c r="G241">
        <v>2460000</v>
      </c>
      <c r="H241">
        <v>467400.00000000006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467400.00000000006</v>
      </c>
    </row>
    <row r="242" spans="3:34">
      <c r="J242" s="141" cm="1">
        <f t="array" ref="J242:AH242">_xlfn.BYCOL(_xlfn.ANCHORARRAY( J217), _xleta.SUM )</f>
        <v>546345</v>
      </c>
      <c r="K242" s="141">
        <v>595821</v>
      </c>
      <c r="L242" s="141">
        <v>674446.8</v>
      </c>
      <c r="M242" s="141">
        <v>710604.75</v>
      </c>
      <c r="N242" s="141">
        <v>741114</v>
      </c>
      <c r="O242" s="141">
        <v>1103200.8</v>
      </c>
      <c r="P242" s="141">
        <v>957463.2</v>
      </c>
      <c r="Q242" s="141">
        <v>1118992.6499999999</v>
      </c>
      <c r="R242" s="141">
        <v>1329228.6000000001</v>
      </c>
      <c r="S242" s="141">
        <v>1461896.1</v>
      </c>
      <c r="T242" s="141">
        <v>1723443.4500000002</v>
      </c>
      <c r="U242" s="141">
        <v>1515744</v>
      </c>
      <c r="V242" s="141">
        <v>1487409.3</v>
      </c>
      <c r="W242" s="141">
        <v>1507783.9500000002</v>
      </c>
      <c r="X242" s="141">
        <v>1732734.45</v>
      </c>
      <c r="Y242" s="141">
        <v>1390757.25</v>
      </c>
      <c r="Z242" s="141">
        <v>1842772.9500000002</v>
      </c>
      <c r="AA242" s="141">
        <v>1604968.95</v>
      </c>
      <c r="AB242" s="141">
        <v>1445101.05</v>
      </c>
      <c r="AC242" s="141">
        <v>1567896.1500000001</v>
      </c>
      <c r="AD242" s="141">
        <v>1544930.8499999999</v>
      </c>
      <c r="AE242" s="141">
        <v>1670071.5</v>
      </c>
      <c r="AF242" s="141">
        <v>1785684.6</v>
      </c>
      <c r="AG242" s="141">
        <v>1683936.75</v>
      </c>
      <c r="AH242" s="141">
        <v>1753476.75</v>
      </c>
    </row>
    <row r="244" spans="3:34">
      <c r="C244" s="136" t="s">
        <v>100</v>
      </c>
    </row>
    <row r="245" spans="3:34">
      <c r="F245" t="s">
        <v>96</v>
      </c>
      <c r="G245" t="s">
        <v>97</v>
      </c>
      <c r="J245" s="139" cm="1">
        <f t="array" ref="J245:AH245">_xlfn.ANCHORARRAY(J3)</f>
        <v>44592</v>
      </c>
      <c r="K245" s="139">
        <v>44957</v>
      </c>
      <c r="L245" s="139">
        <v>45322</v>
      </c>
      <c r="M245" s="139">
        <v>45688</v>
      </c>
      <c r="N245" s="139">
        <v>46053</v>
      </c>
      <c r="O245" s="139">
        <v>46418</v>
      </c>
      <c r="P245" s="139">
        <v>46783</v>
      </c>
      <c r="Q245" s="139">
        <v>47149</v>
      </c>
      <c r="R245" s="139">
        <v>47514</v>
      </c>
      <c r="S245" s="139">
        <v>47879</v>
      </c>
      <c r="T245" s="139">
        <v>48244</v>
      </c>
      <c r="U245" s="139">
        <v>48610</v>
      </c>
      <c r="V245" s="139">
        <v>48975</v>
      </c>
      <c r="W245" s="139">
        <v>49340</v>
      </c>
      <c r="X245" s="139">
        <v>49705</v>
      </c>
      <c r="Y245" s="139">
        <v>50071</v>
      </c>
      <c r="Z245" s="139">
        <v>50436</v>
      </c>
      <c r="AA245" s="139">
        <v>50801</v>
      </c>
      <c r="AB245" s="139">
        <v>51166</v>
      </c>
      <c r="AC245" s="139">
        <v>51532</v>
      </c>
      <c r="AD245" s="139">
        <v>51897</v>
      </c>
      <c r="AE245" s="139">
        <v>52262</v>
      </c>
      <c r="AF245" s="139">
        <v>52627</v>
      </c>
      <c r="AG245" s="139">
        <v>52993</v>
      </c>
      <c r="AH245" s="139">
        <v>53358</v>
      </c>
    </row>
    <row r="246" spans="3:34">
      <c r="F246" s="133" cm="1">
        <f t="array" ref="F246:G270" xml:space="preserve"> _xlfn.LET(
      _xlpm.date,      INDEX(_xlfn.ANCHORARRAY( $E$8),, 1 ),
      _xlpm.asset,     INDEX(_xlfn.ANCHORARRAY( $E$8),, 3 ),
      _xlfn.DROP( _xlfn.HSTACK( _xlpm.date, _xlpm.asset ), 1 ) )</f>
        <v>2022</v>
      </c>
      <c r="G246">
        <v>2875500</v>
      </c>
      <c r="H246" cm="1">
        <f t="array" ref="H246:H270">_xlfn.BYROW(_xlfn.ANCHORARRAY( J246), _xleta.SUM )</f>
        <v>2731724.9999999995</v>
      </c>
      <c r="J246" s="140" cm="1">
        <f t="array" ref="J246:AH270" xml:space="preserve"> _xlfn.LET(
      _xlpm.acquisition_date,    INDEX(_xlfn.ANCHORARRAY( $F246),,1 ),
      _xlpm.acquisition_cost,    INDEX(_xlfn.ANCHORARRAY( $F246),,2 ),
      _xlpm.current_date,_xlfn.ANCHORARRAY(        J3),
      _xlpm.salvage_value,       CaseData!$G$11,
      _xlpm.depreciable_amount,  _xlpm.acquisition_cost * ( 1 - _xlpm.salvage_value ),
      _xlpm.useful_life,         CaseData!$H$35,
      _xlpm.period,              YEAR( _xlpm.current_date ) - _xlpm.acquisition_date + 1,
      _xlpm.useful_life_percent, CaseData!$E$67:$T$86,
      _xlpm.useful_life_year,    CaseData!$D$67:$D$86,
      _xlpm.useful_life_digit,   CaseData!$E$65:$T$65,
      _xlpm.rate,                INDEX( _xlpm.useful_life_percent, MATCH( _xlpm.period, _xlpm.useful_life_year, 0 ), MATCH( _xlpm.useful_life, _xlpm.useful_life_digit, 0 ) ),
      IFERROR( IF( _xlpm.period &lt; 0, 0, _xlpm.depreciable_amount * _xlpm.rate ), 0 ) )</f>
        <v>496677.27272727276</v>
      </c>
      <c r="K246">
        <v>447009.54545454547</v>
      </c>
      <c r="L246">
        <v>397341.81818181818</v>
      </c>
      <c r="M246">
        <v>347674.09090909088</v>
      </c>
      <c r="N246">
        <v>298006.36363636365</v>
      </c>
      <c r="O246">
        <v>248338.63636363638</v>
      </c>
      <c r="P246">
        <v>198670.90909090909</v>
      </c>
      <c r="Q246">
        <v>149003.18181818182</v>
      </c>
      <c r="R246">
        <v>99335.454545454544</v>
      </c>
      <c r="S246">
        <v>49667.727272727272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</row>
    <row r="247" spans="3:34">
      <c r="F247" s="133">
        <v>2023</v>
      </c>
      <c r="G247">
        <v>835500</v>
      </c>
      <c r="H247">
        <v>793725.00000000012</v>
      </c>
      <c r="J247">
        <v>0</v>
      </c>
      <c r="K247">
        <v>144313.63636363638</v>
      </c>
      <c r="L247">
        <v>129882.27272727272</v>
      </c>
      <c r="M247">
        <v>115450.90909090909</v>
      </c>
      <c r="N247">
        <v>101019.54545454544</v>
      </c>
      <c r="O247">
        <v>86588.181818181809</v>
      </c>
      <c r="P247">
        <v>72156.818181818191</v>
      </c>
      <c r="Q247">
        <v>57725.454545454544</v>
      </c>
      <c r="R247">
        <v>43294.090909090904</v>
      </c>
      <c r="S247">
        <v>28862.727272727272</v>
      </c>
      <c r="T247">
        <v>14431.363636363636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</row>
    <row r="248" spans="3:34">
      <c r="F248" s="133">
        <v>2024</v>
      </c>
      <c r="G248">
        <v>1041000</v>
      </c>
      <c r="H248">
        <v>988949.99999999988</v>
      </c>
      <c r="J248">
        <v>0</v>
      </c>
      <c r="K248">
        <v>0</v>
      </c>
      <c r="L248">
        <v>179809.09090909091</v>
      </c>
      <c r="M248">
        <v>161828.18181818182</v>
      </c>
      <c r="N248">
        <v>143847.27272727271</v>
      </c>
      <c r="O248">
        <v>125866.36363636362</v>
      </c>
      <c r="P248">
        <v>107885.45454545454</v>
      </c>
      <c r="Q248">
        <v>89904.545454545456</v>
      </c>
      <c r="R248">
        <v>71923.636363636353</v>
      </c>
      <c r="S248">
        <v>53942.727272727272</v>
      </c>
      <c r="T248">
        <v>35961.818181818177</v>
      </c>
      <c r="U248">
        <v>17980.909090909088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3:34">
      <c r="F249" s="133">
        <v>2025</v>
      </c>
      <c r="G249">
        <v>906000</v>
      </c>
      <c r="H249">
        <v>860700</v>
      </c>
      <c r="J249">
        <v>0</v>
      </c>
      <c r="K249">
        <v>0</v>
      </c>
      <c r="L249">
        <v>0</v>
      </c>
      <c r="M249">
        <v>156490.90909090909</v>
      </c>
      <c r="N249">
        <v>140841.81818181818</v>
      </c>
      <c r="O249">
        <v>125192.72727272726</v>
      </c>
      <c r="P249">
        <v>109543.63636363635</v>
      </c>
      <c r="Q249">
        <v>93894.545454545456</v>
      </c>
      <c r="R249">
        <v>78245.454545454544</v>
      </c>
      <c r="S249">
        <v>62596.363636363632</v>
      </c>
      <c r="T249">
        <v>46947.272727272728</v>
      </c>
      <c r="U249">
        <v>31298.181818181816</v>
      </c>
      <c r="V249">
        <v>15649.090909090908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3:34">
      <c r="F250" s="133">
        <v>2026</v>
      </c>
      <c r="G250">
        <v>904500</v>
      </c>
      <c r="H250">
        <v>859274.99999999988</v>
      </c>
      <c r="J250">
        <v>0</v>
      </c>
      <c r="K250">
        <v>0</v>
      </c>
      <c r="L250">
        <v>0</v>
      </c>
      <c r="M250">
        <v>0</v>
      </c>
      <c r="N250">
        <v>156231.81818181818</v>
      </c>
      <c r="O250">
        <v>140608.63636363635</v>
      </c>
      <c r="P250">
        <v>124985.45454545454</v>
      </c>
      <c r="Q250">
        <v>109362.27272727272</v>
      </c>
      <c r="R250">
        <v>93739.090909090912</v>
      </c>
      <c r="S250">
        <v>78115.909090909088</v>
      </c>
      <c r="T250">
        <v>62492.727272727272</v>
      </c>
      <c r="U250">
        <v>46869.545454545456</v>
      </c>
      <c r="V250">
        <v>31246.363636363636</v>
      </c>
      <c r="W250">
        <v>15623.181818181818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</row>
    <row r="251" spans="3:34">
      <c r="F251" s="133">
        <v>2027</v>
      </c>
      <c r="G251">
        <v>2680500</v>
      </c>
      <c r="H251">
        <v>2546474.9999999995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462995.45454545453</v>
      </c>
      <c r="P251">
        <v>416695.90909090912</v>
      </c>
      <c r="Q251">
        <v>370396.36363636365</v>
      </c>
      <c r="R251">
        <v>324096.81818181818</v>
      </c>
      <c r="S251">
        <v>277797.27272727271</v>
      </c>
      <c r="T251">
        <v>231497.72727272726</v>
      </c>
      <c r="U251">
        <v>185198.18181818182</v>
      </c>
      <c r="V251">
        <v>138898.63636363635</v>
      </c>
      <c r="W251">
        <v>92599.090909090912</v>
      </c>
      <c r="X251">
        <v>46299.545454545456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</row>
    <row r="252" spans="3:34">
      <c r="F252" s="133">
        <v>2028</v>
      </c>
      <c r="G252">
        <v>202500</v>
      </c>
      <c r="H252">
        <v>192375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34977.272727272728</v>
      </c>
      <c r="Q252">
        <v>31479.545454545456</v>
      </c>
      <c r="R252">
        <v>27981.81818181818</v>
      </c>
      <c r="S252">
        <v>24484.090909090908</v>
      </c>
      <c r="T252">
        <v>20986.363636363636</v>
      </c>
      <c r="U252">
        <v>17488.636363636364</v>
      </c>
      <c r="V252">
        <v>13990.90909090909</v>
      </c>
      <c r="W252">
        <v>10493.181818181818</v>
      </c>
      <c r="X252">
        <v>6995.454545454545</v>
      </c>
      <c r="Y252">
        <v>3497.7272727272725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</row>
    <row r="253" spans="3:34">
      <c r="F253" s="133">
        <v>2029</v>
      </c>
      <c r="G253">
        <v>1611000</v>
      </c>
      <c r="H253">
        <v>1530449.9999999998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278263.63636363635</v>
      </c>
      <c r="R253">
        <v>250437.27272727274</v>
      </c>
      <c r="S253">
        <v>222610.90909090909</v>
      </c>
      <c r="T253">
        <v>194784.54545454544</v>
      </c>
      <c r="U253">
        <v>166958.18181818182</v>
      </c>
      <c r="V253">
        <v>139131.81818181818</v>
      </c>
      <c r="W253">
        <v>111305.45454545454</v>
      </c>
      <c r="X253">
        <v>83479.090909090912</v>
      </c>
      <c r="Y253">
        <v>55652.727272727272</v>
      </c>
      <c r="Z253">
        <v>27826.363636363636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</row>
    <row r="254" spans="3:34">
      <c r="F254" s="133">
        <v>2030</v>
      </c>
      <c r="G254">
        <v>1972500</v>
      </c>
      <c r="H254">
        <v>1873875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340704.54545454547</v>
      </c>
      <c r="S254">
        <v>306634.09090909088</v>
      </c>
      <c r="T254">
        <v>272563.63636363635</v>
      </c>
      <c r="U254">
        <v>238493.18181818179</v>
      </c>
      <c r="V254">
        <v>204422.72727272726</v>
      </c>
      <c r="W254">
        <v>170352.27272727274</v>
      </c>
      <c r="X254">
        <v>136281.81818181818</v>
      </c>
      <c r="Y254">
        <v>102211.36363636363</v>
      </c>
      <c r="Z254">
        <v>68140.909090909088</v>
      </c>
      <c r="AA254">
        <v>34070.454545454544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</row>
    <row r="255" spans="3:34">
      <c r="F255" s="133">
        <v>2031</v>
      </c>
      <c r="G255">
        <v>1746000</v>
      </c>
      <c r="H255">
        <v>1658700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301581.81818181818</v>
      </c>
      <c r="T255">
        <v>271423.63636363635</v>
      </c>
      <c r="U255">
        <v>241265.45454545453</v>
      </c>
      <c r="V255">
        <v>211107.27272727271</v>
      </c>
      <c r="W255">
        <v>180949.09090909091</v>
      </c>
      <c r="X255">
        <v>150790.90909090909</v>
      </c>
      <c r="Y255">
        <v>120632.72727272726</v>
      </c>
      <c r="Z255">
        <v>90474.545454545456</v>
      </c>
      <c r="AA255">
        <v>60316.363636363632</v>
      </c>
      <c r="AB255">
        <v>30158.181818181816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3:34">
      <c r="F256" s="133">
        <v>2032</v>
      </c>
      <c r="G256">
        <v>3414000</v>
      </c>
      <c r="H256">
        <v>3243300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589690.90909090906</v>
      </c>
      <c r="U256">
        <v>530721.81818181823</v>
      </c>
      <c r="V256">
        <v>471752.72727272724</v>
      </c>
      <c r="W256">
        <v>412783.63636363629</v>
      </c>
      <c r="X256">
        <v>353814.54545454541</v>
      </c>
      <c r="Y256">
        <v>294845.45454545453</v>
      </c>
      <c r="Z256">
        <v>235876.36363636362</v>
      </c>
      <c r="AA256">
        <v>176907.27272727271</v>
      </c>
      <c r="AB256">
        <v>117938.18181818181</v>
      </c>
      <c r="AC256">
        <v>58969.090909090904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6:34">
      <c r="F257" s="133">
        <v>2033</v>
      </c>
      <c r="G257">
        <v>580500</v>
      </c>
      <c r="H257">
        <v>551475.00000000012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100268.18181818182</v>
      </c>
      <c r="V257">
        <v>90241.363636363632</v>
      </c>
      <c r="W257">
        <v>80214.545454545456</v>
      </c>
      <c r="X257">
        <v>70187.727272727265</v>
      </c>
      <c r="Y257">
        <v>60160.909090909088</v>
      </c>
      <c r="Z257">
        <v>50134.090909090912</v>
      </c>
      <c r="AA257">
        <v>40107.272727272728</v>
      </c>
      <c r="AB257">
        <v>30080.454545454544</v>
      </c>
      <c r="AC257">
        <v>20053.636363636364</v>
      </c>
      <c r="AD257">
        <v>10026.818181818182</v>
      </c>
      <c r="AE257">
        <v>0</v>
      </c>
      <c r="AF257">
        <v>0</v>
      </c>
      <c r="AG257">
        <v>0</v>
      </c>
      <c r="AH257">
        <v>0</v>
      </c>
    </row>
    <row r="258" spans="6:34">
      <c r="F258" s="133">
        <v>2034</v>
      </c>
      <c r="G258">
        <v>1408500</v>
      </c>
      <c r="H258">
        <v>1338075.0000000002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243286.36363636365</v>
      </c>
      <c r="W258">
        <v>218957.72727272726</v>
      </c>
      <c r="X258">
        <v>194629.09090909091</v>
      </c>
      <c r="Y258">
        <v>170300.45454545453</v>
      </c>
      <c r="Z258">
        <v>145971.81818181818</v>
      </c>
      <c r="AA258">
        <v>121643.18181818182</v>
      </c>
      <c r="AB258">
        <v>97314.545454545456</v>
      </c>
      <c r="AC258">
        <v>72985.909090909088</v>
      </c>
      <c r="AD258">
        <v>48657.272727272728</v>
      </c>
      <c r="AE258">
        <v>24328.636363636364</v>
      </c>
      <c r="AF258">
        <v>0</v>
      </c>
      <c r="AG258">
        <v>0</v>
      </c>
      <c r="AH258">
        <v>0</v>
      </c>
    </row>
    <row r="259" spans="6:34">
      <c r="F259" s="133">
        <v>2035</v>
      </c>
      <c r="G259">
        <v>1557000</v>
      </c>
      <c r="H259">
        <v>1479150.0000000002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268936.36363636365</v>
      </c>
      <c r="X259">
        <v>242042.72727272726</v>
      </c>
      <c r="Y259">
        <v>215149.09090909091</v>
      </c>
      <c r="Z259">
        <v>188255.45454545453</v>
      </c>
      <c r="AA259">
        <v>161361.81818181818</v>
      </c>
      <c r="AB259">
        <v>134468.18181818182</v>
      </c>
      <c r="AC259">
        <v>107574.54545454546</v>
      </c>
      <c r="AD259">
        <v>80680.909090909088</v>
      </c>
      <c r="AE259">
        <v>53787.272727272728</v>
      </c>
      <c r="AF259">
        <v>26893.636363636364</v>
      </c>
      <c r="AG259">
        <v>0</v>
      </c>
      <c r="AH259">
        <v>0</v>
      </c>
    </row>
    <row r="260" spans="6:34">
      <c r="F260" s="133">
        <v>2036</v>
      </c>
      <c r="G260">
        <v>2593500</v>
      </c>
      <c r="H260">
        <v>2463825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447968.18181818182</v>
      </c>
      <c r="Y260">
        <v>403171.36363636365</v>
      </c>
      <c r="Z260">
        <v>358374.54545454541</v>
      </c>
      <c r="AA260">
        <v>313577.72727272724</v>
      </c>
      <c r="AB260">
        <v>268780.90909090906</v>
      </c>
      <c r="AC260">
        <v>223984.09090909091</v>
      </c>
      <c r="AD260">
        <v>179187.27272727271</v>
      </c>
      <c r="AE260">
        <v>134390.45454545453</v>
      </c>
      <c r="AF260">
        <v>89593.636363636353</v>
      </c>
      <c r="AG260">
        <v>44796.818181818177</v>
      </c>
      <c r="AH260">
        <v>0</v>
      </c>
    </row>
    <row r="261" spans="6:34">
      <c r="F261" s="133">
        <v>2037</v>
      </c>
      <c r="G261">
        <v>342000</v>
      </c>
      <c r="H261">
        <v>324899.99999999994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59072.727272727272</v>
      </c>
      <c r="Z261">
        <v>53165.454545454544</v>
      </c>
      <c r="AA261">
        <v>47258.181818181816</v>
      </c>
      <c r="AB261">
        <v>41350.909090909088</v>
      </c>
      <c r="AC261">
        <v>35443.63636363636</v>
      </c>
      <c r="AD261">
        <v>29536.363636363636</v>
      </c>
      <c r="AE261">
        <v>23629.090909090908</v>
      </c>
      <c r="AF261">
        <v>17721.81818181818</v>
      </c>
      <c r="AG261">
        <v>11814.545454545454</v>
      </c>
      <c r="AH261">
        <v>5907.272727272727</v>
      </c>
    </row>
    <row r="262" spans="6:34">
      <c r="F262" s="133">
        <v>2038</v>
      </c>
      <c r="G262">
        <v>3333000</v>
      </c>
      <c r="H262">
        <v>3108780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575700</v>
      </c>
      <c r="AA262">
        <v>518130</v>
      </c>
      <c r="AB262">
        <v>460560</v>
      </c>
      <c r="AC262">
        <v>402989.99999999994</v>
      </c>
      <c r="AD262">
        <v>345420</v>
      </c>
      <c r="AE262">
        <v>287850</v>
      </c>
      <c r="AF262">
        <v>230280</v>
      </c>
      <c r="AG262">
        <v>172710</v>
      </c>
      <c r="AH262">
        <v>115140</v>
      </c>
    </row>
    <row r="263" spans="6:34">
      <c r="F263" s="133">
        <v>2039</v>
      </c>
      <c r="G263">
        <v>610500</v>
      </c>
      <c r="H263">
        <v>548340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105450</v>
      </c>
      <c r="AB263">
        <v>94905</v>
      </c>
      <c r="AC263">
        <v>84360</v>
      </c>
      <c r="AD263">
        <v>73814.999999999985</v>
      </c>
      <c r="AE263">
        <v>63270</v>
      </c>
      <c r="AF263">
        <v>52725</v>
      </c>
      <c r="AG263">
        <v>42180</v>
      </c>
      <c r="AH263">
        <v>31635</v>
      </c>
    </row>
    <row r="264" spans="6:34">
      <c r="F264" s="133">
        <v>2040</v>
      </c>
      <c r="G264">
        <v>891000</v>
      </c>
      <c r="H264">
        <v>754110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153900</v>
      </c>
      <c r="AC264">
        <v>138510</v>
      </c>
      <c r="AD264">
        <v>123120</v>
      </c>
      <c r="AE264">
        <v>107729.99999999999</v>
      </c>
      <c r="AF264">
        <v>92340</v>
      </c>
      <c r="AG264">
        <v>76950</v>
      </c>
      <c r="AH264">
        <v>61560</v>
      </c>
    </row>
    <row r="265" spans="6:34">
      <c r="F265" s="133">
        <v>2041</v>
      </c>
      <c r="G265">
        <v>2190000</v>
      </c>
      <c r="H265">
        <v>1702227.2727272729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378272.72727272729</v>
      </c>
      <c r="AD265">
        <v>340445.45454545453</v>
      </c>
      <c r="AE265">
        <v>302618.18181818182</v>
      </c>
      <c r="AF265">
        <v>264790.90909090906</v>
      </c>
      <c r="AG265">
        <v>226963.63636363635</v>
      </c>
      <c r="AH265">
        <v>189136.36363636365</v>
      </c>
    </row>
    <row r="266" spans="6:34">
      <c r="F266" s="133">
        <v>2042</v>
      </c>
      <c r="G266">
        <v>1998000</v>
      </c>
      <c r="H266">
        <v>1380436.3636363635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345109.09090909094</v>
      </c>
      <c r="AE266">
        <v>310598.18181818182</v>
      </c>
      <c r="AF266">
        <v>276087.27272727271</v>
      </c>
      <c r="AG266">
        <v>241576.36363636362</v>
      </c>
      <c r="AH266">
        <v>207065.45454545453</v>
      </c>
    </row>
    <row r="267" spans="6:34">
      <c r="F267" s="133">
        <v>2043</v>
      </c>
      <c r="G267">
        <v>2052000</v>
      </c>
      <c r="H267">
        <v>1205083.6363636365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354436.36363636365</v>
      </c>
      <c r="AF267">
        <v>318992.72727272729</v>
      </c>
      <c r="AG267">
        <v>283549.09090909088</v>
      </c>
      <c r="AH267">
        <v>248105.45454545453</v>
      </c>
    </row>
    <row r="268" spans="6:34">
      <c r="F268" s="133">
        <v>2044</v>
      </c>
      <c r="G268">
        <v>2227500</v>
      </c>
      <c r="H268">
        <v>1038825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384750</v>
      </c>
      <c r="AG268">
        <v>346275</v>
      </c>
      <c r="AH268">
        <v>307800</v>
      </c>
    </row>
    <row r="269" spans="6:34">
      <c r="F269" s="133">
        <v>2045</v>
      </c>
      <c r="G269">
        <v>1312500</v>
      </c>
      <c r="H269">
        <v>430738.63636363635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226704.54545454547</v>
      </c>
      <c r="AH269">
        <v>204034.09090909091</v>
      </c>
    </row>
    <row r="270" spans="6:34">
      <c r="F270" s="133">
        <v>2046</v>
      </c>
      <c r="G270">
        <v>2460000</v>
      </c>
      <c r="H270">
        <v>424909.09090909094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424909.09090909094</v>
      </c>
    </row>
    <row r="271" spans="6:34">
      <c r="J271" s="141" cm="1">
        <f t="array" ref="J271:AH271">_xlfn.BYCOL(_xlfn.ANCHORARRAY( J246), _xleta.SUM )</f>
        <v>496677.27272727276</v>
      </c>
      <c r="K271" s="141">
        <v>591323.18181818188</v>
      </c>
      <c r="L271" s="141">
        <v>707033.18181818188</v>
      </c>
      <c r="M271" s="141">
        <v>781444.09090909094</v>
      </c>
      <c r="N271" s="141">
        <v>839946.81818181812</v>
      </c>
      <c r="O271" s="141">
        <v>1189590</v>
      </c>
      <c r="P271" s="141">
        <v>1064915.4545454546</v>
      </c>
      <c r="Q271" s="141">
        <v>1180029.5454545454</v>
      </c>
      <c r="R271" s="141">
        <v>1329758.1818181819</v>
      </c>
      <c r="S271" s="141">
        <v>1406293.6363636362</v>
      </c>
      <c r="T271" s="141">
        <v>1740780</v>
      </c>
      <c r="U271" s="141">
        <v>1576542.2727272727</v>
      </c>
      <c r="V271" s="141">
        <v>1559727.2727272725</v>
      </c>
      <c r="W271" s="141">
        <v>1562214.5454545454</v>
      </c>
      <c r="X271" s="141">
        <v>1732489.0909090908</v>
      </c>
      <c r="Y271" s="141">
        <v>1484694.5454545454</v>
      </c>
      <c r="Z271" s="141">
        <v>1793919.5454545454</v>
      </c>
      <c r="AA271" s="141">
        <v>1578822.2727272725</v>
      </c>
      <c r="AB271" s="141">
        <v>1429456.3636363638</v>
      </c>
      <c r="AC271" s="141">
        <v>1523143.6363636362</v>
      </c>
      <c r="AD271" s="141">
        <v>1575998.1818181816</v>
      </c>
      <c r="AE271" s="141">
        <v>1662638.1818181821</v>
      </c>
      <c r="AF271" s="141">
        <v>1754175</v>
      </c>
      <c r="AG271" s="141">
        <v>1673520</v>
      </c>
      <c r="AH271" s="141">
        <v>1795292.7272727271</v>
      </c>
    </row>
    <row r="274" spans="2:34" s="131" customFormat="1">
      <c r="B274" s="132" t="s">
        <v>102</v>
      </c>
    </row>
    <row r="276" spans="2:34">
      <c r="C276" s="136" t="s">
        <v>95</v>
      </c>
    </row>
    <row r="277" spans="2:34">
      <c r="F277" t="s">
        <v>96</v>
      </c>
      <c r="G277" t="s">
        <v>97</v>
      </c>
      <c r="J277" s="139" cm="1">
        <f t="array" ref="J277:AH277">_xlfn.ANCHORARRAY(J3)</f>
        <v>44592</v>
      </c>
      <c r="K277" s="139">
        <v>44957</v>
      </c>
      <c r="L277" s="139">
        <v>45322</v>
      </c>
      <c r="M277" s="139">
        <v>45688</v>
      </c>
      <c r="N277" s="139">
        <v>46053</v>
      </c>
      <c r="O277" s="139">
        <v>46418</v>
      </c>
      <c r="P277" s="139">
        <v>46783</v>
      </c>
      <c r="Q277" s="139">
        <v>47149</v>
      </c>
      <c r="R277" s="139">
        <v>47514</v>
      </c>
      <c r="S277" s="139">
        <v>47879</v>
      </c>
      <c r="T277" s="139">
        <v>48244</v>
      </c>
      <c r="U277" s="139">
        <v>48610</v>
      </c>
      <c r="V277" s="139">
        <v>48975</v>
      </c>
      <c r="W277" s="139">
        <v>49340</v>
      </c>
      <c r="X277" s="139">
        <v>49705</v>
      </c>
      <c r="Y277" s="139">
        <v>50071</v>
      </c>
      <c r="Z277" s="139">
        <v>50436</v>
      </c>
      <c r="AA277" s="139">
        <v>50801</v>
      </c>
      <c r="AB277" s="139">
        <v>51166</v>
      </c>
      <c r="AC277" s="139">
        <v>51532</v>
      </c>
      <c r="AD277" s="139">
        <v>51897</v>
      </c>
      <c r="AE277" s="139">
        <v>52262</v>
      </c>
      <c r="AF277" s="139">
        <v>52627</v>
      </c>
      <c r="AG277" s="139">
        <v>52993</v>
      </c>
      <c r="AH277" s="139">
        <v>53358</v>
      </c>
    </row>
    <row r="278" spans="2:34">
      <c r="F278" s="133" cm="1">
        <f t="array" ref="F278:G302" xml:space="preserve"> _xlfn.LET(
      _xlpm.date,      INDEX(_xlfn.ANCHORARRAY( $E$8),, 1 ),
      _xlpm.asset,     INDEX(_xlfn.ANCHORARRAY( $E$8),, 4 ),
      _xlfn.DROP( _xlfn.HSTACK( _xlpm.date, _xlpm.asset ), 1 ) )</f>
        <v>2022</v>
      </c>
      <c r="G278">
        <v>2724000</v>
      </c>
      <c r="H278" cm="1">
        <f t="array" ref="H278:H302">_xlfn.BYROW(_xlfn.ANCHORARRAY( J278), _xleta.SUM )</f>
        <v>2587799.1644009328</v>
      </c>
      <c r="J278" s="140" cm="1">
        <f t="array" ref="J278:AH302" xml:space="preserve"> _xlfn.LET(
      _xlpm.acquisition_date,    INDEX(_xlfn.ANCHORARRAY( $F278),,1 ),
      _xlpm.acquisition_cost,    INDEX(_xlfn.ANCHORARRAY( $F278),,2 ),
      _xlpm.current_date,_xlfn.ANCHORARRAY(        J3),
      _xlpm.salvage_value,       CaseData!$G$11,
      _xlpm.depreciable_amount,  _xlpm.acquisition_cost * ( 1 - _xlpm.salvage_value ),
      _xlpm.depreciation_rate,   CaseData!$G$32,
      _xlpm.period,              YEAR( _xlpm.current_date ) - _xlpm.acquisition_date,
      _xlpm.book_value,          _xlpm.depreciable_amount * ( 1 - _xlpm.depreciation_rate ) ^ _xlpm.period,
      _xlpm.depreciation,        _xlpm.depreciation_rate * _xlpm.book_value,
      IFERROR(
        IF( _xlpm.period &lt; 0, 0,
          IF( _xlpm.period &gt;= 0, _xlpm.depreciation, 0 ) ), 0 ) )</f>
        <v>1164510</v>
      </c>
      <c r="K278">
        <v>640480.5</v>
      </c>
      <c r="L278">
        <v>352264.27500000008</v>
      </c>
      <c r="M278">
        <v>193745.35125000007</v>
      </c>
      <c r="N278">
        <v>106559.94318750003</v>
      </c>
      <c r="O278">
        <v>58607.968753125017</v>
      </c>
      <c r="P278">
        <v>32234.382814218767</v>
      </c>
      <c r="Q278">
        <v>17728.910547820324</v>
      </c>
      <c r="R278">
        <v>9750.9008013011771</v>
      </c>
      <c r="S278">
        <v>5362.9954407156483</v>
      </c>
      <c r="T278">
        <v>2949.6474923936066</v>
      </c>
      <c r="U278">
        <v>1622.3061208164841</v>
      </c>
      <c r="V278">
        <v>892.26836644906609</v>
      </c>
      <c r="W278">
        <v>490.7476015469864</v>
      </c>
      <c r="X278">
        <v>269.91118085084258</v>
      </c>
      <c r="Y278">
        <v>148.4511494679634</v>
      </c>
      <c r="Z278">
        <v>81.648132207379874</v>
      </c>
      <c r="AA278">
        <v>44.906472714058935</v>
      </c>
      <c r="AB278">
        <v>24.698559992732413</v>
      </c>
      <c r="AC278">
        <v>13.584207996002831</v>
      </c>
      <c r="AD278">
        <v>7.4713143978015575</v>
      </c>
      <c r="AE278">
        <v>4.1092229187908567</v>
      </c>
      <c r="AF278">
        <v>2.2600726053349716</v>
      </c>
      <c r="AG278">
        <v>1.2430399329342343</v>
      </c>
      <c r="AH278">
        <v>0.68367196311382883</v>
      </c>
    </row>
    <row r="279" spans="2:34">
      <c r="F279" s="133">
        <v>2023</v>
      </c>
      <c r="G279">
        <v>306000</v>
      </c>
      <c r="H279">
        <v>290699.82933299016</v>
      </c>
      <c r="J279">
        <v>0</v>
      </c>
      <c r="K279">
        <v>130815</v>
      </c>
      <c r="L279">
        <v>71948.25</v>
      </c>
      <c r="M279">
        <v>39571.537500000006</v>
      </c>
      <c r="N279">
        <v>21764.345625000009</v>
      </c>
      <c r="O279">
        <v>11970.390093750004</v>
      </c>
      <c r="P279">
        <v>6583.7145515625025</v>
      </c>
      <c r="Q279">
        <v>3621.0430033593766</v>
      </c>
      <c r="R279">
        <v>1991.5736518476574</v>
      </c>
      <c r="S279">
        <v>1095.3655085162115</v>
      </c>
      <c r="T279">
        <v>602.45102968391643</v>
      </c>
      <c r="U279">
        <v>331.34806632615403</v>
      </c>
      <c r="V279">
        <v>182.24143647938473</v>
      </c>
      <c r="W279">
        <v>100.23279006366161</v>
      </c>
      <c r="X279">
        <v>55.128034535013889</v>
      </c>
      <c r="Y279">
        <v>30.320418994257647</v>
      </c>
      <c r="Z279">
        <v>16.676230446841704</v>
      </c>
      <c r="AA279">
        <v>9.1719267457629385</v>
      </c>
      <c r="AB279">
        <v>5.044559710169616</v>
      </c>
      <c r="AC279">
        <v>2.7745078405932886</v>
      </c>
      <c r="AD279">
        <v>1.5259793123263092</v>
      </c>
      <c r="AE279">
        <v>0.83928862177947006</v>
      </c>
      <c r="AF279">
        <v>0.4616087419787086</v>
      </c>
      <c r="AG279">
        <v>0.25388480808828978</v>
      </c>
      <c r="AH279">
        <v>0.13963664444855939</v>
      </c>
    </row>
    <row r="280" spans="2:34">
      <c r="F280" s="133">
        <v>2024</v>
      </c>
      <c r="G280">
        <v>934500</v>
      </c>
      <c r="H280">
        <v>887774.05235697783</v>
      </c>
      <c r="J280">
        <v>0</v>
      </c>
      <c r="K280">
        <v>0</v>
      </c>
      <c r="L280">
        <v>399498.75</v>
      </c>
      <c r="M280">
        <v>219724.31250000003</v>
      </c>
      <c r="N280">
        <v>120848.37187500003</v>
      </c>
      <c r="O280">
        <v>66466.604531250021</v>
      </c>
      <c r="P280">
        <v>36556.632492187513</v>
      </c>
      <c r="Q280">
        <v>20106.147870703131</v>
      </c>
      <c r="R280">
        <v>11058.381328886724</v>
      </c>
      <c r="S280">
        <v>6082.1097308876997</v>
      </c>
      <c r="T280">
        <v>3345.1603519882342</v>
      </c>
      <c r="U280">
        <v>1839.838193593529</v>
      </c>
      <c r="V280">
        <v>1011.9110064764411</v>
      </c>
      <c r="W280">
        <v>556.55105356204263</v>
      </c>
      <c r="X280">
        <v>306.10307945912348</v>
      </c>
      <c r="Y280">
        <v>168.3566937025179</v>
      </c>
      <c r="Z280">
        <v>92.596181536384861</v>
      </c>
      <c r="AA280">
        <v>50.92789984501168</v>
      </c>
      <c r="AB280">
        <v>28.010344914756423</v>
      </c>
      <c r="AC280">
        <v>15.405689703116034</v>
      </c>
      <c r="AD280">
        <v>8.4731293367138178</v>
      </c>
      <c r="AE280">
        <v>4.6602211351926019</v>
      </c>
      <c r="AF280">
        <v>2.5631216243559303</v>
      </c>
      <c r="AG280">
        <v>1.409716893395762</v>
      </c>
      <c r="AH280">
        <v>0.77534429136766925</v>
      </c>
    </row>
    <row r="281" spans="2:34">
      <c r="F281" s="133">
        <v>2025</v>
      </c>
      <c r="G281">
        <v>2535000</v>
      </c>
      <c r="H281">
        <v>2408245.3260857775</v>
      </c>
      <c r="J281">
        <v>0</v>
      </c>
      <c r="K281">
        <v>0</v>
      </c>
      <c r="L281">
        <v>0</v>
      </c>
      <c r="M281">
        <v>1083712.5</v>
      </c>
      <c r="N281">
        <v>596041.875</v>
      </c>
      <c r="O281">
        <v>327823.03125000006</v>
      </c>
      <c r="P281">
        <v>180302.66718750005</v>
      </c>
      <c r="Q281">
        <v>99166.46695312504</v>
      </c>
      <c r="R281">
        <v>54541.556824218773</v>
      </c>
      <c r="S281">
        <v>29997.856253320329</v>
      </c>
      <c r="T281">
        <v>16498.820939326182</v>
      </c>
      <c r="U281">
        <v>9074.3515166294001</v>
      </c>
      <c r="V281">
        <v>4990.8933341461698</v>
      </c>
      <c r="W281">
        <v>2744.9913337803937</v>
      </c>
      <c r="X281">
        <v>1509.745233579217</v>
      </c>
      <c r="Y281">
        <v>830.35987846856926</v>
      </c>
      <c r="Z281">
        <v>456.69793315771307</v>
      </c>
      <c r="AA281">
        <v>251.18386323674227</v>
      </c>
      <c r="AB281">
        <v>138.15112478020822</v>
      </c>
      <c r="AC281">
        <v>75.983118629114543</v>
      </c>
      <c r="AD281">
        <v>41.790715246012994</v>
      </c>
      <c r="AE281">
        <v>22.984893385307149</v>
      </c>
      <c r="AF281">
        <v>12.641691361918935</v>
      </c>
      <c r="AG281">
        <v>6.952930249055413</v>
      </c>
      <c r="AH281">
        <v>3.8241116369804784</v>
      </c>
    </row>
    <row r="282" spans="2:34">
      <c r="F282" s="133">
        <v>2026</v>
      </c>
      <c r="G282">
        <v>1273500</v>
      </c>
      <c r="H282">
        <v>1209820.7308733996</v>
      </c>
      <c r="J282">
        <v>0</v>
      </c>
      <c r="K282">
        <v>0</v>
      </c>
      <c r="L282">
        <v>0</v>
      </c>
      <c r="M282">
        <v>0</v>
      </c>
      <c r="N282">
        <v>544421.25</v>
      </c>
      <c r="O282">
        <v>299431.6875</v>
      </c>
      <c r="P282">
        <v>164687.42812500003</v>
      </c>
      <c r="Q282">
        <v>90578.085468750025</v>
      </c>
      <c r="R282">
        <v>49817.947007812516</v>
      </c>
      <c r="S282">
        <v>27399.870854296885</v>
      </c>
      <c r="T282">
        <v>15069.928969863287</v>
      </c>
      <c r="U282">
        <v>8288.4609334248107</v>
      </c>
      <c r="V282">
        <v>4558.6535133836451</v>
      </c>
      <c r="W282">
        <v>2507.2594323610051</v>
      </c>
      <c r="X282">
        <v>1378.9926877985529</v>
      </c>
      <c r="Y282">
        <v>758.44597828920428</v>
      </c>
      <c r="Z282">
        <v>417.1452880590623</v>
      </c>
      <c r="AA282">
        <v>229.42990843248427</v>
      </c>
      <c r="AB282">
        <v>126.18644963786639</v>
      </c>
      <c r="AC282">
        <v>69.402547300826512</v>
      </c>
      <c r="AD282">
        <v>38.171401015454585</v>
      </c>
      <c r="AE282">
        <v>20.99427055850002</v>
      </c>
      <c r="AF282">
        <v>11.54684880717501</v>
      </c>
      <c r="AG282">
        <v>6.3507668439462579</v>
      </c>
      <c r="AH282">
        <v>3.4929217641704415</v>
      </c>
    </row>
    <row r="283" spans="2:34">
      <c r="F283" s="133">
        <v>2027</v>
      </c>
      <c r="G283">
        <v>1741500</v>
      </c>
      <c r="H283">
        <v>1654414.3854674303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744491.25</v>
      </c>
      <c r="P283">
        <v>409470.18750000006</v>
      </c>
      <c r="Q283">
        <v>225208.60312500002</v>
      </c>
      <c r="R283">
        <v>123864.73171875004</v>
      </c>
      <c r="S283">
        <v>68125.602445312514</v>
      </c>
      <c r="T283">
        <v>37469.081344921891</v>
      </c>
      <c r="U283">
        <v>20607.994739707039</v>
      </c>
      <c r="V283">
        <v>11334.397106838875</v>
      </c>
      <c r="W283">
        <v>6233.9184087613803</v>
      </c>
      <c r="X283">
        <v>3428.6551248187598</v>
      </c>
      <c r="Y283">
        <v>1885.7603186503177</v>
      </c>
      <c r="Z283">
        <v>1037.1681752576751</v>
      </c>
      <c r="AA283">
        <v>570.44249639172119</v>
      </c>
      <c r="AB283">
        <v>313.74337301544671</v>
      </c>
      <c r="AC283">
        <v>172.5588551584957</v>
      </c>
      <c r="AD283">
        <v>94.907370337172637</v>
      </c>
      <c r="AE283">
        <v>52.199053685444952</v>
      </c>
      <c r="AF283">
        <v>28.709479526994727</v>
      </c>
      <c r="AG283">
        <v>15.790213739847102</v>
      </c>
      <c r="AH283">
        <v>8.6846175569159083</v>
      </c>
    </row>
    <row r="284" spans="2:34">
      <c r="F284" s="133">
        <v>2028</v>
      </c>
      <c r="G284">
        <v>1219500</v>
      </c>
      <c r="H284">
        <v>1158511.4856080513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521336.25</v>
      </c>
      <c r="Q284">
        <v>286734.9375</v>
      </c>
      <c r="R284">
        <v>157704.21562500004</v>
      </c>
      <c r="S284">
        <v>86737.318593750024</v>
      </c>
      <c r="T284">
        <v>47705.525226562509</v>
      </c>
      <c r="U284">
        <v>26238.038874609385</v>
      </c>
      <c r="V284">
        <v>14430.921381035163</v>
      </c>
      <c r="W284">
        <v>7937.0067595693399</v>
      </c>
      <c r="X284">
        <v>4365.353717763137</v>
      </c>
      <c r="Y284">
        <v>2400.9445447697258</v>
      </c>
      <c r="Z284">
        <v>1320.5194996233492</v>
      </c>
      <c r="AA284">
        <v>726.28572479284219</v>
      </c>
      <c r="AB284">
        <v>399.45714863606315</v>
      </c>
      <c r="AC284">
        <v>219.70143174983477</v>
      </c>
      <c r="AD284">
        <v>120.83578746240914</v>
      </c>
      <c r="AE284">
        <v>66.459683104325038</v>
      </c>
      <c r="AF284">
        <v>36.552825707378773</v>
      </c>
      <c r="AG284">
        <v>20.10405413905832</v>
      </c>
      <c r="AH284">
        <v>11.057229776482076</v>
      </c>
    </row>
    <row r="285" spans="2:34">
      <c r="F285" s="133">
        <v>2029</v>
      </c>
      <c r="G285">
        <v>289500</v>
      </c>
      <c r="H285">
        <v>275019.16688438755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123761.25</v>
      </c>
      <c r="R285">
        <v>68068.6875</v>
      </c>
      <c r="S285">
        <v>37437.778125000004</v>
      </c>
      <c r="T285">
        <v>20590.777968750008</v>
      </c>
      <c r="U285">
        <v>11324.927882812503</v>
      </c>
      <c r="V285">
        <v>6228.7103355468771</v>
      </c>
      <c r="W285">
        <v>3425.7906845507828</v>
      </c>
      <c r="X285">
        <v>1884.184876502931</v>
      </c>
      <c r="Y285">
        <v>1036.3016820766118</v>
      </c>
      <c r="Z285">
        <v>569.9659251421366</v>
      </c>
      <c r="AA285">
        <v>313.48125882817516</v>
      </c>
      <c r="AB285">
        <v>172.41469235549636</v>
      </c>
      <c r="AC285">
        <v>94.828080795522993</v>
      </c>
      <c r="AD285">
        <v>52.155444437537646</v>
      </c>
      <c r="AE285">
        <v>28.685494440645712</v>
      </c>
      <c r="AF285">
        <v>15.777021942355141</v>
      </c>
      <c r="AG285">
        <v>8.677362068295329</v>
      </c>
      <c r="AH285">
        <v>4.7725491375624305</v>
      </c>
    </row>
    <row r="286" spans="2:34" s="137" customFormat="1">
      <c r="F286" s="138">
        <v>2030</v>
      </c>
      <c r="G286" s="137">
        <v>1110000</v>
      </c>
      <c r="H286" s="137">
        <v>1054459.3357931864</v>
      </c>
      <c r="J286" s="137">
        <v>0</v>
      </c>
      <c r="K286" s="137">
        <v>0</v>
      </c>
      <c r="L286" s="137">
        <v>0</v>
      </c>
      <c r="M286" s="137">
        <v>0</v>
      </c>
      <c r="N286" s="137">
        <v>0</v>
      </c>
      <c r="O286" s="137">
        <v>0</v>
      </c>
      <c r="P286" s="137">
        <v>0</v>
      </c>
      <c r="Q286" s="137">
        <v>0</v>
      </c>
      <c r="R286" s="137">
        <v>474525</v>
      </c>
      <c r="S286" s="137">
        <v>260988.75</v>
      </c>
      <c r="T286" s="137">
        <v>143543.81250000003</v>
      </c>
      <c r="U286" s="137">
        <v>78949.096875000032</v>
      </c>
      <c r="V286" s="137">
        <v>43422.003281250014</v>
      </c>
      <c r="W286" s="137">
        <v>23882.101804687511</v>
      </c>
      <c r="X286" s="137">
        <v>13135.155992578131</v>
      </c>
      <c r="Y286" s="137">
        <v>7224.335795917973</v>
      </c>
      <c r="Z286" s="137">
        <v>3973.3846877548849</v>
      </c>
      <c r="AA286" s="137">
        <v>2185.3615782651868</v>
      </c>
      <c r="AB286" s="137">
        <v>1201.948868045853</v>
      </c>
      <c r="AC286" s="137">
        <v>661.07187742521921</v>
      </c>
      <c r="AD286" s="137">
        <v>363.58953258387055</v>
      </c>
      <c r="AE286" s="137">
        <v>199.97424292112882</v>
      </c>
      <c r="AF286" s="137">
        <v>109.98583360662086</v>
      </c>
      <c r="AG286" s="137">
        <v>60.492208483641477</v>
      </c>
      <c r="AH286" s="137">
        <v>33.270714666002817</v>
      </c>
    </row>
    <row r="287" spans="2:34">
      <c r="F287" s="133">
        <v>2031</v>
      </c>
      <c r="G287">
        <v>2344500</v>
      </c>
      <c r="H287">
        <v>2227118.8374563875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1002273.75</v>
      </c>
      <c r="T287">
        <v>551250.5625</v>
      </c>
      <c r="U287">
        <v>303187.80937500007</v>
      </c>
      <c r="V287">
        <v>166753.29515625004</v>
      </c>
      <c r="W287">
        <v>91714.312335937531</v>
      </c>
      <c r="X287">
        <v>50442.871784765644</v>
      </c>
      <c r="Y287">
        <v>27743.579481621109</v>
      </c>
      <c r="Z287">
        <v>15258.968714891611</v>
      </c>
      <c r="AA287">
        <v>8392.4327931903863</v>
      </c>
      <c r="AB287">
        <v>4615.8380362547123</v>
      </c>
      <c r="AC287">
        <v>2538.7109199400925</v>
      </c>
      <c r="AD287">
        <v>1396.2910059670508</v>
      </c>
      <c r="AE287">
        <v>767.960053281878</v>
      </c>
      <c r="AF287">
        <v>422.37802930503284</v>
      </c>
      <c r="AG287">
        <v>232.30791611776812</v>
      </c>
      <c r="AH287">
        <v>127.76935386477248</v>
      </c>
    </row>
    <row r="288" spans="2:34">
      <c r="F288" s="133">
        <v>2032</v>
      </c>
      <c r="G288">
        <v>1491000</v>
      </c>
      <c r="H288">
        <v>1416269.4316659684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637402.5</v>
      </c>
      <c r="U288">
        <v>350571.37500000006</v>
      </c>
      <c r="V288">
        <v>192814.25625000003</v>
      </c>
      <c r="W288">
        <v>106047.84093750003</v>
      </c>
      <c r="X288">
        <v>58326.312515625017</v>
      </c>
      <c r="Y288">
        <v>32079.471883593764</v>
      </c>
      <c r="Z288">
        <v>17643.709535976574</v>
      </c>
      <c r="AA288">
        <v>9704.0402447871147</v>
      </c>
      <c r="AB288">
        <v>5337.2221346329134</v>
      </c>
      <c r="AC288">
        <v>2935.4721740481023</v>
      </c>
      <c r="AD288">
        <v>1614.5096957264564</v>
      </c>
      <c r="AE288">
        <v>887.9803326495512</v>
      </c>
      <c r="AF288">
        <v>488.38918295725313</v>
      </c>
      <c r="AG288">
        <v>268.61405062648925</v>
      </c>
      <c r="AH288">
        <v>147.73772784456912</v>
      </c>
    </row>
    <row r="289" spans="6:34">
      <c r="F289" s="133">
        <v>2033</v>
      </c>
      <c r="G289">
        <v>2170500</v>
      </c>
      <c r="H289">
        <v>2061497.0735698838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927888.75</v>
      </c>
      <c r="V289">
        <v>510338.8125</v>
      </c>
      <c r="W289">
        <v>280686.34687500005</v>
      </c>
      <c r="X289">
        <v>154377.49078125006</v>
      </c>
      <c r="Y289">
        <v>84907.619929687513</v>
      </c>
      <c r="Z289">
        <v>46699.190961328146</v>
      </c>
      <c r="AA289">
        <v>25684.55502873048</v>
      </c>
      <c r="AB289">
        <v>14126.505265801767</v>
      </c>
      <c r="AC289">
        <v>7769.5778961909718</v>
      </c>
      <c r="AD289">
        <v>4273.2678429050347</v>
      </c>
      <c r="AE289">
        <v>2350.2973135977695</v>
      </c>
      <c r="AF289">
        <v>1292.6635224787733</v>
      </c>
      <c r="AG289">
        <v>710.96493736332525</v>
      </c>
      <c r="AH289">
        <v>391.03071554982893</v>
      </c>
    </row>
    <row r="290" spans="6:34">
      <c r="F290" s="133">
        <v>2034</v>
      </c>
      <c r="G290">
        <v>1086000</v>
      </c>
      <c r="H290">
        <v>1031265.221165541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464265</v>
      </c>
      <c r="W290">
        <v>255345.75</v>
      </c>
      <c r="X290">
        <v>140440.16250000003</v>
      </c>
      <c r="Y290">
        <v>77242.089375000025</v>
      </c>
      <c r="Z290">
        <v>42483.149156250016</v>
      </c>
      <c r="AA290">
        <v>23365.732035937508</v>
      </c>
      <c r="AB290">
        <v>12851.152619765631</v>
      </c>
      <c r="AC290">
        <v>7068.1339408710983</v>
      </c>
      <c r="AD290">
        <v>3887.4736674791038</v>
      </c>
      <c r="AE290">
        <v>2138.1105171135073</v>
      </c>
      <c r="AF290">
        <v>1175.9607844124291</v>
      </c>
      <c r="AG290">
        <v>646.77843142683605</v>
      </c>
      <c r="AH290">
        <v>355.72813728475984</v>
      </c>
    </row>
    <row r="291" spans="6:34">
      <c r="F291" s="133">
        <v>2035</v>
      </c>
      <c r="G291">
        <v>1378500</v>
      </c>
      <c r="H291">
        <v>1308571.5802389053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589308.75</v>
      </c>
      <c r="X291">
        <v>324119.8125</v>
      </c>
      <c r="Y291">
        <v>178265.89687500003</v>
      </c>
      <c r="Z291">
        <v>98046.243281250019</v>
      </c>
      <c r="AA291">
        <v>53925.433804687513</v>
      </c>
      <c r="AB291">
        <v>29658.988592578138</v>
      </c>
      <c r="AC291">
        <v>16312.443725917978</v>
      </c>
      <c r="AD291">
        <v>8971.8440492548889</v>
      </c>
      <c r="AE291">
        <v>4934.5142270901879</v>
      </c>
      <c r="AF291">
        <v>2713.9828248996037</v>
      </c>
      <c r="AG291">
        <v>1492.6905536947822</v>
      </c>
      <c r="AH291">
        <v>820.97980453213029</v>
      </c>
    </row>
    <row r="292" spans="6:34">
      <c r="F292" s="133">
        <v>2036</v>
      </c>
      <c r="G292">
        <v>1762500</v>
      </c>
      <c r="H292">
        <v>1672042.3890210974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753468.75</v>
      </c>
      <c r="Y292">
        <v>414407.81250000006</v>
      </c>
      <c r="Z292">
        <v>227924.29687500003</v>
      </c>
      <c r="AA292">
        <v>125358.36328125003</v>
      </c>
      <c r="AB292">
        <v>68947.099804687517</v>
      </c>
      <c r="AC292">
        <v>37920.904892578139</v>
      </c>
      <c r="AD292">
        <v>20856.497690917979</v>
      </c>
      <c r="AE292">
        <v>11471.073730004891</v>
      </c>
      <c r="AF292">
        <v>6309.0905515026889</v>
      </c>
      <c r="AG292">
        <v>3469.9998033264792</v>
      </c>
      <c r="AH292">
        <v>1908.4998918295637</v>
      </c>
    </row>
    <row r="293" spans="6:34">
      <c r="F293" s="133">
        <v>2037</v>
      </c>
      <c r="G293">
        <v>525000</v>
      </c>
      <c r="H293">
        <v>497486.69037893071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224437.5</v>
      </c>
      <c r="Z293">
        <v>123440.625</v>
      </c>
      <c r="AA293">
        <v>67892.343750000015</v>
      </c>
      <c r="AB293">
        <v>37340.789062500015</v>
      </c>
      <c r="AC293">
        <v>20537.433984375006</v>
      </c>
      <c r="AD293">
        <v>11295.588691406254</v>
      </c>
      <c r="AE293">
        <v>6212.5737802734402</v>
      </c>
      <c r="AF293">
        <v>3416.9155791503927</v>
      </c>
      <c r="AG293">
        <v>1879.3035685327156</v>
      </c>
      <c r="AH293">
        <v>1033.6169626929939</v>
      </c>
    </row>
    <row r="294" spans="6:34">
      <c r="F294" s="133">
        <v>2038</v>
      </c>
      <c r="G294">
        <v>2467500</v>
      </c>
      <c r="H294">
        <v>2333329.4450563183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1054856.25</v>
      </c>
      <c r="AA294">
        <v>580170.9375</v>
      </c>
      <c r="AB294">
        <v>319094.01562500006</v>
      </c>
      <c r="AC294">
        <v>175501.70859375005</v>
      </c>
      <c r="AD294">
        <v>96525.93972656253</v>
      </c>
      <c r="AE294">
        <v>53089.26684960939</v>
      </c>
      <c r="AF294">
        <v>29199.096767285173</v>
      </c>
      <c r="AG294">
        <v>16059.503222006846</v>
      </c>
      <c r="AH294">
        <v>8832.7267721037642</v>
      </c>
    </row>
    <row r="295" spans="6:34">
      <c r="F295" s="133">
        <v>2039</v>
      </c>
      <c r="G295">
        <v>1002000</v>
      </c>
      <c r="H295">
        <v>943929.36645219161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428355</v>
      </c>
      <c r="AB295">
        <v>235595.25000000003</v>
      </c>
      <c r="AC295">
        <v>129577.38750000003</v>
      </c>
      <c r="AD295">
        <v>71267.56312500003</v>
      </c>
      <c r="AE295">
        <v>39197.159718750008</v>
      </c>
      <c r="AF295">
        <v>21558.437845312506</v>
      </c>
      <c r="AG295">
        <v>11857.140814921881</v>
      </c>
      <c r="AH295">
        <v>6521.4274482070359</v>
      </c>
    </row>
    <row r="296" spans="6:34">
      <c r="F296" s="133">
        <v>2040</v>
      </c>
      <c r="G296">
        <v>2256000</v>
      </c>
      <c r="H296">
        <v>2110571.1680568755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964440</v>
      </c>
      <c r="AC296">
        <v>530442</v>
      </c>
      <c r="AD296">
        <v>291743.10000000003</v>
      </c>
      <c r="AE296">
        <v>160458.70500000005</v>
      </c>
      <c r="AF296">
        <v>88252.287750000032</v>
      </c>
      <c r="AG296">
        <v>48538.758262500014</v>
      </c>
      <c r="AH296">
        <v>26696.317044375013</v>
      </c>
    </row>
    <row r="297" spans="6:34">
      <c r="F297" s="133">
        <v>2041</v>
      </c>
      <c r="G297">
        <v>1852500</v>
      </c>
      <c r="H297">
        <v>1711160.5325800783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791943.75</v>
      </c>
      <c r="AD297">
        <v>435569.06250000006</v>
      </c>
      <c r="AE297">
        <v>239562.98437500006</v>
      </c>
      <c r="AF297">
        <v>131759.64140625007</v>
      </c>
      <c r="AG297">
        <v>72467.802773437521</v>
      </c>
      <c r="AH297">
        <v>39857.291525390639</v>
      </c>
    </row>
    <row r="298" spans="6:34">
      <c r="F298" s="133">
        <v>2042</v>
      </c>
      <c r="G298">
        <v>1392000</v>
      </c>
      <c r="H298">
        <v>1255845.6742499999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595080</v>
      </c>
      <c r="AE298">
        <v>327294.00000000006</v>
      </c>
      <c r="AF298">
        <v>180011.70000000004</v>
      </c>
      <c r="AG298">
        <v>99006.435000000041</v>
      </c>
      <c r="AH298">
        <v>54453.539250000016</v>
      </c>
    </row>
    <row r="299" spans="6:34">
      <c r="F299" s="133">
        <v>2043</v>
      </c>
      <c r="G299">
        <v>2055000</v>
      </c>
      <c r="H299">
        <v>1773606.9234375001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878512.5</v>
      </c>
      <c r="AF299">
        <v>483181.875</v>
      </c>
      <c r="AG299">
        <v>265750.03125000006</v>
      </c>
      <c r="AH299">
        <v>146162.51718750005</v>
      </c>
    </row>
    <row r="300" spans="6:34">
      <c r="F300" s="133">
        <v>2044</v>
      </c>
      <c r="G300">
        <v>1827000</v>
      </c>
      <c r="H300">
        <v>1446881.2312500002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781042.5</v>
      </c>
      <c r="AG300">
        <v>429573.37500000006</v>
      </c>
      <c r="AH300">
        <v>236265.35625000007</v>
      </c>
    </row>
    <row r="301" spans="6:34">
      <c r="F301" s="133">
        <v>2045</v>
      </c>
      <c r="G301">
        <v>913500</v>
      </c>
      <c r="H301">
        <v>605307.9375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390521.25</v>
      </c>
      <c r="AH301">
        <v>214786.68750000003</v>
      </c>
    </row>
    <row r="302" spans="6:34">
      <c r="F302" s="133">
        <v>2046</v>
      </c>
      <c r="G302">
        <v>1356000</v>
      </c>
      <c r="H302">
        <v>579690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579690</v>
      </c>
    </row>
    <row r="303" spans="6:34">
      <c r="J303" s="141" cm="1">
        <f t="array" ref="J303:AH303">_xlfn.BYCOL(_xlfn.ANCHORARRAY( J278), _xleta.SUM )</f>
        <v>1164510</v>
      </c>
      <c r="K303" s="141">
        <v>771295.5</v>
      </c>
      <c r="L303" s="141">
        <v>823711.27500000014</v>
      </c>
      <c r="M303" s="141">
        <v>1536753.7012500002</v>
      </c>
      <c r="N303" s="141">
        <v>1389635.7856875001</v>
      </c>
      <c r="O303" s="141">
        <v>1508790.9321281251</v>
      </c>
      <c r="P303" s="141">
        <v>1351171.262670469</v>
      </c>
      <c r="Q303" s="141">
        <v>866905.44446875795</v>
      </c>
      <c r="R303" s="141">
        <v>951322.99445781694</v>
      </c>
      <c r="S303" s="141">
        <v>1525501.3969517993</v>
      </c>
      <c r="T303" s="141">
        <v>1476428.2683234897</v>
      </c>
      <c r="U303" s="141">
        <v>1739924.2975779194</v>
      </c>
      <c r="V303" s="141">
        <v>1421223.3636678557</v>
      </c>
      <c r="W303" s="141">
        <v>1370981.6000173208</v>
      </c>
      <c r="X303" s="141">
        <v>1507508.6300095264</v>
      </c>
      <c r="Y303" s="141">
        <v>1053567.2465052395</v>
      </c>
      <c r="Z303" s="141">
        <v>1634318.2355778818</v>
      </c>
      <c r="AA303" s="141">
        <v>1327230.0295678349</v>
      </c>
      <c r="AB303" s="141">
        <v>1694416.5162623094</v>
      </c>
      <c r="AC303" s="141">
        <v>1723872.8339442702</v>
      </c>
      <c r="AD303" s="141">
        <v>1543210.0586693487</v>
      </c>
      <c r="AE303" s="141">
        <v>1727278.0322681419</v>
      </c>
      <c r="AF303" s="141">
        <v>1731045.417747478</v>
      </c>
      <c r="AG303" s="141">
        <v>1342596.2297611129</v>
      </c>
      <c r="AH303" s="141">
        <v>1318117.9263686123</v>
      </c>
    </row>
    <row r="305" spans="3:34">
      <c r="C305" s="136" t="s">
        <v>98</v>
      </c>
    </row>
    <row r="306" spans="3:34">
      <c r="F306" t="s">
        <v>96</v>
      </c>
      <c r="G306" t="s">
        <v>97</v>
      </c>
      <c r="J306" s="139" cm="1">
        <f t="array" ref="J306:AH306">_xlfn.ANCHORARRAY($J$3)</f>
        <v>44592</v>
      </c>
      <c r="K306" s="139">
        <v>44957</v>
      </c>
      <c r="L306" s="139">
        <v>45322</v>
      </c>
      <c r="M306" s="139">
        <v>45688</v>
      </c>
      <c r="N306" s="139">
        <v>46053</v>
      </c>
      <c r="O306" s="139">
        <v>46418</v>
      </c>
      <c r="P306" s="139">
        <v>46783</v>
      </c>
      <c r="Q306" s="139">
        <v>47149</v>
      </c>
      <c r="R306" s="139">
        <v>47514</v>
      </c>
      <c r="S306" s="139">
        <v>47879</v>
      </c>
      <c r="T306" s="139">
        <v>48244</v>
      </c>
      <c r="U306" s="139">
        <v>48610</v>
      </c>
      <c r="V306" s="139">
        <v>48975</v>
      </c>
      <c r="W306" s="139">
        <v>49340</v>
      </c>
      <c r="X306" s="139">
        <v>49705</v>
      </c>
      <c r="Y306" s="139">
        <v>50071</v>
      </c>
      <c r="Z306" s="139">
        <v>50436</v>
      </c>
      <c r="AA306" s="139">
        <v>50801</v>
      </c>
      <c r="AB306" s="139">
        <v>51166</v>
      </c>
      <c r="AC306" s="139">
        <v>51532</v>
      </c>
      <c r="AD306" s="139">
        <v>51897</v>
      </c>
      <c r="AE306" s="139">
        <v>52262</v>
      </c>
      <c r="AF306" s="139">
        <v>52627</v>
      </c>
      <c r="AG306" s="139">
        <v>52993</v>
      </c>
      <c r="AH306" s="139">
        <v>53358</v>
      </c>
    </row>
    <row r="307" spans="3:34">
      <c r="F307" s="133" cm="1">
        <f t="array" ref="F307:G331" xml:space="preserve"> _xlfn.LET(
      _xlpm.date,      INDEX(_xlfn.ANCHORARRAY( $E$8),, 1 ),
      _xlpm.asset,     INDEX(_xlfn.ANCHORARRAY( $E$8),, 4 ),
      _xlfn.DROP( _xlfn.HSTACK( _xlpm.date, _xlpm.asset ), 1 ) )</f>
        <v>2022</v>
      </c>
      <c r="G307">
        <v>2724000</v>
      </c>
      <c r="H307" cm="1">
        <f t="array" ref="H307:H331">_xlfn.BYROW(_xlfn.ANCHORARRAY( J307), _xleta.SUM )</f>
        <v>2587800</v>
      </c>
      <c r="J307" s="140" cm="1">
        <f t="array" ref="J307:AH331" xml:space="preserve"> _xlfn.LET(
      _xlpm.acquisition_date,    INDEX(_xlfn.ANCHORARRAY( $F307),,1 ),
      _xlpm.acquisition_cost,    INDEX(_xlfn.ANCHORARRAY( $F307),,2 ),
      _xlpm.current_date,_xlfn.ANCHORARRAY(        $J$3),
      _xlpm.salvage_value,       CaseData!$G$11,
      _xlpm.depreciable_amount,  _xlpm.acquisition_cost * ( 1 - _xlpm.salvage_value ),
      _xlpm.useful_life,         CaseData!$G$33,
      _xlpm.period,              YEAR( _xlpm.current_date ) - _xlpm.acquisition_date,
      _xlpm.depreciation,        _xlpm.depreciable_amount / _xlpm.useful_life,
      _xlpm.accumulated_depr,    _xlpm.depreciation * ( _xlpm.period ),
      _xlpm.book_value,          _xlpm.depreciable_amount - _xlpm.accumulated_depr,
      IFERROR(
        IF( _xlpm.period &lt; 0, 0,
          IF( _xlpm.period &lt; _xlpm.useful_life, _xlpm.depreciation, IF( _xlpm.book_value &gt; 0, _xlpm.book_value, 0 ) ) ), 0 ) )</f>
        <v>517560</v>
      </c>
      <c r="K307">
        <v>517560</v>
      </c>
      <c r="L307">
        <v>517560</v>
      </c>
      <c r="M307">
        <v>517560</v>
      </c>
      <c r="N307">
        <v>517560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</row>
    <row r="308" spans="3:34">
      <c r="F308" s="133">
        <v>2023</v>
      </c>
      <c r="G308">
        <v>306000</v>
      </c>
      <c r="H308">
        <v>290700</v>
      </c>
      <c r="J308">
        <v>0</v>
      </c>
      <c r="K308">
        <v>58140</v>
      </c>
      <c r="L308">
        <v>58140</v>
      </c>
      <c r="M308">
        <v>58140</v>
      </c>
      <c r="N308">
        <v>58140</v>
      </c>
      <c r="O308">
        <v>58140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</row>
    <row r="309" spans="3:34">
      <c r="F309" s="133">
        <v>2024</v>
      </c>
      <c r="G309">
        <v>934500</v>
      </c>
      <c r="H309">
        <v>887775</v>
      </c>
      <c r="J309">
        <v>0</v>
      </c>
      <c r="K309">
        <v>0</v>
      </c>
      <c r="L309">
        <v>177555</v>
      </c>
      <c r="M309">
        <v>177555</v>
      </c>
      <c r="N309">
        <v>177555</v>
      </c>
      <c r="O309">
        <v>177555</v>
      </c>
      <c r="P309">
        <v>177555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</row>
    <row r="310" spans="3:34">
      <c r="F310" s="133">
        <v>2025</v>
      </c>
      <c r="G310">
        <v>2535000</v>
      </c>
      <c r="H310">
        <v>2408250</v>
      </c>
      <c r="J310">
        <v>0</v>
      </c>
      <c r="K310">
        <v>0</v>
      </c>
      <c r="L310">
        <v>0</v>
      </c>
      <c r="M310">
        <v>481650</v>
      </c>
      <c r="N310">
        <v>481650</v>
      </c>
      <c r="O310">
        <v>481650</v>
      </c>
      <c r="P310">
        <v>481650</v>
      </c>
      <c r="Q310">
        <v>481650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</row>
    <row r="311" spans="3:34">
      <c r="F311" s="133">
        <v>2026</v>
      </c>
      <c r="G311">
        <v>1273500</v>
      </c>
      <c r="H311">
        <v>1209825</v>
      </c>
      <c r="J311">
        <v>0</v>
      </c>
      <c r="K311">
        <v>0</v>
      </c>
      <c r="L311">
        <v>0</v>
      </c>
      <c r="M311">
        <v>0</v>
      </c>
      <c r="N311">
        <v>241965</v>
      </c>
      <c r="O311">
        <v>241965</v>
      </c>
      <c r="P311">
        <v>241965</v>
      </c>
      <c r="Q311">
        <v>241965</v>
      </c>
      <c r="R311">
        <v>241965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</row>
    <row r="312" spans="3:34">
      <c r="F312" s="133">
        <v>2027</v>
      </c>
      <c r="G312">
        <v>1741500</v>
      </c>
      <c r="H312">
        <v>1654425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330885</v>
      </c>
      <c r="P312">
        <v>330885</v>
      </c>
      <c r="Q312">
        <v>330885</v>
      </c>
      <c r="R312">
        <v>330885</v>
      </c>
      <c r="S312">
        <v>330885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</row>
    <row r="313" spans="3:34">
      <c r="F313" s="133">
        <v>2028</v>
      </c>
      <c r="G313">
        <v>1219500</v>
      </c>
      <c r="H313">
        <v>1158525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231705</v>
      </c>
      <c r="Q313">
        <v>231705</v>
      </c>
      <c r="R313">
        <v>231705</v>
      </c>
      <c r="S313">
        <v>231705</v>
      </c>
      <c r="T313">
        <v>231705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</row>
    <row r="314" spans="3:34">
      <c r="F314" s="133">
        <v>2029</v>
      </c>
      <c r="G314">
        <v>289500</v>
      </c>
      <c r="H314">
        <v>275025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55005</v>
      </c>
      <c r="R314">
        <v>55005</v>
      </c>
      <c r="S314">
        <v>55005</v>
      </c>
      <c r="T314">
        <v>55005</v>
      </c>
      <c r="U314">
        <v>55005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</row>
    <row r="315" spans="3:34">
      <c r="F315" s="133">
        <v>2030</v>
      </c>
      <c r="G315">
        <v>1110000</v>
      </c>
      <c r="H315">
        <v>1054500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210900</v>
      </c>
      <c r="S315">
        <v>210900</v>
      </c>
      <c r="T315">
        <v>210900</v>
      </c>
      <c r="U315">
        <v>210900</v>
      </c>
      <c r="V315">
        <v>210900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</row>
    <row r="316" spans="3:34">
      <c r="F316" s="133">
        <v>2031</v>
      </c>
      <c r="G316">
        <v>2344500</v>
      </c>
      <c r="H316">
        <v>2227275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445455</v>
      </c>
      <c r="T316">
        <v>445455</v>
      </c>
      <c r="U316">
        <v>445455</v>
      </c>
      <c r="V316">
        <v>445455</v>
      </c>
      <c r="W316">
        <v>445455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</row>
    <row r="317" spans="3:34">
      <c r="F317" s="133">
        <v>2032</v>
      </c>
      <c r="G317">
        <v>1491000</v>
      </c>
      <c r="H317">
        <v>1416450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283290</v>
      </c>
      <c r="U317">
        <v>283290</v>
      </c>
      <c r="V317">
        <v>283290</v>
      </c>
      <c r="W317">
        <v>283290</v>
      </c>
      <c r="X317">
        <v>283290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</row>
    <row r="318" spans="3:34">
      <c r="F318" s="133">
        <v>2033</v>
      </c>
      <c r="G318">
        <v>2170500</v>
      </c>
      <c r="H318">
        <v>2061975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412395</v>
      </c>
      <c r="V318">
        <v>412395</v>
      </c>
      <c r="W318">
        <v>412395</v>
      </c>
      <c r="X318">
        <v>412395</v>
      </c>
      <c r="Y318">
        <v>412395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</row>
    <row r="319" spans="3:34">
      <c r="F319" s="133">
        <v>2034</v>
      </c>
      <c r="G319">
        <v>1086000</v>
      </c>
      <c r="H319">
        <v>1031700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206340</v>
      </c>
      <c r="W319">
        <v>206340</v>
      </c>
      <c r="X319">
        <v>206340</v>
      </c>
      <c r="Y319">
        <v>206340</v>
      </c>
      <c r="Z319">
        <v>206340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</row>
    <row r="320" spans="3:34">
      <c r="F320" s="133">
        <v>2035</v>
      </c>
      <c r="G320">
        <v>1378500</v>
      </c>
      <c r="H320">
        <v>1309575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261915</v>
      </c>
      <c r="X320">
        <v>261915</v>
      </c>
      <c r="Y320">
        <v>261915</v>
      </c>
      <c r="Z320">
        <v>261915</v>
      </c>
      <c r="AA320">
        <v>261915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</row>
    <row r="321" spans="3:34">
      <c r="F321" s="133">
        <v>2036</v>
      </c>
      <c r="G321">
        <v>1762500</v>
      </c>
      <c r="H321">
        <v>1674375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334875</v>
      </c>
      <c r="Y321">
        <v>334875</v>
      </c>
      <c r="Z321">
        <v>334875</v>
      </c>
      <c r="AA321">
        <v>334875</v>
      </c>
      <c r="AB321">
        <v>334875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</row>
    <row r="322" spans="3:34">
      <c r="F322" s="133">
        <v>2037</v>
      </c>
      <c r="G322">
        <v>525000</v>
      </c>
      <c r="H322">
        <v>498750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99750</v>
      </c>
      <c r="Z322">
        <v>99750</v>
      </c>
      <c r="AA322">
        <v>99750</v>
      </c>
      <c r="AB322">
        <v>99750</v>
      </c>
      <c r="AC322">
        <v>99750</v>
      </c>
      <c r="AD322">
        <v>0</v>
      </c>
      <c r="AE322">
        <v>0</v>
      </c>
      <c r="AF322">
        <v>0</v>
      </c>
      <c r="AG322">
        <v>0</v>
      </c>
      <c r="AH322">
        <v>0</v>
      </c>
    </row>
    <row r="323" spans="3:34">
      <c r="F323" s="133">
        <v>2038</v>
      </c>
      <c r="G323">
        <v>2467500</v>
      </c>
      <c r="H323">
        <v>2344125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468825</v>
      </c>
      <c r="AA323">
        <v>468825</v>
      </c>
      <c r="AB323">
        <v>468825</v>
      </c>
      <c r="AC323">
        <v>468825</v>
      </c>
      <c r="AD323">
        <v>468825</v>
      </c>
      <c r="AE323">
        <v>0</v>
      </c>
      <c r="AF323">
        <v>0</v>
      </c>
      <c r="AG323">
        <v>0</v>
      </c>
      <c r="AH323">
        <v>0</v>
      </c>
    </row>
    <row r="324" spans="3:34">
      <c r="F324" s="133">
        <v>2039</v>
      </c>
      <c r="G324">
        <v>1002000</v>
      </c>
      <c r="H324">
        <v>951900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190380</v>
      </c>
      <c r="AB324">
        <v>190380</v>
      </c>
      <c r="AC324">
        <v>190380</v>
      </c>
      <c r="AD324">
        <v>190380</v>
      </c>
      <c r="AE324">
        <v>190380</v>
      </c>
      <c r="AF324">
        <v>0</v>
      </c>
      <c r="AG324">
        <v>0</v>
      </c>
      <c r="AH324">
        <v>0</v>
      </c>
    </row>
    <row r="325" spans="3:34">
      <c r="F325" s="133">
        <v>2040</v>
      </c>
      <c r="G325">
        <v>2256000</v>
      </c>
      <c r="H325">
        <v>2143200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428640</v>
      </c>
      <c r="AC325">
        <v>428640</v>
      </c>
      <c r="AD325">
        <v>428640</v>
      </c>
      <c r="AE325">
        <v>428640</v>
      </c>
      <c r="AF325">
        <v>428640</v>
      </c>
      <c r="AG325">
        <v>0</v>
      </c>
      <c r="AH325">
        <v>0</v>
      </c>
    </row>
    <row r="326" spans="3:34">
      <c r="F326" s="133">
        <v>2041</v>
      </c>
      <c r="G326">
        <v>1852500</v>
      </c>
      <c r="H326">
        <v>1759875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351975</v>
      </c>
      <c r="AD326">
        <v>351975</v>
      </c>
      <c r="AE326">
        <v>351975</v>
      </c>
      <c r="AF326">
        <v>351975</v>
      </c>
      <c r="AG326">
        <v>351975</v>
      </c>
      <c r="AH326">
        <v>0</v>
      </c>
    </row>
    <row r="327" spans="3:34">
      <c r="F327" s="133">
        <v>2042</v>
      </c>
      <c r="G327">
        <v>1392000</v>
      </c>
      <c r="H327">
        <v>1322400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264480</v>
      </c>
      <c r="AE327">
        <v>264480</v>
      </c>
      <c r="AF327">
        <v>264480</v>
      </c>
      <c r="AG327">
        <v>264480</v>
      </c>
      <c r="AH327">
        <v>264480</v>
      </c>
    </row>
    <row r="328" spans="3:34">
      <c r="F328" s="133">
        <v>2043</v>
      </c>
      <c r="G328">
        <v>2055000</v>
      </c>
      <c r="H328">
        <v>1561800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390450</v>
      </c>
      <c r="AF328">
        <v>390450</v>
      </c>
      <c r="AG328">
        <v>390450</v>
      </c>
      <c r="AH328">
        <v>390450</v>
      </c>
    </row>
    <row r="329" spans="3:34">
      <c r="F329" s="133">
        <v>2044</v>
      </c>
      <c r="G329">
        <v>1827000</v>
      </c>
      <c r="H329">
        <v>1041390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347130</v>
      </c>
      <c r="AG329">
        <v>347130</v>
      </c>
      <c r="AH329">
        <v>347130</v>
      </c>
    </row>
    <row r="330" spans="3:34">
      <c r="F330" s="133">
        <v>2045</v>
      </c>
      <c r="G330">
        <v>913500</v>
      </c>
      <c r="H330">
        <v>347130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173565</v>
      </c>
      <c r="AH330">
        <v>173565</v>
      </c>
    </row>
    <row r="331" spans="3:34">
      <c r="F331" s="133">
        <v>2046</v>
      </c>
      <c r="G331">
        <v>1356000</v>
      </c>
      <c r="H331">
        <v>257640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257640</v>
      </c>
    </row>
    <row r="332" spans="3:34">
      <c r="J332" s="141" cm="1">
        <f t="array" ref="J332:AH332">_xlfn.BYCOL(_xlfn.ANCHORARRAY( J307), _xleta.SUM )</f>
        <v>517560</v>
      </c>
      <c r="K332" s="141">
        <v>575700</v>
      </c>
      <c r="L332" s="141">
        <v>753255</v>
      </c>
      <c r="M332" s="141">
        <v>1234905</v>
      </c>
      <c r="N332" s="141">
        <v>1476870</v>
      </c>
      <c r="O332" s="141">
        <v>1290195</v>
      </c>
      <c r="P332" s="141">
        <v>1463760</v>
      </c>
      <c r="Q332" s="141">
        <v>1341210</v>
      </c>
      <c r="R332" s="141">
        <v>1070460</v>
      </c>
      <c r="S332" s="141">
        <v>1273950</v>
      </c>
      <c r="T332" s="141">
        <v>1226355</v>
      </c>
      <c r="U332" s="141">
        <v>1407045</v>
      </c>
      <c r="V332" s="141">
        <v>1558380</v>
      </c>
      <c r="W332" s="141">
        <v>1609395</v>
      </c>
      <c r="X332" s="141">
        <v>1498815</v>
      </c>
      <c r="Y332" s="141">
        <v>1315275</v>
      </c>
      <c r="Z332" s="141">
        <v>1371705</v>
      </c>
      <c r="AA332" s="141">
        <v>1355745</v>
      </c>
      <c r="AB332" s="141">
        <v>1522470</v>
      </c>
      <c r="AC332" s="141">
        <v>1539570</v>
      </c>
      <c r="AD332" s="141">
        <v>1704300</v>
      </c>
      <c r="AE332" s="141">
        <v>1625925</v>
      </c>
      <c r="AF332" s="141">
        <v>1782675</v>
      </c>
      <c r="AG332" s="141">
        <v>1527600</v>
      </c>
      <c r="AH332" s="141">
        <v>1433265</v>
      </c>
    </row>
    <row r="334" spans="3:34">
      <c r="C334" s="136" t="s">
        <v>99</v>
      </c>
    </row>
    <row r="335" spans="3:34">
      <c r="F335" t="s">
        <v>96</v>
      </c>
      <c r="G335" t="s">
        <v>97</v>
      </c>
      <c r="J335" s="139" cm="1">
        <f t="array" ref="J335:AH335">_xlfn.ANCHORARRAY(J3)</f>
        <v>44592</v>
      </c>
      <c r="K335" s="139">
        <v>44957</v>
      </c>
      <c r="L335" s="139">
        <v>45322</v>
      </c>
      <c r="M335" s="139">
        <v>45688</v>
      </c>
      <c r="N335" s="139">
        <v>46053</v>
      </c>
      <c r="O335" s="139">
        <v>46418</v>
      </c>
      <c r="P335" s="139">
        <v>46783</v>
      </c>
      <c r="Q335" s="139">
        <v>47149</v>
      </c>
      <c r="R335" s="139">
        <v>47514</v>
      </c>
      <c r="S335" s="139">
        <v>47879</v>
      </c>
      <c r="T335" s="139">
        <v>48244</v>
      </c>
      <c r="U335" s="139">
        <v>48610</v>
      </c>
      <c r="V335" s="139">
        <v>48975</v>
      </c>
      <c r="W335" s="139">
        <v>49340</v>
      </c>
      <c r="X335" s="139">
        <v>49705</v>
      </c>
      <c r="Y335" s="139">
        <v>50071</v>
      </c>
      <c r="Z335" s="139">
        <v>50436</v>
      </c>
      <c r="AA335" s="139">
        <v>50801</v>
      </c>
      <c r="AB335" s="139">
        <v>51166</v>
      </c>
      <c r="AC335" s="139">
        <v>51532</v>
      </c>
      <c r="AD335" s="139">
        <v>51897</v>
      </c>
      <c r="AE335" s="139">
        <v>52262</v>
      </c>
      <c r="AF335" s="139">
        <v>52627</v>
      </c>
      <c r="AG335" s="139">
        <v>52993</v>
      </c>
      <c r="AH335" s="139">
        <v>53358</v>
      </c>
    </row>
    <row r="336" spans="3:34">
      <c r="F336" s="133" cm="1">
        <f t="array" ref="F336:G360" xml:space="preserve"> _xlfn.LET(
      _xlpm.date,      INDEX(_xlfn.ANCHORARRAY( $E$8),, 1 ),
      _xlpm.asset,     INDEX(_xlfn.ANCHORARRAY( $E$8),, 4 ),
      _xlfn.DROP( _xlfn.HSTACK( _xlpm.date, _xlpm.asset ), 1 ) )</f>
        <v>2022</v>
      </c>
      <c r="G336">
        <v>2724000</v>
      </c>
      <c r="H336" cm="1">
        <f t="array" ref="H336:H360">_xlfn.BYROW(_xlfn.ANCHORARRAY( J336), _xleta.SUM )</f>
        <v>2587800</v>
      </c>
      <c r="J336" s="140" cm="1">
        <f t="array" ref="J336:AH360" xml:space="preserve"> _xlfn.LET(
      _xlpm.acquisition_date,    INDEX(_xlfn.ANCHORARRAY( $F336),,1 ),
      _xlpm.acquisition_cost,    INDEX(_xlfn.ANCHORARRAY( $F336),,2 ),
      _xlpm.current_date,_xlfn.ANCHORARRAY(        $J$3),
      _xlpm.salvage_value,       CaseData!$G$11,
      _xlpm.depreciable_amount,  _xlpm.acquisition_cost * ( 1 - _xlpm.salvage_value ),
      _xlpm.useful_life,         CaseData!$G$34,
      _xlpm.period,              YEAR( _xlpm.current_date ) - _xlpm.acquisition_date + 1,
      _xlpm.units_of_production, CaseData!$E$39,
      _xlpm.rate,                _xlpm.depreciable_amount / _xlpm.units_of_production,
      _xlpm.production_table,    CaseData!$E$42:$T$61,
      _xlpm.production_rows,     CaseData!$D$42:$D$61,
      _xlpm.production_columns,  CaseData!$E$40:$T$40,
      _xlpm.depreciation_amount, INDEX( _xlpm.production_table, MATCH( _xlpm.period, _xlpm.production_rows, 0 ), MATCH( _xlpm.useful_life, _xlpm.production_columns, 0 ) ),
      IFERROR( IF( _xlpm.period &lt; 0, 0, _xlpm.depreciation_amount * _xlpm.rate ), 0) )</f>
        <v>1035120</v>
      </c>
      <c r="K336">
        <v>621072</v>
      </c>
      <c r="L336">
        <v>372643.2</v>
      </c>
      <c r="M336">
        <v>279482.40000000002</v>
      </c>
      <c r="N336">
        <v>279482.39999999997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</row>
    <row r="337" spans="6:34">
      <c r="F337" s="133">
        <v>2023</v>
      </c>
      <c r="G337">
        <v>306000</v>
      </c>
      <c r="H337">
        <v>290700</v>
      </c>
      <c r="J337">
        <v>0</v>
      </c>
      <c r="K337">
        <v>116280</v>
      </c>
      <c r="L337">
        <v>69768</v>
      </c>
      <c r="M337">
        <v>41860.800000000003</v>
      </c>
      <c r="N337">
        <v>31395.600000000002</v>
      </c>
      <c r="O337">
        <v>31395.599999999999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6:34">
      <c r="F338" s="133">
        <v>2024</v>
      </c>
      <c r="G338">
        <v>934500</v>
      </c>
      <c r="H338">
        <v>887774.99999999988</v>
      </c>
      <c r="J338">
        <v>0</v>
      </c>
      <c r="K338">
        <v>0</v>
      </c>
      <c r="L338">
        <v>355110</v>
      </c>
      <c r="M338">
        <v>213066</v>
      </c>
      <c r="N338">
        <v>127839.59999999999</v>
      </c>
      <c r="O338">
        <v>95879.7</v>
      </c>
      <c r="P338">
        <v>95879.699999999983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</row>
    <row r="339" spans="6:34">
      <c r="F339" s="133">
        <v>2025</v>
      </c>
      <c r="G339">
        <v>2535000</v>
      </c>
      <c r="H339">
        <v>2408250</v>
      </c>
      <c r="J339">
        <v>0</v>
      </c>
      <c r="K339">
        <v>0</v>
      </c>
      <c r="L339">
        <v>0</v>
      </c>
      <c r="M339">
        <v>963299.99999999988</v>
      </c>
      <c r="N339">
        <v>577980</v>
      </c>
      <c r="O339">
        <v>346787.99999999994</v>
      </c>
      <c r="P339">
        <v>260090.99999999997</v>
      </c>
      <c r="Q339">
        <v>260090.99999999994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</row>
    <row r="340" spans="6:34">
      <c r="F340" s="133">
        <v>2026</v>
      </c>
      <c r="G340">
        <v>1273500</v>
      </c>
      <c r="H340">
        <v>1209825</v>
      </c>
      <c r="J340">
        <v>0</v>
      </c>
      <c r="K340">
        <v>0</v>
      </c>
      <c r="L340">
        <v>0</v>
      </c>
      <c r="M340">
        <v>0</v>
      </c>
      <c r="N340">
        <v>483930</v>
      </c>
      <c r="O340">
        <v>290358</v>
      </c>
      <c r="P340">
        <v>174214.8</v>
      </c>
      <c r="Q340">
        <v>130661.09999999999</v>
      </c>
      <c r="R340">
        <v>130661.09999999998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</row>
    <row r="341" spans="6:34">
      <c r="F341" s="133">
        <v>2027</v>
      </c>
      <c r="G341">
        <v>1741500</v>
      </c>
      <c r="H341">
        <v>1654424.9999999998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661770</v>
      </c>
      <c r="P341">
        <v>397062</v>
      </c>
      <c r="Q341">
        <v>238237.2</v>
      </c>
      <c r="R341">
        <v>178677.9</v>
      </c>
      <c r="S341">
        <v>178677.9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</row>
    <row r="342" spans="6:34">
      <c r="F342" s="133">
        <v>2028</v>
      </c>
      <c r="G342">
        <v>1219500</v>
      </c>
      <c r="H342">
        <v>1158525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463410</v>
      </c>
      <c r="Q342">
        <v>278046</v>
      </c>
      <c r="R342">
        <v>166827.6</v>
      </c>
      <c r="S342">
        <v>125120.7</v>
      </c>
      <c r="T342">
        <v>125120.69999999998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</row>
    <row r="343" spans="6:34">
      <c r="F343" s="133">
        <v>2029</v>
      </c>
      <c r="G343">
        <v>289500</v>
      </c>
      <c r="H343">
        <v>275025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110010.00000000001</v>
      </c>
      <c r="R343">
        <v>66006</v>
      </c>
      <c r="S343">
        <v>39603.600000000006</v>
      </c>
      <c r="T343">
        <v>29702.7</v>
      </c>
      <c r="U343">
        <v>29702.699999999997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</row>
    <row r="344" spans="6:34">
      <c r="F344" s="133">
        <v>2030</v>
      </c>
      <c r="G344">
        <v>1110000</v>
      </c>
      <c r="H344">
        <v>1054500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421800</v>
      </c>
      <c r="S344">
        <v>253080</v>
      </c>
      <c r="T344">
        <v>151848</v>
      </c>
      <c r="U344">
        <v>113886</v>
      </c>
      <c r="V344">
        <v>113885.99999999999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</row>
    <row r="345" spans="6:34">
      <c r="F345" s="133">
        <v>2031</v>
      </c>
      <c r="G345">
        <v>2344500</v>
      </c>
      <c r="H345">
        <v>2227275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890910</v>
      </c>
      <c r="T345">
        <v>534546</v>
      </c>
      <c r="U345">
        <v>320727.60000000003</v>
      </c>
      <c r="V345">
        <v>240545.7</v>
      </c>
      <c r="W345">
        <v>240545.69999999998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6:34">
      <c r="F346" s="133">
        <v>2032</v>
      </c>
      <c r="G346">
        <v>1491000</v>
      </c>
      <c r="H346">
        <v>1416450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566580</v>
      </c>
      <c r="U346">
        <v>339948</v>
      </c>
      <c r="V346">
        <v>203968.8</v>
      </c>
      <c r="W346">
        <v>152976.6</v>
      </c>
      <c r="X346">
        <v>152976.59999999998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</row>
    <row r="347" spans="6:34">
      <c r="F347" s="133">
        <v>2033</v>
      </c>
      <c r="G347">
        <v>2170500</v>
      </c>
      <c r="H347">
        <v>2061975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824790</v>
      </c>
      <c r="V347">
        <v>494874</v>
      </c>
      <c r="W347">
        <v>296924.39999999997</v>
      </c>
      <c r="X347">
        <v>222693.3</v>
      </c>
      <c r="Y347">
        <v>222693.29999999996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</row>
    <row r="348" spans="6:34">
      <c r="F348" s="133">
        <v>2034</v>
      </c>
      <c r="G348">
        <v>1086000</v>
      </c>
      <c r="H348">
        <v>1031700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412680</v>
      </c>
      <c r="W348">
        <v>247608.00000000003</v>
      </c>
      <c r="X348">
        <v>148564.80000000002</v>
      </c>
      <c r="Y348">
        <v>111423.6</v>
      </c>
      <c r="Z348">
        <v>111423.59999999999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6:34">
      <c r="F349" s="133">
        <v>2035</v>
      </c>
      <c r="G349">
        <v>1378500</v>
      </c>
      <c r="H349">
        <v>1309575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523830</v>
      </c>
      <c r="X349">
        <v>314298</v>
      </c>
      <c r="Y349">
        <v>188578.8</v>
      </c>
      <c r="Z349">
        <v>141434.1</v>
      </c>
      <c r="AA349">
        <v>141434.09999999998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6:34">
      <c r="F350" s="133">
        <v>2036</v>
      </c>
      <c r="G350">
        <v>1762500</v>
      </c>
      <c r="H350">
        <v>1674375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669750</v>
      </c>
      <c r="Y350">
        <v>401850</v>
      </c>
      <c r="Z350">
        <v>241110</v>
      </c>
      <c r="AA350">
        <v>180832.5</v>
      </c>
      <c r="AB350">
        <v>180832.49999999997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</row>
    <row r="351" spans="6:34">
      <c r="F351" s="133">
        <v>2037</v>
      </c>
      <c r="G351">
        <v>525000</v>
      </c>
      <c r="H351">
        <v>498750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199500</v>
      </c>
      <c r="Z351">
        <v>119700</v>
      </c>
      <c r="AA351">
        <v>71820</v>
      </c>
      <c r="AB351">
        <v>53865</v>
      </c>
      <c r="AC351">
        <v>53864.999999999993</v>
      </c>
      <c r="AD351">
        <v>0</v>
      </c>
      <c r="AE351">
        <v>0</v>
      </c>
      <c r="AF351">
        <v>0</v>
      </c>
      <c r="AG351">
        <v>0</v>
      </c>
      <c r="AH351">
        <v>0</v>
      </c>
    </row>
    <row r="352" spans="6:34">
      <c r="F352" s="133">
        <v>2038</v>
      </c>
      <c r="G352">
        <v>2467500</v>
      </c>
      <c r="H352">
        <v>2344125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937650</v>
      </c>
      <c r="AA352">
        <v>562590</v>
      </c>
      <c r="AB352">
        <v>337554</v>
      </c>
      <c r="AC352">
        <v>253165.5</v>
      </c>
      <c r="AD352">
        <v>253165.49999999997</v>
      </c>
      <c r="AE352">
        <v>0</v>
      </c>
      <c r="AF352">
        <v>0</v>
      </c>
      <c r="AG352">
        <v>0</v>
      </c>
      <c r="AH352">
        <v>0</v>
      </c>
    </row>
    <row r="353" spans="3:34">
      <c r="F353" s="133">
        <v>2039</v>
      </c>
      <c r="G353">
        <v>1002000</v>
      </c>
      <c r="H353">
        <v>951899.99999999988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380760</v>
      </c>
      <c r="AB353">
        <v>228456</v>
      </c>
      <c r="AC353">
        <v>137073.60000000001</v>
      </c>
      <c r="AD353">
        <v>102805.2</v>
      </c>
      <c r="AE353">
        <v>102805.19999999998</v>
      </c>
      <c r="AF353">
        <v>0</v>
      </c>
      <c r="AG353">
        <v>0</v>
      </c>
      <c r="AH353">
        <v>0</v>
      </c>
    </row>
    <row r="354" spans="3:34">
      <c r="F354" s="133">
        <v>2040</v>
      </c>
      <c r="G354">
        <v>2256000</v>
      </c>
      <c r="H354">
        <v>2143200.0000000005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857280.00000000012</v>
      </c>
      <c r="AC354">
        <v>514368.00000000006</v>
      </c>
      <c r="AD354">
        <v>308620.80000000005</v>
      </c>
      <c r="AE354">
        <v>231465.60000000003</v>
      </c>
      <c r="AF354">
        <v>231465.60000000001</v>
      </c>
      <c r="AG354">
        <v>0</v>
      </c>
      <c r="AH354">
        <v>0</v>
      </c>
    </row>
    <row r="355" spans="3:34">
      <c r="F355" s="133">
        <v>2041</v>
      </c>
      <c r="G355">
        <v>1852500</v>
      </c>
      <c r="H355">
        <v>1759875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703950</v>
      </c>
      <c r="AD355">
        <v>422370</v>
      </c>
      <c r="AE355">
        <v>253422</v>
      </c>
      <c r="AF355">
        <v>190066.5</v>
      </c>
      <c r="AG355">
        <v>190066.49999999997</v>
      </c>
      <c r="AH355">
        <v>0</v>
      </c>
    </row>
    <row r="356" spans="3:34">
      <c r="F356" s="133">
        <v>2042</v>
      </c>
      <c r="G356">
        <v>1392000</v>
      </c>
      <c r="H356">
        <v>1322400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528960</v>
      </c>
      <c r="AE356">
        <v>317376</v>
      </c>
      <c r="AF356">
        <v>190425.60000000001</v>
      </c>
      <c r="AG356">
        <v>142819.20000000001</v>
      </c>
      <c r="AH356">
        <v>142819.19999999998</v>
      </c>
    </row>
    <row r="357" spans="3:34">
      <c r="F357" s="133">
        <v>2043</v>
      </c>
      <c r="G357">
        <v>2055000</v>
      </c>
      <c r="H357">
        <v>1741407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780900</v>
      </c>
      <c r="AF357">
        <v>468540</v>
      </c>
      <c r="AG357">
        <v>281124</v>
      </c>
      <c r="AH357">
        <v>210843</v>
      </c>
    </row>
    <row r="358" spans="3:34">
      <c r="F358" s="133">
        <v>2044</v>
      </c>
      <c r="G358">
        <v>1827000</v>
      </c>
      <c r="H358">
        <v>1360749.6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694260</v>
      </c>
      <c r="AG358">
        <v>416556</v>
      </c>
      <c r="AH358">
        <v>249933.59999999998</v>
      </c>
    </row>
    <row r="359" spans="3:34">
      <c r="F359" s="133">
        <v>2045</v>
      </c>
      <c r="G359">
        <v>913500</v>
      </c>
      <c r="H359">
        <v>555408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347130</v>
      </c>
      <c r="AH359">
        <v>208278</v>
      </c>
    </row>
    <row r="360" spans="3:34">
      <c r="F360" s="133">
        <v>2046</v>
      </c>
      <c r="G360">
        <v>1356000</v>
      </c>
      <c r="H360">
        <v>515280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515280</v>
      </c>
    </row>
    <row r="361" spans="3:34">
      <c r="J361" s="141" cm="1">
        <f t="array" ref="J361:AH361">_xlfn.BYCOL(_xlfn.ANCHORARRAY( J336), _xleta.SUM )</f>
        <v>1035120</v>
      </c>
      <c r="K361" s="141">
        <v>737352</v>
      </c>
      <c r="L361" s="141">
        <v>797521.2</v>
      </c>
      <c r="M361" s="141">
        <v>1497709.1999999997</v>
      </c>
      <c r="N361" s="141">
        <v>1500627.5999999999</v>
      </c>
      <c r="O361" s="141">
        <v>1426191.2999999998</v>
      </c>
      <c r="P361" s="141">
        <v>1390657.5</v>
      </c>
      <c r="Q361" s="141">
        <v>1017045.2999999999</v>
      </c>
      <c r="R361" s="141">
        <v>963972.6</v>
      </c>
      <c r="S361" s="141">
        <v>1487392.2</v>
      </c>
      <c r="T361" s="141">
        <v>1407797.4</v>
      </c>
      <c r="U361" s="141">
        <v>1629054.3</v>
      </c>
      <c r="V361" s="141">
        <v>1465954.5</v>
      </c>
      <c r="W361" s="141">
        <v>1461884.7</v>
      </c>
      <c r="X361" s="141">
        <v>1508282.7</v>
      </c>
      <c r="Y361" s="141">
        <v>1124045.7</v>
      </c>
      <c r="Z361" s="141">
        <v>1551317.7</v>
      </c>
      <c r="AA361" s="141">
        <v>1337436.6000000001</v>
      </c>
      <c r="AB361" s="141">
        <v>1657987.5</v>
      </c>
      <c r="AC361" s="141">
        <v>1662422.1</v>
      </c>
      <c r="AD361" s="141">
        <v>1615921.5</v>
      </c>
      <c r="AE361" s="141">
        <v>1685968.8</v>
      </c>
      <c r="AF361" s="141">
        <v>1774757.7</v>
      </c>
      <c r="AG361" s="141">
        <v>1377695.7</v>
      </c>
      <c r="AH361" s="141">
        <v>1327153.7999999998</v>
      </c>
    </row>
    <row r="363" spans="3:34">
      <c r="C363" s="136" t="s">
        <v>100</v>
      </c>
    </row>
    <row r="364" spans="3:34">
      <c r="F364" t="s">
        <v>96</v>
      </c>
      <c r="G364" t="s">
        <v>97</v>
      </c>
      <c r="J364" s="139" cm="1">
        <f t="array" ref="J364:AH364">_xlfn.ANCHORARRAY(J3)</f>
        <v>44592</v>
      </c>
      <c r="K364" s="139">
        <v>44957</v>
      </c>
      <c r="L364" s="139">
        <v>45322</v>
      </c>
      <c r="M364" s="139">
        <v>45688</v>
      </c>
      <c r="N364" s="139">
        <v>46053</v>
      </c>
      <c r="O364" s="139">
        <v>46418</v>
      </c>
      <c r="P364" s="139">
        <v>46783</v>
      </c>
      <c r="Q364" s="139">
        <v>47149</v>
      </c>
      <c r="R364" s="139">
        <v>47514</v>
      </c>
      <c r="S364" s="139">
        <v>47879</v>
      </c>
      <c r="T364" s="139">
        <v>48244</v>
      </c>
      <c r="U364" s="139">
        <v>48610</v>
      </c>
      <c r="V364" s="139">
        <v>48975</v>
      </c>
      <c r="W364" s="139">
        <v>49340</v>
      </c>
      <c r="X364" s="139">
        <v>49705</v>
      </c>
      <c r="Y364" s="139">
        <v>50071</v>
      </c>
      <c r="Z364" s="139">
        <v>50436</v>
      </c>
      <c r="AA364" s="139">
        <v>50801</v>
      </c>
      <c r="AB364" s="139">
        <v>51166</v>
      </c>
      <c r="AC364" s="139">
        <v>51532</v>
      </c>
      <c r="AD364" s="139">
        <v>51897</v>
      </c>
      <c r="AE364" s="139">
        <v>52262</v>
      </c>
      <c r="AF364" s="139">
        <v>52627</v>
      </c>
      <c r="AG364" s="139">
        <v>52993</v>
      </c>
      <c r="AH364" s="139">
        <v>53358</v>
      </c>
    </row>
    <row r="365" spans="3:34">
      <c r="F365" s="133" cm="1">
        <f t="array" ref="F365:G389" xml:space="preserve"> _xlfn.LET(
      _xlpm.date,      INDEX(_xlfn.ANCHORARRAY( $E$8),, 1 ),
      _xlpm.asset,     INDEX(_xlfn.ANCHORARRAY( $E$8),, 4 ),
      _xlfn.DROP( _xlfn.HSTACK( _xlpm.date, _xlpm.asset ), 1 ) )</f>
        <v>2022</v>
      </c>
      <c r="G365">
        <v>2724000</v>
      </c>
      <c r="H365" cm="1">
        <f t="array" ref="H365:H389">_xlfn.BYROW(_xlfn.ANCHORARRAY( J365), _xleta.SUM )</f>
        <v>2587800</v>
      </c>
      <c r="J365" s="140" cm="1">
        <f t="array" ref="J365:AH389" xml:space="preserve"> _xlfn.LET(
      _xlpm.acquisition_date,    INDEX(_xlfn.ANCHORARRAY( $F365),,1 ),
      _xlpm.acquisition_cost,    INDEX(_xlfn.ANCHORARRAY( $F365),,2 ),
      _xlpm.current_date,_xlfn.ANCHORARRAY(        J3),
      _xlpm.salvage_value,       CaseData!$G$11,
      _xlpm.depreciable_amount,  _xlpm.acquisition_cost * ( 1 - _xlpm.salvage_value ),
      _xlpm.useful_life,         CaseData!$G$35,
      _xlpm.period,              YEAR( _xlpm.current_date ) - _xlpm.acquisition_date + 1,
      _xlpm.useful_life_percent, CaseData!$E$67:$T$86,
      _xlpm.useful_life_year,    CaseData!$D$67:$D$86,
      _xlpm.useful_life_digit,   CaseData!$E$65:$T$65,
      _xlpm.rate,                INDEX( _xlpm.useful_life_percent, MATCH( _xlpm.period, _xlpm.useful_life_year, 0 ), MATCH( _xlpm.useful_life, _xlpm.useful_life_digit, 0 ) ),
      IFERROR( IF( _xlpm.period &lt; 0, 0, _xlpm.depreciable_amount * _xlpm.rate ), 0 ) )</f>
        <v>862600</v>
      </c>
      <c r="K365">
        <v>690080</v>
      </c>
      <c r="L365">
        <v>517560</v>
      </c>
      <c r="M365">
        <v>345040</v>
      </c>
      <c r="N365">
        <v>172520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6" spans="3:34">
      <c r="F366" s="133">
        <v>2023</v>
      </c>
      <c r="G366">
        <v>306000</v>
      </c>
      <c r="H366">
        <v>290700</v>
      </c>
      <c r="J366">
        <v>0</v>
      </c>
      <c r="K366">
        <v>96900</v>
      </c>
      <c r="L366">
        <v>77520</v>
      </c>
      <c r="M366">
        <v>58140</v>
      </c>
      <c r="N366">
        <v>38760</v>
      </c>
      <c r="O366">
        <v>19380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</row>
    <row r="367" spans="3:34">
      <c r="F367" s="133">
        <v>2024</v>
      </c>
      <c r="G367">
        <v>934500</v>
      </c>
      <c r="H367">
        <v>887775</v>
      </c>
      <c r="J367">
        <v>0</v>
      </c>
      <c r="K367">
        <v>0</v>
      </c>
      <c r="L367">
        <v>295925</v>
      </c>
      <c r="M367">
        <v>236740</v>
      </c>
      <c r="N367">
        <v>177555</v>
      </c>
      <c r="O367">
        <v>118370</v>
      </c>
      <c r="P367">
        <v>59185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</row>
    <row r="368" spans="3:34">
      <c r="F368" s="133">
        <v>2025</v>
      </c>
      <c r="G368">
        <v>2535000</v>
      </c>
      <c r="H368">
        <v>2408250</v>
      </c>
      <c r="J368">
        <v>0</v>
      </c>
      <c r="K368">
        <v>0</v>
      </c>
      <c r="L368">
        <v>0</v>
      </c>
      <c r="M368">
        <v>802750</v>
      </c>
      <c r="N368">
        <v>642200</v>
      </c>
      <c r="O368">
        <v>481650</v>
      </c>
      <c r="P368">
        <v>321100</v>
      </c>
      <c r="Q368">
        <v>160550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</row>
    <row r="369" spans="6:34">
      <c r="F369" s="133">
        <v>2026</v>
      </c>
      <c r="G369">
        <v>1273500</v>
      </c>
      <c r="H369">
        <v>1209825</v>
      </c>
      <c r="J369">
        <v>0</v>
      </c>
      <c r="K369">
        <v>0</v>
      </c>
      <c r="L369">
        <v>0</v>
      </c>
      <c r="M369">
        <v>0</v>
      </c>
      <c r="N369">
        <v>403275</v>
      </c>
      <c r="O369">
        <v>322620</v>
      </c>
      <c r="P369">
        <v>241965</v>
      </c>
      <c r="Q369">
        <v>161310</v>
      </c>
      <c r="R369">
        <v>80655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6:34">
      <c r="F370" s="133">
        <v>2027</v>
      </c>
      <c r="G370">
        <v>1741500</v>
      </c>
      <c r="H370">
        <v>1654425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551475</v>
      </c>
      <c r="P370">
        <v>441180</v>
      </c>
      <c r="Q370">
        <v>330885</v>
      </c>
      <c r="R370">
        <v>220590</v>
      </c>
      <c r="S370">
        <v>110295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</row>
    <row r="371" spans="6:34">
      <c r="F371" s="133">
        <v>2028</v>
      </c>
      <c r="G371">
        <v>1219500</v>
      </c>
      <c r="H371">
        <v>1158525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386175</v>
      </c>
      <c r="Q371">
        <v>308940</v>
      </c>
      <c r="R371">
        <v>231705</v>
      </c>
      <c r="S371">
        <v>154470</v>
      </c>
      <c r="T371">
        <v>77235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</row>
    <row r="372" spans="6:34">
      <c r="F372" s="133">
        <v>2029</v>
      </c>
      <c r="G372">
        <v>289500</v>
      </c>
      <c r="H372">
        <v>275025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91675</v>
      </c>
      <c r="R372">
        <v>73340</v>
      </c>
      <c r="S372">
        <v>55005</v>
      </c>
      <c r="T372">
        <v>36670</v>
      </c>
      <c r="U372">
        <v>18335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</row>
    <row r="373" spans="6:34">
      <c r="F373" s="133">
        <v>2030</v>
      </c>
      <c r="G373">
        <v>1110000</v>
      </c>
      <c r="H373">
        <v>1054500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351500</v>
      </c>
      <c r="S373">
        <v>281200</v>
      </c>
      <c r="T373">
        <v>210900</v>
      </c>
      <c r="U373">
        <v>140600</v>
      </c>
      <c r="V373">
        <v>70300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</row>
    <row r="374" spans="6:34">
      <c r="F374" s="133">
        <v>2031</v>
      </c>
      <c r="G374">
        <v>2344500</v>
      </c>
      <c r="H374">
        <v>2227275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742425</v>
      </c>
      <c r="T374">
        <v>593940</v>
      </c>
      <c r="U374">
        <v>445455</v>
      </c>
      <c r="V374">
        <v>296970</v>
      </c>
      <c r="W374">
        <v>148485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</row>
    <row r="375" spans="6:34">
      <c r="F375" s="133">
        <v>2032</v>
      </c>
      <c r="G375">
        <v>1491000</v>
      </c>
      <c r="H375">
        <v>1416450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472150</v>
      </c>
      <c r="U375">
        <v>377720</v>
      </c>
      <c r="V375">
        <v>283290</v>
      </c>
      <c r="W375">
        <v>188860</v>
      </c>
      <c r="X375">
        <v>94430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</row>
    <row r="376" spans="6:34">
      <c r="F376" s="133">
        <v>2033</v>
      </c>
      <c r="G376">
        <v>2170500</v>
      </c>
      <c r="H376">
        <v>2061975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687325</v>
      </c>
      <c r="V376">
        <v>549860</v>
      </c>
      <c r="W376">
        <v>412395</v>
      </c>
      <c r="X376">
        <v>274930</v>
      </c>
      <c r="Y376">
        <v>137465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</row>
    <row r="377" spans="6:34">
      <c r="F377" s="133">
        <v>2034</v>
      </c>
      <c r="G377">
        <v>1086000</v>
      </c>
      <c r="H377">
        <v>1031700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343900</v>
      </c>
      <c r="W377">
        <v>275120</v>
      </c>
      <c r="X377">
        <v>206340</v>
      </c>
      <c r="Y377">
        <v>137560</v>
      </c>
      <c r="Z377">
        <v>68780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</row>
    <row r="378" spans="6:34">
      <c r="F378" s="133">
        <v>2035</v>
      </c>
      <c r="G378">
        <v>1378500</v>
      </c>
      <c r="H378">
        <v>1309575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436525</v>
      </c>
      <c r="X378">
        <v>349220</v>
      </c>
      <c r="Y378">
        <v>261915</v>
      </c>
      <c r="Z378">
        <v>174610</v>
      </c>
      <c r="AA378">
        <v>87305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</row>
    <row r="379" spans="6:34">
      <c r="F379" s="133">
        <v>2036</v>
      </c>
      <c r="G379">
        <v>1762500</v>
      </c>
      <c r="H379">
        <v>1674375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558125</v>
      </c>
      <c r="Y379">
        <v>446500</v>
      </c>
      <c r="Z379">
        <v>334875</v>
      </c>
      <c r="AA379">
        <v>223250</v>
      </c>
      <c r="AB379">
        <v>111625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</row>
    <row r="380" spans="6:34">
      <c r="F380" s="133">
        <v>2037</v>
      </c>
      <c r="G380">
        <v>525000</v>
      </c>
      <c r="H380">
        <v>498750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166250</v>
      </c>
      <c r="Z380">
        <v>133000</v>
      </c>
      <c r="AA380">
        <v>99750</v>
      </c>
      <c r="AB380">
        <v>66500</v>
      </c>
      <c r="AC380">
        <v>33250</v>
      </c>
      <c r="AD380">
        <v>0</v>
      </c>
      <c r="AE380">
        <v>0</v>
      </c>
      <c r="AF380">
        <v>0</v>
      </c>
      <c r="AG380">
        <v>0</v>
      </c>
      <c r="AH380">
        <v>0</v>
      </c>
    </row>
    <row r="381" spans="6:34">
      <c r="F381" s="133">
        <v>2038</v>
      </c>
      <c r="G381">
        <v>2467500</v>
      </c>
      <c r="H381">
        <v>2344125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781375</v>
      </c>
      <c r="AA381">
        <v>625100</v>
      </c>
      <c r="AB381">
        <v>468825</v>
      </c>
      <c r="AC381">
        <v>312550</v>
      </c>
      <c r="AD381">
        <v>156275</v>
      </c>
      <c r="AE381">
        <v>0</v>
      </c>
      <c r="AF381">
        <v>0</v>
      </c>
      <c r="AG381">
        <v>0</v>
      </c>
      <c r="AH381">
        <v>0</v>
      </c>
    </row>
    <row r="382" spans="6:34">
      <c r="F382" s="133">
        <v>2039</v>
      </c>
      <c r="G382">
        <v>1002000</v>
      </c>
      <c r="H382">
        <v>951900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317300</v>
      </c>
      <c r="AB382">
        <v>253840</v>
      </c>
      <c r="AC382">
        <v>190380</v>
      </c>
      <c r="AD382">
        <v>126920</v>
      </c>
      <c r="AE382">
        <v>63460</v>
      </c>
      <c r="AF382">
        <v>0</v>
      </c>
      <c r="AG382">
        <v>0</v>
      </c>
      <c r="AH382">
        <v>0</v>
      </c>
    </row>
    <row r="383" spans="6:34">
      <c r="F383" s="133">
        <v>2040</v>
      </c>
      <c r="G383">
        <v>2256000</v>
      </c>
      <c r="H383">
        <v>2143200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714400</v>
      </c>
      <c r="AC383">
        <v>571520</v>
      </c>
      <c r="AD383">
        <v>428640</v>
      </c>
      <c r="AE383">
        <v>285760</v>
      </c>
      <c r="AF383">
        <v>142880</v>
      </c>
      <c r="AG383">
        <v>0</v>
      </c>
      <c r="AH383">
        <v>0</v>
      </c>
    </row>
    <row r="384" spans="6:34">
      <c r="F384" s="133">
        <v>2041</v>
      </c>
      <c r="G384">
        <v>1852500</v>
      </c>
      <c r="H384">
        <v>1759875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586625</v>
      </c>
      <c r="AD384">
        <v>469300</v>
      </c>
      <c r="AE384">
        <v>351975</v>
      </c>
      <c r="AF384">
        <v>234650</v>
      </c>
      <c r="AG384">
        <v>117325</v>
      </c>
      <c r="AH384">
        <v>0</v>
      </c>
    </row>
    <row r="385" spans="6:34">
      <c r="F385" s="133">
        <v>2042</v>
      </c>
      <c r="G385">
        <v>1392000</v>
      </c>
      <c r="H385">
        <v>1322400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440800</v>
      </c>
      <c r="AE385">
        <v>352640</v>
      </c>
      <c r="AF385">
        <v>264480</v>
      </c>
      <c r="AG385">
        <v>176320</v>
      </c>
      <c r="AH385">
        <v>88160</v>
      </c>
    </row>
    <row r="386" spans="6:34">
      <c r="F386" s="133">
        <v>2043</v>
      </c>
      <c r="G386">
        <v>2055000</v>
      </c>
      <c r="H386">
        <v>1822100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650750</v>
      </c>
      <c r="AF386">
        <v>520600</v>
      </c>
      <c r="AG386">
        <v>390450</v>
      </c>
      <c r="AH386">
        <v>260300</v>
      </c>
    </row>
    <row r="387" spans="6:34">
      <c r="F387" s="133">
        <v>2044</v>
      </c>
      <c r="G387">
        <v>1827000</v>
      </c>
      <c r="H387">
        <v>1388520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578550</v>
      </c>
      <c r="AG387">
        <v>462840</v>
      </c>
      <c r="AH387">
        <v>347130</v>
      </c>
    </row>
    <row r="388" spans="6:34">
      <c r="F388" s="133">
        <v>2045</v>
      </c>
      <c r="G388">
        <v>913500</v>
      </c>
      <c r="H388">
        <v>520695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289275</v>
      </c>
      <c r="AH388">
        <v>231420</v>
      </c>
    </row>
    <row r="389" spans="6:34">
      <c r="F389" s="133">
        <v>2046</v>
      </c>
      <c r="G389">
        <v>1356000</v>
      </c>
      <c r="H389">
        <v>429400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429400</v>
      </c>
    </row>
    <row r="390" spans="6:34">
      <c r="J390" s="141" cm="1">
        <f t="array" ref="J390:AH390">_xlfn.BYCOL(_xlfn.ANCHORARRAY( J365), _xleta.SUM )</f>
        <v>862600</v>
      </c>
      <c r="K390" s="141">
        <v>786980</v>
      </c>
      <c r="L390" s="141">
        <v>891005</v>
      </c>
      <c r="M390" s="141">
        <v>1442670</v>
      </c>
      <c r="N390" s="141">
        <v>1434310</v>
      </c>
      <c r="O390" s="141">
        <v>1493495</v>
      </c>
      <c r="P390" s="141">
        <v>1449605</v>
      </c>
      <c r="Q390" s="141">
        <v>1053360</v>
      </c>
      <c r="R390" s="141">
        <v>957790</v>
      </c>
      <c r="S390" s="141">
        <v>1343395</v>
      </c>
      <c r="T390" s="141">
        <v>1390895</v>
      </c>
      <c r="U390" s="141">
        <v>1669435</v>
      </c>
      <c r="V390" s="141">
        <v>1544320</v>
      </c>
      <c r="W390" s="141">
        <v>1461385</v>
      </c>
      <c r="X390" s="141">
        <v>1483045</v>
      </c>
      <c r="Y390" s="141">
        <v>1149690</v>
      </c>
      <c r="Z390" s="141">
        <v>1492640</v>
      </c>
      <c r="AA390" s="141">
        <v>1352705</v>
      </c>
      <c r="AB390" s="141">
        <v>1615190</v>
      </c>
      <c r="AC390" s="141">
        <v>1694325</v>
      </c>
      <c r="AD390" s="141">
        <v>1621935</v>
      </c>
      <c r="AE390" s="141">
        <v>1704585</v>
      </c>
      <c r="AF390" s="141">
        <v>1741160</v>
      </c>
      <c r="AG390" s="141">
        <v>1436210</v>
      </c>
      <c r="AH390" s="141">
        <v>1356410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paperSize="9" scale="85" orientation="landscape" horizontalDpi="300" verticalDpi="300" r:id="rId1"/>
  <headerFooter>
    <oddFooter>&amp;LFinancial Modeling Institute
CFM October 2026&amp;CPage &amp;P of &amp;N&amp;R&amp;D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BAECC-3913-46CF-A702-4E043BB955DE}">
  <sheetPr>
    <outlinePr summaryBelow="0"/>
  </sheetPr>
  <dimension ref="A1:U440"/>
  <sheetViews>
    <sheetView showGridLines="0" topLeftCell="A60" zoomScaleNormal="100" workbookViewId="0">
      <selection activeCell="O42" sqref="O42:O56"/>
    </sheetView>
  </sheetViews>
  <sheetFormatPr defaultColWidth="12.59765625" defaultRowHeight="13.2"/>
  <cols>
    <col min="1" max="2" width="2.59765625" style="2" customWidth="1"/>
    <col min="3" max="3" width="30.59765625" style="2" customWidth="1"/>
    <col min="4" max="21" width="13.09765625" style="2" customWidth="1"/>
    <col min="22" max="16384" width="12.59765625" style="2"/>
  </cols>
  <sheetData>
    <row r="1" spans="1:21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spans="1:21">
      <c r="C3" s="2" t="s">
        <v>84</v>
      </c>
      <c r="E3" s="128" t="s">
        <v>86</v>
      </c>
      <c r="G3" s="4" t="s">
        <v>85</v>
      </c>
    </row>
    <row r="4" spans="1:21">
      <c r="C4" s="2" t="s">
        <v>88</v>
      </c>
      <c r="E4" s="128" t="s">
        <v>86</v>
      </c>
      <c r="G4" s="4" t="s">
        <v>89</v>
      </c>
    </row>
    <row r="5" spans="1:21">
      <c r="C5" s="2" t="s">
        <v>87</v>
      </c>
      <c r="E5" s="128" t="s">
        <v>33</v>
      </c>
      <c r="G5" s="4">
        <v>25</v>
      </c>
    </row>
    <row r="7" spans="1:21">
      <c r="C7" s="2" t="s">
        <v>14</v>
      </c>
      <c r="E7" s="3" t="s">
        <v>8</v>
      </c>
      <c r="G7" s="14">
        <v>44562</v>
      </c>
    </row>
    <row r="8" spans="1:21">
      <c r="C8" s="2" t="s">
        <v>5</v>
      </c>
      <c r="E8" s="3" t="s">
        <v>15</v>
      </c>
      <c r="G8" s="5">
        <v>0.25</v>
      </c>
      <c r="J8" s="15"/>
    </row>
    <row r="9" spans="1:21">
      <c r="C9" s="2" t="s">
        <v>16</v>
      </c>
      <c r="E9" s="3" t="s">
        <v>15</v>
      </c>
      <c r="G9" s="5">
        <v>0.1</v>
      </c>
      <c r="J9" s="15"/>
    </row>
    <row r="10" spans="1:21">
      <c r="C10" s="2" t="s">
        <v>17</v>
      </c>
      <c r="E10" s="3" t="s">
        <v>8</v>
      </c>
      <c r="G10" s="16">
        <f>G7-1</f>
        <v>44561</v>
      </c>
    </row>
    <row r="11" spans="1:21">
      <c r="C11" s="2" t="s">
        <v>18</v>
      </c>
      <c r="E11" s="10" t="s">
        <v>15</v>
      </c>
      <c r="G11" s="5">
        <v>0.05</v>
      </c>
    </row>
    <row r="13" spans="1:21">
      <c r="B13" s="6" t="s">
        <v>19</v>
      </c>
    </row>
    <row r="14" spans="1:21">
      <c r="B14" s="6"/>
      <c r="C14" s="17" t="s">
        <v>20</v>
      </c>
    </row>
    <row r="15" spans="1:21">
      <c r="C15" s="11" t="s">
        <v>21</v>
      </c>
    </row>
    <row r="16" spans="1:21">
      <c r="C16" s="11" t="s">
        <v>22</v>
      </c>
    </row>
    <row r="17" spans="1:21">
      <c r="C17" s="11" t="s">
        <v>23</v>
      </c>
    </row>
    <row r="20" spans="1:21">
      <c r="B20" s="6" t="s">
        <v>24</v>
      </c>
    </row>
    <row r="21" spans="1:21">
      <c r="B21" s="6"/>
      <c r="C21" s="17" t="s">
        <v>25</v>
      </c>
    </row>
    <row r="22" spans="1:21">
      <c r="C22" s="11" t="s">
        <v>26</v>
      </c>
    </row>
    <row r="23" spans="1:21">
      <c r="C23" s="11" t="s">
        <v>1</v>
      </c>
    </row>
    <row r="24" spans="1:21">
      <c r="C24" s="11" t="s">
        <v>27</v>
      </c>
    </row>
    <row r="25" spans="1:21">
      <c r="C25" s="11" t="s">
        <v>28</v>
      </c>
    </row>
    <row r="28" spans="1:21">
      <c r="A28" s="1" t="s">
        <v>29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30" spans="1:21" ht="15.6">
      <c r="B30" s="18" t="s">
        <v>30</v>
      </c>
    </row>
    <row r="31" spans="1:21">
      <c r="G31" s="19" t="str">
        <f t="array" ref="G31:I31">TRANSPOSE(ListAssetClasses1)</f>
        <v>Short Term</v>
      </c>
      <c r="H31" s="20" t="str">
        <v>Medium Term</v>
      </c>
      <c r="I31" s="21" t="str">
        <v>Long Term</v>
      </c>
    </row>
    <row r="32" spans="1:21">
      <c r="C32" s="2" t="str">
        <f t="array" ref="C32:C35">ListDepMethods1</f>
        <v>Declining Balance</v>
      </c>
      <c r="E32" s="12" t="s">
        <v>31</v>
      </c>
      <c r="F32" s="3" t="s">
        <v>15</v>
      </c>
      <c r="G32" s="22">
        <v>0.45</v>
      </c>
      <c r="H32" s="22">
        <v>0.22500000000000001</v>
      </c>
      <c r="I32" s="22">
        <v>0.15</v>
      </c>
    </row>
    <row r="33" spans="2:20">
      <c r="C33" s="2" t="str">
        <v>Straight Line</v>
      </c>
      <c r="E33" s="12" t="s">
        <v>32</v>
      </c>
      <c r="F33" s="3" t="s">
        <v>33</v>
      </c>
      <c r="G33" s="4">
        <v>5</v>
      </c>
      <c r="H33" s="4">
        <v>10</v>
      </c>
      <c r="I33" s="4">
        <v>15</v>
      </c>
    </row>
    <row r="34" spans="2:20">
      <c r="C34" s="2" t="str">
        <v>Units of Production</v>
      </c>
      <c r="D34" s="12" t="s">
        <v>34</v>
      </c>
      <c r="E34" s="12" t="s">
        <v>32</v>
      </c>
      <c r="F34" s="10" t="s">
        <v>33</v>
      </c>
      <c r="G34" s="4">
        <v>5</v>
      </c>
      <c r="H34" s="4">
        <v>10</v>
      </c>
      <c r="I34" s="4">
        <v>15</v>
      </c>
    </row>
    <row r="35" spans="2:20">
      <c r="C35" s="2" t="str">
        <v>Sum of Years Digits</v>
      </c>
      <c r="D35" s="12" t="s">
        <v>34</v>
      </c>
      <c r="E35" s="12" t="s">
        <v>32</v>
      </c>
      <c r="F35" s="3" t="s">
        <v>33</v>
      </c>
      <c r="G35" s="4">
        <v>5</v>
      </c>
      <c r="H35" s="4">
        <v>10</v>
      </c>
      <c r="I35" s="4">
        <v>15</v>
      </c>
    </row>
    <row r="38" spans="2:20" ht="15.6">
      <c r="B38" s="23" t="str">
        <f>$C$24&amp;" Tables"</f>
        <v>Units of Production Tables</v>
      </c>
    </row>
    <row r="39" spans="2:20" ht="15.6">
      <c r="B39" s="23"/>
      <c r="D39" s="24" t="s">
        <v>35</v>
      </c>
      <c r="E39" s="25">
        <v>1000000</v>
      </c>
      <c r="F39" s="26">
        <f>$E$39</f>
        <v>1000000</v>
      </c>
      <c r="G39" s="26">
        <f t="shared" ref="G39:T39" si="0">$E$39</f>
        <v>1000000</v>
      </c>
      <c r="H39" s="26">
        <f t="shared" si="0"/>
        <v>1000000</v>
      </c>
      <c r="I39" s="26">
        <f t="shared" si="0"/>
        <v>1000000</v>
      </c>
      <c r="J39" s="26">
        <f t="shared" si="0"/>
        <v>1000000</v>
      </c>
      <c r="K39" s="26">
        <f t="shared" si="0"/>
        <v>1000000</v>
      </c>
      <c r="L39" s="26">
        <f t="shared" si="0"/>
        <v>1000000</v>
      </c>
      <c r="M39" s="26">
        <f t="shared" si="0"/>
        <v>1000000</v>
      </c>
      <c r="N39" s="26">
        <f t="shared" si="0"/>
        <v>1000000</v>
      </c>
      <c r="O39" s="26">
        <f t="shared" si="0"/>
        <v>1000000</v>
      </c>
      <c r="P39" s="26">
        <f t="shared" si="0"/>
        <v>1000000</v>
      </c>
      <c r="Q39" s="26">
        <f t="shared" si="0"/>
        <v>1000000</v>
      </c>
      <c r="R39" s="26">
        <f t="shared" si="0"/>
        <v>1000000</v>
      </c>
      <c r="S39" s="26">
        <f t="shared" si="0"/>
        <v>1000000</v>
      </c>
      <c r="T39" s="27">
        <f t="shared" si="0"/>
        <v>1000000</v>
      </c>
    </row>
    <row r="40" spans="2:20">
      <c r="D40" s="24" t="s">
        <v>36</v>
      </c>
      <c r="E40" s="25">
        <v>5</v>
      </c>
      <c r="F40" s="28">
        <f t="shared" ref="F40:T40" si="1">E40+1</f>
        <v>6</v>
      </c>
      <c r="G40" s="28">
        <f t="shared" si="1"/>
        <v>7</v>
      </c>
      <c r="H40" s="28">
        <f t="shared" si="1"/>
        <v>8</v>
      </c>
      <c r="I40" s="28">
        <f t="shared" si="1"/>
        <v>9</v>
      </c>
      <c r="J40" s="28">
        <f t="shared" si="1"/>
        <v>10</v>
      </c>
      <c r="K40" s="28">
        <f t="shared" si="1"/>
        <v>11</v>
      </c>
      <c r="L40" s="28">
        <f t="shared" si="1"/>
        <v>12</v>
      </c>
      <c r="M40" s="28">
        <f t="shared" si="1"/>
        <v>13</v>
      </c>
      <c r="N40" s="28">
        <f t="shared" si="1"/>
        <v>14</v>
      </c>
      <c r="O40" s="28">
        <f t="shared" si="1"/>
        <v>15</v>
      </c>
      <c r="P40" s="28">
        <f t="shared" si="1"/>
        <v>16</v>
      </c>
      <c r="Q40" s="28">
        <f t="shared" si="1"/>
        <v>17</v>
      </c>
      <c r="R40" s="28">
        <f t="shared" si="1"/>
        <v>18</v>
      </c>
      <c r="S40" s="28">
        <f t="shared" si="1"/>
        <v>19</v>
      </c>
      <c r="T40" s="29">
        <f t="shared" si="1"/>
        <v>20</v>
      </c>
    </row>
    <row r="41" spans="2:20">
      <c r="D41" s="30" t="s">
        <v>37</v>
      </c>
    </row>
    <row r="42" spans="2:20">
      <c r="D42" s="31">
        <v>1</v>
      </c>
      <c r="E42" s="32">
        <v>400000</v>
      </c>
      <c r="F42" s="32">
        <v>333000</v>
      </c>
      <c r="G42" s="32">
        <v>286000</v>
      </c>
      <c r="H42" s="32">
        <v>250000</v>
      </c>
      <c r="I42" s="32">
        <v>222000</v>
      </c>
      <c r="J42" s="32">
        <v>200000</v>
      </c>
      <c r="K42" s="32">
        <v>182000</v>
      </c>
      <c r="L42" s="32">
        <v>167000</v>
      </c>
      <c r="M42" s="32">
        <v>154000</v>
      </c>
      <c r="N42" s="32">
        <v>143000</v>
      </c>
      <c r="O42" s="32">
        <v>133000</v>
      </c>
      <c r="P42" s="32">
        <v>125000</v>
      </c>
      <c r="Q42" s="32">
        <v>118000</v>
      </c>
      <c r="R42" s="32">
        <v>111000</v>
      </c>
      <c r="S42" s="32">
        <v>105000</v>
      </c>
      <c r="T42" s="32">
        <v>100000</v>
      </c>
    </row>
    <row r="43" spans="2:20">
      <c r="D43" s="31">
        <f t="shared" ref="D43:D61" si="2">D42+1</f>
        <v>2</v>
      </c>
      <c r="E43" s="32">
        <v>240000</v>
      </c>
      <c r="F43" s="32">
        <v>222000</v>
      </c>
      <c r="G43" s="32">
        <v>204000</v>
      </c>
      <c r="H43" s="32">
        <v>188000</v>
      </c>
      <c r="I43" s="32">
        <v>173000</v>
      </c>
      <c r="J43" s="32">
        <v>160000</v>
      </c>
      <c r="K43" s="32">
        <v>149000</v>
      </c>
      <c r="L43" s="32">
        <v>139000</v>
      </c>
      <c r="M43" s="32">
        <v>130000</v>
      </c>
      <c r="N43" s="32">
        <v>122000</v>
      </c>
      <c r="O43" s="32">
        <v>116000</v>
      </c>
      <c r="P43" s="32">
        <v>109000</v>
      </c>
      <c r="Q43" s="32">
        <v>104000</v>
      </c>
      <c r="R43" s="32">
        <v>99000</v>
      </c>
      <c r="S43" s="32">
        <v>94000</v>
      </c>
      <c r="T43" s="32">
        <v>90000</v>
      </c>
    </row>
    <row r="44" spans="2:20">
      <c r="D44" s="31">
        <f t="shared" si="2"/>
        <v>3</v>
      </c>
      <c r="E44" s="32">
        <v>144000</v>
      </c>
      <c r="F44" s="32">
        <v>148000</v>
      </c>
      <c r="G44" s="32">
        <v>146000</v>
      </c>
      <c r="H44" s="32">
        <v>141000</v>
      </c>
      <c r="I44" s="32">
        <v>134000</v>
      </c>
      <c r="J44" s="32">
        <v>128000</v>
      </c>
      <c r="K44" s="32">
        <v>122000</v>
      </c>
      <c r="L44" s="32">
        <v>116000</v>
      </c>
      <c r="M44" s="32">
        <v>110000</v>
      </c>
      <c r="N44" s="32">
        <v>105000</v>
      </c>
      <c r="O44" s="32">
        <v>100000</v>
      </c>
      <c r="P44" s="32">
        <v>96000</v>
      </c>
      <c r="Q44" s="32">
        <v>92000</v>
      </c>
      <c r="R44" s="32">
        <v>88000</v>
      </c>
      <c r="S44" s="32">
        <v>84000</v>
      </c>
      <c r="T44" s="32">
        <v>81000</v>
      </c>
    </row>
    <row r="45" spans="2:20">
      <c r="D45" s="31">
        <f t="shared" si="2"/>
        <v>4</v>
      </c>
      <c r="E45" s="32">
        <v>108000</v>
      </c>
      <c r="F45" s="32">
        <v>99000</v>
      </c>
      <c r="G45" s="32">
        <v>104000</v>
      </c>
      <c r="H45" s="32">
        <v>105000</v>
      </c>
      <c r="I45" s="32">
        <v>105000</v>
      </c>
      <c r="J45" s="32">
        <v>102000</v>
      </c>
      <c r="K45" s="32">
        <v>100000</v>
      </c>
      <c r="L45" s="32">
        <v>96000</v>
      </c>
      <c r="M45" s="32">
        <v>93000</v>
      </c>
      <c r="N45" s="32">
        <v>90000</v>
      </c>
      <c r="O45" s="32">
        <v>87000</v>
      </c>
      <c r="P45" s="32">
        <v>84000</v>
      </c>
      <c r="Q45" s="32">
        <v>81000</v>
      </c>
      <c r="R45" s="32">
        <v>78000</v>
      </c>
      <c r="S45" s="32">
        <v>75000</v>
      </c>
      <c r="T45" s="32">
        <v>73000</v>
      </c>
    </row>
    <row r="46" spans="2:20">
      <c r="D46" s="31">
        <f t="shared" si="2"/>
        <v>5</v>
      </c>
      <c r="E46" s="32">
        <v>107999.99999999999</v>
      </c>
      <c r="F46" s="32">
        <v>99000</v>
      </c>
      <c r="G46" s="32">
        <v>87000</v>
      </c>
      <c r="H46" s="32">
        <v>79000</v>
      </c>
      <c r="I46" s="32">
        <v>81000</v>
      </c>
      <c r="J46" s="32">
        <v>82000</v>
      </c>
      <c r="K46" s="32">
        <v>81000</v>
      </c>
      <c r="L46" s="32">
        <v>80000</v>
      </c>
      <c r="M46" s="32">
        <v>79000</v>
      </c>
      <c r="N46" s="32">
        <v>77000</v>
      </c>
      <c r="O46" s="32">
        <v>75000</v>
      </c>
      <c r="P46" s="32">
        <v>73000</v>
      </c>
      <c r="Q46" s="32">
        <v>71000</v>
      </c>
      <c r="R46" s="32">
        <v>69000</v>
      </c>
      <c r="S46" s="32">
        <v>67000</v>
      </c>
      <c r="T46" s="32">
        <v>66000</v>
      </c>
    </row>
    <row r="47" spans="2:20">
      <c r="D47" s="31">
        <f t="shared" si="2"/>
        <v>6</v>
      </c>
      <c r="E47" s="32">
        <v>0</v>
      </c>
      <c r="F47" s="32">
        <v>98999.999999999971</v>
      </c>
      <c r="G47" s="32">
        <v>87000</v>
      </c>
      <c r="H47" s="32">
        <v>79000</v>
      </c>
      <c r="I47" s="32">
        <v>71000</v>
      </c>
      <c r="J47" s="32">
        <v>66000</v>
      </c>
      <c r="K47" s="32">
        <v>67000</v>
      </c>
      <c r="L47" s="32">
        <v>67000</v>
      </c>
      <c r="M47" s="32">
        <v>67000</v>
      </c>
      <c r="N47" s="32">
        <v>66000</v>
      </c>
      <c r="O47" s="32">
        <v>65000</v>
      </c>
      <c r="P47" s="32">
        <v>64000</v>
      </c>
      <c r="Q47" s="32">
        <v>63000</v>
      </c>
      <c r="R47" s="32">
        <v>62000</v>
      </c>
      <c r="S47" s="32">
        <v>60000</v>
      </c>
      <c r="T47" s="32">
        <v>59000</v>
      </c>
    </row>
    <row r="48" spans="2:20">
      <c r="D48" s="31">
        <f t="shared" si="2"/>
        <v>7</v>
      </c>
      <c r="E48" s="32">
        <v>0</v>
      </c>
      <c r="F48" s="32">
        <v>0</v>
      </c>
      <c r="G48" s="32">
        <v>86000</v>
      </c>
      <c r="H48" s="32">
        <v>79000</v>
      </c>
      <c r="I48" s="32">
        <v>71000</v>
      </c>
      <c r="J48" s="32">
        <v>66000</v>
      </c>
      <c r="K48" s="32">
        <v>60000</v>
      </c>
      <c r="L48" s="32">
        <v>56000</v>
      </c>
      <c r="M48" s="32">
        <v>56000</v>
      </c>
      <c r="N48" s="32">
        <v>57000</v>
      </c>
      <c r="O48" s="32">
        <v>57000</v>
      </c>
      <c r="P48" s="32">
        <v>56000</v>
      </c>
      <c r="Q48" s="32">
        <v>56000</v>
      </c>
      <c r="R48" s="32">
        <v>55000</v>
      </c>
      <c r="S48" s="32">
        <v>54000</v>
      </c>
      <c r="T48" s="32">
        <v>53000</v>
      </c>
    </row>
    <row r="49" spans="2:20">
      <c r="D49" s="31">
        <f t="shared" si="2"/>
        <v>8</v>
      </c>
      <c r="E49" s="32">
        <v>0</v>
      </c>
      <c r="F49" s="32">
        <v>0</v>
      </c>
      <c r="G49" s="32">
        <v>0</v>
      </c>
      <c r="H49" s="32">
        <v>79000</v>
      </c>
      <c r="I49" s="32">
        <v>71000</v>
      </c>
      <c r="J49" s="32">
        <v>66000</v>
      </c>
      <c r="K49" s="32">
        <v>60000</v>
      </c>
      <c r="L49" s="32">
        <v>56000</v>
      </c>
      <c r="M49" s="32">
        <v>52000</v>
      </c>
      <c r="N49" s="32">
        <v>49000</v>
      </c>
      <c r="O49" s="32">
        <v>49000</v>
      </c>
      <c r="P49" s="32">
        <v>49000</v>
      </c>
      <c r="Q49" s="32">
        <v>49000</v>
      </c>
      <c r="R49" s="32">
        <v>49000</v>
      </c>
      <c r="S49" s="32">
        <v>48000</v>
      </c>
      <c r="T49" s="32">
        <v>48000</v>
      </c>
    </row>
    <row r="50" spans="2:20">
      <c r="D50" s="31">
        <f t="shared" si="2"/>
        <v>9</v>
      </c>
      <c r="E50" s="32">
        <v>0</v>
      </c>
      <c r="F50" s="32">
        <v>0</v>
      </c>
      <c r="G50" s="32">
        <v>0</v>
      </c>
      <c r="H50" s="32">
        <v>0</v>
      </c>
      <c r="I50" s="32">
        <v>72000</v>
      </c>
      <c r="J50" s="32">
        <v>66000</v>
      </c>
      <c r="K50" s="32">
        <v>60000</v>
      </c>
      <c r="L50" s="32">
        <v>56000</v>
      </c>
      <c r="M50" s="32">
        <v>52000</v>
      </c>
      <c r="N50" s="32">
        <v>49000</v>
      </c>
      <c r="O50" s="32">
        <v>45000</v>
      </c>
      <c r="P50" s="32">
        <v>43000</v>
      </c>
      <c r="Q50" s="32">
        <v>43000</v>
      </c>
      <c r="R50" s="32">
        <v>43000</v>
      </c>
      <c r="S50" s="32">
        <v>43000</v>
      </c>
      <c r="T50" s="32">
        <v>43000</v>
      </c>
    </row>
    <row r="51" spans="2:20">
      <c r="D51" s="31">
        <f t="shared" si="2"/>
        <v>10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64000</v>
      </c>
      <c r="K51" s="32">
        <v>60000</v>
      </c>
      <c r="L51" s="32">
        <v>56000</v>
      </c>
      <c r="M51" s="32">
        <v>52000</v>
      </c>
      <c r="N51" s="32">
        <v>49000</v>
      </c>
      <c r="O51" s="32">
        <v>45000</v>
      </c>
      <c r="P51" s="32">
        <v>43000</v>
      </c>
      <c r="Q51" s="32">
        <v>41000</v>
      </c>
      <c r="R51" s="32">
        <v>38000</v>
      </c>
      <c r="S51" s="32">
        <v>39000</v>
      </c>
      <c r="T51" s="32">
        <v>39000</v>
      </c>
    </row>
    <row r="52" spans="2:20">
      <c r="D52" s="31">
        <f t="shared" si="2"/>
        <v>11</v>
      </c>
      <c r="E52" s="32">
        <v>0</v>
      </c>
      <c r="F52" s="32">
        <v>0</v>
      </c>
      <c r="G52" s="32">
        <v>0</v>
      </c>
      <c r="H52" s="32">
        <v>0</v>
      </c>
      <c r="I52" s="32">
        <v>0</v>
      </c>
      <c r="J52" s="32">
        <v>0</v>
      </c>
      <c r="K52" s="32">
        <v>59000</v>
      </c>
      <c r="L52" s="32">
        <v>56000</v>
      </c>
      <c r="M52" s="32">
        <v>52000</v>
      </c>
      <c r="N52" s="32">
        <v>49000</v>
      </c>
      <c r="O52" s="32">
        <v>45000</v>
      </c>
      <c r="P52" s="32">
        <v>43000</v>
      </c>
      <c r="Q52" s="32">
        <v>41000</v>
      </c>
      <c r="R52" s="32">
        <v>38000</v>
      </c>
      <c r="S52" s="32">
        <v>37000</v>
      </c>
      <c r="T52" s="32">
        <v>35000</v>
      </c>
    </row>
    <row r="53" spans="2:20">
      <c r="D53" s="31">
        <f t="shared" si="2"/>
        <v>12</v>
      </c>
      <c r="E53" s="32">
        <v>0</v>
      </c>
      <c r="F53" s="32">
        <v>0</v>
      </c>
      <c r="G53" s="32">
        <v>0</v>
      </c>
      <c r="H53" s="32">
        <v>0</v>
      </c>
      <c r="I53" s="32">
        <v>0</v>
      </c>
      <c r="J53" s="32">
        <v>0</v>
      </c>
      <c r="K53" s="32">
        <v>0</v>
      </c>
      <c r="L53" s="32">
        <v>55000</v>
      </c>
      <c r="M53" s="32">
        <v>52000</v>
      </c>
      <c r="N53" s="32">
        <v>49000</v>
      </c>
      <c r="O53" s="32">
        <v>45000</v>
      </c>
      <c r="P53" s="32">
        <v>43000</v>
      </c>
      <c r="Q53" s="32">
        <v>41000</v>
      </c>
      <c r="R53" s="32">
        <v>38000</v>
      </c>
      <c r="S53" s="32">
        <v>37000</v>
      </c>
      <c r="T53" s="32">
        <v>35000</v>
      </c>
    </row>
    <row r="54" spans="2:20">
      <c r="D54" s="31">
        <f t="shared" si="2"/>
        <v>13</v>
      </c>
      <c r="E54" s="32">
        <v>0</v>
      </c>
      <c r="F54" s="32">
        <v>0</v>
      </c>
      <c r="G54" s="32">
        <v>0</v>
      </c>
      <c r="H54" s="32">
        <v>0</v>
      </c>
      <c r="I54" s="32">
        <v>0</v>
      </c>
      <c r="J54" s="32">
        <v>0</v>
      </c>
      <c r="K54" s="32">
        <v>0</v>
      </c>
      <c r="L54" s="32">
        <v>0</v>
      </c>
      <c r="M54" s="32">
        <v>51000</v>
      </c>
      <c r="N54" s="32">
        <v>49000</v>
      </c>
      <c r="O54" s="32">
        <v>45000</v>
      </c>
      <c r="P54" s="32">
        <v>43000</v>
      </c>
      <c r="Q54" s="32">
        <v>41000</v>
      </c>
      <c r="R54" s="32">
        <v>38000</v>
      </c>
      <c r="S54" s="32">
        <v>37000</v>
      </c>
      <c r="T54" s="32">
        <v>35000</v>
      </c>
    </row>
    <row r="55" spans="2:20">
      <c r="D55" s="31">
        <f t="shared" si="2"/>
        <v>14</v>
      </c>
      <c r="E55" s="32">
        <v>0</v>
      </c>
      <c r="F55" s="32">
        <v>0</v>
      </c>
      <c r="G55" s="32">
        <v>0</v>
      </c>
      <c r="H55" s="32">
        <v>0</v>
      </c>
      <c r="I55" s="32">
        <v>0</v>
      </c>
      <c r="J55" s="32">
        <v>0</v>
      </c>
      <c r="K55" s="32">
        <v>0</v>
      </c>
      <c r="L55" s="32">
        <v>0</v>
      </c>
      <c r="M55" s="32">
        <v>0</v>
      </c>
      <c r="N55" s="32">
        <v>46000</v>
      </c>
      <c r="O55" s="32">
        <v>45000</v>
      </c>
      <c r="P55" s="32">
        <v>43000</v>
      </c>
      <c r="Q55" s="32">
        <v>41000</v>
      </c>
      <c r="R55" s="32">
        <v>38000</v>
      </c>
      <c r="S55" s="32">
        <v>37000</v>
      </c>
      <c r="T55" s="32">
        <v>35000</v>
      </c>
    </row>
    <row r="56" spans="2:20">
      <c r="D56" s="31">
        <f t="shared" si="2"/>
        <v>15</v>
      </c>
      <c r="E56" s="32">
        <v>0</v>
      </c>
      <c r="F56" s="32">
        <v>0</v>
      </c>
      <c r="G56" s="32">
        <v>0</v>
      </c>
      <c r="H56" s="32">
        <v>0</v>
      </c>
      <c r="I56" s="32">
        <v>0</v>
      </c>
      <c r="J56" s="32">
        <v>0</v>
      </c>
      <c r="K56" s="32">
        <v>0</v>
      </c>
      <c r="L56" s="32">
        <v>0</v>
      </c>
      <c r="M56" s="32">
        <v>0</v>
      </c>
      <c r="N56" s="32">
        <v>0</v>
      </c>
      <c r="O56" s="32">
        <v>48000</v>
      </c>
      <c r="P56" s="32">
        <v>43000</v>
      </c>
      <c r="Q56" s="32">
        <v>41000</v>
      </c>
      <c r="R56" s="32">
        <v>38000</v>
      </c>
      <c r="S56" s="32">
        <v>37000</v>
      </c>
      <c r="T56" s="32">
        <v>35000</v>
      </c>
    </row>
    <row r="57" spans="2:20">
      <c r="D57" s="31">
        <f t="shared" si="2"/>
        <v>16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v>0</v>
      </c>
      <c r="L57" s="32">
        <v>0</v>
      </c>
      <c r="M57" s="32">
        <v>0</v>
      </c>
      <c r="N57" s="32">
        <v>0</v>
      </c>
      <c r="O57" s="32">
        <v>0</v>
      </c>
      <c r="P57" s="32">
        <v>43000</v>
      </c>
      <c r="Q57" s="32">
        <v>41000</v>
      </c>
      <c r="R57" s="32">
        <v>38000</v>
      </c>
      <c r="S57" s="32">
        <v>37000</v>
      </c>
      <c r="T57" s="32">
        <v>35000</v>
      </c>
    </row>
    <row r="58" spans="2:20">
      <c r="D58" s="31">
        <f t="shared" si="2"/>
        <v>17</v>
      </c>
      <c r="E58" s="32">
        <v>0</v>
      </c>
      <c r="F58" s="32">
        <v>0</v>
      </c>
      <c r="G58" s="32">
        <v>0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>
        <v>0</v>
      </c>
      <c r="P58" s="32">
        <v>0</v>
      </c>
      <c r="Q58" s="32">
        <v>36000</v>
      </c>
      <c r="R58" s="32">
        <v>38000</v>
      </c>
      <c r="S58" s="32">
        <v>37000</v>
      </c>
      <c r="T58" s="32">
        <v>35000</v>
      </c>
    </row>
    <row r="59" spans="2:20">
      <c r="D59" s="31">
        <f t="shared" si="2"/>
        <v>18</v>
      </c>
      <c r="E59" s="32">
        <v>0</v>
      </c>
      <c r="F59" s="32">
        <v>0</v>
      </c>
      <c r="G59" s="32">
        <v>0</v>
      </c>
      <c r="H59" s="32">
        <v>0</v>
      </c>
      <c r="I59" s="32">
        <v>0</v>
      </c>
      <c r="J59" s="32">
        <v>0</v>
      </c>
      <c r="K59" s="32">
        <v>0</v>
      </c>
      <c r="L59" s="32">
        <v>0</v>
      </c>
      <c r="M59" s="32">
        <v>0</v>
      </c>
      <c r="N59" s="32">
        <v>0</v>
      </c>
      <c r="O59" s="32">
        <v>0</v>
      </c>
      <c r="P59" s="32">
        <v>0</v>
      </c>
      <c r="Q59" s="32">
        <v>0</v>
      </c>
      <c r="R59" s="32">
        <v>42000</v>
      </c>
      <c r="S59" s="32">
        <v>37000</v>
      </c>
      <c r="T59" s="32">
        <v>35000</v>
      </c>
    </row>
    <row r="60" spans="2:20">
      <c r="D60" s="31">
        <f t="shared" si="2"/>
        <v>19</v>
      </c>
      <c r="E60" s="32">
        <v>0</v>
      </c>
      <c r="F60" s="32">
        <v>0</v>
      </c>
      <c r="G60" s="32">
        <v>0</v>
      </c>
      <c r="H60" s="32">
        <v>0</v>
      </c>
      <c r="I60" s="32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35000</v>
      </c>
      <c r="T60" s="32">
        <v>35000</v>
      </c>
    </row>
    <row r="61" spans="2:20">
      <c r="D61" s="33">
        <f t="shared" si="2"/>
        <v>20</v>
      </c>
      <c r="E61" s="32">
        <v>0</v>
      </c>
      <c r="F61" s="32">
        <v>0</v>
      </c>
      <c r="G61" s="32">
        <v>0</v>
      </c>
      <c r="H61" s="32">
        <v>0</v>
      </c>
      <c r="I61" s="32">
        <v>0</v>
      </c>
      <c r="J61" s="32">
        <v>0</v>
      </c>
      <c r="K61" s="32">
        <v>0</v>
      </c>
      <c r="L61" s="32">
        <v>0</v>
      </c>
      <c r="M61" s="32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33000</v>
      </c>
    </row>
    <row r="64" spans="2:20" ht="15.6">
      <c r="B64" s="18" t="str">
        <f>$C$25&amp;" Tables"</f>
        <v>Sum of Years Digits Tables</v>
      </c>
    </row>
    <row r="65" spans="4:20">
      <c r="D65" s="24" t="s">
        <v>36</v>
      </c>
      <c r="E65" s="34">
        <v>5</v>
      </c>
      <c r="F65" s="28">
        <f t="shared" ref="F65:T65" si="3">E65+1</f>
        <v>6</v>
      </c>
      <c r="G65" s="28">
        <f t="shared" si="3"/>
        <v>7</v>
      </c>
      <c r="H65" s="28">
        <f t="shared" si="3"/>
        <v>8</v>
      </c>
      <c r="I65" s="28">
        <f t="shared" si="3"/>
        <v>9</v>
      </c>
      <c r="J65" s="28">
        <f t="shared" si="3"/>
        <v>10</v>
      </c>
      <c r="K65" s="28">
        <f t="shared" si="3"/>
        <v>11</v>
      </c>
      <c r="L65" s="28">
        <f t="shared" si="3"/>
        <v>12</v>
      </c>
      <c r="M65" s="28">
        <f t="shared" si="3"/>
        <v>13</v>
      </c>
      <c r="N65" s="28">
        <f t="shared" si="3"/>
        <v>14</v>
      </c>
      <c r="O65" s="28">
        <f t="shared" si="3"/>
        <v>15</v>
      </c>
      <c r="P65" s="28">
        <f t="shared" si="3"/>
        <v>16</v>
      </c>
      <c r="Q65" s="28">
        <f t="shared" si="3"/>
        <v>17</v>
      </c>
      <c r="R65" s="28">
        <f t="shared" si="3"/>
        <v>18</v>
      </c>
      <c r="S65" s="28">
        <f t="shared" si="3"/>
        <v>19</v>
      </c>
      <c r="T65" s="29">
        <f t="shared" si="3"/>
        <v>20</v>
      </c>
    </row>
    <row r="66" spans="4:20">
      <c r="D66" s="30" t="s">
        <v>37</v>
      </c>
      <c r="E66" s="35">
        <f t="shared" ref="E66:T66" si="4">E$65*(E$65+1)/2</f>
        <v>15</v>
      </c>
      <c r="F66" s="36">
        <f t="shared" si="4"/>
        <v>21</v>
      </c>
      <c r="G66" s="36">
        <f t="shared" si="4"/>
        <v>28</v>
      </c>
      <c r="H66" s="36">
        <f t="shared" si="4"/>
        <v>36</v>
      </c>
      <c r="I66" s="36">
        <f t="shared" si="4"/>
        <v>45</v>
      </c>
      <c r="J66" s="36">
        <f t="shared" si="4"/>
        <v>55</v>
      </c>
      <c r="K66" s="36">
        <f t="shared" si="4"/>
        <v>66</v>
      </c>
      <c r="L66" s="36">
        <f t="shared" si="4"/>
        <v>78</v>
      </c>
      <c r="M66" s="36">
        <f t="shared" si="4"/>
        <v>91</v>
      </c>
      <c r="N66" s="36">
        <f t="shared" si="4"/>
        <v>105</v>
      </c>
      <c r="O66" s="36">
        <f t="shared" si="4"/>
        <v>120</v>
      </c>
      <c r="P66" s="36">
        <f t="shared" si="4"/>
        <v>136</v>
      </c>
      <c r="Q66" s="36">
        <f t="shared" si="4"/>
        <v>153</v>
      </c>
      <c r="R66" s="36">
        <f t="shared" si="4"/>
        <v>171</v>
      </c>
      <c r="S66" s="36">
        <f t="shared" si="4"/>
        <v>190</v>
      </c>
      <c r="T66" s="37">
        <f t="shared" si="4"/>
        <v>210</v>
      </c>
    </row>
    <row r="67" spans="4:20">
      <c r="D67" s="31">
        <v>1</v>
      </c>
      <c r="E67" s="38">
        <f>MAX(0,E$65+1-$D67)/E$66</f>
        <v>0.33333333333333331</v>
      </c>
      <c r="F67" s="39">
        <f t="shared" ref="F67:T67" si="5">MAX(0,F$65+1-$D67)/F$66</f>
        <v>0.2857142857142857</v>
      </c>
      <c r="G67" s="39">
        <f t="shared" si="5"/>
        <v>0.25</v>
      </c>
      <c r="H67" s="39">
        <f t="shared" si="5"/>
        <v>0.22222222222222221</v>
      </c>
      <c r="I67" s="39">
        <f t="shared" si="5"/>
        <v>0.2</v>
      </c>
      <c r="J67" s="39">
        <f t="shared" si="5"/>
        <v>0.18181818181818182</v>
      </c>
      <c r="K67" s="39">
        <f t="shared" si="5"/>
        <v>0.16666666666666666</v>
      </c>
      <c r="L67" s="39">
        <f t="shared" si="5"/>
        <v>0.15384615384615385</v>
      </c>
      <c r="M67" s="39">
        <f t="shared" si="5"/>
        <v>0.14285714285714285</v>
      </c>
      <c r="N67" s="39">
        <f t="shared" si="5"/>
        <v>0.13333333333333333</v>
      </c>
      <c r="O67" s="39">
        <f t="shared" si="5"/>
        <v>0.125</v>
      </c>
      <c r="P67" s="39">
        <f t="shared" si="5"/>
        <v>0.11764705882352941</v>
      </c>
      <c r="Q67" s="39">
        <f t="shared" si="5"/>
        <v>0.1111111111111111</v>
      </c>
      <c r="R67" s="39">
        <f t="shared" si="5"/>
        <v>0.10526315789473684</v>
      </c>
      <c r="S67" s="39">
        <f t="shared" si="5"/>
        <v>0.1</v>
      </c>
      <c r="T67" s="40">
        <f t="shared" si="5"/>
        <v>9.5238095238095233E-2</v>
      </c>
    </row>
    <row r="68" spans="4:20">
      <c r="D68" s="31">
        <f t="shared" ref="D68:D86" si="6">D67+1</f>
        <v>2</v>
      </c>
      <c r="E68" s="41">
        <f t="shared" ref="E68:T83" si="7">MAX(0,E$65+1-$D68)/E$66</f>
        <v>0.26666666666666666</v>
      </c>
      <c r="F68" s="42">
        <f t="shared" si="7"/>
        <v>0.23809523809523808</v>
      </c>
      <c r="G68" s="42">
        <f t="shared" si="7"/>
        <v>0.21428571428571427</v>
      </c>
      <c r="H68" s="42">
        <f t="shared" si="7"/>
        <v>0.19444444444444445</v>
      </c>
      <c r="I68" s="42">
        <f t="shared" si="7"/>
        <v>0.17777777777777778</v>
      </c>
      <c r="J68" s="42">
        <f t="shared" si="7"/>
        <v>0.16363636363636364</v>
      </c>
      <c r="K68" s="42">
        <f t="shared" si="7"/>
        <v>0.15151515151515152</v>
      </c>
      <c r="L68" s="42">
        <f t="shared" si="7"/>
        <v>0.14102564102564102</v>
      </c>
      <c r="M68" s="42">
        <f t="shared" si="7"/>
        <v>0.13186813186813187</v>
      </c>
      <c r="N68" s="42">
        <f t="shared" si="7"/>
        <v>0.12380952380952381</v>
      </c>
      <c r="O68" s="42">
        <f t="shared" si="7"/>
        <v>0.11666666666666667</v>
      </c>
      <c r="P68" s="42">
        <f t="shared" si="7"/>
        <v>0.11029411764705882</v>
      </c>
      <c r="Q68" s="42">
        <f t="shared" si="7"/>
        <v>0.10457516339869281</v>
      </c>
      <c r="R68" s="42">
        <f t="shared" si="7"/>
        <v>9.9415204678362568E-2</v>
      </c>
      <c r="S68" s="42">
        <f t="shared" si="7"/>
        <v>9.4736842105263161E-2</v>
      </c>
      <c r="T68" s="43">
        <f t="shared" si="7"/>
        <v>9.0476190476190474E-2</v>
      </c>
    </row>
    <row r="69" spans="4:20">
      <c r="D69" s="31">
        <f t="shared" si="6"/>
        <v>3</v>
      </c>
      <c r="E69" s="41">
        <f t="shared" si="7"/>
        <v>0.2</v>
      </c>
      <c r="F69" s="42">
        <f t="shared" si="7"/>
        <v>0.19047619047619047</v>
      </c>
      <c r="G69" s="42">
        <f t="shared" si="7"/>
        <v>0.17857142857142858</v>
      </c>
      <c r="H69" s="42">
        <f t="shared" si="7"/>
        <v>0.16666666666666666</v>
      </c>
      <c r="I69" s="42">
        <f t="shared" si="7"/>
        <v>0.15555555555555556</v>
      </c>
      <c r="J69" s="42">
        <f t="shared" si="7"/>
        <v>0.14545454545454545</v>
      </c>
      <c r="K69" s="42">
        <f t="shared" si="7"/>
        <v>0.13636363636363635</v>
      </c>
      <c r="L69" s="42">
        <f t="shared" si="7"/>
        <v>0.12820512820512819</v>
      </c>
      <c r="M69" s="42">
        <f t="shared" si="7"/>
        <v>0.12087912087912088</v>
      </c>
      <c r="N69" s="42">
        <f t="shared" si="7"/>
        <v>0.11428571428571428</v>
      </c>
      <c r="O69" s="42">
        <f t="shared" si="7"/>
        <v>0.10833333333333334</v>
      </c>
      <c r="P69" s="42">
        <f t="shared" si="7"/>
        <v>0.10294117647058823</v>
      </c>
      <c r="Q69" s="42">
        <f t="shared" si="7"/>
        <v>9.8039215686274508E-2</v>
      </c>
      <c r="R69" s="42">
        <f t="shared" si="7"/>
        <v>9.3567251461988299E-2</v>
      </c>
      <c r="S69" s="42">
        <f t="shared" si="7"/>
        <v>8.9473684210526316E-2</v>
      </c>
      <c r="T69" s="43">
        <f t="shared" si="7"/>
        <v>8.5714285714285715E-2</v>
      </c>
    </row>
    <row r="70" spans="4:20">
      <c r="D70" s="31">
        <f t="shared" si="6"/>
        <v>4</v>
      </c>
      <c r="E70" s="41">
        <f t="shared" si="7"/>
        <v>0.13333333333333333</v>
      </c>
      <c r="F70" s="42">
        <f t="shared" si="7"/>
        <v>0.14285714285714285</v>
      </c>
      <c r="G70" s="42">
        <f t="shared" si="7"/>
        <v>0.14285714285714285</v>
      </c>
      <c r="H70" s="42">
        <f t="shared" si="7"/>
        <v>0.1388888888888889</v>
      </c>
      <c r="I70" s="42">
        <f t="shared" si="7"/>
        <v>0.13333333333333333</v>
      </c>
      <c r="J70" s="42">
        <f t="shared" si="7"/>
        <v>0.12727272727272726</v>
      </c>
      <c r="K70" s="42">
        <f t="shared" si="7"/>
        <v>0.12121212121212122</v>
      </c>
      <c r="L70" s="42">
        <f t="shared" si="7"/>
        <v>0.11538461538461539</v>
      </c>
      <c r="M70" s="42">
        <f t="shared" si="7"/>
        <v>0.10989010989010989</v>
      </c>
      <c r="N70" s="42">
        <f t="shared" si="7"/>
        <v>0.10476190476190476</v>
      </c>
      <c r="O70" s="42">
        <f t="shared" si="7"/>
        <v>0.1</v>
      </c>
      <c r="P70" s="42">
        <f t="shared" si="7"/>
        <v>9.5588235294117641E-2</v>
      </c>
      <c r="Q70" s="42">
        <f t="shared" si="7"/>
        <v>9.1503267973856203E-2</v>
      </c>
      <c r="R70" s="42">
        <f t="shared" si="7"/>
        <v>8.771929824561403E-2</v>
      </c>
      <c r="S70" s="42">
        <f t="shared" si="7"/>
        <v>8.4210526315789472E-2</v>
      </c>
      <c r="T70" s="43">
        <f t="shared" si="7"/>
        <v>8.0952380952380956E-2</v>
      </c>
    </row>
    <row r="71" spans="4:20">
      <c r="D71" s="31">
        <f t="shared" si="6"/>
        <v>5</v>
      </c>
      <c r="E71" s="41">
        <f t="shared" si="7"/>
        <v>6.6666666666666666E-2</v>
      </c>
      <c r="F71" s="42">
        <f t="shared" si="7"/>
        <v>9.5238095238095233E-2</v>
      </c>
      <c r="G71" s="42">
        <f t="shared" si="7"/>
        <v>0.10714285714285714</v>
      </c>
      <c r="H71" s="42">
        <f t="shared" si="7"/>
        <v>0.1111111111111111</v>
      </c>
      <c r="I71" s="42">
        <f t="shared" si="7"/>
        <v>0.1111111111111111</v>
      </c>
      <c r="J71" s="42">
        <f t="shared" si="7"/>
        <v>0.10909090909090909</v>
      </c>
      <c r="K71" s="42">
        <f t="shared" si="7"/>
        <v>0.10606060606060606</v>
      </c>
      <c r="L71" s="42">
        <f t="shared" si="7"/>
        <v>0.10256410256410256</v>
      </c>
      <c r="M71" s="42">
        <f t="shared" si="7"/>
        <v>9.8901098901098897E-2</v>
      </c>
      <c r="N71" s="42">
        <f t="shared" si="7"/>
        <v>9.5238095238095233E-2</v>
      </c>
      <c r="O71" s="42">
        <f t="shared" si="7"/>
        <v>9.166666666666666E-2</v>
      </c>
      <c r="P71" s="42">
        <f t="shared" si="7"/>
        <v>8.8235294117647065E-2</v>
      </c>
      <c r="Q71" s="42">
        <f t="shared" si="7"/>
        <v>8.4967320261437912E-2</v>
      </c>
      <c r="R71" s="42">
        <f t="shared" si="7"/>
        <v>8.1871345029239762E-2</v>
      </c>
      <c r="S71" s="42">
        <f t="shared" si="7"/>
        <v>7.8947368421052627E-2</v>
      </c>
      <c r="T71" s="43">
        <f t="shared" si="7"/>
        <v>7.6190476190476197E-2</v>
      </c>
    </row>
    <row r="72" spans="4:20">
      <c r="D72" s="31">
        <f t="shared" si="6"/>
        <v>6</v>
      </c>
      <c r="E72" s="41">
        <f t="shared" si="7"/>
        <v>0</v>
      </c>
      <c r="F72" s="42">
        <f t="shared" si="7"/>
        <v>4.7619047619047616E-2</v>
      </c>
      <c r="G72" s="42">
        <f t="shared" si="7"/>
        <v>7.1428571428571425E-2</v>
      </c>
      <c r="H72" s="42">
        <f t="shared" si="7"/>
        <v>8.3333333333333329E-2</v>
      </c>
      <c r="I72" s="42">
        <f t="shared" si="7"/>
        <v>8.8888888888888892E-2</v>
      </c>
      <c r="J72" s="42">
        <f t="shared" si="7"/>
        <v>9.0909090909090912E-2</v>
      </c>
      <c r="K72" s="42">
        <f t="shared" si="7"/>
        <v>9.0909090909090912E-2</v>
      </c>
      <c r="L72" s="42">
        <f t="shared" si="7"/>
        <v>8.9743589743589744E-2</v>
      </c>
      <c r="M72" s="42">
        <f t="shared" si="7"/>
        <v>8.7912087912087919E-2</v>
      </c>
      <c r="N72" s="42">
        <f t="shared" si="7"/>
        <v>8.5714285714285715E-2</v>
      </c>
      <c r="O72" s="42">
        <f t="shared" si="7"/>
        <v>8.3333333333333329E-2</v>
      </c>
      <c r="P72" s="42">
        <f t="shared" si="7"/>
        <v>8.0882352941176475E-2</v>
      </c>
      <c r="Q72" s="42">
        <f t="shared" si="7"/>
        <v>7.8431372549019607E-2</v>
      </c>
      <c r="R72" s="42">
        <f t="shared" si="7"/>
        <v>7.6023391812865493E-2</v>
      </c>
      <c r="S72" s="42">
        <f t="shared" si="7"/>
        <v>7.3684210526315783E-2</v>
      </c>
      <c r="T72" s="43">
        <f t="shared" si="7"/>
        <v>7.1428571428571425E-2</v>
      </c>
    </row>
    <row r="73" spans="4:20">
      <c r="D73" s="31">
        <f t="shared" si="6"/>
        <v>7</v>
      </c>
      <c r="E73" s="41">
        <f t="shared" si="7"/>
        <v>0</v>
      </c>
      <c r="F73" s="42">
        <f t="shared" si="7"/>
        <v>0</v>
      </c>
      <c r="G73" s="42">
        <f t="shared" si="7"/>
        <v>3.5714285714285712E-2</v>
      </c>
      <c r="H73" s="42">
        <f t="shared" si="7"/>
        <v>5.5555555555555552E-2</v>
      </c>
      <c r="I73" s="42">
        <f t="shared" si="7"/>
        <v>6.6666666666666666E-2</v>
      </c>
      <c r="J73" s="42">
        <f t="shared" si="7"/>
        <v>7.2727272727272724E-2</v>
      </c>
      <c r="K73" s="42">
        <f t="shared" si="7"/>
        <v>7.575757575757576E-2</v>
      </c>
      <c r="L73" s="42">
        <f t="shared" si="7"/>
        <v>7.6923076923076927E-2</v>
      </c>
      <c r="M73" s="42">
        <f t="shared" si="7"/>
        <v>7.6923076923076927E-2</v>
      </c>
      <c r="N73" s="42">
        <f t="shared" si="7"/>
        <v>7.6190476190476197E-2</v>
      </c>
      <c r="O73" s="42">
        <f t="shared" si="7"/>
        <v>7.4999999999999997E-2</v>
      </c>
      <c r="P73" s="42">
        <f t="shared" si="7"/>
        <v>7.3529411764705885E-2</v>
      </c>
      <c r="Q73" s="42">
        <f t="shared" si="7"/>
        <v>7.1895424836601302E-2</v>
      </c>
      <c r="R73" s="42">
        <f t="shared" si="7"/>
        <v>7.0175438596491224E-2</v>
      </c>
      <c r="S73" s="42">
        <f t="shared" si="7"/>
        <v>6.8421052631578952E-2</v>
      </c>
      <c r="T73" s="43">
        <f t="shared" si="7"/>
        <v>6.6666666666666666E-2</v>
      </c>
    </row>
    <row r="74" spans="4:20">
      <c r="D74" s="31">
        <f t="shared" si="6"/>
        <v>8</v>
      </c>
      <c r="E74" s="41">
        <f t="shared" si="7"/>
        <v>0</v>
      </c>
      <c r="F74" s="42">
        <f t="shared" si="7"/>
        <v>0</v>
      </c>
      <c r="G74" s="42">
        <f t="shared" si="7"/>
        <v>0</v>
      </c>
      <c r="H74" s="42">
        <f t="shared" si="7"/>
        <v>2.7777777777777776E-2</v>
      </c>
      <c r="I74" s="42">
        <f t="shared" si="7"/>
        <v>4.4444444444444446E-2</v>
      </c>
      <c r="J74" s="42">
        <f t="shared" si="7"/>
        <v>5.4545454545454543E-2</v>
      </c>
      <c r="K74" s="42">
        <f t="shared" si="7"/>
        <v>6.0606060606060608E-2</v>
      </c>
      <c r="L74" s="42">
        <f t="shared" si="7"/>
        <v>6.4102564102564097E-2</v>
      </c>
      <c r="M74" s="42">
        <f t="shared" si="7"/>
        <v>6.5934065934065936E-2</v>
      </c>
      <c r="N74" s="42">
        <f t="shared" si="7"/>
        <v>6.6666666666666666E-2</v>
      </c>
      <c r="O74" s="42">
        <f t="shared" si="7"/>
        <v>6.6666666666666666E-2</v>
      </c>
      <c r="P74" s="42">
        <f t="shared" si="7"/>
        <v>6.6176470588235295E-2</v>
      </c>
      <c r="Q74" s="42">
        <f t="shared" si="7"/>
        <v>6.535947712418301E-2</v>
      </c>
      <c r="R74" s="42">
        <f t="shared" si="7"/>
        <v>6.4327485380116955E-2</v>
      </c>
      <c r="S74" s="42">
        <f t="shared" si="7"/>
        <v>6.3157894736842107E-2</v>
      </c>
      <c r="T74" s="43">
        <f t="shared" si="7"/>
        <v>6.1904761904761907E-2</v>
      </c>
    </row>
    <row r="75" spans="4:20">
      <c r="D75" s="31">
        <f t="shared" si="6"/>
        <v>9</v>
      </c>
      <c r="E75" s="41">
        <f t="shared" si="7"/>
        <v>0</v>
      </c>
      <c r="F75" s="42">
        <f t="shared" si="7"/>
        <v>0</v>
      </c>
      <c r="G75" s="42">
        <f t="shared" si="7"/>
        <v>0</v>
      </c>
      <c r="H75" s="42">
        <f t="shared" si="7"/>
        <v>0</v>
      </c>
      <c r="I75" s="42">
        <f t="shared" si="7"/>
        <v>2.2222222222222223E-2</v>
      </c>
      <c r="J75" s="42">
        <f t="shared" si="7"/>
        <v>3.6363636363636362E-2</v>
      </c>
      <c r="K75" s="42">
        <f t="shared" si="7"/>
        <v>4.5454545454545456E-2</v>
      </c>
      <c r="L75" s="42">
        <f t="shared" si="7"/>
        <v>5.128205128205128E-2</v>
      </c>
      <c r="M75" s="42">
        <f t="shared" si="7"/>
        <v>5.4945054945054944E-2</v>
      </c>
      <c r="N75" s="42">
        <f t="shared" si="7"/>
        <v>5.7142857142857141E-2</v>
      </c>
      <c r="O75" s="42">
        <f t="shared" si="7"/>
        <v>5.8333333333333334E-2</v>
      </c>
      <c r="P75" s="42">
        <f t="shared" si="7"/>
        <v>5.8823529411764705E-2</v>
      </c>
      <c r="Q75" s="42">
        <f t="shared" si="7"/>
        <v>5.8823529411764705E-2</v>
      </c>
      <c r="R75" s="42">
        <f t="shared" si="7"/>
        <v>5.8479532163742687E-2</v>
      </c>
      <c r="S75" s="42">
        <f t="shared" si="7"/>
        <v>5.7894736842105263E-2</v>
      </c>
      <c r="T75" s="43">
        <f t="shared" si="7"/>
        <v>5.7142857142857141E-2</v>
      </c>
    </row>
    <row r="76" spans="4:20">
      <c r="D76" s="31">
        <f t="shared" si="6"/>
        <v>10</v>
      </c>
      <c r="E76" s="41">
        <f t="shared" si="7"/>
        <v>0</v>
      </c>
      <c r="F76" s="42">
        <f t="shared" si="7"/>
        <v>0</v>
      </c>
      <c r="G76" s="42">
        <f t="shared" si="7"/>
        <v>0</v>
      </c>
      <c r="H76" s="42">
        <f t="shared" si="7"/>
        <v>0</v>
      </c>
      <c r="I76" s="42">
        <f t="shared" si="7"/>
        <v>0</v>
      </c>
      <c r="J76" s="42">
        <f t="shared" si="7"/>
        <v>1.8181818181818181E-2</v>
      </c>
      <c r="K76" s="42">
        <f t="shared" si="7"/>
        <v>3.0303030303030304E-2</v>
      </c>
      <c r="L76" s="42">
        <f t="shared" si="7"/>
        <v>3.8461538461538464E-2</v>
      </c>
      <c r="M76" s="42">
        <f t="shared" si="7"/>
        <v>4.3956043956043959E-2</v>
      </c>
      <c r="N76" s="42">
        <f t="shared" si="7"/>
        <v>4.7619047619047616E-2</v>
      </c>
      <c r="O76" s="42">
        <f t="shared" si="7"/>
        <v>0.05</v>
      </c>
      <c r="P76" s="42">
        <f t="shared" si="7"/>
        <v>5.1470588235294115E-2</v>
      </c>
      <c r="Q76" s="42">
        <f t="shared" si="7"/>
        <v>5.2287581699346407E-2</v>
      </c>
      <c r="R76" s="42">
        <f t="shared" si="7"/>
        <v>5.2631578947368418E-2</v>
      </c>
      <c r="S76" s="42">
        <f t="shared" si="7"/>
        <v>5.2631578947368418E-2</v>
      </c>
      <c r="T76" s="43">
        <f t="shared" si="7"/>
        <v>5.2380952380952382E-2</v>
      </c>
    </row>
    <row r="77" spans="4:20">
      <c r="D77" s="31">
        <f t="shared" si="6"/>
        <v>11</v>
      </c>
      <c r="E77" s="41">
        <f t="shared" si="7"/>
        <v>0</v>
      </c>
      <c r="F77" s="42">
        <f t="shared" si="7"/>
        <v>0</v>
      </c>
      <c r="G77" s="42">
        <f t="shared" si="7"/>
        <v>0</v>
      </c>
      <c r="H77" s="42">
        <f t="shared" si="7"/>
        <v>0</v>
      </c>
      <c r="I77" s="42">
        <f t="shared" si="7"/>
        <v>0</v>
      </c>
      <c r="J77" s="42">
        <f t="shared" si="7"/>
        <v>0</v>
      </c>
      <c r="K77" s="42">
        <f t="shared" si="7"/>
        <v>1.5151515151515152E-2</v>
      </c>
      <c r="L77" s="42">
        <f t="shared" si="7"/>
        <v>2.564102564102564E-2</v>
      </c>
      <c r="M77" s="42">
        <f t="shared" si="7"/>
        <v>3.2967032967032968E-2</v>
      </c>
      <c r="N77" s="42">
        <f t="shared" si="7"/>
        <v>3.8095238095238099E-2</v>
      </c>
      <c r="O77" s="42">
        <f t="shared" si="7"/>
        <v>4.1666666666666664E-2</v>
      </c>
      <c r="P77" s="42">
        <f t="shared" si="7"/>
        <v>4.4117647058823532E-2</v>
      </c>
      <c r="Q77" s="42">
        <f t="shared" si="7"/>
        <v>4.5751633986928102E-2</v>
      </c>
      <c r="R77" s="42">
        <f t="shared" si="7"/>
        <v>4.6783625730994149E-2</v>
      </c>
      <c r="S77" s="42">
        <f t="shared" si="7"/>
        <v>4.736842105263158E-2</v>
      </c>
      <c r="T77" s="43">
        <f t="shared" si="7"/>
        <v>4.7619047619047616E-2</v>
      </c>
    </row>
    <row r="78" spans="4:20">
      <c r="D78" s="31">
        <f t="shared" si="6"/>
        <v>12</v>
      </c>
      <c r="E78" s="41">
        <f t="shared" si="7"/>
        <v>0</v>
      </c>
      <c r="F78" s="42">
        <f t="shared" si="7"/>
        <v>0</v>
      </c>
      <c r="G78" s="42">
        <f t="shared" si="7"/>
        <v>0</v>
      </c>
      <c r="H78" s="42">
        <f t="shared" si="7"/>
        <v>0</v>
      </c>
      <c r="I78" s="42">
        <f t="shared" si="7"/>
        <v>0</v>
      </c>
      <c r="J78" s="42">
        <f t="shared" si="7"/>
        <v>0</v>
      </c>
      <c r="K78" s="42">
        <f t="shared" si="7"/>
        <v>0</v>
      </c>
      <c r="L78" s="42">
        <f t="shared" si="7"/>
        <v>1.282051282051282E-2</v>
      </c>
      <c r="M78" s="42">
        <f t="shared" si="7"/>
        <v>2.197802197802198E-2</v>
      </c>
      <c r="N78" s="42">
        <f t="shared" si="7"/>
        <v>2.8571428571428571E-2</v>
      </c>
      <c r="O78" s="42">
        <f t="shared" si="7"/>
        <v>3.3333333333333333E-2</v>
      </c>
      <c r="P78" s="42">
        <f t="shared" si="7"/>
        <v>3.6764705882352942E-2</v>
      </c>
      <c r="Q78" s="42">
        <f t="shared" si="7"/>
        <v>3.9215686274509803E-2</v>
      </c>
      <c r="R78" s="42">
        <f t="shared" si="7"/>
        <v>4.0935672514619881E-2</v>
      </c>
      <c r="S78" s="42">
        <f t="shared" si="7"/>
        <v>4.2105263157894736E-2</v>
      </c>
      <c r="T78" s="43">
        <f t="shared" si="7"/>
        <v>4.2857142857142858E-2</v>
      </c>
    </row>
    <row r="79" spans="4:20">
      <c r="D79" s="31">
        <f t="shared" si="6"/>
        <v>13</v>
      </c>
      <c r="E79" s="41">
        <f t="shared" si="7"/>
        <v>0</v>
      </c>
      <c r="F79" s="42">
        <f t="shared" si="7"/>
        <v>0</v>
      </c>
      <c r="G79" s="42">
        <f t="shared" si="7"/>
        <v>0</v>
      </c>
      <c r="H79" s="42">
        <f t="shared" si="7"/>
        <v>0</v>
      </c>
      <c r="I79" s="42">
        <f t="shared" si="7"/>
        <v>0</v>
      </c>
      <c r="J79" s="42">
        <f t="shared" si="7"/>
        <v>0</v>
      </c>
      <c r="K79" s="42">
        <f t="shared" si="7"/>
        <v>0</v>
      </c>
      <c r="L79" s="42">
        <f t="shared" si="7"/>
        <v>0</v>
      </c>
      <c r="M79" s="42">
        <f t="shared" si="7"/>
        <v>1.098901098901099E-2</v>
      </c>
      <c r="N79" s="42">
        <f t="shared" si="7"/>
        <v>1.9047619047619049E-2</v>
      </c>
      <c r="O79" s="42">
        <f t="shared" si="7"/>
        <v>2.5000000000000001E-2</v>
      </c>
      <c r="P79" s="42">
        <f t="shared" si="7"/>
        <v>2.9411764705882353E-2</v>
      </c>
      <c r="Q79" s="42">
        <f t="shared" si="7"/>
        <v>3.2679738562091505E-2</v>
      </c>
      <c r="R79" s="42">
        <f t="shared" si="7"/>
        <v>3.5087719298245612E-2</v>
      </c>
      <c r="S79" s="42">
        <f t="shared" si="7"/>
        <v>3.6842105263157891E-2</v>
      </c>
      <c r="T79" s="43">
        <f t="shared" si="7"/>
        <v>3.8095238095238099E-2</v>
      </c>
    </row>
    <row r="80" spans="4:20">
      <c r="D80" s="31">
        <f t="shared" si="6"/>
        <v>14</v>
      </c>
      <c r="E80" s="41">
        <f t="shared" si="7"/>
        <v>0</v>
      </c>
      <c r="F80" s="42">
        <f t="shared" si="7"/>
        <v>0</v>
      </c>
      <c r="G80" s="42">
        <f t="shared" si="7"/>
        <v>0</v>
      </c>
      <c r="H80" s="42">
        <f t="shared" si="7"/>
        <v>0</v>
      </c>
      <c r="I80" s="42">
        <f t="shared" si="7"/>
        <v>0</v>
      </c>
      <c r="J80" s="42">
        <f t="shared" si="7"/>
        <v>0</v>
      </c>
      <c r="K80" s="42">
        <f t="shared" si="7"/>
        <v>0</v>
      </c>
      <c r="L80" s="42">
        <f t="shared" si="7"/>
        <v>0</v>
      </c>
      <c r="M80" s="42">
        <f t="shared" si="7"/>
        <v>0</v>
      </c>
      <c r="N80" s="42">
        <f t="shared" si="7"/>
        <v>9.5238095238095247E-3</v>
      </c>
      <c r="O80" s="42">
        <f t="shared" si="7"/>
        <v>1.6666666666666666E-2</v>
      </c>
      <c r="P80" s="42">
        <f t="shared" si="7"/>
        <v>2.2058823529411766E-2</v>
      </c>
      <c r="Q80" s="42">
        <f t="shared" si="7"/>
        <v>2.6143790849673203E-2</v>
      </c>
      <c r="R80" s="42">
        <f t="shared" si="7"/>
        <v>2.9239766081871343E-2</v>
      </c>
      <c r="S80" s="42">
        <f t="shared" si="7"/>
        <v>3.1578947368421054E-2</v>
      </c>
      <c r="T80" s="43">
        <f t="shared" si="7"/>
        <v>3.3333333333333333E-2</v>
      </c>
    </row>
    <row r="81" spans="2:20">
      <c r="D81" s="31">
        <f t="shared" si="6"/>
        <v>15</v>
      </c>
      <c r="E81" s="41">
        <f t="shared" si="7"/>
        <v>0</v>
      </c>
      <c r="F81" s="42">
        <f t="shared" si="7"/>
        <v>0</v>
      </c>
      <c r="G81" s="42">
        <f t="shared" si="7"/>
        <v>0</v>
      </c>
      <c r="H81" s="42">
        <f t="shared" si="7"/>
        <v>0</v>
      </c>
      <c r="I81" s="42">
        <f t="shared" si="7"/>
        <v>0</v>
      </c>
      <c r="J81" s="42">
        <f t="shared" si="7"/>
        <v>0</v>
      </c>
      <c r="K81" s="42">
        <f t="shared" si="7"/>
        <v>0</v>
      </c>
      <c r="L81" s="42">
        <f t="shared" si="7"/>
        <v>0</v>
      </c>
      <c r="M81" s="42">
        <f t="shared" si="7"/>
        <v>0</v>
      </c>
      <c r="N81" s="42">
        <f t="shared" si="7"/>
        <v>0</v>
      </c>
      <c r="O81" s="42">
        <f t="shared" si="7"/>
        <v>8.3333333333333332E-3</v>
      </c>
      <c r="P81" s="42">
        <f t="shared" si="7"/>
        <v>1.4705882352941176E-2</v>
      </c>
      <c r="Q81" s="42">
        <f t="shared" si="7"/>
        <v>1.9607843137254902E-2</v>
      </c>
      <c r="R81" s="42">
        <f t="shared" si="7"/>
        <v>2.3391812865497075E-2</v>
      </c>
      <c r="S81" s="42">
        <f t="shared" si="7"/>
        <v>2.6315789473684209E-2</v>
      </c>
      <c r="T81" s="43">
        <f t="shared" si="7"/>
        <v>2.8571428571428571E-2</v>
      </c>
    </row>
    <row r="82" spans="2:20">
      <c r="D82" s="31">
        <f t="shared" si="6"/>
        <v>16</v>
      </c>
      <c r="E82" s="41">
        <f t="shared" si="7"/>
        <v>0</v>
      </c>
      <c r="F82" s="42">
        <f t="shared" si="7"/>
        <v>0</v>
      </c>
      <c r="G82" s="42">
        <f t="shared" si="7"/>
        <v>0</v>
      </c>
      <c r="H82" s="42">
        <f t="shared" si="7"/>
        <v>0</v>
      </c>
      <c r="I82" s="42">
        <f t="shared" si="7"/>
        <v>0</v>
      </c>
      <c r="J82" s="42">
        <f t="shared" si="7"/>
        <v>0</v>
      </c>
      <c r="K82" s="42">
        <f t="shared" si="7"/>
        <v>0</v>
      </c>
      <c r="L82" s="42">
        <f t="shared" si="7"/>
        <v>0</v>
      </c>
      <c r="M82" s="42">
        <f t="shared" si="7"/>
        <v>0</v>
      </c>
      <c r="N82" s="42">
        <f t="shared" si="7"/>
        <v>0</v>
      </c>
      <c r="O82" s="42">
        <f t="shared" si="7"/>
        <v>0</v>
      </c>
      <c r="P82" s="42">
        <f t="shared" si="7"/>
        <v>7.3529411764705881E-3</v>
      </c>
      <c r="Q82" s="42">
        <f t="shared" si="7"/>
        <v>1.3071895424836602E-2</v>
      </c>
      <c r="R82" s="42">
        <f t="shared" si="7"/>
        <v>1.7543859649122806E-2</v>
      </c>
      <c r="S82" s="42">
        <f t="shared" si="7"/>
        <v>2.1052631578947368E-2</v>
      </c>
      <c r="T82" s="43">
        <f t="shared" si="7"/>
        <v>2.3809523809523808E-2</v>
      </c>
    </row>
    <row r="83" spans="2:20">
      <c r="D83" s="31">
        <f t="shared" si="6"/>
        <v>17</v>
      </c>
      <c r="E83" s="41">
        <f t="shared" si="7"/>
        <v>0</v>
      </c>
      <c r="F83" s="42">
        <f t="shared" si="7"/>
        <v>0</v>
      </c>
      <c r="G83" s="42">
        <f t="shared" si="7"/>
        <v>0</v>
      </c>
      <c r="H83" s="42">
        <f t="shared" si="7"/>
        <v>0</v>
      </c>
      <c r="I83" s="42">
        <f t="shared" si="7"/>
        <v>0</v>
      </c>
      <c r="J83" s="42">
        <f t="shared" si="7"/>
        <v>0</v>
      </c>
      <c r="K83" s="42">
        <f t="shared" si="7"/>
        <v>0</v>
      </c>
      <c r="L83" s="42">
        <f t="shared" si="7"/>
        <v>0</v>
      </c>
      <c r="M83" s="42">
        <f t="shared" si="7"/>
        <v>0</v>
      </c>
      <c r="N83" s="42">
        <f t="shared" si="7"/>
        <v>0</v>
      </c>
      <c r="O83" s="42">
        <f t="shared" si="7"/>
        <v>0</v>
      </c>
      <c r="P83" s="42">
        <f t="shared" si="7"/>
        <v>0</v>
      </c>
      <c r="Q83" s="42">
        <f t="shared" si="7"/>
        <v>6.5359477124183009E-3</v>
      </c>
      <c r="R83" s="42">
        <f t="shared" si="7"/>
        <v>1.1695906432748537E-2</v>
      </c>
      <c r="S83" s="42">
        <f t="shared" si="7"/>
        <v>1.5789473684210527E-2</v>
      </c>
      <c r="T83" s="43">
        <f t="shared" ref="T83" si="8">MAX(0,T$65+1-$D83)/T$66</f>
        <v>1.9047619047619049E-2</v>
      </c>
    </row>
    <row r="84" spans="2:20">
      <c r="D84" s="31">
        <f t="shared" si="6"/>
        <v>18</v>
      </c>
      <c r="E84" s="41">
        <f t="shared" ref="E84:T86" si="9">MAX(0,E$65+1-$D84)/E$66</f>
        <v>0</v>
      </c>
      <c r="F84" s="42">
        <f t="shared" si="9"/>
        <v>0</v>
      </c>
      <c r="G84" s="42">
        <f t="shared" si="9"/>
        <v>0</v>
      </c>
      <c r="H84" s="42">
        <f t="shared" si="9"/>
        <v>0</v>
      </c>
      <c r="I84" s="42">
        <f t="shared" si="9"/>
        <v>0</v>
      </c>
      <c r="J84" s="42">
        <f t="shared" si="9"/>
        <v>0</v>
      </c>
      <c r="K84" s="42">
        <f t="shared" si="9"/>
        <v>0</v>
      </c>
      <c r="L84" s="42">
        <f t="shared" si="9"/>
        <v>0</v>
      </c>
      <c r="M84" s="42">
        <f t="shared" si="9"/>
        <v>0</v>
      </c>
      <c r="N84" s="42">
        <f t="shared" si="9"/>
        <v>0</v>
      </c>
      <c r="O84" s="42">
        <f t="shared" si="9"/>
        <v>0</v>
      </c>
      <c r="P84" s="42">
        <f t="shared" si="9"/>
        <v>0</v>
      </c>
      <c r="Q84" s="42">
        <f t="shared" si="9"/>
        <v>0</v>
      </c>
      <c r="R84" s="42">
        <f t="shared" si="9"/>
        <v>5.8479532163742687E-3</v>
      </c>
      <c r="S84" s="42">
        <f t="shared" si="9"/>
        <v>1.0526315789473684E-2</v>
      </c>
      <c r="T84" s="43">
        <f t="shared" si="9"/>
        <v>1.4285714285714285E-2</v>
      </c>
    </row>
    <row r="85" spans="2:20">
      <c r="D85" s="31">
        <f t="shared" si="6"/>
        <v>19</v>
      </c>
      <c r="E85" s="41">
        <f t="shared" si="9"/>
        <v>0</v>
      </c>
      <c r="F85" s="42">
        <f t="shared" si="9"/>
        <v>0</v>
      </c>
      <c r="G85" s="42">
        <f t="shared" si="9"/>
        <v>0</v>
      </c>
      <c r="H85" s="42">
        <f t="shared" si="9"/>
        <v>0</v>
      </c>
      <c r="I85" s="42">
        <f t="shared" si="9"/>
        <v>0</v>
      </c>
      <c r="J85" s="42">
        <f t="shared" si="9"/>
        <v>0</v>
      </c>
      <c r="K85" s="42">
        <f t="shared" si="9"/>
        <v>0</v>
      </c>
      <c r="L85" s="42">
        <f t="shared" si="9"/>
        <v>0</v>
      </c>
      <c r="M85" s="42">
        <f t="shared" si="9"/>
        <v>0</v>
      </c>
      <c r="N85" s="42">
        <f t="shared" si="9"/>
        <v>0</v>
      </c>
      <c r="O85" s="42">
        <f t="shared" si="9"/>
        <v>0</v>
      </c>
      <c r="P85" s="42">
        <f t="shared" si="9"/>
        <v>0</v>
      </c>
      <c r="Q85" s="42">
        <f t="shared" si="9"/>
        <v>0</v>
      </c>
      <c r="R85" s="42">
        <f t="shared" si="9"/>
        <v>0</v>
      </c>
      <c r="S85" s="42">
        <f t="shared" si="9"/>
        <v>5.263157894736842E-3</v>
      </c>
      <c r="T85" s="43">
        <f t="shared" si="9"/>
        <v>9.5238095238095247E-3</v>
      </c>
    </row>
    <row r="86" spans="2:20">
      <c r="D86" s="33">
        <f t="shared" si="6"/>
        <v>20</v>
      </c>
      <c r="E86" s="44">
        <f t="shared" si="9"/>
        <v>0</v>
      </c>
      <c r="F86" s="45">
        <f t="shared" si="9"/>
        <v>0</v>
      </c>
      <c r="G86" s="45">
        <f t="shared" si="9"/>
        <v>0</v>
      </c>
      <c r="H86" s="45">
        <f t="shared" si="9"/>
        <v>0</v>
      </c>
      <c r="I86" s="45">
        <f t="shared" si="9"/>
        <v>0</v>
      </c>
      <c r="J86" s="45">
        <f t="shared" si="9"/>
        <v>0</v>
      </c>
      <c r="K86" s="45">
        <f t="shared" si="9"/>
        <v>0</v>
      </c>
      <c r="L86" s="45">
        <f t="shared" si="9"/>
        <v>0</v>
      </c>
      <c r="M86" s="45">
        <f t="shared" si="9"/>
        <v>0</v>
      </c>
      <c r="N86" s="45">
        <f t="shared" si="9"/>
        <v>0</v>
      </c>
      <c r="O86" s="45">
        <f t="shared" si="9"/>
        <v>0</v>
      </c>
      <c r="P86" s="45">
        <f t="shared" si="9"/>
        <v>0</v>
      </c>
      <c r="Q86" s="45">
        <f t="shared" si="9"/>
        <v>0</v>
      </c>
      <c r="R86" s="45">
        <f t="shared" si="9"/>
        <v>0</v>
      </c>
      <c r="S86" s="45">
        <f t="shared" si="9"/>
        <v>0</v>
      </c>
      <c r="T86" s="46">
        <f t="shared" si="9"/>
        <v>4.7619047619047623E-3</v>
      </c>
    </row>
    <row r="89" spans="2:20" ht="15.6">
      <c r="B89" s="23" t="s">
        <v>38</v>
      </c>
    </row>
    <row r="90" spans="2:20">
      <c r="B90" s="6"/>
      <c r="C90" s="2" t="s">
        <v>39</v>
      </c>
    </row>
    <row r="91" spans="2:20">
      <c r="B91" s="6"/>
    </row>
    <row r="92" spans="2:20">
      <c r="B92" s="6">
        <v>1</v>
      </c>
      <c r="C92" s="6" t="str">
        <f>INDEX(ListDepMethods1,B92)</f>
        <v>Declining Balance</v>
      </c>
    </row>
    <row r="93" spans="2:20">
      <c r="C93" s="2" t="s">
        <v>40</v>
      </c>
    </row>
    <row r="94" spans="2:20">
      <c r="C94" s="47" t="s">
        <v>41</v>
      </c>
      <c r="D94" s="48">
        <v>2022</v>
      </c>
      <c r="E94" s="48">
        <v>2023</v>
      </c>
      <c r="F94" s="48">
        <v>2024</v>
      </c>
      <c r="G94" s="48">
        <v>2025</v>
      </c>
    </row>
    <row r="95" spans="2:20">
      <c r="C95" s="49" t="s">
        <v>11</v>
      </c>
      <c r="D95" s="50">
        <v>0</v>
      </c>
      <c r="E95" s="50">
        <v>62</v>
      </c>
      <c r="F95" s="50">
        <v>39.200000000000003</v>
      </c>
      <c r="G95" s="50">
        <v>25.520000000000003</v>
      </c>
    </row>
    <row r="96" spans="2:20">
      <c r="C96" s="51" t="s">
        <v>42</v>
      </c>
      <c r="D96" s="52">
        <v>100</v>
      </c>
      <c r="E96" s="52">
        <v>0</v>
      </c>
      <c r="F96" s="52">
        <v>0</v>
      </c>
      <c r="G96" s="52">
        <v>0</v>
      </c>
    </row>
    <row r="97" spans="2:12">
      <c r="C97" s="51" t="s">
        <v>2</v>
      </c>
      <c r="D97" s="52">
        <v>-38</v>
      </c>
      <c r="E97" s="52">
        <v>-22.8</v>
      </c>
      <c r="F97" s="52">
        <v>-13.680000000000001</v>
      </c>
      <c r="G97" s="52">
        <v>-8.208000000000002</v>
      </c>
    </row>
    <row r="98" spans="2:12">
      <c r="C98" s="51" t="s">
        <v>12</v>
      </c>
      <c r="D98" s="52">
        <v>62</v>
      </c>
      <c r="E98" s="52">
        <v>39.200000000000003</v>
      </c>
      <c r="F98" s="52">
        <v>25.520000000000003</v>
      </c>
      <c r="G98" s="52">
        <v>17.312000000000001</v>
      </c>
      <c r="I98" s="53"/>
      <c r="J98" s="53"/>
      <c r="K98" s="53"/>
      <c r="L98" s="53"/>
    </row>
    <row r="99" spans="2:12">
      <c r="E99" s="54"/>
      <c r="F99" s="53"/>
      <c r="G99" s="53"/>
    </row>
    <row r="100" spans="2:12">
      <c r="B100" s="6">
        <v>2</v>
      </c>
      <c r="C100" s="6" t="str">
        <f>INDEX(ListDepMethods1,B100)</f>
        <v>Straight Line</v>
      </c>
    </row>
    <row r="101" spans="2:12">
      <c r="C101" s="2" t="s">
        <v>43</v>
      </c>
    </row>
    <row r="102" spans="2:12">
      <c r="C102" s="47" t="s">
        <v>44</v>
      </c>
      <c r="D102" s="48">
        <v>2022</v>
      </c>
      <c r="E102" s="48">
        <v>2023</v>
      </c>
      <c r="F102" s="48">
        <v>2024</v>
      </c>
      <c r="G102" s="48">
        <v>2025</v>
      </c>
    </row>
    <row r="103" spans="2:12">
      <c r="C103" s="49" t="s">
        <v>11</v>
      </c>
      <c r="D103" s="55">
        <v>0</v>
      </c>
      <c r="E103" s="55">
        <v>68.333333333333329</v>
      </c>
      <c r="F103" s="55">
        <v>36.666666666666657</v>
      </c>
      <c r="G103" s="55">
        <v>0</v>
      </c>
    </row>
    <row r="104" spans="2:12">
      <c r="C104" s="51" t="s">
        <v>42</v>
      </c>
      <c r="D104" s="56">
        <v>100</v>
      </c>
      <c r="E104" s="56">
        <v>0</v>
      </c>
      <c r="F104" s="56">
        <v>0</v>
      </c>
      <c r="G104" s="56">
        <v>0</v>
      </c>
    </row>
    <row r="105" spans="2:12">
      <c r="C105" s="51" t="s">
        <v>2</v>
      </c>
      <c r="D105" s="56">
        <v>-31.666666666666668</v>
      </c>
      <c r="E105" s="56">
        <v>-31.666666666666668</v>
      </c>
      <c r="F105" s="56">
        <v>-31.666666666666668</v>
      </c>
      <c r="G105" s="56">
        <v>0</v>
      </c>
    </row>
    <row r="106" spans="2:12">
      <c r="C106" s="51" t="s">
        <v>12</v>
      </c>
      <c r="D106" s="56">
        <v>68.333333333333329</v>
      </c>
      <c r="E106" s="56">
        <v>36.666666666666657</v>
      </c>
      <c r="F106" s="56">
        <v>5</v>
      </c>
      <c r="G106" s="56">
        <v>0</v>
      </c>
    </row>
    <row r="107" spans="2:12">
      <c r="D107" s="57"/>
      <c r="E107" s="53"/>
      <c r="F107" s="53"/>
      <c r="G107" s="53"/>
    </row>
    <row r="108" spans="2:12">
      <c r="B108" s="6">
        <v>3</v>
      </c>
      <c r="C108" s="6" t="str">
        <f>INDEX(ListDepMethods1,B108)</f>
        <v>Units of Production</v>
      </c>
      <c r="D108" s="58"/>
      <c r="E108" s="58"/>
      <c r="F108" s="58"/>
      <c r="G108" s="58"/>
    </row>
    <row r="109" spans="2:12">
      <c r="C109" s="2" t="s">
        <v>45</v>
      </c>
    </row>
    <row r="110" spans="2:12">
      <c r="C110" s="59" t="s">
        <v>46</v>
      </c>
    </row>
    <row r="111" spans="2:12">
      <c r="C111" s="59"/>
    </row>
    <row r="112" spans="2:12">
      <c r="C112" s="60" t="s">
        <v>47</v>
      </c>
      <c r="D112" s="2">
        <v>1000000</v>
      </c>
    </row>
    <row r="113" spans="2:9">
      <c r="C113" s="60"/>
    </row>
    <row r="114" spans="2:9">
      <c r="C114" s="61" t="s">
        <v>48</v>
      </c>
      <c r="D114" s="62">
        <v>2022</v>
      </c>
      <c r="E114" s="62">
        <v>2023</v>
      </c>
      <c r="F114" s="62">
        <v>2024</v>
      </c>
      <c r="G114" s="62">
        <v>2025</v>
      </c>
    </row>
    <row r="115" spans="2:9">
      <c r="C115" s="63" t="s">
        <v>11</v>
      </c>
      <c r="D115" s="50">
        <v>0</v>
      </c>
      <c r="E115" s="50">
        <v>62</v>
      </c>
      <c r="F115" s="50">
        <v>39.200000000000003</v>
      </c>
      <c r="G115" s="50">
        <v>25.520000000000003</v>
      </c>
    </row>
    <row r="116" spans="2:9">
      <c r="C116" s="64" t="s">
        <v>42</v>
      </c>
      <c r="D116" s="52">
        <v>100</v>
      </c>
      <c r="E116" s="52">
        <v>0</v>
      </c>
      <c r="F116" s="52">
        <v>0</v>
      </c>
      <c r="G116" s="52">
        <v>0</v>
      </c>
    </row>
    <row r="117" spans="2:9">
      <c r="C117" s="64" t="s">
        <v>2</v>
      </c>
      <c r="D117" s="52">
        <v>-38</v>
      </c>
      <c r="E117" s="52">
        <v>-22.8</v>
      </c>
      <c r="F117" s="52">
        <v>-13.68</v>
      </c>
      <c r="G117" s="52">
        <v>-10.26</v>
      </c>
    </row>
    <row r="118" spans="2:9">
      <c r="C118" s="64" t="s">
        <v>12</v>
      </c>
      <c r="D118" s="52">
        <v>62</v>
      </c>
      <c r="E118" s="52">
        <v>39.200000000000003</v>
      </c>
      <c r="F118" s="52">
        <v>25.520000000000003</v>
      </c>
      <c r="G118" s="52">
        <v>15.260000000000003</v>
      </c>
    </row>
    <row r="120" spans="2:9">
      <c r="C120" s="64" t="s">
        <v>49</v>
      </c>
      <c r="D120" s="65">
        <v>400000</v>
      </c>
      <c r="E120" s="65">
        <v>240000</v>
      </c>
      <c r="F120" s="65">
        <v>144000</v>
      </c>
      <c r="G120" s="65">
        <v>108000</v>
      </c>
    </row>
    <row r="121" spans="2:9">
      <c r="D121" s="66"/>
      <c r="E121" s="66"/>
      <c r="F121" s="66"/>
      <c r="G121" s="66"/>
      <c r="I121" s="67"/>
    </row>
    <row r="122" spans="2:9">
      <c r="B122" s="6">
        <v>4</v>
      </c>
      <c r="C122" s="6" t="str">
        <f>INDEX(ListDepMethods1,B122)</f>
        <v>Sum of Years Digits</v>
      </c>
      <c r="D122" s="53"/>
      <c r="E122" s="53"/>
      <c r="F122" s="53"/>
      <c r="G122" s="53"/>
    </row>
    <row r="123" spans="2:9">
      <c r="C123" s="2" t="s">
        <v>50</v>
      </c>
    </row>
    <row r="124" spans="2:9">
      <c r="C124" s="59" t="s">
        <v>51</v>
      </c>
      <c r="D124" s="68"/>
      <c r="E124" s="68"/>
      <c r="F124" s="68"/>
      <c r="G124" s="68"/>
      <c r="H124" s="68"/>
      <c r="I124" s="68"/>
    </row>
    <row r="125" spans="2:9">
      <c r="C125" s="47" t="s">
        <v>48</v>
      </c>
      <c r="D125" s="48">
        <v>2022</v>
      </c>
      <c r="E125" s="48">
        <v>2023</v>
      </c>
      <c r="F125" s="48">
        <v>2024</v>
      </c>
      <c r="G125" s="48">
        <v>2025</v>
      </c>
    </row>
    <row r="126" spans="2:9">
      <c r="C126" s="49" t="s">
        <v>11</v>
      </c>
      <c r="D126" s="50">
        <v>0</v>
      </c>
      <c r="E126" s="50">
        <v>68.333333333333343</v>
      </c>
      <c r="F126" s="50">
        <v>43.000000000000014</v>
      </c>
      <c r="G126" s="50">
        <v>24.000000000000014</v>
      </c>
    </row>
    <row r="127" spans="2:9">
      <c r="C127" s="51" t="s">
        <v>42</v>
      </c>
      <c r="D127" s="52">
        <v>100</v>
      </c>
      <c r="E127" s="52">
        <v>0</v>
      </c>
      <c r="F127" s="52">
        <v>0</v>
      </c>
      <c r="G127" s="52">
        <v>0</v>
      </c>
    </row>
    <row r="128" spans="2:9">
      <c r="C128" s="51" t="s">
        <v>2</v>
      </c>
      <c r="D128" s="52">
        <v>-31.666666666666664</v>
      </c>
      <c r="E128" s="52">
        <v>-25.333333333333332</v>
      </c>
      <c r="F128" s="52">
        <v>-19</v>
      </c>
      <c r="G128" s="52">
        <v>-12.666666666666666</v>
      </c>
    </row>
    <row r="129" spans="1:21">
      <c r="C129" s="51" t="s">
        <v>12</v>
      </c>
      <c r="D129" s="52">
        <v>68.333333333333343</v>
      </c>
      <c r="E129" s="52">
        <v>43.000000000000014</v>
      </c>
      <c r="F129" s="52">
        <v>24.000000000000014</v>
      </c>
      <c r="G129" s="52">
        <v>11.333333333333348</v>
      </c>
    </row>
    <row r="130" spans="1:21">
      <c r="H130" s="69"/>
      <c r="I130" s="69"/>
      <c r="J130" s="69"/>
      <c r="K130" s="69"/>
      <c r="L130" s="69"/>
      <c r="M130" s="69"/>
      <c r="N130" s="69"/>
      <c r="O130" s="69"/>
      <c r="P130" s="69"/>
      <c r="Q130" s="69"/>
    </row>
    <row r="132" spans="1:21">
      <c r="A132" s="1" t="s">
        <v>52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>
      <c r="E133" s="3"/>
    </row>
    <row r="134" spans="1:21" ht="15.6">
      <c r="B134" s="18" t="s">
        <v>6</v>
      </c>
      <c r="E134" s="3"/>
      <c r="G134" s="70" t="s">
        <v>53</v>
      </c>
      <c r="H134" s="71"/>
      <c r="I134" s="71"/>
    </row>
    <row r="135" spans="1:21" ht="15.6">
      <c r="B135" s="18"/>
      <c r="D135" s="7" t="s">
        <v>54</v>
      </c>
      <c r="E135" s="9"/>
      <c r="F135" s="72"/>
      <c r="G135" s="12"/>
    </row>
    <row r="136" spans="1:21">
      <c r="D136" s="7" t="s">
        <v>55</v>
      </c>
      <c r="E136" s="7" t="s">
        <v>0</v>
      </c>
      <c r="F136" s="7" t="s">
        <v>56</v>
      </c>
      <c r="G136" s="73" t="s">
        <v>37</v>
      </c>
    </row>
    <row r="137" spans="1:21">
      <c r="D137" s="9" t="s">
        <v>8</v>
      </c>
      <c r="E137" s="9" t="s">
        <v>7</v>
      </c>
      <c r="F137" s="9" t="s">
        <v>57</v>
      </c>
    </row>
    <row r="138" spans="1:21">
      <c r="D138" s="13">
        <v>44592</v>
      </c>
      <c r="E138" s="4">
        <v>21000</v>
      </c>
      <c r="F138" s="8" t="s">
        <v>23</v>
      </c>
      <c r="G138" s="74">
        <f t="shared" ref="G138:G201" si="10">YEAR(D138)</f>
        <v>2022</v>
      </c>
      <c r="J138" s="69"/>
      <c r="L138" s="75"/>
    </row>
    <row r="139" spans="1:21">
      <c r="D139" s="13">
        <v>44592</v>
      </c>
      <c r="E139" s="4">
        <v>562500</v>
      </c>
      <c r="F139" s="8" t="s">
        <v>22</v>
      </c>
      <c r="G139" s="74">
        <f t="shared" si="10"/>
        <v>2022</v>
      </c>
    </row>
    <row r="140" spans="1:21">
      <c r="D140" s="13">
        <v>44620</v>
      </c>
      <c r="E140" s="4">
        <v>187500</v>
      </c>
      <c r="F140" s="8" t="s">
        <v>23</v>
      </c>
      <c r="G140" s="74">
        <f t="shared" si="10"/>
        <v>2022</v>
      </c>
    </row>
    <row r="141" spans="1:21">
      <c r="D141" s="13">
        <v>44620</v>
      </c>
      <c r="E141" s="4">
        <v>474000</v>
      </c>
      <c r="F141" s="8" t="s">
        <v>21</v>
      </c>
      <c r="G141" s="74">
        <f t="shared" si="10"/>
        <v>2022</v>
      </c>
      <c r="J141" s="53"/>
    </row>
    <row r="142" spans="1:21">
      <c r="D142" s="13">
        <v>44651</v>
      </c>
      <c r="E142" s="4">
        <v>163500</v>
      </c>
      <c r="F142" s="8" t="s">
        <v>23</v>
      </c>
      <c r="G142" s="74">
        <f t="shared" si="10"/>
        <v>2022</v>
      </c>
      <c r="J142" s="53"/>
    </row>
    <row r="143" spans="1:21">
      <c r="D143" s="13">
        <v>44651</v>
      </c>
      <c r="E143" s="4">
        <v>448500</v>
      </c>
      <c r="F143" s="8" t="s">
        <v>23</v>
      </c>
      <c r="G143" s="74">
        <f t="shared" si="10"/>
        <v>2022</v>
      </c>
      <c r="J143" s="53"/>
    </row>
    <row r="144" spans="1:21">
      <c r="D144" s="13">
        <v>44651</v>
      </c>
      <c r="E144" s="4">
        <v>538500</v>
      </c>
      <c r="F144" s="8" t="s">
        <v>21</v>
      </c>
      <c r="G144" s="74">
        <f t="shared" si="10"/>
        <v>2022</v>
      </c>
      <c r="J144" s="53"/>
    </row>
    <row r="145" spans="4:10">
      <c r="D145" s="13">
        <v>44651</v>
      </c>
      <c r="E145" s="4">
        <v>727500</v>
      </c>
      <c r="F145" s="8" t="s">
        <v>21</v>
      </c>
      <c r="G145" s="74">
        <f t="shared" si="10"/>
        <v>2022</v>
      </c>
      <c r="J145" s="53"/>
    </row>
    <row r="146" spans="4:10">
      <c r="D146" s="13">
        <v>44712</v>
      </c>
      <c r="E146" s="4">
        <v>388500</v>
      </c>
      <c r="F146" s="8" t="s">
        <v>23</v>
      </c>
      <c r="G146" s="74">
        <f t="shared" si="10"/>
        <v>2022</v>
      </c>
      <c r="J146" s="53"/>
    </row>
    <row r="147" spans="4:10">
      <c r="D147" s="13">
        <v>44712</v>
      </c>
      <c r="E147" s="4">
        <v>249000</v>
      </c>
      <c r="F147" s="8" t="s">
        <v>22</v>
      </c>
      <c r="G147" s="74">
        <f t="shared" si="10"/>
        <v>2022</v>
      </c>
      <c r="J147" s="53"/>
    </row>
    <row r="148" spans="4:10">
      <c r="D148" s="13">
        <v>44742</v>
      </c>
      <c r="E148" s="4">
        <v>178500</v>
      </c>
      <c r="F148" s="8" t="s">
        <v>21</v>
      </c>
      <c r="G148" s="74">
        <f t="shared" si="10"/>
        <v>2022</v>
      </c>
      <c r="J148" s="53"/>
    </row>
    <row r="149" spans="4:10">
      <c r="D149" s="13">
        <v>44742</v>
      </c>
      <c r="E149" s="4">
        <v>466500</v>
      </c>
      <c r="F149" s="8" t="s">
        <v>23</v>
      </c>
      <c r="G149" s="74">
        <f t="shared" si="10"/>
        <v>2022</v>
      </c>
      <c r="J149" s="53"/>
    </row>
    <row r="150" spans="4:10">
      <c r="D150" s="13">
        <v>44742</v>
      </c>
      <c r="E150" s="4">
        <v>375000</v>
      </c>
      <c r="F150" s="8" t="s">
        <v>22</v>
      </c>
      <c r="G150" s="74">
        <f t="shared" si="10"/>
        <v>2022</v>
      </c>
      <c r="J150" s="53"/>
    </row>
    <row r="151" spans="4:10">
      <c r="D151" s="13">
        <v>44773</v>
      </c>
      <c r="E151" s="4">
        <v>562500</v>
      </c>
      <c r="F151" s="8" t="s">
        <v>21</v>
      </c>
      <c r="G151" s="74">
        <f t="shared" si="10"/>
        <v>2022</v>
      </c>
      <c r="J151" s="53"/>
    </row>
    <row r="152" spans="4:10">
      <c r="D152" s="13">
        <v>44804</v>
      </c>
      <c r="E152" s="4">
        <v>430500</v>
      </c>
      <c r="F152" s="8" t="s">
        <v>23</v>
      </c>
      <c r="G152" s="74">
        <f t="shared" si="10"/>
        <v>2022</v>
      </c>
      <c r="J152" s="53"/>
    </row>
    <row r="153" spans="4:10">
      <c r="D153" s="13">
        <v>44834</v>
      </c>
      <c r="E153" s="4">
        <v>477000</v>
      </c>
      <c r="F153" s="8" t="s">
        <v>22</v>
      </c>
      <c r="G153" s="74">
        <f t="shared" si="10"/>
        <v>2022</v>
      </c>
      <c r="J153" s="53"/>
    </row>
    <row r="154" spans="4:10">
      <c r="D154" s="13">
        <v>44834</v>
      </c>
      <c r="E154" s="4">
        <v>652500</v>
      </c>
      <c r="F154" s="8" t="s">
        <v>23</v>
      </c>
      <c r="G154" s="74">
        <f t="shared" si="10"/>
        <v>2022</v>
      </c>
      <c r="J154" s="53"/>
    </row>
    <row r="155" spans="4:10">
      <c r="D155" s="13">
        <v>44834</v>
      </c>
      <c r="E155" s="4">
        <v>223500</v>
      </c>
      <c r="F155" s="8" t="s">
        <v>23</v>
      </c>
      <c r="G155" s="74">
        <f t="shared" si="10"/>
        <v>2022</v>
      </c>
      <c r="J155" s="53"/>
    </row>
    <row r="156" spans="4:10">
      <c r="D156" s="13">
        <v>44865</v>
      </c>
      <c r="E156" s="4">
        <v>243000</v>
      </c>
      <c r="F156" s="8" t="s">
        <v>21</v>
      </c>
      <c r="G156" s="74">
        <f t="shared" si="10"/>
        <v>2022</v>
      </c>
      <c r="J156" s="53"/>
    </row>
    <row r="157" spans="4:10">
      <c r="D157" s="13">
        <v>44895</v>
      </c>
      <c r="E157" s="4">
        <v>670500</v>
      </c>
      <c r="F157" s="8" t="s">
        <v>22</v>
      </c>
      <c r="G157" s="74">
        <f t="shared" si="10"/>
        <v>2022</v>
      </c>
      <c r="J157" s="53"/>
    </row>
    <row r="158" spans="4:10">
      <c r="D158" s="13">
        <v>44926</v>
      </c>
      <c r="E158" s="4">
        <v>121500</v>
      </c>
      <c r="F158" s="8" t="s">
        <v>22</v>
      </c>
      <c r="G158" s="74">
        <f t="shared" si="10"/>
        <v>2022</v>
      </c>
      <c r="J158" s="53"/>
    </row>
    <row r="159" spans="4:10">
      <c r="D159" s="13">
        <v>44926</v>
      </c>
      <c r="E159" s="4">
        <v>411000</v>
      </c>
      <c r="F159" s="8" t="s">
        <v>23</v>
      </c>
      <c r="G159" s="74">
        <f t="shared" si="10"/>
        <v>2022</v>
      </c>
      <c r="J159" s="53"/>
    </row>
    <row r="160" spans="4:10">
      <c r="D160" s="13">
        <v>44926</v>
      </c>
      <c r="E160" s="4">
        <v>420000</v>
      </c>
      <c r="F160" s="8" t="s">
        <v>22</v>
      </c>
      <c r="G160" s="74">
        <f t="shared" si="10"/>
        <v>2022</v>
      </c>
      <c r="J160" s="53"/>
    </row>
    <row r="161" spans="4:10">
      <c r="D161" s="13">
        <v>44957</v>
      </c>
      <c r="E161" s="4">
        <v>594000</v>
      </c>
      <c r="F161" s="8" t="s">
        <v>22</v>
      </c>
      <c r="G161" s="74">
        <f t="shared" si="10"/>
        <v>2023</v>
      </c>
      <c r="J161" s="53"/>
    </row>
    <row r="162" spans="4:10">
      <c r="D162" s="13">
        <v>44985</v>
      </c>
      <c r="E162" s="4">
        <v>306000</v>
      </c>
      <c r="F162" s="8" t="s">
        <v>21</v>
      </c>
      <c r="G162" s="74">
        <f t="shared" si="10"/>
        <v>2023</v>
      </c>
      <c r="J162" s="53"/>
    </row>
    <row r="163" spans="4:10">
      <c r="D163" s="13">
        <v>45016</v>
      </c>
      <c r="E163" s="4">
        <v>241500</v>
      </c>
      <c r="F163" s="8" t="s">
        <v>22</v>
      </c>
      <c r="G163" s="74">
        <f t="shared" si="10"/>
        <v>2023</v>
      </c>
      <c r="J163" s="53"/>
    </row>
    <row r="164" spans="4:10">
      <c r="D164" s="13">
        <v>45169</v>
      </c>
      <c r="E164" s="4">
        <v>672000</v>
      </c>
      <c r="F164" s="8" t="s">
        <v>23</v>
      </c>
      <c r="G164" s="74">
        <f t="shared" si="10"/>
        <v>2023</v>
      </c>
      <c r="J164" s="53"/>
    </row>
    <row r="165" spans="4:10">
      <c r="D165" s="13">
        <v>45322</v>
      </c>
      <c r="E165" s="4">
        <v>529500</v>
      </c>
      <c r="F165" s="8" t="s">
        <v>22</v>
      </c>
      <c r="G165" s="74">
        <f t="shared" si="10"/>
        <v>2024</v>
      </c>
      <c r="J165" s="53"/>
    </row>
    <row r="166" spans="4:10">
      <c r="D166" s="13">
        <v>45412</v>
      </c>
      <c r="E166" s="4">
        <v>567000</v>
      </c>
      <c r="F166" s="8" t="s">
        <v>23</v>
      </c>
      <c r="G166" s="74">
        <f t="shared" si="10"/>
        <v>2024</v>
      </c>
      <c r="J166" s="53"/>
    </row>
    <row r="167" spans="4:10">
      <c r="D167" s="13">
        <v>45443</v>
      </c>
      <c r="E167" s="4">
        <v>540000</v>
      </c>
      <c r="F167" s="8" t="s">
        <v>23</v>
      </c>
      <c r="G167" s="74">
        <f t="shared" si="10"/>
        <v>2024</v>
      </c>
      <c r="J167" s="53"/>
    </row>
    <row r="168" spans="4:10">
      <c r="D168" s="13">
        <v>45443</v>
      </c>
      <c r="E168" s="4">
        <v>624000</v>
      </c>
      <c r="F168" s="8" t="s">
        <v>23</v>
      </c>
      <c r="G168" s="74">
        <f t="shared" si="10"/>
        <v>2024</v>
      </c>
      <c r="J168" s="53"/>
    </row>
    <row r="169" spans="4:10">
      <c r="D169" s="13">
        <v>45473</v>
      </c>
      <c r="E169" s="4">
        <v>214500</v>
      </c>
      <c r="F169" s="8" t="s">
        <v>21</v>
      </c>
      <c r="G169" s="74">
        <f t="shared" si="10"/>
        <v>2024</v>
      </c>
      <c r="J169" s="53"/>
    </row>
    <row r="170" spans="4:10">
      <c r="D170" s="13">
        <v>45473</v>
      </c>
      <c r="E170" s="4">
        <v>120000</v>
      </c>
      <c r="F170" s="8" t="s">
        <v>22</v>
      </c>
      <c r="G170" s="74">
        <f t="shared" si="10"/>
        <v>2024</v>
      </c>
      <c r="J170" s="53"/>
    </row>
    <row r="171" spans="4:10">
      <c r="D171" s="13">
        <v>45596</v>
      </c>
      <c r="E171" s="4">
        <v>598500</v>
      </c>
      <c r="F171" s="8" t="s">
        <v>23</v>
      </c>
      <c r="G171" s="74">
        <f t="shared" si="10"/>
        <v>2024</v>
      </c>
      <c r="J171" s="53"/>
    </row>
    <row r="172" spans="4:10">
      <c r="D172" s="13">
        <v>45596</v>
      </c>
      <c r="E172" s="4">
        <v>210000</v>
      </c>
      <c r="F172" s="8" t="s">
        <v>22</v>
      </c>
      <c r="G172" s="74">
        <f t="shared" si="10"/>
        <v>2024</v>
      </c>
      <c r="J172" s="53"/>
    </row>
    <row r="173" spans="4:10">
      <c r="D173" s="13">
        <v>45596</v>
      </c>
      <c r="E173" s="4">
        <v>181500</v>
      </c>
      <c r="F173" s="8" t="s">
        <v>22</v>
      </c>
      <c r="G173" s="74">
        <f t="shared" si="10"/>
        <v>2024</v>
      </c>
      <c r="J173" s="53"/>
    </row>
    <row r="174" spans="4:10">
      <c r="D174" s="13">
        <v>45626</v>
      </c>
      <c r="E174" s="4">
        <v>237000</v>
      </c>
      <c r="F174" s="8" t="s">
        <v>21</v>
      </c>
      <c r="G174" s="74">
        <f t="shared" si="10"/>
        <v>2024</v>
      </c>
      <c r="J174" s="53"/>
    </row>
    <row r="175" spans="4:10">
      <c r="D175" s="13">
        <v>45626</v>
      </c>
      <c r="E175" s="4">
        <v>271500</v>
      </c>
      <c r="F175" s="8" t="s">
        <v>21</v>
      </c>
      <c r="G175" s="74">
        <f t="shared" si="10"/>
        <v>2024</v>
      </c>
      <c r="J175" s="53"/>
    </row>
    <row r="176" spans="4:10">
      <c r="D176" s="13">
        <v>45626</v>
      </c>
      <c r="E176" s="4">
        <v>211500</v>
      </c>
      <c r="F176" s="8" t="s">
        <v>21</v>
      </c>
      <c r="G176" s="74">
        <f t="shared" si="10"/>
        <v>2024</v>
      </c>
      <c r="J176" s="53"/>
    </row>
    <row r="177" spans="4:10">
      <c r="D177" s="13">
        <v>45688</v>
      </c>
      <c r="E177" s="4">
        <v>207000</v>
      </c>
      <c r="F177" s="8" t="s">
        <v>23</v>
      </c>
      <c r="G177" s="74">
        <f t="shared" si="10"/>
        <v>2025</v>
      </c>
      <c r="J177" s="53"/>
    </row>
    <row r="178" spans="4:10">
      <c r="D178" s="13">
        <v>45716</v>
      </c>
      <c r="E178" s="4">
        <v>639000</v>
      </c>
      <c r="F178" s="8" t="s">
        <v>21</v>
      </c>
      <c r="G178" s="74">
        <f t="shared" si="10"/>
        <v>2025</v>
      </c>
      <c r="J178" s="53"/>
    </row>
    <row r="179" spans="4:10">
      <c r="D179" s="13">
        <v>45777</v>
      </c>
      <c r="E179" s="4">
        <v>346500</v>
      </c>
      <c r="F179" s="8" t="s">
        <v>21</v>
      </c>
      <c r="G179" s="74">
        <f t="shared" si="10"/>
        <v>2025</v>
      </c>
      <c r="J179" s="53"/>
    </row>
    <row r="180" spans="4:10">
      <c r="D180" s="13">
        <v>45777</v>
      </c>
      <c r="E180" s="4">
        <v>325500</v>
      </c>
      <c r="F180" s="8" t="s">
        <v>21</v>
      </c>
      <c r="G180" s="74">
        <f t="shared" si="10"/>
        <v>2025</v>
      </c>
      <c r="J180" s="53"/>
    </row>
    <row r="181" spans="4:10">
      <c r="D181" s="13">
        <v>45777</v>
      </c>
      <c r="E181" s="4">
        <v>46500</v>
      </c>
      <c r="F181" s="8" t="s">
        <v>22</v>
      </c>
      <c r="G181" s="74">
        <f t="shared" si="10"/>
        <v>2025</v>
      </c>
      <c r="J181" s="53"/>
    </row>
    <row r="182" spans="4:10">
      <c r="D182" s="13">
        <v>45808</v>
      </c>
      <c r="E182" s="4">
        <v>477000</v>
      </c>
      <c r="F182" s="8" t="s">
        <v>21</v>
      </c>
      <c r="G182" s="74">
        <f t="shared" si="10"/>
        <v>2025</v>
      </c>
      <c r="J182" s="53"/>
    </row>
    <row r="183" spans="4:10">
      <c r="D183" s="13">
        <v>45869</v>
      </c>
      <c r="E183" s="4">
        <v>639000</v>
      </c>
      <c r="F183" s="8" t="s">
        <v>22</v>
      </c>
      <c r="G183" s="74">
        <f t="shared" si="10"/>
        <v>2025</v>
      </c>
      <c r="J183" s="53"/>
    </row>
    <row r="184" spans="4:10">
      <c r="D184" s="13">
        <v>45900</v>
      </c>
      <c r="E184" s="4">
        <v>34500</v>
      </c>
      <c r="F184" s="8" t="s">
        <v>23</v>
      </c>
      <c r="G184" s="74">
        <f t="shared" si="10"/>
        <v>2025</v>
      </c>
      <c r="J184" s="53"/>
    </row>
    <row r="185" spans="4:10">
      <c r="D185" s="13">
        <v>45930</v>
      </c>
      <c r="E185" s="4">
        <v>718500</v>
      </c>
      <c r="F185" s="8" t="s">
        <v>21</v>
      </c>
      <c r="G185" s="74">
        <f t="shared" si="10"/>
        <v>2025</v>
      </c>
      <c r="J185" s="53"/>
    </row>
    <row r="186" spans="4:10">
      <c r="D186" s="13">
        <v>45961</v>
      </c>
      <c r="E186" s="4">
        <v>220500</v>
      </c>
      <c r="F186" s="8" t="s">
        <v>22</v>
      </c>
      <c r="G186" s="74">
        <f t="shared" si="10"/>
        <v>2025</v>
      </c>
      <c r="J186" s="53"/>
    </row>
    <row r="187" spans="4:10">
      <c r="D187" s="13">
        <v>46022</v>
      </c>
      <c r="E187" s="4">
        <v>325500</v>
      </c>
      <c r="F187" s="8" t="s">
        <v>23</v>
      </c>
      <c r="G187" s="74">
        <f t="shared" si="10"/>
        <v>2025</v>
      </c>
      <c r="J187" s="53"/>
    </row>
    <row r="188" spans="4:10">
      <c r="D188" s="13">
        <v>46022</v>
      </c>
      <c r="E188" s="4">
        <v>28500</v>
      </c>
      <c r="F188" s="8" t="s">
        <v>21</v>
      </c>
      <c r="G188" s="74">
        <f t="shared" si="10"/>
        <v>2025</v>
      </c>
      <c r="J188" s="53"/>
    </row>
    <row r="189" spans="4:10">
      <c r="D189" s="13">
        <v>46053</v>
      </c>
      <c r="E189" s="4">
        <v>555000</v>
      </c>
      <c r="F189" s="8" t="s">
        <v>23</v>
      </c>
      <c r="G189" s="74">
        <f t="shared" si="10"/>
        <v>2026</v>
      </c>
      <c r="J189" s="53"/>
    </row>
    <row r="190" spans="4:10">
      <c r="D190" s="13">
        <v>46053</v>
      </c>
      <c r="E190" s="4">
        <v>18000</v>
      </c>
      <c r="F190" s="8" t="s">
        <v>23</v>
      </c>
      <c r="G190" s="74">
        <f t="shared" si="10"/>
        <v>2026</v>
      </c>
      <c r="J190" s="53"/>
    </row>
    <row r="191" spans="4:10">
      <c r="D191" s="13">
        <v>46053</v>
      </c>
      <c r="E191" s="4">
        <v>205500</v>
      </c>
      <c r="F191" s="8" t="s">
        <v>21</v>
      </c>
      <c r="G191" s="74">
        <f t="shared" si="10"/>
        <v>2026</v>
      </c>
      <c r="J191" s="53"/>
    </row>
    <row r="192" spans="4:10">
      <c r="D192" s="13">
        <v>46112</v>
      </c>
      <c r="E192" s="4">
        <v>517500</v>
      </c>
      <c r="F192" s="8" t="s">
        <v>23</v>
      </c>
      <c r="G192" s="74">
        <f t="shared" si="10"/>
        <v>2026</v>
      </c>
      <c r="J192" s="53"/>
    </row>
    <row r="193" spans="4:10">
      <c r="D193" s="13">
        <v>46142</v>
      </c>
      <c r="E193" s="4">
        <v>508500</v>
      </c>
      <c r="F193" s="8" t="s">
        <v>21</v>
      </c>
      <c r="G193" s="74">
        <f t="shared" si="10"/>
        <v>2026</v>
      </c>
      <c r="J193" s="53"/>
    </row>
    <row r="194" spans="4:10">
      <c r="D194" s="13">
        <v>46142</v>
      </c>
      <c r="E194" s="4">
        <v>132000</v>
      </c>
      <c r="F194" s="8" t="s">
        <v>21</v>
      </c>
      <c r="G194" s="74">
        <f t="shared" si="10"/>
        <v>2026</v>
      </c>
      <c r="J194" s="53"/>
    </row>
    <row r="195" spans="4:10">
      <c r="D195" s="13">
        <v>46173</v>
      </c>
      <c r="E195" s="4">
        <v>247500</v>
      </c>
      <c r="F195" s="8" t="s">
        <v>21</v>
      </c>
      <c r="G195" s="74">
        <f t="shared" si="10"/>
        <v>2026</v>
      </c>
      <c r="J195" s="53"/>
    </row>
    <row r="196" spans="4:10">
      <c r="D196" s="13">
        <v>46173</v>
      </c>
      <c r="E196" s="4">
        <v>288000</v>
      </c>
      <c r="F196" s="8" t="s">
        <v>22</v>
      </c>
      <c r="G196" s="74">
        <f t="shared" si="10"/>
        <v>2026</v>
      </c>
      <c r="J196" s="53"/>
    </row>
    <row r="197" spans="4:10">
      <c r="D197" s="13">
        <v>46234</v>
      </c>
      <c r="E197" s="4">
        <v>592500</v>
      </c>
      <c r="F197" s="8" t="s">
        <v>23</v>
      </c>
      <c r="G197" s="74">
        <f t="shared" si="10"/>
        <v>2026</v>
      </c>
      <c r="J197" s="53"/>
    </row>
    <row r="198" spans="4:10">
      <c r="D198" s="13">
        <v>46234</v>
      </c>
      <c r="E198" s="4">
        <v>180000</v>
      </c>
      <c r="F198" s="8" t="s">
        <v>21</v>
      </c>
      <c r="G198" s="74">
        <f t="shared" si="10"/>
        <v>2026</v>
      </c>
      <c r="J198" s="53"/>
    </row>
    <row r="199" spans="4:10">
      <c r="D199" s="13">
        <v>46265</v>
      </c>
      <c r="E199" s="4">
        <v>78000</v>
      </c>
      <c r="F199" s="8" t="s">
        <v>22</v>
      </c>
      <c r="G199" s="74">
        <f t="shared" si="10"/>
        <v>2026</v>
      </c>
      <c r="J199" s="53"/>
    </row>
    <row r="200" spans="4:10">
      <c r="D200" s="13">
        <v>46326</v>
      </c>
      <c r="E200" s="4">
        <v>538500</v>
      </c>
      <c r="F200" s="8" t="s">
        <v>22</v>
      </c>
      <c r="G200" s="74">
        <f t="shared" si="10"/>
        <v>2026</v>
      </c>
      <c r="J200" s="53"/>
    </row>
    <row r="201" spans="4:10">
      <c r="D201" s="13">
        <v>46387</v>
      </c>
      <c r="E201" s="4">
        <v>726000</v>
      </c>
      <c r="F201" s="8" t="s">
        <v>23</v>
      </c>
      <c r="G201" s="74">
        <f t="shared" si="10"/>
        <v>2026</v>
      </c>
      <c r="J201" s="53"/>
    </row>
    <row r="202" spans="4:10">
      <c r="D202" s="13">
        <v>46418</v>
      </c>
      <c r="E202" s="4">
        <v>252000</v>
      </c>
      <c r="F202" s="8" t="s">
        <v>22</v>
      </c>
      <c r="G202" s="74">
        <f t="shared" ref="G202:G265" si="11">YEAR(D202)</f>
        <v>2027</v>
      </c>
      <c r="J202" s="53"/>
    </row>
    <row r="203" spans="4:10">
      <c r="D203" s="13">
        <v>46446</v>
      </c>
      <c r="E203" s="4">
        <v>99000</v>
      </c>
      <c r="F203" s="8" t="s">
        <v>22</v>
      </c>
      <c r="G203" s="74">
        <f t="shared" si="11"/>
        <v>2027</v>
      </c>
      <c r="J203" s="53"/>
    </row>
    <row r="204" spans="4:10">
      <c r="D204" s="13">
        <v>46538</v>
      </c>
      <c r="E204" s="4">
        <v>468000</v>
      </c>
      <c r="F204" s="8" t="s">
        <v>23</v>
      </c>
      <c r="G204" s="74">
        <f t="shared" si="11"/>
        <v>2027</v>
      </c>
      <c r="J204" s="53"/>
    </row>
    <row r="205" spans="4:10">
      <c r="D205" s="13">
        <v>46538</v>
      </c>
      <c r="E205" s="4">
        <v>624000</v>
      </c>
      <c r="F205" s="8" t="s">
        <v>22</v>
      </c>
      <c r="G205" s="74">
        <f t="shared" si="11"/>
        <v>2027</v>
      </c>
      <c r="J205" s="53"/>
    </row>
    <row r="206" spans="4:10">
      <c r="D206" s="13">
        <v>46538</v>
      </c>
      <c r="E206" s="4">
        <v>628500</v>
      </c>
      <c r="F206" s="8" t="s">
        <v>22</v>
      </c>
      <c r="G206" s="74">
        <f t="shared" si="11"/>
        <v>2027</v>
      </c>
      <c r="J206" s="53"/>
    </row>
    <row r="207" spans="4:10">
      <c r="D207" s="13">
        <v>46538</v>
      </c>
      <c r="E207" s="4">
        <v>285000</v>
      </c>
      <c r="F207" s="8" t="s">
        <v>23</v>
      </c>
      <c r="G207" s="74">
        <f t="shared" si="11"/>
        <v>2027</v>
      </c>
      <c r="J207" s="53"/>
    </row>
    <row r="208" spans="4:10">
      <c r="D208" s="13">
        <v>46538</v>
      </c>
      <c r="E208" s="4">
        <v>391500</v>
      </c>
      <c r="F208" s="8" t="s">
        <v>23</v>
      </c>
      <c r="G208" s="74">
        <f t="shared" si="11"/>
        <v>2027</v>
      </c>
      <c r="J208" s="53"/>
    </row>
    <row r="209" spans="4:10">
      <c r="D209" s="13">
        <v>46568</v>
      </c>
      <c r="E209" s="4">
        <v>412500</v>
      </c>
      <c r="F209" s="8" t="s">
        <v>23</v>
      </c>
      <c r="G209" s="74">
        <f t="shared" si="11"/>
        <v>2027</v>
      </c>
      <c r="J209" s="53"/>
    </row>
    <row r="210" spans="4:10">
      <c r="D210" s="13">
        <v>46568</v>
      </c>
      <c r="E210" s="4">
        <v>529500</v>
      </c>
      <c r="F210" s="8" t="s">
        <v>22</v>
      </c>
      <c r="G210" s="74">
        <f t="shared" si="11"/>
        <v>2027</v>
      </c>
      <c r="J210" s="53"/>
    </row>
    <row r="211" spans="4:10">
      <c r="D211" s="13">
        <v>46599</v>
      </c>
      <c r="E211" s="4">
        <v>286500</v>
      </c>
      <c r="F211" s="8" t="s">
        <v>23</v>
      </c>
      <c r="G211" s="74">
        <f t="shared" si="11"/>
        <v>2027</v>
      </c>
      <c r="J211" s="53"/>
    </row>
    <row r="212" spans="4:10">
      <c r="D212" s="13">
        <v>46599</v>
      </c>
      <c r="E212" s="4">
        <v>631500</v>
      </c>
      <c r="F212" s="8" t="s">
        <v>21</v>
      </c>
      <c r="G212" s="74">
        <f t="shared" si="11"/>
        <v>2027</v>
      </c>
      <c r="J212" s="53"/>
    </row>
    <row r="213" spans="4:10">
      <c r="D213" s="13">
        <v>46660</v>
      </c>
      <c r="E213" s="4">
        <v>315000</v>
      </c>
      <c r="F213" s="8" t="s">
        <v>21</v>
      </c>
      <c r="G213" s="74">
        <f t="shared" si="11"/>
        <v>2027</v>
      </c>
      <c r="J213" s="53"/>
    </row>
    <row r="214" spans="4:10">
      <c r="D214" s="13">
        <v>46691</v>
      </c>
      <c r="E214" s="4">
        <v>267000</v>
      </c>
      <c r="F214" s="8" t="s">
        <v>22</v>
      </c>
      <c r="G214" s="74">
        <f t="shared" si="11"/>
        <v>2027</v>
      </c>
      <c r="J214" s="53"/>
    </row>
    <row r="215" spans="4:10">
      <c r="D215" s="13">
        <v>46691</v>
      </c>
      <c r="E215" s="4">
        <v>280500</v>
      </c>
      <c r="F215" s="8" t="s">
        <v>22</v>
      </c>
      <c r="G215" s="74">
        <f t="shared" si="11"/>
        <v>2027</v>
      </c>
      <c r="J215" s="53"/>
    </row>
    <row r="216" spans="4:10">
      <c r="D216" s="13">
        <v>46691</v>
      </c>
      <c r="E216" s="4">
        <v>144000</v>
      </c>
      <c r="F216" s="8" t="s">
        <v>21</v>
      </c>
      <c r="G216" s="74">
        <f t="shared" si="11"/>
        <v>2027</v>
      </c>
      <c r="J216" s="53"/>
    </row>
    <row r="217" spans="4:10">
      <c r="D217" s="13">
        <v>46721</v>
      </c>
      <c r="E217" s="4">
        <v>675000</v>
      </c>
      <c r="F217" s="8" t="s">
        <v>23</v>
      </c>
      <c r="G217" s="74">
        <f t="shared" si="11"/>
        <v>2027</v>
      </c>
      <c r="J217" s="53"/>
    </row>
    <row r="218" spans="4:10">
      <c r="D218" s="13">
        <v>46752</v>
      </c>
      <c r="E218" s="4">
        <v>651000</v>
      </c>
      <c r="F218" s="8" t="s">
        <v>21</v>
      </c>
      <c r="G218" s="74">
        <f t="shared" si="11"/>
        <v>2027</v>
      </c>
      <c r="J218" s="53"/>
    </row>
    <row r="219" spans="4:10">
      <c r="D219" s="13">
        <v>46783</v>
      </c>
      <c r="E219" s="4">
        <v>94500</v>
      </c>
      <c r="F219" s="8" t="s">
        <v>23</v>
      </c>
      <c r="G219" s="74">
        <f t="shared" si="11"/>
        <v>2028</v>
      </c>
      <c r="J219" s="53"/>
    </row>
    <row r="220" spans="4:10">
      <c r="D220" s="13">
        <v>46812</v>
      </c>
      <c r="E220" s="4">
        <v>75000</v>
      </c>
      <c r="F220" s="8" t="s">
        <v>23</v>
      </c>
      <c r="G220" s="74">
        <f t="shared" si="11"/>
        <v>2028</v>
      </c>
      <c r="J220" s="53"/>
    </row>
    <row r="221" spans="4:10">
      <c r="D221" s="13">
        <v>46873</v>
      </c>
      <c r="E221" s="4">
        <v>36000</v>
      </c>
      <c r="F221" s="8" t="s">
        <v>21</v>
      </c>
      <c r="G221" s="74">
        <f t="shared" si="11"/>
        <v>2028</v>
      </c>
      <c r="J221" s="53"/>
    </row>
    <row r="222" spans="4:10">
      <c r="D222" s="13">
        <v>46904</v>
      </c>
      <c r="E222" s="4">
        <v>130500</v>
      </c>
      <c r="F222" s="8" t="s">
        <v>22</v>
      </c>
      <c r="G222" s="74">
        <f t="shared" si="11"/>
        <v>2028</v>
      </c>
      <c r="J222" s="53"/>
    </row>
    <row r="223" spans="4:10">
      <c r="D223" s="13">
        <v>46904</v>
      </c>
      <c r="E223" s="4">
        <v>72000</v>
      </c>
      <c r="F223" s="8" t="s">
        <v>22</v>
      </c>
      <c r="G223" s="74">
        <f t="shared" si="11"/>
        <v>2028</v>
      </c>
      <c r="J223" s="53"/>
    </row>
    <row r="224" spans="4:10">
      <c r="D224" s="13">
        <v>46934</v>
      </c>
      <c r="E224" s="4">
        <v>597000</v>
      </c>
      <c r="F224" s="8" t="s">
        <v>23</v>
      </c>
      <c r="G224" s="74">
        <f t="shared" si="11"/>
        <v>2028</v>
      </c>
      <c r="J224" s="53"/>
    </row>
    <row r="225" spans="4:10">
      <c r="D225" s="13">
        <v>46996</v>
      </c>
      <c r="E225" s="4">
        <v>492000</v>
      </c>
      <c r="F225" s="8" t="s">
        <v>21</v>
      </c>
      <c r="G225" s="74">
        <f t="shared" si="11"/>
        <v>2028</v>
      </c>
      <c r="J225" s="53"/>
    </row>
    <row r="226" spans="4:10">
      <c r="D226" s="13">
        <v>47026</v>
      </c>
      <c r="E226" s="4">
        <v>711000</v>
      </c>
      <c r="F226" s="8" t="s">
        <v>23</v>
      </c>
      <c r="G226" s="74">
        <f t="shared" si="11"/>
        <v>2028</v>
      </c>
      <c r="J226" s="53"/>
    </row>
    <row r="227" spans="4:10">
      <c r="D227" s="13">
        <v>47026</v>
      </c>
      <c r="E227" s="4">
        <v>615000</v>
      </c>
      <c r="F227" s="8" t="s">
        <v>23</v>
      </c>
      <c r="G227" s="74">
        <f t="shared" si="11"/>
        <v>2028</v>
      </c>
      <c r="J227" s="53"/>
    </row>
    <row r="228" spans="4:10">
      <c r="D228" s="13">
        <v>47118</v>
      </c>
      <c r="E228" s="4">
        <v>691500</v>
      </c>
      <c r="F228" s="8" t="s">
        <v>21</v>
      </c>
      <c r="G228" s="74">
        <f t="shared" si="11"/>
        <v>2028</v>
      </c>
      <c r="J228" s="53"/>
    </row>
    <row r="229" spans="4:10">
      <c r="D229" s="13">
        <v>47208</v>
      </c>
      <c r="E229" s="4">
        <v>94500</v>
      </c>
      <c r="F229" s="8" t="s">
        <v>21</v>
      </c>
      <c r="G229" s="74">
        <f t="shared" si="11"/>
        <v>2029</v>
      </c>
      <c r="J229" s="53"/>
    </row>
    <row r="230" spans="4:10">
      <c r="D230" s="13">
        <v>47299</v>
      </c>
      <c r="E230" s="4">
        <v>538500</v>
      </c>
      <c r="F230" s="8" t="s">
        <v>22</v>
      </c>
      <c r="G230" s="74">
        <f t="shared" si="11"/>
        <v>2029</v>
      </c>
      <c r="J230" s="53"/>
    </row>
    <row r="231" spans="4:10">
      <c r="D231" s="13">
        <v>47299</v>
      </c>
      <c r="E231" s="4">
        <v>507000</v>
      </c>
      <c r="F231" s="8" t="s">
        <v>22</v>
      </c>
      <c r="G231" s="74">
        <f t="shared" si="11"/>
        <v>2029</v>
      </c>
      <c r="J231" s="53"/>
    </row>
    <row r="232" spans="4:10">
      <c r="D232" s="13">
        <v>47391</v>
      </c>
      <c r="E232" s="4">
        <v>127500</v>
      </c>
      <c r="F232" s="8" t="s">
        <v>23</v>
      </c>
      <c r="G232" s="74">
        <f t="shared" si="11"/>
        <v>2029</v>
      </c>
      <c r="J232" s="53"/>
    </row>
    <row r="233" spans="4:10">
      <c r="D233" s="13">
        <v>47391</v>
      </c>
      <c r="E233" s="4">
        <v>390000</v>
      </c>
      <c r="F233" s="8" t="s">
        <v>22</v>
      </c>
      <c r="G233" s="74">
        <f t="shared" si="11"/>
        <v>2029</v>
      </c>
      <c r="J233" s="53"/>
    </row>
    <row r="234" spans="4:10">
      <c r="D234" s="13">
        <v>47391</v>
      </c>
      <c r="E234" s="4">
        <v>175500</v>
      </c>
      <c r="F234" s="8" t="s">
        <v>22</v>
      </c>
      <c r="G234" s="74">
        <f t="shared" si="11"/>
        <v>2029</v>
      </c>
      <c r="J234" s="53"/>
    </row>
    <row r="235" spans="4:10">
      <c r="D235" s="13">
        <v>47422</v>
      </c>
      <c r="E235" s="4">
        <v>195000</v>
      </c>
      <c r="F235" s="8" t="s">
        <v>21</v>
      </c>
      <c r="G235" s="74">
        <f t="shared" si="11"/>
        <v>2029</v>
      </c>
      <c r="J235" s="53"/>
    </row>
    <row r="236" spans="4:10">
      <c r="D236" s="13">
        <v>47573</v>
      </c>
      <c r="E236" s="4">
        <v>352500</v>
      </c>
      <c r="F236" s="8" t="s">
        <v>22</v>
      </c>
      <c r="G236" s="74">
        <f t="shared" si="11"/>
        <v>2030</v>
      </c>
      <c r="J236" s="53"/>
    </row>
    <row r="237" spans="4:10">
      <c r="D237" s="13">
        <v>47664</v>
      </c>
      <c r="E237" s="4">
        <v>589500</v>
      </c>
      <c r="F237" s="8" t="s">
        <v>22</v>
      </c>
      <c r="G237" s="74">
        <f t="shared" si="11"/>
        <v>2030</v>
      </c>
      <c r="J237" s="53"/>
    </row>
    <row r="238" spans="4:10">
      <c r="D238" s="13">
        <v>47664</v>
      </c>
      <c r="E238" s="4">
        <v>445500</v>
      </c>
      <c r="F238" s="8" t="s">
        <v>21</v>
      </c>
      <c r="G238" s="74">
        <f t="shared" si="11"/>
        <v>2030</v>
      </c>
      <c r="J238" s="53"/>
    </row>
    <row r="239" spans="4:10">
      <c r="D239" s="13">
        <v>47695</v>
      </c>
      <c r="E239" s="4">
        <v>238500</v>
      </c>
      <c r="F239" s="8" t="s">
        <v>21</v>
      </c>
      <c r="G239" s="74">
        <f t="shared" si="11"/>
        <v>2030</v>
      </c>
      <c r="J239" s="53"/>
    </row>
    <row r="240" spans="4:10">
      <c r="D240" s="13">
        <v>47756</v>
      </c>
      <c r="E240" s="4">
        <v>190500</v>
      </c>
      <c r="F240" s="8" t="s">
        <v>22</v>
      </c>
      <c r="G240" s="74">
        <f t="shared" si="11"/>
        <v>2030</v>
      </c>
      <c r="J240" s="53"/>
    </row>
    <row r="241" spans="4:10">
      <c r="D241" s="13">
        <v>47787</v>
      </c>
      <c r="E241" s="4">
        <v>675000</v>
      </c>
      <c r="F241" s="8" t="s">
        <v>22</v>
      </c>
      <c r="G241" s="74">
        <f t="shared" si="11"/>
        <v>2030</v>
      </c>
      <c r="J241" s="53"/>
    </row>
    <row r="242" spans="4:10">
      <c r="D242" s="13">
        <v>47848</v>
      </c>
      <c r="E242" s="4">
        <v>285000</v>
      </c>
      <c r="F242" s="8" t="s">
        <v>21</v>
      </c>
      <c r="G242" s="74">
        <f t="shared" si="11"/>
        <v>2030</v>
      </c>
      <c r="J242" s="53"/>
    </row>
    <row r="243" spans="4:10">
      <c r="D243" s="13">
        <v>47848</v>
      </c>
      <c r="E243" s="4">
        <v>165000</v>
      </c>
      <c r="F243" s="8" t="s">
        <v>22</v>
      </c>
      <c r="G243" s="74">
        <f t="shared" si="11"/>
        <v>2030</v>
      </c>
      <c r="J243" s="53"/>
    </row>
    <row r="244" spans="4:10">
      <c r="D244" s="13">
        <v>47848</v>
      </c>
      <c r="E244" s="4">
        <v>141000</v>
      </c>
      <c r="F244" s="8" t="s">
        <v>21</v>
      </c>
      <c r="G244" s="74">
        <f t="shared" si="11"/>
        <v>2030</v>
      </c>
      <c r="J244" s="53"/>
    </row>
    <row r="245" spans="4:10">
      <c r="D245" s="13">
        <v>47879</v>
      </c>
      <c r="E245" s="4">
        <v>456000</v>
      </c>
      <c r="F245" s="8" t="s">
        <v>22</v>
      </c>
      <c r="G245" s="74">
        <f t="shared" si="11"/>
        <v>2031</v>
      </c>
      <c r="J245" s="53"/>
    </row>
    <row r="246" spans="4:10">
      <c r="D246" s="13">
        <v>47879</v>
      </c>
      <c r="E246" s="4">
        <v>435000</v>
      </c>
      <c r="F246" s="8" t="s">
        <v>23</v>
      </c>
      <c r="G246" s="74">
        <f t="shared" si="11"/>
        <v>2031</v>
      </c>
      <c r="J246" s="53"/>
    </row>
    <row r="247" spans="4:10">
      <c r="D247" s="13">
        <v>47907</v>
      </c>
      <c r="E247" s="4">
        <v>142500</v>
      </c>
      <c r="F247" s="8" t="s">
        <v>21</v>
      </c>
      <c r="G247" s="74">
        <f t="shared" si="11"/>
        <v>2031</v>
      </c>
      <c r="J247" s="53"/>
    </row>
    <row r="248" spans="4:10">
      <c r="D248" s="13">
        <v>47907</v>
      </c>
      <c r="E248" s="4">
        <v>315000</v>
      </c>
      <c r="F248" s="8" t="s">
        <v>23</v>
      </c>
      <c r="G248" s="74">
        <f t="shared" si="11"/>
        <v>2031</v>
      </c>
      <c r="J248" s="53"/>
    </row>
    <row r="249" spans="4:10">
      <c r="D249" s="13">
        <v>47999</v>
      </c>
      <c r="E249" s="4">
        <v>330000</v>
      </c>
      <c r="F249" s="8" t="s">
        <v>22</v>
      </c>
      <c r="G249" s="74">
        <f t="shared" si="11"/>
        <v>2031</v>
      </c>
      <c r="J249" s="53"/>
    </row>
    <row r="250" spans="4:10">
      <c r="D250" s="13">
        <v>48029</v>
      </c>
      <c r="E250" s="4">
        <v>106500</v>
      </c>
      <c r="F250" s="8" t="s">
        <v>23</v>
      </c>
      <c r="G250" s="74">
        <f t="shared" si="11"/>
        <v>2031</v>
      </c>
      <c r="J250" s="53"/>
    </row>
    <row r="251" spans="4:10">
      <c r="D251" s="13">
        <v>48060</v>
      </c>
      <c r="E251" s="4">
        <v>442500</v>
      </c>
      <c r="F251" s="8" t="s">
        <v>22</v>
      </c>
      <c r="G251" s="74">
        <f t="shared" si="11"/>
        <v>2031</v>
      </c>
      <c r="J251" s="53"/>
    </row>
    <row r="252" spans="4:10">
      <c r="D252" s="13">
        <v>48121</v>
      </c>
      <c r="E252" s="4">
        <v>742500</v>
      </c>
      <c r="F252" s="8" t="s">
        <v>21</v>
      </c>
      <c r="G252" s="74">
        <f t="shared" si="11"/>
        <v>2031</v>
      </c>
      <c r="J252" s="53"/>
    </row>
    <row r="253" spans="4:10">
      <c r="D253" s="13">
        <v>48121</v>
      </c>
      <c r="E253" s="4">
        <v>307500</v>
      </c>
      <c r="F253" s="8" t="s">
        <v>22</v>
      </c>
      <c r="G253" s="74">
        <f t="shared" si="11"/>
        <v>2031</v>
      </c>
      <c r="J253" s="53"/>
    </row>
    <row r="254" spans="4:10">
      <c r="D254" s="13">
        <v>48152</v>
      </c>
      <c r="E254" s="4">
        <v>498000</v>
      </c>
      <c r="F254" s="8" t="s">
        <v>21</v>
      </c>
      <c r="G254" s="74">
        <f t="shared" si="11"/>
        <v>2031</v>
      </c>
      <c r="J254" s="53"/>
    </row>
    <row r="255" spans="4:10">
      <c r="D255" s="13">
        <v>48182</v>
      </c>
      <c r="E255" s="4">
        <v>456000</v>
      </c>
      <c r="F255" s="8" t="s">
        <v>21</v>
      </c>
      <c r="G255" s="74">
        <f t="shared" si="11"/>
        <v>2031</v>
      </c>
      <c r="J255" s="53"/>
    </row>
    <row r="256" spans="4:10">
      <c r="D256" s="13">
        <v>48182</v>
      </c>
      <c r="E256" s="4">
        <v>210000</v>
      </c>
      <c r="F256" s="8" t="s">
        <v>22</v>
      </c>
      <c r="G256" s="74">
        <f t="shared" si="11"/>
        <v>2031</v>
      </c>
      <c r="J256" s="53"/>
    </row>
    <row r="257" spans="4:10">
      <c r="D257" s="13">
        <v>48182</v>
      </c>
      <c r="E257" s="4">
        <v>505500</v>
      </c>
      <c r="F257" s="8" t="s">
        <v>21</v>
      </c>
      <c r="G257" s="74">
        <f t="shared" si="11"/>
        <v>2031</v>
      </c>
      <c r="J257" s="53"/>
    </row>
    <row r="258" spans="4:10">
      <c r="D258" s="13">
        <v>48244</v>
      </c>
      <c r="E258" s="4">
        <v>747000</v>
      </c>
      <c r="F258" s="8" t="s">
        <v>22</v>
      </c>
      <c r="G258" s="74">
        <f t="shared" si="11"/>
        <v>2032</v>
      </c>
      <c r="J258" s="53"/>
    </row>
    <row r="259" spans="4:10">
      <c r="D259" s="13">
        <v>48244</v>
      </c>
      <c r="E259" s="4">
        <v>154500</v>
      </c>
      <c r="F259" s="8" t="s">
        <v>22</v>
      </c>
      <c r="G259" s="74">
        <f t="shared" si="11"/>
        <v>2032</v>
      </c>
      <c r="J259" s="53"/>
    </row>
    <row r="260" spans="4:10">
      <c r="D260" s="13">
        <v>48244</v>
      </c>
      <c r="E260" s="4">
        <v>603000</v>
      </c>
      <c r="F260" s="8" t="s">
        <v>23</v>
      </c>
      <c r="G260" s="74">
        <f t="shared" si="11"/>
        <v>2032</v>
      </c>
      <c r="J260" s="53"/>
    </row>
    <row r="261" spans="4:10">
      <c r="D261" s="13">
        <v>48244</v>
      </c>
      <c r="E261" s="4">
        <v>568500</v>
      </c>
      <c r="F261" s="8" t="s">
        <v>21</v>
      </c>
      <c r="G261" s="74">
        <f t="shared" si="11"/>
        <v>2032</v>
      </c>
      <c r="J261" s="53"/>
    </row>
    <row r="262" spans="4:10">
      <c r="D262" s="13">
        <v>48304</v>
      </c>
      <c r="E262" s="4">
        <v>723000</v>
      </c>
      <c r="F262" s="8" t="s">
        <v>21</v>
      </c>
      <c r="G262" s="74">
        <f t="shared" si="11"/>
        <v>2032</v>
      </c>
      <c r="J262" s="53"/>
    </row>
    <row r="263" spans="4:10">
      <c r="D263" s="13">
        <v>48304</v>
      </c>
      <c r="E263" s="4">
        <v>168000</v>
      </c>
      <c r="F263" s="8" t="s">
        <v>22</v>
      </c>
      <c r="G263" s="74">
        <f t="shared" si="11"/>
        <v>2032</v>
      </c>
      <c r="J263" s="53"/>
    </row>
    <row r="264" spans="4:10">
      <c r="D264" s="13">
        <v>48334</v>
      </c>
      <c r="E264" s="4">
        <v>399000</v>
      </c>
      <c r="F264" s="8" t="s">
        <v>22</v>
      </c>
      <c r="G264" s="74">
        <f t="shared" si="11"/>
        <v>2032</v>
      </c>
      <c r="J264" s="53"/>
    </row>
    <row r="265" spans="4:10">
      <c r="D265" s="13">
        <v>48365</v>
      </c>
      <c r="E265" s="4">
        <v>646500</v>
      </c>
      <c r="F265" s="8" t="s">
        <v>23</v>
      </c>
      <c r="G265" s="74">
        <f t="shared" si="11"/>
        <v>2032</v>
      </c>
      <c r="J265" s="53"/>
    </row>
    <row r="266" spans="4:10">
      <c r="D266" s="13">
        <v>48395</v>
      </c>
      <c r="E266" s="4">
        <v>199500</v>
      </c>
      <c r="F266" s="8" t="s">
        <v>21</v>
      </c>
      <c r="G266" s="74">
        <f t="shared" ref="G266:G329" si="12">YEAR(D266)</f>
        <v>2032</v>
      </c>
      <c r="J266" s="53"/>
    </row>
    <row r="267" spans="4:10">
      <c r="D267" s="13">
        <v>48457</v>
      </c>
      <c r="E267" s="4">
        <v>490500</v>
      </c>
      <c r="F267" s="8" t="s">
        <v>22</v>
      </c>
      <c r="G267" s="74">
        <f t="shared" si="12"/>
        <v>2032</v>
      </c>
      <c r="J267" s="53"/>
    </row>
    <row r="268" spans="4:10">
      <c r="D268" s="13">
        <v>48487</v>
      </c>
      <c r="E268" s="4">
        <v>102000</v>
      </c>
      <c r="F268" s="8" t="s">
        <v>22</v>
      </c>
      <c r="G268" s="74">
        <f t="shared" si="12"/>
        <v>2032</v>
      </c>
      <c r="J268" s="53"/>
    </row>
    <row r="269" spans="4:10">
      <c r="D269" s="13">
        <v>48518</v>
      </c>
      <c r="E269" s="4">
        <v>562500</v>
      </c>
      <c r="F269" s="8" t="s">
        <v>22</v>
      </c>
      <c r="G269" s="74">
        <f t="shared" si="12"/>
        <v>2032</v>
      </c>
      <c r="J269" s="53"/>
    </row>
    <row r="270" spans="4:10">
      <c r="D270" s="13">
        <v>48579</v>
      </c>
      <c r="E270" s="4">
        <v>373500</v>
      </c>
      <c r="F270" s="8" t="s">
        <v>22</v>
      </c>
      <c r="G270" s="74">
        <f t="shared" si="12"/>
        <v>2032</v>
      </c>
      <c r="J270" s="53"/>
    </row>
    <row r="271" spans="4:10">
      <c r="D271" s="13">
        <v>48579</v>
      </c>
      <c r="E271" s="4">
        <v>417000</v>
      </c>
      <c r="F271" s="8" t="s">
        <v>22</v>
      </c>
      <c r="G271" s="74">
        <f t="shared" si="12"/>
        <v>2032</v>
      </c>
      <c r="J271" s="53"/>
    </row>
    <row r="272" spans="4:10">
      <c r="D272" s="13">
        <v>48610</v>
      </c>
      <c r="E272" s="4">
        <v>165000</v>
      </c>
      <c r="F272" s="8" t="s">
        <v>21</v>
      </c>
      <c r="G272" s="74">
        <f t="shared" si="12"/>
        <v>2033</v>
      </c>
      <c r="J272" s="53"/>
    </row>
    <row r="273" spans="4:10">
      <c r="D273" s="13">
        <v>48638</v>
      </c>
      <c r="E273" s="4">
        <v>303000</v>
      </c>
      <c r="F273" s="8" t="s">
        <v>21</v>
      </c>
      <c r="G273" s="74">
        <f t="shared" si="12"/>
        <v>2033</v>
      </c>
      <c r="J273" s="53"/>
    </row>
    <row r="274" spans="4:10">
      <c r="D274" s="13">
        <v>48638</v>
      </c>
      <c r="E274" s="4">
        <v>238500</v>
      </c>
      <c r="F274" s="8" t="s">
        <v>21</v>
      </c>
      <c r="G274" s="74">
        <f t="shared" si="12"/>
        <v>2033</v>
      </c>
      <c r="J274" s="53"/>
    </row>
    <row r="275" spans="4:10">
      <c r="D275" s="13">
        <v>48699</v>
      </c>
      <c r="E275" s="4">
        <v>240000</v>
      </c>
      <c r="F275" s="8" t="s">
        <v>21</v>
      </c>
      <c r="G275" s="74">
        <f t="shared" si="12"/>
        <v>2033</v>
      </c>
      <c r="J275" s="53"/>
    </row>
    <row r="276" spans="4:10">
      <c r="D276" s="13">
        <v>48699</v>
      </c>
      <c r="E276" s="4">
        <v>172500</v>
      </c>
      <c r="F276" s="8" t="s">
        <v>23</v>
      </c>
      <c r="G276" s="74">
        <f t="shared" si="12"/>
        <v>2033</v>
      </c>
      <c r="J276" s="53"/>
    </row>
    <row r="277" spans="4:10">
      <c r="D277" s="13">
        <v>48791</v>
      </c>
      <c r="E277" s="4">
        <v>198000</v>
      </c>
      <c r="F277" s="8" t="s">
        <v>23</v>
      </c>
      <c r="G277" s="74">
        <f t="shared" si="12"/>
        <v>2033</v>
      </c>
      <c r="J277" s="53"/>
    </row>
    <row r="278" spans="4:10">
      <c r="D278" s="13">
        <v>48791</v>
      </c>
      <c r="E278" s="4">
        <v>580500</v>
      </c>
      <c r="F278" s="8" t="s">
        <v>22</v>
      </c>
      <c r="G278" s="74">
        <f t="shared" si="12"/>
        <v>2033</v>
      </c>
      <c r="J278" s="53"/>
    </row>
    <row r="279" spans="4:10">
      <c r="D279" s="13">
        <v>48791</v>
      </c>
      <c r="E279" s="4">
        <v>724500</v>
      </c>
      <c r="F279" s="8" t="s">
        <v>21</v>
      </c>
      <c r="G279" s="74">
        <f t="shared" si="12"/>
        <v>2033</v>
      </c>
      <c r="J279" s="53"/>
    </row>
    <row r="280" spans="4:10">
      <c r="D280" s="13">
        <v>48852</v>
      </c>
      <c r="E280" s="4">
        <v>220500</v>
      </c>
      <c r="F280" s="8" t="s">
        <v>21</v>
      </c>
      <c r="G280" s="74">
        <f t="shared" si="12"/>
        <v>2033</v>
      </c>
      <c r="J280" s="53"/>
    </row>
    <row r="281" spans="4:10">
      <c r="D281" s="13">
        <v>48852</v>
      </c>
      <c r="E281" s="4">
        <v>616500</v>
      </c>
      <c r="F281" s="8" t="s">
        <v>23</v>
      </c>
      <c r="G281" s="74">
        <f t="shared" si="12"/>
        <v>2033</v>
      </c>
      <c r="J281" s="53"/>
    </row>
    <row r="282" spans="4:10">
      <c r="D282" s="13">
        <v>48883</v>
      </c>
      <c r="E282" s="4">
        <v>459000</v>
      </c>
      <c r="F282" s="8" t="s">
        <v>23</v>
      </c>
      <c r="G282" s="74">
        <f t="shared" si="12"/>
        <v>2033</v>
      </c>
      <c r="J282" s="53"/>
    </row>
    <row r="283" spans="4:10">
      <c r="D283" s="13">
        <v>48883</v>
      </c>
      <c r="E283" s="4">
        <v>31500</v>
      </c>
      <c r="F283" s="8" t="s">
        <v>21</v>
      </c>
      <c r="G283" s="74">
        <f t="shared" si="12"/>
        <v>2033</v>
      </c>
      <c r="J283" s="53"/>
    </row>
    <row r="284" spans="4:10">
      <c r="D284" s="13">
        <v>48913</v>
      </c>
      <c r="E284" s="4">
        <v>247500</v>
      </c>
      <c r="F284" s="8" t="s">
        <v>21</v>
      </c>
      <c r="G284" s="74">
        <f t="shared" si="12"/>
        <v>2033</v>
      </c>
      <c r="J284" s="53"/>
    </row>
    <row r="285" spans="4:10">
      <c r="D285" s="13">
        <v>48975</v>
      </c>
      <c r="E285" s="4">
        <v>738000</v>
      </c>
      <c r="F285" s="8" t="s">
        <v>22</v>
      </c>
      <c r="G285" s="74">
        <f t="shared" si="12"/>
        <v>2034</v>
      </c>
      <c r="J285" s="53"/>
    </row>
    <row r="286" spans="4:10">
      <c r="D286" s="13">
        <v>48975</v>
      </c>
      <c r="E286" s="4">
        <v>424500</v>
      </c>
      <c r="F286" s="8" t="s">
        <v>21</v>
      </c>
      <c r="G286" s="74">
        <f t="shared" si="12"/>
        <v>2034</v>
      </c>
      <c r="J286" s="53"/>
    </row>
    <row r="287" spans="4:10">
      <c r="D287" s="13">
        <v>49156</v>
      </c>
      <c r="E287" s="4">
        <v>303000</v>
      </c>
      <c r="F287" s="8" t="s">
        <v>23</v>
      </c>
      <c r="G287" s="74">
        <f t="shared" si="12"/>
        <v>2034</v>
      </c>
      <c r="J287" s="53"/>
    </row>
    <row r="288" spans="4:10">
      <c r="D288" s="13">
        <v>49187</v>
      </c>
      <c r="E288" s="4">
        <v>586500</v>
      </c>
      <c r="F288" s="8" t="s">
        <v>22</v>
      </c>
      <c r="G288" s="74">
        <f t="shared" si="12"/>
        <v>2034</v>
      </c>
      <c r="J288" s="53"/>
    </row>
    <row r="289" spans="4:10">
      <c r="D289" s="13">
        <v>49248</v>
      </c>
      <c r="E289" s="4">
        <v>84000</v>
      </c>
      <c r="F289" s="8" t="s">
        <v>22</v>
      </c>
      <c r="G289" s="74">
        <f t="shared" si="12"/>
        <v>2034</v>
      </c>
      <c r="J289" s="53"/>
    </row>
    <row r="290" spans="4:10">
      <c r="D290" s="13">
        <v>49278</v>
      </c>
      <c r="E290" s="4">
        <v>282000</v>
      </c>
      <c r="F290" s="8" t="s">
        <v>23</v>
      </c>
      <c r="G290" s="74">
        <f t="shared" si="12"/>
        <v>2034</v>
      </c>
      <c r="J290" s="53"/>
    </row>
    <row r="291" spans="4:10">
      <c r="D291" s="13">
        <v>49278</v>
      </c>
      <c r="E291" s="4">
        <v>661500</v>
      </c>
      <c r="F291" s="8" t="s">
        <v>21</v>
      </c>
      <c r="G291" s="74">
        <f t="shared" si="12"/>
        <v>2034</v>
      </c>
      <c r="J291" s="53"/>
    </row>
    <row r="292" spans="4:10">
      <c r="D292" s="13">
        <v>49368</v>
      </c>
      <c r="E292" s="4">
        <v>445500</v>
      </c>
      <c r="F292" s="8" t="s">
        <v>23</v>
      </c>
      <c r="G292" s="74">
        <f t="shared" si="12"/>
        <v>2035</v>
      </c>
      <c r="J292" s="53"/>
    </row>
    <row r="293" spans="4:10">
      <c r="D293" s="13">
        <v>49368</v>
      </c>
      <c r="E293" s="4">
        <v>142500</v>
      </c>
      <c r="F293" s="8" t="s">
        <v>22</v>
      </c>
      <c r="G293" s="74">
        <f t="shared" si="12"/>
        <v>2035</v>
      </c>
      <c r="J293" s="53"/>
    </row>
    <row r="294" spans="4:10">
      <c r="D294" s="13">
        <v>49368</v>
      </c>
      <c r="E294" s="4">
        <v>43500</v>
      </c>
      <c r="F294" s="8" t="s">
        <v>21</v>
      </c>
      <c r="G294" s="74">
        <f t="shared" si="12"/>
        <v>2035</v>
      </c>
      <c r="J294" s="53"/>
    </row>
    <row r="295" spans="4:10">
      <c r="D295" s="13">
        <v>49399</v>
      </c>
      <c r="E295" s="4">
        <v>607500</v>
      </c>
      <c r="F295" s="8" t="s">
        <v>23</v>
      </c>
      <c r="G295" s="74">
        <f t="shared" si="12"/>
        <v>2035</v>
      </c>
      <c r="J295" s="53"/>
    </row>
    <row r="296" spans="4:10">
      <c r="D296" s="13">
        <v>49429</v>
      </c>
      <c r="E296" s="4">
        <v>238500</v>
      </c>
      <c r="F296" s="8" t="s">
        <v>23</v>
      </c>
      <c r="G296" s="74">
        <f t="shared" si="12"/>
        <v>2035</v>
      </c>
      <c r="J296" s="53"/>
    </row>
    <row r="297" spans="4:10">
      <c r="D297" s="13">
        <v>49460</v>
      </c>
      <c r="E297" s="4">
        <v>423000</v>
      </c>
      <c r="F297" s="8" t="s">
        <v>22</v>
      </c>
      <c r="G297" s="74">
        <f t="shared" si="12"/>
        <v>2035</v>
      </c>
      <c r="J297" s="53"/>
    </row>
    <row r="298" spans="4:10">
      <c r="D298" s="13">
        <v>49521</v>
      </c>
      <c r="E298" s="4">
        <v>160500</v>
      </c>
      <c r="F298" s="8" t="s">
        <v>21</v>
      </c>
      <c r="G298" s="74">
        <f t="shared" si="12"/>
        <v>2035</v>
      </c>
      <c r="J298" s="53"/>
    </row>
    <row r="299" spans="4:10">
      <c r="D299" s="13">
        <v>49552</v>
      </c>
      <c r="E299" s="4">
        <v>327000</v>
      </c>
      <c r="F299" s="8" t="s">
        <v>23</v>
      </c>
      <c r="G299" s="74">
        <f t="shared" si="12"/>
        <v>2035</v>
      </c>
      <c r="J299" s="53"/>
    </row>
    <row r="300" spans="4:10">
      <c r="D300" s="13">
        <v>49552</v>
      </c>
      <c r="E300" s="4">
        <v>264000</v>
      </c>
      <c r="F300" s="8" t="s">
        <v>22</v>
      </c>
      <c r="G300" s="74">
        <f t="shared" si="12"/>
        <v>2035</v>
      </c>
      <c r="J300" s="53"/>
    </row>
    <row r="301" spans="4:10">
      <c r="D301" s="13">
        <v>49552</v>
      </c>
      <c r="E301" s="4">
        <v>423000</v>
      </c>
      <c r="F301" s="8" t="s">
        <v>23</v>
      </c>
      <c r="G301" s="74">
        <f t="shared" si="12"/>
        <v>2035</v>
      </c>
      <c r="J301" s="53"/>
    </row>
    <row r="302" spans="4:10">
      <c r="D302" s="13">
        <v>49582</v>
      </c>
      <c r="E302" s="4">
        <v>729000</v>
      </c>
      <c r="F302" s="8" t="s">
        <v>21</v>
      </c>
      <c r="G302" s="74">
        <f t="shared" si="12"/>
        <v>2035</v>
      </c>
      <c r="J302" s="53"/>
    </row>
    <row r="303" spans="4:10">
      <c r="D303" s="13">
        <v>49613</v>
      </c>
      <c r="E303" s="4">
        <v>385500</v>
      </c>
      <c r="F303" s="8" t="s">
        <v>22</v>
      </c>
      <c r="G303" s="74">
        <f t="shared" si="12"/>
        <v>2035</v>
      </c>
      <c r="J303" s="53"/>
    </row>
    <row r="304" spans="4:10">
      <c r="D304" s="13">
        <v>49613</v>
      </c>
      <c r="E304" s="4">
        <v>426000</v>
      </c>
      <c r="F304" s="8" t="s">
        <v>21</v>
      </c>
      <c r="G304" s="74">
        <f t="shared" si="12"/>
        <v>2035</v>
      </c>
      <c r="J304" s="53"/>
    </row>
    <row r="305" spans="4:10">
      <c r="D305" s="13">
        <v>49643</v>
      </c>
      <c r="E305" s="4">
        <v>33000</v>
      </c>
      <c r="F305" s="8" t="s">
        <v>23</v>
      </c>
      <c r="G305" s="74">
        <f t="shared" si="12"/>
        <v>2035</v>
      </c>
      <c r="J305" s="53"/>
    </row>
    <row r="306" spans="4:10">
      <c r="D306" s="13">
        <v>49643</v>
      </c>
      <c r="E306" s="4">
        <v>601500</v>
      </c>
      <c r="F306" s="8" t="s">
        <v>23</v>
      </c>
      <c r="G306" s="74">
        <f t="shared" si="12"/>
        <v>2035</v>
      </c>
      <c r="J306" s="53"/>
    </row>
    <row r="307" spans="4:10">
      <c r="D307" s="13">
        <v>49643</v>
      </c>
      <c r="E307" s="4">
        <v>19500</v>
      </c>
      <c r="F307" s="8" t="s">
        <v>21</v>
      </c>
      <c r="G307" s="74">
        <f t="shared" si="12"/>
        <v>2035</v>
      </c>
      <c r="J307" s="53"/>
    </row>
    <row r="308" spans="4:10">
      <c r="D308" s="13">
        <v>49674</v>
      </c>
      <c r="E308" s="4">
        <v>342000</v>
      </c>
      <c r="F308" s="8" t="s">
        <v>22</v>
      </c>
      <c r="G308" s="74">
        <f t="shared" si="12"/>
        <v>2035</v>
      </c>
      <c r="J308" s="53"/>
    </row>
    <row r="309" spans="4:10">
      <c r="D309" s="13">
        <v>49705</v>
      </c>
      <c r="E309" s="4">
        <v>114000</v>
      </c>
      <c r="F309" s="8" t="s">
        <v>23</v>
      </c>
      <c r="G309" s="74">
        <f t="shared" si="12"/>
        <v>2036</v>
      </c>
      <c r="J309" s="53"/>
    </row>
    <row r="310" spans="4:10">
      <c r="D310" s="13">
        <v>49765</v>
      </c>
      <c r="E310" s="4">
        <v>520500</v>
      </c>
      <c r="F310" s="8" t="s">
        <v>22</v>
      </c>
      <c r="G310" s="74">
        <f t="shared" si="12"/>
        <v>2036</v>
      </c>
      <c r="J310" s="53"/>
    </row>
    <row r="311" spans="4:10">
      <c r="D311" s="13">
        <v>49795</v>
      </c>
      <c r="E311" s="4">
        <v>402000</v>
      </c>
      <c r="F311" s="8" t="s">
        <v>21</v>
      </c>
      <c r="G311" s="74">
        <f t="shared" si="12"/>
        <v>2036</v>
      </c>
      <c r="J311" s="53"/>
    </row>
    <row r="312" spans="4:10">
      <c r="D312" s="13">
        <v>49856</v>
      </c>
      <c r="E312" s="4">
        <v>66000</v>
      </c>
      <c r="F312" s="8" t="s">
        <v>22</v>
      </c>
      <c r="G312" s="74">
        <f t="shared" si="12"/>
        <v>2036</v>
      </c>
      <c r="J312" s="53"/>
    </row>
    <row r="313" spans="4:10">
      <c r="D313" s="13">
        <v>49856</v>
      </c>
      <c r="E313" s="4">
        <v>480000</v>
      </c>
      <c r="F313" s="8" t="s">
        <v>21</v>
      </c>
      <c r="G313" s="74">
        <f t="shared" si="12"/>
        <v>2036</v>
      </c>
      <c r="J313" s="53"/>
    </row>
    <row r="314" spans="4:10">
      <c r="D314" s="13">
        <v>49856</v>
      </c>
      <c r="E314" s="4">
        <v>115500</v>
      </c>
      <c r="F314" s="8" t="s">
        <v>21</v>
      </c>
      <c r="G314" s="74">
        <f t="shared" si="12"/>
        <v>2036</v>
      </c>
      <c r="J314" s="53"/>
    </row>
    <row r="315" spans="4:10">
      <c r="D315" s="13">
        <v>49887</v>
      </c>
      <c r="E315" s="4">
        <v>495000</v>
      </c>
      <c r="F315" s="8" t="s">
        <v>23</v>
      </c>
      <c r="G315" s="74">
        <f t="shared" si="12"/>
        <v>2036</v>
      </c>
      <c r="J315" s="53"/>
    </row>
    <row r="316" spans="4:10">
      <c r="D316" s="13">
        <v>49887</v>
      </c>
      <c r="E316" s="4">
        <v>744000</v>
      </c>
      <c r="F316" s="8" t="s">
        <v>22</v>
      </c>
      <c r="G316" s="74">
        <f t="shared" si="12"/>
        <v>2036</v>
      </c>
      <c r="J316" s="53"/>
    </row>
    <row r="317" spans="4:10">
      <c r="D317" s="13">
        <v>49887</v>
      </c>
      <c r="E317" s="4">
        <v>48000</v>
      </c>
      <c r="F317" s="8" t="s">
        <v>23</v>
      </c>
      <c r="G317" s="74">
        <f t="shared" si="12"/>
        <v>2036</v>
      </c>
      <c r="J317" s="53"/>
    </row>
    <row r="318" spans="4:10">
      <c r="D318" s="13">
        <v>49887</v>
      </c>
      <c r="E318" s="4">
        <v>513000</v>
      </c>
      <c r="F318" s="8" t="s">
        <v>23</v>
      </c>
      <c r="G318" s="74">
        <f t="shared" si="12"/>
        <v>2036</v>
      </c>
      <c r="J318" s="53"/>
    </row>
    <row r="319" spans="4:10">
      <c r="D319" s="13">
        <v>49948</v>
      </c>
      <c r="E319" s="4">
        <v>693000</v>
      </c>
      <c r="F319" s="8" t="s">
        <v>21</v>
      </c>
      <c r="G319" s="74">
        <f t="shared" si="12"/>
        <v>2036</v>
      </c>
      <c r="J319" s="53"/>
    </row>
    <row r="320" spans="4:10">
      <c r="D320" s="13">
        <v>49948</v>
      </c>
      <c r="E320" s="4">
        <v>72000</v>
      </c>
      <c r="F320" s="8" t="s">
        <v>21</v>
      </c>
      <c r="G320" s="74">
        <f t="shared" si="12"/>
        <v>2036</v>
      </c>
      <c r="J320" s="53"/>
    </row>
    <row r="321" spans="4:10">
      <c r="D321" s="13">
        <v>49979</v>
      </c>
      <c r="E321" s="4">
        <v>676500</v>
      </c>
      <c r="F321" s="8" t="s">
        <v>22</v>
      </c>
      <c r="G321" s="74">
        <f t="shared" si="12"/>
        <v>2036</v>
      </c>
      <c r="J321" s="53"/>
    </row>
    <row r="322" spans="4:10">
      <c r="D322" s="13">
        <v>49979</v>
      </c>
      <c r="E322" s="4">
        <v>628500</v>
      </c>
      <c r="F322" s="8" t="s">
        <v>23</v>
      </c>
      <c r="G322" s="74">
        <f t="shared" si="12"/>
        <v>2036</v>
      </c>
      <c r="J322" s="53"/>
    </row>
    <row r="323" spans="4:10">
      <c r="D323" s="13">
        <v>50009</v>
      </c>
      <c r="E323" s="4">
        <v>586500</v>
      </c>
      <c r="F323" s="8" t="s">
        <v>22</v>
      </c>
      <c r="G323" s="74">
        <f t="shared" si="12"/>
        <v>2036</v>
      </c>
      <c r="J323" s="53"/>
    </row>
    <row r="324" spans="4:10">
      <c r="D324" s="13">
        <v>50071</v>
      </c>
      <c r="E324" s="4">
        <v>486000</v>
      </c>
      <c r="F324" s="8" t="s">
        <v>21</v>
      </c>
      <c r="G324" s="74">
        <f t="shared" si="12"/>
        <v>2037</v>
      </c>
      <c r="J324" s="53"/>
    </row>
    <row r="325" spans="4:10">
      <c r="D325" s="13">
        <v>50071</v>
      </c>
      <c r="E325" s="4">
        <v>39000</v>
      </c>
      <c r="F325" s="8" t="s">
        <v>21</v>
      </c>
      <c r="G325" s="74">
        <f t="shared" si="12"/>
        <v>2037</v>
      </c>
      <c r="J325" s="53"/>
    </row>
    <row r="326" spans="4:10">
      <c r="D326" s="13">
        <v>50099</v>
      </c>
      <c r="E326" s="4">
        <v>555000</v>
      </c>
      <c r="F326" s="8" t="s">
        <v>23</v>
      </c>
      <c r="G326" s="74">
        <f t="shared" si="12"/>
        <v>2037</v>
      </c>
      <c r="J326" s="53"/>
    </row>
    <row r="327" spans="4:10">
      <c r="D327" s="13">
        <v>50130</v>
      </c>
      <c r="E327" s="4">
        <v>132000</v>
      </c>
      <c r="F327" s="8" t="s">
        <v>23</v>
      </c>
      <c r="G327" s="74">
        <f t="shared" si="12"/>
        <v>2037</v>
      </c>
      <c r="J327" s="53"/>
    </row>
    <row r="328" spans="4:10">
      <c r="D328" s="13">
        <v>50160</v>
      </c>
      <c r="E328" s="4">
        <v>282000</v>
      </c>
      <c r="F328" s="8" t="s">
        <v>23</v>
      </c>
      <c r="G328" s="74">
        <f t="shared" si="12"/>
        <v>2037</v>
      </c>
      <c r="J328" s="53"/>
    </row>
    <row r="329" spans="4:10">
      <c r="D329" s="13">
        <v>50344</v>
      </c>
      <c r="E329" s="4">
        <v>129000</v>
      </c>
      <c r="F329" s="8" t="s">
        <v>22</v>
      </c>
      <c r="G329" s="74">
        <f t="shared" si="12"/>
        <v>2037</v>
      </c>
      <c r="J329" s="53"/>
    </row>
    <row r="330" spans="4:10">
      <c r="D330" s="13">
        <v>50344</v>
      </c>
      <c r="E330" s="4">
        <v>645000</v>
      </c>
      <c r="F330" s="8" t="s">
        <v>23</v>
      </c>
      <c r="G330" s="74">
        <f t="shared" ref="G330:G393" si="13">YEAR(D330)</f>
        <v>2037</v>
      </c>
      <c r="J330" s="53"/>
    </row>
    <row r="331" spans="4:10">
      <c r="D331" s="13">
        <v>50374</v>
      </c>
      <c r="E331" s="4">
        <v>244500</v>
      </c>
      <c r="F331" s="8" t="s">
        <v>23</v>
      </c>
      <c r="G331" s="74">
        <f t="shared" si="13"/>
        <v>2037</v>
      </c>
      <c r="J331" s="53"/>
    </row>
    <row r="332" spans="4:10">
      <c r="D332" s="13">
        <v>50405</v>
      </c>
      <c r="E332" s="4">
        <v>213000</v>
      </c>
      <c r="F332" s="8" t="s">
        <v>22</v>
      </c>
      <c r="G332" s="74">
        <f t="shared" si="13"/>
        <v>2037</v>
      </c>
      <c r="J332" s="53"/>
    </row>
    <row r="333" spans="4:10">
      <c r="D333" s="13">
        <v>50464</v>
      </c>
      <c r="E333" s="4">
        <v>297000</v>
      </c>
      <c r="F333" s="8" t="s">
        <v>22</v>
      </c>
      <c r="G333" s="74">
        <f t="shared" si="13"/>
        <v>2038</v>
      </c>
      <c r="J333" s="53"/>
    </row>
    <row r="334" spans="4:10">
      <c r="D334" s="13">
        <v>50464</v>
      </c>
      <c r="E334" s="4">
        <v>489000</v>
      </c>
      <c r="F334" s="8" t="s">
        <v>23</v>
      </c>
      <c r="G334" s="74">
        <f t="shared" si="13"/>
        <v>2038</v>
      </c>
      <c r="J334" s="53"/>
    </row>
    <row r="335" spans="4:10">
      <c r="D335" s="13">
        <v>50495</v>
      </c>
      <c r="E335" s="4">
        <v>649500</v>
      </c>
      <c r="F335" s="8" t="s">
        <v>23</v>
      </c>
      <c r="G335" s="74">
        <f t="shared" si="13"/>
        <v>2038</v>
      </c>
      <c r="J335" s="53"/>
    </row>
    <row r="336" spans="4:10">
      <c r="D336" s="13">
        <v>50525</v>
      </c>
      <c r="E336" s="4">
        <v>276000</v>
      </c>
      <c r="F336" s="8" t="s">
        <v>21</v>
      </c>
      <c r="G336" s="74">
        <f t="shared" si="13"/>
        <v>2038</v>
      </c>
      <c r="J336" s="53"/>
    </row>
    <row r="337" spans="4:10">
      <c r="D337" s="13">
        <v>50525</v>
      </c>
      <c r="E337" s="4">
        <v>646500</v>
      </c>
      <c r="F337" s="8" t="s">
        <v>22</v>
      </c>
      <c r="G337" s="74">
        <f t="shared" si="13"/>
        <v>2038</v>
      </c>
      <c r="J337" s="53"/>
    </row>
    <row r="338" spans="4:10">
      <c r="D338" s="13">
        <v>50586</v>
      </c>
      <c r="E338" s="4">
        <v>427500</v>
      </c>
      <c r="F338" s="8" t="s">
        <v>23</v>
      </c>
      <c r="G338" s="74">
        <f t="shared" si="13"/>
        <v>2038</v>
      </c>
      <c r="J338" s="53"/>
    </row>
    <row r="339" spans="4:10">
      <c r="D339" s="13">
        <v>50586</v>
      </c>
      <c r="E339" s="4">
        <v>36000</v>
      </c>
      <c r="F339" s="8" t="s">
        <v>22</v>
      </c>
      <c r="G339" s="74">
        <f t="shared" si="13"/>
        <v>2038</v>
      </c>
      <c r="J339" s="53"/>
    </row>
    <row r="340" spans="4:10">
      <c r="D340" s="13">
        <v>50617</v>
      </c>
      <c r="E340" s="4">
        <v>669000</v>
      </c>
      <c r="F340" s="8" t="s">
        <v>21</v>
      </c>
      <c r="G340" s="74">
        <f t="shared" si="13"/>
        <v>2038</v>
      </c>
      <c r="J340" s="53"/>
    </row>
    <row r="341" spans="4:10">
      <c r="D341" s="13">
        <v>50617</v>
      </c>
      <c r="E341" s="4">
        <v>508500</v>
      </c>
      <c r="F341" s="8" t="s">
        <v>21</v>
      </c>
      <c r="G341" s="74">
        <f t="shared" si="13"/>
        <v>2038</v>
      </c>
      <c r="J341" s="53"/>
    </row>
    <row r="342" spans="4:10">
      <c r="D342" s="13">
        <v>50648</v>
      </c>
      <c r="E342" s="4">
        <v>421500</v>
      </c>
      <c r="F342" s="8" t="s">
        <v>22</v>
      </c>
      <c r="G342" s="74">
        <f t="shared" si="13"/>
        <v>2038</v>
      </c>
      <c r="J342" s="53"/>
    </row>
    <row r="343" spans="4:10">
      <c r="D343" s="13">
        <v>50709</v>
      </c>
      <c r="E343" s="4">
        <v>607500</v>
      </c>
      <c r="F343" s="8" t="s">
        <v>21</v>
      </c>
      <c r="G343" s="74">
        <f t="shared" si="13"/>
        <v>2038</v>
      </c>
      <c r="J343" s="53"/>
    </row>
    <row r="344" spans="4:10">
      <c r="D344" s="13">
        <v>50739</v>
      </c>
      <c r="E344" s="4">
        <v>414000</v>
      </c>
      <c r="F344" s="8" t="s">
        <v>22</v>
      </c>
      <c r="G344" s="74">
        <f t="shared" si="13"/>
        <v>2038</v>
      </c>
      <c r="J344" s="53"/>
    </row>
    <row r="345" spans="4:10">
      <c r="D345" s="13">
        <v>50770</v>
      </c>
      <c r="E345" s="4">
        <v>406500</v>
      </c>
      <c r="F345" s="8" t="s">
        <v>21</v>
      </c>
      <c r="G345" s="74">
        <f t="shared" si="13"/>
        <v>2038</v>
      </c>
      <c r="J345" s="53"/>
    </row>
    <row r="346" spans="4:10">
      <c r="D346" s="13">
        <v>50770</v>
      </c>
      <c r="E346" s="4">
        <v>454500</v>
      </c>
      <c r="F346" s="8" t="s">
        <v>22</v>
      </c>
      <c r="G346" s="74">
        <f t="shared" si="13"/>
        <v>2038</v>
      </c>
      <c r="J346" s="53"/>
    </row>
    <row r="347" spans="4:10">
      <c r="D347" s="13">
        <v>50770</v>
      </c>
      <c r="E347" s="4">
        <v>375000</v>
      </c>
      <c r="F347" s="8" t="s">
        <v>22</v>
      </c>
      <c r="G347" s="74">
        <f t="shared" si="13"/>
        <v>2038</v>
      </c>
      <c r="J347" s="53"/>
    </row>
    <row r="348" spans="4:10">
      <c r="D348" s="13">
        <v>50770</v>
      </c>
      <c r="E348" s="4">
        <v>424500</v>
      </c>
      <c r="F348" s="8" t="s">
        <v>22</v>
      </c>
      <c r="G348" s="74">
        <f t="shared" si="13"/>
        <v>2038</v>
      </c>
      <c r="J348" s="53"/>
    </row>
    <row r="349" spans="4:10">
      <c r="D349" s="13">
        <v>50770</v>
      </c>
      <c r="E349" s="4">
        <v>264000</v>
      </c>
      <c r="F349" s="8" t="s">
        <v>22</v>
      </c>
      <c r="G349" s="74">
        <f t="shared" si="13"/>
        <v>2038</v>
      </c>
      <c r="J349" s="53"/>
    </row>
    <row r="350" spans="4:10">
      <c r="D350" s="13">
        <v>50801</v>
      </c>
      <c r="E350" s="4">
        <v>477000</v>
      </c>
      <c r="F350" s="8" t="s">
        <v>23</v>
      </c>
      <c r="G350" s="74">
        <f t="shared" si="13"/>
        <v>2039</v>
      </c>
      <c r="J350" s="53"/>
    </row>
    <row r="351" spans="4:10">
      <c r="D351" s="13">
        <v>50890</v>
      </c>
      <c r="E351" s="4">
        <v>645000</v>
      </c>
      <c r="F351" s="8" t="s">
        <v>21</v>
      </c>
      <c r="G351" s="74">
        <f t="shared" si="13"/>
        <v>2039</v>
      </c>
      <c r="J351" s="53"/>
    </row>
    <row r="352" spans="4:10">
      <c r="D352" s="13">
        <v>50951</v>
      </c>
      <c r="E352" s="4">
        <v>634500</v>
      </c>
      <c r="F352" s="8" t="s">
        <v>23</v>
      </c>
      <c r="G352" s="74">
        <f t="shared" si="13"/>
        <v>2039</v>
      </c>
      <c r="J352" s="53"/>
    </row>
    <row r="353" spans="4:10">
      <c r="D353" s="13">
        <v>50951</v>
      </c>
      <c r="E353" s="4">
        <v>172500</v>
      </c>
      <c r="F353" s="8" t="s">
        <v>23</v>
      </c>
      <c r="G353" s="74">
        <f t="shared" si="13"/>
        <v>2039</v>
      </c>
      <c r="J353" s="53"/>
    </row>
    <row r="354" spans="4:10">
      <c r="D354" s="13">
        <v>50951</v>
      </c>
      <c r="E354" s="4">
        <v>610500</v>
      </c>
      <c r="F354" s="8" t="s">
        <v>22</v>
      </c>
      <c r="G354" s="74">
        <f t="shared" si="13"/>
        <v>2039</v>
      </c>
      <c r="J354" s="53"/>
    </row>
    <row r="355" spans="4:10">
      <c r="D355" s="13">
        <v>51013</v>
      </c>
      <c r="E355" s="4">
        <v>357000</v>
      </c>
      <c r="F355" s="8" t="s">
        <v>21</v>
      </c>
      <c r="G355" s="74">
        <f t="shared" si="13"/>
        <v>2039</v>
      </c>
      <c r="J355" s="53"/>
    </row>
    <row r="356" spans="4:10">
      <c r="D356" s="13">
        <v>51104</v>
      </c>
      <c r="E356" s="4">
        <v>234000</v>
      </c>
      <c r="F356" s="8" t="s">
        <v>23</v>
      </c>
      <c r="G356" s="74">
        <f t="shared" si="13"/>
        <v>2039</v>
      </c>
      <c r="J356" s="53"/>
    </row>
    <row r="357" spans="4:10">
      <c r="D357" s="13">
        <v>51166</v>
      </c>
      <c r="E357" s="4">
        <v>372000</v>
      </c>
      <c r="F357" s="8" t="s">
        <v>23</v>
      </c>
      <c r="G357" s="74">
        <f t="shared" si="13"/>
        <v>2040</v>
      </c>
      <c r="J357" s="53"/>
    </row>
    <row r="358" spans="4:10">
      <c r="D358" s="13">
        <v>51166</v>
      </c>
      <c r="E358" s="4">
        <v>399000</v>
      </c>
      <c r="F358" s="8" t="s">
        <v>21</v>
      </c>
      <c r="G358" s="74">
        <f t="shared" si="13"/>
        <v>2040</v>
      </c>
      <c r="J358" s="53"/>
    </row>
    <row r="359" spans="4:10">
      <c r="D359" s="13">
        <v>51166</v>
      </c>
      <c r="E359" s="4">
        <v>58500</v>
      </c>
      <c r="F359" s="8" t="s">
        <v>21</v>
      </c>
      <c r="G359" s="74">
        <f t="shared" si="13"/>
        <v>2040</v>
      </c>
      <c r="J359" s="53"/>
    </row>
    <row r="360" spans="4:10">
      <c r="D360" s="13">
        <v>51256</v>
      </c>
      <c r="E360" s="4">
        <v>385500</v>
      </c>
      <c r="F360" s="8" t="s">
        <v>22</v>
      </c>
      <c r="G360" s="74">
        <f t="shared" si="13"/>
        <v>2040</v>
      </c>
      <c r="J360" s="53"/>
    </row>
    <row r="361" spans="4:10">
      <c r="D361" s="13">
        <v>51256</v>
      </c>
      <c r="E361" s="4">
        <v>738000</v>
      </c>
      <c r="F361" s="8" t="s">
        <v>21</v>
      </c>
      <c r="G361" s="74">
        <f t="shared" si="13"/>
        <v>2040</v>
      </c>
      <c r="J361" s="53"/>
    </row>
    <row r="362" spans="4:10">
      <c r="D362" s="13">
        <v>51440</v>
      </c>
      <c r="E362" s="4">
        <v>124500</v>
      </c>
      <c r="F362" s="8" t="s">
        <v>23</v>
      </c>
      <c r="G362" s="74">
        <f t="shared" si="13"/>
        <v>2040</v>
      </c>
      <c r="J362" s="53"/>
    </row>
    <row r="363" spans="4:10">
      <c r="D363" s="13">
        <v>51470</v>
      </c>
      <c r="E363" s="4">
        <v>505500</v>
      </c>
      <c r="F363" s="8" t="s">
        <v>22</v>
      </c>
      <c r="G363" s="74">
        <f t="shared" si="13"/>
        <v>2040</v>
      </c>
      <c r="J363" s="53"/>
    </row>
    <row r="364" spans="4:10">
      <c r="D364" s="13">
        <v>51470</v>
      </c>
      <c r="E364" s="4">
        <v>523500</v>
      </c>
      <c r="F364" s="8" t="s">
        <v>21</v>
      </c>
      <c r="G364" s="74">
        <f t="shared" si="13"/>
        <v>2040</v>
      </c>
      <c r="J364" s="53"/>
    </row>
    <row r="365" spans="4:10">
      <c r="D365" s="13">
        <v>51501</v>
      </c>
      <c r="E365" s="4">
        <v>537000</v>
      </c>
      <c r="F365" s="8" t="s">
        <v>21</v>
      </c>
      <c r="G365" s="74">
        <f t="shared" si="13"/>
        <v>2040</v>
      </c>
      <c r="J365" s="53"/>
    </row>
    <row r="366" spans="4:10">
      <c r="D366" s="13">
        <v>51560</v>
      </c>
      <c r="E366" s="4">
        <v>460500</v>
      </c>
      <c r="F366" s="8" t="s">
        <v>23</v>
      </c>
      <c r="G366" s="74">
        <f t="shared" si="13"/>
        <v>2041</v>
      </c>
      <c r="J366" s="53"/>
    </row>
    <row r="367" spans="4:10">
      <c r="D367" s="13">
        <v>51560</v>
      </c>
      <c r="E367" s="4">
        <v>685500</v>
      </c>
      <c r="F367" s="8" t="s">
        <v>21</v>
      </c>
      <c r="G367" s="74">
        <f t="shared" si="13"/>
        <v>2041</v>
      </c>
      <c r="J367" s="53"/>
    </row>
    <row r="368" spans="4:10">
      <c r="D368" s="13">
        <v>51621</v>
      </c>
      <c r="E368" s="4">
        <v>175500</v>
      </c>
      <c r="F368" s="8" t="s">
        <v>22</v>
      </c>
      <c r="G368" s="74">
        <f t="shared" si="13"/>
        <v>2041</v>
      </c>
      <c r="J368" s="53"/>
    </row>
    <row r="369" spans="4:10">
      <c r="D369" s="13">
        <v>51621</v>
      </c>
      <c r="E369" s="4">
        <v>117000</v>
      </c>
      <c r="F369" s="8" t="s">
        <v>23</v>
      </c>
      <c r="G369" s="74">
        <f t="shared" si="13"/>
        <v>2041</v>
      </c>
      <c r="J369" s="53"/>
    </row>
    <row r="370" spans="4:10">
      <c r="D370" s="13">
        <v>51621</v>
      </c>
      <c r="E370" s="4">
        <v>696000</v>
      </c>
      <c r="F370" s="8" t="s">
        <v>22</v>
      </c>
      <c r="G370" s="74">
        <f t="shared" si="13"/>
        <v>2041</v>
      </c>
      <c r="J370" s="53"/>
    </row>
    <row r="371" spans="4:10">
      <c r="D371" s="13">
        <v>51652</v>
      </c>
      <c r="E371" s="4">
        <v>399000</v>
      </c>
      <c r="F371" s="8" t="s">
        <v>22</v>
      </c>
      <c r="G371" s="74">
        <f t="shared" si="13"/>
        <v>2041</v>
      </c>
      <c r="J371" s="53"/>
    </row>
    <row r="372" spans="4:10">
      <c r="D372" s="13">
        <v>51682</v>
      </c>
      <c r="E372" s="4">
        <v>51000</v>
      </c>
      <c r="F372" s="8" t="s">
        <v>21</v>
      </c>
      <c r="G372" s="74">
        <f t="shared" si="13"/>
        <v>2041</v>
      </c>
      <c r="J372" s="53"/>
    </row>
    <row r="373" spans="4:10">
      <c r="D373" s="13">
        <v>51713</v>
      </c>
      <c r="E373" s="4">
        <v>574500</v>
      </c>
      <c r="F373" s="8" t="s">
        <v>21</v>
      </c>
      <c r="G373" s="74">
        <f t="shared" si="13"/>
        <v>2041</v>
      </c>
      <c r="J373" s="53"/>
    </row>
    <row r="374" spans="4:10">
      <c r="D374" s="13">
        <v>51713</v>
      </c>
      <c r="E374" s="4">
        <v>511500</v>
      </c>
      <c r="F374" s="8" t="s">
        <v>22</v>
      </c>
      <c r="G374" s="74">
        <f t="shared" si="13"/>
        <v>2041</v>
      </c>
      <c r="J374" s="53"/>
    </row>
    <row r="375" spans="4:10">
      <c r="D375" s="13">
        <v>51774</v>
      </c>
      <c r="E375" s="4">
        <v>408000</v>
      </c>
      <c r="F375" s="8" t="s">
        <v>22</v>
      </c>
      <c r="G375" s="74">
        <f t="shared" si="13"/>
        <v>2041</v>
      </c>
      <c r="J375" s="53"/>
    </row>
    <row r="376" spans="4:10">
      <c r="D376" s="13">
        <v>51866</v>
      </c>
      <c r="E376" s="4">
        <v>174000</v>
      </c>
      <c r="F376" s="8" t="s">
        <v>21</v>
      </c>
      <c r="G376" s="74">
        <f t="shared" si="13"/>
        <v>2041</v>
      </c>
      <c r="J376" s="53"/>
    </row>
    <row r="377" spans="4:10">
      <c r="D377" s="13">
        <v>51866</v>
      </c>
      <c r="E377" s="4">
        <v>367500</v>
      </c>
      <c r="F377" s="8" t="s">
        <v>21</v>
      </c>
      <c r="G377" s="74">
        <f t="shared" si="13"/>
        <v>2041</v>
      </c>
      <c r="J377" s="53"/>
    </row>
    <row r="378" spans="4:10">
      <c r="D378" s="13">
        <v>51897</v>
      </c>
      <c r="E378" s="4">
        <v>421500</v>
      </c>
      <c r="F378" s="8" t="s">
        <v>23</v>
      </c>
      <c r="G378" s="74">
        <f t="shared" si="13"/>
        <v>2042</v>
      </c>
      <c r="J378" s="53"/>
    </row>
    <row r="379" spans="4:10">
      <c r="D379" s="13">
        <v>51925</v>
      </c>
      <c r="E379" s="4">
        <v>438000</v>
      </c>
      <c r="F379" s="8" t="s">
        <v>23</v>
      </c>
      <c r="G379" s="74">
        <f t="shared" si="13"/>
        <v>2042</v>
      </c>
      <c r="J379" s="53"/>
    </row>
    <row r="380" spans="4:10">
      <c r="D380" s="13">
        <v>51925</v>
      </c>
      <c r="E380" s="4">
        <v>528000</v>
      </c>
      <c r="F380" s="8" t="s">
        <v>23</v>
      </c>
      <c r="G380" s="74">
        <f t="shared" si="13"/>
        <v>2042</v>
      </c>
      <c r="J380" s="53"/>
    </row>
    <row r="381" spans="4:10">
      <c r="D381" s="13">
        <v>51956</v>
      </c>
      <c r="E381" s="4">
        <v>94500</v>
      </c>
      <c r="F381" s="8" t="s">
        <v>21</v>
      </c>
      <c r="G381" s="74">
        <f t="shared" si="13"/>
        <v>2042</v>
      </c>
      <c r="J381" s="53"/>
    </row>
    <row r="382" spans="4:10">
      <c r="D382" s="13">
        <v>51956</v>
      </c>
      <c r="E382" s="4">
        <v>172500</v>
      </c>
      <c r="F382" s="8" t="s">
        <v>23</v>
      </c>
      <c r="G382" s="74">
        <f t="shared" si="13"/>
        <v>2042</v>
      </c>
      <c r="J382" s="53"/>
    </row>
    <row r="383" spans="4:10">
      <c r="D383" s="13">
        <v>51956</v>
      </c>
      <c r="E383" s="4">
        <v>478500</v>
      </c>
      <c r="F383" s="8" t="s">
        <v>22</v>
      </c>
      <c r="G383" s="74">
        <f t="shared" si="13"/>
        <v>2042</v>
      </c>
      <c r="J383" s="53"/>
    </row>
    <row r="384" spans="4:10">
      <c r="D384" s="13">
        <v>52047</v>
      </c>
      <c r="E384" s="4">
        <v>621000</v>
      </c>
      <c r="F384" s="8" t="s">
        <v>22</v>
      </c>
      <c r="G384" s="74">
        <f t="shared" si="13"/>
        <v>2042</v>
      </c>
      <c r="J384" s="53"/>
    </row>
    <row r="385" spans="4:10">
      <c r="D385" s="13">
        <v>52078</v>
      </c>
      <c r="E385" s="4">
        <v>406500</v>
      </c>
      <c r="F385" s="8" t="s">
        <v>21</v>
      </c>
      <c r="G385" s="74">
        <f t="shared" si="13"/>
        <v>2042</v>
      </c>
      <c r="J385" s="53"/>
    </row>
    <row r="386" spans="4:10">
      <c r="D386" s="13">
        <v>52078</v>
      </c>
      <c r="E386" s="4">
        <v>105000</v>
      </c>
      <c r="F386" s="8" t="s">
        <v>21</v>
      </c>
      <c r="G386" s="74">
        <f t="shared" si="13"/>
        <v>2042</v>
      </c>
      <c r="J386" s="53"/>
    </row>
    <row r="387" spans="4:10">
      <c r="D387" s="13">
        <v>52109</v>
      </c>
      <c r="E387" s="4">
        <v>148500</v>
      </c>
      <c r="F387" s="8" t="s">
        <v>22</v>
      </c>
      <c r="G387" s="74">
        <f t="shared" si="13"/>
        <v>2042</v>
      </c>
      <c r="J387" s="53"/>
    </row>
    <row r="388" spans="4:10">
      <c r="D388" s="13">
        <v>52139</v>
      </c>
      <c r="E388" s="4">
        <v>330000</v>
      </c>
      <c r="F388" s="8" t="s">
        <v>21</v>
      </c>
      <c r="G388" s="74">
        <f t="shared" si="13"/>
        <v>2042</v>
      </c>
      <c r="J388" s="53"/>
    </row>
    <row r="389" spans="4:10">
      <c r="D389" s="13">
        <v>52139</v>
      </c>
      <c r="E389" s="4">
        <v>456000</v>
      </c>
      <c r="F389" s="8" t="s">
        <v>21</v>
      </c>
      <c r="G389" s="74">
        <f t="shared" si="13"/>
        <v>2042</v>
      </c>
      <c r="J389" s="53"/>
    </row>
    <row r="390" spans="4:10">
      <c r="D390" s="13">
        <v>52231</v>
      </c>
      <c r="E390" s="4">
        <v>187500</v>
      </c>
      <c r="F390" s="8" t="s">
        <v>23</v>
      </c>
      <c r="G390" s="74">
        <f t="shared" si="13"/>
        <v>2042</v>
      </c>
      <c r="J390" s="53"/>
    </row>
    <row r="391" spans="4:10">
      <c r="D391" s="13">
        <v>52231</v>
      </c>
      <c r="E391" s="4">
        <v>750000</v>
      </c>
      <c r="F391" s="8" t="s">
        <v>22</v>
      </c>
      <c r="G391" s="74">
        <f t="shared" si="13"/>
        <v>2042</v>
      </c>
      <c r="J391" s="53"/>
    </row>
    <row r="392" spans="4:10">
      <c r="D392" s="13">
        <v>52262</v>
      </c>
      <c r="E392" s="4">
        <v>472500</v>
      </c>
      <c r="F392" s="8" t="s">
        <v>21</v>
      </c>
      <c r="G392" s="74">
        <f t="shared" si="13"/>
        <v>2043</v>
      </c>
      <c r="J392" s="53"/>
    </row>
    <row r="393" spans="4:10">
      <c r="D393" s="13">
        <v>52262</v>
      </c>
      <c r="E393" s="4">
        <v>534000</v>
      </c>
      <c r="F393" s="8" t="s">
        <v>22</v>
      </c>
      <c r="G393" s="74">
        <f t="shared" si="13"/>
        <v>2043</v>
      </c>
      <c r="J393" s="53"/>
    </row>
    <row r="394" spans="4:10">
      <c r="D394" s="13">
        <v>52262</v>
      </c>
      <c r="E394" s="4">
        <v>28500</v>
      </c>
      <c r="F394" s="8" t="s">
        <v>23</v>
      </c>
      <c r="G394" s="74">
        <f t="shared" ref="G394:G437" si="14">YEAR(D394)</f>
        <v>2043</v>
      </c>
      <c r="J394" s="53"/>
    </row>
    <row r="395" spans="4:10">
      <c r="D395" s="13">
        <v>52321</v>
      </c>
      <c r="E395" s="4">
        <v>700500</v>
      </c>
      <c r="F395" s="8" t="s">
        <v>21</v>
      </c>
      <c r="G395" s="74">
        <f t="shared" si="14"/>
        <v>2043</v>
      </c>
      <c r="J395" s="53"/>
    </row>
    <row r="396" spans="4:10">
      <c r="D396" s="13">
        <v>52351</v>
      </c>
      <c r="E396" s="4">
        <v>454500</v>
      </c>
      <c r="F396" s="8" t="s">
        <v>22</v>
      </c>
      <c r="G396" s="74">
        <f t="shared" si="14"/>
        <v>2043</v>
      </c>
      <c r="J396" s="53"/>
    </row>
    <row r="397" spans="4:10">
      <c r="D397" s="13">
        <v>52382</v>
      </c>
      <c r="E397" s="4">
        <v>205500</v>
      </c>
      <c r="F397" s="8" t="s">
        <v>21</v>
      </c>
      <c r="G397" s="74">
        <f t="shared" si="14"/>
        <v>2043</v>
      </c>
      <c r="J397" s="53"/>
    </row>
    <row r="398" spans="4:10">
      <c r="D398" s="13">
        <v>52412</v>
      </c>
      <c r="E398" s="4">
        <v>127500</v>
      </c>
      <c r="F398" s="8" t="s">
        <v>21</v>
      </c>
      <c r="G398" s="74">
        <f t="shared" si="14"/>
        <v>2043</v>
      </c>
      <c r="J398" s="53"/>
    </row>
    <row r="399" spans="4:10">
      <c r="D399" s="13">
        <v>52443</v>
      </c>
      <c r="E399" s="4">
        <v>721500</v>
      </c>
      <c r="F399" s="8" t="s">
        <v>23</v>
      </c>
      <c r="G399" s="74">
        <f t="shared" si="14"/>
        <v>2043</v>
      </c>
      <c r="J399" s="53"/>
    </row>
    <row r="400" spans="4:10">
      <c r="D400" s="13">
        <v>52504</v>
      </c>
      <c r="E400" s="4">
        <v>406500</v>
      </c>
      <c r="F400" s="8" t="s">
        <v>22</v>
      </c>
      <c r="G400" s="74">
        <f t="shared" si="14"/>
        <v>2043</v>
      </c>
      <c r="J400" s="53"/>
    </row>
    <row r="401" spans="4:10">
      <c r="D401" s="13">
        <v>52565</v>
      </c>
      <c r="E401" s="4">
        <v>637500</v>
      </c>
      <c r="F401" s="8" t="s">
        <v>23</v>
      </c>
      <c r="G401" s="74">
        <f t="shared" si="14"/>
        <v>2043</v>
      </c>
      <c r="J401" s="53"/>
    </row>
    <row r="402" spans="4:10">
      <c r="D402" s="13">
        <v>52565</v>
      </c>
      <c r="E402" s="4">
        <v>61500</v>
      </c>
      <c r="F402" s="8" t="s">
        <v>23</v>
      </c>
      <c r="G402" s="74">
        <f t="shared" si="14"/>
        <v>2043</v>
      </c>
      <c r="J402" s="53"/>
    </row>
    <row r="403" spans="4:10">
      <c r="D403" s="13">
        <v>52565</v>
      </c>
      <c r="E403" s="4">
        <v>657000</v>
      </c>
      <c r="F403" s="8" t="s">
        <v>22</v>
      </c>
      <c r="G403" s="74">
        <f t="shared" si="14"/>
        <v>2043</v>
      </c>
      <c r="J403" s="53"/>
    </row>
    <row r="404" spans="4:10">
      <c r="D404" s="13">
        <v>52565</v>
      </c>
      <c r="E404" s="4">
        <v>549000</v>
      </c>
      <c r="F404" s="8" t="s">
        <v>21</v>
      </c>
      <c r="G404" s="74">
        <f t="shared" si="14"/>
        <v>2043</v>
      </c>
      <c r="J404" s="53"/>
    </row>
    <row r="405" spans="4:10">
      <c r="D405" s="13">
        <v>52627</v>
      </c>
      <c r="E405" s="4">
        <v>411000</v>
      </c>
      <c r="F405" s="8" t="s">
        <v>22</v>
      </c>
      <c r="G405" s="74">
        <f t="shared" si="14"/>
        <v>2044</v>
      </c>
      <c r="J405" s="53"/>
    </row>
    <row r="406" spans="4:10">
      <c r="D406" s="13">
        <v>52809</v>
      </c>
      <c r="E406" s="4">
        <v>712500</v>
      </c>
      <c r="F406" s="8" t="s">
        <v>23</v>
      </c>
      <c r="G406" s="74">
        <f t="shared" si="14"/>
        <v>2044</v>
      </c>
      <c r="J406" s="53"/>
    </row>
    <row r="407" spans="4:10">
      <c r="D407" s="13">
        <v>52840</v>
      </c>
      <c r="E407" s="4">
        <v>714000</v>
      </c>
      <c r="F407" s="8" t="s">
        <v>21</v>
      </c>
      <c r="G407" s="74">
        <f t="shared" si="14"/>
        <v>2044</v>
      </c>
      <c r="J407" s="53"/>
    </row>
    <row r="408" spans="4:10">
      <c r="D408" s="13">
        <v>52901</v>
      </c>
      <c r="E408" s="4">
        <v>684000</v>
      </c>
      <c r="F408" s="8" t="s">
        <v>22</v>
      </c>
      <c r="G408" s="74">
        <f t="shared" si="14"/>
        <v>2044</v>
      </c>
      <c r="J408" s="53"/>
    </row>
    <row r="409" spans="4:10">
      <c r="D409" s="13">
        <v>52931</v>
      </c>
      <c r="E409" s="4">
        <v>421500</v>
      </c>
      <c r="F409" s="8" t="s">
        <v>21</v>
      </c>
      <c r="G409" s="74">
        <f t="shared" si="14"/>
        <v>2044</v>
      </c>
      <c r="J409" s="53"/>
    </row>
    <row r="410" spans="4:10">
      <c r="D410" s="13">
        <v>52962</v>
      </c>
      <c r="E410" s="4">
        <v>691500</v>
      </c>
      <c r="F410" s="8" t="s">
        <v>21</v>
      </c>
      <c r="G410" s="74">
        <f t="shared" si="14"/>
        <v>2044</v>
      </c>
      <c r="J410" s="53"/>
    </row>
    <row r="411" spans="4:10">
      <c r="D411" s="13">
        <v>52962</v>
      </c>
      <c r="E411" s="4">
        <v>324000</v>
      </c>
      <c r="F411" s="8" t="s">
        <v>22</v>
      </c>
      <c r="G411" s="74">
        <f t="shared" si="14"/>
        <v>2044</v>
      </c>
      <c r="J411" s="53"/>
    </row>
    <row r="412" spans="4:10">
      <c r="D412" s="13">
        <v>52962</v>
      </c>
      <c r="E412" s="4">
        <v>364500</v>
      </c>
      <c r="F412" s="8" t="s">
        <v>22</v>
      </c>
      <c r="G412" s="74">
        <f t="shared" si="14"/>
        <v>2044</v>
      </c>
      <c r="J412" s="53"/>
    </row>
    <row r="413" spans="4:10">
      <c r="D413" s="13">
        <v>52962</v>
      </c>
      <c r="E413" s="4">
        <v>444000</v>
      </c>
      <c r="F413" s="8" t="s">
        <v>22</v>
      </c>
      <c r="G413" s="74">
        <f t="shared" si="14"/>
        <v>2044</v>
      </c>
      <c r="J413" s="53"/>
    </row>
    <row r="414" spans="4:10">
      <c r="D414" s="13">
        <v>53052</v>
      </c>
      <c r="E414" s="4">
        <v>502500</v>
      </c>
      <c r="F414" s="8" t="s">
        <v>23</v>
      </c>
      <c r="G414" s="74">
        <f t="shared" si="14"/>
        <v>2045</v>
      </c>
      <c r="J414" s="53"/>
    </row>
    <row r="415" spans="4:10">
      <c r="D415" s="13">
        <v>53113</v>
      </c>
      <c r="E415" s="4">
        <v>87000</v>
      </c>
      <c r="F415" s="8" t="s">
        <v>23</v>
      </c>
      <c r="G415" s="74">
        <f t="shared" si="14"/>
        <v>2045</v>
      </c>
      <c r="J415" s="53"/>
    </row>
    <row r="416" spans="4:10">
      <c r="D416" s="13">
        <v>53143</v>
      </c>
      <c r="E416" s="4">
        <v>579000</v>
      </c>
      <c r="F416" s="8" t="s">
        <v>21</v>
      </c>
      <c r="G416" s="74">
        <f t="shared" si="14"/>
        <v>2045</v>
      </c>
      <c r="J416" s="53"/>
    </row>
    <row r="417" spans="4:10">
      <c r="D417" s="13">
        <v>53143</v>
      </c>
      <c r="E417" s="4">
        <v>208500</v>
      </c>
      <c r="F417" s="8" t="s">
        <v>23</v>
      </c>
      <c r="G417" s="74">
        <f t="shared" si="14"/>
        <v>2045</v>
      </c>
      <c r="J417" s="53"/>
    </row>
    <row r="418" spans="4:10">
      <c r="D418" s="13">
        <v>53174</v>
      </c>
      <c r="E418" s="4">
        <v>685500</v>
      </c>
      <c r="F418" s="8" t="s">
        <v>22</v>
      </c>
      <c r="G418" s="74">
        <f t="shared" si="14"/>
        <v>2045</v>
      </c>
      <c r="J418" s="53"/>
    </row>
    <row r="419" spans="4:10">
      <c r="D419" s="13">
        <v>53296</v>
      </c>
      <c r="E419" s="4">
        <v>334500</v>
      </c>
      <c r="F419" s="8" t="s">
        <v>21</v>
      </c>
      <c r="G419" s="74">
        <f t="shared" si="14"/>
        <v>2045</v>
      </c>
      <c r="J419" s="53"/>
    </row>
    <row r="420" spans="4:10">
      <c r="D420" s="13">
        <v>53296</v>
      </c>
      <c r="E420" s="4">
        <v>706500</v>
      </c>
      <c r="F420" s="8" t="s">
        <v>23</v>
      </c>
      <c r="G420" s="74">
        <f t="shared" si="14"/>
        <v>2045</v>
      </c>
      <c r="J420" s="53"/>
    </row>
    <row r="421" spans="4:10">
      <c r="D421" s="13">
        <v>53296</v>
      </c>
      <c r="E421" s="4">
        <v>298500</v>
      </c>
      <c r="F421" s="8" t="s">
        <v>22</v>
      </c>
      <c r="G421" s="74">
        <f t="shared" si="14"/>
        <v>2045</v>
      </c>
      <c r="J421" s="53"/>
    </row>
    <row r="422" spans="4:10">
      <c r="D422" s="13">
        <v>53327</v>
      </c>
      <c r="E422" s="4">
        <v>25500</v>
      </c>
      <c r="F422" s="8" t="s">
        <v>23</v>
      </c>
      <c r="G422" s="74">
        <f t="shared" si="14"/>
        <v>2045</v>
      </c>
      <c r="J422" s="53"/>
    </row>
    <row r="423" spans="4:10">
      <c r="D423" s="13">
        <v>53327</v>
      </c>
      <c r="E423" s="4">
        <v>331500</v>
      </c>
      <c r="F423" s="8" t="s">
        <v>23</v>
      </c>
      <c r="G423" s="74">
        <f t="shared" si="14"/>
        <v>2045</v>
      </c>
      <c r="J423" s="53"/>
    </row>
    <row r="424" spans="4:10">
      <c r="D424" s="13">
        <v>53327</v>
      </c>
      <c r="E424" s="4">
        <v>328500</v>
      </c>
      <c r="F424" s="8" t="s">
        <v>22</v>
      </c>
      <c r="G424" s="74">
        <f t="shared" si="14"/>
        <v>2045</v>
      </c>
      <c r="J424" s="53"/>
    </row>
    <row r="425" spans="4:10">
      <c r="D425" s="13">
        <v>53358</v>
      </c>
      <c r="E425" s="4">
        <v>144000</v>
      </c>
      <c r="F425" s="8" t="s">
        <v>21</v>
      </c>
      <c r="G425" s="74">
        <f t="shared" si="14"/>
        <v>2046</v>
      </c>
      <c r="J425" s="53"/>
    </row>
    <row r="426" spans="4:10">
      <c r="D426" s="13">
        <v>53358</v>
      </c>
      <c r="E426" s="4">
        <v>739500</v>
      </c>
      <c r="F426" s="8" t="s">
        <v>23</v>
      </c>
      <c r="G426" s="74">
        <f t="shared" si="14"/>
        <v>2046</v>
      </c>
      <c r="J426" s="53"/>
    </row>
    <row r="427" spans="4:10">
      <c r="D427" s="13">
        <v>53386</v>
      </c>
      <c r="E427" s="4">
        <v>648000</v>
      </c>
      <c r="F427" s="8" t="s">
        <v>23</v>
      </c>
      <c r="G427" s="74">
        <f t="shared" si="14"/>
        <v>2046</v>
      </c>
      <c r="J427" s="53"/>
    </row>
    <row r="428" spans="4:10">
      <c r="D428" s="13">
        <v>53417</v>
      </c>
      <c r="E428" s="4">
        <v>727500</v>
      </c>
      <c r="F428" s="8" t="s">
        <v>21</v>
      </c>
      <c r="G428" s="74">
        <f t="shared" si="14"/>
        <v>2046</v>
      </c>
      <c r="J428" s="53"/>
    </row>
    <row r="429" spans="4:10">
      <c r="D429" s="13">
        <v>53417</v>
      </c>
      <c r="E429" s="4">
        <v>189000</v>
      </c>
      <c r="F429" s="8" t="s">
        <v>21</v>
      </c>
      <c r="G429" s="74">
        <f t="shared" si="14"/>
        <v>2046</v>
      </c>
      <c r="J429" s="53"/>
    </row>
    <row r="430" spans="4:10">
      <c r="D430" s="13">
        <v>53478</v>
      </c>
      <c r="E430" s="4">
        <v>708000</v>
      </c>
      <c r="F430" s="8" t="s">
        <v>22</v>
      </c>
      <c r="G430" s="74">
        <f t="shared" si="14"/>
        <v>2046</v>
      </c>
      <c r="J430" s="53"/>
    </row>
    <row r="431" spans="4:10">
      <c r="D431" s="13">
        <v>53478</v>
      </c>
      <c r="E431" s="4">
        <v>115500</v>
      </c>
      <c r="F431" s="8" t="s">
        <v>23</v>
      </c>
      <c r="G431" s="74">
        <f t="shared" si="14"/>
        <v>2046</v>
      </c>
      <c r="J431" s="53"/>
    </row>
    <row r="432" spans="4:10">
      <c r="D432" s="13">
        <v>53570</v>
      </c>
      <c r="E432" s="4">
        <v>295500</v>
      </c>
      <c r="F432" s="8" t="s">
        <v>21</v>
      </c>
      <c r="G432" s="74">
        <f t="shared" si="14"/>
        <v>2046</v>
      </c>
      <c r="J432" s="53"/>
    </row>
    <row r="433" spans="1:21">
      <c r="D433" s="13">
        <v>53600</v>
      </c>
      <c r="E433" s="4">
        <v>181500</v>
      </c>
      <c r="F433" s="8" t="s">
        <v>23</v>
      </c>
      <c r="G433" s="74">
        <f t="shared" si="14"/>
        <v>2046</v>
      </c>
      <c r="J433" s="53"/>
    </row>
    <row r="434" spans="1:21">
      <c r="D434" s="13">
        <v>53631</v>
      </c>
      <c r="E434" s="4">
        <v>561000</v>
      </c>
      <c r="F434" s="8" t="s">
        <v>22</v>
      </c>
      <c r="G434" s="74">
        <f t="shared" si="14"/>
        <v>2046</v>
      </c>
      <c r="J434" s="53"/>
    </row>
    <row r="435" spans="1:21">
      <c r="D435" s="13">
        <v>53631</v>
      </c>
      <c r="E435" s="4">
        <v>600000</v>
      </c>
      <c r="F435" s="8" t="s">
        <v>22</v>
      </c>
      <c r="G435" s="74">
        <f t="shared" si="14"/>
        <v>2046</v>
      </c>
      <c r="J435" s="53"/>
    </row>
    <row r="436" spans="1:21">
      <c r="D436" s="13">
        <v>53692</v>
      </c>
      <c r="E436" s="4">
        <v>568500</v>
      </c>
      <c r="F436" s="8" t="s">
        <v>23</v>
      </c>
      <c r="G436" s="74">
        <f t="shared" si="14"/>
        <v>2046</v>
      </c>
      <c r="J436" s="53"/>
    </row>
    <row r="437" spans="1:21">
      <c r="D437" s="13">
        <v>53692</v>
      </c>
      <c r="E437" s="4">
        <v>591000</v>
      </c>
      <c r="F437" s="8" t="s">
        <v>22</v>
      </c>
      <c r="G437" s="74">
        <f t="shared" si="14"/>
        <v>2046</v>
      </c>
      <c r="J437" s="53"/>
    </row>
    <row r="440" spans="1:21">
      <c r="A440" s="1" t="s">
        <v>9</v>
      </c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053E3-FB07-4A0E-8406-36A97E7CCAB4}">
  <dimension ref="A1:AE430"/>
  <sheetViews>
    <sheetView showGridLines="0" zoomScaleNormal="100" zoomScaleSheetLayoutView="40" workbookViewId="0">
      <pane xSplit="4" ySplit="11" topLeftCell="E25" activePane="bottomRight" state="frozen"/>
      <selection pane="topRight"/>
      <selection pane="bottomLeft"/>
      <selection pane="bottomRight" activeCell="E41" sqref="E41"/>
    </sheetView>
  </sheetViews>
  <sheetFormatPr defaultRowHeight="13.8" outlineLevelRow="1"/>
  <cols>
    <col min="1" max="2" width="4.3984375" customWidth="1"/>
    <col min="3" max="3" width="18.09765625" customWidth="1"/>
    <col min="4" max="5" width="12.3984375" customWidth="1"/>
    <col min="6" max="30" width="12.8984375" customWidth="1"/>
    <col min="31" max="31" width="11" customWidth="1"/>
  </cols>
  <sheetData>
    <row r="1" spans="1:30" ht="14.4" thickBot="1"/>
    <row r="2" spans="1:30" ht="14.4">
      <c r="C2" s="76" t="s">
        <v>58</v>
      </c>
      <c r="D2" s="77"/>
      <c r="E2" s="77"/>
      <c r="F2" s="78"/>
    </row>
    <row r="3" spans="1:30" outlineLevel="1">
      <c r="C3" s="79" t="s">
        <v>59</v>
      </c>
      <c r="F3" s="80">
        <f>K160</f>
        <v>878085</v>
      </c>
    </row>
    <row r="4" spans="1:30" outlineLevel="1">
      <c r="C4" s="81" t="s">
        <v>60</v>
      </c>
      <c r="F4" s="80">
        <f>-P58</f>
        <v>1476428.2683234897</v>
      </c>
    </row>
    <row r="5" spans="1:30" outlineLevel="1">
      <c r="C5" s="81" t="s">
        <v>61</v>
      </c>
      <c r="F5" s="80">
        <f>SUM(F196:AD196)</f>
        <v>27255765.524999999</v>
      </c>
    </row>
    <row r="6" spans="1:30" outlineLevel="1">
      <c r="C6" s="81" t="s">
        <v>62</v>
      </c>
      <c r="F6" s="80">
        <f>$Y$329</f>
        <v>6126199.0909090918</v>
      </c>
    </row>
    <row r="7" spans="1:30" outlineLevel="1">
      <c r="C7" s="79" t="s">
        <v>10</v>
      </c>
      <c r="F7" s="82"/>
    </row>
    <row r="8" spans="1:30" outlineLevel="1">
      <c r="C8" s="79" t="str">
        <f>INDEX(ListDepMethods1,MATCH(F8,$F$41:$F$44,0))</f>
        <v>Sum of Years Digits</v>
      </c>
      <c r="E8" t="s">
        <v>63</v>
      </c>
      <c r="F8" s="80">
        <f>MAX(F41:F44)</f>
        <v>7602001.9038272016</v>
      </c>
    </row>
    <row r="9" spans="1:30" ht="14.4" thickBot="1">
      <c r="C9" s="83"/>
      <c r="D9" s="84"/>
      <c r="E9" s="84" t="s">
        <v>64</v>
      </c>
      <c r="F9" s="85">
        <f>MAX(G41:G44)</f>
        <v>7597275.6980240652</v>
      </c>
    </row>
    <row r="10" spans="1:30" ht="14.4">
      <c r="E10" s="86">
        <f>CaseData!$G$10</f>
        <v>44561</v>
      </c>
      <c r="F10" s="87">
        <f>DATE(F11,12,31)</f>
        <v>44926</v>
      </c>
      <c r="G10" s="87">
        <f t="shared" ref="G10:AD10" si="0">DATE(G11,12,31)</f>
        <v>45291</v>
      </c>
      <c r="H10" s="87">
        <f t="shared" si="0"/>
        <v>45657</v>
      </c>
      <c r="I10" s="87">
        <f t="shared" si="0"/>
        <v>46022</v>
      </c>
      <c r="J10" s="87">
        <f t="shared" si="0"/>
        <v>46387</v>
      </c>
      <c r="K10" s="87">
        <f t="shared" si="0"/>
        <v>46752</v>
      </c>
      <c r="L10" s="87">
        <f t="shared" si="0"/>
        <v>47118</v>
      </c>
      <c r="M10" s="87">
        <f t="shared" si="0"/>
        <v>47483</v>
      </c>
      <c r="N10" s="87">
        <f t="shared" si="0"/>
        <v>47848</v>
      </c>
      <c r="O10" s="87">
        <f t="shared" si="0"/>
        <v>48213</v>
      </c>
      <c r="P10" s="87">
        <f t="shared" si="0"/>
        <v>48579</v>
      </c>
      <c r="Q10" s="87">
        <f t="shared" si="0"/>
        <v>48944</v>
      </c>
      <c r="R10" s="87">
        <f t="shared" si="0"/>
        <v>49309</v>
      </c>
      <c r="S10" s="87">
        <f t="shared" si="0"/>
        <v>49674</v>
      </c>
      <c r="T10" s="87">
        <f t="shared" si="0"/>
        <v>50040</v>
      </c>
      <c r="U10" s="87">
        <f t="shared" si="0"/>
        <v>50405</v>
      </c>
      <c r="V10" s="87">
        <f t="shared" si="0"/>
        <v>50770</v>
      </c>
      <c r="W10" s="87">
        <f t="shared" si="0"/>
        <v>51135</v>
      </c>
      <c r="X10" s="87">
        <f t="shared" si="0"/>
        <v>51501</v>
      </c>
      <c r="Y10" s="87">
        <f t="shared" si="0"/>
        <v>51866</v>
      </c>
      <c r="Z10" s="87">
        <f t="shared" si="0"/>
        <v>52231</v>
      </c>
      <c r="AA10" s="87">
        <f t="shared" si="0"/>
        <v>52596</v>
      </c>
      <c r="AB10" s="87">
        <f t="shared" si="0"/>
        <v>52962</v>
      </c>
      <c r="AC10" s="87">
        <f t="shared" si="0"/>
        <v>53327</v>
      </c>
      <c r="AD10" s="87">
        <f t="shared" si="0"/>
        <v>53692</v>
      </c>
    </row>
    <row r="11" spans="1:30" ht="14.4">
      <c r="A11" s="88"/>
      <c r="B11" s="88"/>
      <c r="C11" s="88" t="s">
        <v>37</v>
      </c>
      <c r="D11" s="89" t="s">
        <v>65</v>
      </c>
      <c r="E11" s="90">
        <f>YEAR(E10)</f>
        <v>2021</v>
      </c>
      <c r="F11" s="90">
        <f>YEAR(CaseData!$G$7)</f>
        <v>2022</v>
      </c>
      <c r="G11" s="90">
        <f>F11+1</f>
        <v>2023</v>
      </c>
      <c r="H11" s="90">
        <f t="shared" ref="H11:AD11" si="1">G11+1</f>
        <v>2024</v>
      </c>
      <c r="I11" s="90">
        <f t="shared" si="1"/>
        <v>2025</v>
      </c>
      <c r="J11" s="90">
        <f t="shared" si="1"/>
        <v>2026</v>
      </c>
      <c r="K11" s="90">
        <f t="shared" si="1"/>
        <v>2027</v>
      </c>
      <c r="L11" s="90">
        <f t="shared" si="1"/>
        <v>2028</v>
      </c>
      <c r="M11" s="90">
        <f t="shared" si="1"/>
        <v>2029</v>
      </c>
      <c r="N11" s="90">
        <f t="shared" si="1"/>
        <v>2030</v>
      </c>
      <c r="O11" s="90">
        <f t="shared" si="1"/>
        <v>2031</v>
      </c>
      <c r="P11" s="90">
        <f t="shared" si="1"/>
        <v>2032</v>
      </c>
      <c r="Q11" s="90">
        <f t="shared" si="1"/>
        <v>2033</v>
      </c>
      <c r="R11" s="90">
        <f t="shared" si="1"/>
        <v>2034</v>
      </c>
      <c r="S11" s="90">
        <f t="shared" si="1"/>
        <v>2035</v>
      </c>
      <c r="T11" s="90">
        <f t="shared" si="1"/>
        <v>2036</v>
      </c>
      <c r="U11" s="90">
        <f t="shared" si="1"/>
        <v>2037</v>
      </c>
      <c r="V11" s="90">
        <f t="shared" si="1"/>
        <v>2038</v>
      </c>
      <c r="W11" s="90">
        <f t="shared" si="1"/>
        <v>2039</v>
      </c>
      <c r="X11" s="90">
        <f t="shared" si="1"/>
        <v>2040</v>
      </c>
      <c r="Y11" s="90">
        <f t="shared" si="1"/>
        <v>2041</v>
      </c>
      <c r="Z11" s="90">
        <f t="shared" si="1"/>
        <v>2042</v>
      </c>
      <c r="AA11" s="90">
        <f t="shared" si="1"/>
        <v>2043</v>
      </c>
      <c r="AB11" s="90">
        <f t="shared" si="1"/>
        <v>2044</v>
      </c>
      <c r="AC11" s="90">
        <f t="shared" si="1"/>
        <v>2045</v>
      </c>
      <c r="AD11" s="90">
        <f t="shared" si="1"/>
        <v>2046</v>
      </c>
    </row>
    <row r="12" spans="1:30" ht="14.4">
      <c r="A12" s="91">
        <v>1</v>
      </c>
      <c r="B12" s="91"/>
      <c r="C12" s="91" t="s">
        <v>66</v>
      </c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</row>
    <row r="13" spans="1:30" ht="14.4">
      <c r="C13" s="93" t="s">
        <v>67</v>
      </c>
    </row>
    <row r="14" spans="1:30" ht="14.4">
      <c r="B14" s="94">
        <v>1</v>
      </c>
      <c r="C14" t="str" cm="1">
        <f t="array" ref="C14">INDEX(ListAssetClasses1,B14)</f>
        <v>Short Term</v>
      </c>
      <c r="D14" t="s">
        <v>68</v>
      </c>
      <c r="F14" s="95">
        <f>SUMIFS(CaseData!$E$138:$E$437,CaseData!$F$138:$F$437,$C14,CaseData!$G$138:$G$437,F$11)</f>
        <v>2724000</v>
      </c>
      <c r="G14" s="95">
        <f>SUMIFS(CaseData!$E$138:$E$437,CaseData!$F$138:$F$437,$C14,CaseData!$G$138:$G$437,G$11)</f>
        <v>306000</v>
      </c>
      <c r="H14" s="95">
        <f>SUMIFS(CaseData!$E$138:$E$437,CaseData!$F$138:$F$437,$C14,CaseData!$G$138:$G$437,H$11)</f>
        <v>934500</v>
      </c>
      <c r="I14" s="95">
        <f>SUMIFS(CaseData!$E$138:$E$437,CaseData!$F$138:$F$437,$C14,CaseData!$G$138:$G$437,I$11)</f>
        <v>2535000</v>
      </c>
      <c r="J14" s="95">
        <f>SUMIFS(CaseData!$E$138:$E$437,CaseData!$F$138:$F$437,$C14,CaseData!$G$138:$G$437,J$11)</f>
        <v>1273500</v>
      </c>
      <c r="K14" s="95">
        <f>SUMIFS(CaseData!$E$138:$E$437,CaseData!$F$138:$F$437,$C14,CaseData!$G$138:$G$437,K$11)</f>
        <v>1741500</v>
      </c>
      <c r="L14" s="95">
        <f>SUMIFS(CaseData!$E$138:$E$437,CaseData!$F$138:$F$437,$C14,CaseData!$G$138:$G$437,L$11)</f>
        <v>1219500</v>
      </c>
      <c r="M14" s="95">
        <f>SUMIFS(CaseData!$E$138:$E$437,CaseData!$F$138:$F$437,$C14,CaseData!$G$138:$G$437,M$11)</f>
        <v>289500</v>
      </c>
      <c r="N14" s="95">
        <f>SUMIFS(CaseData!$E$138:$E$437,CaseData!$F$138:$F$437,$C14,CaseData!$G$138:$G$437,N$11)</f>
        <v>1110000</v>
      </c>
      <c r="O14" s="95">
        <f>SUMIFS(CaseData!$E$138:$E$437,CaseData!$F$138:$F$437,$C14,CaseData!$G$138:$G$437,O$11)</f>
        <v>2344500</v>
      </c>
      <c r="P14" s="95">
        <f>SUMIFS(CaseData!$E$138:$E$437,CaseData!$F$138:$F$437,$C14,CaseData!$G$138:$G$437,P$11)</f>
        <v>1491000</v>
      </c>
      <c r="Q14" s="95">
        <f>SUMIFS(CaseData!$E$138:$E$437,CaseData!$F$138:$F$437,$C14,CaseData!$G$138:$G$437,Q$11)</f>
        <v>2170500</v>
      </c>
      <c r="R14" s="95">
        <f>SUMIFS(CaseData!$E$138:$E$437,CaseData!$F$138:$F$437,$C14,CaseData!$G$138:$G$437,R$11)</f>
        <v>1086000</v>
      </c>
      <c r="S14" s="95">
        <f>SUMIFS(CaseData!$E$138:$E$437,CaseData!$F$138:$F$437,$C14,CaseData!$G$138:$G$437,S$11)</f>
        <v>1378500</v>
      </c>
      <c r="T14" s="95">
        <f>SUMIFS(CaseData!$E$138:$E$437,CaseData!$F$138:$F$437,$C14,CaseData!$G$138:$G$437,T$11)</f>
        <v>1762500</v>
      </c>
      <c r="U14" s="95">
        <f>SUMIFS(CaseData!$E$138:$E$437,CaseData!$F$138:$F$437,$C14,CaseData!$G$138:$G$437,U$11)</f>
        <v>525000</v>
      </c>
      <c r="V14" s="95">
        <f>SUMIFS(CaseData!$E$138:$E$437,CaseData!$F$138:$F$437,$C14,CaseData!$G$138:$G$437,V$11)</f>
        <v>2467500</v>
      </c>
      <c r="W14" s="95">
        <f>SUMIFS(CaseData!$E$138:$E$437,CaseData!$F$138:$F$437,$C14,CaseData!$G$138:$G$437,W$11)</f>
        <v>1002000</v>
      </c>
      <c r="X14" s="95">
        <f>SUMIFS(CaseData!$E$138:$E$437,CaseData!$F$138:$F$437,$C14,CaseData!$G$138:$G$437,X$11)</f>
        <v>2256000</v>
      </c>
      <c r="Y14" s="95">
        <f>SUMIFS(CaseData!$E$138:$E$437,CaseData!$F$138:$F$437,$C14,CaseData!$G$138:$G$437,Y$11)</f>
        <v>1852500</v>
      </c>
      <c r="Z14" s="95">
        <f>SUMIFS(CaseData!$E$138:$E$437,CaseData!$F$138:$F$437,$C14,CaseData!$G$138:$G$437,Z$11)</f>
        <v>1392000</v>
      </c>
      <c r="AA14" s="95">
        <f>SUMIFS(CaseData!$E$138:$E$437,CaseData!$F$138:$F$437,$C14,CaseData!$G$138:$G$437,AA$11)</f>
        <v>2055000</v>
      </c>
      <c r="AB14" s="95">
        <f>SUMIFS(CaseData!$E$138:$E$437,CaseData!$F$138:$F$437,$C14,CaseData!$G$138:$G$437,AB$11)</f>
        <v>1827000</v>
      </c>
      <c r="AC14" s="95">
        <f>SUMIFS(CaseData!$E$138:$E$437,CaseData!$F$138:$F$437,$C14,CaseData!$G$138:$G$437,AC$11)</f>
        <v>913500</v>
      </c>
      <c r="AD14" s="95">
        <f>SUMIFS(CaseData!$E$138:$E$437,CaseData!$F$138:$F$437,$C14,CaseData!$G$138:$G$437,AD$11)</f>
        <v>1356000</v>
      </c>
    </row>
    <row r="15" spans="1:30">
      <c r="B15">
        <f>B14+1</f>
        <v>2</v>
      </c>
      <c r="C15" t="str" cm="1">
        <f t="array" ref="C15">INDEX(ListAssetClasses1,B15)</f>
        <v>Medium Term</v>
      </c>
      <c r="D15" t="s">
        <v>68</v>
      </c>
      <c r="F15" s="95">
        <f>SUMIFS(CaseData!$E$138:$E$437,CaseData!$F$138:$F$437,$C15,CaseData!$G$138:$G$437,F$11)</f>
        <v>2875500</v>
      </c>
      <c r="G15" s="95">
        <f>SUMIFS(CaseData!$E$138:$E$437,CaseData!$F$138:$F$437,$C15,CaseData!$G$138:$G$437,G$11)</f>
        <v>835500</v>
      </c>
      <c r="H15" s="95">
        <f>SUMIFS(CaseData!$E$138:$E$437,CaseData!$F$138:$F$437,$C15,CaseData!$G$138:$G$437,H$11)</f>
        <v>1041000</v>
      </c>
      <c r="I15" s="95">
        <f>SUMIFS(CaseData!$E$138:$E$437,CaseData!$F$138:$F$437,$C15,CaseData!$G$138:$G$437,I$11)</f>
        <v>906000</v>
      </c>
      <c r="J15" s="95">
        <f>SUMIFS(CaseData!$E$138:$E$437,CaseData!$F$138:$F$437,$C15,CaseData!$G$138:$G$437,J$11)</f>
        <v>904500</v>
      </c>
      <c r="K15" s="95">
        <f>SUMIFS(CaseData!$E$138:$E$437,CaseData!$F$138:$F$437,$C15,CaseData!$G$138:$G$437,K$11)</f>
        <v>2680500</v>
      </c>
      <c r="L15" s="95">
        <f>SUMIFS(CaseData!$E$138:$E$437,CaseData!$F$138:$F$437,$C15,CaseData!$G$138:$G$437,L$11)</f>
        <v>202500</v>
      </c>
      <c r="M15" s="95">
        <f>SUMIFS(CaseData!$E$138:$E$437,CaseData!$F$138:$F$437,$C15,CaseData!$G$138:$G$437,M$11)</f>
        <v>1611000</v>
      </c>
      <c r="N15" s="95">
        <f>SUMIFS(CaseData!$E$138:$E$437,CaseData!$F$138:$F$437,$C15,CaseData!$G$138:$G$437,N$11)</f>
        <v>1972500</v>
      </c>
      <c r="O15" s="95">
        <f>SUMIFS(CaseData!$E$138:$E$437,CaseData!$F$138:$F$437,$C15,CaseData!$G$138:$G$437,O$11)</f>
        <v>1746000</v>
      </c>
      <c r="P15" s="95">
        <f>SUMIFS(CaseData!$E$138:$E$437,CaseData!$F$138:$F$437,$C15,CaseData!$G$138:$G$437,P$11)</f>
        <v>3414000</v>
      </c>
      <c r="Q15" s="95">
        <f>SUMIFS(CaseData!$E$138:$E$437,CaseData!$F$138:$F$437,$C15,CaseData!$G$138:$G$437,Q$11)</f>
        <v>580500</v>
      </c>
      <c r="R15" s="95">
        <f>SUMIFS(CaseData!$E$138:$E$437,CaseData!$F$138:$F$437,$C15,CaseData!$G$138:$G$437,R$11)</f>
        <v>1408500</v>
      </c>
      <c r="S15" s="95">
        <f>SUMIFS(CaseData!$E$138:$E$437,CaseData!$F$138:$F$437,$C15,CaseData!$G$138:$G$437,S$11)</f>
        <v>1557000</v>
      </c>
      <c r="T15" s="95">
        <f>SUMIFS(CaseData!$E$138:$E$437,CaseData!$F$138:$F$437,$C15,CaseData!$G$138:$G$437,T$11)</f>
        <v>2593500</v>
      </c>
      <c r="U15" s="95">
        <f>SUMIFS(CaseData!$E$138:$E$437,CaseData!$F$138:$F$437,$C15,CaseData!$G$138:$G$437,U$11)</f>
        <v>342000</v>
      </c>
      <c r="V15" s="95">
        <f>SUMIFS(CaseData!$E$138:$E$437,CaseData!$F$138:$F$437,$C15,CaseData!$G$138:$G$437,V$11)</f>
        <v>3333000</v>
      </c>
      <c r="W15" s="95">
        <f>SUMIFS(CaseData!$E$138:$E$437,CaseData!$F$138:$F$437,$C15,CaseData!$G$138:$G$437,W$11)</f>
        <v>610500</v>
      </c>
      <c r="X15" s="95">
        <f>SUMIFS(CaseData!$E$138:$E$437,CaseData!$F$138:$F$437,$C15,CaseData!$G$138:$G$437,X$11)</f>
        <v>891000</v>
      </c>
      <c r="Y15" s="95">
        <f>SUMIFS(CaseData!$E$138:$E$437,CaseData!$F$138:$F$437,$C15,CaseData!$G$138:$G$437,Y$11)</f>
        <v>2190000</v>
      </c>
      <c r="Z15" s="95">
        <f>SUMIFS(CaseData!$E$138:$E$437,CaseData!$F$138:$F$437,$C15,CaseData!$G$138:$G$437,Z$11)</f>
        <v>1998000</v>
      </c>
      <c r="AA15" s="95">
        <f>SUMIFS(CaseData!$E$138:$E$437,CaseData!$F$138:$F$437,$C15,CaseData!$G$138:$G$437,AA$11)</f>
        <v>2052000</v>
      </c>
      <c r="AB15" s="95">
        <f>SUMIFS(CaseData!$E$138:$E$437,CaseData!$F$138:$F$437,$C15,CaseData!$G$138:$G$437,AB$11)</f>
        <v>2227500</v>
      </c>
      <c r="AC15" s="95">
        <f>SUMIFS(CaseData!$E$138:$E$437,CaseData!$F$138:$F$437,$C15,CaseData!$G$138:$G$437,AC$11)</f>
        <v>1312500</v>
      </c>
      <c r="AD15" s="95">
        <f>SUMIFS(CaseData!$E$138:$E$437,CaseData!$F$138:$F$437,$C15,CaseData!$G$138:$G$437,AD$11)</f>
        <v>2460000</v>
      </c>
    </row>
    <row r="16" spans="1:30">
      <c r="B16">
        <f>B15+1</f>
        <v>3</v>
      </c>
      <c r="C16" t="str" cm="1">
        <f t="array" ref="C16">INDEX(ListAssetClasses1,B16)</f>
        <v>Long Term</v>
      </c>
      <c r="D16" t="s">
        <v>68</v>
      </c>
      <c r="F16" s="95">
        <f>SUMIFS(CaseData!$E$138:$E$437,CaseData!$F$138:$F$437,$C16,CaseData!$G$138:$G$437,F$11)</f>
        <v>3393000</v>
      </c>
      <c r="G16" s="95">
        <f>SUMIFS(CaseData!$E$138:$E$437,CaseData!$F$138:$F$437,$C16,CaseData!$G$138:$G$437,G$11)</f>
        <v>672000</v>
      </c>
      <c r="H16" s="95">
        <f>SUMIFS(CaseData!$E$138:$E$437,CaseData!$F$138:$F$437,$C16,CaseData!$G$138:$G$437,H$11)</f>
        <v>2329500</v>
      </c>
      <c r="I16" s="95">
        <f>SUMIFS(CaseData!$E$138:$E$437,CaseData!$F$138:$F$437,$C16,CaseData!$G$138:$G$437,I$11)</f>
        <v>567000</v>
      </c>
      <c r="J16" s="95">
        <f>SUMIFS(CaseData!$E$138:$E$437,CaseData!$F$138:$F$437,$C16,CaseData!$G$138:$G$437,J$11)</f>
        <v>2409000</v>
      </c>
      <c r="K16" s="95">
        <f>SUMIFS(CaseData!$E$138:$E$437,CaseData!$F$138:$F$437,$C16,CaseData!$G$138:$G$437,K$11)</f>
        <v>2518500</v>
      </c>
      <c r="L16" s="95">
        <f>SUMIFS(CaseData!$E$138:$E$437,CaseData!$F$138:$F$437,$C16,CaseData!$G$138:$G$437,L$11)</f>
        <v>2092500</v>
      </c>
      <c r="M16" s="95">
        <f>SUMIFS(CaseData!$E$138:$E$437,CaseData!$F$138:$F$437,$C16,CaseData!$G$138:$G$437,M$11)</f>
        <v>127500</v>
      </c>
      <c r="N16" s="95">
        <f>SUMIFS(CaseData!$E$138:$E$437,CaseData!$F$138:$F$437,$C16,CaseData!$G$138:$G$437,N$11)</f>
        <v>0</v>
      </c>
      <c r="O16" s="95">
        <f>SUMIFS(CaseData!$E$138:$E$437,CaseData!$F$138:$F$437,$C16,CaseData!$G$138:$G$437,O$11)</f>
        <v>856500</v>
      </c>
      <c r="P16" s="95">
        <f>SUMIFS(CaseData!$E$138:$E$437,CaseData!$F$138:$F$437,$C16,CaseData!$G$138:$G$437,P$11)</f>
        <v>1249500</v>
      </c>
      <c r="Q16" s="95">
        <f>SUMIFS(CaseData!$E$138:$E$437,CaseData!$F$138:$F$437,$C16,CaseData!$G$138:$G$437,Q$11)</f>
        <v>1446000</v>
      </c>
      <c r="R16" s="95">
        <f>SUMIFS(CaseData!$E$138:$E$437,CaseData!$F$138:$F$437,$C16,CaseData!$G$138:$G$437,R$11)</f>
        <v>585000</v>
      </c>
      <c r="S16" s="95">
        <f>SUMIFS(CaseData!$E$138:$E$437,CaseData!$F$138:$F$437,$C16,CaseData!$G$138:$G$437,S$11)</f>
        <v>2676000</v>
      </c>
      <c r="T16" s="95">
        <f>SUMIFS(CaseData!$E$138:$E$437,CaseData!$F$138:$F$437,$C16,CaseData!$G$138:$G$437,T$11)</f>
        <v>1798500</v>
      </c>
      <c r="U16" s="95">
        <f>SUMIFS(CaseData!$E$138:$E$437,CaseData!$F$138:$F$437,$C16,CaseData!$G$138:$G$437,U$11)</f>
        <v>1858500</v>
      </c>
      <c r="V16" s="95">
        <f>SUMIFS(CaseData!$E$138:$E$437,CaseData!$F$138:$F$437,$C16,CaseData!$G$138:$G$437,V$11)</f>
        <v>1566000</v>
      </c>
      <c r="W16" s="95">
        <f>SUMIFS(CaseData!$E$138:$E$437,CaseData!$F$138:$F$437,$C16,CaseData!$G$138:$G$437,W$11)</f>
        <v>1518000</v>
      </c>
      <c r="X16" s="95">
        <f>SUMIFS(CaseData!$E$138:$E$437,CaseData!$F$138:$F$437,$C16,CaseData!$G$138:$G$437,X$11)</f>
        <v>496500</v>
      </c>
      <c r="Y16" s="95">
        <f>SUMIFS(CaseData!$E$138:$E$437,CaseData!$F$138:$F$437,$C16,CaseData!$G$138:$G$437,Y$11)</f>
        <v>577500</v>
      </c>
      <c r="Z16" s="95">
        <f>SUMIFS(CaseData!$E$138:$E$437,CaseData!$F$138:$F$437,$C16,CaseData!$G$138:$G$437,Z$11)</f>
        <v>1747500</v>
      </c>
      <c r="AA16" s="95">
        <f>SUMIFS(CaseData!$E$138:$E$437,CaseData!$F$138:$F$437,$C16,CaseData!$G$138:$G$437,AA$11)</f>
        <v>1449000</v>
      </c>
      <c r="AB16" s="95">
        <f>SUMIFS(CaseData!$E$138:$E$437,CaseData!$F$138:$F$437,$C16,CaseData!$G$138:$G$437,AB$11)</f>
        <v>712500</v>
      </c>
      <c r="AC16" s="95">
        <f>SUMIFS(CaseData!$E$138:$E$437,CaseData!$F$138:$F$437,$C16,CaseData!$G$138:$G$437,AC$11)</f>
        <v>1861500</v>
      </c>
      <c r="AD16" s="95">
        <f>SUMIFS(CaseData!$E$138:$E$437,CaseData!$F$138:$F$437,$C16,CaseData!$G$138:$G$437,AD$11)</f>
        <v>2253000</v>
      </c>
    </row>
    <row r="17" spans="1:31" ht="14.4">
      <c r="C17" s="93" t="s">
        <v>69</v>
      </c>
      <c r="D17" s="93" t="s">
        <v>68</v>
      </c>
      <c r="F17" s="96">
        <f>SUM(F14:F16)</f>
        <v>8992500</v>
      </c>
      <c r="G17" s="96">
        <f t="shared" ref="G17:AD17" si="2">SUM(G14:G16)</f>
        <v>1813500</v>
      </c>
      <c r="H17" s="96">
        <f t="shared" si="2"/>
        <v>4305000</v>
      </c>
      <c r="I17" s="96">
        <f t="shared" si="2"/>
        <v>4008000</v>
      </c>
      <c r="J17" s="96">
        <f t="shared" si="2"/>
        <v>4587000</v>
      </c>
      <c r="K17" s="96">
        <f t="shared" si="2"/>
        <v>6940500</v>
      </c>
      <c r="L17" s="96">
        <f t="shared" si="2"/>
        <v>3514500</v>
      </c>
      <c r="M17" s="96">
        <f t="shared" si="2"/>
        <v>2028000</v>
      </c>
      <c r="N17" s="96">
        <f t="shared" si="2"/>
        <v>3082500</v>
      </c>
      <c r="O17" s="96">
        <f t="shared" si="2"/>
        <v>4947000</v>
      </c>
      <c r="P17" s="96">
        <f t="shared" si="2"/>
        <v>6154500</v>
      </c>
      <c r="Q17" s="96">
        <f t="shared" si="2"/>
        <v>4197000</v>
      </c>
      <c r="R17" s="96">
        <f t="shared" si="2"/>
        <v>3079500</v>
      </c>
      <c r="S17" s="96">
        <f t="shared" si="2"/>
        <v>5611500</v>
      </c>
      <c r="T17" s="96">
        <f t="shared" si="2"/>
        <v>6154500</v>
      </c>
      <c r="U17" s="96">
        <f t="shared" si="2"/>
        <v>2725500</v>
      </c>
      <c r="V17" s="96">
        <f t="shared" si="2"/>
        <v>7366500</v>
      </c>
      <c r="W17" s="96">
        <f t="shared" si="2"/>
        <v>3130500</v>
      </c>
      <c r="X17" s="96">
        <f t="shared" si="2"/>
        <v>3643500</v>
      </c>
      <c r="Y17" s="96">
        <f t="shared" si="2"/>
        <v>4620000</v>
      </c>
      <c r="Z17" s="96">
        <f t="shared" si="2"/>
        <v>5137500</v>
      </c>
      <c r="AA17" s="96">
        <f t="shared" si="2"/>
        <v>5556000</v>
      </c>
      <c r="AB17" s="96">
        <f t="shared" si="2"/>
        <v>4767000</v>
      </c>
      <c r="AC17" s="96">
        <f t="shared" si="2"/>
        <v>4087500</v>
      </c>
      <c r="AD17" s="96">
        <f t="shared" si="2"/>
        <v>6069000</v>
      </c>
    </row>
    <row r="18" spans="1:31"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</row>
    <row r="19" spans="1:31" ht="14.4">
      <c r="C19" s="93" t="s">
        <v>4</v>
      </c>
    </row>
    <row r="20" spans="1:31">
      <c r="C20" t="str">
        <f>CaseData!C22</f>
        <v>Declining Balance</v>
      </c>
      <c r="D20" t="s">
        <v>68</v>
      </c>
      <c r="F20" s="95">
        <f t="shared" ref="F20:AD20" si="3">F51</f>
        <v>2262650.625</v>
      </c>
      <c r="G20" s="95">
        <f t="shared" si="3"/>
        <v>1932965.296875</v>
      </c>
      <c r="H20" s="95">
        <f t="shared" si="3"/>
        <v>2316478.1519531249</v>
      </c>
      <c r="I20" s="95">
        <f t="shared" si="3"/>
        <v>3025304.053857422</v>
      </c>
      <c r="J20" s="95">
        <f t="shared" si="3"/>
        <v>3134562.3659816897</v>
      </c>
      <c r="K20" s="95">
        <f t="shared" si="3"/>
        <v>3865176.924076044</v>
      </c>
      <c r="L20" s="95">
        <f t="shared" si="3"/>
        <v>3607143.5523170391</v>
      </c>
      <c r="M20" s="95">
        <f t="shared" si="3"/>
        <v>3075228.9554487439</v>
      </c>
      <c r="N20" s="95">
        <f t="shared" si="3"/>
        <v>3168569.4852456152</v>
      </c>
      <c r="O20" s="95">
        <f t="shared" si="3"/>
        <v>3810673.9878739063</v>
      </c>
      <c r="P20" s="95">
        <f t="shared" si="3"/>
        <v>4225202.7590154512</v>
      </c>
      <c r="Q20" s="95">
        <f t="shared" si="3"/>
        <v>4273189.4944324186</v>
      </c>
      <c r="R20" s="95">
        <f t="shared" si="3"/>
        <v>3846291.2690630881</v>
      </c>
      <c r="S20" s="95">
        <f t="shared" si="3"/>
        <v>4036554.466606671</v>
      </c>
      <c r="T20" s="95">
        <f t="shared" si="3"/>
        <v>4473779.7430381123</v>
      </c>
      <c r="U20" s="95">
        <f t="shared" si="3"/>
        <v>3785922.0543109565</v>
      </c>
      <c r="V20" s="95">
        <f t="shared" si="3"/>
        <v>4788562.233804591</v>
      </c>
      <c r="W20" s="95">
        <f t="shared" si="3"/>
        <v>4221237.6095442213</v>
      </c>
      <c r="X20" s="95">
        <f t="shared" si="3"/>
        <v>4301958.7561420929</v>
      </c>
      <c r="Y20" s="95">
        <f t="shared" si="3"/>
        <v>4388391.9491894739</v>
      </c>
      <c r="Z20" s="95">
        <f t="shared" si="3"/>
        <v>4369753.1391719962</v>
      </c>
      <c r="AA20" s="95">
        <f t="shared" si="3"/>
        <v>4654254.9146671677</v>
      </c>
      <c r="AB20" s="95">
        <f t="shared" si="3"/>
        <v>4670210.2848647758</v>
      </c>
      <c r="AC20" s="95">
        <f t="shared" si="3"/>
        <v>4253008.1175463619</v>
      </c>
      <c r="AD20" s="95">
        <f t="shared" si="3"/>
        <v>4514195.6378061231</v>
      </c>
    </row>
    <row r="21" spans="1:31">
      <c r="C21" t="str">
        <f>CaseData!C23</f>
        <v>Straight Line</v>
      </c>
      <c r="D21" t="s">
        <v>68</v>
      </c>
      <c r="F21" s="95">
        <f t="shared" ref="F21:AD21" si="4">F83</f>
        <v>1005622.5</v>
      </c>
      <c r="G21" s="95">
        <f t="shared" si="4"/>
        <v>1185695</v>
      </c>
      <c r="H21" s="95">
        <f t="shared" si="4"/>
        <v>1609680</v>
      </c>
      <c r="I21" s="95">
        <f t="shared" si="4"/>
        <v>2213310</v>
      </c>
      <c r="J21" s="95">
        <f t="shared" si="4"/>
        <v>2693772.5</v>
      </c>
      <c r="K21" s="95">
        <f t="shared" si="4"/>
        <v>2921250</v>
      </c>
      <c r="L21" s="95">
        <f t="shared" si="4"/>
        <v>3246577.5</v>
      </c>
      <c r="M21" s="95">
        <f t="shared" si="4"/>
        <v>3285147.5</v>
      </c>
      <c r="N21" s="95">
        <f t="shared" si="4"/>
        <v>3201785</v>
      </c>
      <c r="O21" s="95">
        <f t="shared" si="4"/>
        <v>3625390</v>
      </c>
      <c r="P21" s="95">
        <f t="shared" si="4"/>
        <v>3708087.5</v>
      </c>
      <c r="Q21" s="95">
        <f t="shared" si="4"/>
        <v>3956132.5</v>
      </c>
      <c r="R21" s="95">
        <f t="shared" si="4"/>
        <v>4179430</v>
      </c>
      <c r="S21" s="95">
        <f t="shared" si="4"/>
        <v>4461770</v>
      </c>
      <c r="T21" s="95">
        <f t="shared" si="4"/>
        <v>4625550</v>
      </c>
      <c r="U21" s="95">
        <f t="shared" si="4"/>
        <v>4122667.5</v>
      </c>
      <c r="V21" s="95">
        <f t="shared" si="4"/>
        <v>4533115</v>
      </c>
      <c r="W21" s="95">
        <f t="shared" si="4"/>
        <v>4370712.5</v>
      </c>
      <c r="X21" s="95">
        <f t="shared" si="4"/>
        <v>4430230</v>
      </c>
      <c r="Y21" s="95">
        <f t="shared" si="4"/>
        <v>4373515</v>
      </c>
      <c r="Z21" s="95">
        <f t="shared" si="4"/>
        <v>4354895</v>
      </c>
      <c r="AA21" s="95">
        <f t="shared" si="4"/>
        <v>4375557.5</v>
      </c>
      <c r="AB21" s="95">
        <f t="shared" si="4"/>
        <v>4647162.5</v>
      </c>
      <c r="AC21" s="95">
        <f t="shared" si="4"/>
        <v>4486755</v>
      </c>
      <c r="AD21" s="95">
        <f t="shared" si="4"/>
        <v>4468182.5</v>
      </c>
    </row>
    <row r="22" spans="1:31">
      <c r="C22" t="str">
        <f>CaseData!C24</f>
        <v>Units of Production</v>
      </c>
      <c r="D22" t="s">
        <v>68</v>
      </c>
      <c r="F22" s="95">
        <f t="shared" ref="F22:AD22" si="5">F197</f>
        <v>2010170.55</v>
      </c>
      <c r="G22" s="95">
        <f t="shared" si="5"/>
        <v>1791988.8</v>
      </c>
      <c r="H22" s="95">
        <f t="shared" si="5"/>
        <v>2162689.7250000001</v>
      </c>
      <c r="I22" s="95">
        <f t="shared" si="5"/>
        <v>2880936.7499999995</v>
      </c>
      <c r="J22" s="95">
        <f t="shared" si="5"/>
        <v>3127196.6999999993</v>
      </c>
      <c r="K22" s="95">
        <f t="shared" si="5"/>
        <v>3616872.3</v>
      </c>
      <c r="L22" s="95">
        <f t="shared" si="5"/>
        <v>3556968.1500000004</v>
      </c>
      <c r="M22" s="95">
        <f t="shared" si="5"/>
        <v>3199680.7499999995</v>
      </c>
      <c r="N22" s="95">
        <f t="shared" si="5"/>
        <v>3223321.5</v>
      </c>
      <c r="O22" s="95">
        <f t="shared" si="5"/>
        <v>3883683.5999999996</v>
      </c>
      <c r="P22" s="95">
        <f t="shared" si="5"/>
        <v>4128853.4249999998</v>
      </c>
      <c r="Q22" s="95">
        <f t="shared" si="5"/>
        <v>4230978.9000000004</v>
      </c>
      <c r="R22" s="95">
        <f t="shared" si="5"/>
        <v>4015127.0249999999</v>
      </c>
      <c r="S22" s="95">
        <f t="shared" si="5"/>
        <v>4286479.8000000007</v>
      </c>
      <c r="T22" s="95">
        <f t="shared" si="5"/>
        <v>4693469.7750000004</v>
      </c>
      <c r="U22" s="95">
        <f t="shared" si="5"/>
        <v>3936977.1750000003</v>
      </c>
      <c r="V22" s="95">
        <f t="shared" si="5"/>
        <v>4863312.6750000007</v>
      </c>
      <c r="W22" s="95">
        <f t="shared" si="5"/>
        <v>4363261.6500000004</v>
      </c>
      <c r="X22" s="95">
        <f t="shared" si="5"/>
        <v>4430307.9000000004</v>
      </c>
      <c r="Y22" s="95">
        <f t="shared" si="5"/>
        <v>4408848.8250000002</v>
      </c>
      <c r="Z22" s="95">
        <f t="shared" si="5"/>
        <v>4343941.5</v>
      </c>
      <c r="AA22" s="95">
        <f t="shared" si="5"/>
        <v>4513879.875</v>
      </c>
      <c r="AB22" s="95">
        <f t="shared" si="5"/>
        <v>4692455.1749999998</v>
      </c>
      <c r="AC22" s="95">
        <f t="shared" si="5"/>
        <v>4334372.625</v>
      </c>
      <c r="AD22" s="95">
        <f t="shared" si="5"/>
        <v>4497084.8249999993</v>
      </c>
    </row>
    <row r="23" spans="1:31">
      <c r="C23" t="str">
        <f>CaseData!C25</f>
        <v>Sum of Years Digits</v>
      </c>
      <c r="D23" t="s">
        <v>68</v>
      </c>
      <c r="F23" s="95">
        <f t="shared" ref="F23:AD23" si="6">F317</f>
        <v>1762196.0227272727</v>
      </c>
      <c r="G23" s="95">
        <f t="shared" si="6"/>
        <v>1834160.6818181819</v>
      </c>
      <c r="H23" s="95">
        <f t="shared" si="6"/>
        <v>2298342.5568181816</v>
      </c>
      <c r="I23" s="95">
        <f t="shared" si="6"/>
        <v>2941126.5909090908</v>
      </c>
      <c r="J23" s="95">
        <f t="shared" si="6"/>
        <v>3222226.1931818184</v>
      </c>
      <c r="K23" s="95">
        <f t="shared" si="6"/>
        <v>3855943.125</v>
      </c>
      <c r="L23" s="95">
        <f t="shared" si="6"/>
        <v>3841741.7045454546</v>
      </c>
      <c r="M23" s="95">
        <f t="shared" si="6"/>
        <v>3465064.5454545454</v>
      </c>
      <c r="N23" s="95">
        <f t="shared" si="6"/>
        <v>3407526.9318181816</v>
      </c>
      <c r="O23" s="95">
        <f t="shared" si="6"/>
        <v>3859680.5113636362</v>
      </c>
      <c r="P23" s="95">
        <f t="shared" si="6"/>
        <v>4271568.125</v>
      </c>
      <c r="Q23" s="95">
        <f t="shared" si="6"/>
        <v>4429214.1477272725</v>
      </c>
      <c r="R23" s="95">
        <f t="shared" si="6"/>
        <v>4216936.6477272725</v>
      </c>
      <c r="S23" s="95">
        <f t="shared" si="6"/>
        <v>4309816.4204545449</v>
      </c>
      <c r="T23" s="95">
        <f t="shared" si="6"/>
        <v>4549690.3409090908</v>
      </c>
      <c r="U23" s="95">
        <f t="shared" si="6"/>
        <v>4009367.0454545454</v>
      </c>
      <c r="V23" s="95">
        <f t="shared" si="6"/>
        <v>4679782.0454545449</v>
      </c>
      <c r="W23" s="95">
        <f t="shared" si="6"/>
        <v>4330212.2727272725</v>
      </c>
      <c r="X23" s="95">
        <f t="shared" si="6"/>
        <v>4333915.1136363633</v>
      </c>
      <c r="Y23" s="95">
        <f t="shared" si="6"/>
        <v>4407498.0113636367</v>
      </c>
      <c r="Z23" s="95">
        <f t="shared" si="6"/>
        <v>4442160.0568181816</v>
      </c>
      <c r="AA23" s="95">
        <f t="shared" si="6"/>
        <v>4636304.4318181816</v>
      </c>
      <c r="AB23" s="95">
        <f t="shared" si="6"/>
        <v>4706905.625</v>
      </c>
      <c r="AC23" s="95">
        <f t="shared" si="6"/>
        <v>4395602.5</v>
      </c>
      <c r="AD23" s="95">
        <f t="shared" si="6"/>
        <v>4543630.8522727266</v>
      </c>
    </row>
    <row r="24" spans="1:31"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</row>
    <row r="25" spans="1:31" ht="14.4">
      <c r="A25" s="91">
        <f>MAX(A$11:A24)+1</f>
        <v>2</v>
      </c>
      <c r="B25" s="91"/>
      <c r="C25" s="91" t="s">
        <v>3</v>
      </c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</row>
    <row r="26" spans="1:31" ht="14.4">
      <c r="C26" s="93" t="s">
        <v>70</v>
      </c>
      <c r="D26" t="s">
        <v>68</v>
      </c>
      <c r="E26" s="98" t="s">
        <v>1</v>
      </c>
      <c r="F26" s="95">
        <f t="shared" ref="F26:AD26" si="7">INDEX(F20:F23,MATCH($E$26,$C$20:$C$23,0))</f>
        <v>1005622.5</v>
      </c>
      <c r="G26" s="95">
        <f t="shared" si="7"/>
        <v>1185695</v>
      </c>
      <c r="H26" s="95">
        <f t="shared" si="7"/>
        <v>1609680</v>
      </c>
      <c r="I26" s="95">
        <f t="shared" si="7"/>
        <v>2213310</v>
      </c>
      <c r="J26" s="95">
        <f t="shared" si="7"/>
        <v>2693772.5</v>
      </c>
      <c r="K26" s="95">
        <f t="shared" si="7"/>
        <v>2921250</v>
      </c>
      <c r="L26" s="95">
        <f t="shared" si="7"/>
        <v>3246577.5</v>
      </c>
      <c r="M26" s="95">
        <f t="shared" si="7"/>
        <v>3285147.5</v>
      </c>
      <c r="N26" s="95">
        <f t="shared" si="7"/>
        <v>3201785</v>
      </c>
      <c r="O26" s="95">
        <f t="shared" si="7"/>
        <v>3625390</v>
      </c>
      <c r="P26" s="95">
        <f t="shared" si="7"/>
        <v>3708087.5</v>
      </c>
      <c r="Q26" s="95">
        <f t="shared" si="7"/>
        <v>3956132.5</v>
      </c>
      <c r="R26" s="95">
        <f t="shared" si="7"/>
        <v>4179430</v>
      </c>
      <c r="S26" s="95">
        <f t="shared" si="7"/>
        <v>4461770</v>
      </c>
      <c r="T26" s="95">
        <f t="shared" si="7"/>
        <v>4625550</v>
      </c>
      <c r="U26" s="95">
        <f t="shared" si="7"/>
        <v>4122667.5</v>
      </c>
      <c r="V26" s="95">
        <f t="shared" si="7"/>
        <v>4533115</v>
      </c>
      <c r="W26" s="95">
        <f t="shared" si="7"/>
        <v>4370712.5</v>
      </c>
      <c r="X26" s="95">
        <f t="shared" si="7"/>
        <v>4430230</v>
      </c>
      <c r="Y26" s="95">
        <f t="shared" si="7"/>
        <v>4373515</v>
      </c>
      <c r="Z26" s="95">
        <f t="shared" si="7"/>
        <v>4354895</v>
      </c>
      <c r="AA26" s="95">
        <f t="shared" si="7"/>
        <v>4375557.5</v>
      </c>
      <c r="AB26" s="95">
        <f t="shared" si="7"/>
        <v>4647162.5</v>
      </c>
      <c r="AC26" s="95">
        <f t="shared" si="7"/>
        <v>4486755</v>
      </c>
      <c r="AD26" s="95">
        <f t="shared" si="7"/>
        <v>4468182.5</v>
      </c>
    </row>
    <row r="28" spans="1:31" ht="14.4">
      <c r="C28" s="93" t="s">
        <v>3</v>
      </c>
    </row>
    <row r="29" spans="1:31" ht="14.4">
      <c r="C29" t="s">
        <v>11</v>
      </c>
      <c r="D29" t="s">
        <v>68</v>
      </c>
      <c r="F29" s="99">
        <v>0</v>
      </c>
      <c r="G29" s="97">
        <f>F32</f>
        <v>7986877.5</v>
      </c>
      <c r="H29" s="97">
        <f t="shared" ref="H29:AD29" si="8">G32</f>
        <v>8614682.5</v>
      </c>
      <c r="I29" s="97">
        <f t="shared" si="8"/>
        <v>11310002.5</v>
      </c>
      <c r="J29" s="97">
        <f t="shared" si="8"/>
        <v>13104692.5</v>
      </c>
      <c r="K29" s="97">
        <f t="shared" si="8"/>
        <v>14997920</v>
      </c>
      <c r="L29" s="97">
        <f t="shared" si="8"/>
        <v>19017170</v>
      </c>
      <c r="M29" s="97">
        <f t="shared" si="8"/>
        <v>19285092.5</v>
      </c>
      <c r="N29" s="97">
        <f t="shared" si="8"/>
        <v>18027945</v>
      </c>
      <c r="O29" s="97">
        <f t="shared" si="8"/>
        <v>17908660</v>
      </c>
      <c r="P29" s="97">
        <f t="shared" si="8"/>
        <v>19230270</v>
      </c>
      <c r="Q29" s="97">
        <f t="shared" si="8"/>
        <v>21676682.5</v>
      </c>
      <c r="R29" s="97">
        <f t="shared" si="8"/>
        <v>21917550</v>
      </c>
      <c r="S29" s="97">
        <f t="shared" si="8"/>
        <v>20817620</v>
      </c>
      <c r="T29" s="97">
        <f t="shared" si="8"/>
        <v>21967350</v>
      </c>
      <c r="U29" s="97">
        <f t="shared" si="8"/>
        <v>23496300</v>
      </c>
      <c r="V29" s="97">
        <f t="shared" si="8"/>
        <v>22099132.5</v>
      </c>
      <c r="W29" s="97">
        <f t="shared" si="8"/>
        <v>24932517.5</v>
      </c>
      <c r="X29" s="97">
        <f t="shared" si="8"/>
        <v>23692305</v>
      </c>
      <c r="Y29" s="97">
        <f t="shared" si="8"/>
        <v>22905575</v>
      </c>
      <c r="Z29" s="97">
        <f t="shared" si="8"/>
        <v>23152060</v>
      </c>
      <c r="AA29" s="97">
        <f t="shared" si="8"/>
        <v>23934665</v>
      </c>
      <c r="AB29" s="97">
        <f t="shared" si="8"/>
        <v>25115107.5</v>
      </c>
      <c r="AC29" s="97">
        <f t="shared" si="8"/>
        <v>25234945</v>
      </c>
      <c r="AD29" s="97">
        <f t="shared" si="8"/>
        <v>24835690</v>
      </c>
    </row>
    <row r="30" spans="1:31">
      <c r="C30" t="s">
        <v>42</v>
      </c>
      <c r="D30" t="s">
        <v>68</v>
      </c>
      <c r="F30" s="97">
        <f t="shared" ref="F30:AD30" si="9">F17</f>
        <v>8992500</v>
      </c>
      <c r="G30" s="97">
        <f t="shared" si="9"/>
        <v>1813500</v>
      </c>
      <c r="H30" s="97">
        <f t="shared" si="9"/>
        <v>4305000</v>
      </c>
      <c r="I30" s="97">
        <f t="shared" si="9"/>
        <v>4008000</v>
      </c>
      <c r="J30" s="97">
        <f t="shared" si="9"/>
        <v>4587000</v>
      </c>
      <c r="K30" s="97">
        <f t="shared" si="9"/>
        <v>6940500</v>
      </c>
      <c r="L30" s="97">
        <f t="shared" si="9"/>
        <v>3514500</v>
      </c>
      <c r="M30" s="97">
        <f t="shared" si="9"/>
        <v>2028000</v>
      </c>
      <c r="N30" s="97">
        <f t="shared" si="9"/>
        <v>3082500</v>
      </c>
      <c r="O30" s="97">
        <f t="shared" si="9"/>
        <v>4947000</v>
      </c>
      <c r="P30" s="97">
        <f t="shared" si="9"/>
        <v>6154500</v>
      </c>
      <c r="Q30" s="97">
        <f t="shared" si="9"/>
        <v>4197000</v>
      </c>
      <c r="R30" s="97">
        <f t="shared" si="9"/>
        <v>3079500</v>
      </c>
      <c r="S30" s="97">
        <f t="shared" si="9"/>
        <v>5611500</v>
      </c>
      <c r="T30" s="97">
        <f t="shared" si="9"/>
        <v>6154500</v>
      </c>
      <c r="U30" s="97">
        <f t="shared" si="9"/>
        <v>2725500</v>
      </c>
      <c r="V30" s="97">
        <f t="shared" si="9"/>
        <v>7366500</v>
      </c>
      <c r="W30" s="97">
        <f t="shared" si="9"/>
        <v>3130500</v>
      </c>
      <c r="X30" s="97">
        <f t="shared" si="9"/>
        <v>3643500</v>
      </c>
      <c r="Y30" s="97">
        <f t="shared" si="9"/>
        <v>4620000</v>
      </c>
      <c r="Z30" s="97">
        <f t="shared" si="9"/>
        <v>5137500</v>
      </c>
      <c r="AA30" s="97">
        <f t="shared" si="9"/>
        <v>5556000</v>
      </c>
      <c r="AB30" s="97">
        <f t="shared" si="9"/>
        <v>4767000</v>
      </c>
      <c r="AC30" s="97">
        <f t="shared" si="9"/>
        <v>4087500</v>
      </c>
      <c r="AD30" s="97">
        <f t="shared" si="9"/>
        <v>6069000</v>
      </c>
    </row>
    <row r="31" spans="1:31">
      <c r="C31" t="s">
        <v>2</v>
      </c>
      <c r="D31" t="s">
        <v>68</v>
      </c>
      <c r="F31" s="97">
        <f t="shared" ref="F31:AD31" si="10">-F26</f>
        <v>-1005622.5</v>
      </c>
      <c r="G31" s="97">
        <f t="shared" si="10"/>
        <v>-1185695</v>
      </c>
      <c r="H31" s="97">
        <f t="shared" si="10"/>
        <v>-1609680</v>
      </c>
      <c r="I31" s="97">
        <f t="shared" si="10"/>
        <v>-2213310</v>
      </c>
      <c r="J31" s="97">
        <f t="shared" si="10"/>
        <v>-2693772.5</v>
      </c>
      <c r="K31" s="97">
        <f t="shared" si="10"/>
        <v>-2921250</v>
      </c>
      <c r="L31" s="97">
        <f t="shared" si="10"/>
        <v>-3246577.5</v>
      </c>
      <c r="M31" s="97">
        <f t="shared" si="10"/>
        <v>-3285147.5</v>
      </c>
      <c r="N31" s="97">
        <f t="shared" si="10"/>
        <v>-3201785</v>
      </c>
      <c r="O31" s="97">
        <f t="shared" si="10"/>
        <v>-3625390</v>
      </c>
      <c r="P31" s="97">
        <f t="shared" si="10"/>
        <v>-3708087.5</v>
      </c>
      <c r="Q31" s="97">
        <f t="shared" si="10"/>
        <v>-3956132.5</v>
      </c>
      <c r="R31" s="97">
        <f t="shared" si="10"/>
        <v>-4179430</v>
      </c>
      <c r="S31" s="97">
        <f t="shared" si="10"/>
        <v>-4461770</v>
      </c>
      <c r="T31" s="97">
        <f t="shared" si="10"/>
        <v>-4625550</v>
      </c>
      <c r="U31" s="97">
        <f t="shared" si="10"/>
        <v>-4122667.5</v>
      </c>
      <c r="V31" s="97">
        <f t="shared" si="10"/>
        <v>-4533115</v>
      </c>
      <c r="W31" s="97">
        <f t="shared" si="10"/>
        <v>-4370712.5</v>
      </c>
      <c r="X31" s="97">
        <f t="shared" si="10"/>
        <v>-4430230</v>
      </c>
      <c r="Y31" s="97">
        <f t="shared" si="10"/>
        <v>-4373515</v>
      </c>
      <c r="Z31" s="97">
        <f t="shared" si="10"/>
        <v>-4354895</v>
      </c>
      <c r="AA31" s="97">
        <f t="shared" si="10"/>
        <v>-4375557.5</v>
      </c>
      <c r="AB31" s="97">
        <f t="shared" si="10"/>
        <v>-4647162.5</v>
      </c>
      <c r="AC31" s="97">
        <f t="shared" si="10"/>
        <v>-4486755</v>
      </c>
      <c r="AD31" s="97">
        <f t="shared" si="10"/>
        <v>-4468182.5</v>
      </c>
    </row>
    <row r="32" spans="1:31" ht="14.4">
      <c r="C32" s="93" t="s">
        <v>12</v>
      </c>
      <c r="D32" t="s">
        <v>68</v>
      </c>
      <c r="F32" s="96">
        <f>SUM(F29:F31)</f>
        <v>7986877.5</v>
      </c>
      <c r="G32" s="96">
        <f t="shared" ref="G32:AD32" si="11">SUM(G29:G31)</f>
        <v>8614682.5</v>
      </c>
      <c r="H32" s="96">
        <f t="shared" si="11"/>
        <v>11310002.5</v>
      </c>
      <c r="I32" s="96">
        <f t="shared" si="11"/>
        <v>13104692.5</v>
      </c>
      <c r="J32" s="96">
        <f t="shared" si="11"/>
        <v>14997920</v>
      </c>
      <c r="K32" s="96">
        <f t="shared" si="11"/>
        <v>19017170</v>
      </c>
      <c r="L32" s="96">
        <f t="shared" si="11"/>
        <v>19285092.5</v>
      </c>
      <c r="M32" s="96">
        <f t="shared" si="11"/>
        <v>18027945</v>
      </c>
      <c r="N32" s="96">
        <f t="shared" si="11"/>
        <v>17908660</v>
      </c>
      <c r="O32" s="96">
        <f t="shared" si="11"/>
        <v>19230270</v>
      </c>
      <c r="P32" s="96">
        <f t="shared" si="11"/>
        <v>21676682.5</v>
      </c>
      <c r="Q32" s="96">
        <f t="shared" si="11"/>
        <v>21917550</v>
      </c>
      <c r="R32" s="96">
        <f t="shared" si="11"/>
        <v>20817620</v>
      </c>
      <c r="S32" s="96">
        <f t="shared" si="11"/>
        <v>21967350</v>
      </c>
      <c r="T32" s="96">
        <f t="shared" si="11"/>
        <v>23496300</v>
      </c>
      <c r="U32" s="96">
        <f t="shared" si="11"/>
        <v>22099132.5</v>
      </c>
      <c r="V32" s="96">
        <f t="shared" si="11"/>
        <v>24932517.5</v>
      </c>
      <c r="W32" s="96">
        <f t="shared" si="11"/>
        <v>23692305</v>
      </c>
      <c r="X32" s="96">
        <f t="shared" si="11"/>
        <v>22905575</v>
      </c>
      <c r="Y32" s="96">
        <f t="shared" si="11"/>
        <v>23152060</v>
      </c>
      <c r="Z32" s="96">
        <f t="shared" si="11"/>
        <v>23934665</v>
      </c>
      <c r="AA32" s="96">
        <f t="shared" si="11"/>
        <v>25115107.5</v>
      </c>
      <c r="AB32" s="96">
        <f t="shared" si="11"/>
        <v>25234945</v>
      </c>
      <c r="AC32" s="96">
        <f t="shared" si="11"/>
        <v>24835690</v>
      </c>
      <c r="AD32" s="96">
        <f t="shared" si="11"/>
        <v>26436507.5</v>
      </c>
    </row>
    <row r="33" spans="1:30" ht="14.4">
      <c r="C33" s="93"/>
    </row>
    <row r="34" spans="1:30" ht="14.4">
      <c r="A34" s="91">
        <f>MAX(A$11:A33)+1</f>
        <v>3</v>
      </c>
      <c r="B34" s="91"/>
      <c r="C34" s="91" t="s">
        <v>71</v>
      </c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</row>
    <row r="35" spans="1:30" ht="14.4">
      <c r="C35" s="93" t="s">
        <v>5</v>
      </c>
      <c r="D35" s="100">
        <f>CaseData!$G$8</f>
        <v>0.25</v>
      </c>
    </row>
    <row r="36" spans="1:30" ht="14.4">
      <c r="C36" s="93" t="s">
        <v>71</v>
      </c>
      <c r="D36" t="s">
        <v>68</v>
      </c>
      <c r="E36" s="101">
        <v>0</v>
      </c>
      <c r="F36" s="95">
        <f>-$D$35*F31</f>
        <v>251405.625</v>
      </c>
      <c r="G36" s="95">
        <f t="shared" ref="G36:AD36" si="12">-$D$35*G31</f>
        <v>296423.75</v>
      </c>
      <c r="H36" s="95">
        <f t="shared" si="12"/>
        <v>402420</v>
      </c>
      <c r="I36" s="95">
        <f t="shared" si="12"/>
        <v>553327.5</v>
      </c>
      <c r="J36" s="95">
        <f t="shared" si="12"/>
        <v>673443.125</v>
      </c>
      <c r="K36" s="95">
        <f t="shared" si="12"/>
        <v>730312.5</v>
      </c>
      <c r="L36" s="95">
        <f t="shared" si="12"/>
        <v>811644.375</v>
      </c>
      <c r="M36" s="95">
        <f t="shared" si="12"/>
        <v>821286.875</v>
      </c>
      <c r="N36" s="95">
        <f t="shared" si="12"/>
        <v>800446.25</v>
      </c>
      <c r="O36" s="95">
        <f t="shared" si="12"/>
        <v>906347.5</v>
      </c>
      <c r="P36" s="95">
        <f t="shared" si="12"/>
        <v>927021.875</v>
      </c>
      <c r="Q36" s="95">
        <f t="shared" si="12"/>
        <v>989033.125</v>
      </c>
      <c r="R36" s="95">
        <f t="shared" si="12"/>
        <v>1044857.5</v>
      </c>
      <c r="S36" s="95">
        <f t="shared" si="12"/>
        <v>1115442.5</v>
      </c>
      <c r="T36" s="95">
        <f t="shared" si="12"/>
        <v>1156387.5</v>
      </c>
      <c r="U36" s="95">
        <f t="shared" si="12"/>
        <v>1030666.875</v>
      </c>
      <c r="V36" s="95">
        <f t="shared" si="12"/>
        <v>1133278.75</v>
      </c>
      <c r="W36" s="95">
        <f t="shared" si="12"/>
        <v>1092678.125</v>
      </c>
      <c r="X36" s="95">
        <f t="shared" si="12"/>
        <v>1107557.5</v>
      </c>
      <c r="Y36" s="95">
        <f t="shared" si="12"/>
        <v>1093378.75</v>
      </c>
      <c r="Z36" s="95">
        <f t="shared" si="12"/>
        <v>1088723.75</v>
      </c>
      <c r="AA36" s="95">
        <f t="shared" si="12"/>
        <v>1093889.375</v>
      </c>
      <c r="AB36" s="95">
        <f t="shared" si="12"/>
        <v>1161790.625</v>
      </c>
      <c r="AC36" s="95">
        <f t="shared" si="12"/>
        <v>1121688.75</v>
      </c>
      <c r="AD36" s="95">
        <f t="shared" si="12"/>
        <v>1117045.625</v>
      </c>
    </row>
    <row r="37" spans="1:30" ht="14.4">
      <c r="C37" s="93" t="s">
        <v>63</v>
      </c>
      <c r="D37" s="100">
        <f>CaseData!$G$9</f>
        <v>0.1</v>
      </c>
      <c r="E37" s="102">
        <f>NPV($D$37,F36:AD36)</f>
        <v>6602901.0089119906</v>
      </c>
      <c r="F37" s="103"/>
    </row>
    <row r="38" spans="1:30" ht="14.4">
      <c r="C38" s="93" t="s">
        <v>64</v>
      </c>
      <c r="D38" s="100">
        <f>CaseData!$G$9</f>
        <v>0.1</v>
      </c>
      <c r="E38" s="102">
        <f>XNPV($D$37,E36:AD36,E10:AD10)</f>
        <v>6598440.3625971526</v>
      </c>
    </row>
    <row r="39" spans="1:30" ht="14.4">
      <c r="C39" s="93"/>
      <c r="D39" s="100"/>
      <c r="E39" s="95"/>
      <c r="F39" s="94" t="s">
        <v>63</v>
      </c>
      <c r="G39" s="94" t="s">
        <v>64</v>
      </c>
    </row>
    <row r="40" spans="1:30" ht="14.4">
      <c r="C40" s="93"/>
      <c r="D40" s="100"/>
      <c r="F40" s="102">
        <f>E37</f>
        <v>6602901.0089119906</v>
      </c>
      <c r="G40" s="102">
        <f>E38</f>
        <v>6598440.3625971526</v>
      </c>
    </row>
    <row r="41" spans="1:30" ht="14.4">
      <c r="B41" s="94">
        <v>1</v>
      </c>
      <c r="C41" s="93"/>
      <c r="D41" t="s">
        <v>68</v>
      </c>
      <c r="E41" t="str" cm="1">
        <f t="array" ref="E41">INDEX(ListDepMethods1,B41)</f>
        <v>Declining Balance</v>
      </c>
      <c r="F41" s="104">
        <f t="dataTable" ref="F41:G44" dt2D="0" dtr="0" r1="E26"/>
        <v>7549234.7261684434</v>
      </c>
      <c r="G41" s="105">
        <v>7544640.6241999911</v>
      </c>
    </row>
    <row r="42" spans="1:30" ht="14.4">
      <c r="B42">
        <f>B41+1</f>
        <v>2</v>
      </c>
      <c r="C42" s="93"/>
      <c r="D42" t="s">
        <v>68</v>
      </c>
      <c r="E42" t="str" cm="1">
        <f t="array" ref="E42">INDEX(ListDepMethods1,B42)</f>
        <v>Straight Line</v>
      </c>
      <c r="F42" s="106">
        <v>6602901.0089119906</v>
      </c>
      <c r="G42" s="95">
        <v>6598440.3625971526</v>
      </c>
    </row>
    <row r="43" spans="1:30" ht="14.4">
      <c r="B43">
        <f>B42+1</f>
        <v>3</v>
      </c>
      <c r="C43" s="93"/>
      <c r="D43" t="s">
        <v>68</v>
      </c>
      <c r="E43" t="str" cm="1">
        <f t="array" ref="E43">INDEX(ListDepMethods1,B43)</f>
        <v>Units of Production</v>
      </c>
      <c r="F43" s="106">
        <v>7445363.951282314</v>
      </c>
      <c r="G43" s="95">
        <v>7440731.6441735383</v>
      </c>
    </row>
    <row r="44" spans="1:30" ht="14.4">
      <c r="B44">
        <f>B43+1</f>
        <v>4</v>
      </c>
      <c r="C44" s="93"/>
      <c r="D44" t="s">
        <v>68</v>
      </c>
      <c r="E44" t="str" cm="1">
        <f t="array" ref="E44">INDEX(ListDepMethods1,B44)</f>
        <v>Sum of Years Digits</v>
      </c>
      <c r="F44" s="106">
        <v>7602001.9038272016</v>
      </c>
      <c r="G44" s="95">
        <v>7597275.6980240652</v>
      </c>
    </row>
    <row r="45" spans="1:30" ht="14.4">
      <c r="C45" s="93"/>
      <c r="D45" s="100"/>
      <c r="E45" s="95"/>
    </row>
    <row r="46" spans="1:30" ht="14.4">
      <c r="A46" s="90">
        <f>MAX(A$11:A45)+1</f>
        <v>4</v>
      </c>
      <c r="B46" s="90"/>
      <c r="C46" s="90" t="str">
        <f>CaseData!C22</f>
        <v>Declining Balance</v>
      </c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</row>
    <row r="47" spans="1:30" ht="14.4">
      <c r="C47" s="93" t="s">
        <v>4</v>
      </c>
    </row>
    <row r="48" spans="1:30" ht="14.4">
      <c r="B48" s="94">
        <v>1</v>
      </c>
      <c r="C48" t="str" cm="1">
        <f t="array" ref="C48">INDEX(ListAssetClasses1,B48)</f>
        <v>Short Term</v>
      </c>
      <c r="D48" t="s">
        <v>68</v>
      </c>
      <c r="F48" s="97">
        <f t="shared" ref="F48:AD48" si="13">-F58</f>
        <v>1164510</v>
      </c>
      <c r="G48" s="97">
        <f t="shared" si="13"/>
        <v>771295.5</v>
      </c>
      <c r="H48" s="97">
        <f t="shared" si="13"/>
        <v>823711.27500000002</v>
      </c>
      <c r="I48" s="97">
        <f t="shared" si="13"/>
        <v>1536753.7012500002</v>
      </c>
      <c r="J48" s="97">
        <f t="shared" si="13"/>
        <v>1389635.7856874999</v>
      </c>
      <c r="K48" s="97">
        <f t="shared" si="13"/>
        <v>1508790.9321281251</v>
      </c>
      <c r="L48" s="97">
        <f t="shared" si="13"/>
        <v>1351171.2626704688</v>
      </c>
      <c r="M48" s="97">
        <f t="shared" si="13"/>
        <v>866905.44446875795</v>
      </c>
      <c r="N48" s="97">
        <f t="shared" si="13"/>
        <v>951322.99445781682</v>
      </c>
      <c r="O48" s="97">
        <f t="shared" si="13"/>
        <v>1525501.3969517993</v>
      </c>
      <c r="P48" s="97">
        <f t="shared" si="13"/>
        <v>1476428.2683234897</v>
      </c>
      <c r="Q48" s="97">
        <f t="shared" si="13"/>
        <v>1739924.2975779194</v>
      </c>
      <c r="R48" s="97">
        <f t="shared" si="13"/>
        <v>1421223.3636678557</v>
      </c>
      <c r="S48" s="97">
        <f t="shared" si="13"/>
        <v>1370981.6000173206</v>
      </c>
      <c r="T48" s="97">
        <f t="shared" si="13"/>
        <v>1507508.6300095264</v>
      </c>
      <c r="U48" s="97">
        <f t="shared" si="13"/>
        <v>1053567.2465052395</v>
      </c>
      <c r="V48" s="97">
        <f t="shared" si="13"/>
        <v>1634318.2355778816</v>
      </c>
      <c r="W48" s="97">
        <f t="shared" si="13"/>
        <v>1327230.0295678349</v>
      </c>
      <c r="X48" s="97">
        <f t="shared" si="13"/>
        <v>1694416.5162623092</v>
      </c>
      <c r="Y48" s="97">
        <f t="shared" si="13"/>
        <v>1723872.8339442702</v>
      </c>
      <c r="Z48" s="97">
        <f t="shared" si="13"/>
        <v>1543210.0586693485</v>
      </c>
      <c r="AA48" s="97">
        <f t="shared" si="13"/>
        <v>1727278.0322681419</v>
      </c>
      <c r="AB48" s="97">
        <f t="shared" si="13"/>
        <v>1731045.4177474782</v>
      </c>
      <c r="AC48" s="97">
        <f t="shared" si="13"/>
        <v>1342596.2297611132</v>
      </c>
      <c r="AD48" s="97">
        <f t="shared" si="13"/>
        <v>1318117.9263686121</v>
      </c>
    </row>
    <row r="49" spans="2:30">
      <c r="B49">
        <f>B48+1</f>
        <v>2</v>
      </c>
      <c r="C49" t="str" cm="1">
        <f t="array" ref="C49">INDEX(ListAssetClasses1,B49)</f>
        <v>Medium Term</v>
      </c>
      <c r="D49" t="s">
        <v>68</v>
      </c>
      <c r="F49" s="97">
        <f t="shared" ref="F49:AD49" si="14">-F66</f>
        <v>614638.125</v>
      </c>
      <c r="G49" s="97">
        <f t="shared" si="14"/>
        <v>654932.671875</v>
      </c>
      <c r="H49" s="97">
        <f t="shared" si="14"/>
        <v>730086.57070312498</v>
      </c>
      <c r="I49" s="97">
        <f t="shared" si="14"/>
        <v>759474.59229492187</v>
      </c>
      <c r="J49" s="97">
        <f t="shared" si="14"/>
        <v>781929.68402856449</v>
      </c>
      <c r="K49" s="97">
        <f t="shared" si="14"/>
        <v>1178952.3801221377</v>
      </c>
      <c r="L49" s="97">
        <f t="shared" si="14"/>
        <v>956972.46959465649</v>
      </c>
      <c r="M49" s="97">
        <f t="shared" si="14"/>
        <v>1086004.9139358588</v>
      </c>
      <c r="N49" s="97">
        <f t="shared" si="14"/>
        <v>1263275.6833002905</v>
      </c>
      <c r="O49" s="97">
        <f t="shared" si="14"/>
        <v>1352246.1545577252</v>
      </c>
      <c r="P49" s="97">
        <f t="shared" si="14"/>
        <v>1777733.2697822372</v>
      </c>
      <c r="Q49" s="97">
        <f t="shared" si="14"/>
        <v>1501825.1590812339</v>
      </c>
      <c r="R49" s="97">
        <f t="shared" si="14"/>
        <v>1464981.3732879562</v>
      </c>
      <c r="S49" s="97">
        <f t="shared" si="14"/>
        <v>1468169.314298166</v>
      </c>
      <c r="T49" s="97">
        <f t="shared" si="14"/>
        <v>1692191.8435810786</v>
      </c>
      <c r="U49" s="97">
        <f t="shared" si="14"/>
        <v>1384551.1787753359</v>
      </c>
      <c r="V49" s="97">
        <f t="shared" si="14"/>
        <v>1785455.9135508856</v>
      </c>
      <c r="W49" s="97">
        <f t="shared" si="14"/>
        <v>1514222.7080019363</v>
      </c>
      <c r="X49" s="97">
        <f t="shared" si="14"/>
        <v>1363973.8487015008</v>
      </c>
      <c r="Y49" s="97">
        <f t="shared" si="14"/>
        <v>1525192.232743663</v>
      </c>
      <c r="Z49" s="97">
        <f t="shared" si="14"/>
        <v>1609096.4803763386</v>
      </c>
      <c r="AA49" s="97">
        <f t="shared" si="14"/>
        <v>1685664.7722916624</v>
      </c>
      <c r="AB49" s="97">
        <f t="shared" si="14"/>
        <v>1782518.3235260386</v>
      </c>
      <c r="AC49" s="97">
        <f t="shared" si="14"/>
        <v>1661998.5757326796</v>
      </c>
      <c r="AD49" s="97">
        <f t="shared" si="14"/>
        <v>1813873.8961928266</v>
      </c>
    </row>
    <row r="50" spans="2:30">
      <c r="B50">
        <f>B49+1</f>
        <v>3</v>
      </c>
      <c r="C50" t="str" cm="1">
        <f t="array" ref="C50">INDEX(ListAssetClasses1,B50)</f>
        <v>Long Term</v>
      </c>
      <c r="D50" t="s">
        <v>68</v>
      </c>
      <c r="F50" s="97">
        <f t="shared" ref="F50:AD50" si="15">-F74</f>
        <v>483502.5</v>
      </c>
      <c r="G50" s="97">
        <f t="shared" si="15"/>
        <v>506737.125</v>
      </c>
      <c r="H50" s="97">
        <f t="shared" si="15"/>
        <v>762680.30625000002</v>
      </c>
      <c r="I50" s="97">
        <f t="shared" si="15"/>
        <v>729075.76031249994</v>
      </c>
      <c r="J50" s="97">
        <f t="shared" si="15"/>
        <v>962996.89626562502</v>
      </c>
      <c r="K50" s="97">
        <f t="shared" si="15"/>
        <v>1177433.6118257812</v>
      </c>
      <c r="L50" s="97">
        <f t="shared" si="15"/>
        <v>1298999.8200519138</v>
      </c>
      <c r="M50" s="97">
        <f t="shared" si="15"/>
        <v>1122318.5970441268</v>
      </c>
      <c r="N50" s="97">
        <f t="shared" si="15"/>
        <v>953970.80748750782</v>
      </c>
      <c r="O50" s="97">
        <f t="shared" si="15"/>
        <v>932926.43636438157</v>
      </c>
      <c r="P50" s="97">
        <f t="shared" si="15"/>
        <v>971041.22090972424</v>
      </c>
      <c r="Q50" s="97">
        <f t="shared" si="15"/>
        <v>1031440.0377732657</v>
      </c>
      <c r="R50" s="97">
        <f t="shared" si="15"/>
        <v>960086.53210727591</v>
      </c>
      <c r="S50" s="97">
        <f t="shared" si="15"/>
        <v>1197403.5522911847</v>
      </c>
      <c r="T50" s="97">
        <f t="shared" si="15"/>
        <v>1274079.2694475069</v>
      </c>
      <c r="U50" s="97">
        <f t="shared" si="15"/>
        <v>1347803.6290303809</v>
      </c>
      <c r="V50" s="97">
        <f t="shared" si="15"/>
        <v>1368788.0846758238</v>
      </c>
      <c r="W50" s="97">
        <f t="shared" si="15"/>
        <v>1379784.8719744501</v>
      </c>
      <c r="X50" s="97">
        <f t="shared" si="15"/>
        <v>1243568.3911782827</v>
      </c>
      <c r="Y50" s="97">
        <f t="shared" si="15"/>
        <v>1139326.8825015405</v>
      </c>
      <c r="Z50" s="97">
        <f t="shared" si="15"/>
        <v>1217446.6001263093</v>
      </c>
      <c r="AA50" s="97">
        <f t="shared" si="15"/>
        <v>1241312.110107363</v>
      </c>
      <c r="AB50" s="97">
        <f t="shared" si="15"/>
        <v>1156646.5435912586</v>
      </c>
      <c r="AC50" s="97">
        <f t="shared" si="15"/>
        <v>1248413.3120525696</v>
      </c>
      <c r="AD50" s="97">
        <f t="shared" si="15"/>
        <v>1382203.8152446842</v>
      </c>
    </row>
    <row r="51" spans="2:30" ht="14.4">
      <c r="C51" s="108" t="s">
        <v>4</v>
      </c>
      <c r="D51" s="109" t="s">
        <v>68</v>
      </c>
      <c r="E51" s="109"/>
      <c r="F51" s="110">
        <f>SUM(F48:F50)</f>
        <v>2262650.625</v>
      </c>
      <c r="G51" s="110">
        <f t="shared" ref="G51:AD51" si="16">SUM(G48:G50)</f>
        <v>1932965.296875</v>
      </c>
      <c r="H51" s="110">
        <f t="shared" si="16"/>
        <v>2316478.1519531249</v>
      </c>
      <c r="I51" s="110">
        <f t="shared" si="16"/>
        <v>3025304.053857422</v>
      </c>
      <c r="J51" s="110">
        <f t="shared" si="16"/>
        <v>3134562.3659816897</v>
      </c>
      <c r="K51" s="110">
        <f t="shared" si="16"/>
        <v>3865176.924076044</v>
      </c>
      <c r="L51" s="110">
        <f t="shared" si="16"/>
        <v>3607143.5523170391</v>
      </c>
      <c r="M51" s="110">
        <f t="shared" si="16"/>
        <v>3075228.9554487439</v>
      </c>
      <c r="N51" s="110">
        <f t="shared" si="16"/>
        <v>3168569.4852456152</v>
      </c>
      <c r="O51" s="110">
        <f t="shared" si="16"/>
        <v>3810673.9878739063</v>
      </c>
      <c r="P51" s="110">
        <f t="shared" si="16"/>
        <v>4225202.7590154512</v>
      </c>
      <c r="Q51" s="110">
        <f t="shared" si="16"/>
        <v>4273189.4944324186</v>
      </c>
      <c r="R51" s="110">
        <f t="shared" si="16"/>
        <v>3846291.2690630881</v>
      </c>
      <c r="S51" s="110">
        <f t="shared" si="16"/>
        <v>4036554.466606671</v>
      </c>
      <c r="T51" s="110">
        <f t="shared" si="16"/>
        <v>4473779.7430381123</v>
      </c>
      <c r="U51" s="110">
        <f t="shared" si="16"/>
        <v>3785922.0543109565</v>
      </c>
      <c r="V51" s="110">
        <f t="shared" si="16"/>
        <v>4788562.233804591</v>
      </c>
      <c r="W51" s="110">
        <f t="shared" si="16"/>
        <v>4221237.6095442213</v>
      </c>
      <c r="X51" s="110">
        <f t="shared" si="16"/>
        <v>4301958.7561420929</v>
      </c>
      <c r="Y51" s="110">
        <f t="shared" si="16"/>
        <v>4388391.9491894739</v>
      </c>
      <c r="Z51" s="110">
        <f t="shared" si="16"/>
        <v>4369753.1391719962</v>
      </c>
      <c r="AA51" s="110">
        <f t="shared" si="16"/>
        <v>4654254.9146671677</v>
      </c>
      <c r="AB51" s="110">
        <f t="shared" si="16"/>
        <v>4670210.2848647758</v>
      </c>
      <c r="AC51" s="110">
        <f t="shared" si="16"/>
        <v>4253008.1175463619</v>
      </c>
      <c r="AD51" s="110">
        <f t="shared" si="16"/>
        <v>4514195.6378061231</v>
      </c>
    </row>
    <row r="53" spans="2:30" ht="14.4">
      <c r="B53" s="94">
        <v>1</v>
      </c>
      <c r="C53" s="93" t="str" cm="1">
        <f t="array" ref="C53">INDEX(ListAssetClasses1,B53)</f>
        <v>Short Term</v>
      </c>
      <c r="D53" s="100">
        <f>INDEX(CaseData!$G$32:$I$32,MATCH($C53,CaseData!$G$31:$I$31,0))</f>
        <v>0.45</v>
      </c>
      <c r="E53" s="111"/>
    </row>
    <row r="54" spans="2:30">
      <c r="C54" t="s">
        <v>11</v>
      </c>
      <c r="D54" t="s">
        <v>68</v>
      </c>
      <c r="F54" s="97">
        <f>$F$29</f>
        <v>0</v>
      </c>
      <c r="G54" s="97">
        <f>F59</f>
        <v>1559490</v>
      </c>
      <c r="H54" s="97">
        <f t="shared" ref="H54:AD54" si="17">G59</f>
        <v>1094194.5</v>
      </c>
      <c r="I54" s="97">
        <f t="shared" si="17"/>
        <v>1204983.2250000001</v>
      </c>
      <c r="J54" s="97">
        <f t="shared" si="17"/>
        <v>2203229.5237499997</v>
      </c>
      <c r="K54" s="97">
        <f t="shared" si="17"/>
        <v>2087093.7380624998</v>
      </c>
      <c r="L54" s="97">
        <f t="shared" si="17"/>
        <v>2319802.8059343752</v>
      </c>
      <c r="M54" s="97">
        <f t="shared" si="17"/>
        <v>2188131.5432639066</v>
      </c>
      <c r="N54" s="97">
        <f t="shared" si="17"/>
        <v>1610726.0987951485</v>
      </c>
      <c r="O54" s="97">
        <f t="shared" si="17"/>
        <v>1769403.1043373318</v>
      </c>
      <c r="P54" s="97">
        <f t="shared" si="17"/>
        <v>2588401.7073855326</v>
      </c>
      <c r="Q54" s="97">
        <f t="shared" si="17"/>
        <v>2602973.4390620431</v>
      </c>
      <c r="R54" s="97">
        <f t="shared" si="17"/>
        <v>3033549.1414841237</v>
      </c>
      <c r="S54" s="97">
        <f t="shared" si="17"/>
        <v>2698325.7778162677</v>
      </c>
      <c r="T54" s="97">
        <f t="shared" si="17"/>
        <v>2705844.1777989473</v>
      </c>
      <c r="U54" s="97">
        <f t="shared" si="17"/>
        <v>2960835.5477894209</v>
      </c>
      <c r="V54" s="97">
        <f t="shared" si="17"/>
        <v>2432268.3012841814</v>
      </c>
      <c r="W54" s="97">
        <f t="shared" si="17"/>
        <v>3265450.0657062996</v>
      </c>
      <c r="X54" s="97">
        <f t="shared" si="17"/>
        <v>2940220.0361384647</v>
      </c>
      <c r="Y54" s="97">
        <f t="shared" si="17"/>
        <v>3501803.5198761555</v>
      </c>
      <c r="Z54" s="97">
        <f t="shared" si="17"/>
        <v>3630430.6859318856</v>
      </c>
      <c r="AA54" s="97">
        <f t="shared" si="17"/>
        <v>3479220.6272625374</v>
      </c>
      <c r="AB54" s="97">
        <f t="shared" si="17"/>
        <v>3806942.5949943955</v>
      </c>
      <c r="AC54" s="97">
        <f t="shared" si="17"/>
        <v>3902897.177246918</v>
      </c>
      <c r="AD54" s="97">
        <f t="shared" si="17"/>
        <v>3473800.9474858046</v>
      </c>
    </row>
    <row r="55" spans="2:30">
      <c r="C55" t="s">
        <v>42</v>
      </c>
      <c r="D55" t="s">
        <v>68</v>
      </c>
      <c r="F55" s="97" cm="1">
        <f t="array" ref="F55">INDEX(F$14:F$16,$B53)</f>
        <v>2724000</v>
      </c>
      <c r="G55" s="97" cm="1">
        <f t="array" ref="G55">INDEX(G$14:G$16,$B53)</f>
        <v>306000</v>
      </c>
      <c r="H55" s="97" cm="1">
        <f t="array" ref="H55">INDEX(H$14:H$16,$B53)</f>
        <v>934500</v>
      </c>
      <c r="I55" s="97" cm="1">
        <f t="array" ref="I55">INDEX(I$14:I$16,$B53)</f>
        <v>2535000</v>
      </c>
      <c r="J55" s="97" cm="1">
        <f t="array" ref="J55">INDEX(J$14:J$16,$B53)</f>
        <v>1273500</v>
      </c>
      <c r="K55" s="97" cm="1">
        <f t="array" ref="K55">INDEX(K$14:K$16,$B53)</f>
        <v>1741500</v>
      </c>
      <c r="L55" s="97" cm="1">
        <f t="array" ref="L55">INDEX(L$14:L$16,$B53)</f>
        <v>1219500</v>
      </c>
      <c r="M55" s="97" cm="1">
        <f t="array" ref="M55">INDEX(M$14:M$16,$B53)</f>
        <v>289500</v>
      </c>
      <c r="N55" s="97" cm="1">
        <f t="array" ref="N55">INDEX(N$14:N$16,$B53)</f>
        <v>1110000</v>
      </c>
      <c r="O55" s="97" cm="1">
        <f t="array" ref="O55">INDEX(O$14:O$16,$B53)</f>
        <v>2344500</v>
      </c>
      <c r="P55" s="97" cm="1">
        <f t="array" ref="P55">INDEX(P$14:P$16,$B53)</f>
        <v>1491000</v>
      </c>
      <c r="Q55" s="97" cm="1">
        <f t="array" ref="Q55">INDEX(Q$14:Q$16,$B53)</f>
        <v>2170500</v>
      </c>
      <c r="R55" s="97" cm="1">
        <f t="array" ref="R55">INDEX(R$14:R$16,$B53)</f>
        <v>1086000</v>
      </c>
      <c r="S55" s="97" cm="1">
        <f t="array" ref="S55">INDEX(S$14:S$16,$B53)</f>
        <v>1378500</v>
      </c>
      <c r="T55" s="97" cm="1">
        <f t="array" ref="T55">INDEX(T$14:T$16,$B53)</f>
        <v>1762500</v>
      </c>
      <c r="U55" s="97" cm="1">
        <f t="array" ref="U55">INDEX(U$14:U$16,$B53)</f>
        <v>525000</v>
      </c>
      <c r="V55" s="97" cm="1">
        <f t="array" ref="V55">INDEX(V$14:V$16,$B53)</f>
        <v>2467500</v>
      </c>
      <c r="W55" s="97" cm="1">
        <f t="array" ref="W55">INDEX(W$14:W$16,$B53)</f>
        <v>1002000</v>
      </c>
      <c r="X55" s="97" cm="1">
        <f t="array" ref="X55">INDEX(X$14:X$16,$B53)</f>
        <v>2256000</v>
      </c>
      <c r="Y55" s="97" cm="1">
        <f t="array" ref="Y55">INDEX(Y$14:Y$16,$B53)</f>
        <v>1852500</v>
      </c>
      <c r="Z55" s="97" cm="1">
        <f t="array" ref="Z55">INDEX(Z$14:Z$16,$B53)</f>
        <v>1392000</v>
      </c>
      <c r="AA55" s="97" cm="1">
        <f t="array" ref="AA55">INDEX(AA$14:AA$16,$B53)</f>
        <v>2055000</v>
      </c>
      <c r="AB55" s="97" cm="1">
        <f t="array" ref="AB55">INDEX(AB$14:AB$16,$B53)</f>
        <v>1827000</v>
      </c>
      <c r="AC55" s="97" cm="1">
        <f t="array" ref="AC55">INDEX(AC$14:AC$16,$B53)</f>
        <v>913500</v>
      </c>
      <c r="AD55" s="97" cm="1">
        <f t="array" ref="AD55">INDEX(AD$14:AD$16,$B53)</f>
        <v>1356000</v>
      </c>
    </row>
    <row r="56" spans="2:30" ht="14.4">
      <c r="C56" t="s">
        <v>72</v>
      </c>
      <c r="D56" t="s">
        <v>68</v>
      </c>
      <c r="E56" s="100">
        <f>CaseData!$G$11</f>
        <v>0.05</v>
      </c>
      <c r="F56" s="97">
        <f>SUM($F55:F55)*$E56</f>
        <v>136200</v>
      </c>
      <c r="G56" s="97">
        <f>SUM($F55:G55)*$E56</f>
        <v>151500</v>
      </c>
      <c r="H56" s="97">
        <f>SUM($F55:H55)*$E56</f>
        <v>198225</v>
      </c>
      <c r="I56" s="97">
        <f>SUM($F55:I55)*$E56</f>
        <v>324975</v>
      </c>
      <c r="J56" s="97">
        <f>SUM($F55:J55)*$E56</f>
        <v>388650</v>
      </c>
      <c r="K56" s="97">
        <f>SUM($F55:K55)*$E56</f>
        <v>475725</v>
      </c>
      <c r="L56" s="97">
        <f>SUM($F55:L55)*$E56</f>
        <v>536700</v>
      </c>
      <c r="M56" s="97">
        <f>SUM($F55:M55)*$E56</f>
        <v>551175</v>
      </c>
      <c r="N56" s="97">
        <f>SUM($F55:N55)*$E56</f>
        <v>606675</v>
      </c>
      <c r="O56" s="97">
        <f>SUM($F55:O55)*$E56</f>
        <v>723900</v>
      </c>
      <c r="P56" s="97">
        <f>SUM($F55:P55)*$E56</f>
        <v>798450</v>
      </c>
      <c r="Q56" s="97">
        <f>SUM($F55:Q55)*$E56</f>
        <v>906975</v>
      </c>
      <c r="R56" s="97">
        <f>SUM($F55:R55)*$E56</f>
        <v>961275</v>
      </c>
      <c r="S56" s="97">
        <f>SUM($F55:S55)*$E56</f>
        <v>1030200</v>
      </c>
      <c r="T56" s="97">
        <f>SUM($F55:T55)*$E56</f>
        <v>1118325</v>
      </c>
      <c r="U56" s="97">
        <f>SUM($F55:U55)*$E56</f>
        <v>1144575</v>
      </c>
      <c r="V56" s="97">
        <f>SUM($F55:V55)*$E56</f>
        <v>1267950</v>
      </c>
      <c r="W56" s="97">
        <f>SUM($F55:W55)*$E56</f>
        <v>1318050</v>
      </c>
      <c r="X56" s="97">
        <f>SUM($F55:X55)*$E56</f>
        <v>1430850</v>
      </c>
      <c r="Y56" s="97">
        <f>SUM($F55:Y55)*$E56</f>
        <v>1523475</v>
      </c>
      <c r="Z56" s="97">
        <f>SUM($F55:Z55)*$E56</f>
        <v>1593075</v>
      </c>
      <c r="AA56" s="97">
        <f>SUM($F55:AA55)*$E56</f>
        <v>1695825</v>
      </c>
      <c r="AB56" s="97">
        <f>SUM($F55:AB55)*$E56</f>
        <v>1787175</v>
      </c>
      <c r="AC56" s="97">
        <f>SUM($F55:AC55)*$E56</f>
        <v>1832850</v>
      </c>
      <c r="AD56" s="97">
        <f>SUM($F55:AD55)*$E56</f>
        <v>1900650</v>
      </c>
    </row>
    <row r="57" spans="2:30" ht="14.4">
      <c r="C57" t="s">
        <v>73</v>
      </c>
      <c r="D57" t="s">
        <v>68</v>
      </c>
      <c r="E57" s="100"/>
      <c r="F57" s="97">
        <f>SUM(F54:F55)-F56</f>
        <v>2587800</v>
      </c>
      <c r="G57" s="97">
        <f t="shared" ref="G57:AD57" si="18">SUM(G54:G55)-G56</f>
        <v>1713990</v>
      </c>
      <c r="H57" s="97">
        <f t="shared" si="18"/>
        <v>1830469.5</v>
      </c>
      <c r="I57" s="97">
        <f t="shared" si="18"/>
        <v>3415008.2250000001</v>
      </c>
      <c r="J57" s="97">
        <f t="shared" si="18"/>
        <v>3088079.5237499997</v>
      </c>
      <c r="K57" s="97">
        <f t="shared" si="18"/>
        <v>3352868.7380625</v>
      </c>
      <c r="L57" s="97">
        <f t="shared" si="18"/>
        <v>3002602.8059343752</v>
      </c>
      <c r="M57" s="97">
        <f t="shared" si="18"/>
        <v>1926456.5432639066</v>
      </c>
      <c r="N57" s="97">
        <f t="shared" si="18"/>
        <v>2114051.0987951485</v>
      </c>
      <c r="O57" s="97">
        <f t="shared" si="18"/>
        <v>3390003.1043373318</v>
      </c>
      <c r="P57" s="97">
        <f t="shared" si="18"/>
        <v>3280951.7073855326</v>
      </c>
      <c r="Q57" s="97">
        <f t="shared" si="18"/>
        <v>3866498.4390620431</v>
      </c>
      <c r="R57" s="97">
        <f t="shared" si="18"/>
        <v>3158274.1414841237</v>
      </c>
      <c r="S57" s="97">
        <f t="shared" si="18"/>
        <v>3046625.7778162677</v>
      </c>
      <c r="T57" s="97">
        <f t="shared" si="18"/>
        <v>3350019.1777989473</v>
      </c>
      <c r="U57" s="97">
        <f t="shared" si="18"/>
        <v>2341260.5477894209</v>
      </c>
      <c r="V57" s="97">
        <f t="shared" si="18"/>
        <v>3631818.301284181</v>
      </c>
      <c r="W57" s="97">
        <f t="shared" si="18"/>
        <v>2949400.0657062996</v>
      </c>
      <c r="X57" s="97">
        <f t="shared" si="18"/>
        <v>3765370.0361384647</v>
      </c>
      <c r="Y57" s="97">
        <f t="shared" si="18"/>
        <v>3830828.519876156</v>
      </c>
      <c r="Z57" s="97">
        <f t="shared" si="18"/>
        <v>3429355.6859318856</v>
      </c>
      <c r="AA57" s="97">
        <f t="shared" si="18"/>
        <v>3838395.6272625374</v>
      </c>
      <c r="AB57" s="97">
        <f t="shared" si="18"/>
        <v>3846767.594994396</v>
      </c>
      <c r="AC57" s="97">
        <f t="shared" si="18"/>
        <v>2983547.177246918</v>
      </c>
      <c r="AD57" s="97">
        <f t="shared" si="18"/>
        <v>2929150.9474858046</v>
      </c>
    </row>
    <row r="58" spans="2:30">
      <c r="C58" t="s">
        <v>2</v>
      </c>
      <c r="D58" t="s">
        <v>68</v>
      </c>
      <c r="F58" s="97">
        <f>-F57*$D53</f>
        <v>-1164510</v>
      </c>
      <c r="G58" s="97">
        <f t="shared" ref="G58:AD58" si="19">-G57*$D53</f>
        <v>-771295.5</v>
      </c>
      <c r="H58" s="97">
        <f t="shared" si="19"/>
        <v>-823711.27500000002</v>
      </c>
      <c r="I58" s="97">
        <f t="shared" si="19"/>
        <v>-1536753.7012500002</v>
      </c>
      <c r="J58" s="97">
        <f t="shared" si="19"/>
        <v>-1389635.7856874999</v>
      </c>
      <c r="K58" s="97">
        <f t="shared" si="19"/>
        <v>-1508790.9321281251</v>
      </c>
      <c r="L58" s="97">
        <f t="shared" si="19"/>
        <v>-1351171.2626704688</v>
      </c>
      <c r="M58" s="97">
        <f t="shared" si="19"/>
        <v>-866905.44446875795</v>
      </c>
      <c r="N58" s="97">
        <f t="shared" si="19"/>
        <v>-951322.99445781682</v>
      </c>
      <c r="O58" s="97">
        <f t="shared" si="19"/>
        <v>-1525501.3969517993</v>
      </c>
      <c r="P58" s="97">
        <f t="shared" si="19"/>
        <v>-1476428.2683234897</v>
      </c>
      <c r="Q58" s="97">
        <f t="shared" si="19"/>
        <v>-1739924.2975779194</v>
      </c>
      <c r="R58" s="97">
        <f t="shared" si="19"/>
        <v>-1421223.3636678557</v>
      </c>
      <c r="S58" s="97">
        <f t="shared" si="19"/>
        <v>-1370981.6000173206</v>
      </c>
      <c r="T58" s="97">
        <f t="shared" si="19"/>
        <v>-1507508.6300095264</v>
      </c>
      <c r="U58" s="97">
        <f t="shared" si="19"/>
        <v>-1053567.2465052395</v>
      </c>
      <c r="V58" s="97">
        <f t="shared" si="19"/>
        <v>-1634318.2355778816</v>
      </c>
      <c r="W58" s="97">
        <f t="shared" si="19"/>
        <v>-1327230.0295678349</v>
      </c>
      <c r="X58" s="97">
        <f t="shared" si="19"/>
        <v>-1694416.5162623092</v>
      </c>
      <c r="Y58" s="97">
        <f t="shared" si="19"/>
        <v>-1723872.8339442702</v>
      </c>
      <c r="Z58" s="97">
        <f t="shared" si="19"/>
        <v>-1543210.0586693485</v>
      </c>
      <c r="AA58" s="97">
        <f t="shared" si="19"/>
        <v>-1727278.0322681419</v>
      </c>
      <c r="AB58" s="97">
        <f t="shared" si="19"/>
        <v>-1731045.4177474782</v>
      </c>
      <c r="AC58" s="97">
        <f t="shared" si="19"/>
        <v>-1342596.2297611132</v>
      </c>
      <c r="AD58" s="97">
        <f t="shared" si="19"/>
        <v>-1318117.9263686121</v>
      </c>
    </row>
    <row r="59" spans="2:30" ht="14.4">
      <c r="C59" s="93" t="s">
        <v>12</v>
      </c>
      <c r="D59" t="s">
        <v>68</v>
      </c>
      <c r="F59" s="112">
        <f>SUM(F54:F55,F58)</f>
        <v>1559490</v>
      </c>
      <c r="G59" s="112">
        <f t="shared" ref="G59:AD59" si="20">SUM(G54:G55,G58)</f>
        <v>1094194.5</v>
      </c>
      <c r="H59" s="112">
        <f t="shared" si="20"/>
        <v>1204983.2250000001</v>
      </c>
      <c r="I59" s="112">
        <f t="shared" si="20"/>
        <v>2203229.5237499997</v>
      </c>
      <c r="J59" s="112">
        <f t="shared" si="20"/>
        <v>2087093.7380624998</v>
      </c>
      <c r="K59" s="112">
        <f t="shared" si="20"/>
        <v>2319802.8059343752</v>
      </c>
      <c r="L59" s="112">
        <f t="shared" si="20"/>
        <v>2188131.5432639066</v>
      </c>
      <c r="M59" s="112">
        <f t="shared" si="20"/>
        <v>1610726.0987951485</v>
      </c>
      <c r="N59" s="112">
        <f t="shared" si="20"/>
        <v>1769403.1043373318</v>
      </c>
      <c r="O59" s="112">
        <f t="shared" si="20"/>
        <v>2588401.7073855326</v>
      </c>
      <c r="P59" s="112">
        <f t="shared" si="20"/>
        <v>2602973.4390620431</v>
      </c>
      <c r="Q59" s="112">
        <f t="shared" si="20"/>
        <v>3033549.1414841237</v>
      </c>
      <c r="R59" s="112">
        <f t="shared" si="20"/>
        <v>2698325.7778162677</v>
      </c>
      <c r="S59" s="112">
        <f t="shared" si="20"/>
        <v>2705844.1777989473</v>
      </c>
      <c r="T59" s="112">
        <f t="shared" si="20"/>
        <v>2960835.5477894209</v>
      </c>
      <c r="U59" s="112">
        <f t="shared" si="20"/>
        <v>2432268.3012841814</v>
      </c>
      <c r="V59" s="112">
        <f t="shared" si="20"/>
        <v>3265450.0657062996</v>
      </c>
      <c r="W59" s="112">
        <f t="shared" si="20"/>
        <v>2940220.0361384647</v>
      </c>
      <c r="X59" s="112">
        <f t="shared" si="20"/>
        <v>3501803.5198761555</v>
      </c>
      <c r="Y59" s="112">
        <f t="shared" si="20"/>
        <v>3630430.6859318856</v>
      </c>
      <c r="Z59" s="112">
        <f t="shared" si="20"/>
        <v>3479220.6272625374</v>
      </c>
      <c r="AA59" s="112">
        <f t="shared" si="20"/>
        <v>3806942.5949943955</v>
      </c>
      <c r="AB59" s="112">
        <f t="shared" si="20"/>
        <v>3902897.177246918</v>
      </c>
      <c r="AC59" s="112">
        <f t="shared" si="20"/>
        <v>3473800.9474858046</v>
      </c>
      <c r="AD59" s="112">
        <f t="shared" si="20"/>
        <v>3511683.0211171927</v>
      </c>
    </row>
    <row r="61" spans="2:30" ht="14.4">
      <c r="B61" s="94">
        <v>2</v>
      </c>
      <c r="C61" s="93" t="str" cm="1">
        <f t="array" ref="C61">INDEX(ListAssetClasses1,B61)</f>
        <v>Medium Term</v>
      </c>
      <c r="D61" s="100">
        <f>INDEX(CaseData!$G$32:$I$32,MATCH($C61,CaseData!$G$31:$I$31,0))</f>
        <v>0.22500000000000001</v>
      </c>
    </row>
    <row r="62" spans="2:30">
      <c r="C62" t="s">
        <v>11</v>
      </c>
      <c r="D62" t="s">
        <v>68</v>
      </c>
      <c r="F62" s="97">
        <f>$F$29</f>
        <v>0</v>
      </c>
      <c r="G62" s="97">
        <f>F67</f>
        <v>2260861.875</v>
      </c>
      <c r="H62" s="97">
        <f t="shared" ref="H62:AD62" si="21">G67</f>
        <v>2441429.203125</v>
      </c>
      <c r="I62" s="97">
        <f t="shared" si="21"/>
        <v>2752342.6324218749</v>
      </c>
      <c r="J62" s="97">
        <f t="shared" si="21"/>
        <v>2898868.0401269533</v>
      </c>
      <c r="K62" s="97">
        <f t="shared" si="21"/>
        <v>3021438.3560983888</v>
      </c>
      <c r="L62" s="97">
        <f t="shared" si="21"/>
        <v>4522985.9759762511</v>
      </c>
      <c r="M62" s="97">
        <f t="shared" si="21"/>
        <v>3768513.5063815946</v>
      </c>
      <c r="N62" s="97">
        <f t="shared" si="21"/>
        <v>4293508.5924457358</v>
      </c>
      <c r="O62" s="97">
        <f t="shared" si="21"/>
        <v>5002732.9091454456</v>
      </c>
      <c r="P62" s="97">
        <f t="shared" si="21"/>
        <v>5396486.7545877201</v>
      </c>
      <c r="Q62" s="97">
        <f t="shared" si="21"/>
        <v>7032753.4848054834</v>
      </c>
      <c r="R62" s="97">
        <f t="shared" si="21"/>
        <v>6111428.3257242497</v>
      </c>
      <c r="S62" s="97">
        <f t="shared" si="21"/>
        <v>6054946.9524362935</v>
      </c>
      <c r="T62" s="97">
        <f t="shared" si="21"/>
        <v>6143777.6381381275</v>
      </c>
      <c r="U62" s="97">
        <f t="shared" si="21"/>
        <v>7045085.794557048</v>
      </c>
      <c r="V62" s="97">
        <f t="shared" si="21"/>
        <v>6002534.6157817123</v>
      </c>
      <c r="W62" s="97">
        <f t="shared" si="21"/>
        <v>7550078.7022308279</v>
      </c>
      <c r="X62" s="97">
        <f t="shared" si="21"/>
        <v>6646355.994228892</v>
      </c>
      <c r="Y62" s="97">
        <f t="shared" si="21"/>
        <v>6173382.1455273908</v>
      </c>
      <c r="Z62" s="97">
        <f t="shared" si="21"/>
        <v>6838189.912783728</v>
      </c>
      <c r="AA62" s="97">
        <f t="shared" si="21"/>
        <v>7227093.4324073885</v>
      </c>
      <c r="AB62" s="97">
        <f t="shared" si="21"/>
        <v>7593428.6601157263</v>
      </c>
      <c r="AC62" s="97">
        <f t="shared" si="21"/>
        <v>8038410.3365896875</v>
      </c>
      <c r="AD62" s="97">
        <f t="shared" si="21"/>
        <v>7688911.7608570065</v>
      </c>
    </row>
    <row r="63" spans="2:30">
      <c r="C63" t="s">
        <v>42</v>
      </c>
      <c r="D63" t="s">
        <v>68</v>
      </c>
      <c r="F63" s="97" cm="1">
        <f t="array" ref="F63">INDEX(F$14:F$16,$B61)</f>
        <v>2875500</v>
      </c>
      <c r="G63" s="97" cm="1">
        <f t="array" ref="G63">INDEX(G$14:G$16,$B61)</f>
        <v>835500</v>
      </c>
      <c r="H63" s="97" cm="1">
        <f t="array" ref="H63">INDEX(H$14:H$16,$B61)</f>
        <v>1041000</v>
      </c>
      <c r="I63" s="97" cm="1">
        <f t="array" ref="I63">INDEX(I$14:I$16,$B61)</f>
        <v>906000</v>
      </c>
      <c r="J63" s="97" cm="1">
        <f t="array" ref="J63">INDEX(J$14:J$16,$B61)</f>
        <v>904500</v>
      </c>
      <c r="K63" s="97" cm="1">
        <f t="array" ref="K63">INDEX(K$14:K$16,$B61)</f>
        <v>2680500</v>
      </c>
      <c r="L63" s="97" cm="1">
        <f t="array" ref="L63">INDEX(L$14:L$16,$B61)</f>
        <v>202500</v>
      </c>
      <c r="M63" s="97" cm="1">
        <f t="array" ref="M63">INDEX(M$14:M$16,$B61)</f>
        <v>1611000</v>
      </c>
      <c r="N63" s="97" cm="1">
        <f t="array" ref="N63">INDEX(N$14:N$16,$B61)</f>
        <v>1972500</v>
      </c>
      <c r="O63" s="97" cm="1">
        <f t="array" ref="O63">INDEX(O$14:O$16,$B61)</f>
        <v>1746000</v>
      </c>
      <c r="P63" s="97" cm="1">
        <f t="array" ref="P63">INDEX(P$14:P$16,$B61)</f>
        <v>3414000</v>
      </c>
      <c r="Q63" s="97" cm="1">
        <f t="array" ref="Q63">INDEX(Q$14:Q$16,$B61)</f>
        <v>580500</v>
      </c>
      <c r="R63" s="97" cm="1">
        <f t="array" ref="R63">INDEX(R$14:R$16,$B61)</f>
        <v>1408500</v>
      </c>
      <c r="S63" s="97" cm="1">
        <f t="array" ref="S63">INDEX(S$14:S$16,$B61)</f>
        <v>1557000</v>
      </c>
      <c r="T63" s="97" cm="1">
        <f t="array" ref="T63">INDEX(T$14:T$16,$B61)</f>
        <v>2593500</v>
      </c>
      <c r="U63" s="97" cm="1">
        <f t="array" ref="U63">INDEX(U$14:U$16,$B61)</f>
        <v>342000</v>
      </c>
      <c r="V63" s="97" cm="1">
        <f t="array" ref="V63">INDEX(V$14:V$16,$B61)</f>
        <v>3333000</v>
      </c>
      <c r="W63" s="97" cm="1">
        <f t="array" ref="W63">INDEX(W$14:W$16,$B61)</f>
        <v>610500</v>
      </c>
      <c r="X63" s="97" cm="1">
        <f t="array" ref="X63">INDEX(X$14:X$16,$B61)</f>
        <v>891000</v>
      </c>
      <c r="Y63" s="97" cm="1">
        <f t="array" ref="Y63">INDEX(Y$14:Y$16,$B61)</f>
        <v>2190000</v>
      </c>
      <c r="Z63" s="97" cm="1">
        <f t="array" ref="Z63">INDEX(Z$14:Z$16,$B61)</f>
        <v>1998000</v>
      </c>
      <c r="AA63" s="97" cm="1">
        <f t="array" ref="AA63">INDEX(AA$14:AA$16,$B61)</f>
        <v>2052000</v>
      </c>
      <c r="AB63" s="97" cm="1">
        <f t="array" ref="AB63">INDEX(AB$14:AB$16,$B61)</f>
        <v>2227500</v>
      </c>
      <c r="AC63" s="97" cm="1">
        <f t="array" ref="AC63">INDEX(AC$14:AC$16,$B61)</f>
        <v>1312500</v>
      </c>
      <c r="AD63" s="97" cm="1">
        <f t="array" ref="AD63">INDEX(AD$14:AD$16,$B61)</f>
        <v>2460000</v>
      </c>
    </row>
    <row r="64" spans="2:30" ht="14.4">
      <c r="C64" t="s">
        <v>72</v>
      </c>
      <c r="D64" t="s">
        <v>68</v>
      </c>
      <c r="E64" s="100">
        <f>CaseData!$G$11</f>
        <v>0.05</v>
      </c>
      <c r="F64" s="97">
        <f>SUM($F63:F63)*$E64</f>
        <v>143775</v>
      </c>
      <c r="G64" s="97">
        <f>SUM($F63:G63)*$E64</f>
        <v>185550</v>
      </c>
      <c r="H64" s="97">
        <f>SUM($F63:H63)*$E64</f>
        <v>237600</v>
      </c>
      <c r="I64" s="97">
        <f>SUM($F63:I63)*$E64</f>
        <v>282900</v>
      </c>
      <c r="J64" s="97">
        <f>SUM($F63:J63)*$E64</f>
        <v>328125</v>
      </c>
      <c r="K64" s="97">
        <f>SUM($F63:K63)*$E64</f>
        <v>462150</v>
      </c>
      <c r="L64" s="97">
        <f>SUM($F63:L63)*$E64</f>
        <v>472275</v>
      </c>
      <c r="M64" s="97">
        <f>SUM($F63:M63)*$E64</f>
        <v>552825</v>
      </c>
      <c r="N64" s="97">
        <f>SUM($F63:N63)*$E64</f>
        <v>651450</v>
      </c>
      <c r="O64" s="97">
        <f>SUM($F63:O63)*$E64</f>
        <v>738750</v>
      </c>
      <c r="P64" s="97">
        <f>SUM($F63:P63)*$E64</f>
        <v>909450</v>
      </c>
      <c r="Q64" s="97">
        <f>SUM($F63:Q63)*$E64</f>
        <v>938475</v>
      </c>
      <c r="R64" s="97">
        <f>SUM($F63:R63)*$E64</f>
        <v>1008900</v>
      </c>
      <c r="S64" s="97">
        <f>SUM($F63:S63)*$E64</f>
        <v>1086750</v>
      </c>
      <c r="T64" s="97">
        <f>SUM($F63:T63)*$E64</f>
        <v>1216425</v>
      </c>
      <c r="U64" s="97">
        <f>SUM($F63:U63)*$E64</f>
        <v>1233525</v>
      </c>
      <c r="V64" s="97">
        <f>SUM($F63:V63)*$E64</f>
        <v>1400175</v>
      </c>
      <c r="W64" s="97">
        <f>SUM($F63:W63)*$E64</f>
        <v>1430700</v>
      </c>
      <c r="X64" s="97">
        <f>SUM($F63:X63)*$E64</f>
        <v>1475250</v>
      </c>
      <c r="Y64" s="97">
        <f>SUM($F63:Y63)*$E64</f>
        <v>1584750</v>
      </c>
      <c r="Z64" s="97">
        <f>SUM($F63:Z63)*$E64</f>
        <v>1684650</v>
      </c>
      <c r="AA64" s="97">
        <f>SUM($F63:AA63)*$E64</f>
        <v>1787250</v>
      </c>
      <c r="AB64" s="97">
        <f>SUM($F63:AB63)*$E64</f>
        <v>1898625</v>
      </c>
      <c r="AC64" s="97">
        <f>SUM($F63:AC63)*$E64</f>
        <v>1964250</v>
      </c>
      <c r="AD64" s="97">
        <f>SUM($F63:AD63)*$E64</f>
        <v>2087250</v>
      </c>
    </row>
    <row r="65" spans="1:30" ht="14.4">
      <c r="C65" t="s">
        <v>73</v>
      </c>
      <c r="D65" t="s">
        <v>68</v>
      </c>
      <c r="E65" s="100"/>
      <c r="F65" s="97">
        <f>SUM(F62:F63)-F64</f>
        <v>2731725</v>
      </c>
      <c r="G65" s="97">
        <f t="shared" ref="G65" si="22">SUM(G62:G63)-G64</f>
        <v>2910811.875</v>
      </c>
      <c r="H65" s="97">
        <f t="shared" ref="H65" si="23">SUM(H62:H63)-H64</f>
        <v>3244829.203125</v>
      </c>
      <c r="I65" s="97">
        <f t="shared" ref="I65:AD65" si="24">SUM(I62:I63)-I64</f>
        <v>3375442.6324218749</v>
      </c>
      <c r="J65" s="97">
        <f t="shared" si="24"/>
        <v>3475243.0401269533</v>
      </c>
      <c r="K65" s="97">
        <f t="shared" si="24"/>
        <v>5239788.3560983893</v>
      </c>
      <c r="L65" s="97">
        <f t="shared" si="24"/>
        <v>4253210.9759762511</v>
      </c>
      <c r="M65" s="97">
        <f t="shared" si="24"/>
        <v>4826688.5063815946</v>
      </c>
      <c r="N65" s="97">
        <f t="shared" si="24"/>
        <v>5614558.5924457358</v>
      </c>
      <c r="O65" s="97">
        <f t="shared" si="24"/>
        <v>6009982.9091454456</v>
      </c>
      <c r="P65" s="97">
        <f t="shared" si="24"/>
        <v>7901036.7545877211</v>
      </c>
      <c r="Q65" s="97">
        <f t="shared" si="24"/>
        <v>6674778.4848054834</v>
      </c>
      <c r="R65" s="97">
        <f t="shared" si="24"/>
        <v>6511028.3257242497</v>
      </c>
      <c r="S65" s="97">
        <f t="shared" si="24"/>
        <v>6525196.9524362935</v>
      </c>
      <c r="T65" s="97">
        <f t="shared" si="24"/>
        <v>7520852.6381381266</v>
      </c>
      <c r="U65" s="97">
        <f t="shared" si="24"/>
        <v>6153560.794557048</v>
      </c>
      <c r="V65" s="97">
        <f t="shared" si="24"/>
        <v>7935359.6157817133</v>
      </c>
      <c r="W65" s="97">
        <f t="shared" si="24"/>
        <v>6729878.7022308279</v>
      </c>
      <c r="X65" s="97">
        <f t="shared" si="24"/>
        <v>6062105.994228892</v>
      </c>
      <c r="Y65" s="97">
        <f t="shared" si="24"/>
        <v>6778632.1455273908</v>
      </c>
      <c r="Z65" s="97">
        <f t="shared" si="24"/>
        <v>7151539.912783727</v>
      </c>
      <c r="AA65" s="97">
        <f t="shared" si="24"/>
        <v>7491843.4324073885</v>
      </c>
      <c r="AB65" s="97">
        <f t="shared" si="24"/>
        <v>7922303.6601157263</v>
      </c>
      <c r="AC65" s="97">
        <f t="shared" si="24"/>
        <v>7386660.3365896866</v>
      </c>
      <c r="AD65" s="97">
        <f t="shared" si="24"/>
        <v>8061661.7608570065</v>
      </c>
    </row>
    <row r="66" spans="1:30">
      <c r="C66" t="s">
        <v>2</v>
      </c>
      <c r="D66" t="s">
        <v>68</v>
      </c>
      <c r="F66" s="97">
        <f>-F65*$D61</f>
        <v>-614638.125</v>
      </c>
      <c r="G66" s="97">
        <f t="shared" ref="G66:AD66" si="25">-G65*$D61</f>
        <v>-654932.671875</v>
      </c>
      <c r="H66" s="97">
        <f t="shared" si="25"/>
        <v>-730086.57070312498</v>
      </c>
      <c r="I66" s="97">
        <f t="shared" si="25"/>
        <v>-759474.59229492187</v>
      </c>
      <c r="J66" s="97">
        <f t="shared" si="25"/>
        <v>-781929.68402856449</v>
      </c>
      <c r="K66" s="97">
        <f t="shared" si="25"/>
        <v>-1178952.3801221377</v>
      </c>
      <c r="L66" s="97">
        <f t="shared" si="25"/>
        <v>-956972.46959465649</v>
      </c>
      <c r="M66" s="97">
        <f t="shared" si="25"/>
        <v>-1086004.9139358588</v>
      </c>
      <c r="N66" s="97">
        <f t="shared" si="25"/>
        <v>-1263275.6833002905</v>
      </c>
      <c r="O66" s="97">
        <f t="shared" si="25"/>
        <v>-1352246.1545577252</v>
      </c>
      <c r="P66" s="97">
        <f t="shared" si="25"/>
        <v>-1777733.2697822372</v>
      </c>
      <c r="Q66" s="97">
        <f t="shared" si="25"/>
        <v>-1501825.1590812339</v>
      </c>
      <c r="R66" s="97">
        <f t="shared" si="25"/>
        <v>-1464981.3732879562</v>
      </c>
      <c r="S66" s="97">
        <f t="shared" si="25"/>
        <v>-1468169.314298166</v>
      </c>
      <c r="T66" s="97">
        <f t="shared" si="25"/>
        <v>-1692191.8435810786</v>
      </c>
      <c r="U66" s="97">
        <f t="shared" si="25"/>
        <v>-1384551.1787753359</v>
      </c>
      <c r="V66" s="97">
        <f t="shared" si="25"/>
        <v>-1785455.9135508856</v>
      </c>
      <c r="W66" s="97">
        <f t="shared" si="25"/>
        <v>-1514222.7080019363</v>
      </c>
      <c r="X66" s="97">
        <f t="shared" si="25"/>
        <v>-1363973.8487015008</v>
      </c>
      <c r="Y66" s="97">
        <f t="shared" si="25"/>
        <v>-1525192.232743663</v>
      </c>
      <c r="Z66" s="97">
        <f t="shared" si="25"/>
        <v>-1609096.4803763386</v>
      </c>
      <c r="AA66" s="97">
        <f t="shared" si="25"/>
        <v>-1685664.7722916624</v>
      </c>
      <c r="AB66" s="97">
        <f t="shared" si="25"/>
        <v>-1782518.3235260386</v>
      </c>
      <c r="AC66" s="97">
        <f t="shared" si="25"/>
        <v>-1661998.5757326796</v>
      </c>
      <c r="AD66" s="97">
        <f t="shared" si="25"/>
        <v>-1813873.8961928266</v>
      </c>
    </row>
    <row r="67" spans="1:30" ht="14.4">
      <c r="C67" s="93" t="s">
        <v>12</v>
      </c>
      <c r="D67" t="s">
        <v>68</v>
      </c>
      <c r="F67" s="112">
        <f>SUM(F62:F63,F66)</f>
        <v>2260861.875</v>
      </c>
      <c r="G67" s="112">
        <f t="shared" ref="G67:AD67" si="26">SUM(G62:G63,G66)</f>
        <v>2441429.203125</v>
      </c>
      <c r="H67" s="112">
        <f t="shared" si="26"/>
        <v>2752342.6324218749</v>
      </c>
      <c r="I67" s="112">
        <f t="shared" si="26"/>
        <v>2898868.0401269533</v>
      </c>
      <c r="J67" s="112">
        <f t="shared" si="26"/>
        <v>3021438.3560983888</v>
      </c>
      <c r="K67" s="112">
        <f t="shared" si="26"/>
        <v>4522985.9759762511</v>
      </c>
      <c r="L67" s="112">
        <f t="shared" si="26"/>
        <v>3768513.5063815946</v>
      </c>
      <c r="M67" s="112">
        <f t="shared" si="26"/>
        <v>4293508.5924457358</v>
      </c>
      <c r="N67" s="112">
        <f t="shared" si="26"/>
        <v>5002732.9091454456</v>
      </c>
      <c r="O67" s="112">
        <f t="shared" si="26"/>
        <v>5396486.7545877201</v>
      </c>
      <c r="P67" s="112">
        <f t="shared" si="26"/>
        <v>7032753.4848054834</v>
      </c>
      <c r="Q67" s="112">
        <f t="shared" si="26"/>
        <v>6111428.3257242497</v>
      </c>
      <c r="R67" s="112">
        <f t="shared" si="26"/>
        <v>6054946.9524362935</v>
      </c>
      <c r="S67" s="112">
        <f t="shared" si="26"/>
        <v>6143777.6381381275</v>
      </c>
      <c r="T67" s="112">
        <f t="shared" si="26"/>
        <v>7045085.794557048</v>
      </c>
      <c r="U67" s="112">
        <f t="shared" si="26"/>
        <v>6002534.6157817123</v>
      </c>
      <c r="V67" s="112">
        <f t="shared" si="26"/>
        <v>7550078.7022308279</v>
      </c>
      <c r="W67" s="112">
        <f t="shared" si="26"/>
        <v>6646355.994228892</v>
      </c>
      <c r="X67" s="112">
        <f t="shared" si="26"/>
        <v>6173382.1455273908</v>
      </c>
      <c r="Y67" s="112">
        <f t="shared" si="26"/>
        <v>6838189.912783728</v>
      </c>
      <c r="Z67" s="112">
        <f t="shared" si="26"/>
        <v>7227093.4324073885</v>
      </c>
      <c r="AA67" s="112">
        <f t="shared" si="26"/>
        <v>7593428.6601157263</v>
      </c>
      <c r="AB67" s="112">
        <f t="shared" si="26"/>
        <v>8038410.3365896875</v>
      </c>
      <c r="AC67" s="112">
        <f t="shared" si="26"/>
        <v>7688911.7608570065</v>
      </c>
      <c r="AD67" s="112">
        <f t="shared" si="26"/>
        <v>8335037.8646641802</v>
      </c>
    </row>
    <row r="69" spans="1:30" ht="14.4">
      <c r="B69" s="94">
        <v>3</v>
      </c>
      <c r="C69" s="93" t="str" cm="1">
        <f t="array" ref="C69">INDEX(ListAssetClasses1,B69)</f>
        <v>Long Term</v>
      </c>
      <c r="D69" s="100">
        <f>INDEX(CaseData!$G$32:$I$32,MATCH($C69,CaseData!$G$31:$I$31,0))</f>
        <v>0.15</v>
      </c>
    </row>
    <row r="70" spans="1:30">
      <c r="C70" t="s">
        <v>11</v>
      </c>
      <c r="D70" t="s">
        <v>68</v>
      </c>
      <c r="F70" s="97">
        <f>$F$29</f>
        <v>0</v>
      </c>
      <c r="G70" s="97">
        <f>F75</f>
        <v>2909497.5</v>
      </c>
      <c r="H70" s="97">
        <f t="shared" ref="H70:AD70" si="27">G75</f>
        <v>3074760.375</v>
      </c>
      <c r="I70" s="97">
        <f t="shared" si="27"/>
        <v>4641580.0687499996</v>
      </c>
      <c r="J70" s="97">
        <f t="shared" si="27"/>
        <v>4479504.3084375001</v>
      </c>
      <c r="K70" s="97">
        <f t="shared" si="27"/>
        <v>5925507.4121718751</v>
      </c>
      <c r="L70" s="97">
        <f t="shared" si="27"/>
        <v>7266573.8003460933</v>
      </c>
      <c r="M70" s="97">
        <f t="shared" si="27"/>
        <v>8060073.9802941792</v>
      </c>
      <c r="N70" s="97">
        <f t="shared" si="27"/>
        <v>7065255.3832500521</v>
      </c>
      <c r="O70" s="97">
        <f t="shared" si="27"/>
        <v>6111284.5757625438</v>
      </c>
      <c r="P70" s="97">
        <f t="shared" si="27"/>
        <v>6034858.1393981623</v>
      </c>
      <c r="Q70" s="97">
        <f t="shared" si="27"/>
        <v>6313316.9184884382</v>
      </c>
      <c r="R70" s="97">
        <f t="shared" si="27"/>
        <v>6727876.8807151727</v>
      </c>
      <c r="S70" s="97">
        <f t="shared" si="27"/>
        <v>6352790.3486078968</v>
      </c>
      <c r="T70" s="97">
        <f t="shared" si="27"/>
        <v>7831386.7963167131</v>
      </c>
      <c r="U70" s="97">
        <f t="shared" si="27"/>
        <v>8355807.5268692058</v>
      </c>
      <c r="V70" s="97">
        <f t="shared" si="27"/>
        <v>8866503.8978388254</v>
      </c>
      <c r="W70" s="97">
        <f t="shared" si="27"/>
        <v>9063715.8131630011</v>
      </c>
      <c r="X70" s="97">
        <f t="shared" si="27"/>
        <v>9201930.9411885515</v>
      </c>
      <c r="Y70" s="97">
        <f t="shared" si="27"/>
        <v>8454862.5500102695</v>
      </c>
      <c r="Z70" s="97">
        <f t="shared" si="27"/>
        <v>7893035.6675087288</v>
      </c>
      <c r="AA70" s="97">
        <f t="shared" si="27"/>
        <v>8423089.0673824195</v>
      </c>
      <c r="AB70" s="97">
        <f t="shared" si="27"/>
        <v>8630776.9572750572</v>
      </c>
      <c r="AC70" s="97">
        <f t="shared" si="27"/>
        <v>8186630.4136837982</v>
      </c>
      <c r="AD70" s="97">
        <f t="shared" si="27"/>
        <v>8799717.1016312279</v>
      </c>
    </row>
    <row r="71" spans="1:30">
      <c r="C71" t="s">
        <v>42</v>
      </c>
      <c r="D71" t="s">
        <v>68</v>
      </c>
      <c r="F71" s="97" cm="1">
        <f t="array" ref="F71">INDEX(F$14:F$16,$B69)</f>
        <v>3393000</v>
      </c>
      <c r="G71" s="97" cm="1">
        <f t="array" ref="G71">INDEX(G$14:G$16,$B69)</f>
        <v>672000</v>
      </c>
      <c r="H71" s="97" cm="1">
        <f t="array" ref="H71">INDEX(H$14:H$16,$B69)</f>
        <v>2329500</v>
      </c>
      <c r="I71" s="97" cm="1">
        <f t="array" ref="I71">INDEX(I$14:I$16,$B69)</f>
        <v>567000</v>
      </c>
      <c r="J71" s="97" cm="1">
        <f t="array" ref="J71">INDEX(J$14:J$16,$B69)</f>
        <v>2409000</v>
      </c>
      <c r="K71" s="97" cm="1">
        <f t="array" ref="K71">INDEX(K$14:K$16,$B69)</f>
        <v>2518500</v>
      </c>
      <c r="L71" s="97" cm="1">
        <f t="array" ref="L71">INDEX(L$14:L$16,$B69)</f>
        <v>2092500</v>
      </c>
      <c r="M71" s="97" cm="1">
        <f t="array" ref="M71">INDEX(M$14:M$16,$B69)</f>
        <v>127500</v>
      </c>
      <c r="N71" s="97" cm="1">
        <f t="array" ref="N71">INDEX(N$14:N$16,$B69)</f>
        <v>0</v>
      </c>
      <c r="O71" s="97" cm="1">
        <f t="array" ref="O71">INDEX(O$14:O$16,$B69)</f>
        <v>856500</v>
      </c>
      <c r="P71" s="97" cm="1">
        <f t="array" ref="P71">INDEX(P$14:P$16,$B69)</f>
        <v>1249500</v>
      </c>
      <c r="Q71" s="97" cm="1">
        <f t="array" ref="Q71">INDEX(Q$14:Q$16,$B69)</f>
        <v>1446000</v>
      </c>
      <c r="R71" s="97" cm="1">
        <f t="array" ref="R71">INDEX(R$14:R$16,$B69)</f>
        <v>585000</v>
      </c>
      <c r="S71" s="97" cm="1">
        <f t="array" ref="S71">INDEX(S$14:S$16,$B69)</f>
        <v>2676000</v>
      </c>
      <c r="T71" s="97" cm="1">
        <f t="array" ref="T71">INDEX(T$14:T$16,$B69)</f>
        <v>1798500</v>
      </c>
      <c r="U71" s="97" cm="1">
        <f t="array" ref="U71">INDEX(U$14:U$16,$B69)</f>
        <v>1858500</v>
      </c>
      <c r="V71" s="97" cm="1">
        <f t="array" ref="V71">INDEX(V$14:V$16,$B69)</f>
        <v>1566000</v>
      </c>
      <c r="W71" s="97" cm="1">
        <f t="array" ref="W71">INDEX(W$14:W$16,$B69)</f>
        <v>1518000</v>
      </c>
      <c r="X71" s="97" cm="1">
        <f t="array" ref="X71">INDEX(X$14:X$16,$B69)</f>
        <v>496500</v>
      </c>
      <c r="Y71" s="97" cm="1">
        <f t="array" ref="Y71">INDEX(Y$14:Y$16,$B69)</f>
        <v>577500</v>
      </c>
      <c r="Z71" s="97" cm="1">
        <f t="array" ref="Z71">INDEX(Z$14:Z$16,$B69)</f>
        <v>1747500</v>
      </c>
      <c r="AA71" s="97" cm="1">
        <f t="array" ref="AA71">INDEX(AA$14:AA$16,$B69)</f>
        <v>1449000</v>
      </c>
      <c r="AB71" s="97" cm="1">
        <f t="array" ref="AB71">INDEX(AB$14:AB$16,$B69)</f>
        <v>712500</v>
      </c>
      <c r="AC71" s="97" cm="1">
        <f t="array" ref="AC71">INDEX(AC$14:AC$16,$B69)</f>
        <v>1861500</v>
      </c>
      <c r="AD71" s="97" cm="1">
        <f t="array" ref="AD71">INDEX(AD$14:AD$16,$B69)</f>
        <v>2253000</v>
      </c>
    </row>
    <row r="72" spans="1:30" ht="14.4">
      <c r="C72" t="s">
        <v>72</v>
      </c>
      <c r="D72" t="s">
        <v>68</v>
      </c>
      <c r="E72" s="100">
        <f>CaseData!$G$11</f>
        <v>0.05</v>
      </c>
      <c r="F72" s="97">
        <f>SUM($F71:F71)*$E72</f>
        <v>169650</v>
      </c>
      <c r="G72" s="97">
        <f>SUM($F71:G71)*$E72</f>
        <v>203250</v>
      </c>
      <c r="H72" s="97">
        <f>SUM($F71:H71)*$E72</f>
        <v>319725</v>
      </c>
      <c r="I72" s="97">
        <f>SUM($F71:I71)*$E72</f>
        <v>348075</v>
      </c>
      <c r="J72" s="97">
        <f>SUM($F71:J71)*$E72</f>
        <v>468525</v>
      </c>
      <c r="K72" s="97">
        <f>SUM($F71:K71)*$E72</f>
        <v>594450</v>
      </c>
      <c r="L72" s="97">
        <f>SUM($F71:L71)*$E72</f>
        <v>699075</v>
      </c>
      <c r="M72" s="97">
        <f>SUM($F71:M71)*$E72</f>
        <v>705450</v>
      </c>
      <c r="N72" s="97">
        <f>SUM($F71:N71)*$E72</f>
        <v>705450</v>
      </c>
      <c r="O72" s="97">
        <f>SUM($F71:O71)*$E72</f>
        <v>748275</v>
      </c>
      <c r="P72" s="97">
        <f>SUM($F71:P71)*$E72</f>
        <v>810750</v>
      </c>
      <c r="Q72" s="97">
        <f>SUM($F71:Q71)*$E72</f>
        <v>883050</v>
      </c>
      <c r="R72" s="97">
        <f>SUM($F71:R71)*$E72</f>
        <v>912300</v>
      </c>
      <c r="S72" s="97">
        <f>SUM($F71:S71)*$E72</f>
        <v>1046100</v>
      </c>
      <c r="T72" s="97">
        <f>SUM($F71:T71)*$E72</f>
        <v>1136025</v>
      </c>
      <c r="U72" s="97">
        <f>SUM($F71:U71)*$E72</f>
        <v>1228950</v>
      </c>
      <c r="V72" s="97">
        <f>SUM($F71:V71)*$E72</f>
        <v>1307250</v>
      </c>
      <c r="W72" s="97">
        <f>SUM($F71:W71)*$E72</f>
        <v>1383150</v>
      </c>
      <c r="X72" s="97">
        <f>SUM($F71:X71)*$E72</f>
        <v>1407975</v>
      </c>
      <c r="Y72" s="97">
        <f>SUM($F71:Y71)*$E72</f>
        <v>1436850</v>
      </c>
      <c r="Z72" s="97">
        <f>SUM($F71:Z71)*$E72</f>
        <v>1524225</v>
      </c>
      <c r="AA72" s="97">
        <f>SUM($F71:AA71)*$E72</f>
        <v>1596675</v>
      </c>
      <c r="AB72" s="97">
        <f>SUM($F71:AB71)*$E72</f>
        <v>1632300</v>
      </c>
      <c r="AC72" s="97">
        <f>SUM($F71:AC71)*$E72</f>
        <v>1725375</v>
      </c>
      <c r="AD72" s="97">
        <f>SUM($F71:AD71)*$E72</f>
        <v>1838025</v>
      </c>
    </row>
    <row r="73" spans="1:30" ht="14.4">
      <c r="C73" t="s">
        <v>73</v>
      </c>
      <c r="D73" t="s">
        <v>68</v>
      </c>
      <c r="E73" s="100"/>
      <c r="F73" s="97">
        <f>SUM(F70:F71)-F72</f>
        <v>3223350</v>
      </c>
      <c r="G73" s="97">
        <f t="shared" ref="G73" si="28">SUM(G70:G71)-G72</f>
        <v>3378247.5</v>
      </c>
      <c r="H73" s="97">
        <f t="shared" ref="H73" si="29">SUM(H70:H71)-H72</f>
        <v>5084535.375</v>
      </c>
      <c r="I73" s="97">
        <f t="shared" ref="I73:AD73" si="30">SUM(I70:I71)-I72</f>
        <v>4860505.0687499996</v>
      </c>
      <c r="J73" s="97">
        <f t="shared" si="30"/>
        <v>6419979.3084375001</v>
      </c>
      <c r="K73" s="97">
        <f t="shared" si="30"/>
        <v>7849557.4121718742</v>
      </c>
      <c r="L73" s="97">
        <f t="shared" si="30"/>
        <v>8659998.8003460933</v>
      </c>
      <c r="M73" s="97">
        <f t="shared" si="30"/>
        <v>7482123.9802941792</v>
      </c>
      <c r="N73" s="97">
        <f t="shared" si="30"/>
        <v>6359805.3832500521</v>
      </c>
      <c r="O73" s="97">
        <f t="shared" si="30"/>
        <v>6219509.5757625438</v>
      </c>
      <c r="P73" s="97">
        <f t="shared" si="30"/>
        <v>6473608.1393981623</v>
      </c>
      <c r="Q73" s="97">
        <f t="shared" si="30"/>
        <v>6876266.9184884382</v>
      </c>
      <c r="R73" s="97">
        <f t="shared" si="30"/>
        <v>6400576.8807151727</v>
      </c>
      <c r="S73" s="97">
        <f t="shared" si="30"/>
        <v>7982690.3486078978</v>
      </c>
      <c r="T73" s="97">
        <f t="shared" si="30"/>
        <v>8493861.7963167131</v>
      </c>
      <c r="U73" s="97">
        <f t="shared" si="30"/>
        <v>8985357.5268692058</v>
      </c>
      <c r="V73" s="97">
        <f t="shared" si="30"/>
        <v>9125253.8978388254</v>
      </c>
      <c r="W73" s="97">
        <f t="shared" si="30"/>
        <v>9198565.8131630011</v>
      </c>
      <c r="X73" s="97">
        <f t="shared" si="30"/>
        <v>8290455.9411885515</v>
      </c>
      <c r="Y73" s="97">
        <f t="shared" si="30"/>
        <v>7595512.5500102695</v>
      </c>
      <c r="Z73" s="97">
        <f t="shared" si="30"/>
        <v>8116310.6675087288</v>
      </c>
      <c r="AA73" s="97">
        <f t="shared" si="30"/>
        <v>8275414.0673824195</v>
      </c>
      <c r="AB73" s="97">
        <f t="shared" si="30"/>
        <v>7710976.9572750572</v>
      </c>
      <c r="AC73" s="97">
        <f t="shared" si="30"/>
        <v>8322755.4136837982</v>
      </c>
      <c r="AD73" s="97">
        <f t="shared" si="30"/>
        <v>9214692.1016312279</v>
      </c>
    </row>
    <row r="74" spans="1:30">
      <c r="C74" t="s">
        <v>2</v>
      </c>
      <c r="D74" t="s">
        <v>68</v>
      </c>
      <c r="F74" s="97">
        <f>-F73*$D69</f>
        <v>-483502.5</v>
      </c>
      <c r="G74" s="97">
        <f t="shared" ref="G74:AD74" si="31">-G73*$D69</f>
        <v>-506737.125</v>
      </c>
      <c r="H74" s="97">
        <f t="shared" si="31"/>
        <v>-762680.30625000002</v>
      </c>
      <c r="I74" s="97">
        <f t="shared" si="31"/>
        <v>-729075.76031249994</v>
      </c>
      <c r="J74" s="97">
        <f t="shared" si="31"/>
        <v>-962996.89626562502</v>
      </c>
      <c r="K74" s="97">
        <f t="shared" si="31"/>
        <v>-1177433.6118257812</v>
      </c>
      <c r="L74" s="97">
        <f t="shared" si="31"/>
        <v>-1298999.8200519138</v>
      </c>
      <c r="M74" s="97">
        <f t="shared" si="31"/>
        <v>-1122318.5970441268</v>
      </c>
      <c r="N74" s="97">
        <f t="shared" si="31"/>
        <v>-953970.80748750782</v>
      </c>
      <c r="O74" s="97">
        <f t="shared" si="31"/>
        <v>-932926.43636438157</v>
      </c>
      <c r="P74" s="97">
        <f t="shared" si="31"/>
        <v>-971041.22090972424</v>
      </c>
      <c r="Q74" s="97">
        <f t="shared" si="31"/>
        <v>-1031440.0377732657</v>
      </c>
      <c r="R74" s="97">
        <f t="shared" si="31"/>
        <v>-960086.53210727591</v>
      </c>
      <c r="S74" s="97">
        <f t="shared" si="31"/>
        <v>-1197403.5522911847</v>
      </c>
      <c r="T74" s="97">
        <f t="shared" si="31"/>
        <v>-1274079.2694475069</v>
      </c>
      <c r="U74" s="97">
        <f t="shared" si="31"/>
        <v>-1347803.6290303809</v>
      </c>
      <c r="V74" s="97">
        <f t="shared" si="31"/>
        <v>-1368788.0846758238</v>
      </c>
      <c r="W74" s="97">
        <f t="shared" si="31"/>
        <v>-1379784.8719744501</v>
      </c>
      <c r="X74" s="97">
        <f t="shared" si="31"/>
        <v>-1243568.3911782827</v>
      </c>
      <c r="Y74" s="97">
        <f t="shared" si="31"/>
        <v>-1139326.8825015405</v>
      </c>
      <c r="Z74" s="97">
        <f t="shared" si="31"/>
        <v>-1217446.6001263093</v>
      </c>
      <c r="AA74" s="97">
        <f t="shared" si="31"/>
        <v>-1241312.110107363</v>
      </c>
      <c r="AB74" s="97">
        <f t="shared" si="31"/>
        <v>-1156646.5435912586</v>
      </c>
      <c r="AC74" s="97">
        <f t="shared" si="31"/>
        <v>-1248413.3120525696</v>
      </c>
      <c r="AD74" s="97">
        <f t="shared" si="31"/>
        <v>-1382203.8152446842</v>
      </c>
    </row>
    <row r="75" spans="1:30" ht="14.4">
      <c r="C75" s="93" t="s">
        <v>12</v>
      </c>
      <c r="D75" t="s">
        <v>68</v>
      </c>
      <c r="F75" s="112">
        <f>SUM(F70:F71,F74)</f>
        <v>2909497.5</v>
      </c>
      <c r="G75" s="112">
        <f t="shared" ref="G75:AD75" si="32">SUM(G70:G71,G74)</f>
        <v>3074760.375</v>
      </c>
      <c r="H75" s="112">
        <f t="shared" si="32"/>
        <v>4641580.0687499996</v>
      </c>
      <c r="I75" s="112">
        <f t="shared" si="32"/>
        <v>4479504.3084375001</v>
      </c>
      <c r="J75" s="112">
        <f t="shared" si="32"/>
        <v>5925507.4121718751</v>
      </c>
      <c r="K75" s="112">
        <f t="shared" si="32"/>
        <v>7266573.8003460933</v>
      </c>
      <c r="L75" s="112">
        <f t="shared" si="32"/>
        <v>8060073.9802941792</v>
      </c>
      <c r="M75" s="112">
        <f t="shared" si="32"/>
        <v>7065255.3832500521</v>
      </c>
      <c r="N75" s="112">
        <f t="shared" si="32"/>
        <v>6111284.5757625438</v>
      </c>
      <c r="O75" s="112">
        <f t="shared" si="32"/>
        <v>6034858.1393981623</v>
      </c>
      <c r="P75" s="112">
        <f t="shared" si="32"/>
        <v>6313316.9184884382</v>
      </c>
      <c r="Q75" s="112">
        <f t="shared" si="32"/>
        <v>6727876.8807151727</v>
      </c>
      <c r="R75" s="112">
        <f t="shared" si="32"/>
        <v>6352790.3486078968</v>
      </c>
      <c r="S75" s="112">
        <f t="shared" si="32"/>
        <v>7831386.7963167131</v>
      </c>
      <c r="T75" s="112">
        <f t="shared" si="32"/>
        <v>8355807.5268692058</v>
      </c>
      <c r="U75" s="112">
        <f t="shared" si="32"/>
        <v>8866503.8978388254</v>
      </c>
      <c r="V75" s="112">
        <f t="shared" si="32"/>
        <v>9063715.8131630011</v>
      </c>
      <c r="W75" s="112">
        <f t="shared" si="32"/>
        <v>9201930.9411885515</v>
      </c>
      <c r="X75" s="112">
        <f t="shared" si="32"/>
        <v>8454862.5500102695</v>
      </c>
      <c r="Y75" s="112">
        <f t="shared" si="32"/>
        <v>7893035.6675087288</v>
      </c>
      <c r="Z75" s="112">
        <f t="shared" si="32"/>
        <v>8423089.0673824195</v>
      </c>
      <c r="AA75" s="112">
        <f t="shared" si="32"/>
        <v>8630776.9572750572</v>
      </c>
      <c r="AB75" s="112">
        <f t="shared" si="32"/>
        <v>8186630.4136837982</v>
      </c>
      <c r="AC75" s="112">
        <f t="shared" si="32"/>
        <v>8799717.1016312279</v>
      </c>
      <c r="AD75" s="112">
        <f t="shared" si="32"/>
        <v>9670513.2863865439</v>
      </c>
    </row>
    <row r="77" spans="1:30" ht="14.4">
      <c r="A77" s="90">
        <f>MAX(A$11:A76)+1</f>
        <v>5</v>
      </c>
      <c r="B77" s="90"/>
      <c r="C77" s="90" t="s">
        <v>1</v>
      </c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</row>
    <row r="78" spans="1:30" ht="14.4">
      <c r="C78" s="91" t="s">
        <v>66</v>
      </c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</row>
    <row r="79" spans="1:30" ht="14.4">
      <c r="C79" s="93" t="s">
        <v>4</v>
      </c>
      <c r="D79" s="93" t="s">
        <v>74</v>
      </c>
      <c r="E79" s="93"/>
    </row>
    <row r="80" spans="1:30" ht="14.4">
      <c r="B80" s="94">
        <v>1</v>
      </c>
      <c r="C80" t="str" cm="1">
        <f t="array" ref="C80">INDEX(ListAssetClasses1,B80)</f>
        <v>Short Term</v>
      </c>
      <c r="D80">
        <f>INDEX(CaseData!$G$33:$I$33,MATCH(C80,CaseData!$G$31:$I$31,0))</f>
        <v>5</v>
      </c>
      <c r="F80" s="97">
        <f t="shared" ref="F80:AD80" si="33">F131</f>
        <v>517560</v>
      </c>
      <c r="G80" s="97">
        <f t="shared" si="33"/>
        <v>575700</v>
      </c>
      <c r="H80" s="97">
        <f t="shared" si="33"/>
        <v>753255</v>
      </c>
      <c r="I80" s="97">
        <f t="shared" si="33"/>
        <v>1234905</v>
      </c>
      <c r="J80" s="97">
        <f t="shared" si="33"/>
        <v>1476870</v>
      </c>
      <c r="K80" s="97">
        <f t="shared" si="33"/>
        <v>1290195</v>
      </c>
      <c r="L80" s="97">
        <f t="shared" si="33"/>
        <v>1463760</v>
      </c>
      <c r="M80" s="97">
        <f t="shared" si="33"/>
        <v>1341210</v>
      </c>
      <c r="N80" s="97">
        <f t="shared" si="33"/>
        <v>1070460</v>
      </c>
      <c r="O80" s="97">
        <f t="shared" si="33"/>
        <v>1273950</v>
      </c>
      <c r="P80" s="97">
        <f t="shared" si="33"/>
        <v>1226355</v>
      </c>
      <c r="Q80" s="97">
        <f t="shared" si="33"/>
        <v>1407045</v>
      </c>
      <c r="R80" s="97">
        <f t="shared" si="33"/>
        <v>1558380</v>
      </c>
      <c r="S80" s="97">
        <f t="shared" si="33"/>
        <v>1609395</v>
      </c>
      <c r="T80" s="97">
        <f t="shared" si="33"/>
        <v>1498815</v>
      </c>
      <c r="U80" s="97">
        <f t="shared" si="33"/>
        <v>1315275</v>
      </c>
      <c r="V80" s="97">
        <f t="shared" si="33"/>
        <v>1371705</v>
      </c>
      <c r="W80" s="97">
        <f t="shared" si="33"/>
        <v>1355745</v>
      </c>
      <c r="X80" s="97">
        <f t="shared" si="33"/>
        <v>1522470</v>
      </c>
      <c r="Y80" s="97">
        <f t="shared" si="33"/>
        <v>1539570</v>
      </c>
      <c r="Z80" s="97">
        <f t="shared" si="33"/>
        <v>1704300</v>
      </c>
      <c r="AA80" s="97">
        <f t="shared" si="33"/>
        <v>1625925</v>
      </c>
      <c r="AB80" s="97">
        <f t="shared" si="33"/>
        <v>1782675</v>
      </c>
      <c r="AC80" s="97">
        <f t="shared" si="33"/>
        <v>1527600</v>
      </c>
      <c r="AD80" s="97">
        <f t="shared" si="33"/>
        <v>1433265</v>
      </c>
    </row>
    <row r="81" spans="2:30">
      <c r="B81">
        <f>B80+1</f>
        <v>2</v>
      </c>
      <c r="C81" t="str" cm="1">
        <f t="array" ref="C81">INDEX(ListAssetClasses1,B81)</f>
        <v>Medium Term</v>
      </c>
      <c r="D81">
        <f>INDEX(CaseData!$G$33:$I$33,MATCH(C81,CaseData!$G$31:$I$31,0))</f>
        <v>10</v>
      </c>
      <c r="F81" s="97">
        <f t="shared" ref="F81:AD81" si="34">F160</f>
        <v>273172.5</v>
      </c>
      <c r="G81" s="97">
        <f t="shared" si="34"/>
        <v>352545</v>
      </c>
      <c r="H81" s="97">
        <f t="shared" si="34"/>
        <v>451440</v>
      </c>
      <c r="I81" s="97">
        <f t="shared" si="34"/>
        <v>537510</v>
      </c>
      <c r="J81" s="97">
        <f t="shared" si="34"/>
        <v>623437.5</v>
      </c>
      <c r="K81" s="97">
        <f t="shared" si="34"/>
        <v>878085</v>
      </c>
      <c r="L81" s="97">
        <f t="shared" si="34"/>
        <v>897322.5</v>
      </c>
      <c r="M81" s="97">
        <f t="shared" si="34"/>
        <v>1050367.5</v>
      </c>
      <c r="N81" s="97">
        <f t="shared" si="34"/>
        <v>1237755</v>
      </c>
      <c r="O81" s="97">
        <f t="shared" si="34"/>
        <v>1403625</v>
      </c>
      <c r="P81" s="97">
        <f t="shared" si="34"/>
        <v>1454782.5</v>
      </c>
      <c r="Q81" s="97">
        <f t="shared" si="34"/>
        <v>1430557.5</v>
      </c>
      <c r="R81" s="97">
        <f t="shared" si="34"/>
        <v>1465470</v>
      </c>
      <c r="S81" s="97">
        <f t="shared" si="34"/>
        <v>1527315</v>
      </c>
      <c r="T81" s="97">
        <f t="shared" si="34"/>
        <v>1687770</v>
      </c>
      <c r="U81" s="97">
        <f t="shared" si="34"/>
        <v>1465612.5</v>
      </c>
      <c r="V81" s="97">
        <f t="shared" si="34"/>
        <v>1763010</v>
      </c>
      <c r="W81" s="97">
        <f t="shared" si="34"/>
        <v>1667962.5</v>
      </c>
      <c r="X81" s="97">
        <f t="shared" si="34"/>
        <v>1565220</v>
      </c>
      <c r="Y81" s="97">
        <f t="shared" si="34"/>
        <v>1607400</v>
      </c>
      <c r="Z81" s="97">
        <f t="shared" si="34"/>
        <v>1472880</v>
      </c>
      <c r="AA81" s="97">
        <f t="shared" si="34"/>
        <v>1612672.5</v>
      </c>
      <c r="AB81" s="97">
        <f t="shared" si="34"/>
        <v>1690477.5</v>
      </c>
      <c r="AC81" s="97">
        <f t="shared" si="34"/>
        <v>1667250</v>
      </c>
      <c r="AD81" s="97">
        <f t="shared" si="34"/>
        <v>1654567.5</v>
      </c>
    </row>
    <row r="82" spans="2:30">
      <c r="B82">
        <f>B81+1</f>
        <v>3</v>
      </c>
      <c r="C82" t="str" cm="1">
        <f t="array" ref="C82">INDEX(ListAssetClasses1,B82)</f>
        <v>Long Term</v>
      </c>
      <c r="D82">
        <f>INDEX(CaseData!$G$33:$I$33,MATCH(C82,CaseData!$G$31:$I$31,0))</f>
        <v>15</v>
      </c>
      <c r="F82" s="97">
        <f t="shared" ref="F82:AD82" si="35">F189</f>
        <v>214890</v>
      </c>
      <c r="G82" s="97">
        <f t="shared" si="35"/>
        <v>257450</v>
      </c>
      <c r="H82" s="97">
        <f t="shared" si="35"/>
        <v>404985</v>
      </c>
      <c r="I82" s="97">
        <f t="shared" si="35"/>
        <v>440895</v>
      </c>
      <c r="J82" s="97">
        <f t="shared" si="35"/>
        <v>593465</v>
      </c>
      <c r="K82" s="97">
        <f t="shared" si="35"/>
        <v>752970</v>
      </c>
      <c r="L82" s="97">
        <f t="shared" si="35"/>
        <v>885495</v>
      </c>
      <c r="M82" s="97">
        <f t="shared" si="35"/>
        <v>893570</v>
      </c>
      <c r="N82" s="97">
        <f t="shared" si="35"/>
        <v>893570</v>
      </c>
      <c r="O82" s="97">
        <f t="shared" si="35"/>
        <v>947815</v>
      </c>
      <c r="P82" s="97">
        <f t="shared" si="35"/>
        <v>1026950</v>
      </c>
      <c r="Q82" s="97">
        <f t="shared" si="35"/>
        <v>1118530</v>
      </c>
      <c r="R82" s="97">
        <f t="shared" si="35"/>
        <v>1155580</v>
      </c>
      <c r="S82" s="97">
        <f t="shared" si="35"/>
        <v>1325060</v>
      </c>
      <c r="T82" s="97">
        <f t="shared" si="35"/>
        <v>1438965</v>
      </c>
      <c r="U82" s="97">
        <f t="shared" si="35"/>
        <v>1341780</v>
      </c>
      <c r="V82" s="97">
        <f t="shared" si="35"/>
        <v>1398400</v>
      </c>
      <c r="W82" s="97">
        <f t="shared" si="35"/>
        <v>1347005</v>
      </c>
      <c r="X82" s="97">
        <f t="shared" si="35"/>
        <v>1342540</v>
      </c>
      <c r="Y82" s="97">
        <f t="shared" si="35"/>
        <v>1226545</v>
      </c>
      <c r="Z82" s="97">
        <f t="shared" si="35"/>
        <v>1177715</v>
      </c>
      <c r="AA82" s="97">
        <f t="shared" si="35"/>
        <v>1136960</v>
      </c>
      <c r="AB82" s="97">
        <f t="shared" si="35"/>
        <v>1174010</v>
      </c>
      <c r="AC82" s="97">
        <f t="shared" si="35"/>
        <v>1291905</v>
      </c>
      <c r="AD82" s="97">
        <f t="shared" si="35"/>
        <v>1380350</v>
      </c>
    </row>
    <row r="83" spans="2:30" ht="14.4">
      <c r="C83" s="108" t="s">
        <v>4</v>
      </c>
      <c r="D83" s="108" t="s">
        <v>68</v>
      </c>
      <c r="E83" s="109"/>
      <c r="F83" s="110">
        <f>SUM(F80:F82)</f>
        <v>1005622.5</v>
      </c>
      <c r="G83" s="110">
        <f t="shared" ref="G83:AD83" si="36">SUM(G80:G82)</f>
        <v>1185695</v>
      </c>
      <c r="H83" s="110">
        <f t="shared" si="36"/>
        <v>1609680</v>
      </c>
      <c r="I83" s="110">
        <f t="shared" si="36"/>
        <v>2213310</v>
      </c>
      <c r="J83" s="110">
        <f t="shared" si="36"/>
        <v>2693772.5</v>
      </c>
      <c r="K83" s="110">
        <f t="shared" si="36"/>
        <v>2921250</v>
      </c>
      <c r="L83" s="110">
        <f t="shared" si="36"/>
        <v>3246577.5</v>
      </c>
      <c r="M83" s="110">
        <f t="shared" si="36"/>
        <v>3285147.5</v>
      </c>
      <c r="N83" s="110">
        <f t="shared" si="36"/>
        <v>3201785</v>
      </c>
      <c r="O83" s="110">
        <f t="shared" si="36"/>
        <v>3625390</v>
      </c>
      <c r="P83" s="110">
        <f t="shared" si="36"/>
        <v>3708087.5</v>
      </c>
      <c r="Q83" s="110">
        <f t="shared" si="36"/>
        <v>3956132.5</v>
      </c>
      <c r="R83" s="110">
        <f t="shared" si="36"/>
        <v>4179430</v>
      </c>
      <c r="S83" s="110">
        <f t="shared" si="36"/>
        <v>4461770</v>
      </c>
      <c r="T83" s="110">
        <f t="shared" si="36"/>
        <v>4625550</v>
      </c>
      <c r="U83" s="110">
        <f t="shared" si="36"/>
        <v>4122667.5</v>
      </c>
      <c r="V83" s="110">
        <f t="shared" si="36"/>
        <v>4533115</v>
      </c>
      <c r="W83" s="110">
        <f t="shared" si="36"/>
        <v>4370712.5</v>
      </c>
      <c r="X83" s="110">
        <f t="shared" si="36"/>
        <v>4430230</v>
      </c>
      <c r="Y83" s="110">
        <f t="shared" si="36"/>
        <v>4373515</v>
      </c>
      <c r="Z83" s="110">
        <f t="shared" si="36"/>
        <v>4354895</v>
      </c>
      <c r="AA83" s="110">
        <f t="shared" si="36"/>
        <v>4375557.5</v>
      </c>
      <c r="AB83" s="110">
        <f t="shared" si="36"/>
        <v>4647162.5</v>
      </c>
      <c r="AC83" s="110">
        <f t="shared" si="36"/>
        <v>4486755</v>
      </c>
      <c r="AD83" s="110">
        <f t="shared" si="36"/>
        <v>4468182.5</v>
      </c>
    </row>
    <row r="84" spans="2:30"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</row>
    <row r="85" spans="2:30" ht="14.4">
      <c r="B85" s="94">
        <v>1</v>
      </c>
      <c r="C85" s="93" t="str" cm="1">
        <f t="array" ref="C85">INDEX(ListAssetClasses1,B85)</f>
        <v>Short Term</v>
      </c>
      <c r="D85" s="100"/>
    </row>
    <row r="86" spans="2:30">
      <c r="C86" t="s">
        <v>11</v>
      </c>
      <c r="D86" t="s">
        <v>68</v>
      </c>
      <c r="F86" s="97">
        <f>$F$29</f>
        <v>0</v>
      </c>
      <c r="G86" s="97">
        <f>F89</f>
        <v>2206440</v>
      </c>
      <c r="H86" s="97">
        <f t="shared" ref="H86:AD86" si="37">G89</f>
        <v>1936740</v>
      </c>
      <c r="I86" s="97">
        <f t="shared" si="37"/>
        <v>2117985</v>
      </c>
      <c r="J86" s="97">
        <f t="shared" si="37"/>
        <v>3418080</v>
      </c>
      <c r="K86" s="97">
        <f t="shared" si="37"/>
        <v>3214710</v>
      </c>
      <c r="L86" s="97">
        <f t="shared" si="37"/>
        <v>3666015</v>
      </c>
      <c r="M86" s="97">
        <f t="shared" si="37"/>
        <v>3421755</v>
      </c>
      <c r="N86" s="97">
        <f t="shared" si="37"/>
        <v>2370045</v>
      </c>
      <c r="O86" s="97">
        <f t="shared" si="37"/>
        <v>2409585</v>
      </c>
      <c r="P86" s="97">
        <f t="shared" si="37"/>
        <v>3480135</v>
      </c>
      <c r="Q86" s="97">
        <f t="shared" si="37"/>
        <v>3744780</v>
      </c>
      <c r="R86" s="97">
        <f t="shared" si="37"/>
        <v>4508235</v>
      </c>
      <c r="S86" s="97">
        <f t="shared" si="37"/>
        <v>4035855</v>
      </c>
      <c r="T86" s="97">
        <f t="shared" si="37"/>
        <v>3804960</v>
      </c>
      <c r="U86" s="97">
        <f t="shared" si="37"/>
        <v>4068645</v>
      </c>
      <c r="V86" s="97">
        <f t="shared" si="37"/>
        <v>3278370</v>
      </c>
      <c r="W86" s="97">
        <f t="shared" si="37"/>
        <v>4374165</v>
      </c>
      <c r="X86" s="97">
        <f t="shared" si="37"/>
        <v>4020420</v>
      </c>
      <c r="Y86" s="97">
        <f t="shared" si="37"/>
        <v>4753950</v>
      </c>
      <c r="Z86" s="97">
        <f t="shared" si="37"/>
        <v>5066880</v>
      </c>
      <c r="AA86" s="97">
        <f t="shared" si="37"/>
        <v>4754580</v>
      </c>
      <c r="AB86" s="97">
        <f t="shared" si="37"/>
        <v>5183655</v>
      </c>
      <c r="AC86" s="97">
        <f t="shared" si="37"/>
        <v>5227980</v>
      </c>
      <c r="AD86" s="97">
        <f t="shared" si="37"/>
        <v>4613880</v>
      </c>
    </row>
    <row r="87" spans="2:30">
      <c r="C87" t="s">
        <v>42</v>
      </c>
      <c r="D87" t="s">
        <v>68</v>
      </c>
      <c r="F87" s="97" cm="1">
        <f t="array" ref="F87">INDEX(F$14:F$16,$B85)</f>
        <v>2724000</v>
      </c>
      <c r="G87" s="97" cm="1">
        <f t="array" ref="G87">INDEX(G$14:G$16,$B85)</f>
        <v>306000</v>
      </c>
      <c r="H87" s="97" cm="1">
        <f t="array" ref="H87">INDEX(H$14:H$16,$B85)</f>
        <v>934500</v>
      </c>
      <c r="I87" s="97" cm="1">
        <f t="array" ref="I87">INDEX(I$14:I$16,$B85)</f>
        <v>2535000</v>
      </c>
      <c r="J87" s="97" cm="1">
        <f t="array" ref="J87">INDEX(J$14:J$16,$B85)</f>
        <v>1273500</v>
      </c>
      <c r="K87" s="97" cm="1">
        <f t="array" ref="K87">INDEX(K$14:K$16,$B85)</f>
        <v>1741500</v>
      </c>
      <c r="L87" s="97" cm="1">
        <f t="array" ref="L87">INDEX(L$14:L$16,$B85)</f>
        <v>1219500</v>
      </c>
      <c r="M87" s="97" cm="1">
        <f t="array" ref="M87">INDEX(M$14:M$16,$B85)</f>
        <v>289500</v>
      </c>
      <c r="N87" s="97" cm="1">
        <f t="array" ref="N87">INDEX(N$14:N$16,$B85)</f>
        <v>1110000</v>
      </c>
      <c r="O87" s="97" cm="1">
        <f t="array" ref="O87">INDEX(O$14:O$16,$B85)</f>
        <v>2344500</v>
      </c>
      <c r="P87" s="97" cm="1">
        <f t="array" ref="P87">INDEX(P$14:P$16,$B85)</f>
        <v>1491000</v>
      </c>
      <c r="Q87" s="97" cm="1">
        <f t="array" ref="Q87">INDEX(Q$14:Q$16,$B85)</f>
        <v>2170500</v>
      </c>
      <c r="R87" s="97" cm="1">
        <f t="array" ref="R87">INDEX(R$14:R$16,$B85)</f>
        <v>1086000</v>
      </c>
      <c r="S87" s="97" cm="1">
        <f t="array" ref="S87">INDEX(S$14:S$16,$B85)</f>
        <v>1378500</v>
      </c>
      <c r="T87" s="97" cm="1">
        <f t="array" ref="T87">INDEX(T$14:T$16,$B85)</f>
        <v>1762500</v>
      </c>
      <c r="U87" s="97" cm="1">
        <f t="array" ref="U87">INDEX(U$14:U$16,$B85)</f>
        <v>525000</v>
      </c>
      <c r="V87" s="97" cm="1">
        <f t="array" ref="V87">INDEX(V$14:V$16,$B85)</f>
        <v>2467500</v>
      </c>
      <c r="W87" s="97" cm="1">
        <f t="array" ref="W87">INDEX(W$14:W$16,$B85)</f>
        <v>1002000</v>
      </c>
      <c r="X87" s="97" cm="1">
        <f t="array" ref="X87">INDEX(X$14:X$16,$B85)</f>
        <v>2256000</v>
      </c>
      <c r="Y87" s="97" cm="1">
        <f t="array" ref="Y87">INDEX(Y$14:Y$16,$B85)</f>
        <v>1852500</v>
      </c>
      <c r="Z87" s="97" cm="1">
        <f t="array" ref="Z87">INDEX(Z$14:Z$16,$B85)</f>
        <v>1392000</v>
      </c>
      <c r="AA87" s="97" cm="1">
        <f t="array" ref="AA87">INDEX(AA$14:AA$16,$B85)</f>
        <v>2055000</v>
      </c>
      <c r="AB87" s="97" cm="1">
        <f t="array" ref="AB87">INDEX(AB$14:AB$16,$B85)</f>
        <v>1827000</v>
      </c>
      <c r="AC87" s="97" cm="1">
        <f t="array" ref="AC87">INDEX(AC$14:AC$16,$B85)</f>
        <v>913500</v>
      </c>
      <c r="AD87" s="97" cm="1">
        <f t="array" ref="AD87">INDEX(AD$14:AD$16,$B85)</f>
        <v>1356000</v>
      </c>
    </row>
    <row r="88" spans="2:30">
      <c r="C88" t="s">
        <v>2</v>
      </c>
      <c r="D88" t="s">
        <v>68</v>
      </c>
      <c r="F88" s="97">
        <f>-F80</f>
        <v>-517560</v>
      </c>
      <c r="G88" s="97">
        <f t="shared" ref="G88:AD88" si="38">-G80</f>
        <v>-575700</v>
      </c>
      <c r="H88" s="97">
        <f t="shared" si="38"/>
        <v>-753255</v>
      </c>
      <c r="I88" s="97">
        <f t="shared" si="38"/>
        <v>-1234905</v>
      </c>
      <c r="J88" s="97">
        <f t="shared" si="38"/>
        <v>-1476870</v>
      </c>
      <c r="K88" s="97">
        <f t="shared" si="38"/>
        <v>-1290195</v>
      </c>
      <c r="L88" s="97">
        <f t="shared" si="38"/>
        <v>-1463760</v>
      </c>
      <c r="M88" s="97">
        <f t="shared" si="38"/>
        <v>-1341210</v>
      </c>
      <c r="N88" s="97">
        <f t="shared" si="38"/>
        <v>-1070460</v>
      </c>
      <c r="O88" s="97">
        <f t="shared" si="38"/>
        <v>-1273950</v>
      </c>
      <c r="P88" s="97">
        <f t="shared" si="38"/>
        <v>-1226355</v>
      </c>
      <c r="Q88" s="97">
        <f t="shared" si="38"/>
        <v>-1407045</v>
      </c>
      <c r="R88" s="97">
        <f t="shared" si="38"/>
        <v>-1558380</v>
      </c>
      <c r="S88" s="97">
        <f t="shared" si="38"/>
        <v>-1609395</v>
      </c>
      <c r="T88" s="97">
        <f t="shared" si="38"/>
        <v>-1498815</v>
      </c>
      <c r="U88" s="97">
        <f t="shared" si="38"/>
        <v>-1315275</v>
      </c>
      <c r="V88" s="97">
        <f t="shared" si="38"/>
        <v>-1371705</v>
      </c>
      <c r="W88" s="97">
        <f t="shared" si="38"/>
        <v>-1355745</v>
      </c>
      <c r="X88" s="97">
        <f t="shared" si="38"/>
        <v>-1522470</v>
      </c>
      <c r="Y88" s="97">
        <f t="shared" si="38"/>
        <v>-1539570</v>
      </c>
      <c r="Z88" s="97">
        <f t="shared" si="38"/>
        <v>-1704300</v>
      </c>
      <c r="AA88" s="97">
        <f t="shared" si="38"/>
        <v>-1625925</v>
      </c>
      <c r="AB88" s="97">
        <f t="shared" si="38"/>
        <v>-1782675</v>
      </c>
      <c r="AC88" s="97">
        <f t="shared" si="38"/>
        <v>-1527600</v>
      </c>
      <c r="AD88" s="97">
        <f t="shared" si="38"/>
        <v>-1433265</v>
      </c>
    </row>
    <row r="89" spans="2:30" ht="14.4">
      <c r="C89" s="93" t="s">
        <v>12</v>
      </c>
      <c r="D89" t="s">
        <v>68</v>
      </c>
      <c r="F89" s="112">
        <f>SUM(F86:F88)</f>
        <v>2206440</v>
      </c>
      <c r="G89" s="112">
        <f t="shared" ref="G89:AD89" si="39">SUM(G86:G88)</f>
        <v>1936740</v>
      </c>
      <c r="H89" s="112">
        <f t="shared" si="39"/>
        <v>2117985</v>
      </c>
      <c r="I89" s="112">
        <f t="shared" si="39"/>
        <v>3418080</v>
      </c>
      <c r="J89" s="112">
        <f t="shared" si="39"/>
        <v>3214710</v>
      </c>
      <c r="K89" s="112">
        <f t="shared" si="39"/>
        <v>3666015</v>
      </c>
      <c r="L89" s="112">
        <f t="shared" si="39"/>
        <v>3421755</v>
      </c>
      <c r="M89" s="112">
        <f t="shared" si="39"/>
        <v>2370045</v>
      </c>
      <c r="N89" s="112">
        <f t="shared" si="39"/>
        <v>2409585</v>
      </c>
      <c r="O89" s="112">
        <f t="shared" si="39"/>
        <v>3480135</v>
      </c>
      <c r="P89" s="112">
        <f t="shared" si="39"/>
        <v>3744780</v>
      </c>
      <c r="Q89" s="112">
        <f t="shared" si="39"/>
        <v>4508235</v>
      </c>
      <c r="R89" s="112">
        <f t="shared" si="39"/>
        <v>4035855</v>
      </c>
      <c r="S89" s="112">
        <f t="shared" si="39"/>
        <v>3804960</v>
      </c>
      <c r="T89" s="112">
        <f t="shared" si="39"/>
        <v>4068645</v>
      </c>
      <c r="U89" s="112">
        <f t="shared" si="39"/>
        <v>3278370</v>
      </c>
      <c r="V89" s="112">
        <f t="shared" si="39"/>
        <v>4374165</v>
      </c>
      <c r="W89" s="112">
        <f t="shared" si="39"/>
        <v>4020420</v>
      </c>
      <c r="X89" s="112">
        <f t="shared" si="39"/>
        <v>4753950</v>
      </c>
      <c r="Y89" s="112">
        <f t="shared" si="39"/>
        <v>5066880</v>
      </c>
      <c r="Z89" s="112">
        <f t="shared" si="39"/>
        <v>4754580</v>
      </c>
      <c r="AA89" s="112">
        <f t="shared" si="39"/>
        <v>5183655</v>
      </c>
      <c r="AB89" s="112">
        <f t="shared" si="39"/>
        <v>5227980</v>
      </c>
      <c r="AC89" s="112">
        <f t="shared" si="39"/>
        <v>4613880</v>
      </c>
      <c r="AD89" s="112">
        <f t="shared" si="39"/>
        <v>4536615</v>
      </c>
    </row>
    <row r="91" spans="2:30" ht="14.4">
      <c r="B91" s="94">
        <v>2</v>
      </c>
      <c r="C91" s="93" t="str" cm="1">
        <f t="array" ref="C91">INDEX(ListAssetClasses1,B91)</f>
        <v>Medium Term</v>
      </c>
      <c r="D91" s="100"/>
    </row>
    <row r="92" spans="2:30">
      <c r="C92" t="s">
        <v>11</v>
      </c>
      <c r="D92" t="s">
        <v>68</v>
      </c>
      <c r="F92" s="97">
        <f>$F$29</f>
        <v>0</v>
      </c>
      <c r="G92" s="97">
        <f>F95</f>
        <v>2602327.5</v>
      </c>
      <c r="H92" s="97">
        <f t="shared" ref="H92:AD92" si="40">G95</f>
        <v>3085282.5</v>
      </c>
      <c r="I92" s="97">
        <f t="shared" si="40"/>
        <v>3674842.5</v>
      </c>
      <c r="J92" s="97">
        <f t="shared" si="40"/>
        <v>4043332.5</v>
      </c>
      <c r="K92" s="97">
        <f t="shared" si="40"/>
        <v>4324395</v>
      </c>
      <c r="L92" s="97">
        <f t="shared" si="40"/>
        <v>6126810</v>
      </c>
      <c r="M92" s="97">
        <f t="shared" si="40"/>
        <v>5431987.5</v>
      </c>
      <c r="N92" s="97">
        <f t="shared" si="40"/>
        <v>5992620</v>
      </c>
      <c r="O92" s="97">
        <f t="shared" si="40"/>
        <v>6727365</v>
      </c>
      <c r="P92" s="97">
        <f t="shared" si="40"/>
        <v>7069740</v>
      </c>
      <c r="Q92" s="97">
        <f t="shared" si="40"/>
        <v>9028957.5</v>
      </c>
      <c r="R92" s="97">
        <f t="shared" si="40"/>
        <v>8178900</v>
      </c>
      <c r="S92" s="97">
        <f t="shared" si="40"/>
        <v>8121930</v>
      </c>
      <c r="T92" s="97">
        <f t="shared" si="40"/>
        <v>8151615</v>
      </c>
      <c r="U92" s="97">
        <f t="shared" si="40"/>
        <v>9057345</v>
      </c>
      <c r="V92" s="97">
        <f t="shared" si="40"/>
        <v>7933732.5</v>
      </c>
      <c r="W92" s="97">
        <f t="shared" si="40"/>
        <v>9503722.5</v>
      </c>
      <c r="X92" s="97">
        <f t="shared" si="40"/>
        <v>8446260</v>
      </c>
      <c r="Y92" s="97">
        <f t="shared" si="40"/>
        <v>7772040</v>
      </c>
      <c r="Z92" s="97">
        <f t="shared" si="40"/>
        <v>8354640</v>
      </c>
      <c r="AA92" s="97">
        <f t="shared" si="40"/>
        <v>8879760</v>
      </c>
      <c r="AB92" s="97">
        <f t="shared" si="40"/>
        <v>9319087.5</v>
      </c>
      <c r="AC92" s="97">
        <f t="shared" si="40"/>
        <v>9856110</v>
      </c>
      <c r="AD92" s="97">
        <f t="shared" si="40"/>
        <v>9501360</v>
      </c>
    </row>
    <row r="93" spans="2:30">
      <c r="C93" t="s">
        <v>42</v>
      </c>
      <c r="D93" t="s">
        <v>68</v>
      </c>
      <c r="F93" s="97" cm="1">
        <f t="array" ref="F93">INDEX(F$14:F$16,$B91)</f>
        <v>2875500</v>
      </c>
      <c r="G93" s="97" cm="1">
        <f t="array" ref="G93">INDEX(G$14:G$16,$B91)</f>
        <v>835500</v>
      </c>
      <c r="H93" s="97" cm="1">
        <f t="array" ref="H93">INDEX(H$14:H$16,$B91)</f>
        <v>1041000</v>
      </c>
      <c r="I93" s="97" cm="1">
        <f t="array" ref="I93">INDEX(I$14:I$16,$B91)</f>
        <v>906000</v>
      </c>
      <c r="J93" s="97" cm="1">
        <f t="array" ref="J93">INDEX(J$14:J$16,$B91)</f>
        <v>904500</v>
      </c>
      <c r="K93" s="97" cm="1">
        <f t="array" ref="K93">INDEX(K$14:K$16,$B91)</f>
        <v>2680500</v>
      </c>
      <c r="L93" s="97" cm="1">
        <f t="array" ref="L93">INDEX(L$14:L$16,$B91)</f>
        <v>202500</v>
      </c>
      <c r="M93" s="97" cm="1">
        <f t="array" ref="M93">INDEX(M$14:M$16,$B91)</f>
        <v>1611000</v>
      </c>
      <c r="N93" s="97" cm="1">
        <f t="array" ref="N93">INDEX(N$14:N$16,$B91)</f>
        <v>1972500</v>
      </c>
      <c r="O93" s="97" cm="1">
        <f t="array" ref="O93">INDEX(O$14:O$16,$B91)</f>
        <v>1746000</v>
      </c>
      <c r="P93" s="97" cm="1">
        <f t="array" ref="P93">INDEX(P$14:P$16,$B91)</f>
        <v>3414000</v>
      </c>
      <c r="Q93" s="97" cm="1">
        <f t="array" ref="Q93">INDEX(Q$14:Q$16,$B91)</f>
        <v>580500</v>
      </c>
      <c r="R93" s="97" cm="1">
        <f t="array" ref="R93">INDEX(R$14:R$16,$B91)</f>
        <v>1408500</v>
      </c>
      <c r="S93" s="97" cm="1">
        <f t="array" ref="S93">INDEX(S$14:S$16,$B91)</f>
        <v>1557000</v>
      </c>
      <c r="T93" s="97" cm="1">
        <f t="array" ref="T93">INDEX(T$14:T$16,$B91)</f>
        <v>2593500</v>
      </c>
      <c r="U93" s="97" cm="1">
        <f t="array" ref="U93">INDEX(U$14:U$16,$B91)</f>
        <v>342000</v>
      </c>
      <c r="V93" s="97" cm="1">
        <f t="array" ref="V93">INDEX(V$14:V$16,$B91)</f>
        <v>3333000</v>
      </c>
      <c r="W93" s="97" cm="1">
        <f t="array" ref="W93">INDEX(W$14:W$16,$B91)</f>
        <v>610500</v>
      </c>
      <c r="X93" s="97" cm="1">
        <f t="array" ref="X93">INDEX(X$14:X$16,$B91)</f>
        <v>891000</v>
      </c>
      <c r="Y93" s="97" cm="1">
        <f t="array" ref="Y93">INDEX(Y$14:Y$16,$B91)</f>
        <v>2190000</v>
      </c>
      <c r="Z93" s="97" cm="1">
        <f t="array" ref="Z93">INDEX(Z$14:Z$16,$B91)</f>
        <v>1998000</v>
      </c>
      <c r="AA93" s="97" cm="1">
        <f t="array" ref="AA93">INDEX(AA$14:AA$16,$B91)</f>
        <v>2052000</v>
      </c>
      <c r="AB93" s="97" cm="1">
        <f t="array" ref="AB93">INDEX(AB$14:AB$16,$B91)</f>
        <v>2227500</v>
      </c>
      <c r="AC93" s="97" cm="1">
        <f t="array" ref="AC93">INDEX(AC$14:AC$16,$B91)</f>
        <v>1312500</v>
      </c>
      <c r="AD93" s="97" cm="1">
        <f t="array" ref="AD93">INDEX(AD$14:AD$16,$B91)</f>
        <v>2460000</v>
      </c>
    </row>
    <row r="94" spans="2:30">
      <c r="C94" t="s">
        <v>2</v>
      </c>
      <c r="D94" t="s">
        <v>68</v>
      </c>
      <c r="F94" s="97">
        <f>-F81</f>
        <v>-273172.5</v>
      </c>
      <c r="G94" s="97">
        <f t="shared" ref="G94:AD94" si="41">-G81</f>
        <v>-352545</v>
      </c>
      <c r="H94" s="97">
        <f t="shared" si="41"/>
        <v>-451440</v>
      </c>
      <c r="I94" s="97">
        <f t="shared" si="41"/>
        <v>-537510</v>
      </c>
      <c r="J94" s="97">
        <f t="shared" si="41"/>
        <v>-623437.5</v>
      </c>
      <c r="K94" s="97">
        <f t="shared" si="41"/>
        <v>-878085</v>
      </c>
      <c r="L94" s="97">
        <f t="shared" si="41"/>
        <v>-897322.5</v>
      </c>
      <c r="M94" s="97">
        <f t="shared" si="41"/>
        <v>-1050367.5</v>
      </c>
      <c r="N94" s="97">
        <f t="shared" si="41"/>
        <v>-1237755</v>
      </c>
      <c r="O94" s="97">
        <f t="shared" si="41"/>
        <v>-1403625</v>
      </c>
      <c r="P94" s="97">
        <f t="shared" si="41"/>
        <v>-1454782.5</v>
      </c>
      <c r="Q94" s="97">
        <f t="shared" si="41"/>
        <v>-1430557.5</v>
      </c>
      <c r="R94" s="97">
        <f t="shared" si="41"/>
        <v>-1465470</v>
      </c>
      <c r="S94" s="97">
        <f t="shared" si="41"/>
        <v>-1527315</v>
      </c>
      <c r="T94" s="97">
        <f t="shared" si="41"/>
        <v>-1687770</v>
      </c>
      <c r="U94" s="97">
        <f t="shared" si="41"/>
        <v>-1465612.5</v>
      </c>
      <c r="V94" s="97">
        <f t="shared" si="41"/>
        <v>-1763010</v>
      </c>
      <c r="W94" s="97">
        <f t="shared" si="41"/>
        <v>-1667962.5</v>
      </c>
      <c r="X94" s="97">
        <f t="shared" si="41"/>
        <v>-1565220</v>
      </c>
      <c r="Y94" s="97">
        <f t="shared" si="41"/>
        <v>-1607400</v>
      </c>
      <c r="Z94" s="97">
        <f t="shared" si="41"/>
        <v>-1472880</v>
      </c>
      <c r="AA94" s="97">
        <f t="shared" si="41"/>
        <v>-1612672.5</v>
      </c>
      <c r="AB94" s="97">
        <f t="shared" si="41"/>
        <v>-1690477.5</v>
      </c>
      <c r="AC94" s="97">
        <f t="shared" si="41"/>
        <v>-1667250</v>
      </c>
      <c r="AD94" s="97">
        <f t="shared" si="41"/>
        <v>-1654567.5</v>
      </c>
    </row>
    <row r="95" spans="2:30" ht="14.4">
      <c r="C95" s="93" t="s">
        <v>12</v>
      </c>
      <c r="D95" t="s">
        <v>68</v>
      </c>
      <c r="F95" s="112">
        <f>SUM(F92:F94)</f>
        <v>2602327.5</v>
      </c>
      <c r="G95" s="112">
        <f t="shared" ref="G95:AD95" si="42">SUM(G92:G94)</f>
        <v>3085282.5</v>
      </c>
      <c r="H95" s="112">
        <f t="shared" si="42"/>
        <v>3674842.5</v>
      </c>
      <c r="I95" s="112">
        <f t="shared" si="42"/>
        <v>4043332.5</v>
      </c>
      <c r="J95" s="112">
        <f t="shared" si="42"/>
        <v>4324395</v>
      </c>
      <c r="K95" s="112">
        <f t="shared" si="42"/>
        <v>6126810</v>
      </c>
      <c r="L95" s="112">
        <f t="shared" si="42"/>
        <v>5431987.5</v>
      </c>
      <c r="M95" s="112">
        <f t="shared" si="42"/>
        <v>5992620</v>
      </c>
      <c r="N95" s="112">
        <f t="shared" si="42"/>
        <v>6727365</v>
      </c>
      <c r="O95" s="112">
        <f t="shared" si="42"/>
        <v>7069740</v>
      </c>
      <c r="P95" s="112">
        <f t="shared" si="42"/>
        <v>9028957.5</v>
      </c>
      <c r="Q95" s="112">
        <f t="shared" si="42"/>
        <v>8178900</v>
      </c>
      <c r="R95" s="112">
        <f t="shared" si="42"/>
        <v>8121930</v>
      </c>
      <c r="S95" s="112">
        <f t="shared" si="42"/>
        <v>8151615</v>
      </c>
      <c r="T95" s="112">
        <f t="shared" si="42"/>
        <v>9057345</v>
      </c>
      <c r="U95" s="112">
        <f t="shared" si="42"/>
        <v>7933732.5</v>
      </c>
      <c r="V95" s="112">
        <f t="shared" si="42"/>
        <v>9503722.5</v>
      </c>
      <c r="W95" s="112">
        <f t="shared" si="42"/>
        <v>8446260</v>
      </c>
      <c r="X95" s="112">
        <f t="shared" si="42"/>
        <v>7772040</v>
      </c>
      <c r="Y95" s="112">
        <f t="shared" si="42"/>
        <v>8354640</v>
      </c>
      <c r="Z95" s="112">
        <f t="shared" si="42"/>
        <v>8879760</v>
      </c>
      <c r="AA95" s="112">
        <f t="shared" si="42"/>
        <v>9319087.5</v>
      </c>
      <c r="AB95" s="112">
        <f t="shared" si="42"/>
        <v>9856110</v>
      </c>
      <c r="AC95" s="112">
        <f t="shared" si="42"/>
        <v>9501360</v>
      </c>
      <c r="AD95" s="112">
        <f t="shared" si="42"/>
        <v>10306792.5</v>
      </c>
    </row>
    <row r="97" spans="1:30" ht="14.4">
      <c r="B97" s="94">
        <v>3</v>
      </c>
      <c r="C97" s="93" t="str" cm="1">
        <f t="array" ref="C97">INDEX(ListAssetClasses1,B97)</f>
        <v>Long Term</v>
      </c>
      <c r="D97" s="100"/>
    </row>
    <row r="98" spans="1:30">
      <c r="C98" t="s">
        <v>11</v>
      </c>
      <c r="D98" t="s">
        <v>68</v>
      </c>
      <c r="F98" s="97">
        <f>$F$29</f>
        <v>0</v>
      </c>
      <c r="G98" s="97">
        <f>F101</f>
        <v>3178110</v>
      </c>
      <c r="H98" s="97">
        <f t="shared" ref="H98:AD98" si="43">G101</f>
        <v>3592660</v>
      </c>
      <c r="I98" s="97">
        <f t="shared" si="43"/>
        <v>5517175</v>
      </c>
      <c r="J98" s="97">
        <f t="shared" si="43"/>
        <v>5643280</v>
      </c>
      <c r="K98" s="97">
        <f t="shared" si="43"/>
        <v>7458815</v>
      </c>
      <c r="L98" s="97">
        <f t="shared" si="43"/>
        <v>9224345</v>
      </c>
      <c r="M98" s="97">
        <f t="shared" si="43"/>
        <v>10431350</v>
      </c>
      <c r="N98" s="97">
        <f t="shared" si="43"/>
        <v>9665280</v>
      </c>
      <c r="O98" s="97">
        <f t="shared" si="43"/>
        <v>8771710</v>
      </c>
      <c r="P98" s="97">
        <f t="shared" si="43"/>
        <v>8680395</v>
      </c>
      <c r="Q98" s="97">
        <f t="shared" si="43"/>
        <v>8902945</v>
      </c>
      <c r="R98" s="97">
        <f t="shared" si="43"/>
        <v>9230415</v>
      </c>
      <c r="S98" s="97">
        <f t="shared" si="43"/>
        <v>8659835</v>
      </c>
      <c r="T98" s="97">
        <f t="shared" si="43"/>
        <v>10010775</v>
      </c>
      <c r="U98" s="97">
        <f t="shared" si="43"/>
        <v>10370310</v>
      </c>
      <c r="V98" s="97">
        <f t="shared" si="43"/>
        <v>10887030</v>
      </c>
      <c r="W98" s="97">
        <f t="shared" si="43"/>
        <v>11054630</v>
      </c>
      <c r="X98" s="97">
        <f t="shared" si="43"/>
        <v>11225625</v>
      </c>
      <c r="Y98" s="97">
        <f t="shared" si="43"/>
        <v>10379585</v>
      </c>
      <c r="Z98" s="97">
        <f t="shared" si="43"/>
        <v>9730540</v>
      </c>
      <c r="AA98" s="97">
        <f t="shared" si="43"/>
        <v>10300325</v>
      </c>
      <c r="AB98" s="97">
        <f t="shared" si="43"/>
        <v>10612365</v>
      </c>
      <c r="AC98" s="97">
        <f t="shared" si="43"/>
        <v>10150855</v>
      </c>
      <c r="AD98" s="97">
        <f t="shared" si="43"/>
        <v>10720450</v>
      </c>
    </row>
    <row r="99" spans="1:30">
      <c r="C99" t="s">
        <v>42</v>
      </c>
      <c r="D99" t="s">
        <v>68</v>
      </c>
      <c r="F99" s="97" cm="1">
        <f t="array" ref="F99">INDEX(F$14:F$16,$B97)</f>
        <v>3393000</v>
      </c>
      <c r="G99" s="97" cm="1">
        <f t="array" ref="G99">INDEX(G$14:G$16,$B97)</f>
        <v>672000</v>
      </c>
      <c r="H99" s="97" cm="1">
        <f t="array" ref="H99">INDEX(H$14:H$16,$B97)</f>
        <v>2329500</v>
      </c>
      <c r="I99" s="97" cm="1">
        <f t="array" ref="I99">INDEX(I$14:I$16,$B97)</f>
        <v>567000</v>
      </c>
      <c r="J99" s="97" cm="1">
        <f t="array" ref="J99">INDEX(J$14:J$16,$B97)</f>
        <v>2409000</v>
      </c>
      <c r="K99" s="97" cm="1">
        <f t="array" ref="K99">INDEX(K$14:K$16,$B97)</f>
        <v>2518500</v>
      </c>
      <c r="L99" s="97" cm="1">
        <f t="array" ref="L99">INDEX(L$14:L$16,$B97)</f>
        <v>2092500</v>
      </c>
      <c r="M99" s="97" cm="1">
        <f t="array" ref="M99">INDEX(M$14:M$16,$B97)</f>
        <v>127500</v>
      </c>
      <c r="N99" s="97" cm="1">
        <f t="array" ref="N99">INDEX(N$14:N$16,$B97)</f>
        <v>0</v>
      </c>
      <c r="O99" s="97" cm="1">
        <f t="array" ref="O99">INDEX(O$14:O$16,$B97)</f>
        <v>856500</v>
      </c>
      <c r="P99" s="97" cm="1">
        <f t="array" ref="P99">INDEX(P$14:P$16,$B97)</f>
        <v>1249500</v>
      </c>
      <c r="Q99" s="97" cm="1">
        <f t="array" ref="Q99">INDEX(Q$14:Q$16,$B97)</f>
        <v>1446000</v>
      </c>
      <c r="R99" s="97" cm="1">
        <f t="array" ref="R99">INDEX(R$14:R$16,$B97)</f>
        <v>585000</v>
      </c>
      <c r="S99" s="97" cm="1">
        <f t="array" ref="S99">INDEX(S$14:S$16,$B97)</f>
        <v>2676000</v>
      </c>
      <c r="T99" s="97" cm="1">
        <f t="array" ref="T99">INDEX(T$14:T$16,$B97)</f>
        <v>1798500</v>
      </c>
      <c r="U99" s="97" cm="1">
        <f t="array" ref="U99">INDEX(U$14:U$16,$B97)</f>
        <v>1858500</v>
      </c>
      <c r="V99" s="97" cm="1">
        <f t="array" ref="V99">INDEX(V$14:V$16,$B97)</f>
        <v>1566000</v>
      </c>
      <c r="W99" s="97" cm="1">
        <f t="array" ref="W99">INDEX(W$14:W$16,$B97)</f>
        <v>1518000</v>
      </c>
      <c r="X99" s="97" cm="1">
        <f t="array" ref="X99">INDEX(X$14:X$16,$B97)</f>
        <v>496500</v>
      </c>
      <c r="Y99" s="97" cm="1">
        <f t="array" ref="Y99">INDEX(Y$14:Y$16,$B97)</f>
        <v>577500</v>
      </c>
      <c r="Z99" s="97" cm="1">
        <f t="array" ref="Z99">INDEX(Z$14:Z$16,$B97)</f>
        <v>1747500</v>
      </c>
      <c r="AA99" s="97" cm="1">
        <f t="array" ref="AA99">INDEX(AA$14:AA$16,$B97)</f>
        <v>1449000</v>
      </c>
      <c r="AB99" s="97" cm="1">
        <f t="array" ref="AB99">INDEX(AB$14:AB$16,$B97)</f>
        <v>712500</v>
      </c>
      <c r="AC99" s="97" cm="1">
        <f t="array" ref="AC99">INDEX(AC$14:AC$16,$B97)</f>
        <v>1861500</v>
      </c>
      <c r="AD99" s="97" cm="1">
        <f t="array" ref="AD99">INDEX(AD$14:AD$16,$B97)</f>
        <v>2253000</v>
      </c>
    </row>
    <row r="100" spans="1:30">
      <c r="C100" t="s">
        <v>2</v>
      </c>
      <c r="D100" t="s">
        <v>68</v>
      </c>
      <c r="F100" s="97">
        <f>-F82</f>
        <v>-214890</v>
      </c>
      <c r="G100" s="97">
        <f t="shared" ref="G100:AD100" si="44">-G82</f>
        <v>-257450</v>
      </c>
      <c r="H100" s="97">
        <f t="shared" si="44"/>
        <v>-404985</v>
      </c>
      <c r="I100" s="97">
        <f t="shared" si="44"/>
        <v>-440895</v>
      </c>
      <c r="J100" s="97">
        <f t="shared" si="44"/>
        <v>-593465</v>
      </c>
      <c r="K100" s="97">
        <f t="shared" si="44"/>
        <v>-752970</v>
      </c>
      <c r="L100" s="97">
        <f t="shared" si="44"/>
        <v>-885495</v>
      </c>
      <c r="M100" s="97">
        <f t="shared" si="44"/>
        <v>-893570</v>
      </c>
      <c r="N100" s="97">
        <f t="shared" si="44"/>
        <v>-893570</v>
      </c>
      <c r="O100" s="97">
        <f t="shared" si="44"/>
        <v>-947815</v>
      </c>
      <c r="P100" s="97">
        <f t="shared" si="44"/>
        <v>-1026950</v>
      </c>
      <c r="Q100" s="97">
        <f t="shared" si="44"/>
        <v>-1118530</v>
      </c>
      <c r="R100" s="97">
        <f t="shared" si="44"/>
        <v>-1155580</v>
      </c>
      <c r="S100" s="97">
        <f t="shared" si="44"/>
        <v>-1325060</v>
      </c>
      <c r="T100" s="97">
        <f t="shared" si="44"/>
        <v>-1438965</v>
      </c>
      <c r="U100" s="97">
        <f t="shared" si="44"/>
        <v>-1341780</v>
      </c>
      <c r="V100" s="97">
        <f t="shared" si="44"/>
        <v>-1398400</v>
      </c>
      <c r="W100" s="97">
        <f t="shared" si="44"/>
        <v>-1347005</v>
      </c>
      <c r="X100" s="97">
        <f t="shared" si="44"/>
        <v>-1342540</v>
      </c>
      <c r="Y100" s="97">
        <f t="shared" si="44"/>
        <v>-1226545</v>
      </c>
      <c r="Z100" s="97">
        <f t="shared" si="44"/>
        <v>-1177715</v>
      </c>
      <c r="AA100" s="97">
        <f t="shared" si="44"/>
        <v>-1136960</v>
      </c>
      <c r="AB100" s="97">
        <f t="shared" si="44"/>
        <v>-1174010</v>
      </c>
      <c r="AC100" s="97">
        <f t="shared" si="44"/>
        <v>-1291905</v>
      </c>
      <c r="AD100" s="97">
        <f t="shared" si="44"/>
        <v>-1380350</v>
      </c>
    </row>
    <row r="101" spans="1:30" ht="14.4">
      <c r="C101" s="93" t="s">
        <v>12</v>
      </c>
      <c r="D101" t="s">
        <v>68</v>
      </c>
      <c r="F101" s="112">
        <f>SUM(F98:F100)</f>
        <v>3178110</v>
      </c>
      <c r="G101" s="112">
        <f t="shared" ref="G101:AD101" si="45">SUM(G98:G100)</f>
        <v>3592660</v>
      </c>
      <c r="H101" s="112">
        <f t="shared" si="45"/>
        <v>5517175</v>
      </c>
      <c r="I101" s="112">
        <f t="shared" si="45"/>
        <v>5643280</v>
      </c>
      <c r="J101" s="112">
        <f t="shared" si="45"/>
        <v>7458815</v>
      </c>
      <c r="K101" s="112">
        <f t="shared" si="45"/>
        <v>9224345</v>
      </c>
      <c r="L101" s="112">
        <f t="shared" si="45"/>
        <v>10431350</v>
      </c>
      <c r="M101" s="112">
        <f t="shared" si="45"/>
        <v>9665280</v>
      </c>
      <c r="N101" s="112">
        <f t="shared" si="45"/>
        <v>8771710</v>
      </c>
      <c r="O101" s="112">
        <f t="shared" si="45"/>
        <v>8680395</v>
      </c>
      <c r="P101" s="112">
        <f t="shared" si="45"/>
        <v>8902945</v>
      </c>
      <c r="Q101" s="112">
        <f t="shared" si="45"/>
        <v>9230415</v>
      </c>
      <c r="R101" s="112">
        <f t="shared" si="45"/>
        <v>8659835</v>
      </c>
      <c r="S101" s="112">
        <f t="shared" si="45"/>
        <v>10010775</v>
      </c>
      <c r="T101" s="112">
        <f t="shared" si="45"/>
        <v>10370310</v>
      </c>
      <c r="U101" s="112">
        <f t="shared" si="45"/>
        <v>10887030</v>
      </c>
      <c r="V101" s="112">
        <f t="shared" si="45"/>
        <v>11054630</v>
      </c>
      <c r="W101" s="112">
        <f t="shared" si="45"/>
        <v>11225625</v>
      </c>
      <c r="X101" s="112">
        <f t="shared" si="45"/>
        <v>10379585</v>
      </c>
      <c r="Y101" s="112">
        <f t="shared" si="45"/>
        <v>9730540</v>
      </c>
      <c r="Z101" s="112">
        <f t="shared" si="45"/>
        <v>10300325</v>
      </c>
      <c r="AA101" s="112">
        <f t="shared" si="45"/>
        <v>10612365</v>
      </c>
      <c r="AB101" s="112">
        <f t="shared" si="45"/>
        <v>10150855</v>
      </c>
      <c r="AC101" s="112">
        <f t="shared" si="45"/>
        <v>10720450</v>
      </c>
      <c r="AD101" s="112">
        <f t="shared" si="45"/>
        <v>11593100</v>
      </c>
    </row>
    <row r="103" spans="1:30" ht="14.4">
      <c r="C103" s="91" t="s">
        <v>75</v>
      </c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</row>
    <row r="104" spans="1:30" ht="14.4">
      <c r="B104" s="94">
        <v>1</v>
      </c>
      <c r="C104" s="93" t="str" cm="1">
        <f t="array" ref="C104">INDEX(ListAssetClasses1,B104)</f>
        <v>Short Term</v>
      </c>
      <c r="D104" s="113" cm="1">
        <f t="array" ref="D104">INDEX($D$80:$D$82,B104)</f>
        <v>5</v>
      </c>
    </row>
    <row r="105" spans="1:30" ht="14.4">
      <c r="C105" s="114" t="s">
        <v>76</v>
      </c>
      <c r="D105" s="114" t="s">
        <v>77</v>
      </c>
      <c r="E105" s="115" t="s">
        <v>73</v>
      </c>
      <c r="F105" s="116"/>
      <c r="G105" s="117">
        <f>1-CaseData!$G$11</f>
        <v>0.95</v>
      </c>
    </row>
    <row r="106" spans="1:30">
      <c r="A106" s="95"/>
      <c r="B106" s="118">
        <f>B104</f>
        <v>1</v>
      </c>
      <c r="C106">
        <f>$F$11</f>
        <v>2022</v>
      </c>
      <c r="D106" s="95" cm="1">
        <f t="array" ref="D106">INDEX($F$14:$AD$16,$B106,MATCH($C106,$F$11:$AD$11,0))*$G$105</f>
        <v>2587800</v>
      </c>
      <c r="E106" s="95"/>
      <c r="F106" s="95">
        <f>IF(F$11&lt;$C106,0,MIN($D106/$D$104,$D106-SUM($E106:E106)))</f>
        <v>517560</v>
      </c>
      <c r="G106" s="95">
        <f>IF(G$11&lt;$C106,0,MIN($D106/$D$104,$D106-SUM($E106:F106)))</f>
        <v>517560</v>
      </c>
      <c r="H106" s="95">
        <f>IF(H$11&lt;$C106,0,MIN($D106/$D$104,$D106-SUM($E106:G106)))</f>
        <v>517560</v>
      </c>
      <c r="I106" s="95">
        <f>IF(I$11&lt;$C106,0,MIN($D106/$D$104,$D106-SUM($E106:H106)))</f>
        <v>517560</v>
      </c>
      <c r="J106" s="95">
        <f>IF(J$11&lt;$C106,0,MIN($D106/$D$104,$D106-SUM($E106:I106)))</f>
        <v>517560</v>
      </c>
      <c r="K106" s="95">
        <f>IF(K$11&lt;$C106,0,MIN($D106/$D$104,$D106-SUM($E106:J106)))</f>
        <v>0</v>
      </c>
      <c r="L106" s="95">
        <f>IF(L$11&lt;$C106,0,MIN($D106/$D$104,$D106-SUM($E106:K106)))</f>
        <v>0</v>
      </c>
      <c r="M106" s="95">
        <f>IF(M$11&lt;$C106,0,MIN($D106/$D$104,$D106-SUM($E106:L106)))</f>
        <v>0</v>
      </c>
      <c r="N106" s="95">
        <f>IF(N$11&lt;$C106,0,MIN($D106/$D$104,$D106-SUM($E106:M106)))</f>
        <v>0</v>
      </c>
      <c r="O106" s="95">
        <f>IF(O$11&lt;$C106,0,MIN($D106/$D$104,$D106-SUM($E106:N106)))</f>
        <v>0</v>
      </c>
      <c r="P106" s="95">
        <f>IF(P$11&lt;$C106,0,MIN($D106/$D$104,$D106-SUM($E106:O106)))</f>
        <v>0</v>
      </c>
      <c r="Q106" s="95">
        <f>IF(Q$11&lt;$C106,0,MIN($D106/$D$104,$D106-SUM($E106:P106)))</f>
        <v>0</v>
      </c>
      <c r="R106" s="95">
        <f>IF(R$11&lt;$C106,0,MIN($D106/$D$104,$D106-SUM($E106:Q106)))</f>
        <v>0</v>
      </c>
      <c r="S106" s="95">
        <f>IF(S$11&lt;$C106,0,MIN($D106/$D$104,$D106-SUM($E106:R106)))</f>
        <v>0</v>
      </c>
      <c r="T106" s="95">
        <f>IF(T$11&lt;$C106,0,MIN($D106/$D$104,$D106-SUM($E106:S106)))</f>
        <v>0</v>
      </c>
      <c r="U106" s="95">
        <f>IF(U$11&lt;$C106,0,MIN($D106/$D$104,$D106-SUM($E106:T106)))</f>
        <v>0</v>
      </c>
      <c r="V106" s="95">
        <f>IF(V$11&lt;$C106,0,MIN($D106/$D$104,$D106-SUM($E106:U106)))</f>
        <v>0</v>
      </c>
      <c r="W106" s="95">
        <f>IF(W$11&lt;$C106,0,MIN($D106/$D$104,$D106-SUM($E106:V106)))</f>
        <v>0</v>
      </c>
      <c r="X106" s="95">
        <f>IF(X$11&lt;$C106,0,MIN($D106/$D$104,$D106-SUM($E106:W106)))</f>
        <v>0</v>
      </c>
      <c r="Y106" s="95">
        <f>IF(Y$11&lt;$C106,0,MIN($D106/$D$104,$D106-SUM($E106:X106)))</f>
        <v>0</v>
      </c>
      <c r="Z106" s="95">
        <f>IF(Z$11&lt;$C106,0,MIN($D106/$D$104,$D106-SUM($E106:Y106)))</f>
        <v>0</v>
      </c>
      <c r="AA106" s="95">
        <f>IF(AA$11&lt;$C106,0,MIN($D106/$D$104,$D106-SUM($E106:Z106)))</f>
        <v>0</v>
      </c>
      <c r="AB106" s="95">
        <f>IF(AB$11&lt;$C106,0,MIN($D106/$D$104,$D106-SUM($E106:AA106)))</f>
        <v>0</v>
      </c>
      <c r="AC106" s="95">
        <f>IF(AC$11&lt;$C106,0,MIN($D106/$D$104,$D106-SUM($E106:AB106)))</f>
        <v>0</v>
      </c>
      <c r="AD106" s="95">
        <f>IF(AD$11&lt;$C106,0,MIN($D106/$D$104,$D106-SUM($E106:AC106)))</f>
        <v>0</v>
      </c>
    </row>
    <row r="107" spans="1:30">
      <c r="A107" s="95"/>
      <c r="B107" s="118">
        <f>B106</f>
        <v>1</v>
      </c>
      <c r="C107">
        <f>C106+1</f>
        <v>2023</v>
      </c>
      <c r="D107" s="95" cm="1">
        <f t="array" ref="D107">INDEX($F$14:$AD$16,$B107,MATCH($C107,$F$11:$AD$11,0))*$G$105</f>
        <v>290700</v>
      </c>
      <c r="E107" s="95"/>
      <c r="F107" s="95">
        <f>IF(F$11&lt;$C107,0,MIN($D107/$D$104,$D107-SUM($E107:E107)))</f>
        <v>0</v>
      </c>
      <c r="G107" s="95">
        <f>IF(G$11&lt;$C107,0,MIN($D107/$D$104,$D107-SUM($E107:F107)))</f>
        <v>58140</v>
      </c>
      <c r="H107" s="95">
        <f>IF(H$11&lt;$C107,0,MIN($D107/$D$104,$D107-SUM($E107:G107)))</f>
        <v>58140</v>
      </c>
      <c r="I107" s="95">
        <f>IF(I$11&lt;$C107,0,MIN($D107/$D$104,$D107-SUM($E107:H107)))</f>
        <v>58140</v>
      </c>
      <c r="J107" s="95">
        <f>IF(J$11&lt;$C107,0,MIN($D107/$D$104,$D107-SUM($E107:I107)))</f>
        <v>58140</v>
      </c>
      <c r="K107" s="95">
        <f>IF(K$11&lt;$C107,0,MIN($D107/$D$104,$D107-SUM($E107:J107)))</f>
        <v>58140</v>
      </c>
      <c r="L107" s="95">
        <f>IF(L$11&lt;$C107,0,MIN($D107/$D$104,$D107-SUM($E107:K107)))</f>
        <v>0</v>
      </c>
      <c r="M107" s="95">
        <f>IF(M$11&lt;$C107,0,MIN($D107/$D$104,$D107-SUM($E107:L107)))</f>
        <v>0</v>
      </c>
      <c r="N107" s="95">
        <f>IF(N$11&lt;$C107,0,MIN($D107/$D$104,$D107-SUM($E107:M107)))</f>
        <v>0</v>
      </c>
      <c r="O107" s="95">
        <f>IF(O$11&lt;$C107,0,MIN($D107/$D$104,$D107-SUM($E107:N107)))</f>
        <v>0</v>
      </c>
      <c r="P107" s="95">
        <f>IF(P$11&lt;$C107,0,MIN($D107/$D$104,$D107-SUM($E107:O107)))</f>
        <v>0</v>
      </c>
      <c r="Q107" s="95">
        <f>IF(Q$11&lt;$C107,0,MIN($D107/$D$104,$D107-SUM($E107:P107)))</f>
        <v>0</v>
      </c>
      <c r="R107" s="95">
        <f>IF(R$11&lt;$C107,0,MIN($D107/$D$104,$D107-SUM($E107:Q107)))</f>
        <v>0</v>
      </c>
      <c r="S107" s="95">
        <f>IF(S$11&lt;$C107,0,MIN($D107/$D$104,$D107-SUM($E107:R107)))</f>
        <v>0</v>
      </c>
      <c r="T107" s="95">
        <f>IF(T$11&lt;$C107,0,MIN($D107/$D$104,$D107-SUM($E107:S107)))</f>
        <v>0</v>
      </c>
      <c r="U107" s="95">
        <f>IF(U$11&lt;$C107,0,MIN($D107/$D$104,$D107-SUM($E107:T107)))</f>
        <v>0</v>
      </c>
      <c r="V107" s="95">
        <f>IF(V$11&lt;$C107,0,MIN($D107/$D$104,$D107-SUM($E107:U107)))</f>
        <v>0</v>
      </c>
      <c r="W107" s="95">
        <f>IF(W$11&lt;$C107,0,MIN($D107/$D$104,$D107-SUM($E107:V107)))</f>
        <v>0</v>
      </c>
      <c r="X107" s="95">
        <f>IF(X$11&lt;$C107,0,MIN($D107/$D$104,$D107-SUM($E107:W107)))</f>
        <v>0</v>
      </c>
      <c r="Y107" s="95">
        <f>IF(Y$11&lt;$C107,0,MIN($D107/$D$104,$D107-SUM($E107:X107)))</f>
        <v>0</v>
      </c>
      <c r="Z107" s="95">
        <f>IF(Z$11&lt;$C107,0,MIN($D107/$D$104,$D107-SUM($E107:Y107)))</f>
        <v>0</v>
      </c>
      <c r="AA107" s="95">
        <f>IF(AA$11&lt;$C107,0,MIN($D107/$D$104,$D107-SUM($E107:Z107)))</f>
        <v>0</v>
      </c>
      <c r="AB107" s="95">
        <f>IF(AB$11&lt;$C107,0,MIN($D107/$D$104,$D107-SUM($E107:AA107)))</f>
        <v>0</v>
      </c>
      <c r="AC107" s="95">
        <f>IF(AC$11&lt;$C107,0,MIN($D107/$D$104,$D107-SUM($E107:AB107)))</f>
        <v>0</v>
      </c>
      <c r="AD107" s="95">
        <f>IF(AD$11&lt;$C107,0,MIN($D107/$D$104,$D107-SUM($E107:AC107)))</f>
        <v>0</v>
      </c>
    </row>
    <row r="108" spans="1:30">
      <c r="A108" s="95"/>
      <c r="B108" s="118">
        <f t="shared" ref="B108:B130" si="46">B107</f>
        <v>1</v>
      </c>
      <c r="C108">
        <f t="shared" ref="C108:C130" si="47">C107+1</f>
        <v>2024</v>
      </c>
      <c r="D108" s="95" cm="1">
        <f t="array" ref="D108">INDEX($F$14:$AD$16,$B108,MATCH($C108,$F$11:$AD$11,0))*$G$105</f>
        <v>887775</v>
      </c>
      <c r="E108" s="95"/>
      <c r="F108" s="95">
        <f>IF(F$11&lt;$C108,0,MIN($D108/$D$104,$D108-SUM($E108:E108)))</f>
        <v>0</v>
      </c>
      <c r="G108" s="95">
        <f>IF(G$11&lt;$C108,0,MIN($D108/$D$104,$D108-SUM($E108:F108)))</f>
        <v>0</v>
      </c>
      <c r="H108" s="95">
        <f>IF(H$11&lt;$C108,0,MIN($D108/$D$104,$D108-SUM($E108:G108)))</f>
        <v>177555</v>
      </c>
      <c r="I108" s="95">
        <f>IF(I$11&lt;$C108,0,MIN($D108/$D$104,$D108-SUM($E108:H108)))</f>
        <v>177555</v>
      </c>
      <c r="J108" s="95">
        <f>IF(J$11&lt;$C108,0,MIN($D108/$D$104,$D108-SUM($E108:I108)))</f>
        <v>177555</v>
      </c>
      <c r="K108" s="95">
        <f>IF(K$11&lt;$C108,0,MIN($D108/$D$104,$D108-SUM($E108:J108)))</f>
        <v>177555</v>
      </c>
      <c r="L108" s="95">
        <f>IF(L$11&lt;$C108,0,MIN($D108/$D$104,$D108-SUM($E108:K108)))</f>
        <v>177555</v>
      </c>
      <c r="M108" s="95">
        <f>IF(M$11&lt;$C108,0,MIN($D108/$D$104,$D108-SUM($E108:L108)))</f>
        <v>0</v>
      </c>
      <c r="N108" s="95">
        <f>IF(N$11&lt;$C108,0,MIN($D108/$D$104,$D108-SUM($E108:M108)))</f>
        <v>0</v>
      </c>
      <c r="O108" s="95">
        <f>IF(O$11&lt;$C108,0,MIN($D108/$D$104,$D108-SUM($E108:N108)))</f>
        <v>0</v>
      </c>
      <c r="P108" s="95">
        <f>IF(P$11&lt;$C108,0,MIN($D108/$D$104,$D108-SUM($E108:O108)))</f>
        <v>0</v>
      </c>
      <c r="Q108" s="95">
        <f>IF(Q$11&lt;$C108,0,MIN($D108/$D$104,$D108-SUM($E108:P108)))</f>
        <v>0</v>
      </c>
      <c r="R108" s="95">
        <f>IF(R$11&lt;$C108,0,MIN($D108/$D$104,$D108-SUM($E108:Q108)))</f>
        <v>0</v>
      </c>
      <c r="S108" s="95">
        <f>IF(S$11&lt;$C108,0,MIN($D108/$D$104,$D108-SUM($E108:R108)))</f>
        <v>0</v>
      </c>
      <c r="T108" s="95">
        <f>IF(T$11&lt;$C108,0,MIN($D108/$D$104,$D108-SUM($E108:S108)))</f>
        <v>0</v>
      </c>
      <c r="U108" s="95">
        <f>IF(U$11&lt;$C108,0,MIN($D108/$D$104,$D108-SUM($E108:T108)))</f>
        <v>0</v>
      </c>
      <c r="V108" s="95">
        <f>IF(V$11&lt;$C108,0,MIN($D108/$D$104,$D108-SUM($E108:U108)))</f>
        <v>0</v>
      </c>
      <c r="W108" s="95">
        <f>IF(W$11&lt;$C108,0,MIN($D108/$D$104,$D108-SUM($E108:V108)))</f>
        <v>0</v>
      </c>
      <c r="X108" s="95">
        <f>IF(X$11&lt;$C108,0,MIN($D108/$D$104,$D108-SUM($E108:W108)))</f>
        <v>0</v>
      </c>
      <c r="Y108" s="95">
        <f>IF(Y$11&lt;$C108,0,MIN($D108/$D$104,$D108-SUM($E108:X108)))</f>
        <v>0</v>
      </c>
      <c r="Z108" s="95">
        <f>IF(Z$11&lt;$C108,0,MIN($D108/$D$104,$D108-SUM($E108:Y108)))</f>
        <v>0</v>
      </c>
      <c r="AA108" s="95">
        <f>IF(AA$11&lt;$C108,0,MIN($D108/$D$104,$D108-SUM($E108:Z108)))</f>
        <v>0</v>
      </c>
      <c r="AB108" s="95">
        <f>IF(AB$11&lt;$C108,0,MIN($D108/$D$104,$D108-SUM($E108:AA108)))</f>
        <v>0</v>
      </c>
      <c r="AC108" s="95">
        <f>IF(AC$11&lt;$C108,0,MIN($D108/$D$104,$D108-SUM($E108:AB108)))</f>
        <v>0</v>
      </c>
      <c r="AD108" s="95">
        <f>IF(AD$11&lt;$C108,0,MIN($D108/$D$104,$D108-SUM($E108:AC108)))</f>
        <v>0</v>
      </c>
    </row>
    <row r="109" spans="1:30">
      <c r="A109" s="95"/>
      <c r="B109" s="118">
        <f t="shared" si="46"/>
        <v>1</v>
      </c>
      <c r="C109">
        <f t="shared" si="47"/>
        <v>2025</v>
      </c>
      <c r="D109" s="95" cm="1">
        <f t="array" ref="D109">INDEX($F$14:$AD$16,$B109,MATCH($C109,$F$11:$AD$11,0))*$G$105</f>
        <v>2408250</v>
      </c>
      <c r="E109" s="95"/>
      <c r="F109" s="95">
        <f>IF(F$11&lt;$C109,0,MIN($D109/$D$104,$D109-SUM($E109:E109)))</f>
        <v>0</v>
      </c>
      <c r="G109" s="95">
        <f>IF(G$11&lt;$C109,0,MIN($D109/$D$104,$D109-SUM($E109:F109)))</f>
        <v>0</v>
      </c>
      <c r="H109" s="95">
        <f>IF(H$11&lt;$C109,0,MIN($D109/$D$104,$D109-SUM($E109:G109)))</f>
        <v>0</v>
      </c>
      <c r="I109" s="95">
        <f>IF(I$11&lt;$C109,0,MIN($D109/$D$104,$D109-SUM($E109:H109)))</f>
        <v>481650</v>
      </c>
      <c r="J109" s="95">
        <f>IF(J$11&lt;$C109,0,MIN($D109/$D$104,$D109-SUM($E109:I109)))</f>
        <v>481650</v>
      </c>
      <c r="K109" s="95">
        <f>IF(K$11&lt;$C109,0,MIN($D109/$D$104,$D109-SUM($E109:J109)))</f>
        <v>481650</v>
      </c>
      <c r="L109" s="95">
        <f>IF(L$11&lt;$C109,0,MIN($D109/$D$104,$D109-SUM($E109:K109)))</f>
        <v>481650</v>
      </c>
      <c r="M109" s="95">
        <f>IF(M$11&lt;$C109,0,MIN($D109/$D$104,$D109-SUM($E109:L109)))</f>
        <v>481650</v>
      </c>
      <c r="N109" s="95">
        <f>IF(N$11&lt;$C109,0,MIN($D109/$D$104,$D109-SUM($E109:M109)))</f>
        <v>0</v>
      </c>
      <c r="O109" s="95">
        <f>IF(O$11&lt;$C109,0,MIN($D109/$D$104,$D109-SUM($E109:N109)))</f>
        <v>0</v>
      </c>
      <c r="P109" s="95">
        <f>IF(P$11&lt;$C109,0,MIN($D109/$D$104,$D109-SUM($E109:O109)))</f>
        <v>0</v>
      </c>
      <c r="Q109" s="95">
        <f>IF(Q$11&lt;$C109,0,MIN($D109/$D$104,$D109-SUM($E109:P109)))</f>
        <v>0</v>
      </c>
      <c r="R109" s="95">
        <f>IF(R$11&lt;$C109,0,MIN($D109/$D$104,$D109-SUM($E109:Q109)))</f>
        <v>0</v>
      </c>
      <c r="S109" s="95">
        <f>IF(S$11&lt;$C109,0,MIN($D109/$D$104,$D109-SUM($E109:R109)))</f>
        <v>0</v>
      </c>
      <c r="T109" s="95">
        <f>IF(T$11&lt;$C109,0,MIN($D109/$D$104,$D109-SUM($E109:S109)))</f>
        <v>0</v>
      </c>
      <c r="U109" s="95">
        <f>IF(U$11&lt;$C109,0,MIN($D109/$D$104,$D109-SUM($E109:T109)))</f>
        <v>0</v>
      </c>
      <c r="V109" s="95">
        <f>IF(V$11&lt;$C109,0,MIN($D109/$D$104,$D109-SUM($E109:U109)))</f>
        <v>0</v>
      </c>
      <c r="W109" s="95">
        <f>IF(W$11&lt;$C109,0,MIN($D109/$D$104,$D109-SUM($E109:V109)))</f>
        <v>0</v>
      </c>
      <c r="X109" s="95">
        <f>IF(X$11&lt;$C109,0,MIN($D109/$D$104,$D109-SUM($E109:W109)))</f>
        <v>0</v>
      </c>
      <c r="Y109" s="95">
        <f>IF(Y$11&lt;$C109,0,MIN($D109/$D$104,$D109-SUM($E109:X109)))</f>
        <v>0</v>
      </c>
      <c r="Z109" s="95">
        <f>IF(Z$11&lt;$C109,0,MIN($D109/$D$104,$D109-SUM($E109:Y109)))</f>
        <v>0</v>
      </c>
      <c r="AA109" s="95">
        <f>IF(AA$11&lt;$C109,0,MIN($D109/$D$104,$D109-SUM($E109:Z109)))</f>
        <v>0</v>
      </c>
      <c r="AB109" s="95">
        <f>IF(AB$11&lt;$C109,0,MIN($D109/$D$104,$D109-SUM($E109:AA109)))</f>
        <v>0</v>
      </c>
      <c r="AC109" s="95">
        <f>IF(AC$11&lt;$C109,0,MIN($D109/$D$104,$D109-SUM($E109:AB109)))</f>
        <v>0</v>
      </c>
      <c r="AD109" s="95">
        <f>IF(AD$11&lt;$C109,0,MIN($D109/$D$104,$D109-SUM($E109:AC109)))</f>
        <v>0</v>
      </c>
    </row>
    <row r="110" spans="1:30">
      <c r="A110" s="95"/>
      <c r="B110" s="118">
        <f t="shared" si="46"/>
        <v>1</v>
      </c>
      <c r="C110">
        <f t="shared" si="47"/>
        <v>2026</v>
      </c>
      <c r="D110" s="95" cm="1">
        <f t="array" ref="D110">INDEX($F$14:$AD$16,$B110,MATCH($C110,$F$11:$AD$11,0))*$G$105</f>
        <v>1209825</v>
      </c>
      <c r="E110" s="95"/>
      <c r="F110" s="95">
        <f>IF(F$11&lt;$C110,0,MIN($D110/$D$104,$D110-SUM($E110:E110)))</f>
        <v>0</v>
      </c>
      <c r="G110" s="95">
        <f>IF(G$11&lt;$C110,0,MIN($D110/$D$104,$D110-SUM($E110:F110)))</f>
        <v>0</v>
      </c>
      <c r="H110" s="95">
        <f>IF(H$11&lt;$C110,0,MIN($D110/$D$104,$D110-SUM($E110:G110)))</f>
        <v>0</v>
      </c>
      <c r="I110" s="95">
        <f>IF(I$11&lt;$C110,0,MIN($D110/$D$104,$D110-SUM($E110:H110)))</f>
        <v>0</v>
      </c>
      <c r="J110" s="95">
        <f>IF(J$11&lt;$C110,0,MIN($D110/$D$104,$D110-SUM($E110:I110)))</f>
        <v>241965</v>
      </c>
      <c r="K110" s="95">
        <f>IF(K$11&lt;$C110,0,MIN($D110/$D$104,$D110-SUM($E110:J110)))</f>
        <v>241965</v>
      </c>
      <c r="L110" s="95">
        <f>IF(L$11&lt;$C110,0,MIN($D110/$D$104,$D110-SUM($E110:K110)))</f>
        <v>241965</v>
      </c>
      <c r="M110" s="95">
        <f>IF(M$11&lt;$C110,0,MIN($D110/$D$104,$D110-SUM($E110:L110)))</f>
        <v>241965</v>
      </c>
      <c r="N110" s="95">
        <f>IF(N$11&lt;$C110,0,MIN($D110/$D$104,$D110-SUM($E110:M110)))</f>
        <v>241965</v>
      </c>
      <c r="O110" s="95">
        <f>IF(O$11&lt;$C110,0,MIN($D110/$D$104,$D110-SUM($E110:N110)))</f>
        <v>0</v>
      </c>
      <c r="P110" s="95">
        <f>IF(P$11&lt;$C110,0,MIN($D110/$D$104,$D110-SUM($E110:O110)))</f>
        <v>0</v>
      </c>
      <c r="Q110" s="95">
        <f>IF(Q$11&lt;$C110,0,MIN($D110/$D$104,$D110-SUM($E110:P110)))</f>
        <v>0</v>
      </c>
      <c r="R110" s="95">
        <f>IF(R$11&lt;$C110,0,MIN($D110/$D$104,$D110-SUM($E110:Q110)))</f>
        <v>0</v>
      </c>
      <c r="S110" s="95">
        <f>IF(S$11&lt;$C110,0,MIN($D110/$D$104,$D110-SUM($E110:R110)))</f>
        <v>0</v>
      </c>
      <c r="T110" s="95">
        <f>IF(T$11&lt;$C110,0,MIN($D110/$D$104,$D110-SUM($E110:S110)))</f>
        <v>0</v>
      </c>
      <c r="U110" s="95">
        <f>IF(U$11&lt;$C110,0,MIN($D110/$D$104,$D110-SUM($E110:T110)))</f>
        <v>0</v>
      </c>
      <c r="V110" s="95">
        <f>IF(V$11&lt;$C110,0,MIN($D110/$D$104,$D110-SUM($E110:U110)))</f>
        <v>0</v>
      </c>
      <c r="W110" s="95">
        <f>IF(W$11&lt;$C110,0,MIN($D110/$D$104,$D110-SUM($E110:V110)))</f>
        <v>0</v>
      </c>
      <c r="X110" s="95">
        <f>IF(X$11&lt;$C110,0,MIN($D110/$D$104,$D110-SUM($E110:W110)))</f>
        <v>0</v>
      </c>
      <c r="Y110" s="95">
        <f>IF(Y$11&lt;$C110,0,MIN($D110/$D$104,$D110-SUM($E110:X110)))</f>
        <v>0</v>
      </c>
      <c r="Z110" s="95">
        <f>IF(Z$11&lt;$C110,0,MIN($D110/$D$104,$D110-SUM($E110:Y110)))</f>
        <v>0</v>
      </c>
      <c r="AA110" s="95">
        <f>IF(AA$11&lt;$C110,0,MIN($D110/$D$104,$D110-SUM($E110:Z110)))</f>
        <v>0</v>
      </c>
      <c r="AB110" s="95">
        <f>IF(AB$11&lt;$C110,0,MIN($D110/$D$104,$D110-SUM($E110:AA110)))</f>
        <v>0</v>
      </c>
      <c r="AC110" s="95">
        <f>IF(AC$11&lt;$C110,0,MIN($D110/$D$104,$D110-SUM($E110:AB110)))</f>
        <v>0</v>
      </c>
      <c r="AD110" s="95">
        <f>IF(AD$11&lt;$C110,0,MIN($D110/$D$104,$D110-SUM($E110:AC110)))</f>
        <v>0</v>
      </c>
    </row>
    <row r="111" spans="1:30">
      <c r="A111" s="95"/>
      <c r="B111" s="118">
        <f t="shared" si="46"/>
        <v>1</v>
      </c>
      <c r="C111">
        <f t="shared" si="47"/>
        <v>2027</v>
      </c>
      <c r="D111" s="95" cm="1">
        <f t="array" ref="D111">INDEX($F$14:$AD$16,$B111,MATCH($C111,$F$11:$AD$11,0))*$G$105</f>
        <v>1654425</v>
      </c>
      <c r="E111" s="95"/>
      <c r="F111" s="95">
        <f>IF(F$11&lt;$C111,0,MIN($D111/$D$104,$D111-SUM($E111:E111)))</f>
        <v>0</v>
      </c>
      <c r="G111" s="95">
        <f>IF(G$11&lt;$C111,0,MIN($D111/$D$104,$D111-SUM($E111:F111)))</f>
        <v>0</v>
      </c>
      <c r="H111" s="95">
        <f>IF(H$11&lt;$C111,0,MIN($D111/$D$104,$D111-SUM($E111:G111)))</f>
        <v>0</v>
      </c>
      <c r="I111" s="95">
        <f>IF(I$11&lt;$C111,0,MIN($D111/$D$104,$D111-SUM($E111:H111)))</f>
        <v>0</v>
      </c>
      <c r="J111" s="95">
        <f>IF(J$11&lt;$C111,0,MIN($D111/$D$104,$D111-SUM($E111:I111)))</f>
        <v>0</v>
      </c>
      <c r="K111" s="95">
        <f>IF(K$11&lt;$C111,0,MIN($D111/$D$104,$D111-SUM($E111:J111)))</f>
        <v>330885</v>
      </c>
      <c r="L111" s="95">
        <f>IF(L$11&lt;$C111,0,MIN($D111/$D$104,$D111-SUM($E111:K111)))</f>
        <v>330885</v>
      </c>
      <c r="M111" s="95">
        <f>IF(M$11&lt;$C111,0,MIN($D111/$D$104,$D111-SUM($E111:L111)))</f>
        <v>330885</v>
      </c>
      <c r="N111" s="95">
        <f>IF(N$11&lt;$C111,0,MIN($D111/$D$104,$D111-SUM($E111:M111)))</f>
        <v>330885</v>
      </c>
      <c r="O111" s="95">
        <f>IF(O$11&lt;$C111,0,MIN($D111/$D$104,$D111-SUM($E111:N111)))</f>
        <v>330885</v>
      </c>
      <c r="P111" s="95">
        <f>IF(P$11&lt;$C111,0,MIN($D111/$D$104,$D111-SUM($E111:O111)))</f>
        <v>0</v>
      </c>
      <c r="Q111" s="95">
        <f>IF(Q$11&lt;$C111,0,MIN($D111/$D$104,$D111-SUM($E111:P111)))</f>
        <v>0</v>
      </c>
      <c r="R111" s="95">
        <f>IF(R$11&lt;$C111,0,MIN($D111/$D$104,$D111-SUM($E111:Q111)))</f>
        <v>0</v>
      </c>
      <c r="S111" s="95">
        <f>IF(S$11&lt;$C111,0,MIN($D111/$D$104,$D111-SUM($E111:R111)))</f>
        <v>0</v>
      </c>
      <c r="T111" s="95">
        <f>IF(T$11&lt;$C111,0,MIN($D111/$D$104,$D111-SUM($E111:S111)))</f>
        <v>0</v>
      </c>
      <c r="U111" s="95">
        <f>IF(U$11&lt;$C111,0,MIN($D111/$D$104,$D111-SUM($E111:T111)))</f>
        <v>0</v>
      </c>
      <c r="V111" s="95">
        <f>IF(V$11&lt;$C111,0,MIN($D111/$D$104,$D111-SUM($E111:U111)))</f>
        <v>0</v>
      </c>
      <c r="W111" s="95">
        <f>IF(W$11&lt;$C111,0,MIN($D111/$D$104,$D111-SUM($E111:V111)))</f>
        <v>0</v>
      </c>
      <c r="X111" s="95">
        <f>IF(X$11&lt;$C111,0,MIN($D111/$D$104,$D111-SUM($E111:W111)))</f>
        <v>0</v>
      </c>
      <c r="Y111" s="95">
        <f>IF(Y$11&lt;$C111,0,MIN($D111/$D$104,$D111-SUM($E111:X111)))</f>
        <v>0</v>
      </c>
      <c r="Z111" s="95">
        <f>IF(Z$11&lt;$C111,0,MIN($D111/$D$104,$D111-SUM($E111:Y111)))</f>
        <v>0</v>
      </c>
      <c r="AA111" s="95">
        <f>IF(AA$11&lt;$C111,0,MIN($D111/$D$104,$D111-SUM($E111:Z111)))</f>
        <v>0</v>
      </c>
      <c r="AB111" s="95">
        <f>IF(AB$11&lt;$C111,0,MIN($D111/$D$104,$D111-SUM($E111:AA111)))</f>
        <v>0</v>
      </c>
      <c r="AC111" s="95">
        <f>IF(AC$11&lt;$C111,0,MIN($D111/$D$104,$D111-SUM($E111:AB111)))</f>
        <v>0</v>
      </c>
      <c r="AD111" s="95">
        <f>IF(AD$11&lt;$C111,0,MIN($D111/$D$104,$D111-SUM($E111:AC111)))</f>
        <v>0</v>
      </c>
    </row>
    <row r="112" spans="1:30">
      <c r="A112" s="95"/>
      <c r="B112" s="118">
        <f t="shared" si="46"/>
        <v>1</v>
      </c>
      <c r="C112">
        <f t="shared" si="47"/>
        <v>2028</v>
      </c>
      <c r="D112" s="95" cm="1">
        <f t="array" ref="D112">INDEX($F$14:$AD$16,$B112,MATCH($C112,$F$11:$AD$11,0))*$G$105</f>
        <v>1158525</v>
      </c>
      <c r="E112" s="95"/>
      <c r="F112" s="95">
        <f>IF(F$11&lt;$C112,0,MIN($D112/$D$104,$D112-SUM($E112:E112)))</f>
        <v>0</v>
      </c>
      <c r="G112" s="95">
        <f>IF(G$11&lt;$C112,0,MIN($D112/$D$104,$D112-SUM($E112:F112)))</f>
        <v>0</v>
      </c>
      <c r="H112" s="95">
        <f>IF(H$11&lt;$C112,0,MIN($D112/$D$104,$D112-SUM($E112:G112)))</f>
        <v>0</v>
      </c>
      <c r="I112" s="95">
        <f>IF(I$11&lt;$C112,0,MIN($D112/$D$104,$D112-SUM($E112:H112)))</f>
        <v>0</v>
      </c>
      <c r="J112" s="95">
        <f>IF(J$11&lt;$C112,0,MIN($D112/$D$104,$D112-SUM($E112:I112)))</f>
        <v>0</v>
      </c>
      <c r="K112" s="95">
        <f>IF(K$11&lt;$C112,0,MIN($D112/$D$104,$D112-SUM($E112:J112)))</f>
        <v>0</v>
      </c>
      <c r="L112" s="95">
        <f>IF(L$11&lt;$C112,0,MIN($D112/$D$104,$D112-SUM($E112:K112)))</f>
        <v>231705</v>
      </c>
      <c r="M112" s="95">
        <f>IF(M$11&lt;$C112,0,MIN($D112/$D$104,$D112-SUM($E112:L112)))</f>
        <v>231705</v>
      </c>
      <c r="N112" s="95">
        <f>IF(N$11&lt;$C112,0,MIN($D112/$D$104,$D112-SUM($E112:M112)))</f>
        <v>231705</v>
      </c>
      <c r="O112" s="95">
        <f>IF(O$11&lt;$C112,0,MIN($D112/$D$104,$D112-SUM($E112:N112)))</f>
        <v>231705</v>
      </c>
      <c r="P112" s="95">
        <f>IF(P$11&lt;$C112,0,MIN($D112/$D$104,$D112-SUM($E112:O112)))</f>
        <v>231705</v>
      </c>
      <c r="Q112" s="95">
        <f>IF(Q$11&lt;$C112,0,MIN($D112/$D$104,$D112-SUM($E112:P112)))</f>
        <v>0</v>
      </c>
      <c r="R112" s="95">
        <f>IF(R$11&lt;$C112,0,MIN($D112/$D$104,$D112-SUM($E112:Q112)))</f>
        <v>0</v>
      </c>
      <c r="S112" s="95">
        <f>IF(S$11&lt;$C112,0,MIN($D112/$D$104,$D112-SUM($E112:R112)))</f>
        <v>0</v>
      </c>
      <c r="T112" s="95">
        <f>IF(T$11&lt;$C112,0,MIN($D112/$D$104,$D112-SUM($E112:S112)))</f>
        <v>0</v>
      </c>
      <c r="U112" s="95">
        <f>IF(U$11&lt;$C112,0,MIN($D112/$D$104,$D112-SUM($E112:T112)))</f>
        <v>0</v>
      </c>
      <c r="V112" s="95">
        <f>IF(V$11&lt;$C112,0,MIN($D112/$D$104,$D112-SUM($E112:U112)))</f>
        <v>0</v>
      </c>
      <c r="W112" s="95">
        <f>IF(W$11&lt;$C112,0,MIN($D112/$D$104,$D112-SUM($E112:V112)))</f>
        <v>0</v>
      </c>
      <c r="X112" s="95">
        <f>IF(X$11&lt;$C112,0,MIN($D112/$D$104,$D112-SUM($E112:W112)))</f>
        <v>0</v>
      </c>
      <c r="Y112" s="95">
        <f>IF(Y$11&lt;$C112,0,MIN($D112/$D$104,$D112-SUM($E112:X112)))</f>
        <v>0</v>
      </c>
      <c r="Z112" s="95">
        <f>IF(Z$11&lt;$C112,0,MIN($D112/$D$104,$D112-SUM($E112:Y112)))</f>
        <v>0</v>
      </c>
      <c r="AA112" s="95">
        <f>IF(AA$11&lt;$C112,0,MIN($D112/$D$104,$D112-SUM($E112:Z112)))</f>
        <v>0</v>
      </c>
      <c r="AB112" s="95">
        <f>IF(AB$11&lt;$C112,0,MIN($D112/$D$104,$D112-SUM($E112:AA112)))</f>
        <v>0</v>
      </c>
      <c r="AC112" s="95">
        <f>IF(AC$11&lt;$C112,0,MIN($D112/$D$104,$D112-SUM($E112:AB112)))</f>
        <v>0</v>
      </c>
      <c r="AD112" s="95">
        <f>IF(AD$11&lt;$C112,0,MIN($D112/$D$104,$D112-SUM($E112:AC112)))</f>
        <v>0</v>
      </c>
    </row>
    <row r="113" spans="1:30">
      <c r="A113" s="95"/>
      <c r="B113" s="118">
        <f t="shared" si="46"/>
        <v>1</v>
      </c>
      <c r="C113">
        <f t="shared" si="47"/>
        <v>2029</v>
      </c>
      <c r="D113" s="95" cm="1">
        <f t="array" ref="D113">INDEX($F$14:$AD$16,$B113,MATCH($C113,$F$11:$AD$11,0))*$G$105</f>
        <v>275025</v>
      </c>
      <c r="E113" s="95"/>
      <c r="F113" s="95">
        <f>IF(F$11&lt;$C113,0,MIN($D113/$D$104,$D113-SUM($E113:E113)))</f>
        <v>0</v>
      </c>
      <c r="G113" s="95">
        <f>IF(G$11&lt;$C113,0,MIN($D113/$D$104,$D113-SUM($E113:F113)))</f>
        <v>0</v>
      </c>
      <c r="H113" s="95">
        <f>IF(H$11&lt;$C113,0,MIN($D113/$D$104,$D113-SUM($E113:G113)))</f>
        <v>0</v>
      </c>
      <c r="I113" s="95">
        <f>IF(I$11&lt;$C113,0,MIN($D113/$D$104,$D113-SUM($E113:H113)))</f>
        <v>0</v>
      </c>
      <c r="J113" s="95">
        <f>IF(J$11&lt;$C113,0,MIN($D113/$D$104,$D113-SUM($E113:I113)))</f>
        <v>0</v>
      </c>
      <c r="K113" s="95">
        <f>IF(K$11&lt;$C113,0,MIN($D113/$D$104,$D113-SUM($E113:J113)))</f>
        <v>0</v>
      </c>
      <c r="L113" s="95">
        <f>IF(L$11&lt;$C113,0,MIN($D113/$D$104,$D113-SUM($E113:K113)))</f>
        <v>0</v>
      </c>
      <c r="M113" s="95">
        <f>IF(M$11&lt;$C113,0,MIN($D113/$D$104,$D113-SUM($E113:L113)))</f>
        <v>55005</v>
      </c>
      <c r="N113" s="95">
        <f>IF(N$11&lt;$C113,0,MIN($D113/$D$104,$D113-SUM($E113:M113)))</f>
        <v>55005</v>
      </c>
      <c r="O113" s="95">
        <f>IF(O$11&lt;$C113,0,MIN($D113/$D$104,$D113-SUM($E113:N113)))</f>
        <v>55005</v>
      </c>
      <c r="P113" s="95">
        <f>IF(P$11&lt;$C113,0,MIN($D113/$D$104,$D113-SUM($E113:O113)))</f>
        <v>55005</v>
      </c>
      <c r="Q113" s="95">
        <f>IF(Q$11&lt;$C113,0,MIN($D113/$D$104,$D113-SUM($E113:P113)))</f>
        <v>55005</v>
      </c>
      <c r="R113" s="95">
        <f>IF(R$11&lt;$C113,0,MIN($D113/$D$104,$D113-SUM($E113:Q113)))</f>
        <v>0</v>
      </c>
      <c r="S113" s="95">
        <f>IF(S$11&lt;$C113,0,MIN($D113/$D$104,$D113-SUM($E113:R113)))</f>
        <v>0</v>
      </c>
      <c r="T113" s="95">
        <f>IF(T$11&lt;$C113,0,MIN($D113/$D$104,$D113-SUM($E113:S113)))</f>
        <v>0</v>
      </c>
      <c r="U113" s="95">
        <f>IF(U$11&lt;$C113,0,MIN($D113/$D$104,$D113-SUM($E113:T113)))</f>
        <v>0</v>
      </c>
      <c r="V113" s="95">
        <f>IF(V$11&lt;$C113,0,MIN($D113/$D$104,$D113-SUM($E113:U113)))</f>
        <v>0</v>
      </c>
      <c r="W113" s="95">
        <f>IF(W$11&lt;$C113,0,MIN($D113/$D$104,$D113-SUM($E113:V113)))</f>
        <v>0</v>
      </c>
      <c r="X113" s="95">
        <f>IF(X$11&lt;$C113,0,MIN($D113/$D$104,$D113-SUM($E113:W113)))</f>
        <v>0</v>
      </c>
      <c r="Y113" s="95">
        <f>IF(Y$11&lt;$C113,0,MIN($D113/$D$104,$D113-SUM($E113:X113)))</f>
        <v>0</v>
      </c>
      <c r="Z113" s="95">
        <f>IF(Z$11&lt;$C113,0,MIN($D113/$D$104,$D113-SUM($E113:Y113)))</f>
        <v>0</v>
      </c>
      <c r="AA113" s="95">
        <f>IF(AA$11&lt;$C113,0,MIN($D113/$D$104,$D113-SUM($E113:Z113)))</f>
        <v>0</v>
      </c>
      <c r="AB113" s="95">
        <f>IF(AB$11&lt;$C113,0,MIN($D113/$D$104,$D113-SUM($E113:AA113)))</f>
        <v>0</v>
      </c>
      <c r="AC113" s="95">
        <f>IF(AC$11&lt;$C113,0,MIN($D113/$D$104,$D113-SUM($E113:AB113)))</f>
        <v>0</v>
      </c>
      <c r="AD113" s="95">
        <f>IF(AD$11&lt;$C113,0,MIN($D113/$D$104,$D113-SUM($E113:AC113)))</f>
        <v>0</v>
      </c>
    </row>
    <row r="114" spans="1:30">
      <c r="A114" s="95"/>
      <c r="B114" s="118">
        <f t="shared" si="46"/>
        <v>1</v>
      </c>
      <c r="C114">
        <f t="shared" si="47"/>
        <v>2030</v>
      </c>
      <c r="D114" s="95" cm="1">
        <f t="array" ref="D114">INDEX($F$14:$AD$16,$B114,MATCH($C114,$F$11:$AD$11,0))*$G$105</f>
        <v>1054500</v>
      </c>
      <c r="E114" s="95"/>
      <c r="F114" s="95">
        <f>IF(F$11&lt;$C114,0,MIN($D114/$D$104,$D114-SUM($E114:E114)))</f>
        <v>0</v>
      </c>
      <c r="G114" s="95">
        <f>IF(G$11&lt;$C114,0,MIN($D114/$D$104,$D114-SUM($E114:F114)))</f>
        <v>0</v>
      </c>
      <c r="H114" s="95">
        <f>IF(H$11&lt;$C114,0,MIN($D114/$D$104,$D114-SUM($E114:G114)))</f>
        <v>0</v>
      </c>
      <c r="I114" s="95">
        <f>IF(I$11&lt;$C114,0,MIN($D114/$D$104,$D114-SUM($E114:H114)))</f>
        <v>0</v>
      </c>
      <c r="J114" s="95">
        <f>IF(J$11&lt;$C114,0,MIN($D114/$D$104,$D114-SUM($E114:I114)))</f>
        <v>0</v>
      </c>
      <c r="K114" s="95">
        <f>IF(K$11&lt;$C114,0,MIN($D114/$D$104,$D114-SUM($E114:J114)))</f>
        <v>0</v>
      </c>
      <c r="L114" s="95">
        <f>IF(L$11&lt;$C114,0,MIN($D114/$D$104,$D114-SUM($E114:K114)))</f>
        <v>0</v>
      </c>
      <c r="M114" s="95">
        <f>IF(M$11&lt;$C114,0,MIN($D114/$D$104,$D114-SUM($E114:L114)))</f>
        <v>0</v>
      </c>
      <c r="N114" s="95">
        <f>IF(N$11&lt;$C114,0,MIN($D114/$D$104,$D114-SUM($E114:M114)))</f>
        <v>210900</v>
      </c>
      <c r="O114" s="95">
        <f>IF(O$11&lt;$C114,0,MIN($D114/$D$104,$D114-SUM($E114:N114)))</f>
        <v>210900</v>
      </c>
      <c r="P114" s="95">
        <f>IF(P$11&lt;$C114,0,MIN($D114/$D$104,$D114-SUM($E114:O114)))</f>
        <v>210900</v>
      </c>
      <c r="Q114" s="95">
        <f>IF(Q$11&lt;$C114,0,MIN($D114/$D$104,$D114-SUM($E114:P114)))</f>
        <v>210900</v>
      </c>
      <c r="R114" s="95">
        <f>IF(R$11&lt;$C114,0,MIN($D114/$D$104,$D114-SUM($E114:Q114)))</f>
        <v>210900</v>
      </c>
      <c r="S114" s="95">
        <f>IF(S$11&lt;$C114,0,MIN($D114/$D$104,$D114-SUM($E114:R114)))</f>
        <v>0</v>
      </c>
      <c r="T114" s="95">
        <f>IF(T$11&lt;$C114,0,MIN($D114/$D$104,$D114-SUM($E114:S114)))</f>
        <v>0</v>
      </c>
      <c r="U114" s="95">
        <f>IF(U$11&lt;$C114,0,MIN($D114/$D$104,$D114-SUM($E114:T114)))</f>
        <v>0</v>
      </c>
      <c r="V114" s="95">
        <f>IF(V$11&lt;$C114,0,MIN($D114/$D$104,$D114-SUM($E114:U114)))</f>
        <v>0</v>
      </c>
      <c r="W114" s="95">
        <f>IF(W$11&lt;$C114,0,MIN($D114/$D$104,$D114-SUM($E114:V114)))</f>
        <v>0</v>
      </c>
      <c r="X114" s="95">
        <f>IF(X$11&lt;$C114,0,MIN($D114/$D$104,$D114-SUM($E114:W114)))</f>
        <v>0</v>
      </c>
      <c r="Y114" s="95">
        <f>IF(Y$11&lt;$C114,0,MIN($D114/$D$104,$D114-SUM($E114:X114)))</f>
        <v>0</v>
      </c>
      <c r="Z114" s="95">
        <f>IF(Z$11&lt;$C114,0,MIN($D114/$D$104,$D114-SUM($E114:Y114)))</f>
        <v>0</v>
      </c>
      <c r="AA114" s="95">
        <f>IF(AA$11&lt;$C114,0,MIN($D114/$D$104,$D114-SUM($E114:Z114)))</f>
        <v>0</v>
      </c>
      <c r="AB114" s="95">
        <f>IF(AB$11&lt;$C114,0,MIN($D114/$D$104,$D114-SUM($E114:AA114)))</f>
        <v>0</v>
      </c>
      <c r="AC114" s="95">
        <f>IF(AC$11&lt;$C114,0,MIN($D114/$D$104,$D114-SUM($E114:AB114)))</f>
        <v>0</v>
      </c>
      <c r="AD114" s="95">
        <f>IF(AD$11&lt;$C114,0,MIN($D114/$D$104,$D114-SUM($E114:AC114)))</f>
        <v>0</v>
      </c>
    </row>
    <row r="115" spans="1:30">
      <c r="A115" s="95"/>
      <c r="B115" s="118">
        <f t="shared" si="46"/>
        <v>1</v>
      </c>
      <c r="C115">
        <f t="shared" si="47"/>
        <v>2031</v>
      </c>
      <c r="D115" s="95" cm="1">
        <f t="array" ref="D115">INDEX($F$14:$AD$16,$B115,MATCH($C115,$F$11:$AD$11,0))*$G$105</f>
        <v>2227275</v>
      </c>
      <c r="E115" s="95"/>
      <c r="F115" s="95">
        <f>IF(F$11&lt;$C115,0,MIN($D115/$D$104,$D115-SUM($E115:E115)))</f>
        <v>0</v>
      </c>
      <c r="G115" s="95">
        <f>IF(G$11&lt;$C115,0,MIN($D115/$D$104,$D115-SUM($E115:F115)))</f>
        <v>0</v>
      </c>
      <c r="H115" s="95">
        <f>IF(H$11&lt;$C115,0,MIN($D115/$D$104,$D115-SUM($E115:G115)))</f>
        <v>0</v>
      </c>
      <c r="I115" s="95">
        <f>IF(I$11&lt;$C115,0,MIN($D115/$D$104,$D115-SUM($E115:H115)))</f>
        <v>0</v>
      </c>
      <c r="J115" s="95">
        <f>IF(J$11&lt;$C115,0,MIN($D115/$D$104,$D115-SUM($E115:I115)))</f>
        <v>0</v>
      </c>
      <c r="K115" s="95">
        <f>IF(K$11&lt;$C115,0,MIN($D115/$D$104,$D115-SUM($E115:J115)))</f>
        <v>0</v>
      </c>
      <c r="L115" s="95">
        <f>IF(L$11&lt;$C115,0,MIN($D115/$D$104,$D115-SUM($E115:K115)))</f>
        <v>0</v>
      </c>
      <c r="M115" s="95">
        <f>IF(M$11&lt;$C115,0,MIN($D115/$D$104,$D115-SUM($E115:L115)))</f>
        <v>0</v>
      </c>
      <c r="N115" s="95">
        <f>IF(N$11&lt;$C115,0,MIN($D115/$D$104,$D115-SUM($E115:M115)))</f>
        <v>0</v>
      </c>
      <c r="O115" s="95">
        <f>IF(O$11&lt;$C115,0,MIN($D115/$D$104,$D115-SUM($E115:N115)))</f>
        <v>445455</v>
      </c>
      <c r="P115" s="95">
        <f>IF(P$11&lt;$C115,0,MIN($D115/$D$104,$D115-SUM($E115:O115)))</f>
        <v>445455</v>
      </c>
      <c r="Q115" s="95">
        <f>IF(Q$11&lt;$C115,0,MIN($D115/$D$104,$D115-SUM($E115:P115)))</f>
        <v>445455</v>
      </c>
      <c r="R115" s="95">
        <f>IF(R$11&lt;$C115,0,MIN($D115/$D$104,$D115-SUM($E115:Q115)))</f>
        <v>445455</v>
      </c>
      <c r="S115" s="95">
        <f>IF(S$11&lt;$C115,0,MIN($D115/$D$104,$D115-SUM($E115:R115)))</f>
        <v>445455</v>
      </c>
      <c r="T115" s="95">
        <f>IF(T$11&lt;$C115,0,MIN($D115/$D$104,$D115-SUM($E115:S115)))</f>
        <v>0</v>
      </c>
      <c r="U115" s="95">
        <f>IF(U$11&lt;$C115,0,MIN($D115/$D$104,$D115-SUM($E115:T115)))</f>
        <v>0</v>
      </c>
      <c r="V115" s="95">
        <f>IF(V$11&lt;$C115,0,MIN($D115/$D$104,$D115-SUM($E115:U115)))</f>
        <v>0</v>
      </c>
      <c r="W115" s="95">
        <f>IF(W$11&lt;$C115,0,MIN($D115/$D$104,$D115-SUM($E115:V115)))</f>
        <v>0</v>
      </c>
      <c r="X115" s="95">
        <f>IF(X$11&lt;$C115,0,MIN($D115/$D$104,$D115-SUM($E115:W115)))</f>
        <v>0</v>
      </c>
      <c r="Y115" s="95">
        <f>IF(Y$11&lt;$C115,0,MIN($D115/$D$104,$D115-SUM($E115:X115)))</f>
        <v>0</v>
      </c>
      <c r="Z115" s="95">
        <f>IF(Z$11&lt;$C115,0,MIN($D115/$D$104,$D115-SUM($E115:Y115)))</f>
        <v>0</v>
      </c>
      <c r="AA115" s="95">
        <f>IF(AA$11&lt;$C115,0,MIN($D115/$D$104,$D115-SUM($E115:Z115)))</f>
        <v>0</v>
      </c>
      <c r="AB115" s="95">
        <f>IF(AB$11&lt;$C115,0,MIN($D115/$D$104,$D115-SUM($E115:AA115)))</f>
        <v>0</v>
      </c>
      <c r="AC115" s="95">
        <f>IF(AC$11&lt;$C115,0,MIN($D115/$D$104,$D115-SUM($E115:AB115)))</f>
        <v>0</v>
      </c>
      <c r="AD115" s="95">
        <f>IF(AD$11&lt;$C115,0,MIN($D115/$D$104,$D115-SUM($E115:AC115)))</f>
        <v>0</v>
      </c>
    </row>
    <row r="116" spans="1:30">
      <c r="A116" s="95"/>
      <c r="B116" s="118">
        <f t="shared" si="46"/>
        <v>1</v>
      </c>
      <c r="C116">
        <f t="shared" si="47"/>
        <v>2032</v>
      </c>
      <c r="D116" s="95" cm="1">
        <f t="array" ref="D116">INDEX($F$14:$AD$16,$B116,MATCH($C116,$F$11:$AD$11,0))*$G$105</f>
        <v>1416450</v>
      </c>
      <c r="E116" s="95"/>
      <c r="F116" s="95">
        <f>IF(F$11&lt;$C116,0,MIN($D116/$D$104,$D116-SUM($E116:E116)))</f>
        <v>0</v>
      </c>
      <c r="G116" s="95">
        <f>IF(G$11&lt;$C116,0,MIN($D116/$D$104,$D116-SUM($E116:F116)))</f>
        <v>0</v>
      </c>
      <c r="H116" s="95">
        <f>IF(H$11&lt;$C116,0,MIN($D116/$D$104,$D116-SUM($E116:G116)))</f>
        <v>0</v>
      </c>
      <c r="I116" s="95">
        <f>IF(I$11&lt;$C116,0,MIN($D116/$D$104,$D116-SUM($E116:H116)))</f>
        <v>0</v>
      </c>
      <c r="J116" s="95">
        <f>IF(J$11&lt;$C116,0,MIN($D116/$D$104,$D116-SUM($E116:I116)))</f>
        <v>0</v>
      </c>
      <c r="K116" s="95">
        <f>IF(K$11&lt;$C116,0,MIN($D116/$D$104,$D116-SUM($E116:J116)))</f>
        <v>0</v>
      </c>
      <c r="L116" s="95">
        <f>IF(L$11&lt;$C116,0,MIN($D116/$D$104,$D116-SUM($E116:K116)))</f>
        <v>0</v>
      </c>
      <c r="M116" s="95">
        <f>IF(M$11&lt;$C116,0,MIN($D116/$D$104,$D116-SUM($E116:L116)))</f>
        <v>0</v>
      </c>
      <c r="N116" s="95">
        <f>IF(N$11&lt;$C116,0,MIN($D116/$D$104,$D116-SUM($E116:M116)))</f>
        <v>0</v>
      </c>
      <c r="O116" s="95">
        <f>IF(O$11&lt;$C116,0,MIN($D116/$D$104,$D116-SUM($E116:N116)))</f>
        <v>0</v>
      </c>
      <c r="P116" s="95">
        <f>IF(P$11&lt;$C116,0,MIN($D116/$D$104,$D116-SUM($E116:O116)))</f>
        <v>283290</v>
      </c>
      <c r="Q116" s="95">
        <f>IF(Q$11&lt;$C116,0,MIN($D116/$D$104,$D116-SUM($E116:P116)))</f>
        <v>283290</v>
      </c>
      <c r="R116" s="95">
        <f>IF(R$11&lt;$C116,0,MIN($D116/$D$104,$D116-SUM($E116:Q116)))</f>
        <v>283290</v>
      </c>
      <c r="S116" s="95">
        <f>IF(S$11&lt;$C116,0,MIN($D116/$D$104,$D116-SUM($E116:R116)))</f>
        <v>283290</v>
      </c>
      <c r="T116" s="95">
        <f>IF(T$11&lt;$C116,0,MIN($D116/$D$104,$D116-SUM($E116:S116)))</f>
        <v>283290</v>
      </c>
      <c r="U116" s="95">
        <f>IF(U$11&lt;$C116,0,MIN($D116/$D$104,$D116-SUM($E116:T116)))</f>
        <v>0</v>
      </c>
      <c r="V116" s="95">
        <f>IF(V$11&lt;$C116,0,MIN($D116/$D$104,$D116-SUM($E116:U116)))</f>
        <v>0</v>
      </c>
      <c r="W116" s="95">
        <f>IF(W$11&lt;$C116,0,MIN($D116/$D$104,$D116-SUM($E116:V116)))</f>
        <v>0</v>
      </c>
      <c r="X116" s="95">
        <f>IF(X$11&lt;$C116,0,MIN($D116/$D$104,$D116-SUM($E116:W116)))</f>
        <v>0</v>
      </c>
      <c r="Y116" s="95">
        <f>IF(Y$11&lt;$C116,0,MIN($D116/$D$104,$D116-SUM($E116:X116)))</f>
        <v>0</v>
      </c>
      <c r="Z116" s="95">
        <f>IF(Z$11&lt;$C116,0,MIN($D116/$D$104,$D116-SUM($E116:Y116)))</f>
        <v>0</v>
      </c>
      <c r="AA116" s="95">
        <f>IF(AA$11&lt;$C116,0,MIN($D116/$D$104,$D116-SUM($E116:Z116)))</f>
        <v>0</v>
      </c>
      <c r="AB116" s="95">
        <f>IF(AB$11&lt;$C116,0,MIN($D116/$D$104,$D116-SUM($E116:AA116)))</f>
        <v>0</v>
      </c>
      <c r="AC116" s="95">
        <f>IF(AC$11&lt;$C116,0,MIN($D116/$D$104,$D116-SUM($E116:AB116)))</f>
        <v>0</v>
      </c>
      <c r="AD116" s="95">
        <f>IF(AD$11&lt;$C116,0,MIN($D116/$D$104,$D116-SUM($E116:AC116)))</f>
        <v>0</v>
      </c>
    </row>
    <row r="117" spans="1:30">
      <c r="A117" s="95"/>
      <c r="B117" s="118">
        <f t="shared" si="46"/>
        <v>1</v>
      </c>
      <c r="C117">
        <f t="shared" si="47"/>
        <v>2033</v>
      </c>
      <c r="D117" s="95" cm="1">
        <f t="array" ref="D117">INDEX($F$14:$AD$16,$B117,MATCH($C117,$F$11:$AD$11,0))*$G$105</f>
        <v>2061975</v>
      </c>
      <c r="E117" s="95"/>
      <c r="F117" s="95">
        <f>IF(F$11&lt;$C117,0,MIN($D117/$D$104,$D117-SUM($E117:E117)))</f>
        <v>0</v>
      </c>
      <c r="G117" s="95">
        <f>IF(G$11&lt;$C117,0,MIN($D117/$D$104,$D117-SUM($E117:F117)))</f>
        <v>0</v>
      </c>
      <c r="H117" s="95">
        <f>IF(H$11&lt;$C117,0,MIN($D117/$D$104,$D117-SUM($E117:G117)))</f>
        <v>0</v>
      </c>
      <c r="I117" s="95">
        <f>IF(I$11&lt;$C117,0,MIN($D117/$D$104,$D117-SUM($E117:H117)))</f>
        <v>0</v>
      </c>
      <c r="J117" s="95">
        <f>IF(J$11&lt;$C117,0,MIN($D117/$D$104,$D117-SUM($E117:I117)))</f>
        <v>0</v>
      </c>
      <c r="K117" s="95">
        <f>IF(K$11&lt;$C117,0,MIN($D117/$D$104,$D117-SUM($E117:J117)))</f>
        <v>0</v>
      </c>
      <c r="L117" s="95">
        <f>IF(L$11&lt;$C117,0,MIN($D117/$D$104,$D117-SUM($E117:K117)))</f>
        <v>0</v>
      </c>
      <c r="M117" s="95">
        <f>IF(M$11&lt;$C117,0,MIN($D117/$D$104,$D117-SUM($E117:L117)))</f>
        <v>0</v>
      </c>
      <c r="N117" s="95">
        <f>IF(N$11&lt;$C117,0,MIN($D117/$D$104,$D117-SUM($E117:M117)))</f>
        <v>0</v>
      </c>
      <c r="O117" s="95">
        <f>IF(O$11&lt;$C117,0,MIN($D117/$D$104,$D117-SUM($E117:N117)))</f>
        <v>0</v>
      </c>
      <c r="P117" s="95">
        <f>IF(P$11&lt;$C117,0,MIN($D117/$D$104,$D117-SUM($E117:O117)))</f>
        <v>0</v>
      </c>
      <c r="Q117" s="95">
        <f>IF(Q$11&lt;$C117,0,MIN($D117/$D$104,$D117-SUM($E117:P117)))</f>
        <v>412395</v>
      </c>
      <c r="R117" s="95">
        <f>IF(R$11&lt;$C117,0,MIN($D117/$D$104,$D117-SUM($E117:Q117)))</f>
        <v>412395</v>
      </c>
      <c r="S117" s="95">
        <f>IF(S$11&lt;$C117,0,MIN($D117/$D$104,$D117-SUM($E117:R117)))</f>
        <v>412395</v>
      </c>
      <c r="T117" s="95">
        <f>IF(T$11&lt;$C117,0,MIN($D117/$D$104,$D117-SUM($E117:S117)))</f>
        <v>412395</v>
      </c>
      <c r="U117" s="95">
        <f>IF(U$11&lt;$C117,0,MIN($D117/$D$104,$D117-SUM($E117:T117)))</f>
        <v>412395</v>
      </c>
      <c r="V117" s="95">
        <f>IF(V$11&lt;$C117,0,MIN($D117/$D$104,$D117-SUM($E117:U117)))</f>
        <v>0</v>
      </c>
      <c r="W117" s="95">
        <f>IF(W$11&lt;$C117,0,MIN($D117/$D$104,$D117-SUM($E117:V117)))</f>
        <v>0</v>
      </c>
      <c r="X117" s="95">
        <f>IF(X$11&lt;$C117,0,MIN($D117/$D$104,$D117-SUM($E117:W117)))</f>
        <v>0</v>
      </c>
      <c r="Y117" s="95">
        <f>IF(Y$11&lt;$C117,0,MIN($D117/$D$104,$D117-SUM($E117:X117)))</f>
        <v>0</v>
      </c>
      <c r="Z117" s="95">
        <f>IF(Z$11&lt;$C117,0,MIN($D117/$D$104,$D117-SUM($E117:Y117)))</f>
        <v>0</v>
      </c>
      <c r="AA117" s="95">
        <f>IF(AA$11&lt;$C117,0,MIN($D117/$D$104,$D117-SUM($E117:Z117)))</f>
        <v>0</v>
      </c>
      <c r="AB117" s="95">
        <f>IF(AB$11&lt;$C117,0,MIN($D117/$D$104,$D117-SUM($E117:AA117)))</f>
        <v>0</v>
      </c>
      <c r="AC117" s="95">
        <f>IF(AC$11&lt;$C117,0,MIN($D117/$D$104,$D117-SUM($E117:AB117)))</f>
        <v>0</v>
      </c>
      <c r="AD117" s="95">
        <f>IF(AD$11&lt;$C117,0,MIN($D117/$D$104,$D117-SUM($E117:AC117)))</f>
        <v>0</v>
      </c>
    </row>
    <row r="118" spans="1:30">
      <c r="A118" s="95"/>
      <c r="B118" s="118">
        <f t="shared" si="46"/>
        <v>1</v>
      </c>
      <c r="C118">
        <f t="shared" si="47"/>
        <v>2034</v>
      </c>
      <c r="D118" s="95" cm="1">
        <f t="array" ref="D118">INDEX($F$14:$AD$16,$B118,MATCH($C118,$F$11:$AD$11,0))*$G$105</f>
        <v>1031700</v>
      </c>
      <c r="E118" s="95"/>
      <c r="F118" s="95">
        <f>IF(F$11&lt;$C118,0,MIN($D118/$D$104,$D118-SUM($E118:E118)))</f>
        <v>0</v>
      </c>
      <c r="G118" s="95">
        <f>IF(G$11&lt;$C118,0,MIN($D118/$D$104,$D118-SUM($E118:F118)))</f>
        <v>0</v>
      </c>
      <c r="H118" s="95">
        <f>IF(H$11&lt;$C118,0,MIN($D118/$D$104,$D118-SUM($E118:G118)))</f>
        <v>0</v>
      </c>
      <c r="I118" s="95">
        <f>IF(I$11&lt;$C118,0,MIN($D118/$D$104,$D118-SUM($E118:H118)))</f>
        <v>0</v>
      </c>
      <c r="J118" s="95">
        <f>IF(J$11&lt;$C118,0,MIN($D118/$D$104,$D118-SUM($E118:I118)))</f>
        <v>0</v>
      </c>
      <c r="K118" s="95">
        <f>IF(K$11&lt;$C118,0,MIN($D118/$D$104,$D118-SUM($E118:J118)))</f>
        <v>0</v>
      </c>
      <c r="L118" s="95">
        <f>IF(L$11&lt;$C118,0,MIN($D118/$D$104,$D118-SUM($E118:K118)))</f>
        <v>0</v>
      </c>
      <c r="M118" s="95">
        <f>IF(M$11&lt;$C118,0,MIN($D118/$D$104,$D118-SUM($E118:L118)))</f>
        <v>0</v>
      </c>
      <c r="N118" s="95">
        <f>IF(N$11&lt;$C118,0,MIN($D118/$D$104,$D118-SUM($E118:M118)))</f>
        <v>0</v>
      </c>
      <c r="O118" s="95">
        <f>IF(O$11&lt;$C118,0,MIN($D118/$D$104,$D118-SUM($E118:N118)))</f>
        <v>0</v>
      </c>
      <c r="P118" s="95">
        <f>IF(P$11&lt;$C118,0,MIN($D118/$D$104,$D118-SUM($E118:O118)))</f>
        <v>0</v>
      </c>
      <c r="Q118" s="95">
        <f>IF(Q$11&lt;$C118,0,MIN($D118/$D$104,$D118-SUM($E118:P118)))</f>
        <v>0</v>
      </c>
      <c r="R118" s="95">
        <f>IF(R$11&lt;$C118,0,MIN($D118/$D$104,$D118-SUM($E118:Q118)))</f>
        <v>206340</v>
      </c>
      <c r="S118" s="95">
        <f>IF(S$11&lt;$C118,0,MIN($D118/$D$104,$D118-SUM($E118:R118)))</f>
        <v>206340</v>
      </c>
      <c r="T118" s="95">
        <f>IF(T$11&lt;$C118,0,MIN($D118/$D$104,$D118-SUM($E118:S118)))</f>
        <v>206340</v>
      </c>
      <c r="U118" s="95">
        <f>IF(U$11&lt;$C118,0,MIN($D118/$D$104,$D118-SUM($E118:T118)))</f>
        <v>206340</v>
      </c>
      <c r="V118" s="95">
        <f>IF(V$11&lt;$C118,0,MIN($D118/$D$104,$D118-SUM($E118:U118)))</f>
        <v>206340</v>
      </c>
      <c r="W118" s="95">
        <f>IF(W$11&lt;$C118,0,MIN($D118/$D$104,$D118-SUM($E118:V118)))</f>
        <v>0</v>
      </c>
      <c r="X118" s="95">
        <f>IF(X$11&lt;$C118,0,MIN($D118/$D$104,$D118-SUM($E118:W118)))</f>
        <v>0</v>
      </c>
      <c r="Y118" s="95">
        <f>IF(Y$11&lt;$C118,0,MIN($D118/$D$104,$D118-SUM($E118:X118)))</f>
        <v>0</v>
      </c>
      <c r="Z118" s="95">
        <f>IF(Z$11&lt;$C118,0,MIN($D118/$D$104,$D118-SUM($E118:Y118)))</f>
        <v>0</v>
      </c>
      <c r="AA118" s="95">
        <f>IF(AA$11&lt;$C118,0,MIN($D118/$D$104,$D118-SUM($E118:Z118)))</f>
        <v>0</v>
      </c>
      <c r="AB118" s="95">
        <f>IF(AB$11&lt;$C118,0,MIN($D118/$D$104,$D118-SUM($E118:AA118)))</f>
        <v>0</v>
      </c>
      <c r="AC118" s="95">
        <f>IF(AC$11&lt;$C118,0,MIN($D118/$D$104,$D118-SUM($E118:AB118)))</f>
        <v>0</v>
      </c>
      <c r="AD118" s="95">
        <f>IF(AD$11&lt;$C118,0,MIN($D118/$D$104,$D118-SUM($E118:AC118)))</f>
        <v>0</v>
      </c>
    </row>
    <row r="119" spans="1:30">
      <c r="A119" s="95"/>
      <c r="B119" s="118">
        <f t="shared" si="46"/>
        <v>1</v>
      </c>
      <c r="C119">
        <f t="shared" si="47"/>
        <v>2035</v>
      </c>
      <c r="D119" s="95" cm="1">
        <f t="array" ref="D119">INDEX($F$14:$AD$16,$B119,MATCH($C119,$F$11:$AD$11,0))*$G$105</f>
        <v>1309575</v>
      </c>
      <c r="E119" s="95"/>
      <c r="F119" s="95">
        <f>IF(F$11&lt;$C119,0,MIN($D119/$D$104,$D119-SUM($E119:E119)))</f>
        <v>0</v>
      </c>
      <c r="G119" s="95">
        <f>IF(G$11&lt;$C119,0,MIN($D119/$D$104,$D119-SUM($E119:F119)))</f>
        <v>0</v>
      </c>
      <c r="H119" s="95">
        <f>IF(H$11&lt;$C119,0,MIN($D119/$D$104,$D119-SUM($E119:G119)))</f>
        <v>0</v>
      </c>
      <c r="I119" s="95">
        <f>IF(I$11&lt;$C119,0,MIN($D119/$D$104,$D119-SUM($E119:H119)))</f>
        <v>0</v>
      </c>
      <c r="J119" s="95">
        <f>IF(J$11&lt;$C119,0,MIN($D119/$D$104,$D119-SUM($E119:I119)))</f>
        <v>0</v>
      </c>
      <c r="K119" s="95">
        <f>IF(K$11&lt;$C119,0,MIN($D119/$D$104,$D119-SUM($E119:J119)))</f>
        <v>0</v>
      </c>
      <c r="L119" s="95">
        <f>IF(L$11&lt;$C119,0,MIN($D119/$D$104,$D119-SUM($E119:K119)))</f>
        <v>0</v>
      </c>
      <c r="M119" s="95">
        <f>IF(M$11&lt;$C119,0,MIN($D119/$D$104,$D119-SUM($E119:L119)))</f>
        <v>0</v>
      </c>
      <c r="N119" s="95">
        <f>IF(N$11&lt;$C119,0,MIN($D119/$D$104,$D119-SUM($E119:M119)))</f>
        <v>0</v>
      </c>
      <c r="O119" s="95">
        <f>IF(O$11&lt;$C119,0,MIN($D119/$D$104,$D119-SUM($E119:N119)))</f>
        <v>0</v>
      </c>
      <c r="P119" s="95">
        <f>IF(P$11&lt;$C119,0,MIN($D119/$D$104,$D119-SUM($E119:O119)))</f>
        <v>0</v>
      </c>
      <c r="Q119" s="95">
        <f>IF(Q$11&lt;$C119,0,MIN($D119/$D$104,$D119-SUM($E119:P119)))</f>
        <v>0</v>
      </c>
      <c r="R119" s="95">
        <f>IF(R$11&lt;$C119,0,MIN($D119/$D$104,$D119-SUM($E119:Q119)))</f>
        <v>0</v>
      </c>
      <c r="S119" s="95">
        <f>IF(S$11&lt;$C119,0,MIN($D119/$D$104,$D119-SUM($E119:R119)))</f>
        <v>261915</v>
      </c>
      <c r="T119" s="95">
        <f>IF(T$11&lt;$C119,0,MIN($D119/$D$104,$D119-SUM($E119:S119)))</f>
        <v>261915</v>
      </c>
      <c r="U119" s="95">
        <f>IF(U$11&lt;$C119,0,MIN($D119/$D$104,$D119-SUM($E119:T119)))</f>
        <v>261915</v>
      </c>
      <c r="V119" s="95">
        <f>IF(V$11&lt;$C119,0,MIN($D119/$D$104,$D119-SUM($E119:U119)))</f>
        <v>261915</v>
      </c>
      <c r="W119" s="95">
        <f>IF(W$11&lt;$C119,0,MIN($D119/$D$104,$D119-SUM($E119:V119)))</f>
        <v>261915</v>
      </c>
      <c r="X119" s="95">
        <f>IF(X$11&lt;$C119,0,MIN($D119/$D$104,$D119-SUM($E119:W119)))</f>
        <v>0</v>
      </c>
      <c r="Y119" s="95">
        <f>IF(Y$11&lt;$C119,0,MIN($D119/$D$104,$D119-SUM($E119:X119)))</f>
        <v>0</v>
      </c>
      <c r="Z119" s="95">
        <f>IF(Z$11&lt;$C119,0,MIN($D119/$D$104,$D119-SUM($E119:Y119)))</f>
        <v>0</v>
      </c>
      <c r="AA119" s="95">
        <f>IF(AA$11&lt;$C119,0,MIN($D119/$D$104,$D119-SUM($E119:Z119)))</f>
        <v>0</v>
      </c>
      <c r="AB119" s="95">
        <f>IF(AB$11&lt;$C119,0,MIN($D119/$D$104,$D119-SUM($E119:AA119)))</f>
        <v>0</v>
      </c>
      <c r="AC119" s="95">
        <f>IF(AC$11&lt;$C119,0,MIN($D119/$D$104,$D119-SUM($E119:AB119)))</f>
        <v>0</v>
      </c>
      <c r="AD119" s="95">
        <f>IF(AD$11&lt;$C119,0,MIN($D119/$D$104,$D119-SUM($E119:AC119)))</f>
        <v>0</v>
      </c>
    </row>
    <row r="120" spans="1:30">
      <c r="A120" s="95"/>
      <c r="B120" s="118">
        <f t="shared" si="46"/>
        <v>1</v>
      </c>
      <c r="C120">
        <f t="shared" si="47"/>
        <v>2036</v>
      </c>
      <c r="D120" s="95" cm="1">
        <f t="array" ref="D120">INDEX($F$14:$AD$16,$B120,MATCH($C120,$F$11:$AD$11,0))*$G$105</f>
        <v>1674375</v>
      </c>
      <c r="E120" s="95"/>
      <c r="F120" s="95">
        <f>IF(F$11&lt;$C120,0,MIN($D120/$D$104,$D120-SUM($E120:E120)))</f>
        <v>0</v>
      </c>
      <c r="G120" s="95">
        <f>IF(G$11&lt;$C120,0,MIN($D120/$D$104,$D120-SUM($E120:F120)))</f>
        <v>0</v>
      </c>
      <c r="H120" s="95">
        <f>IF(H$11&lt;$C120,0,MIN($D120/$D$104,$D120-SUM($E120:G120)))</f>
        <v>0</v>
      </c>
      <c r="I120" s="95">
        <f>IF(I$11&lt;$C120,0,MIN($D120/$D$104,$D120-SUM($E120:H120)))</f>
        <v>0</v>
      </c>
      <c r="J120" s="95">
        <f>IF(J$11&lt;$C120,0,MIN($D120/$D$104,$D120-SUM($E120:I120)))</f>
        <v>0</v>
      </c>
      <c r="K120" s="95">
        <f>IF(K$11&lt;$C120,0,MIN($D120/$D$104,$D120-SUM($E120:J120)))</f>
        <v>0</v>
      </c>
      <c r="L120" s="95">
        <f>IF(L$11&lt;$C120,0,MIN($D120/$D$104,$D120-SUM($E120:K120)))</f>
        <v>0</v>
      </c>
      <c r="M120" s="95">
        <f>IF(M$11&lt;$C120,0,MIN($D120/$D$104,$D120-SUM($E120:L120)))</f>
        <v>0</v>
      </c>
      <c r="N120" s="95">
        <f>IF(N$11&lt;$C120,0,MIN($D120/$D$104,$D120-SUM($E120:M120)))</f>
        <v>0</v>
      </c>
      <c r="O120" s="95">
        <f>IF(O$11&lt;$C120,0,MIN($D120/$D$104,$D120-SUM($E120:N120)))</f>
        <v>0</v>
      </c>
      <c r="P120" s="95">
        <f>IF(P$11&lt;$C120,0,MIN($D120/$D$104,$D120-SUM($E120:O120)))</f>
        <v>0</v>
      </c>
      <c r="Q120" s="95">
        <f>IF(Q$11&lt;$C120,0,MIN($D120/$D$104,$D120-SUM($E120:P120)))</f>
        <v>0</v>
      </c>
      <c r="R120" s="95">
        <f>IF(R$11&lt;$C120,0,MIN($D120/$D$104,$D120-SUM($E120:Q120)))</f>
        <v>0</v>
      </c>
      <c r="S120" s="95">
        <f>IF(S$11&lt;$C120,0,MIN($D120/$D$104,$D120-SUM($E120:R120)))</f>
        <v>0</v>
      </c>
      <c r="T120" s="95">
        <f>IF(T$11&lt;$C120,0,MIN($D120/$D$104,$D120-SUM($E120:S120)))</f>
        <v>334875</v>
      </c>
      <c r="U120" s="95">
        <f>IF(U$11&lt;$C120,0,MIN($D120/$D$104,$D120-SUM($E120:T120)))</f>
        <v>334875</v>
      </c>
      <c r="V120" s="95">
        <f>IF(V$11&lt;$C120,0,MIN($D120/$D$104,$D120-SUM($E120:U120)))</f>
        <v>334875</v>
      </c>
      <c r="W120" s="95">
        <f>IF(W$11&lt;$C120,0,MIN($D120/$D$104,$D120-SUM($E120:V120)))</f>
        <v>334875</v>
      </c>
      <c r="X120" s="95">
        <f>IF(X$11&lt;$C120,0,MIN($D120/$D$104,$D120-SUM($E120:W120)))</f>
        <v>334875</v>
      </c>
      <c r="Y120" s="95">
        <f>IF(Y$11&lt;$C120,0,MIN($D120/$D$104,$D120-SUM($E120:X120)))</f>
        <v>0</v>
      </c>
      <c r="Z120" s="95">
        <f>IF(Z$11&lt;$C120,0,MIN($D120/$D$104,$D120-SUM($E120:Y120)))</f>
        <v>0</v>
      </c>
      <c r="AA120" s="95">
        <f>IF(AA$11&lt;$C120,0,MIN($D120/$D$104,$D120-SUM($E120:Z120)))</f>
        <v>0</v>
      </c>
      <c r="AB120" s="95">
        <f>IF(AB$11&lt;$C120,0,MIN($D120/$D$104,$D120-SUM($E120:AA120)))</f>
        <v>0</v>
      </c>
      <c r="AC120" s="95">
        <f>IF(AC$11&lt;$C120,0,MIN($D120/$D$104,$D120-SUM($E120:AB120)))</f>
        <v>0</v>
      </c>
      <c r="AD120" s="95">
        <f>IF(AD$11&lt;$C120,0,MIN($D120/$D$104,$D120-SUM($E120:AC120)))</f>
        <v>0</v>
      </c>
    </row>
    <row r="121" spans="1:30">
      <c r="A121" s="95"/>
      <c r="B121" s="118">
        <f t="shared" si="46"/>
        <v>1</v>
      </c>
      <c r="C121">
        <f t="shared" si="47"/>
        <v>2037</v>
      </c>
      <c r="D121" s="95" cm="1">
        <f t="array" ref="D121">INDEX($F$14:$AD$16,$B121,MATCH($C121,$F$11:$AD$11,0))*$G$105</f>
        <v>498750</v>
      </c>
      <c r="E121" s="95"/>
      <c r="F121" s="95">
        <f>IF(F$11&lt;$C121,0,MIN($D121/$D$104,$D121-SUM($E121:E121)))</f>
        <v>0</v>
      </c>
      <c r="G121" s="95">
        <f>IF(G$11&lt;$C121,0,MIN($D121/$D$104,$D121-SUM($E121:F121)))</f>
        <v>0</v>
      </c>
      <c r="H121" s="95">
        <f>IF(H$11&lt;$C121,0,MIN($D121/$D$104,$D121-SUM($E121:G121)))</f>
        <v>0</v>
      </c>
      <c r="I121" s="95">
        <f>IF(I$11&lt;$C121,0,MIN($D121/$D$104,$D121-SUM($E121:H121)))</f>
        <v>0</v>
      </c>
      <c r="J121" s="95">
        <f>IF(J$11&lt;$C121,0,MIN($D121/$D$104,$D121-SUM($E121:I121)))</f>
        <v>0</v>
      </c>
      <c r="K121" s="95">
        <f>IF(K$11&lt;$C121,0,MIN($D121/$D$104,$D121-SUM($E121:J121)))</f>
        <v>0</v>
      </c>
      <c r="L121" s="95">
        <f>IF(L$11&lt;$C121,0,MIN($D121/$D$104,$D121-SUM($E121:K121)))</f>
        <v>0</v>
      </c>
      <c r="M121" s="95">
        <f>IF(M$11&lt;$C121,0,MIN($D121/$D$104,$D121-SUM($E121:L121)))</f>
        <v>0</v>
      </c>
      <c r="N121" s="95">
        <f>IF(N$11&lt;$C121,0,MIN($D121/$D$104,$D121-SUM($E121:M121)))</f>
        <v>0</v>
      </c>
      <c r="O121" s="95">
        <f>IF(O$11&lt;$C121,0,MIN($D121/$D$104,$D121-SUM($E121:N121)))</f>
        <v>0</v>
      </c>
      <c r="P121" s="95">
        <f>IF(P$11&lt;$C121,0,MIN($D121/$D$104,$D121-SUM($E121:O121)))</f>
        <v>0</v>
      </c>
      <c r="Q121" s="95">
        <f>IF(Q$11&lt;$C121,0,MIN($D121/$D$104,$D121-SUM($E121:P121)))</f>
        <v>0</v>
      </c>
      <c r="R121" s="95">
        <f>IF(R$11&lt;$C121,0,MIN($D121/$D$104,$D121-SUM($E121:Q121)))</f>
        <v>0</v>
      </c>
      <c r="S121" s="95">
        <f>IF(S$11&lt;$C121,0,MIN($D121/$D$104,$D121-SUM($E121:R121)))</f>
        <v>0</v>
      </c>
      <c r="T121" s="95">
        <f>IF(T$11&lt;$C121,0,MIN($D121/$D$104,$D121-SUM($E121:S121)))</f>
        <v>0</v>
      </c>
      <c r="U121" s="95">
        <f>IF(U$11&lt;$C121,0,MIN($D121/$D$104,$D121-SUM($E121:T121)))</f>
        <v>99750</v>
      </c>
      <c r="V121" s="95">
        <f>IF(V$11&lt;$C121,0,MIN($D121/$D$104,$D121-SUM($E121:U121)))</f>
        <v>99750</v>
      </c>
      <c r="W121" s="95">
        <f>IF(W$11&lt;$C121,0,MIN($D121/$D$104,$D121-SUM($E121:V121)))</f>
        <v>99750</v>
      </c>
      <c r="X121" s="95">
        <f>IF(X$11&lt;$C121,0,MIN($D121/$D$104,$D121-SUM($E121:W121)))</f>
        <v>99750</v>
      </c>
      <c r="Y121" s="95">
        <f>IF(Y$11&lt;$C121,0,MIN($D121/$D$104,$D121-SUM($E121:X121)))</f>
        <v>99750</v>
      </c>
      <c r="Z121" s="95">
        <f>IF(Z$11&lt;$C121,0,MIN($D121/$D$104,$D121-SUM($E121:Y121)))</f>
        <v>0</v>
      </c>
      <c r="AA121" s="95">
        <f>IF(AA$11&lt;$C121,0,MIN($D121/$D$104,$D121-SUM($E121:Z121)))</f>
        <v>0</v>
      </c>
      <c r="AB121" s="95">
        <f>IF(AB$11&lt;$C121,0,MIN($D121/$D$104,$D121-SUM($E121:AA121)))</f>
        <v>0</v>
      </c>
      <c r="AC121" s="95">
        <f>IF(AC$11&lt;$C121,0,MIN($D121/$D$104,$D121-SUM($E121:AB121)))</f>
        <v>0</v>
      </c>
      <c r="AD121" s="95">
        <f>IF(AD$11&lt;$C121,0,MIN($D121/$D$104,$D121-SUM($E121:AC121)))</f>
        <v>0</v>
      </c>
    </row>
    <row r="122" spans="1:30">
      <c r="A122" s="95"/>
      <c r="B122" s="118">
        <f t="shared" si="46"/>
        <v>1</v>
      </c>
      <c r="C122">
        <f t="shared" si="47"/>
        <v>2038</v>
      </c>
      <c r="D122" s="95" cm="1">
        <f t="array" ref="D122">INDEX($F$14:$AD$16,$B122,MATCH($C122,$F$11:$AD$11,0))*$G$105</f>
        <v>2344125</v>
      </c>
      <c r="E122" s="95"/>
      <c r="F122" s="95">
        <f>IF(F$11&lt;$C122,0,MIN($D122/$D$104,$D122-SUM($E122:E122)))</f>
        <v>0</v>
      </c>
      <c r="G122" s="95">
        <f>IF(G$11&lt;$C122,0,MIN($D122/$D$104,$D122-SUM($E122:F122)))</f>
        <v>0</v>
      </c>
      <c r="H122" s="95">
        <f>IF(H$11&lt;$C122,0,MIN($D122/$D$104,$D122-SUM($E122:G122)))</f>
        <v>0</v>
      </c>
      <c r="I122" s="95">
        <f>IF(I$11&lt;$C122,0,MIN($D122/$D$104,$D122-SUM($E122:H122)))</f>
        <v>0</v>
      </c>
      <c r="J122" s="95">
        <f>IF(J$11&lt;$C122,0,MIN($D122/$D$104,$D122-SUM($E122:I122)))</f>
        <v>0</v>
      </c>
      <c r="K122" s="95">
        <f>IF(K$11&lt;$C122,0,MIN($D122/$D$104,$D122-SUM($E122:J122)))</f>
        <v>0</v>
      </c>
      <c r="L122" s="95">
        <f>IF(L$11&lt;$C122,0,MIN($D122/$D$104,$D122-SUM($E122:K122)))</f>
        <v>0</v>
      </c>
      <c r="M122" s="95">
        <f>IF(M$11&lt;$C122,0,MIN($D122/$D$104,$D122-SUM($E122:L122)))</f>
        <v>0</v>
      </c>
      <c r="N122" s="95">
        <f>IF(N$11&lt;$C122,0,MIN($D122/$D$104,$D122-SUM($E122:M122)))</f>
        <v>0</v>
      </c>
      <c r="O122" s="95">
        <f>IF(O$11&lt;$C122,0,MIN($D122/$D$104,$D122-SUM($E122:N122)))</f>
        <v>0</v>
      </c>
      <c r="P122" s="95">
        <f>IF(P$11&lt;$C122,0,MIN($D122/$D$104,$D122-SUM($E122:O122)))</f>
        <v>0</v>
      </c>
      <c r="Q122" s="95">
        <f>IF(Q$11&lt;$C122,0,MIN($D122/$D$104,$D122-SUM($E122:P122)))</f>
        <v>0</v>
      </c>
      <c r="R122" s="95">
        <f>IF(R$11&lt;$C122,0,MIN($D122/$D$104,$D122-SUM($E122:Q122)))</f>
        <v>0</v>
      </c>
      <c r="S122" s="95">
        <f>IF(S$11&lt;$C122,0,MIN($D122/$D$104,$D122-SUM($E122:R122)))</f>
        <v>0</v>
      </c>
      <c r="T122" s="95">
        <f>IF(T$11&lt;$C122,0,MIN($D122/$D$104,$D122-SUM($E122:S122)))</f>
        <v>0</v>
      </c>
      <c r="U122" s="95">
        <f>IF(U$11&lt;$C122,0,MIN($D122/$D$104,$D122-SUM($E122:T122)))</f>
        <v>0</v>
      </c>
      <c r="V122" s="95">
        <f>IF(V$11&lt;$C122,0,MIN($D122/$D$104,$D122-SUM($E122:U122)))</f>
        <v>468825</v>
      </c>
      <c r="W122" s="95">
        <f>IF(W$11&lt;$C122,0,MIN($D122/$D$104,$D122-SUM($E122:V122)))</f>
        <v>468825</v>
      </c>
      <c r="X122" s="95">
        <f>IF(X$11&lt;$C122,0,MIN($D122/$D$104,$D122-SUM($E122:W122)))</f>
        <v>468825</v>
      </c>
      <c r="Y122" s="95">
        <f>IF(Y$11&lt;$C122,0,MIN($D122/$D$104,$D122-SUM($E122:X122)))</f>
        <v>468825</v>
      </c>
      <c r="Z122" s="95">
        <f>IF(Z$11&lt;$C122,0,MIN($D122/$D$104,$D122-SUM($E122:Y122)))</f>
        <v>468825</v>
      </c>
      <c r="AA122" s="95">
        <f>IF(AA$11&lt;$C122,0,MIN($D122/$D$104,$D122-SUM($E122:Z122)))</f>
        <v>0</v>
      </c>
      <c r="AB122" s="95">
        <f>IF(AB$11&lt;$C122,0,MIN($D122/$D$104,$D122-SUM($E122:AA122)))</f>
        <v>0</v>
      </c>
      <c r="AC122" s="95">
        <f>IF(AC$11&lt;$C122,0,MIN($D122/$D$104,$D122-SUM($E122:AB122)))</f>
        <v>0</v>
      </c>
      <c r="AD122" s="95">
        <f>IF(AD$11&lt;$C122,0,MIN($D122/$D$104,$D122-SUM($E122:AC122)))</f>
        <v>0</v>
      </c>
    </row>
    <row r="123" spans="1:30">
      <c r="A123" s="95"/>
      <c r="B123" s="118">
        <f t="shared" si="46"/>
        <v>1</v>
      </c>
      <c r="C123">
        <f t="shared" si="47"/>
        <v>2039</v>
      </c>
      <c r="D123" s="95" cm="1">
        <f t="array" ref="D123">INDEX($F$14:$AD$16,$B123,MATCH($C123,$F$11:$AD$11,0))*$G$105</f>
        <v>951900</v>
      </c>
      <c r="E123" s="95"/>
      <c r="F123" s="95">
        <f>IF(F$11&lt;$C123,0,MIN($D123/$D$104,$D123-SUM($E123:E123)))</f>
        <v>0</v>
      </c>
      <c r="G123" s="95">
        <f>IF(G$11&lt;$C123,0,MIN($D123/$D$104,$D123-SUM($E123:F123)))</f>
        <v>0</v>
      </c>
      <c r="H123" s="95">
        <f>IF(H$11&lt;$C123,0,MIN($D123/$D$104,$D123-SUM($E123:G123)))</f>
        <v>0</v>
      </c>
      <c r="I123" s="95">
        <f>IF(I$11&lt;$C123,0,MIN($D123/$D$104,$D123-SUM($E123:H123)))</f>
        <v>0</v>
      </c>
      <c r="J123" s="95">
        <f>IF(J$11&lt;$C123,0,MIN($D123/$D$104,$D123-SUM($E123:I123)))</f>
        <v>0</v>
      </c>
      <c r="K123" s="95">
        <f>IF(K$11&lt;$C123,0,MIN($D123/$D$104,$D123-SUM($E123:J123)))</f>
        <v>0</v>
      </c>
      <c r="L123" s="95">
        <f>IF(L$11&lt;$C123,0,MIN($D123/$D$104,$D123-SUM($E123:K123)))</f>
        <v>0</v>
      </c>
      <c r="M123" s="95">
        <f>IF(M$11&lt;$C123,0,MIN($D123/$D$104,$D123-SUM($E123:L123)))</f>
        <v>0</v>
      </c>
      <c r="N123" s="95">
        <f>IF(N$11&lt;$C123,0,MIN($D123/$D$104,$D123-SUM($E123:M123)))</f>
        <v>0</v>
      </c>
      <c r="O123" s="95">
        <f>IF(O$11&lt;$C123,0,MIN($D123/$D$104,$D123-SUM($E123:N123)))</f>
        <v>0</v>
      </c>
      <c r="P123" s="95">
        <f>IF(P$11&lt;$C123,0,MIN($D123/$D$104,$D123-SUM($E123:O123)))</f>
        <v>0</v>
      </c>
      <c r="Q123" s="95">
        <f>IF(Q$11&lt;$C123,0,MIN($D123/$D$104,$D123-SUM($E123:P123)))</f>
        <v>0</v>
      </c>
      <c r="R123" s="95">
        <f>IF(R$11&lt;$C123,0,MIN($D123/$D$104,$D123-SUM($E123:Q123)))</f>
        <v>0</v>
      </c>
      <c r="S123" s="95">
        <f>IF(S$11&lt;$C123,0,MIN($D123/$D$104,$D123-SUM($E123:R123)))</f>
        <v>0</v>
      </c>
      <c r="T123" s="95">
        <f>IF(T$11&lt;$C123,0,MIN($D123/$D$104,$D123-SUM($E123:S123)))</f>
        <v>0</v>
      </c>
      <c r="U123" s="95">
        <f>IF(U$11&lt;$C123,0,MIN($D123/$D$104,$D123-SUM($E123:T123)))</f>
        <v>0</v>
      </c>
      <c r="V123" s="95">
        <f>IF(V$11&lt;$C123,0,MIN($D123/$D$104,$D123-SUM($E123:U123)))</f>
        <v>0</v>
      </c>
      <c r="W123" s="95">
        <f>IF(W$11&lt;$C123,0,MIN($D123/$D$104,$D123-SUM($E123:V123)))</f>
        <v>190380</v>
      </c>
      <c r="X123" s="95">
        <f>IF(X$11&lt;$C123,0,MIN($D123/$D$104,$D123-SUM($E123:W123)))</f>
        <v>190380</v>
      </c>
      <c r="Y123" s="95">
        <f>IF(Y$11&lt;$C123,0,MIN($D123/$D$104,$D123-SUM($E123:X123)))</f>
        <v>190380</v>
      </c>
      <c r="Z123" s="95">
        <f>IF(Z$11&lt;$C123,0,MIN($D123/$D$104,$D123-SUM($E123:Y123)))</f>
        <v>190380</v>
      </c>
      <c r="AA123" s="95">
        <f>IF(AA$11&lt;$C123,0,MIN($D123/$D$104,$D123-SUM($E123:Z123)))</f>
        <v>190380</v>
      </c>
      <c r="AB123" s="95">
        <f>IF(AB$11&lt;$C123,0,MIN($D123/$D$104,$D123-SUM($E123:AA123)))</f>
        <v>0</v>
      </c>
      <c r="AC123" s="95">
        <f>IF(AC$11&lt;$C123,0,MIN($D123/$D$104,$D123-SUM($E123:AB123)))</f>
        <v>0</v>
      </c>
      <c r="AD123" s="95">
        <f>IF(AD$11&lt;$C123,0,MIN($D123/$D$104,$D123-SUM($E123:AC123)))</f>
        <v>0</v>
      </c>
    </row>
    <row r="124" spans="1:30">
      <c r="A124" s="95"/>
      <c r="B124" s="118">
        <f t="shared" si="46"/>
        <v>1</v>
      </c>
      <c r="C124">
        <f t="shared" si="47"/>
        <v>2040</v>
      </c>
      <c r="D124" s="95" cm="1">
        <f t="array" ref="D124">INDEX($F$14:$AD$16,$B124,MATCH($C124,$F$11:$AD$11,0))*$G$105</f>
        <v>2143200</v>
      </c>
      <c r="E124" s="95"/>
      <c r="F124" s="95">
        <f>IF(F$11&lt;$C124,0,MIN($D124/$D$104,$D124-SUM($E124:E124)))</f>
        <v>0</v>
      </c>
      <c r="G124" s="95">
        <f>IF(G$11&lt;$C124,0,MIN($D124/$D$104,$D124-SUM($E124:F124)))</f>
        <v>0</v>
      </c>
      <c r="H124" s="95">
        <f>IF(H$11&lt;$C124,0,MIN($D124/$D$104,$D124-SUM($E124:G124)))</f>
        <v>0</v>
      </c>
      <c r="I124" s="95">
        <f>IF(I$11&lt;$C124,0,MIN($D124/$D$104,$D124-SUM($E124:H124)))</f>
        <v>0</v>
      </c>
      <c r="J124" s="95">
        <f>IF(J$11&lt;$C124,0,MIN($D124/$D$104,$D124-SUM($E124:I124)))</f>
        <v>0</v>
      </c>
      <c r="K124" s="95">
        <f>IF(K$11&lt;$C124,0,MIN($D124/$D$104,$D124-SUM($E124:J124)))</f>
        <v>0</v>
      </c>
      <c r="L124" s="95">
        <f>IF(L$11&lt;$C124,0,MIN($D124/$D$104,$D124-SUM($E124:K124)))</f>
        <v>0</v>
      </c>
      <c r="M124" s="95">
        <f>IF(M$11&lt;$C124,0,MIN($D124/$D$104,$D124-SUM($E124:L124)))</f>
        <v>0</v>
      </c>
      <c r="N124" s="95">
        <f>IF(N$11&lt;$C124,0,MIN($D124/$D$104,$D124-SUM($E124:M124)))</f>
        <v>0</v>
      </c>
      <c r="O124" s="95">
        <f>IF(O$11&lt;$C124,0,MIN($D124/$D$104,$D124-SUM($E124:N124)))</f>
        <v>0</v>
      </c>
      <c r="P124" s="95">
        <f>IF(P$11&lt;$C124,0,MIN($D124/$D$104,$D124-SUM($E124:O124)))</f>
        <v>0</v>
      </c>
      <c r="Q124" s="95">
        <f>IF(Q$11&lt;$C124,0,MIN($D124/$D$104,$D124-SUM($E124:P124)))</f>
        <v>0</v>
      </c>
      <c r="R124" s="95">
        <f>IF(R$11&lt;$C124,0,MIN($D124/$D$104,$D124-SUM($E124:Q124)))</f>
        <v>0</v>
      </c>
      <c r="S124" s="95">
        <f>IF(S$11&lt;$C124,0,MIN($D124/$D$104,$D124-SUM($E124:R124)))</f>
        <v>0</v>
      </c>
      <c r="T124" s="95">
        <f>IF(T$11&lt;$C124,0,MIN($D124/$D$104,$D124-SUM($E124:S124)))</f>
        <v>0</v>
      </c>
      <c r="U124" s="95">
        <f>IF(U$11&lt;$C124,0,MIN($D124/$D$104,$D124-SUM($E124:T124)))</f>
        <v>0</v>
      </c>
      <c r="V124" s="95">
        <f>IF(V$11&lt;$C124,0,MIN($D124/$D$104,$D124-SUM($E124:U124)))</f>
        <v>0</v>
      </c>
      <c r="W124" s="95">
        <f>IF(W$11&lt;$C124,0,MIN($D124/$D$104,$D124-SUM($E124:V124)))</f>
        <v>0</v>
      </c>
      <c r="X124" s="95">
        <f>IF(X$11&lt;$C124,0,MIN($D124/$D$104,$D124-SUM($E124:W124)))</f>
        <v>428640</v>
      </c>
      <c r="Y124" s="95">
        <f>IF(Y$11&lt;$C124,0,MIN($D124/$D$104,$D124-SUM($E124:X124)))</f>
        <v>428640</v>
      </c>
      <c r="Z124" s="95">
        <f>IF(Z$11&lt;$C124,0,MIN($D124/$D$104,$D124-SUM($E124:Y124)))</f>
        <v>428640</v>
      </c>
      <c r="AA124" s="95">
        <f>IF(AA$11&lt;$C124,0,MIN($D124/$D$104,$D124-SUM($E124:Z124)))</f>
        <v>428640</v>
      </c>
      <c r="AB124" s="95">
        <f>IF(AB$11&lt;$C124,0,MIN($D124/$D$104,$D124-SUM($E124:AA124)))</f>
        <v>428640</v>
      </c>
      <c r="AC124" s="95">
        <f>IF(AC$11&lt;$C124,0,MIN($D124/$D$104,$D124-SUM($E124:AB124)))</f>
        <v>0</v>
      </c>
      <c r="AD124" s="95">
        <f>IF(AD$11&lt;$C124,0,MIN($D124/$D$104,$D124-SUM($E124:AC124)))</f>
        <v>0</v>
      </c>
    </row>
    <row r="125" spans="1:30">
      <c r="A125" s="95"/>
      <c r="B125" s="118">
        <f t="shared" si="46"/>
        <v>1</v>
      </c>
      <c r="C125">
        <f t="shared" si="47"/>
        <v>2041</v>
      </c>
      <c r="D125" s="95" cm="1">
        <f t="array" ref="D125">INDEX($F$14:$AD$16,$B125,MATCH($C125,$F$11:$AD$11,0))*$G$105</f>
        <v>1759875</v>
      </c>
      <c r="E125" s="95"/>
      <c r="F125" s="95">
        <f>IF(F$11&lt;$C125,0,MIN($D125/$D$104,$D125-SUM($E125:E125)))</f>
        <v>0</v>
      </c>
      <c r="G125" s="95">
        <f>IF(G$11&lt;$C125,0,MIN($D125/$D$104,$D125-SUM($E125:F125)))</f>
        <v>0</v>
      </c>
      <c r="H125" s="95">
        <f>IF(H$11&lt;$C125,0,MIN($D125/$D$104,$D125-SUM($E125:G125)))</f>
        <v>0</v>
      </c>
      <c r="I125" s="95">
        <f>IF(I$11&lt;$C125,0,MIN($D125/$D$104,$D125-SUM($E125:H125)))</f>
        <v>0</v>
      </c>
      <c r="J125" s="95">
        <f>IF(J$11&lt;$C125,0,MIN($D125/$D$104,$D125-SUM($E125:I125)))</f>
        <v>0</v>
      </c>
      <c r="K125" s="95">
        <f>IF(K$11&lt;$C125,0,MIN($D125/$D$104,$D125-SUM($E125:J125)))</f>
        <v>0</v>
      </c>
      <c r="L125" s="95">
        <f>IF(L$11&lt;$C125,0,MIN($D125/$D$104,$D125-SUM($E125:K125)))</f>
        <v>0</v>
      </c>
      <c r="M125" s="95">
        <f>IF(M$11&lt;$C125,0,MIN($D125/$D$104,$D125-SUM($E125:L125)))</f>
        <v>0</v>
      </c>
      <c r="N125" s="95">
        <f>IF(N$11&lt;$C125,0,MIN($D125/$D$104,$D125-SUM($E125:M125)))</f>
        <v>0</v>
      </c>
      <c r="O125" s="95">
        <f>IF(O$11&lt;$C125,0,MIN($D125/$D$104,$D125-SUM($E125:N125)))</f>
        <v>0</v>
      </c>
      <c r="P125" s="95">
        <f>IF(P$11&lt;$C125,0,MIN($D125/$D$104,$D125-SUM($E125:O125)))</f>
        <v>0</v>
      </c>
      <c r="Q125" s="95">
        <f>IF(Q$11&lt;$C125,0,MIN($D125/$D$104,$D125-SUM($E125:P125)))</f>
        <v>0</v>
      </c>
      <c r="R125" s="95">
        <f>IF(R$11&lt;$C125,0,MIN($D125/$D$104,$D125-SUM($E125:Q125)))</f>
        <v>0</v>
      </c>
      <c r="S125" s="95">
        <f>IF(S$11&lt;$C125,0,MIN($D125/$D$104,$D125-SUM($E125:R125)))</f>
        <v>0</v>
      </c>
      <c r="T125" s="95">
        <f>IF(T$11&lt;$C125,0,MIN($D125/$D$104,$D125-SUM($E125:S125)))</f>
        <v>0</v>
      </c>
      <c r="U125" s="95">
        <f>IF(U$11&lt;$C125,0,MIN($D125/$D$104,$D125-SUM($E125:T125)))</f>
        <v>0</v>
      </c>
      <c r="V125" s="95">
        <f>IF(V$11&lt;$C125,0,MIN($D125/$D$104,$D125-SUM($E125:U125)))</f>
        <v>0</v>
      </c>
      <c r="W125" s="95">
        <f>IF(W$11&lt;$C125,0,MIN($D125/$D$104,$D125-SUM($E125:V125)))</f>
        <v>0</v>
      </c>
      <c r="X125" s="95">
        <f>IF(X$11&lt;$C125,0,MIN($D125/$D$104,$D125-SUM($E125:W125)))</f>
        <v>0</v>
      </c>
      <c r="Y125" s="95">
        <f>IF(Y$11&lt;$C125,0,MIN($D125/$D$104,$D125-SUM($E125:X125)))</f>
        <v>351975</v>
      </c>
      <c r="Z125" s="95">
        <f>IF(Z$11&lt;$C125,0,MIN($D125/$D$104,$D125-SUM($E125:Y125)))</f>
        <v>351975</v>
      </c>
      <c r="AA125" s="95">
        <f>IF(AA$11&lt;$C125,0,MIN($D125/$D$104,$D125-SUM($E125:Z125)))</f>
        <v>351975</v>
      </c>
      <c r="AB125" s="95">
        <f>IF(AB$11&lt;$C125,0,MIN($D125/$D$104,$D125-SUM($E125:AA125)))</f>
        <v>351975</v>
      </c>
      <c r="AC125" s="95">
        <f>IF(AC$11&lt;$C125,0,MIN($D125/$D$104,$D125-SUM($E125:AB125)))</f>
        <v>351975</v>
      </c>
      <c r="AD125" s="95">
        <f>IF(AD$11&lt;$C125,0,MIN($D125/$D$104,$D125-SUM($E125:AC125)))</f>
        <v>0</v>
      </c>
    </row>
    <row r="126" spans="1:30">
      <c r="A126" s="95"/>
      <c r="B126" s="118">
        <f t="shared" si="46"/>
        <v>1</v>
      </c>
      <c r="C126">
        <f t="shared" si="47"/>
        <v>2042</v>
      </c>
      <c r="D126" s="95" cm="1">
        <f t="array" ref="D126">INDEX($F$14:$AD$16,$B126,MATCH($C126,$F$11:$AD$11,0))*$G$105</f>
        <v>1322400</v>
      </c>
      <c r="E126" s="95"/>
      <c r="F126" s="95">
        <f>IF(F$11&lt;$C126,0,MIN($D126/$D$104,$D126-SUM($E126:E126)))</f>
        <v>0</v>
      </c>
      <c r="G126" s="95">
        <f>IF(G$11&lt;$C126,0,MIN($D126/$D$104,$D126-SUM($E126:F126)))</f>
        <v>0</v>
      </c>
      <c r="H126" s="95">
        <f>IF(H$11&lt;$C126,0,MIN($D126/$D$104,$D126-SUM($E126:G126)))</f>
        <v>0</v>
      </c>
      <c r="I126" s="95">
        <f>IF(I$11&lt;$C126,0,MIN($D126/$D$104,$D126-SUM($E126:H126)))</f>
        <v>0</v>
      </c>
      <c r="J126" s="95">
        <f>IF(J$11&lt;$C126,0,MIN($D126/$D$104,$D126-SUM($E126:I126)))</f>
        <v>0</v>
      </c>
      <c r="K126" s="95">
        <f>IF(K$11&lt;$C126,0,MIN($D126/$D$104,$D126-SUM($E126:J126)))</f>
        <v>0</v>
      </c>
      <c r="L126" s="95">
        <f>IF(L$11&lt;$C126,0,MIN($D126/$D$104,$D126-SUM($E126:K126)))</f>
        <v>0</v>
      </c>
      <c r="M126" s="95">
        <f>IF(M$11&lt;$C126,0,MIN($D126/$D$104,$D126-SUM($E126:L126)))</f>
        <v>0</v>
      </c>
      <c r="N126" s="95">
        <f>IF(N$11&lt;$C126,0,MIN($D126/$D$104,$D126-SUM($E126:M126)))</f>
        <v>0</v>
      </c>
      <c r="O126" s="95">
        <f>IF(O$11&lt;$C126,0,MIN($D126/$D$104,$D126-SUM($E126:N126)))</f>
        <v>0</v>
      </c>
      <c r="P126" s="95">
        <f>IF(P$11&lt;$C126,0,MIN($D126/$D$104,$D126-SUM($E126:O126)))</f>
        <v>0</v>
      </c>
      <c r="Q126" s="95">
        <f>IF(Q$11&lt;$C126,0,MIN($D126/$D$104,$D126-SUM($E126:P126)))</f>
        <v>0</v>
      </c>
      <c r="R126" s="95">
        <f>IF(R$11&lt;$C126,0,MIN($D126/$D$104,$D126-SUM($E126:Q126)))</f>
        <v>0</v>
      </c>
      <c r="S126" s="95">
        <f>IF(S$11&lt;$C126,0,MIN($D126/$D$104,$D126-SUM($E126:R126)))</f>
        <v>0</v>
      </c>
      <c r="T126" s="95">
        <f>IF(T$11&lt;$C126,0,MIN($D126/$D$104,$D126-SUM($E126:S126)))</f>
        <v>0</v>
      </c>
      <c r="U126" s="95">
        <f>IF(U$11&lt;$C126,0,MIN($D126/$D$104,$D126-SUM($E126:T126)))</f>
        <v>0</v>
      </c>
      <c r="V126" s="95">
        <f>IF(V$11&lt;$C126,0,MIN($D126/$D$104,$D126-SUM($E126:U126)))</f>
        <v>0</v>
      </c>
      <c r="W126" s="95">
        <f>IF(W$11&lt;$C126,0,MIN($D126/$D$104,$D126-SUM($E126:V126)))</f>
        <v>0</v>
      </c>
      <c r="X126" s="95">
        <f>IF(X$11&lt;$C126,0,MIN($D126/$D$104,$D126-SUM($E126:W126)))</f>
        <v>0</v>
      </c>
      <c r="Y126" s="95">
        <f>IF(Y$11&lt;$C126,0,MIN($D126/$D$104,$D126-SUM($E126:X126)))</f>
        <v>0</v>
      </c>
      <c r="Z126" s="95">
        <f>IF(Z$11&lt;$C126,0,MIN($D126/$D$104,$D126-SUM($E126:Y126)))</f>
        <v>264480</v>
      </c>
      <c r="AA126" s="95">
        <f>IF(AA$11&lt;$C126,0,MIN($D126/$D$104,$D126-SUM($E126:Z126)))</f>
        <v>264480</v>
      </c>
      <c r="AB126" s="95">
        <f>IF(AB$11&lt;$C126,0,MIN($D126/$D$104,$D126-SUM($E126:AA126)))</f>
        <v>264480</v>
      </c>
      <c r="AC126" s="95">
        <f>IF(AC$11&lt;$C126,0,MIN($D126/$D$104,$D126-SUM($E126:AB126)))</f>
        <v>264480</v>
      </c>
      <c r="AD126" s="95">
        <f>IF(AD$11&lt;$C126,0,MIN($D126/$D$104,$D126-SUM($E126:AC126)))</f>
        <v>264480</v>
      </c>
    </row>
    <row r="127" spans="1:30">
      <c r="A127" s="95"/>
      <c r="B127" s="118">
        <f t="shared" si="46"/>
        <v>1</v>
      </c>
      <c r="C127">
        <f t="shared" si="47"/>
        <v>2043</v>
      </c>
      <c r="D127" s="95" cm="1">
        <f t="array" ref="D127">INDEX($F$14:$AD$16,$B127,MATCH($C127,$F$11:$AD$11,0))*$G$105</f>
        <v>1952250</v>
      </c>
      <c r="E127" s="95"/>
      <c r="F127" s="95">
        <f>IF(F$11&lt;$C127,0,MIN($D127/$D$104,$D127-SUM($E127:E127)))</f>
        <v>0</v>
      </c>
      <c r="G127" s="95">
        <f>IF(G$11&lt;$C127,0,MIN($D127/$D$104,$D127-SUM($E127:F127)))</f>
        <v>0</v>
      </c>
      <c r="H127" s="95">
        <f>IF(H$11&lt;$C127,0,MIN($D127/$D$104,$D127-SUM($E127:G127)))</f>
        <v>0</v>
      </c>
      <c r="I127" s="95">
        <f>IF(I$11&lt;$C127,0,MIN($D127/$D$104,$D127-SUM($E127:H127)))</f>
        <v>0</v>
      </c>
      <c r="J127" s="95">
        <f>IF(J$11&lt;$C127,0,MIN($D127/$D$104,$D127-SUM($E127:I127)))</f>
        <v>0</v>
      </c>
      <c r="K127" s="95">
        <f>IF(K$11&lt;$C127,0,MIN($D127/$D$104,$D127-SUM($E127:J127)))</f>
        <v>0</v>
      </c>
      <c r="L127" s="95">
        <f>IF(L$11&lt;$C127,0,MIN($D127/$D$104,$D127-SUM($E127:K127)))</f>
        <v>0</v>
      </c>
      <c r="M127" s="95">
        <f>IF(M$11&lt;$C127,0,MIN($D127/$D$104,$D127-SUM($E127:L127)))</f>
        <v>0</v>
      </c>
      <c r="N127" s="95">
        <f>IF(N$11&lt;$C127,0,MIN($D127/$D$104,$D127-SUM($E127:M127)))</f>
        <v>0</v>
      </c>
      <c r="O127" s="95">
        <f>IF(O$11&lt;$C127,0,MIN($D127/$D$104,$D127-SUM($E127:N127)))</f>
        <v>0</v>
      </c>
      <c r="P127" s="95">
        <f>IF(P$11&lt;$C127,0,MIN($D127/$D$104,$D127-SUM($E127:O127)))</f>
        <v>0</v>
      </c>
      <c r="Q127" s="95">
        <f>IF(Q$11&lt;$C127,0,MIN($D127/$D$104,$D127-SUM($E127:P127)))</f>
        <v>0</v>
      </c>
      <c r="R127" s="95">
        <f>IF(R$11&lt;$C127,0,MIN($D127/$D$104,$D127-SUM($E127:Q127)))</f>
        <v>0</v>
      </c>
      <c r="S127" s="95">
        <f>IF(S$11&lt;$C127,0,MIN($D127/$D$104,$D127-SUM($E127:R127)))</f>
        <v>0</v>
      </c>
      <c r="T127" s="95">
        <f>IF(T$11&lt;$C127,0,MIN($D127/$D$104,$D127-SUM($E127:S127)))</f>
        <v>0</v>
      </c>
      <c r="U127" s="95">
        <f>IF(U$11&lt;$C127,0,MIN($D127/$D$104,$D127-SUM($E127:T127)))</f>
        <v>0</v>
      </c>
      <c r="V127" s="95">
        <f>IF(V$11&lt;$C127,0,MIN($D127/$D$104,$D127-SUM($E127:U127)))</f>
        <v>0</v>
      </c>
      <c r="W127" s="95">
        <f>IF(W$11&lt;$C127,0,MIN($D127/$D$104,$D127-SUM($E127:V127)))</f>
        <v>0</v>
      </c>
      <c r="X127" s="95">
        <f>IF(X$11&lt;$C127,0,MIN($D127/$D$104,$D127-SUM($E127:W127)))</f>
        <v>0</v>
      </c>
      <c r="Y127" s="95">
        <f>IF(Y$11&lt;$C127,0,MIN($D127/$D$104,$D127-SUM($E127:X127)))</f>
        <v>0</v>
      </c>
      <c r="Z127" s="95">
        <f>IF(Z$11&lt;$C127,0,MIN($D127/$D$104,$D127-SUM($E127:Y127)))</f>
        <v>0</v>
      </c>
      <c r="AA127" s="95">
        <f>IF(AA$11&lt;$C127,0,MIN($D127/$D$104,$D127-SUM($E127:Z127)))</f>
        <v>390450</v>
      </c>
      <c r="AB127" s="95">
        <f>IF(AB$11&lt;$C127,0,MIN($D127/$D$104,$D127-SUM($E127:AA127)))</f>
        <v>390450</v>
      </c>
      <c r="AC127" s="95">
        <f>IF(AC$11&lt;$C127,0,MIN($D127/$D$104,$D127-SUM($E127:AB127)))</f>
        <v>390450</v>
      </c>
      <c r="AD127" s="95">
        <f>IF(AD$11&lt;$C127,0,MIN($D127/$D$104,$D127-SUM($E127:AC127)))</f>
        <v>390450</v>
      </c>
    </row>
    <row r="128" spans="1:30">
      <c r="A128" s="95"/>
      <c r="B128" s="118">
        <f t="shared" si="46"/>
        <v>1</v>
      </c>
      <c r="C128">
        <f t="shared" si="47"/>
        <v>2044</v>
      </c>
      <c r="D128" s="95" cm="1">
        <f t="array" ref="D128">INDEX($F$14:$AD$16,$B128,MATCH($C128,$F$11:$AD$11,0))*$G$105</f>
        <v>1735650</v>
      </c>
      <c r="E128" s="95"/>
      <c r="F128" s="95">
        <f>IF(F$11&lt;$C128,0,MIN($D128/$D$104,$D128-SUM($E128:E128)))</f>
        <v>0</v>
      </c>
      <c r="G128" s="95">
        <f>IF(G$11&lt;$C128,0,MIN($D128/$D$104,$D128-SUM($E128:F128)))</f>
        <v>0</v>
      </c>
      <c r="H128" s="95">
        <f>IF(H$11&lt;$C128,0,MIN($D128/$D$104,$D128-SUM($E128:G128)))</f>
        <v>0</v>
      </c>
      <c r="I128" s="95">
        <f>IF(I$11&lt;$C128,0,MIN($D128/$D$104,$D128-SUM($E128:H128)))</f>
        <v>0</v>
      </c>
      <c r="J128" s="95">
        <f>IF(J$11&lt;$C128,0,MIN($D128/$D$104,$D128-SUM($E128:I128)))</f>
        <v>0</v>
      </c>
      <c r="K128" s="95">
        <f>IF(K$11&lt;$C128,0,MIN($D128/$D$104,$D128-SUM($E128:J128)))</f>
        <v>0</v>
      </c>
      <c r="L128" s="95">
        <f>IF(L$11&lt;$C128,0,MIN($D128/$D$104,$D128-SUM($E128:K128)))</f>
        <v>0</v>
      </c>
      <c r="M128" s="95">
        <f>IF(M$11&lt;$C128,0,MIN($D128/$D$104,$D128-SUM($E128:L128)))</f>
        <v>0</v>
      </c>
      <c r="N128" s="95">
        <f>IF(N$11&lt;$C128,0,MIN($D128/$D$104,$D128-SUM($E128:M128)))</f>
        <v>0</v>
      </c>
      <c r="O128" s="95">
        <f>IF(O$11&lt;$C128,0,MIN($D128/$D$104,$D128-SUM($E128:N128)))</f>
        <v>0</v>
      </c>
      <c r="P128" s="95">
        <f>IF(P$11&lt;$C128,0,MIN($D128/$D$104,$D128-SUM($E128:O128)))</f>
        <v>0</v>
      </c>
      <c r="Q128" s="95">
        <f>IF(Q$11&lt;$C128,0,MIN($D128/$D$104,$D128-SUM($E128:P128)))</f>
        <v>0</v>
      </c>
      <c r="R128" s="95">
        <f>IF(R$11&lt;$C128,0,MIN($D128/$D$104,$D128-SUM($E128:Q128)))</f>
        <v>0</v>
      </c>
      <c r="S128" s="95">
        <f>IF(S$11&lt;$C128,0,MIN($D128/$D$104,$D128-SUM($E128:R128)))</f>
        <v>0</v>
      </c>
      <c r="T128" s="95">
        <f>IF(T$11&lt;$C128,0,MIN($D128/$D$104,$D128-SUM($E128:S128)))</f>
        <v>0</v>
      </c>
      <c r="U128" s="95">
        <f>IF(U$11&lt;$C128,0,MIN($D128/$D$104,$D128-SUM($E128:T128)))</f>
        <v>0</v>
      </c>
      <c r="V128" s="95">
        <f>IF(V$11&lt;$C128,0,MIN($D128/$D$104,$D128-SUM($E128:U128)))</f>
        <v>0</v>
      </c>
      <c r="W128" s="95">
        <f>IF(W$11&lt;$C128,0,MIN($D128/$D$104,$D128-SUM($E128:V128)))</f>
        <v>0</v>
      </c>
      <c r="X128" s="95">
        <f>IF(X$11&lt;$C128,0,MIN($D128/$D$104,$D128-SUM($E128:W128)))</f>
        <v>0</v>
      </c>
      <c r="Y128" s="95">
        <f>IF(Y$11&lt;$C128,0,MIN($D128/$D$104,$D128-SUM($E128:X128)))</f>
        <v>0</v>
      </c>
      <c r="Z128" s="95">
        <f>IF(Z$11&lt;$C128,0,MIN($D128/$D$104,$D128-SUM($E128:Y128)))</f>
        <v>0</v>
      </c>
      <c r="AA128" s="95">
        <f>IF(AA$11&lt;$C128,0,MIN($D128/$D$104,$D128-SUM($E128:Z128)))</f>
        <v>0</v>
      </c>
      <c r="AB128" s="95">
        <f>IF(AB$11&lt;$C128,0,MIN($D128/$D$104,$D128-SUM($E128:AA128)))</f>
        <v>347130</v>
      </c>
      <c r="AC128" s="95">
        <f>IF(AC$11&lt;$C128,0,MIN($D128/$D$104,$D128-SUM($E128:AB128)))</f>
        <v>347130</v>
      </c>
      <c r="AD128" s="95">
        <f>IF(AD$11&lt;$C128,0,MIN($D128/$D$104,$D128-SUM($E128:AC128)))</f>
        <v>347130</v>
      </c>
    </row>
    <row r="129" spans="1:30">
      <c r="A129" s="95"/>
      <c r="B129" s="118">
        <f t="shared" si="46"/>
        <v>1</v>
      </c>
      <c r="C129">
        <f t="shared" si="47"/>
        <v>2045</v>
      </c>
      <c r="D129" s="95" cm="1">
        <f t="array" ref="D129">INDEX($F$14:$AD$16,$B129,MATCH($C129,$F$11:$AD$11,0))*$G$105</f>
        <v>867825</v>
      </c>
      <c r="E129" s="95"/>
      <c r="F129" s="95">
        <f>IF(F$11&lt;$C129,0,MIN($D129/$D$104,$D129-SUM($E129:E129)))</f>
        <v>0</v>
      </c>
      <c r="G129" s="95">
        <f>IF(G$11&lt;$C129,0,MIN($D129/$D$104,$D129-SUM($E129:F129)))</f>
        <v>0</v>
      </c>
      <c r="H129" s="95">
        <f>IF(H$11&lt;$C129,0,MIN($D129/$D$104,$D129-SUM($E129:G129)))</f>
        <v>0</v>
      </c>
      <c r="I129" s="95">
        <f>IF(I$11&lt;$C129,0,MIN($D129/$D$104,$D129-SUM($E129:H129)))</f>
        <v>0</v>
      </c>
      <c r="J129" s="95">
        <f>IF(J$11&lt;$C129,0,MIN($D129/$D$104,$D129-SUM($E129:I129)))</f>
        <v>0</v>
      </c>
      <c r="K129" s="95">
        <f>IF(K$11&lt;$C129,0,MIN($D129/$D$104,$D129-SUM($E129:J129)))</f>
        <v>0</v>
      </c>
      <c r="L129" s="95">
        <f>IF(L$11&lt;$C129,0,MIN($D129/$D$104,$D129-SUM($E129:K129)))</f>
        <v>0</v>
      </c>
      <c r="M129" s="95">
        <f>IF(M$11&lt;$C129,0,MIN($D129/$D$104,$D129-SUM($E129:L129)))</f>
        <v>0</v>
      </c>
      <c r="N129" s="95">
        <f>IF(N$11&lt;$C129,0,MIN($D129/$D$104,$D129-SUM($E129:M129)))</f>
        <v>0</v>
      </c>
      <c r="O129" s="95">
        <f>IF(O$11&lt;$C129,0,MIN($D129/$D$104,$D129-SUM($E129:N129)))</f>
        <v>0</v>
      </c>
      <c r="P129" s="95">
        <f>IF(P$11&lt;$C129,0,MIN($D129/$D$104,$D129-SUM($E129:O129)))</f>
        <v>0</v>
      </c>
      <c r="Q129" s="95">
        <f>IF(Q$11&lt;$C129,0,MIN($D129/$D$104,$D129-SUM($E129:P129)))</f>
        <v>0</v>
      </c>
      <c r="R129" s="95">
        <f>IF(R$11&lt;$C129,0,MIN($D129/$D$104,$D129-SUM($E129:Q129)))</f>
        <v>0</v>
      </c>
      <c r="S129" s="95">
        <f>IF(S$11&lt;$C129,0,MIN($D129/$D$104,$D129-SUM($E129:R129)))</f>
        <v>0</v>
      </c>
      <c r="T129" s="95">
        <f>IF(T$11&lt;$C129,0,MIN($D129/$D$104,$D129-SUM($E129:S129)))</f>
        <v>0</v>
      </c>
      <c r="U129" s="95">
        <f>IF(U$11&lt;$C129,0,MIN($D129/$D$104,$D129-SUM($E129:T129)))</f>
        <v>0</v>
      </c>
      <c r="V129" s="95">
        <f>IF(V$11&lt;$C129,0,MIN($D129/$D$104,$D129-SUM($E129:U129)))</f>
        <v>0</v>
      </c>
      <c r="W129" s="95">
        <f>IF(W$11&lt;$C129,0,MIN($D129/$D$104,$D129-SUM($E129:V129)))</f>
        <v>0</v>
      </c>
      <c r="X129" s="95">
        <f>IF(X$11&lt;$C129,0,MIN($D129/$D$104,$D129-SUM($E129:W129)))</f>
        <v>0</v>
      </c>
      <c r="Y129" s="95">
        <f>IF(Y$11&lt;$C129,0,MIN($D129/$D$104,$D129-SUM($E129:X129)))</f>
        <v>0</v>
      </c>
      <c r="Z129" s="95">
        <f>IF(Z$11&lt;$C129,0,MIN($D129/$D$104,$D129-SUM($E129:Y129)))</f>
        <v>0</v>
      </c>
      <c r="AA129" s="95">
        <f>IF(AA$11&lt;$C129,0,MIN($D129/$D$104,$D129-SUM($E129:Z129)))</f>
        <v>0</v>
      </c>
      <c r="AB129" s="95">
        <f>IF(AB$11&lt;$C129,0,MIN($D129/$D$104,$D129-SUM($E129:AA129)))</f>
        <v>0</v>
      </c>
      <c r="AC129" s="95">
        <f>IF(AC$11&lt;$C129,0,MIN($D129/$D$104,$D129-SUM($E129:AB129)))</f>
        <v>173565</v>
      </c>
      <c r="AD129" s="95">
        <f>IF(AD$11&lt;$C129,0,MIN($D129/$D$104,$D129-SUM($E129:AC129)))</f>
        <v>173565</v>
      </c>
    </row>
    <row r="130" spans="1:30">
      <c r="A130" s="95"/>
      <c r="B130" s="118">
        <f t="shared" si="46"/>
        <v>1</v>
      </c>
      <c r="C130">
        <f t="shared" si="47"/>
        <v>2046</v>
      </c>
      <c r="D130" s="95" cm="1">
        <f t="array" ref="D130">INDEX($F$14:$AD$16,$B130,MATCH($C130,$F$11:$AD$11,0))*$G$105</f>
        <v>1288200</v>
      </c>
      <c r="E130" s="95"/>
      <c r="F130" s="95">
        <f>IF(F$11&lt;$C130,0,MIN($D130/$D$104,$D130-SUM($E130:E130)))</f>
        <v>0</v>
      </c>
      <c r="G130" s="95">
        <f>IF(G$11&lt;$C130,0,MIN($D130/$D$104,$D130-SUM($E130:F130)))</f>
        <v>0</v>
      </c>
      <c r="H130" s="95">
        <f>IF(H$11&lt;$C130,0,MIN($D130/$D$104,$D130-SUM($E130:G130)))</f>
        <v>0</v>
      </c>
      <c r="I130" s="95">
        <f>IF(I$11&lt;$C130,0,MIN($D130/$D$104,$D130-SUM($E130:H130)))</f>
        <v>0</v>
      </c>
      <c r="J130" s="95">
        <f>IF(J$11&lt;$C130,0,MIN($D130/$D$104,$D130-SUM($E130:I130)))</f>
        <v>0</v>
      </c>
      <c r="K130" s="95">
        <f>IF(K$11&lt;$C130,0,MIN($D130/$D$104,$D130-SUM($E130:J130)))</f>
        <v>0</v>
      </c>
      <c r="L130" s="95">
        <f>IF(L$11&lt;$C130,0,MIN($D130/$D$104,$D130-SUM($E130:K130)))</f>
        <v>0</v>
      </c>
      <c r="M130" s="95">
        <f>IF(M$11&lt;$C130,0,MIN($D130/$D$104,$D130-SUM($E130:L130)))</f>
        <v>0</v>
      </c>
      <c r="N130" s="95">
        <f>IF(N$11&lt;$C130,0,MIN($D130/$D$104,$D130-SUM($E130:M130)))</f>
        <v>0</v>
      </c>
      <c r="O130" s="95">
        <f>IF(O$11&lt;$C130,0,MIN($D130/$D$104,$D130-SUM($E130:N130)))</f>
        <v>0</v>
      </c>
      <c r="P130" s="95">
        <f>IF(P$11&lt;$C130,0,MIN($D130/$D$104,$D130-SUM($E130:O130)))</f>
        <v>0</v>
      </c>
      <c r="Q130" s="95">
        <f>IF(Q$11&lt;$C130,0,MIN($D130/$D$104,$D130-SUM($E130:P130)))</f>
        <v>0</v>
      </c>
      <c r="R130" s="95">
        <f>IF(R$11&lt;$C130,0,MIN($D130/$D$104,$D130-SUM($E130:Q130)))</f>
        <v>0</v>
      </c>
      <c r="S130" s="95">
        <f>IF(S$11&lt;$C130,0,MIN($D130/$D$104,$D130-SUM($E130:R130)))</f>
        <v>0</v>
      </c>
      <c r="T130" s="95">
        <f>IF(T$11&lt;$C130,0,MIN($D130/$D$104,$D130-SUM($E130:S130)))</f>
        <v>0</v>
      </c>
      <c r="U130" s="95">
        <f>IF(U$11&lt;$C130,0,MIN($D130/$D$104,$D130-SUM($E130:T130)))</f>
        <v>0</v>
      </c>
      <c r="V130" s="95">
        <f>IF(V$11&lt;$C130,0,MIN($D130/$D$104,$D130-SUM($E130:U130)))</f>
        <v>0</v>
      </c>
      <c r="W130" s="95">
        <f>IF(W$11&lt;$C130,0,MIN($D130/$D$104,$D130-SUM($E130:V130)))</f>
        <v>0</v>
      </c>
      <c r="X130" s="95">
        <f>IF(X$11&lt;$C130,0,MIN($D130/$D$104,$D130-SUM($E130:W130)))</f>
        <v>0</v>
      </c>
      <c r="Y130" s="95">
        <f>IF(Y$11&lt;$C130,0,MIN($D130/$D$104,$D130-SUM($E130:X130)))</f>
        <v>0</v>
      </c>
      <c r="Z130" s="95">
        <f>IF(Z$11&lt;$C130,0,MIN($D130/$D$104,$D130-SUM($E130:Y130)))</f>
        <v>0</v>
      </c>
      <c r="AA130" s="95">
        <f>IF(AA$11&lt;$C130,0,MIN($D130/$D$104,$D130-SUM($E130:Z130)))</f>
        <v>0</v>
      </c>
      <c r="AB130" s="95">
        <f>IF(AB$11&lt;$C130,0,MIN($D130/$D$104,$D130-SUM($E130:AA130)))</f>
        <v>0</v>
      </c>
      <c r="AC130" s="95">
        <f>IF(AC$11&lt;$C130,0,MIN($D130/$D$104,$D130-SUM($E130:AB130)))</f>
        <v>0</v>
      </c>
      <c r="AD130" s="95">
        <f>IF(AD$11&lt;$C130,0,MIN($D130/$D$104,$D130-SUM($E130:AC130)))</f>
        <v>257640</v>
      </c>
    </row>
    <row r="131" spans="1:30" ht="14.4">
      <c r="C131" s="108" t="str">
        <f>"Total "&amp;C104</f>
        <v>Total Short Term</v>
      </c>
      <c r="D131" s="109" t="s">
        <v>68</v>
      </c>
      <c r="E131" s="109"/>
      <c r="F131" s="110">
        <f>SUM(F106:F130)</f>
        <v>517560</v>
      </c>
      <c r="G131" s="110">
        <f t="shared" ref="G131:AD131" si="48">SUM(G106:G130)</f>
        <v>575700</v>
      </c>
      <c r="H131" s="110">
        <f t="shared" si="48"/>
        <v>753255</v>
      </c>
      <c r="I131" s="110">
        <f t="shared" si="48"/>
        <v>1234905</v>
      </c>
      <c r="J131" s="110">
        <f t="shared" si="48"/>
        <v>1476870</v>
      </c>
      <c r="K131" s="110">
        <f t="shared" si="48"/>
        <v>1290195</v>
      </c>
      <c r="L131" s="110">
        <f t="shared" si="48"/>
        <v>1463760</v>
      </c>
      <c r="M131" s="110">
        <f t="shared" si="48"/>
        <v>1341210</v>
      </c>
      <c r="N131" s="110">
        <f t="shared" si="48"/>
        <v>1070460</v>
      </c>
      <c r="O131" s="110">
        <f t="shared" si="48"/>
        <v>1273950</v>
      </c>
      <c r="P131" s="110">
        <f t="shared" si="48"/>
        <v>1226355</v>
      </c>
      <c r="Q131" s="110">
        <f t="shared" si="48"/>
        <v>1407045</v>
      </c>
      <c r="R131" s="110">
        <f t="shared" si="48"/>
        <v>1558380</v>
      </c>
      <c r="S131" s="110">
        <f t="shared" si="48"/>
        <v>1609395</v>
      </c>
      <c r="T131" s="110">
        <f t="shared" si="48"/>
        <v>1498815</v>
      </c>
      <c r="U131" s="110">
        <f t="shared" si="48"/>
        <v>1315275</v>
      </c>
      <c r="V131" s="110">
        <f t="shared" si="48"/>
        <v>1371705</v>
      </c>
      <c r="W131" s="110">
        <f t="shared" si="48"/>
        <v>1355745</v>
      </c>
      <c r="X131" s="110">
        <f t="shared" si="48"/>
        <v>1522470</v>
      </c>
      <c r="Y131" s="110">
        <f t="shared" si="48"/>
        <v>1539570</v>
      </c>
      <c r="Z131" s="110">
        <f t="shared" si="48"/>
        <v>1704300</v>
      </c>
      <c r="AA131" s="110">
        <f t="shared" si="48"/>
        <v>1625925</v>
      </c>
      <c r="AB131" s="110">
        <f t="shared" si="48"/>
        <v>1782675</v>
      </c>
      <c r="AC131" s="110">
        <f t="shared" si="48"/>
        <v>1527600</v>
      </c>
      <c r="AD131" s="110">
        <f t="shared" si="48"/>
        <v>1433265</v>
      </c>
    </row>
    <row r="133" spans="1:30" ht="14.4">
      <c r="B133" s="94">
        <v>2</v>
      </c>
      <c r="C133" s="93" t="str" cm="1">
        <f t="array" ref="C133">INDEX(ListAssetClasses1,B133)</f>
        <v>Medium Term</v>
      </c>
      <c r="D133" s="113" cm="1">
        <f t="array" ref="D133">INDEX($D$80:$D$82,B133)</f>
        <v>10</v>
      </c>
    </row>
    <row r="134" spans="1:30" ht="14.4">
      <c r="C134" s="114" t="s">
        <v>76</v>
      </c>
      <c r="D134" s="114" t="s">
        <v>77</v>
      </c>
      <c r="E134" s="115" t="s">
        <v>73</v>
      </c>
      <c r="F134" s="119"/>
      <c r="G134" s="117">
        <f>1-CaseData!$G$11</f>
        <v>0.95</v>
      </c>
    </row>
    <row r="135" spans="1:30">
      <c r="A135" s="95"/>
      <c r="B135" s="118">
        <f>B133</f>
        <v>2</v>
      </c>
      <c r="C135">
        <f>$F$11</f>
        <v>2022</v>
      </c>
      <c r="D135" s="95" cm="1">
        <f t="array" ref="D135">INDEX($F$14:$AD$16,$B135,MATCH($C135,$F$11:$AD$11,0))*$G$134</f>
        <v>2731725</v>
      </c>
      <c r="E135" s="95"/>
      <c r="F135" s="95">
        <f>IF(F$11&lt;$C135,0,MIN($D135/$D$133,$D135-SUM($E135:E135)))</f>
        <v>273172.5</v>
      </c>
      <c r="G135" s="95">
        <f>IF(G$11&lt;$C135,0,MIN($D135/$D$133,$D135-SUM($E135:F135)))</f>
        <v>273172.5</v>
      </c>
      <c r="H135" s="95">
        <f>IF(H$11&lt;$C135,0,MIN($D135/$D$133,$D135-SUM($E135:G135)))</f>
        <v>273172.5</v>
      </c>
      <c r="I135" s="95">
        <f>IF(I$11&lt;$C135,0,MIN($D135/$D$133,$D135-SUM($E135:H135)))</f>
        <v>273172.5</v>
      </c>
      <c r="J135" s="95">
        <f>IF(J$11&lt;$C135,0,MIN($D135/$D$133,$D135-SUM($E135:I135)))</f>
        <v>273172.5</v>
      </c>
      <c r="K135" s="95">
        <f>IF(K$11&lt;$C135,0,MIN($D135/$D$133,$D135-SUM($E135:J135)))</f>
        <v>273172.5</v>
      </c>
      <c r="L135" s="95">
        <f>IF(L$11&lt;$C135,0,MIN($D135/$D$133,$D135-SUM($E135:K135)))</f>
        <v>273172.5</v>
      </c>
      <c r="M135" s="95">
        <f>IF(M$11&lt;$C135,0,MIN($D135/$D$133,$D135-SUM($E135:L135)))</f>
        <v>273172.5</v>
      </c>
      <c r="N135" s="95">
        <f>IF(N$11&lt;$C135,0,MIN($D135/$D$133,$D135-SUM($E135:M135)))</f>
        <v>273172.5</v>
      </c>
      <c r="O135" s="95">
        <f>IF(O$11&lt;$C135,0,MIN($D135/$D$133,$D135-SUM($E135:N135)))</f>
        <v>273172.5</v>
      </c>
      <c r="P135" s="95">
        <f>IF(P$11&lt;$C135,0,MIN($D135/$D$133,$D135-SUM($E135:O135)))</f>
        <v>0</v>
      </c>
      <c r="Q135" s="95">
        <f>IF(Q$11&lt;$C135,0,MIN($D135/$D$133,$D135-SUM($E135:P135)))</f>
        <v>0</v>
      </c>
      <c r="R135" s="95">
        <f>IF(R$11&lt;$C135,0,MIN($D135/$D$133,$D135-SUM($E135:Q135)))</f>
        <v>0</v>
      </c>
      <c r="S135" s="95">
        <f>IF(S$11&lt;$C135,0,MIN($D135/$D$133,$D135-SUM($E135:R135)))</f>
        <v>0</v>
      </c>
      <c r="T135" s="95">
        <f>IF(T$11&lt;$C135,0,MIN($D135/$D$133,$D135-SUM($E135:S135)))</f>
        <v>0</v>
      </c>
      <c r="U135" s="95">
        <f>IF(U$11&lt;$C135,0,MIN($D135/$D$133,$D135-SUM($E135:T135)))</f>
        <v>0</v>
      </c>
      <c r="V135" s="95">
        <f>IF(V$11&lt;$C135,0,MIN($D135/$D$133,$D135-SUM($E135:U135)))</f>
        <v>0</v>
      </c>
      <c r="W135" s="95">
        <f>IF(W$11&lt;$C135,0,MIN($D135/$D$133,$D135-SUM($E135:V135)))</f>
        <v>0</v>
      </c>
      <c r="X135" s="95">
        <f>IF(X$11&lt;$C135,0,MIN($D135/$D$133,$D135-SUM($E135:W135)))</f>
        <v>0</v>
      </c>
      <c r="Y135" s="95">
        <f>IF(Y$11&lt;$C135,0,MIN($D135/$D$133,$D135-SUM($E135:X135)))</f>
        <v>0</v>
      </c>
      <c r="Z135" s="95">
        <f>IF(Z$11&lt;$C135,0,MIN($D135/$D$133,$D135-SUM($E135:Y135)))</f>
        <v>0</v>
      </c>
      <c r="AA135" s="95">
        <f>IF(AA$11&lt;$C135,0,MIN($D135/$D$133,$D135-SUM($E135:Z135)))</f>
        <v>0</v>
      </c>
      <c r="AB135" s="95">
        <f>IF(AB$11&lt;$C135,0,MIN($D135/$D$133,$D135-SUM($E135:AA135)))</f>
        <v>0</v>
      </c>
      <c r="AC135" s="95">
        <f>IF(AC$11&lt;$C135,0,MIN($D135/$D$133,$D135-SUM($E135:AB135)))</f>
        <v>0</v>
      </c>
      <c r="AD135" s="95">
        <f>IF(AD$11&lt;$C135,0,MIN($D135/$D$133,$D135-SUM($E135:AC135)))</f>
        <v>0</v>
      </c>
    </row>
    <row r="136" spans="1:30">
      <c r="A136" s="95"/>
      <c r="B136" s="118">
        <f>B135</f>
        <v>2</v>
      </c>
      <c r="C136">
        <f>C135+1</f>
        <v>2023</v>
      </c>
      <c r="D136" s="95" cm="1">
        <f t="array" ref="D136">INDEX($F$14:$AD$16,$B136,MATCH($C136,$F$11:$AD$11,0))*$G$134</f>
        <v>793725</v>
      </c>
      <c r="E136" s="95"/>
      <c r="F136" s="95">
        <f>IF(F$11&lt;$C136,0,MIN($D136/$D$133,$D136-SUM($E136:E136)))</f>
        <v>0</v>
      </c>
      <c r="G136" s="95">
        <f>IF(G$11&lt;$C136,0,MIN($D136/$D$133,$D136-SUM($E136:F136)))</f>
        <v>79372.5</v>
      </c>
      <c r="H136" s="95">
        <f>IF(H$11&lt;$C136,0,MIN($D136/$D$133,$D136-SUM($E136:G136)))</f>
        <v>79372.5</v>
      </c>
      <c r="I136" s="95">
        <f>IF(I$11&lt;$C136,0,MIN($D136/$D$133,$D136-SUM($E136:H136)))</f>
        <v>79372.5</v>
      </c>
      <c r="J136" s="95">
        <f>IF(J$11&lt;$C136,0,MIN($D136/$D$133,$D136-SUM($E136:I136)))</f>
        <v>79372.5</v>
      </c>
      <c r="K136" s="95">
        <f>IF(K$11&lt;$C136,0,MIN($D136/$D$133,$D136-SUM($E136:J136)))</f>
        <v>79372.5</v>
      </c>
      <c r="L136" s="95">
        <f>IF(L$11&lt;$C136,0,MIN($D136/$D$133,$D136-SUM($E136:K136)))</f>
        <v>79372.5</v>
      </c>
      <c r="M136" s="95">
        <f>IF(M$11&lt;$C136,0,MIN($D136/$D$133,$D136-SUM($E136:L136)))</f>
        <v>79372.5</v>
      </c>
      <c r="N136" s="95">
        <f>IF(N$11&lt;$C136,0,MIN($D136/$D$133,$D136-SUM($E136:M136)))</f>
        <v>79372.5</v>
      </c>
      <c r="O136" s="95">
        <f>IF(O$11&lt;$C136,0,MIN($D136/$D$133,$D136-SUM($E136:N136)))</f>
        <v>79372.5</v>
      </c>
      <c r="P136" s="95">
        <f>IF(P$11&lt;$C136,0,MIN($D136/$D$133,$D136-SUM($E136:O136)))</f>
        <v>79372.5</v>
      </c>
      <c r="Q136" s="95">
        <f>IF(Q$11&lt;$C136,0,MIN($D136/$D$133,$D136-SUM($E136:P136)))</f>
        <v>0</v>
      </c>
      <c r="R136" s="95">
        <f>IF(R$11&lt;$C136,0,MIN($D136/$D$133,$D136-SUM($E136:Q136)))</f>
        <v>0</v>
      </c>
      <c r="S136" s="95">
        <f>IF(S$11&lt;$C136,0,MIN($D136/$D$133,$D136-SUM($E136:R136)))</f>
        <v>0</v>
      </c>
      <c r="T136" s="95">
        <f>IF(T$11&lt;$C136,0,MIN($D136/$D$133,$D136-SUM($E136:S136)))</f>
        <v>0</v>
      </c>
      <c r="U136" s="95">
        <f>IF(U$11&lt;$C136,0,MIN($D136/$D$133,$D136-SUM($E136:T136)))</f>
        <v>0</v>
      </c>
      <c r="V136" s="95">
        <f>IF(V$11&lt;$C136,0,MIN($D136/$D$133,$D136-SUM($E136:U136)))</f>
        <v>0</v>
      </c>
      <c r="W136" s="95">
        <f>IF(W$11&lt;$C136,0,MIN($D136/$D$133,$D136-SUM($E136:V136)))</f>
        <v>0</v>
      </c>
      <c r="X136" s="95">
        <f>IF(X$11&lt;$C136,0,MIN($D136/$D$133,$D136-SUM($E136:W136)))</f>
        <v>0</v>
      </c>
      <c r="Y136" s="95">
        <f>IF(Y$11&lt;$C136,0,MIN($D136/$D$133,$D136-SUM($E136:X136)))</f>
        <v>0</v>
      </c>
      <c r="Z136" s="95">
        <f>IF(Z$11&lt;$C136,0,MIN($D136/$D$133,$D136-SUM($E136:Y136)))</f>
        <v>0</v>
      </c>
      <c r="AA136" s="95">
        <f>IF(AA$11&lt;$C136,0,MIN($D136/$D$133,$D136-SUM($E136:Z136)))</f>
        <v>0</v>
      </c>
      <c r="AB136" s="95">
        <f>IF(AB$11&lt;$C136,0,MIN($D136/$D$133,$D136-SUM($E136:AA136)))</f>
        <v>0</v>
      </c>
      <c r="AC136" s="95">
        <f>IF(AC$11&lt;$C136,0,MIN($D136/$D$133,$D136-SUM($E136:AB136)))</f>
        <v>0</v>
      </c>
      <c r="AD136" s="95">
        <f>IF(AD$11&lt;$C136,0,MIN($D136/$D$133,$D136-SUM($E136:AC136)))</f>
        <v>0</v>
      </c>
    </row>
    <row r="137" spans="1:30">
      <c r="A137" s="95"/>
      <c r="B137" s="118">
        <f t="shared" ref="B137:B159" si="49">B136</f>
        <v>2</v>
      </c>
      <c r="C137">
        <f t="shared" ref="C137:C159" si="50">C136+1</f>
        <v>2024</v>
      </c>
      <c r="D137" s="95" cm="1">
        <f t="array" ref="D137">INDEX($F$14:$AD$16,$B137,MATCH($C137,$F$11:$AD$11,0))*$G$134</f>
        <v>988950</v>
      </c>
      <c r="E137" s="95"/>
      <c r="F137" s="95">
        <f>IF(F$11&lt;$C137,0,MIN($D137/$D$133,$D137-SUM($E137:E137)))</f>
        <v>0</v>
      </c>
      <c r="G137" s="95">
        <f>IF(G$11&lt;$C137,0,MIN($D137/$D$133,$D137-SUM($E137:F137)))</f>
        <v>0</v>
      </c>
      <c r="H137" s="95">
        <f>IF(H$11&lt;$C137,0,MIN($D137/$D$133,$D137-SUM($E137:G137)))</f>
        <v>98895</v>
      </c>
      <c r="I137" s="95">
        <f>IF(I$11&lt;$C137,0,MIN($D137/$D$133,$D137-SUM($E137:H137)))</f>
        <v>98895</v>
      </c>
      <c r="J137" s="95">
        <f>IF(J$11&lt;$C137,0,MIN($D137/$D$133,$D137-SUM($E137:I137)))</f>
        <v>98895</v>
      </c>
      <c r="K137" s="95">
        <f>IF(K$11&lt;$C137,0,MIN($D137/$D$133,$D137-SUM($E137:J137)))</f>
        <v>98895</v>
      </c>
      <c r="L137" s="95">
        <f>IF(L$11&lt;$C137,0,MIN($D137/$D$133,$D137-SUM($E137:K137)))</f>
        <v>98895</v>
      </c>
      <c r="M137" s="95">
        <f>IF(M$11&lt;$C137,0,MIN($D137/$D$133,$D137-SUM($E137:L137)))</f>
        <v>98895</v>
      </c>
      <c r="N137" s="95">
        <f>IF(N$11&lt;$C137,0,MIN($D137/$D$133,$D137-SUM($E137:M137)))</f>
        <v>98895</v>
      </c>
      <c r="O137" s="95">
        <f>IF(O$11&lt;$C137,0,MIN($D137/$D$133,$D137-SUM($E137:N137)))</f>
        <v>98895</v>
      </c>
      <c r="P137" s="95">
        <f>IF(P$11&lt;$C137,0,MIN($D137/$D$133,$D137-SUM($E137:O137)))</f>
        <v>98895</v>
      </c>
      <c r="Q137" s="95">
        <f>IF(Q$11&lt;$C137,0,MIN($D137/$D$133,$D137-SUM($E137:P137)))</f>
        <v>98895</v>
      </c>
      <c r="R137" s="95">
        <f>IF(R$11&lt;$C137,0,MIN($D137/$D$133,$D137-SUM($E137:Q137)))</f>
        <v>0</v>
      </c>
      <c r="S137" s="95">
        <f>IF(S$11&lt;$C137,0,MIN($D137/$D$133,$D137-SUM($E137:R137)))</f>
        <v>0</v>
      </c>
      <c r="T137" s="95">
        <f>IF(T$11&lt;$C137,0,MIN($D137/$D$133,$D137-SUM($E137:S137)))</f>
        <v>0</v>
      </c>
      <c r="U137" s="95">
        <f>IF(U$11&lt;$C137,0,MIN($D137/$D$133,$D137-SUM($E137:T137)))</f>
        <v>0</v>
      </c>
      <c r="V137" s="95">
        <f>IF(V$11&lt;$C137,0,MIN($D137/$D$133,$D137-SUM($E137:U137)))</f>
        <v>0</v>
      </c>
      <c r="W137" s="95">
        <f>IF(W$11&lt;$C137,0,MIN($D137/$D$133,$D137-SUM($E137:V137)))</f>
        <v>0</v>
      </c>
      <c r="X137" s="95">
        <f>IF(X$11&lt;$C137,0,MIN($D137/$D$133,$D137-SUM($E137:W137)))</f>
        <v>0</v>
      </c>
      <c r="Y137" s="95">
        <f>IF(Y$11&lt;$C137,0,MIN($D137/$D$133,$D137-SUM($E137:X137)))</f>
        <v>0</v>
      </c>
      <c r="Z137" s="95">
        <f>IF(Z$11&lt;$C137,0,MIN($D137/$D$133,$D137-SUM($E137:Y137)))</f>
        <v>0</v>
      </c>
      <c r="AA137" s="95">
        <f>IF(AA$11&lt;$C137,0,MIN($D137/$D$133,$D137-SUM($E137:Z137)))</f>
        <v>0</v>
      </c>
      <c r="AB137" s="95">
        <f>IF(AB$11&lt;$C137,0,MIN($D137/$D$133,$D137-SUM($E137:AA137)))</f>
        <v>0</v>
      </c>
      <c r="AC137" s="95">
        <f>IF(AC$11&lt;$C137,0,MIN($D137/$D$133,$D137-SUM($E137:AB137)))</f>
        <v>0</v>
      </c>
      <c r="AD137" s="95">
        <f>IF(AD$11&lt;$C137,0,MIN($D137/$D$133,$D137-SUM($E137:AC137)))</f>
        <v>0</v>
      </c>
    </row>
    <row r="138" spans="1:30">
      <c r="A138" s="95"/>
      <c r="B138" s="118">
        <f t="shared" si="49"/>
        <v>2</v>
      </c>
      <c r="C138">
        <f t="shared" si="50"/>
        <v>2025</v>
      </c>
      <c r="D138" s="95" cm="1">
        <f t="array" ref="D138">INDEX($F$14:$AD$16,$B138,MATCH($C138,$F$11:$AD$11,0))*$G$134</f>
        <v>860700</v>
      </c>
      <c r="E138" s="95"/>
      <c r="F138" s="95">
        <f>IF(F$11&lt;$C138,0,MIN($D138/$D$133,$D138-SUM($E138:E138)))</f>
        <v>0</v>
      </c>
      <c r="G138" s="95">
        <f>IF(G$11&lt;$C138,0,MIN($D138/$D$133,$D138-SUM($E138:F138)))</f>
        <v>0</v>
      </c>
      <c r="H138" s="95">
        <f>IF(H$11&lt;$C138,0,MIN($D138/$D$133,$D138-SUM($E138:G138)))</f>
        <v>0</v>
      </c>
      <c r="I138" s="95">
        <f>IF(I$11&lt;$C138,0,MIN($D138/$D$133,$D138-SUM($E138:H138)))</f>
        <v>86070</v>
      </c>
      <c r="J138" s="95">
        <f>IF(J$11&lt;$C138,0,MIN($D138/$D$133,$D138-SUM($E138:I138)))</f>
        <v>86070</v>
      </c>
      <c r="K138" s="95">
        <f>IF(K$11&lt;$C138,0,MIN($D138/$D$133,$D138-SUM($E138:J138)))</f>
        <v>86070</v>
      </c>
      <c r="L138" s="95">
        <f>IF(L$11&lt;$C138,0,MIN($D138/$D$133,$D138-SUM($E138:K138)))</f>
        <v>86070</v>
      </c>
      <c r="M138" s="95">
        <f>IF(M$11&lt;$C138,0,MIN($D138/$D$133,$D138-SUM($E138:L138)))</f>
        <v>86070</v>
      </c>
      <c r="N138" s="95">
        <f>IF(N$11&lt;$C138,0,MIN($D138/$D$133,$D138-SUM($E138:M138)))</f>
        <v>86070</v>
      </c>
      <c r="O138" s="95">
        <f>IF(O$11&lt;$C138,0,MIN($D138/$D$133,$D138-SUM($E138:N138)))</f>
        <v>86070</v>
      </c>
      <c r="P138" s="95">
        <f>IF(P$11&lt;$C138,0,MIN($D138/$D$133,$D138-SUM($E138:O138)))</f>
        <v>86070</v>
      </c>
      <c r="Q138" s="95">
        <f>IF(Q$11&lt;$C138,0,MIN($D138/$D$133,$D138-SUM($E138:P138)))</f>
        <v>86070</v>
      </c>
      <c r="R138" s="95">
        <f>IF(R$11&lt;$C138,0,MIN($D138/$D$133,$D138-SUM($E138:Q138)))</f>
        <v>86070</v>
      </c>
      <c r="S138" s="95">
        <f>IF(S$11&lt;$C138,0,MIN($D138/$D$133,$D138-SUM($E138:R138)))</f>
        <v>0</v>
      </c>
      <c r="T138" s="95">
        <f>IF(T$11&lt;$C138,0,MIN($D138/$D$133,$D138-SUM($E138:S138)))</f>
        <v>0</v>
      </c>
      <c r="U138" s="95">
        <f>IF(U$11&lt;$C138,0,MIN($D138/$D$133,$D138-SUM($E138:T138)))</f>
        <v>0</v>
      </c>
      <c r="V138" s="95">
        <f>IF(V$11&lt;$C138,0,MIN($D138/$D$133,$D138-SUM($E138:U138)))</f>
        <v>0</v>
      </c>
      <c r="W138" s="95">
        <f>IF(W$11&lt;$C138,0,MIN($D138/$D$133,$D138-SUM($E138:V138)))</f>
        <v>0</v>
      </c>
      <c r="X138" s="95">
        <f>IF(X$11&lt;$C138,0,MIN($D138/$D$133,$D138-SUM($E138:W138)))</f>
        <v>0</v>
      </c>
      <c r="Y138" s="95">
        <f>IF(Y$11&lt;$C138,0,MIN($D138/$D$133,$D138-SUM($E138:X138)))</f>
        <v>0</v>
      </c>
      <c r="Z138" s="95">
        <f>IF(Z$11&lt;$C138,0,MIN($D138/$D$133,$D138-SUM($E138:Y138)))</f>
        <v>0</v>
      </c>
      <c r="AA138" s="95">
        <f>IF(AA$11&lt;$C138,0,MIN($D138/$D$133,$D138-SUM($E138:Z138)))</f>
        <v>0</v>
      </c>
      <c r="AB138" s="95">
        <f>IF(AB$11&lt;$C138,0,MIN($D138/$D$133,$D138-SUM($E138:AA138)))</f>
        <v>0</v>
      </c>
      <c r="AC138" s="95">
        <f>IF(AC$11&lt;$C138,0,MIN($D138/$D$133,$D138-SUM($E138:AB138)))</f>
        <v>0</v>
      </c>
      <c r="AD138" s="95">
        <f>IF(AD$11&lt;$C138,0,MIN($D138/$D$133,$D138-SUM($E138:AC138)))</f>
        <v>0</v>
      </c>
    </row>
    <row r="139" spans="1:30">
      <c r="A139" s="95"/>
      <c r="B139" s="118">
        <f t="shared" si="49"/>
        <v>2</v>
      </c>
      <c r="C139">
        <f t="shared" si="50"/>
        <v>2026</v>
      </c>
      <c r="D139" s="95" cm="1">
        <f t="array" ref="D139">INDEX($F$14:$AD$16,$B139,MATCH($C139,$F$11:$AD$11,0))*$G$134</f>
        <v>859275</v>
      </c>
      <c r="E139" s="95"/>
      <c r="F139" s="95">
        <f>IF(F$11&lt;$C139,0,MIN($D139/$D$133,$D139-SUM($E139:E139)))</f>
        <v>0</v>
      </c>
      <c r="G139" s="95">
        <f>IF(G$11&lt;$C139,0,MIN($D139/$D$133,$D139-SUM($E139:F139)))</f>
        <v>0</v>
      </c>
      <c r="H139" s="95">
        <f>IF(H$11&lt;$C139,0,MIN($D139/$D$133,$D139-SUM($E139:G139)))</f>
        <v>0</v>
      </c>
      <c r="I139" s="95">
        <f>IF(I$11&lt;$C139,0,MIN($D139/$D$133,$D139-SUM($E139:H139)))</f>
        <v>0</v>
      </c>
      <c r="J139" s="95">
        <f>IF(J$11&lt;$C139,0,MIN($D139/$D$133,$D139-SUM($E139:I139)))</f>
        <v>85927.5</v>
      </c>
      <c r="K139" s="95">
        <f>IF(K$11&lt;$C139,0,MIN($D139/$D$133,$D139-SUM($E139:J139)))</f>
        <v>85927.5</v>
      </c>
      <c r="L139" s="95">
        <f>IF(L$11&lt;$C139,0,MIN($D139/$D$133,$D139-SUM($E139:K139)))</f>
        <v>85927.5</v>
      </c>
      <c r="M139" s="95">
        <f>IF(M$11&lt;$C139,0,MIN($D139/$D$133,$D139-SUM($E139:L139)))</f>
        <v>85927.5</v>
      </c>
      <c r="N139" s="95">
        <f>IF(N$11&lt;$C139,0,MIN($D139/$D$133,$D139-SUM($E139:M139)))</f>
        <v>85927.5</v>
      </c>
      <c r="O139" s="95">
        <f>IF(O$11&lt;$C139,0,MIN($D139/$D$133,$D139-SUM($E139:N139)))</f>
        <v>85927.5</v>
      </c>
      <c r="P139" s="95">
        <f>IF(P$11&lt;$C139,0,MIN($D139/$D$133,$D139-SUM($E139:O139)))</f>
        <v>85927.5</v>
      </c>
      <c r="Q139" s="95">
        <f>IF(Q$11&lt;$C139,0,MIN($D139/$D$133,$D139-SUM($E139:P139)))</f>
        <v>85927.5</v>
      </c>
      <c r="R139" s="95">
        <f>IF(R$11&lt;$C139,0,MIN($D139/$D$133,$D139-SUM($E139:Q139)))</f>
        <v>85927.5</v>
      </c>
      <c r="S139" s="95">
        <f>IF(S$11&lt;$C139,0,MIN($D139/$D$133,$D139-SUM($E139:R139)))</f>
        <v>85927.5</v>
      </c>
      <c r="T139" s="95">
        <f>IF(T$11&lt;$C139,0,MIN($D139/$D$133,$D139-SUM($E139:S139)))</f>
        <v>0</v>
      </c>
      <c r="U139" s="95">
        <f>IF(U$11&lt;$C139,0,MIN($D139/$D$133,$D139-SUM($E139:T139)))</f>
        <v>0</v>
      </c>
      <c r="V139" s="95">
        <f>IF(V$11&lt;$C139,0,MIN($D139/$D$133,$D139-SUM($E139:U139)))</f>
        <v>0</v>
      </c>
      <c r="W139" s="95">
        <f>IF(W$11&lt;$C139,0,MIN($D139/$D$133,$D139-SUM($E139:V139)))</f>
        <v>0</v>
      </c>
      <c r="X139" s="95">
        <f>IF(X$11&lt;$C139,0,MIN($D139/$D$133,$D139-SUM($E139:W139)))</f>
        <v>0</v>
      </c>
      <c r="Y139" s="95">
        <f>IF(Y$11&lt;$C139,0,MIN($D139/$D$133,$D139-SUM($E139:X139)))</f>
        <v>0</v>
      </c>
      <c r="Z139" s="95">
        <f>IF(Z$11&lt;$C139,0,MIN($D139/$D$133,$D139-SUM($E139:Y139)))</f>
        <v>0</v>
      </c>
      <c r="AA139" s="95">
        <f>IF(AA$11&lt;$C139,0,MIN($D139/$D$133,$D139-SUM($E139:Z139)))</f>
        <v>0</v>
      </c>
      <c r="AB139" s="95">
        <f>IF(AB$11&lt;$C139,0,MIN($D139/$D$133,$D139-SUM($E139:AA139)))</f>
        <v>0</v>
      </c>
      <c r="AC139" s="95">
        <f>IF(AC$11&lt;$C139,0,MIN($D139/$D$133,$D139-SUM($E139:AB139)))</f>
        <v>0</v>
      </c>
      <c r="AD139" s="95">
        <f>IF(AD$11&lt;$C139,0,MIN($D139/$D$133,$D139-SUM($E139:AC139)))</f>
        <v>0</v>
      </c>
    </row>
    <row r="140" spans="1:30">
      <c r="A140" s="95"/>
      <c r="B140" s="118">
        <f t="shared" si="49"/>
        <v>2</v>
      </c>
      <c r="C140">
        <f t="shared" si="50"/>
        <v>2027</v>
      </c>
      <c r="D140" s="95" cm="1">
        <f t="array" ref="D140">INDEX($F$14:$AD$16,$B140,MATCH($C140,$F$11:$AD$11,0))*$G$134</f>
        <v>2546475</v>
      </c>
      <c r="E140" s="95"/>
      <c r="F140" s="95">
        <f>IF(F$11&lt;$C140,0,MIN($D140/$D$133,$D140-SUM($E140:E140)))</f>
        <v>0</v>
      </c>
      <c r="G140" s="95">
        <f>IF(G$11&lt;$C140,0,MIN($D140/$D$133,$D140-SUM($E140:F140)))</f>
        <v>0</v>
      </c>
      <c r="H140" s="95">
        <f>IF(H$11&lt;$C140,0,MIN($D140/$D$133,$D140-SUM($E140:G140)))</f>
        <v>0</v>
      </c>
      <c r="I140" s="95">
        <f>IF(I$11&lt;$C140,0,MIN($D140/$D$133,$D140-SUM($E140:H140)))</f>
        <v>0</v>
      </c>
      <c r="J140" s="95">
        <f>IF(J$11&lt;$C140,0,MIN($D140/$D$133,$D140-SUM($E140:I140)))</f>
        <v>0</v>
      </c>
      <c r="K140" s="95">
        <f>IF(K$11&lt;$C140,0,MIN($D140/$D$133,$D140-SUM($E140:J140)))</f>
        <v>254647.5</v>
      </c>
      <c r="L140" s="95">
        <f>IF(L$11&lt;$C140,0,MIN($D140/$D$133,$D140-SUM($E140:K140)))</f>
        <v>254647.5</v>
      </c>
      <c r="M140" s="95">
        <f>IF(M$11&lt;$C140,0,MIN($D140/$D$133,$D140-SUM($E140:L140)))</f>
        <v>254647.5</v>
      </c>
      <c r="N140" s="95">
        <f>IF(N$11&lt;$C140,0,MIN($D140/$D$133,$D140-SUM($E140:M140)))</f>
        <v>254647.5</v>
      </c>
      <c r="O140" s="95">
        <f>IF(O$11&lt;$C140,0,MIN($D140/$D$133,$D140-SUM($E140:N140)))</f>
        <v>254647.5</v>
      </c>
      <c r="P140" s="95">
        <f>IF(P$11&lt;$C140,0,MIN($D140/$D$133,$D140-SUM($E140:O140)))</f>
        <v>254647.5</v>
      </c>
      <c r="Q140" s="95">
        <f>IF(Q$11&lt;$C140,0,MIN($D140/$D$133,$D140-SUM($E140:P140)))</f>
        <v>254647.5</v>
      </c>
      <c r="R140" s="95">
        <f>IF(R$11&lt;$C140,0,MIN($D140/$D$133,$D140-SUM($E140:Q140)))</f>
        <v>254647.5</v>
      </c>
      <c r="S140" s="95">
        <f>IF(S$11&lt;$C140,0,MIN($D140/$D$133,$D140-SUM($E140:R140)))</f>
        <v>254647.5</v>
      </c>
      <c r="T140" s="95">
        <f>IF(T$11&lt;$C140,0,MIN($D140/$D$133,$D140-SUM($E140:S140)))</f>
        <v>254647.5</v>
      </c>
      <c r="U140" s="95">
        <f>IF(U$11&lt;$C140,0,MIN($D140/$D$133,$D140-SUM($E140:T140)))</f>
        <v>0</v>
      </c>
      <c r="V140" s="95">
        <f>IF(V$11&lt;$C140,0,MIN($D140/$D$133,$D140-SUM($E140:U140)))</f>
        <v>0</v>
      </c>
      <c r="W140" s="95">
        <f>IF(W$11&lt;$C140,0,MIN($D140/$D$133,$D140-SUM($E140:V140)))</f>
        <v>0</v>
      </c>
      <c r="X140" s="95">
        <f>IF(X$11&lt;$C140,0,MIN($D140/$D$133,$D140-SUM($E140:W140)))</f>
        <v>0</v>
      </c>
      <c r="Y140" s="95">
        <f>IF(Y$11&lt;$C140,0,MIN($D140/$D$133,$D140-SUM($E140:X140)))</f>
        <v>0</v>
      </c>
      <c r="Z140" s="95">
        <f>IF(Z$11&lt;$C140,0,MIN($D140/$D$133,$D140-SUM($E140:Y140)))</f>
        <v>0</v>
      </c>
      <c r="AA140" s="95">
        <f>IF(AA$11&lt;$C140,0,MIN($D140/$D$133,$D140-SUM($E140:Z140)))</f>
        <v>0</v>
      </c>
      <c r="AB140" s="95">
        <f>IF(AB$11&lt;$C140,0,MIN($D140/$D$133,$D140-SUM($E140:AA140)))</f>
        <v>0</v>
      </c>
      <c r="AC140" s="95">
        <f>IF(AC$11&lt;$C140,0,MIN($D140/$D$133,$D140-SUM($E140:AB140)))</f>
        <v>0</v>
      </c>
      <c r="AD140" s="95">
        <f>IF(AD$11&lt;$C140,0,MIN($D140/$D$133,$D140-SUM($E140:AC140)))</f>
        <v>0</v>
      </c>
    </row>
    <row r="141" spans="1:30">
      <c r="A141" s="95"/>
      <c r="B141" s="118">
        <f t="shared" si="49"/>
        <v>2</v>
      </c>
      <c r="C141">
        <f t="shared" si="50"/>
        <v>2028</v>
      </c>
      <c r="D141" s="95" cm="1">
        <f t="array" ref="D141">INDEX($F$14:$AD$16,$B141,MATCH($C141,$F$11:$AD$11,0))*$G$134</f>
        <v>192375</v>
      </c>
      <c r="E141" s="95"/>
      <c r="F141" s="95">
        <f>IF(F$11&lt;$C141,0,MIN($D141/$D$133,$D141-SUM($E141:E141)))</f>
        <v>0</v>
      </c>
      <c r="G141" s="95">
        <f>IF(G$11&lt;$C141,0,MIN($D141/$D$133,$D141-SUM($E141:F141)))</f>
        <v>0</v>
      </c>
      <c r="H141" s="95">
        <f>IF(H$11&lt;$C141,0,MIN($D141/$D$133,$D141-SUM($E141:G141)))</f>
        <v>0</v>
      </c>
      <c r="I141" s="95">
        <f>IF(I$11&lt;$C141,0,MIN($D141/$D$133,$D141-SUM($E141:H141)))</f>
        <v>0</v>
      </c>
      <c r="J141" s="95">
        <f>IF(J$11&lt;$C141,0,MIN($D141/$D$133,$D141-SUM($E141:I141)))</f>
        <v>0</v>
      </c>
      <c r="K141" s="95">
        <f>IF(K$11&lt;$C141,0,MIN($D141/$D$133,$D141-SUM($E141:J141)))</f>
        <v>0</v>
      </c>
      <c r="L141" s="95">
        <f>IF(L$11&lt;$C141,0,MIN($D141/$D$133,$D141-SUM($E141:K141)))</f>
        <v>19237.5</v>
      </c>
      <c r="M141" s="95">
        <f>IF(M$11&lt;$C141,0,MIN($D141/$D$133,$D141-SUM($E141:L141)))</f>
        <v>19237.5</v>
      </c>
      <c r="N141" s="95">
        <f>IF(N$11&lt;$C141,0,MIN($D141/$D$133,$D141-SUM($E141:M141)))</f>
        <v>19237.5</v>
      </c>
      <c r="O141" s="95">
        <f>IF(O$11&lt;$C141,0,MIN($D141/$D$133,$D141-SUM($E141:N141)))</f>
        <v>19237.5</v>
      </c>
      <c r="P141" s="95">
        <f>IF(P$11&lt;$C141,0,MIN($D141/$D$133,$D141-SUM($E141:O141)))</f>
        <v>19237.5</v>
      </c>
      <c r="Q141" s="95">
        <f>IF(Q$11&lt;$C141,0,MIN($D141/$D$133,$D141-SUM($E141:P141)))</f>
        <v>19237.5</v>
      </c>
      <c r="R141" s="95">
        <f>IF(R$11&lt;$C141,0,MIN($D141/$D$133,$D141-SUM($E141:Q141)))</f>
        <v>19237.5</v>
      </c>
      <c r="S141" s="95">
        <f>IF(S$11&lt;$C141,0,MIN($D141/$D$133,$D141-SUM($E141:R141)))</f>
        <v>19237.5</v>
      </c>
      <c r="T141" s="95">
        <f>IF(T$11&lt;$C141,0,MIN($D141/$D$133,$D141-SUM($E141:S141)))</f>
        <v>19237.5</v>
      </c>
      <c r="U141" s="95">
        <f>IF(U$11&lt;$C141,0,MIN($D141/$D$133,$D141-SUM($E141:T141)))</f>
        <v>19237.5</v>
      </c>
      <c r="V141" s="95">
        <f>IF(V$11&lt;$C141,0,MIN($D141/$D$133,$D141-SUM($E141:U141)))</f>
        <v>0</v>
      </c>
      <c r="W141" s="95">
        <f>IF(W$11&lt;$C141,0,MIN($D141/$D$133,$D141-SUM($E141:V141)))</f>
        <v>0</v>
      </c>
      <c r="X141" s="95">
        <f>IF(X$11&lt;$C141,0,MIN($D141/$D$133,$D141-SUM($E141:W141)))</f>
        <v>0</v>
      </c>
      <c r="Y141" s="95">
        <f>IF(Y$11&lt;$C141,0,MIN($D141/$D$133,$D141-SUM($E141:X141)))</f>
        <v>0</v>
      </c>
      <c r="Z141" s="95">
        <f>IF(Z$11&lt;$C141,0,MIN($D141/$D$133,$D141-SUM($E141:Y141)))</f>
        <v>0</v>
      </c>
      <c r="AA141" s="95">
        <f>IF(AA$11&lt;$C141,0,MIN($D141/$D$133,$D141-SUM($E141:Z141)))</f>
        <v>0</v>
      </c>
      <c r="AB141" s="95">
        <f>IF(AB$11&lt;$C141,0,MIN($D141/$D$133,$D141-SUM($E141:AA141)))</f>
        <v>0</v>
      </c>
      <c r="AC141" s="95">
        <f>IF(AC$11&lt;$C141,0,MIN($D141/$D$133,$D141-SUM($E141:AB141)))</f>
        <v>0</v>
      </c>
      <c r="AD141" s="95">
        <f>IF(AD$11&lt;$C141,0,MIN($D141/$D$133,$D141-SUM($E141:AC141)))</f>
        <v>0</v>
      </c>
    </row>
    <row r="142" spans="1:30">
      <c r="A142" s="95"/>
      <c r="B142" s="118">
        <f t="shared" si="49"/>
        <v>2</v>
      </c>
      <c r="C142">
        <f t="shared" si="50"/>
        <v>2029</v>
      </c>
      <c r="D142" s="95" cm="1">
        <f t="array" ref="D142">INDEX($F$14:$AD$16,$B142,MATCH($C142,$F$11:$AD$11,0))*$G$134</f>
        <v>1530450</v>
      </c>
      <c r="E142" s="95"/>
      <c r="F142" s="95">
        <f>IF(F$11&lt;$C142,0,MIN($D142/$D$133,$D142-SUM($E142:E142)))</f>
        <v>0</v>
      </c>
      <c r="G142" s="95">
        <f>IF(G$11&lt;$C142,0,MIN($D142/$D$133,$D142-SUM($E142:F142)))</f>
        <v>0</v>
      </c>
      <c r="H142" s="95">
        <f>IF(H$11&lt;$C142,0,MIN($D142/$D$133,$D142-SUM($E142:G142)))</f>
        <v>0</v>
      </c>
      <c r="I142" s="95">
        <f>IF(I$11&lt;$C142,0,MIN($D142/$D$133,$D142-SUM($E142:H142)))</f>
        <v>0</v>
      </c>
      <c r="J142" s="95">
        <f>IF(J$11&lt;$C142,0,MIN($D142/$D$133,$D142-SUM($E142:I142)))</f>
        <v>0</v>
      </c>
      <c r="K142" s="95">
        <f>IF(K$11&lt;$C142,0,MIN($D142/$D$133,$D142-SUM($E142:J142)))</f>
        <v>0</v>
      </c>
      <c r="L142" s="95">
        <f>IF(L$11&lt;$C142,0,MIN($D142/$D$133,$D142-SUM($E142:K142)))</f>
        <v>0</v>
      </c>
      <c r="M142" s="95">
        <f>IF(M$11&lt;$C142,0,MIN($D142/$D$133,$D142-SUM($E142:L142)))</f>
        <v>153045</v>
      </c>
      <c r="N142" s="95">
        <f>IF(N$11&lt;$C142,0,MIN($D142/$D$133,$D142-SUM($E142:M142)))</f>
        <v>153045</v>
      </c>
      <c r="O142" s="95">
        <f>IF(O$11&lt;$C142,0,MIN($D142/$D$133,$D142-SUM($E142:N142)))</f>
        <v>153045</v>
      </c>
      <c r="P142" s="95">
        <f>IF(P$11&lt;$C142,0,MIN($D142/$D$133,$D142-SUM($E142:O142)))</f>
        <v>153045</v>
      </c>
      <c r="Q142" s="95">
        <f>IF(Q$11&lt;$C142,0,MIN($D142/$D$133,$D142-SUM($E142:P142)))</f>
        <v>153045</v>
      </c>
      <c r="R142" s="95">
        <f>IF(R$11&lt;$C142,0,MIN($D142/$D$133,$D142-SUM($E142:Q142)))</f>
        <v>153045</v>
      </c>
      <c r="S142" s="95">
        <f>IF(S$11&lt;$C142,0,MIN($D142/$D$133,$D142-SUM($E142:R142)))</f>
        <v>153045</v>
      </c>
      <c r="T142" s="95">
        <f>IF(T$11&lt;$C142,0,MIN($D142/$D$133,$D142-SUM($E142:S142)))</f>
        <v>153045</v>
      </c>
      <c r="U142" s="95">
        <f>IF(U$11&lt;$C142,0,MIN($D142/$D$133,$D142-SUM($E142:T142)))</f>
        <v>153045</v>
      </c>
      <c r="V142" s="95">
        <f>IF(V$11&lt;$C142,0,MIN($D142/$D$133,$D142-SUM($E142:U142)))</f>
        <v>153045</v>
      </c>
      <c r="W142" s="95">
        <f>IF(W$11&lt;$C142,0,MIN($D142/$D$133,$D142-SUM($E142:V142)))</f>
        <v>0</v>
      </c>
      <c r="X142" s="95">
        <f>IF(X$11&lt;$C142,0,MIN($D142/$D$133,$D142-SUM($E142:W142)))</f>
        <v>0</v>
      </c>
      <c r="Y142" s="95">
        <f>IF(Y$11&lt;$C142,0,MIN($D142/$D$133,$D142-SUM($E142:X142)))</f>
        <v>0</v>
      </c>
      <c r="Z142" s="95">
        <f>IF(Z$11&lt;$C142,0,MIN($D142/$D$133,$D142-SUM($E142:Y142)))</f>
        <v>0</v>
      </c>
      <c r="AA142" s="95">
        <f>IF(AA$11&lt;$C142,0,MIN($D142/$D$133,$D142-SUM($E142:Z142)))</f>
        <v>0</v>
      </c>
      <c r="AB142" s="95">
        <f>IF(AB$11&lt;$C142,0,MIN($D142/$D$133,$D142-SUM($E142:AA142)))</f>
        <v>0</v>
      </c>
      <c r="AC142" s="95">
        <f>IF(AC$11&lt;$C142,0,MIN($D142/$D$133,$D142-SUM($E142:AB142)))</f>
        <v>0</v>
      </c>
      <c r="AD142" s="95">
        <f>IF(AD$11&lt;$C142,0,MIN($D142/$D$133,$D142-SUM($E142:AC142)))</f>
        <v>0</v>
      </c>
    </row>
    <row r="143" spans="1:30">
      <c r="A143" s="95"/>
      <c r="B143" s="118">
        <f t="shared" si="49"/>
        <v>2</v>
      </c>
      <c r="C143">
        <f t="shared" si="50"/>
        <v>2030</v>
      </c>
      <c r="D143" s="95" cm="1">
        <f t="array" ref="D143">INDEX($F$14:$AD$16,$B143,MATCH($C143,$F$11:$AD$11,0))*$G$134</f>
        <v>1873875</v>
      </c>
      <c r="E143" s="95"/>
      <c r="F143" s="95">
        <f>IF(F$11&lt;$C143,0,MIN($D143/$D$133,$D143-SUM($E143:E143)))</f>
        <v>0</v>
      </c>
      <c r="G143" s="95">
        <f>IF(G$11&lt;$C143,0,MIN($D143/$D$133,$D143-SUM($E143:F143)))</f>
        <v>0</v>
      </c>
      <c r="H143" s="95">
        <f>IF(H$11&lt;$C143,0,MIN($D143/$D$133,$D143-SUM($E143:G143)))</f>
        <v>0</v>
      </c>
      <c r="I143" s="95">
        <f>IF(I$11&lt;$C143,0,MIN($D143/$D$133,$D143-SUM($E143:H143)))</f>
        <v>0</v>
      </c>
      <c r="J143" s="95">
        <f>IF(J$11&lt;$C143,0,MIN($D143/$D$133,$D143-SUM($E143:I143)))</f>
        <v>0</v>
      </c>
      <c r="K143" s="95">
        <f>IF(K$11&lt;$C143,0,MIN($D143/$D$133,$D143-SUM($E143:J143)))</f>
        <v>0</v>
      </c>
      <c r="L143" s="95">
        <f>IF(L$11&lt;$C143,0,MIN($D143/$D$133,$D143-SUM($E143:K143)))</f>
        <v>0</v>
      </c>
      <c r="M143" s="95">
        <f>IF(M$11&lt;$C143,0,MIN($D143/$D$133,$D143-SUM($E143:L143)))</f>
        <v>0</v>
      </c>
      <c r="N143" s="95">
        <f>IF(N$11&lt;$C143,0,MIN($D143/$D$133,$D143-SUM($E143:M143)))</f>
        <v>187387.5</v>
      </c>
      <c r="O143" s="95">
        <f>IF(O$11&lt;$C143,0,MIN($D143/$D$133,$D143-SUM($E143:N143)))</f>
        <v>187387.5</v>
      </c>
      <c r="P143" s="95">
        <f>IF(P$11&lt;$C143,0,MIN($D143/$D$133,$D143-SUM($E143:O143)))</f>
        <v>187387.5</v>
      </c>
      <c r="Q143" s="95">
        <f>IF(Q$11&lt;$C143,0,MIN($D143/$D$133,$D143-SUM($E143:P143)))</f>
        <v>187387.5</v>
      </c>
      <c r="R143" s="95">
        <f>IF(R$11&lt;$C143,0,MIN($D143/$D$133,$D143-SUM($E143:Q143)))</f>
        <v>187387.5</v>
      </c>
      <c r="S143" s="95">
        <f>IF(S$11&lt;$C143,0,MIN($D143/$D$133,$D143-SUM($E143:R143)))</f>
        <v>187387.5</v>
      </c>
      <c r="T143" s="95">
        <f>IF(T$11&lt;$C143,0,MIN($D143/$D$133,$D143-SUM($E143:S143)))</f>
        <v>187387.5</v>
      </c>
      <c r="U143" s="95">
        <f>IF(U$11&lt;$C143,0,MIN($D143/$D$133,$D143-SUM($E143:T143)))</f>
        <v>187387.5</v>
      </c>
      <c r="V143" s="95">
        <f>IF(V$11&lt;$C143,0,MIN($D143/$D$133,$D143-SUM($E143:U143)))</f>
        <v>187387.5</v>
      </c>
      <c r="W143" s="95">
        <f>IF(W$11&lt;$C143,0,MIN($D143/$D$133,$D143-SUM($E143:V143)))</f>
        <v>187387.5</v>
      </c>
      <c r="X143" s="95">
        <f>IF(X$11&lt;$C143,0,MIN($D143/$D$133,$D143-SUM($E143:W143)))</f>
        <v>0</v>
      </c>
      <c r="Y143" s="95">
        <f>IF(Y$11&lt;$C143,0,MIN($D143/$D$133,$D143-SUM($E143:X143)))</f>
        <v>0</v>
      </c>
      <c r="Z143" s="95">
        <f>IF(Z$11&lt;$C143,0,MIN($D143/$D$133,$D143-SUM($E143:Y143)))</f>
        <v>0</v>
      </c>
      <c r="AA143" s="95">
        <f>IF(AA$11&lt;$C143,0,MIN($D143/$D$133,$D143-SUM($E143:Z143)))</f>
        <v>0</v>
      </c>
      <c r="AB143" s="95">
        <f>IF(AB$11&lt;$C143,0,MIN($D143/$D$133,$D143-SUM($E143:AA143)))</f>
        <v>0</v>
      </c>
      <c r="AC143" s="95">
        <f>IF(AC$11&lt;$C143,0,MIN($D143/$D$133,$D143-SUM($E143:AB143)))</f>
        <v>0</v>
      </c>
      <c r="AD143" s="95">
        <f>IF(AD$11&lt;$C143,0,MIN($D143/$D$133,$D143-SUM($E143:AC143)))</f>
        <v>0</v>
      </c>
    </row>
    <row r="144" spans="1:30">
      <c r="A144" s="95"/>
      <c r="B144" s="118">
        <f t="shared" si="49"/>
        <v>2</v>
      </c>
      <c r="C144">
        <f t="shared" si="50"/>
        <v>2031</v>
      </c>
      <c r="D144" s="95" cm="1">
        <f t="array" ref="D144">INDEX($F$14:$AD$16,$B144,MATCH($C144,$F$11:$AD$11,0))*$G$134</f>
        <v>1658700</v>
      </c>
      <c r="E144" s="95"/>
      <c r="F144" s="95">
        <f>IF(F$11&lt;$C144,0,MIN($D144/$D$133,$D144-SUM($E144:E144)))</f>
        <v>0</v>
      </c>
      <c r="G144" s="95">
        <f>IF(G$11&lt;$C144,0,MIN($D144/$D$133,$D144-SUM($E144:F144)))</f>
        <v>0</v>
      </c>
      <c r="H144" s="95">
        <f>IF(H$11&lt;$C144,0,MIN($D144/$D$133,$D144-SUM($E144:G144)))</f>
        <v>0</v>
      </c>
      <c r="I144" s="95">
        <f>IF(I$11&lt;$C144,0,MIN($D144/$D$133,$D144-SUM($E144:H144)))</f>
        <v>0</v>
      </c>
      <c r="J144" s="95">
        <f>IF(J$11&lt;$C144,0,MIN($D144/$D$133,$D144-SUM($E144:I144)))</f>
        <v>0</v>
      </c>
      <c r="K144" s="95">
        <f>IF(K$11&lt;$C144,0,MIN($D144/$D$133,$D144-SUM($E144:J144)))</f>
        <v>0</v>
      </c>
      <c r="L144" s="95">
        <f>IF(L$11&lt;$C144,0,MIN($D144/$D$133,$D144-SUM($E144:K144)))</f>
        <v>0</v>
      </c>
      <c r="M144" s="95">
        <f>IF(M$11&lt;$C144,0,MIN($D144/$D$133,$D144-SUM($E144:L144)))</f>
        <v>0</v>
      </c>
      <c r="N144" s="95">
        <f>IF(N$11&lt;$C144,0,MIN($D144/$D$133,$D144-SUM($E144:M144)))</f>
        <v>0</v>
      </c>
      <c r="O144" s="95">
        <f>IF(O$11&lt;$C144,0,MIN($D144/$D$133,$D144-SUM($E144:N144)))</f>
        <v>165870</v>
      </c>
      <c r="P144" s="95">
        <f>IF(P$11&lt;$C144,0,MIN($D144/$D$133,$D144-SUM($E144:O144)))</f>
        <v>165870</v>
      </c>
      <c r="Q144" s="95">
        <f>IF(Q$11&lt;$C144,0,MIN($D144/$D$133,$D144-SUM($E144:P144)))</f>
        <v>165870</v>
      </c>
      <c r="R144" s="95">
        <f>IF(R$11&lt;$C144,0,MIN($D144/$D$133,$D144-SUM($E144:Q144)))</f>
        <v>165870</v>
      </c>
      <c r="S144" s="95">
        <f>IF(S$11&lt;$C144,0,MIN($D144/$D$133,$D144-SUM($E144:R144)))</f>
        <v>165870</v>
      </c>
      <c r="T144" s="95">
        <f>IF(T$11&lt;$C144,0,MIN($D144/$D$133,$D144-SUM($E144:S144)))</f>
        <v>165870</v>
      </c>
      <c r="U144" s="95">
        <f>IF(U$11&lt;$C144,0,MIN($D144/$D$133,$D144-SUM($E144:T144)))</f>
        <v>165870</v>
      </c>
      <c r="V144" s="95">
        <f>IF(V$11&lt;$C144,0,MIN($D144/$D$133,$D144-SUM($E144:U144)))</f>
        <v>165870</v>
      </c>
      <c r="W144" s="95">
        <f>IF(W$11&lt;$C144,0,MIN($D144/$D$133,$D144-SUM($E144:V144)))</f>
        <v>165870</v>
      </c>
      <c r="X144" s="95">
        <f>IF(X$11&lt;$C144,0,MIN($D144/$D$133,$D144-SUM($E144:W144)))</f>
        <v>165870</v>
      </c>
      <c r="Y144" s="95">
        <f>IF(Y$11&lt;$C144,0,MIN($D144/$D$133,$D144-SUM($E144:X144)))</f>
        <v>0</v>
      </c>
      <c r="Z144" s="95">
        <f>IF(Z$11&lt;$C144,0,MIN($D144/$D$133,$D144-SUM($E144:Y144)))</f>
        <v>0</v>
      </c>
      <c r="AA144" s="95">
        <f>IF(AA$11&lt;$C144,0,MIN($D144/$D$133,$D144-SUM($E144:Z144)))</f>
        <v>0</v>
      </c>
      <c r="AB144" s="95">
        <f>IF(AB$11&lt;$C144,0,MIN($D144/$D$133,$D144-SUM($E144:AA144)))</f>
        <v>0</v>
      </c>
      <c r="AC144" s="95">
        <f>IF(AC$11&lt;$C144,0,MIN($D144/$D$133,$D144-SUM($E144:AB144)))</f>
        <v>0</v>
      </c>
      <c r="AD144" s="95">
        <f>IF(AD$11&lt;$C144,0,MIN($D144/$D$133,$D144-SUM($E144:AC144)))</f>
        <v>0</v>
      </c>
    </row>
    <row r="145" spans="1:30">
      <c r="A145" s="95"/>
      <c r="B145" s="118">
        <f t="shared" si="49"/>
        <v>2</v>
      </c>
      <c r="C145">
        <f t="shared" si="50"/>
        <v>2032</v>
      </c>
      <c r="D145" s="95" cm="1">
        <f t="array" ref="D145">INDEX($F$14:$AD$16,$B145,MATCH($C145,$F$11:$AD$11,0))*$G$134</f>
        <v>3243300</v>
      </c>
      <c r="E145" s="95"/>
      <c r="F145" s="95">
        <f>IF(F$11&lt;$C145,0,MIN($D145/$D$133,$D145-SUM($E145:E145)))</f>
        <v>0</v>
      </c>
      <c r="G145" s="95">
        <f>IF(G$11&lt;$C145,0,MIN($D145/$D$133,$D145-SUM($E145:F145)))</f>
        <v>0</v>
      </c>
      <c r="H145" s="95">
        <f>IF(H$11&lt;$C145,0,MIN($D145/$D$133,$D145-SUM($E145:G145)))</f>
        <v>0</v>
      </c>
      <c r="I145" s="95">
        <f>IF(I$11&lt;$C145,0,MIN($D145/$D$133,$D145-SUM($E145:H145)))</f>
        <v>0</v>
      </c>
      <c r="J145" s="95">
        <f>IF(J$11&lt;$C145,0,MIN($D145/$D$133,$D145-SUM($E145:I145)))</f>
        <v>0</v>
      </c>
      <c r="K145" s="95">
        <f>IF(K$11&lt;$C145,0,MIN($D145/$D$133,$D145-SUM($E145:J145)))</f>
        <v>0</v>
      </c>
      <c r="L145" s="95">
        <f>IF(L$11&lt;$C145,0,MIN($D145/$D$133,$D145-SUM($E145:K145)))</f>
        <v>0</v>
      </c>
      <c r="M145" s="95">
        <f>IF(M$11&lt;$C145,0,MIN($D145/$D$133,$D145-SUM($E145:L145)))</f>
        <v>0</v>
      </c>
      <c r="N145" s="95">
        <f>IF(N$11&lt;$C145,0,MIN($D145/$D$133,$D145-SUM($E145:M145)))</f>
        <v>0</v>
      </c>
      <c r="O145" s="95">
        <f>IF(O$11&lt;$C145,0,MIN($D145/$D$133,$D145-SUM($E145:N145)))</f>
        <v>0</v>
      </c>
      <c r="P145" s="95">
        <f>IF(P$11&lt;$C145,0,MIN($D145/$D$133,$D145-SUM($E145:O145)))</f>
        <v>324330</v>
      </c>
      <c r="Q145" s="95">
        <f>IF(Q$11&lt;$C145,0,MIN($D145/$D$133,$D145-SUM($E145:P145)))</f>
        <v>324330</v>
      </c>
      <c r="R145" s="95">
        <f>IF(R$11&lt;$C145,0,MIN($D145/$D$133,$D145-SUM($E145:Q145)))</f>
        <v>324330</v>
      </c>
      <c r="S145" s="95">
        <f>IF(S$11&lt;$C145,0,MIN($D145/$D$133,$D145-SUM($E145:R145)))</f>
        <v>324330</v>
      </c>
      <c r="T145" s="95">
        <f>IF(T$11&lt;$C145,0,MIN($D145/$D$133,$D145-SUM($E145:S145)))</f>
        <v>324330</v>
      </c>
      <c r="U145" s="95">
        <f>IF(U$11&lt;$C145,0,MIN($D145/$D$133,$D145-SUM($E145:T145)))</f>
        <v>324330</v>
      </c>
      <c r="V145" s="95">
        <f>IF(V$11&lt;$C145,0,MIN($D145/$D$133,$D145-SUM($E145:U145)))</f>
        <v>324330</v>
      </c>
      <c r="W145" s="95">
        <f>IF(W$11&lt;$C145,0,MIN($D145/$D$133,$D145-SUM($E145:V145)))</f>
        <v>324330</v>
      </c>
      <c r="X145" s="95">
        <f>IF(X$11&lt;$C145,0,MIN($D145/$D$133,$D145-SUM($E145:W145)))</f>
        <v>324330</v>
      </c>
      <c r="Y145" s="95">
        <f>IF(Y$11&lt;$C145,0,MIN($D145/$D$133,$D145-SUM($E145:X145)))</f>
        <v>324330</v>
      </c>
      <c r="Z145" s="95">
        <f>IF(Z$11&lt;$C145,0,MIN($D145/$D$133,$D145-SUM($E145:Y145)))</f>
        <v>0</v>
      </c>
      <c r="AA145" s="95">
        <f>IF(AA$11&lt;$C145,0,MIN($D145/$D$133,$D145-SUM($E145:Z145)))</f>
        <v>0</v>
      </c>
      <c r="AB145" s="95">
        <f>IF(AB$11&lt;$C145,0,MIN($D145/$D$133,$D145-SUM($E145:AA145)))</f>
        <v>0</v>
      </c>
      <c r="AC145" s="95">
        <f>IF(AC$11&lt;$C145,0,MIN($D145/$D$133,$D145-SUM($E145:AB145)))</f>
        <v>0</v>
      </c>
      <c r="AD145" s="95">
        <f>IF(AD$11&lt;$C145,0,MIN($D145/$D$133,$D145-SUM($E145:AC145)))</f>
        <v>0</v>
      </c>
    </row>
    <row r="146" spans="1:30">
      <c r="A146" s="95"/>
      <c r="B146" s="118">
        <f t="shared" si="49"/>
        <v>2</v>
      </c>
      <c r="C146">
        <f t="shared" si="50"/>
        <v>2033</v>
      </c>
      <c r="D146" s="95" cm="1">
        <f t="array" ref="D146">INDEX($F$14:$AD$16,$B146,MATCH($C146,$F$11:$AD$11,0))*$G$134</f>
        <v>551475</v>
      </c>
      <c r="E146" s="95"/>
      <c r="F146" s="95">
        <f>IF(F$11&lt;$C146,0,MIN($D146/$D$133,$D146-SUM($E146:E146)))</f>
        <v>0</v>
      </c>
      <c r="G146" s="95">
        <f>IF(G$11&lt;$C146,0,MIN($D146/$D$133,$D146-SUM($E146:F146)))</f>
        <v>0</v>
      </c>
      <c r="H146" s="95">
        <f>IF(H$11&lt;$C146,0,MIN($D146/$D$133,$D146-SUM($E146:G146)))</f>
        <v>0</v>
      </c>
      <c r="I146" s="95">
        <f>IF(I$11&lt;$C146,0,MIN($D146/$D$133,$D146-SUM($E146:H146)))</f>
        <v>0</v>
      </c>
      <c r="J146" s="95">
        <f>IF(J$11&lt;$C146,0,MIN($D146/$D$133,$D146-SUM($E146:I146)))</f>
        <v>0</v>
      </c>
      <c r="K146" s="95">
        <f>IF(K$11&lt;$C146,0,MIN($D146/$D$133,$D146-SUM($E146:J146)))</f>
        <v>0</v>
      </c>
      <c r="L146" s="95">
        <f>IF(L$11&lt;$C146,0,MIN($D146/$D$133,$D146-SUM($E146:K146)))</f>
        <v>0</v>
      </c>
      <c r="M146" s="95">
        <f>IF(M$11&lt;$C146,0,MIN($D146/$D$133,$D146-SUM($E146:L146)))</f>
        <v>0</v>
      </c>
      <c r="N146" s="95">
        <f>IF(N$11&lt;$C146,0,MIN($D146/$D$133,$D146-SUM($E146:M146)))</f>
        <v>0</v>
      </c>
      <c r="O146" s="95">
        <f>IF(O$11&lt;$C146,0,MIN($D146/$D$133,$D146-SUM($E146:N146)))</f>
        <v>0</v>
      </c>
      <c r="P146" s="95">
        <f>IF(P$11&lt;$C146,0,MIN($D146/$D$133,$D146-SUM($E146:O146)))</f>
        <v>0</v>
      </c>
      <c r="Q146" s="95">
        <f>IF(Q$11&lt;$C146,0,MIN($D146/$D$133,$D146-SUM($E146:P146)))</f>
        <v>55147.5</v>
      </c>
      <c r="R146" s="95">
        <f>IF(R$11&lt;$C146,0,MIN($D146/$D$133,$D146-SUM($E146:Q146)))</f>
        <v>55147.5</v>
      </c>
      <c r="S146" s="95">
        <f>IF(S$11&lt;$C146,0,MIN($D146/$D$133,$D146-SUM($E146:R146)))</f>
        <v>55147.5</v>
      </c>
      <c r="T146" s="95">
        <f>IF(T$11&lt;$C146,0,MIN($D146/$D$133,$D146-SUM($E146:S146)))</f>
        <v>55147.5</v>
      </c>
      <c r="U146" s="95">
        <f>IF(U$11&lt;$C146,0,MIN($D146/$D$133,$D146-SUM($E146:T146)))</f>
        <v>55147.5</v>
      </c>
      <c r="V146" s="95">
        <f>IF(V$11&lt;$C146,0,MIN($D146/$D$133,$D146-SUM($E146:U146)))</f>
        <v>55147.5</v>
      </c>
      <c r="W146" s="95">
        <f>IF(W$11&lt;$C146,0,MIN($D146/$D$133,$D146-SUM($E146:V146)))</f>
        <v>55147.5</v>
      </c>
      <c r="X146" s="95">
        <f>IF(X$11&lt;$C146,0,MIN($D146/$D$133,$D146-SUM($E146:W146)))</f>
        <v>55147.5</v>
      </c>
      <c r="Y146" s="95">
        <f>IF(Y$11&lt;$C146,0,MIN($D146/$D$133,$D146-SUM($E146:X146)))</f>
        <v>55147.5</v>
      </c>
      <c r="Z146" s="95">
        <f>IF(Z$11&lt;$C146,0,MIN($D146/$D$133,$D146-SUM($E146:Y146)))</f>
        <v>55147.5</v>
      </c>
      <c r="AA146" s="95">
        <f>IF(AA$11&lt;$C146,0,MIN($D146/$D$133,$D146-SUM($E146:Z146)))</f>
        <v>0</v>
      </c>
      <c r="AB146" s="95">
        <f>IF(AB$11&lt;$C146,0,MIN($D146/$D$133,$D146-SUM($E146:AA146)))</f>
        <v>0</v>
      </c>
      <c r="AC146" s="95">
        <f>IF(AC$11&lt;$C146,0,MIN($D146/$D$133,$D146-SUM($E146:AB146)))</f>
        <v>0</v>
      </c>
      <c r="AD146" s="95">
        <f>IF(AD$11&lt;$C146,0,MIN($D146/$D$133,$D146-SUM($E146:AC146)))</f>
        <v>0</v>
      </c>
    </row>
    <row r="147" spans="1:30">
      <c r="A147" s="95"/>
      <c r="B147" s="118">
        <f t="shared" si="49"/>
        <v>2</v>
      </c>
      <c r="C147">
        <f t="shared" si="50"/>
        <v>2034</v>
      </c>
      <c r="D147" s="95" cm="1">
        <f t="array" ref="D147">INDEX($F$14:$AD$16,$B147,MATCH($C147,$F$11:$AD$11,0))*$G$134</f>
        <v>1338075</v>
      </c>
      <c r="E147" s="95"/>
      <c r="F147" s="95">
        <f>IF(F$11&lt;$C147,0,MIN($D147/$D$133,$D147-SUM($E147:E147)))</f>
        <v>0</v>
      </c>
      <c r="G147" s="95">
        <f>IF(G$11&lt;$C147,0,MIN($D147/$D$133,$D147-SUM($E147:F147)))</f>
        <v>0</v>
      </c>
      <c r="H147" s="95">
        <f>IF(H$11&lt;$C147,0,MIN($D147/$D$133,$D147-SUM($E147:G147)))</f>
        <v>0</v>
      </c>
      <c r="I147" s="95">
        <f>IF(I$11&lt;$C147,0,MIN($D147/$D$133,$D147-SUM($E147:H147)))</f>
        <v>0</v>
      </c>
      <c r="J147" s="95">
        <f>IF(J$11&lt;$C147,0,MIN($D147/$D$133,$D147-SUM($E147:I147)))</f>
        <v>0</v>
      </c>
      <c r="K147" s="95">
        <f>IF(K$11&lt;$C147,0,MIN($D147/$D$133,$D147-SUM($E147:J147)))</f>
        <v>0</v>
      </c>
      <c r="L147" s="95">
        <f>IF(L$11&lt;$C147,0,MIN($D147/$D$133,$D147-SUM($E147:K147)))</f>
        <v>0</v>
      </c>
      <c r="M147" s="95">
        <f>IF(M$11&lt;$C147,0,MIN($D147/$D$133,$D147-SUM($E147:L147)))</f>
        <v>0</v>
      </c>
      <c r="N147" s="95">
        <f>IF(N$11&lt;$C147,0,MIN($D147/$D$133,$D147-SUM($E147:M147)))</f>
        <v>0</v>
      </c>
      <c r="O147" s="95">
        <f>IF(O$11&lt;$C147,0,MIN($D147/$D$133,$D147-SUM($E147:N147)))</f>
        <v>0</v>
      </c>
      <c r="P147" s="95">
        <f>IF(P$11&lt;$C147,0,MIN($D147/$D$133,$D147-SUM($E147:O147)))</f>
        <v>0</v>
      </c>
      <c r="Q147" s="95">
        <f>IF(Q$11&lt;$C147,0,MIN($D147/$D$133,$D147-SUM($E147:P147)))</f>
        <v>0</v>
      </c>
      <c r="R147" s="95">
        <f>IF(R$11&lt;$C147,0,MIN($D147/$D$133,$D147-SUM($E147:Q147)))</f>
        <v>133807.5</v>
      </c>
      <c r="S147" s="95">
        <f>IF(S$11&lt;$C147,0,MIN($D147/$D$133,$D147-SUM($E147:R147)))</f>
        <v>133807.5</v>
      </c>
      <c r="T147" s="95">
        <f>IF(T$11&lt;$C147,0,MIN($D147/$D$133,$D147-SUM($E147:S147)))</f>
        <v>133807.5</v>
      </c>
      <c r="U147" s="95">
        <f>IF(U$11&lt;$C147,0,MIN($D147/$D$133,$D147-SUM($E147:T147)))</f>
        <v>133807.5</v>
      </c>
      <c r="V147" s="95">
        <f>IF(V$11&lt;$C147,0,MIN($D147/$D$133,$D147-SUM($E147:U147)))</f>
        <v>133807.5</v>
      </c>
      <c r="W147" s="95">
        <f>IF(W$11&lt;$C147,0,MIN($D147/$D$133,$D147-SUM($E147:V147)))</f>
        <v>133807.5</v>
      </c>
      <c r="X147" s="95">
        <f>IF(X$11&lt;$C147,0,MIN($D147/$D$133,$D147-SUM($E147:W147)))</f>
        <v>133807.5</v>
      </c>
      <c r="Y147" s="95">
        <f>IF(Y$11&lt;$C147,0,MIN($D147/$D$133,$D147-SUM($E147:X147)))</f>
        <v>133807.5</v>
      </c>
      <c r="Z147" s="95">
        <f>IF(Z$11&lt;$C147,0,MIN($D147/$D$133,$D147-SUM($E147:Y147)))</f>
        <v>133807.5</v>
      </c>
      <c r="AA147" s="95">
        <f>IF(AA$11&lt;$C147,0,MIN($D147/$D$133,$D147-SUM($E147:Z147)))</f>
        <v>133807.5</v>
      </c>
      <c r="AB147" s="95">
        <f>IF(AB$11&lt;$C147,0,MIN($D147/$D$133,$D147-SUM($E147:AA147)))</f>
        <v>0</v>
      </c>
      <c r="AC147" s="95">
        <f>IF(AC$11&lt;$C147,0,MIN($D147/$D$133,$D147-SUM($E147:AB147)))</f>
        <v>0</v>
      </c>
      <c r="AD147" s="95">
        <f>IF(AD$11&lt;$C147,0,MIN($D147/$D$133,$D147-SUM($E147:AC147)))</f>
        <v>0</v>
      </c>
    </row>
    <row r="148" spans="1:30">
      <c r="A148" s="95"/>
      <c r="B148" s="118">
        <f t="shared" si="49"/>
        <v>2</v>
      </c>
      <c r="C148">
        <f t="shared" si="50"/>
        <v>2035</v>
      </c>
      <c r="D148" s="95" cm="1">
        <f t="array" ref="D148">INDEX($F$14:$AD$16,$B148,MATCH($C148,$F$11:$AD$11,0))*$G$134</f>
        <v>1479150</v>
      </c>
      <c r="E148" s="95"/>
      <c r="F148" s="95">
        <f>IF(F$11&lt;$C148,0,MIN($D148/$D$133,$D148-SUM($E148:E148)))</f>
        <v>0</v>
      </c>
      <c r="G148" s="95">
        <f>IF(G$11&lt;$C148,0,MIN($D148/$D$133,$D148-SUM($E148:F148)))</f>
        <v>0</v>
      </c>
      <c r="H148" s="95">
        <f>IF(H$11&lt;$C148,0,MIN($D148/$D$133,$D148-SUM($E148:G148)))</f>
        <v>0</v>
      </c>
      <c r="I148" s="95">
        <f>IF(I$11&lt;$C148,0,MIN($D148/$D$133,$D148-SUM($E148:H148)))</f>
        <v>0</v>
      </c>
      <c r="J148" s="95">
        <f>IF(J$11&lt;$C148,0,MIN($D148/$D$133,$D148-SUM($E148:I148)))</f>
        <v>0</v>
      </c>
      <c r="K148" s="95">
        <f>IF(K$11&lt;$C148,0,MIN($D148/$D$133,$D148-SUM($E148:J148)))</f>
        <v>0</v>
      </c>
      <c r="L148" s="95">
        <f>IF(L$11&lt;$C148,0,MIN($D148/$D$133,$D148-SUM($E148:K148)))</f>
        <v>0</v>
      </c>
      <c r="M148" s="95">
        <f>IF(M$11&lt;$C148,0,MIN($D148/$D$133,$D148-SUM($E148:L148)))</f>
        <v>0</v>
      </c>
      <c r="N148" s="95">
        <f>IF(N$11&lt;$C148,0,MIN($D148/$D$133,$D148-SUM($E148:M148)))</f>
        <v>0</v>
      </c>
      <c r="O148" s="95">
        <f>IF(O$11&lt;$C148,0,MIN($D148/$D$133,$D148-SUM($E148:N148)))</f>
        <v>0</v>
      </c>
      <c r="P148" s="95">
        <f>IF(P$11&lt;$C148,0,MIN($D148/$D$133,$D148-SUM($E148:O148)))</f>
        <v>0</v>
      </c>
      <c r="Q148" s="95">
        <f>IF(Q$11&lt;$C148,0,MIN($D148/$D$133,$D148-SUM($E148:P148)))</f>
        <v>0</v>
      </c>
      <c r="R148" s="95">
        <f>IF(R$11&lt;$C148,0,MIN($D148/$D$133,$D148-SUM($E148:Q148)))</f>
        <v>0</v>
      </c>
      <c r="S148" s="95">
        <f>IF(S$11&lt;$C148,0,MIN($D148/$D$133,$D148-SUM($E148:R148)))</f>
        <v>147915</v>
      </c>
      <c r="T148" s="95">
        <f>IF(T$11&lt;$C148,0,MIN($D148/$D$133,$D148-SUM($E148:S148)))</f>
        <v>147915</v>
      </c>
      <c r="U148" s="95">
        <f>IF(U$11&lt;$C148,0,MIN($D148/$D$133,$D148-SUM($E148:T148)))</f>
        <v>147915</v>
      </c>
      <c r="V148" s="95">
        <f>IF(V$11&lt;$C148,0,MIN($D148/$D$133,$D148-SUM($E148:U148)))</f>
        <v>147915</v>
      </c>
      <c r="W148" s="95">
        <f>IF(W$11&lt;$C148,0,MIN($D148/$D$133,$D148-SUM($E148:V148)))</f>
        <v>147915</v>
      </c>
      <c r="X148" s="95">
        <f>IF(X$11&lt;$C148,0,MIN($D148/$D$133,$D148-SUM($E148:W148)))</f>
        <v>147915</v>
      </c>
      <c r="Y148" s="95">
        <f>IF(Y$11&lt;$C148,0,MIN($D148/$D$133,$D148-SUM($E148:X148)))</f>
        <v>147915</v>
      </c>
      <c r="Z148" s="95">
        <f>IF(Z$11&lt;$C148,0,MIN($D148/$D$133,$D148-SUM($E148:Y148)))</f>
        <v>147915</v>
      </c>
      <c r="AA148" s="95">
        <f>IF(AA$11&lt;$C148,0,MIN($D148/$D$133,$D148-SUM($E148:Z148)))</f>
        <v>147915</v>
      </c>
      <c r="AB148" s="95">
        <f>IF(AB$11&lt;$C148,0,MIN($D148/$D$133,$D148-SUM($E148:AA148)))</f>
        <v>147915</v>
      </c>
      <c r="AC148" s="95">
        <f>IF(AC$11&lt;$C148,0,MIN($D148/$D$133,$D148-SUM($E148:AB148)))</f>
        <v>0</v>
      </c>
      <c r="AD148" s="95">
        <f>IF(AD$11&lt;$C148,0,MIN($D148/$D$133,$D148-SUM($E148:AC148)))</f>
        <v>0</v>
      </c>
    </row>
    <row r="149" spans="1:30">
      <c r="A149" s="95"/>
      <c r="B149" s="118">
        <f t="shared" si="49"/>
        <v>2</v>
      </c>
      <c r="C149">
        <f t="shared" si="50"/>
        <v>2036</v>
      </c>
      <c r="D149" s="95" cm="1">
        <f t="array" ref="D149">INDEX($F$14:$AD$16,$B149,MATCH($C149,$F$11:$AD$11,0))*$G$134</f>
        <v>2463825</v>
      </c>
      <c r="E149" s="95"/>
      <c r="F149" s="95">
        <f>IF(F$11&lt;$C149,0,MIN($D149/$D$133,$D149-SUM($E149:E149)))</f>
        <v>0</v>
      </c>
      <c r="G149" s="95">
        <f>IF(G$11&lt;$C149,0,MIN($D149/$D$133,$D149-SUM($E149:F149)))</f>
        <v>0</v>
      </c>
      <c r="H149" s="95">
        <f>IF(H$11&lt;$C149,0,MIN($D149/$D$133,$D149-SUM($E149:G149)))</f>
        <v>0</v>
      </c>
      <c r="I149" s="95">
        <f>IF(I$11&lt;$C149,0,MIN($D149/$D$133,$D149-SUM($E149:H149)))</f>
        <v>0</v>
      </c>
      <c r="J149" s="95">
        <f>IF(J$11&lt;$C149,0,MIN($D149/$D$133,$D149-SUM($E149:I149)))</f>
        <v>0</v>
      </c>
      <c r="K149" s="95">
        <f>IF(K$11&lt;$C149,0,MIN($D149/$D$133,$D149-SUM($E149:J149)))</f>
        <v>0</v>
      </c>
      <c r="L149" s="95">
        <f>IF(L$11&lt;$C149,0,MIN($D149/$D$133,$D149-SUM($E149:K149)))</f>
        <v>0</v>
      </c>
      <c r="M149" s="95">
        <f>IF(M$11&lt;$C149,0,MIN($D149/$D$133,$D149-SUM($E149:L149)))</f>
        <v>0</v>
      </c>
      <c r="N149" s="95">
        <f>IF(N$11&lt;$C149,0,MIN($D149/$D$133,$D149-SUM($E149:M149)))</f>
        <v>0</v>
      </c>
      <c r="O149" s="95">
        <f>IF(O$11&lt;$C149,0,MIN($D149/$D$133,$D149-SUM($E149:N149)))</f>
        <v>0</v>
      </c>
      <c r="P149" s="95">
        <f>IF(P$11&lt;$C149,0,MIN($D149/$D$133,$D149-SUM($E149:O149)))</f>
        <v>0</v>
      </c>
      <c r="Q149" s="95">
        <f>IF(Q$11&lt;$C149,0,MIN($D149/$D$133,$D149-SUM($E149:P149)))</f>
        <v>0</v>
      </c>
      <c r="R149" s="95">
        <f>IF(R$11&lt;$C149,0,MIN($D149/$D$133,$D149-SUM($E149:Q149)))</f>
        <v>0</v>
      </c>
      <c r="S149" s="95">
        <f>IF(S$11&lt;$C149,0,MIN($D149/$D$133,$D149-SUM($E149:R149)))</f>
        <v>0</v>
      </c>
      <c r="T149" s="95">
        <f>IF(T$11&lt;$C149,0,MIN($D149/$D$133,$D149-SUM($E149:S149)))</f>
        <v>246382.5</v>
      </c>
      <c r="U149" s="95">
        <f>IF(U$11&lt;$C149,0,MIN($D149/$D$133,$D149-SUM($E149:T149)))</f>
        <v>246382.5</v>
      </c>
      <c r="V149" s="95">
        <f>IF(V$11&lt;$C149,0,MIN($D149/$D$133,$D149-SUM($E149:U149)))</f>
        <v>246382.5</v>
      </c>
      <c r="W149" s="95">
        <f>IF(W$11&lt;$C149,0,MIN($D149/$D$133,$D149-SUM($E149:V149)))</f>
        <v>246382.5</v>
      </c>
      <c r="X149" s="95">
        <f>IF(X$11&lt;$C149,0,MIN($D149/$D$133,$D149-SUM($E149:W149)))</f>
        <v>246382.5</v>
      </c>
      <c r="Y149" s="95">
        <f>IF(Y$11&lt;$C149,0,MIN($D149/$D$133,$D149-SUM($E149:X149)))</f>
        <v>246382.5</v>
      </c>
      <c r="Z149" s="95">
        <f>IF(Z$11&lt;$C149,0,MIN($D149/$D$133,$D149-SUM($E149:Y149)))</f>
        <v>246382.5</v>
      </c>
      <c r="AA149" s="95">
        <f>IF(AA$11&lt;$C149,0,MIN($D149/$D$133,$D149-SUM($E149:Z149)))</f>
        <v>246382.5</v>
      </c>
      <c r="AB149" s="95">
        <f>IF(AB$11&lt;$C149,0,MIN($D149/$D$133,$D149-SUM($E149:AA149)))</f>
        <v>246382.5</v>
      </c>
      <c r="AC149" s="95">
        <f>IF(AC$11&lt;$C149,0,MIN($D149/$D$133,$D149-SUM($E149:AB149)))</f>
        <v>246382.5</v>
      </c>
      <c r="AD149" s="95">
        <f>IF(AD$11&lt;$C149,0,MIN($D149/$D$133,$D149-SUM($E149:AC149)))</f>
        <v>0</v>
      </c>
    </row>
    <row r="150" spans="1:30">
      <c r="A150" s="95"/>
      <c r="B150" s="118">
        <f t="shared" si="49"/>
        <v>2</v>
      </c>
      <c r="C150">
        <f t="shared" si="50"/>
        <v>2037</v>
      </c>
      <c r="D150" s="95" cm="1">
        <f t="array" ref="D150">INDEX($F$14:$AD$16,$B150,MATCH($C150,$F$11:$AD$11,0))*$G$134</f>
        <v>324900</v>
      </c>
      <c r="E150" s="95"/>
      <c r="F150" s="95">
        <f>IF(F$11&lt;$C150,0,MIN($D150/$D$133,$D150-SUM($E150:E150)))</f>
        <v>0</v>
      </c>
      <c r="G150" s="95">
        <f>IF(G$11&lt;$C150,0,MIN($D150/$D$133,$D150-SUM($E150:F150)))</f>
        <v>0</v>
      </c>
      <c r="H150" s="95">
        <f>IF(H$11&lt;$C150,0,MIN($D150/$D$133,$D150-SUM($E150:G150)))</f>
        <v>0</v>
      </c>
      <c r="I150" s="95">
        <f>IF(I$11&lt;$C150,0,MIN($D150/$D$133,$D150-SUM($E150:H150)))</f>
        <v>0</v>
      </c>
      <c r="J150" s="95">
        <f>IF(J$11&lt;$C150,0,MIN($D150/$D$133,$D150-SUM($E150:I150)))</f>
        <v>0</v>
      </c>
      <c r="K150" s="95">
        <f>IF(K$11&lt;$C150,0,MIN($D150/$D$133,$D150-SUM($E150:J150)))</f>
        <v>0</v>
      </c>
      <c r="L150" s="95">
        <f>IF(L$11&lt;$C150,0,MIN($D150/$D$133,$D150-SUM($E150:K150)))</f>
        <v>0</v>
      </c>
      <c r="M150" s="95">
        <f>IF(M$11&lt;$C150,0,MIN($D150/$D$133,$D150-SUM($E150:L150)))</f>
        <v>0</v>
      </c>
      <c r="N150" s="95">
        <f>IF(N$11&lt;$C150,0,MIN($D150/$D$133,$D150-SUM($E150:M150)))</f>
        <v>0</v>
      </c>
      <c r="O150" s="95">
        <f>IF(O$11&lt;$C150,0,MIN($D150/$D$133,$D150-SUM($E150:N150)))</f>
        <v>0</v>
      </c>
      <c r="P150" s="95">
        <f>IF(P$11&lt;$C150,0,MIN($D150/$D$133,$D150-SUM($E150:O150)))</f>
        <v>0</v>
      </c>
      <c r="Q150" s="95">
        <f>IF(Q$11&lt;$C150,0,MIN($D150/$D$133,$D150-SUM($E150:P150)))</f>
        <v>0</v>
      </c>
      <c r="R150" s="95">
        <f>IF(R$11&lt;$C150,0,MIN($D150/$D$133,$D150-SUM($E150:Q150)))</f>
        <v>0</v>
      </c>
      <c r="S150" s="95">
        <f>IF(S$11&lt;$C150,0,MIN($D150/$D$133,$D150-SUM($E150:R150)))</f>
        <v>0</v>
      </c>
      <c r="T150" s="95">
        <f>IF(T$11&lt;$C150,0,MIN($D150/$D$133,$D150-SUM($E150:S150)))</f>
        <v>0</v>
      </c>
      <c r="U150" s="95">
        <f>IF(U$11&lt;$C150,0,MIN($D150/$D$133,$D150-SUM($E150:T150)))</f>
        <v>32490</v>
      </c>
      <c r="V150" s="95">
        <f>IF(V$11&lt;$C150,0,MIN($D150/$D$133,$D150-SUM($E150:U150)))</f>
        <v>32490</v>
      </c>
      <c r="W150" s="95">
        <f>IF(W$11&lt;$C150,0,MIN($D150/$D$133,$D150-SUM($E150:V150)))</f>
        <v>32490</v>
      </c>
      <c r="X150" s="95">
        <f>IF(X$11&lt;$C150,0,MIN($D150/$D$133,$D150-SUM($E150:W150)))</f>
        <v>32490</v>
      </c>
      <c r="Y150" s="95">
        <f>IF(Y$11&lt;$C150,0,MIN($D150/$D$133,$D150-SUM($E150:X150)))</f>
        <v>32490</v>
      </c>
      <c r="Z150" s="95">
        <f>IF(Z$11&lt;$C150,0,MIN($D150/$D$133,$D150-SUM($E150:Y150)))</f>
        <v>32490</v>
      </c>
      <c r="AA150" s="95">
        <f>IF(AA$11&lt;$C150,0,MIN($D150/$D$133,$D150-SUM($E150:Z150)))</f>
        <v>32490</v>
      </c>
      <c r="AB150" s="95">
        <f>IF(AB$11&lt;$C150,0,MIN($D150/$D$133,$D150-SUM($E150:AA150)))</f>
        <v>32490</v>
      </c>
      <c r="AC150" s="95">
        <f>IF(AC$11&lt;$C150,0,MIN($D150/$D$133,$D150-SUM($E150:AB150)))</f>
        <v>32490</v>
      </c>
      <c r="AD150" s="95">
        <f>IF(AD$11&lt;$C150,0,MIN($D150/$D$133,$D150-SUM($E150:AC150)))</f>
        <v>32490</v>
      </c>
    </row>
    <row r="151" spans="1:30">
      <c r="A151" s="95"/>
      <c r="B151" s="118">
        <f t="shared" si="49"/>
        <v>2</v>
      </c>
      <c r="C151">
        <f t="shared" si="50"/>
        <v>2038</v>
      </c>
      <c r="D151" s="95" cm="1">
        <f t="array" ref="D151">INDEX($F$14:$AD$16,$B151,MATCH($C151,$F$11:$AD$11,0))*$G$134</f>
        <v>3166350</v>
      </c>
      <c r="E151" s="95"/>
      <c r="F151" s="95">
        <f>IF(F$11&lt;$C151,0,MIN($D151/$D$133,$D151-SUM($E151:E151)))</f>
        <v>0</v>
      </c>
      <c r="G151" s="95">
        <f>IF(G$11&lt;$C151,0,MIN($D151/$D$133,$D151-SUM($E151:F151)))</f>
        <v>0</v>
      </c>
      <c r="H151" s="95">
        <f>IF(H$11&lt;$C151,0,MIN($D151/$D$133,$D151-SUM($E151:G151)))</f>
        <v>0</v>
      </c>
      <c r="I151" s="95">
        <f>IF(I$11&lt;$C151,0,MIN($D151/$D$133,$D151-SUM($E151:H151)))</f>
        <v>0</v>
      </c>
      <c r="J151" s="95">
        <f>IF(J$11&lt;$C151,0,MIN($D151/$D$133,$D151-SUM($E151:I151)))</f>
        <v>0</v>
      </c>
      <c r="K151" s="95">
        <f>IF(K$11&lt;$C151,0,MIN($D151/$D$133,$D151-SUM($E151:J151)))</f>
        <v>0</v>
      </c>
      <c r="L151" s="95">
        <f>IF(L$11&lt;$C151,0,MIN($D151/$D$133,$D151-SUM($E151:K151)))</f>
        <v>0</v>
      </c>
      <c r="M151" s="95">
        <f>IF(M$11&lt;$C151,0,MIN($D151/$D$133,$D151-SUM($E151:L151)))</f>
        <v>0</v>
      </c>
      <c r="N151" s="95">
        <f>IF(N$11&lt;$C151,0,MIN($D151/$D$133,$D151-SUM($E151:M151)))</f>
        <v>0</v>
      </c>
      <c r="O151" s="95">
        <f>IF(O$11&lt;$C151,0,MIN($D151/$D$133,$D151-SUM($E151:N151)))</f>
        <v>0</v>
      </c>
      <c r="P151" s="95">
        <f>IF(P$11&lt;$C151,0,MIN($D151/$D$133,$D151-SUM($E151:O151)))</f>
        <v>0</v>
      </c>
      <c r="Q151" s="95">
        <f>IF(Q$11&lt;$C151,0,MIN($D151/$D$133,$D151-SUM($E151:P151)))</f>
        <v>0</v>
      </c>
      <c r="R151" s="95">
        <f>IF(R$11&lt;$C151,0,MIN($D151/$D$133,$D151-SUM($E151:Q151)))</f>
        <v>0</v>
      </c>
      <c r="S151" s="95">
        <f>IF(S$11&lt;$C151,0,MIN($D151/$D$133,$D151-SUM($E151:R151)))</f>
        <v>0</v>
      </c>
      <c r="T151" s="95">
        <f>IF(T$11&lt;$C151,0,MIN($D151/$D$133,$D151-SUM($E151:S151)))</f>
        <v>0</v>
      </c>
      <c r="U151" s="95">
        <f>IF(U$11&lt;$C151,0,MIN($D151/$D$133,$D151-SUM($E151:T151)))</f>
        <v>0</v>
      </c>
      <c r="V151" s="95">
        <f>IF(V$11&lt;$C151,0,MIN($D151/$D$133,$D151-SUM($E151:U151)))</f>
        <v>316635</v>
      </c>
      <c r="W151" s="95">
        <f>IF(W$11&lt;$C151,0,MIN($D151/$D$133,$D151-SUM($E151:V151)))</f>
        <v>316635</v>
      </c>
      <c r="X151" s="95">
        <f>IF(X$11&lt;$C151,0,MIN($D151/$D$133,$D151-SUM($E151:W151)))</f>
        <v>316635</v>
      </c>
      <c r="Y151" s="95">
        <f>IF(Y$11&lt;$C151,0,MIN($D151/$D$133,$D151-SUM($E151:X151)))</f>
        <v>316635</v>
      </c>
      <c r="Z151" s="95">
        <f>IF(Z$11&lt;$C151,0,MIN($D151/$D$133,$D151-SUM($E151:Y151)))</f>
        <v>316635</v>
      </c>
      <c r="AA151" s="95">
        <f>IF(AA$11&lt;$C151,0,MIN($D151/$D$133,$D151-SUM($E151:Z151)))</f>
        <v>316635</v>
      </c>
      <c r="AB151" s="95">
        <f>IF(AB$11&lt;$C151,0,MIN($D151/$D$133,$D151-SUM($E151:AA151)))</f>
        <v>316635</v>
      </c>
      <c r="AC151" s="95">
        <f>IF(AC$11&lt;$C151,0,MIN($D151/$D$133,$D151-SUM($E151:AB151)))</f>
        <v>316635</v>
      </c>
      <c r="AD151" s="95">
        <f>IF(AD$11&lt;$C151,0,MIN($D151/$D$133,$D151-SUM($E151:AC151)))</f>
        <v>316635</v>
      </c>
    </row>
    <row r="152" spans="1:30">
      <c r="A152" s="95"/>
      <c r="B152" s="118">
        <f t="shared" si="49"/>
        <v>2</v>
      </c>
      <c r="C152">
        <f t="shared" si="50"/>
        <v>2039</v>
      </c>
      <c r="D152" s="95" cm="1">
        <f t="array" ref="D152">INDEX($F$14:$AD$16,$B152,MATCH($C152,$F$11:$AD$11,0))*$G$134</f>
        <v>579975</v>
      </c>
      <c r="E152" s="95"/>
      <c r="F152" s="95">
        <f>IF(F$11&lt;$C152,0,MIN($D152/$D$133,$D152-SUM($E152:E152)))</f>
        <v>0</v>
      </c>
      <c r="G152" s="95">
        <f>IF(G$11&lt;$C152,0,MIN($D152/$D$133,$D152-SUM($E152:F152)))</f>
        <v>0</v>
      </c>
      <c r="H152" s="95">
        <f>IF(H$11&lt;$C152,0,MIN($D152/$D$133,$D152-SUM($E152:G152)))</f>
        <v>0</v>
      </c>
      <c r="I152" s="95">
        <f>IF(I$11&lt;$C152,0,MIN($D152/$D$133,$D152-SUM($E152:H152)))</f>
        <v>0</v>
      </c>
      <c r="J152" s="95">
        <f>IF(J$11&lt;$C152,0,MIN($D152/$D$133,$D152-SUM($E152:I152)))</f>
        <v>0</v>
      </c>
      <c r="K152" s="95">
        <f>IF(K$11&lt;$C152,0,MIN($D152/$D$133,$D152-SUM($E152:J152)))</f>
        <v>0</v>
      </c>
      <c r="L152" s="95">
        <f>IF(L$11&lt;$C152,0,MIN($D152/$D$133,$D152-SUM($E152:K152)))</f>
        <v>0</v>
      </c>
      <c r="M152" s="95">
        <f>IF(M$11&lt;$C152,0,MIN($D152/$D$133,$D152-SUM($E152:L152)))</f>
        <v>0</v>
      </c>
      <c r="N152" s="95">
        <f>IF(N$11&lt;$C152,0,MIN($D152/$D$133,$D152-SUM($E152:M152)))</f>
        <v>0</v>
      </c>
      <c r="O152" s="95">
        <f>IF(O$11&lt;$C152,0,MIN($D152/$D$133,$D152-SUM($E152:N152)))</f>
        <v>0</v>
      </c>
      <c r="P152" s="95">
        <f>IF(P$11&lt;$C152,0,MIN($D152/$D$133,$D152-SUM($E152:O152)))</f>
        <v>0</v>
      </c>
      <c r="Q152" s="95">
        <f>IF(Q$11&lt;$C152,0,MIN($D152/$D$133,$D152-SUM($E152:P152)))</f>
        <v>0</v>
      </c>
      <c r="R152" s="95">
        <f>IF(R$11&lt;$C152,0,MIN($D152/$D$133,$D152-SUM($E152:Q152)))</f>
        <v>0</v>
      </c>
      <c r="S152" s="95">
        <f>IF(S$11&lt;$C152,0,MIN($D152/$D$133,$D152-SUM($E152:R152)))</f>
        <v>0</v>
      </c>
      <c r="T152" s="95">
        <f>IF(T$11&lt;$C152,0,MIN($D152/$D$133,$D152-SUM($E152:S152)))</f>
        <v>0</v>
      </c>
      <c r="U152" s="95">
        <f>IF(U$11&lt;$C152,0,MIN($D152/$D$133,$D152-SUM($E152:T152)))</f>
        <v>0</v>
      </c>
      <c r="V152" s="95">
        <f>IF(V$11&lt;$C152,0,MIN($D152/$D$133,$D152-SUM($E152:U152)))</f>
        <v>0</v>
      </c>
      <c r="W152" s="95">
        <f>IF(W$11&lt;$C152,0,MIN($D152/$D$133,$D152-SUM($E152:V152)))</f>
        <v>57997.5</v>
      </c>
      <c r="X152" s="95">
        <f>IF(X$11&lt;$C152,0,MIN($D152/$D$133,$D152-SUM($E152:W152)))</f>
        <v>57997.5</v>
      </c>
      <c r="Y152" s="95">
        <f>IF(Y$11&lt;$C152,0,MIN($D152/$D$133,$D152-SUM($E152:X152)))</f>
        <v>57997.5</v>
      </c>
      <c r="Z152" s="95">
        <f>IF(Z$11&lt;$C152,0,MIN($D152/$D$133,$D152-SUM($E152:Y152)))</f>
        <v>57997.5</v>
      </c>
      <c r="AA152" s="95">
        <f>IF(AA$11&lt;$C152,0,MIN($D152/$D$133,$D152-SUM($E152:Z152)))</f>
        <v>57997.5</v>
      </c>
      <c r="AB152" s="95">
        <f>IF(AB$11&lt;$C152,0,MIN($D152/$D$133,$D152-SUM($E152:AA152)))</f>
        <v>57997.5</v>
      </c>
      <c r="AC152" s="95">
        <f>IF(AC$11&lt;$C152,0,MIN($D152/$D$133,$D152-SUM($E152:AB152)))</f>
        <v>57997.5</v>
      </c>
      <c r="AD152" s="95">
        <f>IF(AD$11&lt;$C152,0,MIN($D152/$D$133,$D152-SUM($E152:AC152)))</f>
        <v>57997.5</v>
      </c>
    </row>
    <row r="153" spans="1:30">
      <c r="A153" s="95"/>
      <c r="B153" s="118">
        <f t="shared" si="49"/>
        <v>2</v>
      </c>
      <c r="C153">
        <f t="shared" si="50"/>
        <v>2040</v>
      </c>
      <c r="D153" s="95" cm="1">
        <f t="array" ref="D153">INDEX($F$14:$AD$16,$B153,MATCH($C153,$F$11:$AD$11,0))*$G$134</f>
        <v>846450</v>
      </c>
      <c r="E153" s="95"/>
      <c r="F153" s="95">
        <f>IF(F$11&lt;$C153,0,MIN($D153/$D$133,$D153-SUM($E153:E153)))</f>
        <v>0</v>
      </c>
      <c r="G153" s="95">
        <f>IF(G$11&lt;$C153,0,MIN($D153/$D$133,$D153-SUM($E153:F153)))</f>
        <v>0</v>
      </c>
      <c r="H153" s="95">
        <f>IF(H$11&lt;$C153,0,MIN($D153/$D$133,$D153-SUM($E153:G153)))</f>
        <v>0</v>
      </c>
      <c r="I153" s="95">
        <f>IF(I$11&lt;$C153,0,MIN($D153/$D$133,$D153-SUM($E153:H153)))</f>
        <v>0</v>
      </c>
      <c r="J153" s="95">
        <f>IF(J$11&lt;$C153,0,MIN($D153/$D$133,$D153-SUM($E153:I153)))</f>
        <v>0</v>
      </c>
      <c r="K153" s="95">
        <f>IF(K$11&lt;$C153,0,MIN($D153/$D$133,$D153-SUM($E153:J153)))</f>
        <v>0</v>
      </c>
      <c r="L153" s="95">
        <f>IF(L$11&lt;$C153,0,MIN($D153/$D$133,$D153-SUM($E153:K153)))</f>
        <v>0</v>
      </c>
      <c r="M153" s="95">
        <f>IF(M$11&lt;$C153,0,MIN($D153/$D$133,$D153-SUM($E153:L153)))</f>
        <v>0</v>
      </c>
      <c r="N153" s="95">
        <f>IF(N$11&lt;$C153,0,MIN($D153/$D$133,$D153-SUM($E153:M153)))</f>
        <v>0</v>
      </c>
      <c r="O153" s="95">
        <f>IF(O$11&lt;$C153,0,MIN($D153/$D$133,$D153-SUM($E153:N153)))</f>
        <v>0</v>
      </c>
      <c r="P153" s="95">
        <f>IF(P$11&lt;$C153,0,MIN($D153/$D$133,$D153-SUM($E153:O153)))</f>
        <v>0</v>
      </c>
      <c r="Q153" s="95">
        <f>IF(Q$11&lt;$C153,0,MIN($D153/$D$133,$D153-SUM($E153:P153)))</f>
        <v>0</v>
      </c>
      <c r="R153" s="95">
        <f>IF(R$11&lt;$C153,0,MIN($D153/$D$133,$D153-SUM($E153:Q153)))</f>
        <v>0</v>
      </c>
      <c r="S153" s="95">
        <f>IF(S$11&lt;$C153,0,MIN($D153/$D$133,$D153-SUM($E153:R153)))</f>
        <v>0</v>
      </c>
      <c r="T153" s="95">
        <f>IF(T$11&lt;$C153,0,MIN($D153/$D$133,$D153-SUM($E153:S153)))</f>
        <v>0</v>
      </c>
      <c r="U153" s="95">
        <f>IF(U$11&lt;$C153,0,MIN($D153/$D$133,$D153-SUM($E153:T153)))</f>
        <v>0</v>
      </c>
      <c r="V153" s="95">
        <f>IF(V$11&lt;$C153,0,MIN($D153/$D$133,$D153-SUM($E153:U153)))</f>
        <v>0</v>
      </c>
      <c r="W153" s="95">
        <f>IF(W$11&lt;$C153,0,MIN($D153/$D$133,$D153-SUM($E153:V153)))</f>
        <v>0</v>
      </c>
      <c r="X153" s="95">
        <f>IF(X$11&lt;$C153,0,MIN($D153/$D$133,$D153-SUM($E153:W153)))</f>
        <v>84645</v>
      </c>
      <c r="Y153" s="95">
        <f>IF(Y$11&lt;$C153,0,MIN($D153/$D$133,$D153-SUM($E153:X153)))</f>
        <v>84645</v>
      </c>
      <c r="Z153" s="95">
        <f>IF(Z$11&lt;$C153,0,MIN($D153/$D$133,$D153-SUM($E153:Y153)))</f>
        <v>84645</v>
      </c>
      <c r="AA153" s="95">
        <f>IF(AA$11&lt;$C153,0,MIN($D153/$D$133,$D153-SUM($E153:Z153)))</f>
        <v>84645</v>
      </c>
      <c r="AB153" s="95">
        <f>IF(AB$11&lt;$C153,0,MIN($D153/$D$133,$D153-SUM($E153:AA153)))</f>
        <v>84645</v>
      </c>
      <c r="AC153" s="95">
        <f>IF(AC$11&lt;$C153,0,MIN($D153/$D$133,$D153-SUM($E153:AB153)))</f>
        <v>84645</v>
      </c>
      <c r="AD153" s="95">
        <f>IF(AD$11&lt;$C153,0,MIN($D153/$D$133,$D153-SUM($E153:AC153)))</f>
        <v>84645</v>
      </c>
    </row>
    <row r="154" spans="1:30">
      <c r="A154" s="95"/>
      <c r="B154" s="118">
        <f t="shared" si="49"/>
        <v>2</v>
      </c>
      <c r="C154">
        <f t="shared" si="50"/>
        <v>2041</v>
      </c>
      <c r="D154" s="95" cm="1">
        <f t="array" ref="D154">INDEX($F$14:$AD$16,$B154,MATCH($C154,$F$11:$AD$11,0))*$G$134</f>
        <v>2080500</v>
      </c>
      <c r="E154" s="95"/>
      <c r="F154" s="95">
        <f>IF(F$11&lt;$C154,0,MIN($D154/$D$133,$D154-SUM($E154:E154)))</f>
        <v>0</v>
      </c>
      <c r="G154" s="95">
        <f>IF(G$11&lt;$C154,0,MIN($D154/$D$133,$D154-SUM($E154:F154)))</f>
        <v>0</v>
      </c>
      <c r="H154" s="95">
        <f>IF(H$11&lt;$C154,0,MIN($D154/$D$133,$D154-SUM($E154:G154)))</f>
        <v>0</v>
      </c>
      <c r="I154" s="95">
        <f>IF(I$11&lt;$C154,0,MIN($D154/$D$133,$D154-SUM($E154:H154)))</f>
        <v>0</v>
      </c>
      <c r="J154" s="95">
        <f>IF(J$11&lt;$C154,0,MIN($D154/$D$133,$D154-SUM($E154:I154)))</f>
        <v>0</v>
      </c>
      <c r="K154" s="95">
        <f>IF(K$11&lt;$C154,0,MIN($D154/$D$133,$D154-SUM($E154:J154)))</f>
        <v>0</v>
      </c>
      <c r="L154" s="95">
        <f>IF(L$11&lt;$C154,0,MIN($D154/$D$133,$D154-SUM($E154:K154)))</f>
        <v>0</v>
      </c>
      <c r="M154" s="95">
        <f>IF(M$11&lt;$C154,0,MIN($D154/$D$133,$D154-SUM($E154:L154)))</f>
        <v>0</v>
      </c>
      <c r="N154" s="95">
        <f>IF(N$11&lt;$C154,0,MIN($D154/$D$133,$D154-SUM($E154:M154)))</f>
        <v>0</v>
      </c>
      <c r="O154" s="95">
        <f>IF(O$11&lt;$C154,0,MIN($D154/$D$133,$D154-SUM($E154:N154)))</f>
        <v>0</v>
      </c>
      <c r="P154" s="95">
        <f>IF(P$11&lt;$C154,0,MIN($D154/$D$133,$D154-SUM($E154:O154)))</f>
        <v>0</v>
      </c>
      <c r="Q154" s="95">
        <f>IF(Q$11&lt;$C154,0,MIN($D154/$D$133,$D154-SUM($E154:P154)))</f>
        <v>0</v>
      </c>
      <c r="R154" s="95">
        <f>IF(R$11&lt;$C154,0,MIN($D154/$D$133,$D154-SUM($E154:Q154)))</f>
        <v>0</v>
      </c>
      <c r="S154" s="95">
        <f>IF(S$11&lt;$C154,0,MIN($D154/$D$133,$D154-SUM($E154:R154)))</f>
        <v>0</v>
      </c>
      <c r="T154" s="95">
        <f>IF(T$11&lt;$C154,0,MIN($D154/$D$133,$D154-SUM($E154:S154)))</f>
        <v>0</v>
      </c>
      <c r="U154" s="95">
        <f>IF(U$11&lt;$C154,0,MIN($D154/$D$133,$D154-SUM($E154:T154)))</f>
        <v>0</v>
      </c>
      <c r="V154" s="95">
        <f>IF(V$11&lt;$C154,0,MIN($D154/$D$133,$D154-SUM($E154:U154)))</f>
        <v>0</v>
      </c>
      <c r="W154" s="95">
        <f>IF(W$11&lt;$C154,0,MIN($D154/$D$133,$D154-SUM($E154:V154)))</f>
        <v>0</v>
      </c>
      <c r="X154" s="95">
        <f>IF(X$11&lt;$C154,0,MIN($D154/$D$133,$D154-SUM($E154:W154)))</f>
        <v>0</v>
      </c>
      <c r="Y154" s="95">
        <f>IF(Y$11&lt;$C154,0,MIN($D154/$D$133,$D154-SUM($E154:X154)))</f>
        <v>208050</v>
      </c>
      <c r="Z154" s="95">
        <f>IF(Z$11&lt;$C154,0,MIN($D154/$D$133,$D154-SUM($E154:Y154)))</f>
        <v>208050</v>
      </c>
      <c r="AA154" s="95">
        <f>IF(AA$11&lt;$C154,0,MIN($D154/$D$133,$D154-SUM($E154:Z154)))</f>
        <v>208050</v>
      </c>
      <c r="AB154" s="95">
        <f>IF(AB$11&lt;$C154,0,MIN($D154/$D$133,$D154-SUM($E154:AA154)))</f>
        <v>208050</v>
      </c>
      <c r="AC154" s="95">
        <f>IF(AC$11&lt;$C154,0,MIN($D154/$D$133,$D154-SUM($E154:AB154)))</f>
        <v>208050</v>
      </c>
      <c r="AD154" s="95">
        <f>IF(AD$11&lt;$C154,0,MIN($D154/$D$133,$D154-SUM($E154:AC154)))</f>
        <v>208050</v>
      </c>
    </row>
    <row r="155" spans="1:30">
      <c r="A155" s="95"/>
      <c r="B155" s="118">
        <f t="shared" si="49"/>
        <v>2</v>
      </c>
      <c r="C155">
        <f t="shared" si="50"/>
        <v>2042</v>
      </c>
      <c r="D155" s="95" cm="1">
        <f t="array" ref="D155">INDEX($F$14:$AD$16,$B155,MATCH($C155,$F$11:$AD$11,0))*$G$134</f>
        <v>1898100</v>
      </c>
      <c r="E155" s="95"/>
      <c r="F155" s="95">
        <f>IF(F$11&lt;$C155,0,MIN($D155/$D$133,$D155-SUM($E155:E155)))</f>
        <v>0</v>
      </c>
      <c r="G155" s="95">
        <f>IF(G$11&lt;$C155,0,MIN($D155/$D$133,$D155-SUM($E155:F155)))</f>
        <v>0</v>
      </c>
      <c r="H155" s="95">
        <f>IF(H$11&lt;$C155,0,MIN($D155/$D$133,$D155-SUM($E155:G155)))</f>
        <v>0</v>
      </c>
      <c r="I155" s="95">
        <f>IF(I$11&lt;$C155,0,MIN($D155/$D$133,$D155-SUM($E155:H155)))</f>
        <v>0</v>
      </c>
      <c r="J155" s="95">
        <f>IF(J$11&lt;$C155,0,MIN($D155/$D$133,$D155-SUM($E155:I155)))</f>
        <v>0</v>
      </c>
      <c r="K155" s="95">
        <f>IF(K$11&lt;$C155,0,MIN($D155/$D$133,$D155-SUM($E155:J155)))</f>
        <v>0</v>
      </c>
      <c r="L155" s="95">
        <f>IF(L$11&lt;$C155,0,MIN($D155/$D$133,$D155-SUM($E155:K155)))</f>
        <v>0</v>
      </c>
      <c r="M155" s="95">
        <f>IF(M$11&lt;$C155,0,MIN($D155/$D$133,$D155-SUM($E155:L155)))</f>
        <v>0</v>
      </c>
      <c r="N155" s="95">
        <f>IF(N$11&lt;$C155,0,MIN($D155/$D$133,$D155-SUM($E155:M155)))</f>
        <v>0</v>
      </c>
      <c r="O155" s="95">
        <f>IF(O$11&lt;$C155,0,MIN($D155/$D$133,$D155-SUM($E155:N155)))</f>
        <v>0</v>
      </c>
      <c r="P155" s="95">
        <f>IF(P$11&lt;$C155,0,MIN($D155/$D$133,$D155-SUM($E155:O155)))</f>
        <v>0</v>
      </c>
      <c r="Q155" s="95">
        <f>IF(Q$11&lt;$C155,0,MIN($D155/$D$133,$D155-SUM($E155:P155)))</f>
        <v>0</v>
      </c>
      <c r="R155" s="95">
        <f>IF(R$11&lt;$C155,0,MIN($D155/$D$133,$D155-SUM($E155:Q155)))</f>
        <v>0</v>
      </c>
      <c r="S155" s="95">
        <f>IF(S$11&lt;$C155,0,MIN($D155/$D$133,$D155-SUM($E155:R155)))</f>
        <v>0</v>
      </c>
      <c r="T155" s="95">
        <f>IF(T$11&lt;$C155,0,MIN($D155/$D$133,$D155-SUM($E155:S155)))</f>
        <v>0</v>
      </c>
      <c r="U155" s="95">
        <f>IF(U$11&lt;$C155,0,MIN($D155/$D$133,$D155-SUM($E155:T155)))</f>
        <v>0</v>
      </c>
      <c r="V155" s="95">
        <f>IF(V$11&lt;$C155,0,MIN($D155/$D$133,$D155-SUM($E155:U155)))</f>
        <v>0</v>
      </c>
      <c r="W155" s="95">
        <f>IF(W$11&lt;$C155,0,MIN($D155/$D$133,$D155-SUM($E155:V155)))</f>
        <v>0</v>
      </c>
      <c r="X155" s="95">
        <f>IF(X$11&lt;$C155,0,MIN($D155/$D$133,$D155-SUM($E155:W155)))</f>
        <v>0</v>
      </c>
      <c r="Y155" s="95">
        <f>IF(Y$11&lt;$C155,0,MIN($D155/$D$133,$D155-SUM($E155:X155)))</f>
        <v>0</v>
      </c>
      <c r="Z155" s="95">
        <f>IF(Z$11&lt;$C155,0,MIN($D155/$D$133,$D155-SUM($E155:Y155)))</f>
        <v>189810</v>
      </c>
      <c r="AA155" s="95">
        <f>IF(AA$11&lt;$C155,0,MIN($D155/$D$133,$D155-SUM($E155:Z155)))</f>
        <v>189810</v>
      </c>
      <c r="AB155" s="95">
        <f>IF(AB$11&lt;$C155,0,MIN($D155/$D$133,$D155-SUM($E155:AA155)))</f>
        <v>189810</v>
      </c>
      <c r="AC155" s="95">
        <f>IF(AC$11&lt;$C155,0,MIN($D155/$D$133,$D155-SUM($E155:AB155)))</f>
        <v>189810</v>
      </c>
      <c r="AD155" s="95">
        <f>IF(AD$11&lt;$C155,0,MIN($D155/$D$133,$D155-SUM($E155:AC155)))</f>
        <v>189810</v>
      </c>
    </row>
    <row r="156" spans="1:30">
      <c r="A156" s="95"/>
      <c r="B156" s="118">
        <f t="shared" si="49"/>
        <v>2</v>
      </c>
      <c r="C156">
        <f t="shared" si="50"/>
        <v>2043</v>
      </c>
      <c r="D156" s="95" cm="1">
        <f t="array" ref="D156">INDEX($F$14:$AD$16,$B156,MATCH($C156,$F$11:$AD$11,0))*$G$134</f>
        <v>1949400</v>
      </c>
      <c r="E156" s="95"/>
      <c r="F156" s="95">
        <f>IF(F$11&lt;$C156,0,MIN($D156/$D$133,$D156-SUM($E156:E156)))</f>
        <v>0</v>
      </c>
      <c r="G156" s="95">
        <f>IF(G$11&lt;$C156,0,MIN($D156/$D$133,$D156-SUM($E156:F156)))</f>
        <v>0</v>
      </c>
      <c r="H156" s="95">
        <f>IF(H$11&lt;$C156,0,MIN($D156/$D$133,$D156-SUM($E156:G156)))</f>
        <v>0</v>
      </c>
      <c r="I156" s="95">
        <f>IF(I$11&lt;$C156,0,MIN($D156/$D$133,$D156-SUM($E156:H156)))</f>
        <v>0</v>
      </c>
      <c r="J156" s="95">
        <f>IF(J$11&lt;$C156,0,MIN($D156/$D$133,$D156-SUM($E156:I156)))</f>
        <v>0</v>
      </c>
      <c r="K156" s="95">
        <f>IF(K$11&lt;$C156,0,MIN($D156/$D$133,$D156-SUM($E156:J156)))</f>
        <v>0</v>
      </c>
      <c r="L156" s="95">
        <f>IF(L$11&lt;$C156,0,MIN($D156/$D$133,$D156-SUM($E156:K156)))</f>
        <v>0</v>
      </c>
      <c r="M156" s="95">
        <f>IF(M$11&lt;$C156,0,MIN($D156/$D$133,$D156-SUM($E156:L156)))</f>
        <v>0</v>
      </c>
      <c r="N156" s="95">
        <f>IF(N$11&lt;$C156,0,MIN($D156/$D$133,$D156-SUM($E156:M156)))</f>
        <v>0</v>
      </c>
      <c r="O156" s="95">
        <f>IF(O$11&lt;$C156,0,MIN($D156/$D$133,$D156-SUM($E156:N156)))</f>
        <v>0</v>
      </c>
      <c r="P156" s="95">
        <f>IF(P$11&lt;$C156,0,MIN($D156/$D$133,$D156-SUM($E156:O156)))</f>
        <v>0</v>
      </c>
      <c r="Q156" s="95">
        <f>IF(Q$11&lt;$C156,0,MIN($D156/$D$133,$D156-SUM($E156:P156)))</f>
        <v>0</v>
      </c>
      <c r="R156" s="95">
        <f>IF(R$11&lt;$C156,0,MIN($D156/$D$133,$D156-SUM($E156:Q156)))</f>
        <v>0</v>
      </c>
      <c r="S156" s="95">
        <f>IF(S$11&lt;$C156,0,MIN($D156/$D$133,$D156-SUM($E156:R156)))</f>
        <v>0</v>
      </c>
      <c r="T156" s="95">
        <f>IF(T$11&lt;$C156,0,MIN($D156/$D$133,$D156-SUM($E156:S156)))</f>
        <v>0</v>
      </c>
      <c r="U156" s="95">
        <f>IF(U$11&lt;$C156,0,MIN($D156/$D$133,$D156-SUM($E156:T156)))</f>
        <v>0</v>
      </c>
      <c r="V156" s="95">
        <f>IF(V$11&lt;$C156,0,MIN($D156/$D$133,$D156-SUM($E156:U156)))</f>
        <v>0</v>
      </c>
      <c r="W156" s="95">
        <f>IF(W$11&lt;$C156,0,MIN($D156/$D$133,$D156-SUM($E156:V156)))</f>
        <v>0</v>
      </c>
      <c r="X156" s="95">
        <f>IF(X$11&lt;$C156,0,MIN($D156/$D$133,$D156-SUM($E156:W156)))</f>
        <v>0</v>
      </c>
      <c r="Y156" s="95">
        <f>IF(Y$11&lt;$C156,0,MIN($D156/$D$133,$D156-SUM($E156:X156)))</f>
        <v>0</v>
      </c>
      <c r="Z156" s="95">
        <f>IF(Z$11&lt;$C156,0,MIN($D156/$D$133,$D156-SUM($E156:Y156)))</f>
        <v>0</v>
      </c>
      <c r="AA156" s="95">
        <f>IF(AA$11&lt;$C156,0,MIN($D156/$D$133,$D156-SUM($E156:Z156)))</f>
        <v>194940</v>
      </c>
      <c r="AB156" s="95">
        <f>IF(AB$11&lt;$C156,0,MIN($D156/$D$133,$D156-SUM($E156:AA156)))</f>
        <v>194940</v>
      </c>
      <c r="AC156" s="95">
        <f>IF(AC$11&lt;$C156,0,MIN($D156/$D$133,$D156-SUM($E156:AB156)))</f>
        <v>194940</v>
      </c>
      <c r="AD156" s="95">
        <f>IF(AD$11&lt;$C156,0,MIN($D156/$D$133,$D156-SUM($E156:AC156)))</f>
        <v>194940</v>
      </c>
    </row>
    <row r="157" spans="1:30">
      <c r="A157" s="95"/>
      <c r="B157" s="118">
        <f t="shared" si="49"/>
        <v>2</v>
      </c>
      <c r="C157">
        <f t="shared" si="50"/>
        <v>2044</v>
      </c>
      <c r="D157" s="95" cm="1">
        <f t="array" ref="D157">INDEX($F$14:$AD$16,$B157,MATCH($C157,$F$11:$AD$11,0))*$G$134</f>
        <v>2116125</v>
      </c>
      <c r="E157" s="95"/>
      <c r="F157" s="95">
        <f>IF(F$11&lt;$C157,0,MIN($D157/$D$133,$D157-SUM($E157:E157)))</f>
        <v>0</v>
      </c>
      <c r="G157" s="95">
        <f>IF(G$11&lt;$C157,0,MIN($D157/$D$133,$D157-SUM($E157:F157)))</f>
        <v>0</v>
      </c>
      <c r="H157" s="95">
        <f>IF(H$11&lt;$C157,0,MIN($D157/$D$133,$D157-SUM($E157:G157)))</f>
        <v>0</v>
      </c>
      <c r="I157" s="95">
        <f>IF(I$11&lt;$C157,0,MIN($D157/$D$133,$D157-SUM($E157:H157)))</f>
        <v>0</v>
      </c>
      <c r="J157" s="95">
        <f>IF(J$11&lt;$C157,0,MIN($D157/$D$133,$D157-SUM($E157:I157)))</f>
        <v>0</v>
      </c>
      <c r="K157" s="95">
        <f>IF(K$11&lt;$C157,0,MIN($D157/$D$133,$D157-SUM($E157:J157)))</f>
        <v>0</v>
      </c>
      <c r="L157" s="95">
        <f>IF(L$11&lt;$C157,0,MIN($D157/$D$133,$D157-SUM($E157:K157)))</f>
        <v>0</v>
      </c>
      <c r="M157" s="95">
        <f>IF(M$11&lt;$C157,0,MIN($D157/$D$133,$D157-SUM($E157:L157)))</f>
        <v>0</v>
      </c>
      <c r="N157" s="95">
        <f>IF(N$11&lt;$C157,0,MIN($D157/$D$133,$D157-SUM($E157:M157)))</f>
        <v>0</v>
      </c>
      <c r="O157" s="95">
        <f>IF(O$11&lt;$C157,0,MIN($D157/$D$133,$D157-SUM($E157:N157)))</f>
        <v>0</v>
      </c>
      <c r="P157" s="95">
        <f>IF(P$11&lt;$C157,0,MIN($D157/$D$133,$D157-SUM($E157:O157)))</f>
        <v>0</v>
      </c>
      <c r="Q157" s="95">
        <f>IF(Q$11&lt;$C157,0,MIN($D157/$D$133,$D157-SUM($E157:P157)))</f>
        <v>0</v>
      </c>
      <c r="R157" s="95">
        <f>IF(R$11&lt;$C157,0,MIN($D157/$D$133,$D157-SUM($E157:Q157)))</f>
        <v>0</v>
      </c>
      <c r="S157" s="95">
        <f>IF(S$11&lt;$C157,0,MIN($D157/$D$133,$D157-SUM($E157:R157)))</f>
        <v>0</v>
      </c>
      <c r="T157" s="95">
        <f>IF(T$11&lt;$C157,0,MIN($D157/$D$133,$D157-SUM($E157:S157)))</f>
        <v>0</v>
      </c>
      <c r="U157" s="95">
        <f>IF(U$11&lt;$C157,0,MIN($D157/$D$133,$D157-SUM($E157:T157)))</f>
        <v>0</v>
      </c>
      <c r="V157" s="95">
        <f>IF(V$11&lt;$C157,0,MIN($D157/$D$133,$D157-SUM($E157:U157)))</f>
        <v>0</v>
      </c>
      <c r="W157" s="95">
        <f>IF(W$11&lt;$C157,0,MIN($D157/$D$133,$D157-SUM($E157:V157)))</f>
        <v>0</v>
      </c>
      <c r="X157" s="95">
        <f>IF(X$11&lt;$C157,0,MIN($D157/$D$133,$D157-SUM($E157:W157)))</f>
        <v>0</v>
      </c>
      <c r="Y157" s="95">
        <f>IF(Y$11&lt;$C157,0,MIN($D157/$D$133,$D157-SUM($E157:X157)))</f>
        <v>0</v>
      </c>
      <c r="Z157" s="95">
        <f>IF(Z$11&lt;$C157,0,MIN($D157/$D$133,$D157-SUM($E157:Y157)))</f>
        <v>0</v>
      </c>
      <c r="AA157" s="95">
        <f>IF(AA$11&lt;$C157,0,MIN($D157/$D$133,$D157-SUM($E157:Z157)))</f>
        <v>0</v>
      </c>
      <c r="AB157" s="95">
        <f>IF(AB$11&lt;$C157,0,MIN($D157/$D$133,$D157-SUM($E157:AA157)))</f>
        <v>211612.5</v>
      </c>
      <c r="AC157" s="95">
        <f>IF(AC$11&lt;$C157,0,MIN($D157/$D$133,$D157-SUM($E157:AB157)))</f>
        <v>211612.5</v>
      </c>
      <c r="AD157" s="95">
        <f>IF(AD$11&lt;$C157,0,MIN($D157/$D$133,$D157-SUM($E157:AC157)))</f>
        <v>211612.5</v>
      </c>
    </row>
    <row r="158" spans="1:30">
      <c r="A158" s="95"/>
      <c r="B158" s="118">
        <f t="shared" si="49"/>
        <v>2</v>
      </c>
      <c r="C158">
        <f t="shared" si="50"/>
        <v>2045</v>
      </c>
      <c r="D158" s="95" cm="1">
        <f t="array" ref="D158">INDEX($F$14:$AD$16,$B158,MATCH($C158,$F$11:$AD$11,0))*$G$134</f>
        <v>1246875</v>
      </c>
      <c r="E158" s="95"/>
      <c r="F158" s="95">
        <f>IF(F$11&lt;$C158,0,MIN($D158/$D$133,$D158-SUM($E158:E158)))</f>
        <v>0</v>
      </c>
      <c r="G158" s="95">
        <f>IF(G$11&lt;$C158,0,MIN($D158/$D$133,$D158-SUM($E158:F158)))</f>
        <v>0</v>
      </c>
      <c r="H158" s="95">
        <f>IF(H$11&lt;$C158,0,MIN($D158/$D$133,$D158-SUM($E158:G158)))</f>
        <v>0</v>
      </c>
      <c r="I158" s="95">
        <f>IF(I$11&lt;$C158,0,MIN($D158/$D$133,$D158-SUM($E158:H158)))</f>
        <v>0</v>
      </c>
      <c r="J158" s="95">
        <f>IF(J$11&lt;$C158,0,MIN($D158/$D$133,$D158-SUM($E158:I158)))</f>
        <v>0</v>
      </c>
      <c r="K158" s="95">
        <f>IF(K$11&lt;$C158,0,MIN($D158/$D$133,$D158-SUM($E158:J158)))</f>
        <v>0</v>
      </c>
      <c r="L158" s="95">
        <f>IF(L$11&lt;$C158,0,MIN($D158/$D$133,$D158-SUM($E158:K158)))</f>
        <v>0</v>
      </c>
      <c r="M158" s="95">
        <f>IF(M$11&lt;$C158,0,MIN($D158/$D$133,$D158-SUM($E158:L158)))</f>
        <v>0</v>
      </c>
      <c r="N158" s="95">
        <f>IF(N$11&lt;$C158,0,MIN($D158/$D$133,$D158-SUM($E158:M158)))</f>
        <v>0</v>
      </c>
      <c r="O158" s="95">
        <f>IF(O$11&lt;$C158,0,MIN($D158/$D$133,$D158-SUM($E158:N158)))</f>
        <v>0</v>
      </c>
      <c r="P158" s="95">
        <f>IF(P$11&lt;$C158,0,MIN($D158/$D$133,$D158-SUM($E158:O158)))</f>
        <v>0</v>
      </c>
      <c r="Q158" s="95">
        <f>IF(Q$11&lt;$C158,0,MIN($D158/$D$133,$D158-SUM($E158:P158)))</f>
        <v>0</v>
      </c>
      <c r="R158" s="95">
        <f>IF(R$11&lt;$C158,0,MIN($D158/$D$133,$D158-SUM($E158:Q158)))</f>
        <v>0</v>
      </c>
      <c r="S158" s="95">
        <f>IF(S$11&lt;$C158,0,MIN($D158/$D$133,$D158-SUM($E158:R158)))</f>
        <v>0</v>
      </c>
      <c r="T158" s="95">
        <f>IF(T$11&lt;$C158,0,MIN($D158/$D$133,$D158-SUM($E158:S158)))</f>
        <v>0</v>
      </c>
      <c r="U158" s="95">
        <f>IF(U$11&lt;$C158,0,MIN($D158/$D$133,$D158-SUM($E158:T158)))</f>
        <v>0</v>
      </c>
      <c r="V158" s="95">
        <f>IF(V$11&lt;$C158,0,MIN($D158/$D$133,$D158-SUM($E158:U158)))</f>
        <v>0</v>
      </c>
      <c r="W158" s="95">
        <f>IF(W$11&lt;$C158,0,MIN($D158/$D$133,$D158-SUM($E158:V158)))</f>
        <v>0</v>
      </c>
      <c r="X158" s="95">
        <f>IF(X$11&lt;$C158,0,MIN($D158/$D$133,$D158-SUM($E158:W158)))</f>
        <v>0</v>
      </c>
      <c r="Y158" s="95">
        <f>IF(Y$11&lt;$C158,0,MIN($D158/$D$133,$D158-SUM($E158:X158)))</f>
        <v>0</v>
      </c>
      <c r="Z158" s="95">
        <f>IF(Z$11&lt;$C158,0,MIN($D158/$D$133,$D158-SUM($E158:Y158)))</f>
        <v>0</v>
      </c>
      <c r="AA158" s="95">
        <f>IF(AA$11&lt;$C158,0,MIN($D158/$D$133,$D158-SUM($E158:Z158)))</f>
        <v>0</v>
      </c>
      <c r="AB158" s="95">
        <f>IF(AB$11&lt;$C158,0,MIN($D158/$D$133,$D158-SUM($E158:AA158)))</f>
        <v>0</v>
      </c>
      <c r="AC158" s="95">
        <f>IF(AC$11&lt;$C158,0,MIN($D158/$D$133,$D158-SUM($E158:AB158)))</f>
        <v>124687.5</v>
      </c>
      <c r="AD158" s="95">
        <f>IF(AD$11&lt;$C158,0,MIN($D158/$D$133,$D158-SUM($E158:AC158)))</f>
        <v>124687.5</v>
      </c>
    </row>
    <row r="159" spans="1:30">
      <c r="A159" s="95"/>
      <c r="B159" s="118">
        <f t="shared" si="49"/>
        <v>2</v>
      </c>
      <c r="C159">
        <f t="shared" si="50"/>
        <v>2046</v>
      </c>
      <c r="D159" s="95" cm="1">
        <f t="array" ref="D159">INDEX($F$14:$AD$16,$B159,MATCH($C159,$F$11:$AD$11,0))*$G$134</f>
        <v>2337000</v>
      </c>
      <c r="E159" s="95"/>
      <c r="F159" s="95">
        <f>IF(F$11&lt;$C159,0,MIN($D159/$D$133,$D159-SUM($E159:E159)))</f>
        <v>0</v>
      </c>
      <c r="G159" s="95">
        <f>IF(G$11&lt;$C159,0,MIN($D159/$D$133,$D159-SUM($E159:F159)))</f>
        <v>0</v>
      </c>
      <c r="H159" s="95">
        <f>IF(H$11&lt;$C159,0,MIN($D159/$D$133,$D159-SUM($E159:G159)))</f>
        <v>0</v>
      </c>
      <c r="I159" s="95">
        <f>IF(I$11&lt;$C159,0,MIN($D159/$D$133,$D159-SUM($E159:H159)))</f>
        <v>0</v>
      </c>
      <c r="J159" s="95">
        <f>IF(J$11&lt;$C159,0,MIN($D159/$D$133,$D159-SUM($E159:I159)))</f>
        <v>0</v>
      </c>
      <c r="K159" s="95">
        <f>IF(K$11&lt;$C159,0,MIN($D159/$D$133,$D159-SUM($E159:J159)))</f>
        <v>0</v>
      </c>
      <c r="L159" s="95">
        <f>IF(L$11&lt;$C159,0,MIN($D159/$D$133,$D159-SUM($E159:K159)))</f>
        <v>0</v>
      </c>
      <c r="M159" s="95">
        <f>IF(M$11&lt;$C159,0,MIN($D159/$D$133,$D159-SUM($E159:L159)))</f>
        <v>0</v>
      </c>
      <c r="N159" s="95">
        <f>IF(N$11&lt;$C159,0,MIN($D159/$D$133,$D159-SUM($E159:M159)))</f>
        <v>0</v>
      </c>
      <c r="O159" s="95">
        <f>IF(O$11&lt;$C159,0,MIN($D159/$D$133,$D159-SUM($E159:N159)))</f>
        <v>0</v>
      </c>
      <c r="P159" s="95">
        <f>IF(P$11&lt;$C159,0,MIN($D159/$D$133,$D159-SUM($E159:O159)))</f>
        <v>0</v>
      </c>
      <c r="Q159" s="95">
        <f>IF(Q$11&lt;$C159,0,MIN($D159/$D$133,$D159-SUM($E159:P159)))</f>
        <v>0</v>
      </c>
      <c r="R159" s="95">
        <f>IF(R$11&lt;$C159,0,MIN($D159/$D$133,$D159-SUM($E159:Q159)))</f>
        <v>0</v>
      </c>
      <c r="S159" s="95">
        <f>IF(S$11&lt;$C159,0,MIN($D159/$D$133,$D159-SUM($E159:R159)))</f>
        <v>0</v>
      </c>
      <c r="T159" s="95">
        <f>IF(T$11&lt;$C159,0,MIN($D159/$D$133,$D159-SUM($E159:S159)))</f>
        <v>0</v>
      </c>
      <c r="U159" s="95">
        <f>IF(U$11&lt;$C159,0,MIN($D159/$D$133,$D159-SUM($E159:T159)))</f>
        <v>0</v>
      </c>
      <c r="V159" s="95">
        <f>IF(V$11&lt;$C159,0,MIN($D159/$D$133,$D159-SUM($E159:U159)))</f>
        <v>0</v>
      </c>
      <c r="W159" s="95">
        <f>IF(W$11&lt;$C159,0,MIN($D159/$D$133,$D159-SUM($E159:V159)))</f>
        <v>0</v>
      </c>
      <c r="X159" s="95">
        <f>IF(X$11&lt;$C159,0,MIN($D159/$D$133,$D159-SUM($E159:W159)))</f>
        <v>0</v>
      </c>
      <c r="Y159" s="95">
        <f>IF(Y$11&lt;$C159,0,MIN($D159/$D$133,$D159-SUM($E159:X159)))</f>
        <v>0</v>
      </c>
      <c r="Z159" s="95">
        <f>IF(Z$11&lt;$C159,0,MIN($D159/$D$133,$D159-SUM($E159:Y159)))</f>
        <v>0</v>
      </c>
      <c r="AA159" s="95">
        <f>IF(AA$11&lt;$C159,0,MIN($D159/$D$133,$D159-SUM($E159:Z159)))</f>
        <v>0</v>
      </c>
      <c r="AB159" s="95">
        <f>IF(AB$11&lt;$C159,0,MIN($D159/$D$133,$D159-SUM($E159:AA159)))</f>
        <v>0</v>
      </c>
      <c r="AC159" s="95">
        <f>IF(AC$11&lt;$C159,0,MIN($D159/$D$133,$D159-SUM($E159:AB159)))</f>
        <v>0</v>
      </c>
      <c r="AD159" s="95">
        <f>IF(AD$11&lt;$C159,0,MIN($D159/$D$133,$D159-SUM($E159:AC159)))</f>
        <v>233700</v>
      </c>
    </row>
    <row r="160" spans="1:30" ht="14.4">
      <c r="C160" s="108" t="str">
        <f>"Total "&amp;C133</f>
        <v>Total Medium Term</v>
      </c>
      <c r="D160" s="109" t="s">
        <v>68</v>
      </c>
      <c r="E160" s="109"/>
      <c r="F160" s="110">
        <f>SUM(F135:F159)</f>
        <v>273172.5</v>
      </c>
      <c r="G160" s="110">
        <f t="shared" ref="G160:AD160" si="51">SUM(G135:G159)</f>
        <v>352545</v>
      </c>
      <c r="H160" s="110">
        <f t="shared" si="51"/>
        <v>451440</v>
      </c>
      <c r="I160" s="110">
        <f t="shared" si="51"/>
        <v>537510</v>
      </c>
      <c r="J160" s="110">
        <f t="shared" si="51"/>
        <v>623437.5</v>
      </c>
      <c r="K160" s="110">
        <f t="shared" si="51"/>
        <v>878085</v>
      </c>
      <c r="L160" s="110">
        <f t="shared" si="51"/>
        <v>897322.5</v>
      </c>
      <c r="M160" s="110">
        <f t="shared" si="51"/>
        <v>1050367.5</v>
      </c>
      <c r="N160" s="110">
        <f t="shared" si="51"/>
        <v>1237755</v>
      </c>
      <c r="O160" s="110">
        <f t="shared" si="51"/>
        <v>1403625</v>
      </c>
      <c r="P160" s="110">
        <f t="shared" si="51"/>
        <v>1454782.5</v>
      </c>
      <c r="Q160" s="110">
        <f t="shared" si="51"/>
        <v>1430557.5</v>
      </c>
      <c r="R160" s="110">
        <f t="shared" si="51"/>
        <v>1465470</v>
      </c>
      <c r="S160" s="110">
        <f t="shared" si="51"/>
        <v>1527315</v>
      </c>
      <c r="T160" s="110">
        <f t="shared" si="51"/>
        <v>1687770</v>
      </c>
      <c r="U160" s="110">
        <f t="shared" si="51"/>
        <v>1465612.5</v>
      </c>
      <c r="V160" s="110">
        <f t="shared" si="51"/>
        <v>1763010</v>
      </c>
      <c r="W160" s="110">
        <f t="shared" si="51"/>
        <v>1667962.5</v>
      </c>
      <c r="X160" s="110">
        <f t="shared" si="51"/>
        <v>1565220</v>
      </c>
      <c r="Y160" s="110">
        <f t="shared" si="51"/>
        <v>1607400</v>
      </c>
      <c r="Z160" s="110">
        <f t="shared" si="51"/>
        <v>1472880</v>
      </c>
      <c r="AA160" s="110">
        <f t="shared" si="51"/>
        <v>1612672.5</v>
      </c>
      <c r="AB160" s="110">
        <f t="shared" si="51"/>
        <v>1690477.5</v>
      </c>
      <c r="AC160" s="110">
        <f t="shared" si="51"/>
        <v>1667250</v>
      </c>
      <c r="AD160" s="110">
        <f t="shared" si="51"/>
        <v>1654567.5</v>
      </c>
    </row>
    <row r="162" spans="1:30" ht="14.4">
      <c r="B162" s="94">
        <v>3</v>
      </c>
      <c r="C162" s="93" t="str" cm="1">
        <f t="array" ref="C162">INDEX(ListAssetClasses1,B162)</f>
        <v>Long Term</v>
      </c>
      <c r="D162" s="113" cm="1">
        <f t="array" ref="D162">INDEX($D$80:$D$82,B162)</f>
        <v>15</v>
      </c>
    </row>
    <row r="163" spans="1:30" ht="14.4">
      <c r="C163" s="114" t="s">
        <v>76</v>
      </c>
      <c r="D163" s="114" t="s">
        <v>77</v>
      </c>
      <c r="E163" s="115" t="s">
        <v>73</v>
      </c>
      <c r="F163" s="119"/>
      <c r="G163" s="117">
        <f>1-CaseData!$G$11</f>
        <v>0.95</v>
      </c>
    </row>
    <row r="164" spans="1:30">
      <c r="A164" s="95"/>
      <c r="B164" s="118">
        <f>B162</f>
        <v>3</v>
      </c>
      <c r="C164">
        <f>$F$11</f>
        <v>2022</v>
      </c>
      <c r="D164" s="95" cm="1">
        <f t="array" ref="D164">INDEX($F$14:$AD$16,$B164,MATCH($C164,$F$11:$AD$11,0))*$G$163</f>
        <v>3223350</v>
      </c>
      <c r="E164" s="95"/>
      <c r="F164" s="95">
        <f>IF(F$11&lt;$C164,0,MIN($D164/$D$162,$D164-SUM($E164:E164)))</f>
        <v>214890</v>
      </c>
      <c r="G164" s="95">
        <f>IF(G$11&lt;$C164,0,MIN($D164/$D$162,$D164-SUM($E164:F164)))</f>
        <v>214890</v>
      </c>
      <c r="H164" s="95">
        <f>IF(H$11&lt;$C164,0,MIN($D164/$D$162,$D164-SUM($E164:G164)))</f>
        <v>214890</v>
      </c>
      <c r="I164" s="95">
        <f>IF(I$11&lt;$C164,0,MIN($D164/$D$162,$D164-SUM($E164:H164)))</f>
        <v>214890</v>
      </c>
      <c r="J164" s="95">
        <f>IF(J$11&lt;$C164,0,MIN($D164/$D$162,$D164-SUM($E164:I164)))</f>
        <v>214890</v>
      </c>
      <c r="K164" s="95">
        <f>IF(K$11&lt;$C164,0,MIN($D164/$D$162,$D164-SUM($E164:J164)))</f>
        <v>214890</v>
      </c>
      <c r="L164" s="95">
        <f>IF(L$11&lt;$C164,0,MIN($D164/$D$162,$D164-SUM($E164:K164)))</f>
        <v>214890</v>
      </c>
      <c r="M164" s="95">
        <f>IF(M$11&lt;$C164,0,MIN($D164/$D$162,$D164-SUM($E164:L164)))</f>
        <v>214890</v>
      </c>
      <c r="N164" s="95">
        <f>IF(N$11&lt;$C164,0,MIN($D164/$D$162,$D164-SUM($E164:M164)))</f>
        <v>214890</v>
      </c>
      <c r="O164" s="95">
        <f>IF(O$11&lt;$C164,0,MIN($D164/$D$162,$D164-SUM($E164:N164)))</f>
        <v>214890</v>
      </c>
      <c r="P164" s="95">
        <f>IF(P$11&lt;$C164,0,MIN($D164/$D$162,$D164-SUM($E164:O164)))</f>
        <v>214890</v>
      </c>
      <c r="Q164" s="95">
        <f>IF(Q$11&lt;$C164,0,MIN($D164/$D$162,$D164-SUM($E164:P164)))</f>
        <v>214890</v>
      </c>
      <c r="R164" s="95">
        <f>IF(R$11&lt;$C164,0,MIN($D164/$D$162,$D164-SUM($E164:Q164)))</f>
        <v>214890</v>
      </c>
      <c r="S164" s="95">
        <f>IF(S$11&lt;$C164,0,MIN($D164/$D$162,$D164-SUM($E164:R164)))</f>
        <v>214890</v>
      </c>
      <c r="T164" s="95">
        <f>IF(T$11&lt;$C164,0,MIN($D164/$D$162,$D164-SUM($E164:S164)))</f>
        <v>214890</v>
      </c>
      <c r="U164" s="95">
        <f>IF(U$11&lt;$C164,0,MIN($D164/$D$162,$D164-SUM($E164:T164)))</f>
        <v>0</v>
      </c>
      <c r="V164" s="95">
        <f>IF(V$11&lt;$C164,0,MIN($D164/$D$162,$D164-SUM($E164:U164)))</f>
        <v>0</v>
      </c>
      <c r="W164" s="95">
        <f>IF(W$11&lt;$C164,0,MIN($D164/$D$162,$D164-SUM($E164:V164)))</f>
        <v>0</v>
      </c>
      <c r="X164" s="95">
        <f>IF(X$11&lt;$C164,0,MIN($D164/$D$162,$D164-SUM($E164:W164)))</f>
        <v>0</v>
      </c>
      <c r="Y164" s="95">
        <f>IF(Y$11&lt;$C164,0,MIN($D164/$D$162,$D164-SUM($E164:X164)))</f>
        <v>0</v>
      </c>
      <c r="Z164" s="95">
        <f>IF(Z$11&lt;$C164,0,MIN($D164/$D$162,$D164-SUM($E164:Y164)))</f>
        <v>0</v>
      </c>
      <c r="AA164" s="95">
        <f>IF(AA$11&lt;$C164,0,MIN($D164/$D$162,$D164-SUM($E164:Z164)))</f>
        <v>0</v>
      </c>
      <c r="AB164" s="95">
        <f>IF(AB$11&lt;$C164,0,MIN($D164/$D$162,$D164-SUM($E164:AA164)))</f>
        <v>0</v>
      </c>
      <c r="AC164" s="95">
        <f>IF(AC$11&lt;$C164,0,MIN($D164/$D$162,$D164-SUM($E164:AB164)))</f>
        <v>0</v>
      </c>
      <c r="AD164" s="95">
        <f>IF(AD$11&lt;$C164,0,MIN($D164/$D$162,$D164-SUM($E164:AC164)))</f>
        <v>0</v>
      </c>
    </row>
    <row r="165" spans="1:30">
      <c r="A165" s="95"/>
      <c r="B165" s="118">
        <f>B164</f>
        <v>3</v>
      </c>
      <c r="C165">
        <f>C164+1</f>
        <v>2023</v>
      </c>
      <c r="D165" s="95" cm="1">
        <f t="array" ref="D165">INDEX($F$14:$AD$16,$B165,MATCH($C165,$F$11:$AD$11,0))*$G$163</f>
        <v>638400</v>
      </c>
      <c r="E165" s="95"/>
      <c r="F165" s="95">
        <f>IF(F$11&lt;$C165,0,MIN($D165/$D$162,$D165-SUM($E165:E165)))</f>
        <v>0</v>
      </c>
      <c r="G165" s="95">
        <f>IF(G$11&lt;$C165,0,MIN($D165/$D$162,$D165-SUM($E165:F165)))</f>
        <v>42560</v>
      </c>
      <c r="H165" s="95">
        <f>IF(H$11&lt;$C165,0,MIN($D165/$D$162,$D165-SUM($E165:G165)))</f>
        <v>42560</v>
      </c>
      <c r="I165" s="95">
        <f>IF(I$11&lt;$C165,0,MIN($D165/$D$162,$D165-SUM($E165:H165)))</f>
        <v>42560</v>
      </c>
      <c r="J165" s="95">
        <f>IF(J$11&lt;$C165,0,MIN($D165/$D$162,$D165-SUM($E165:I165)))</f>
        <v>42560</v>
      </c>
      <c r="K165" s="95">
        <f>IF(K$11&lt;$C165,0,MIN($D165/$D$162,$D165-SUM($E165:J165)))</f>
        <v>42560</v>
      </c>
      <c r="L165" s="95">
        <f>IF(L$11&lt;$C165,0,MIN($D165/$D$162,$D165-SUM($E165:K165)))</f>
        <v>42560</v>
      </c>
      <c r="M165" s="95">
        <f>IF(M$11&lt;$C165,0,MIN($D165/$D$162,$D165-SUM($E165:L165)))</f>
        <v>42560</v>
      </c>
      <c r="N165" s="95">
        <f>IF(N$11&lt;$C165,0,MIN($D165/$D$162,$D165-SUM($E165:M165)))</f>
        <v>42560</v>
      </c>
      <c r="O165" s="95">
        <f>IF(O$11&lt;$C165,0,MIN($D165/$D$162,$D165-SUM($E165:N165)))</f>
        <v>42560</v>
      </c>
      <c r="P165" s="95">
        <f>IF(P$11&lt;$C165,0,MIN($D165/$D$162,$D165-SUM($E165:O165)))</f>
        <v>42560</v>
      </c>
      <c r="Q165" s="95">
        <f>IF(Q$11&lt;$C165,0,MIN($D165/$D$162,$D165-SUM($E165:P165)))</f>
        <v>42560</v>
      </c>
      <c r="R165" s="95">
        <f>IF(R$11&lt;$C165,0,MIN($D165/$D$162,$D165-SUM($E165:Q165)))</f>
        <v>42560</v>
      </c>
      <c r="S165" s="95">
        <f>IF(S$11&lt;$C165,0,MIN($D165/$D$162,$D165-SUM($E165:R165)))</f>
        <v>42560</v>
      </c>
      <c r="T165" s="95">
        <f>IF(T$11&lt;$C165,0,MIN($D165/$D$162,$D165-SUM($E165:S165)))</f>
        <v>42560</v>
      </c>
      <c r="U165" s="95">
        <f>IF(U$11&lt;$C165,0,MIN($D165/$D$162,$D165-SUM($E165:T165)))</f>
        <v>42560</v>
      </c>
      <c r="V165" s="95">
        <f>IF(V$11&lt;$C165,0,MIN($D165/$D$162,$D165-SUM($E165:U165)))</f>
        <v>0</v>
      </c>
      <c r="W165" s="95">
        <f>IF(W$11&lt;$C165,0,MIN($D165/$D$162,$D165-SUM($E165:V165)))</f>
        <v>0</v>
      </c>
      <c r="X165" s="95">
        <f>IF(X$11&lt;$C165,0,MIN($D165/$D$162,$D165-SUM($E165:W165)))</f>
        <v>0</v>
      </c>
      <c r="Y165" s="95">
        <f>IF(Y$11&lt;$C165,0,MIN($D165/$D$162,$D165-SUM($E165:X165)))</f>
        <v>0</v>
      </c>
      <c r="Z165" s="95">
        <f>IF(Z$11&lt;$C165,0,MIN($D165/$D$162,$D165-SUM($E165:Y165)))</f>
        <v>0</v>
      </c>
      <c r="AA165" s="95">
        <f>IF(AA$11&lt;$C165,0,MIN($D165/$D$162,$D165-SUM($E165:Z165)))</f>
        <v>0</v>
      </c>
      <c r="AB165" s="95">
        <f>IF(AB$11&lt;$C165,0,MIN($D165/$D$162,$D165-SUM($E165:AA165)))</f>
        <v>0</v>
      </c>
      <c r="AC165" s="95">
        <f>IF(AC$11&lt;$C165,0,MIN($D165/$D$162,$D165-SUM($E165:AB165)))</f>
        <v>0</v>
      </c>
      <c r="AD165" s="95">
        <f>IF(AD$11&lt;$C165,0,MIN($D165/$D$162,$D165-SUM($E165:AC165)))</f>
        <v>0</v>
      </c>
    </row>
    <row r="166" spans="1:30">
      <c r="A166" s="95"/>
      <c r="B166" s="118">
        <f t="shared" ref="B166:B188" si="52">B165</f>
        <v>3</v>
      </c>
      <c r="C166">
        <f t="shared" ref="C166:C188" si="53">C165+1</f>
        <v>2024</v>
      </c>
      <c r="D166" s="95" cm="1">
        <f t="array" ref="D166">INDEX($F$14:$AD$16,$B166,MATCH($C166,$F$11:$AD$11,0))*$G$163</f>
        <v>2213025</v>
      </c>
      <c r="E166" s="95"/>
      <c r="F166" s="95">
        <f>IF(F$11&lt;$C166,0,MIN($D166/$D$162,$D166-SUM($E166:E166)))</f>
        <v>0</v>
      </c>
      <c r="G166" s="95">
        <f>IF(G$11&lt;$C166,0,MIN($D166/$D$162,$D166-SUM($E166:F166)))</f>
        <v>0</v>
      </c>
      <c r="H166" s="95">
        <f>IF(H$11&lt;$C166,0,MIN($D166/$D$162,$D166-SUM($E166:G166)))</f>
        <v>147535</v>
      </c>
      <c r="I166" s="95">
        <f>IF(I$11&lt;$C166,0,MIN($D166/$D$162,$D166-SUM($E166:H166)))</f>
        <v>147535</v>
      </c>
      <c r="J166" s="95">
        <f>IF(J$11&lt;$C166,0,MIN($D166/$D$162,$D166-SUM($E166:I166)))</f>
        <v>147535</v>
      </c>
      <c r="K166" s="95">
        <f>IF(K$11&lt;$C166,0,MIN($D166/$D$162,$D166-SUM($E166:J166)))</f>
        <v>147535</v>
      </c>
      <c r="L166" s="95">
        <f>IF(L$11&lt;$C166,0,MIN($D166/$D$162,$D166-SUM($E166:K166)))</f>
        <v>147535</v>
      </c>
      <c r="M166" s="95">
        <f>IF(M$11&lt;$C166,0,MIN($D166/$D$162,$D166-SUM($E166:L166)))</f>
        <v>147535</v>
      </c>
      <c r="N166" s="95">
        <f>IF(N$11&lt;$C166,0,MIN($D166/$D$162,$D166-SUM($E166:M166)))</f>
        <v>147535</v>
      </c>
      <c r="O166" s="95">
        <f>IF(O$11&lt;$C166,0,MIN($D166/$D$162,$D166-SUM($E166:N166)))</f>
        <v>147535</v>
      </c>
      <c r="P166" s="95">
        <f>IF(P$11&lt;$C166,0,MIN($D166/$D$162,$D166-SUM($E166:O166)))</f>
        <v>147535</v>
      </c>
      <c r="Q166" s="95">
        <f>IF(Q$11&lt;$C166,0,MIN($D166/$D$162,$D166-SUM($E166:P166)))</f>
        <v>147535</v>
      </c>
      <c r="R166" s="95">
        <f>IF(R$11&lt;$C166,0,MIN($D166/$D$162,$D166-SUM($E166:Q166)))</f>
        <v>147535</v>
      </c>
      <c r="S166" s="95">
        <f>IF(S$11&lt;$C166,0,MIN($D166/$D$162,$D166-SUM($E166:R166)))</f>
        <v>147535</v>
      </c>
      <c r="T166" s="95">
        <f>IF(T$11&lt;$C166,0,MIN($D166/$D$162,$D166-SUM($E166:S166)))</f>
        <v>147535</v>
      </c>
      <c r="U166" s="95">
        <f>IF(U$11&lt;$C166,0,MIN($D166/$D$162,$D166-SUM($E166:T166)))</f>
        <v>147535</v>
      </c>
      <c r="V166" s="95">
        <f>IF(V$11&lt;$C166,0,MIN($D166/$D$162,$D166-SUM($E166:U166)))</f>
        <v>147535</v>
      </c>
      <c r="W166" s="95">
        <f>IF(W$11&lt;$C166,0,MIN($D166/$D$162,$D166-SUM($E166:V166)))</f>
        <v>0</v>
      </c>
      <c r="X166" s="95">
        <f>IF(X$11&lt;$C166,0,MIN($D166/$D$162,$D166-SUM($E166:W166)))</f>
        <v>0</v>
      </c>
      <c r="Y166" s="95">
        <f>IF(Y$11&lt;$C166,0,MIN($D166/$D$162,$D166-SUM($E166:X166)))</f>
        <v>0</v>
      </c>
      <c r="Z166" s="95">
        <f>IF(Z$11&lt;$C166,0,MIN($D166/$D$162,$D166-SUM($E166:Y166)))</f>
        <v>0</v>
      </c>
      <c r="AA166" s="95">
        <f>IF(AA$11&lt;$C166,0,MIN($D166/$D$162,$D166-SUM($E166:Z166)))</f>
        <v>0</v>
      </c>
      <c r="AB166" s="95">
        <f>IF(AB$11&lt;$C166,0,MIN($D166/$D$162,$D166-SUM($E166:AA166)))</f>
        <v>0</v>
      </c>
      <c r="AC166" s="95">
        <f>IF(AC$11&lt;$C166,0,MIN($D166/$D$162,$D166-SUM($E166:AB166)))</f>
        <v>0</v>
      </c>
      <c r="AD166" s="95">
        <f>IF(AD$11&lt;$C166,0,MIN($D166/$D$162,$D166-SUM($E166:AC166)))</f>
        <v>0</v>
      </c>
    </row>
    <row r="167" spans="1:30">
      <c r="A167" s="95"/>
      <c r="B167" s="118">
        <f t="shared" si="52"/>
        <v>3</v>
      </c>
      <c r="C167">
        <f t="shared" si="53"/>
        <v>2025</v>
      </c>
      <c r="D167" s="95" cm="1">
        <f t="array" ref="D167">INDEX($F$14:$AD$16,$B167,MATCH($C167,$F$11:$AD$11,0))*$G$163</f>
        <v>538650</v>
      </c>
      <c r="E167" s="95"/>
      <c r="F167" s="95">
        <f>IF(F$11&lt;$C167,0,MIN($D167/$D$162,$D167-SUM($E167:E167)))</f>
        <v>0</v>
      </c>
      <c r="G167" s="95">
        <f>IF(G$11&lt;$C167,0,MIN($D167/$D$162,$D167-SUM($E167:F167)))</f>
        <v>0</v>
      </c>
      <c r="H167" s="95">
        <f>IF(H$11&lt;$C167,0,MIN($D167/$D$162,$D167-SUM($E167:G167)))</f>
        <v>0</v>
      </c>
      <c r="I167" s="95">
        <f>IF(I$11&lt;$C167,0,MIN($D167/$D$162,$D167-SUM($E167:H167)))</f>
        <v>35910</v>
      </c>
      <c r="J167" s="95">
        <f>IF(J$11&lt;$C167,0,MIN($D167/$D$162,$D167-SUM($E167:I167)))</f>
        <v>35910</v>
      </c>
      <c r="K167" s="95">
        <f>IF(K$11&lt;$C167,0,MIN($D167/$D$162,$D167-SUM($E167:J167)))</f>
        <v>35910</v>
      </c>
      <c r="L167" s="95">
        <f>IF(L$11&lt;$C167,0,MIN($D167/$D$162,$D167-SUM($E167:K167)))</f>
        <v>35910</v>
      </c>
      <c r="M167" s="95">
        <f>IF(M$11&lt;$C167,0,MIN($D167/$D$162,$D167-SUM($E167:L167)))</f>
        <v>35910</v>
      </c>
      <c r="N167" s="95">
        <f>IF(N$11&lt;$C167,0,MIN($D167/$D$162,$D167-SUM($E167:M167)))</f>
        <v>35910</v>
      </c>
      <c r="O167" s="95">
        <f>IF(O$11&lt;$C167,0,MIN($D167/$D$162,$D167-SUM($E167:N167)))</f>
        <v>35910</v>
      </c>
      <c r="P167" s="95">
        <f>IF(P$11&lt;$C167,0,MIN($D167/$D$162,$D167-SUM($E167:O167)))</f>
        <v>35910</v>
      </c>
      <c r="Q167" s="95">
        <f>IF(Q$11&lt;$C167,0,MIN($D167/$D$162,$D167-SUM($E167:P167)))</f>
        <v>35910</v>
      </c>
      <c r="R167" s="95">
        <f>IF(R$11&lt;$C167,0,MIN($D167/$D$162,$D167-SUM($E167:Q167)))</f>
        <v>35910</v>
      </c>
      <c r="S167" s="95">
        <f>IF(S$11&lt;$C167,0,MIN($D167/$D$162,$D167-SUM($E167:R167)))</f>
        <v>35910</v>
      </c>
      <c r="T167" s="95">
        <f>IF(T$11&lt;$C167,0,MIN($D167/$D$162,$D167-SUM($E167:S167)))</f>
        <v>35910</v>
      </c>
      <c r="U167" s="95">
        <f>IF(U$11&lt;$C167,0,MIN($D167/$D$162,$D167-SUM($E167:T167)))</f>
        <v>35910</v>
      </c>
      <c r="V167" s="95">
        <f>IF(V$11&lt;$C167,0,MIN($D167/$D$162,$D167-SUM($E167:U167)))</f>
        <v>35910</v>
      </c>
      <c r="W167" s="95">
        <f>IF(W$11&lt;$C167,0,MIN($D167/$D$162,$D167-SUM($E167:V167)))</f>
        <v>35910</v>
      </c>
      <c r="X167" s="95">
        <f>IF(X$11&lt;$C167,0,MIN($D167/$D$162,$D167-SUM($E167:W167)))</f>
        <v>0</v>
      </c>
      <c r="Y167" s="95">
        <f>IF(Y$11&lt;$C167,0,MIN($D167/$D$162,$D167-SUM($E167:X167)))</f>
        <v>0</v>
      </c>
      <c r="Z167" s="95">
        <f>IF(Z$11&lt;$C167,0,MIN($D167/$D$162,$D167-SUM($E167:Y167)))</f>
        <v>0</v>
      </c>
      <c r="AA167" s="95">
        <f>IF(AA$11&lt;$C167,0,MIN($D167/$D$162,$D167-SUM($E167:Z167)))</f>
        <v>0</v>
      </c>
      <c r="AB167" s="95">
        <f>IF(AB$11&lt;$C167,0,MIN($D167/$D$162,$D167-SUM($E167:AA167)))</f>
        <v>0</v>
      </c>
      <c r="AC167" s="95">
        <f>IF(AC$11&lt;$C167,0,MIN($D167/$D$162,$D167-SUM($E167:AB167)))</f>
        <v>0</v>
      </c>
      <c r="AD167" s="95">
        <f>IF(AD$11&lt;$C167,0,MIN($D167/$D$162,$D167-SUM($E167:AC167)))</f>
        <v>0</v>
      </c>
    </row>
    <row r="168" spans="1:30">
      <c r="A168" s="95"/>
      <c r="B168" s="118">
        <f t="shared" si="52"/>
        <v>3</v>
      </c>
      <c r="C168">
        <f t="shared" si="53"/>
        <v>2026</v>
      </c>
      <c r="D168" s="95" cm="1">
        <f t="array" ref="D168">INDEX($F$14:$AD$16,$B168,MATCH($C168,$F$11:$AD$11,0))*$G$163</f>
        <v>2288550</v>
      </c>
      <c r="E168" s="95"/>
      <c r="F168" s="95">
        <f>IF(F$11&lt;$C168,0,MIN($D168/$D$162,$D168-SUM($E168:E168)))</f>
        <v>0</v>
      </c>
      <c r="G168" s="95">
        <f>IF(G$11&lt;$C168,0,MIN($D168/$D$162,$D168-SUM($E168:F168)))</f>
        <v>0</v>
      </c>
      <c r="H168" s="95">
        <f>IF(H$11&lt;$C168,0,MIN($D168/$D$162,$D168-SUM($E168:G168)))</f>
        <v>0</v>
      </c>
      <c r="I168" s="95">
        <f>IF(I$11&lt;$C168,0,MIN($D168/$D$162,$D168-SUM($E168:H168)))</f>
        <v>0</v>
      </c>
      <c r="J168" s="95">
        <f>IF(J$11&lt;$C168,0,MIN($D168/$D$162,$D168-SUM($E168:I168)))</f>
        <v>152570</v>
      </c>
      <c r="K168" s="95">
        <f>IF(K$11&lt;$C168,0,MIN($D168/$D$162,$D168-SUM($E168:J168)))</f>
        <v>152570</v>
      </c>
      <c r="L168" s="95">
        <f>IF(L$11&lt;$C168,0,MIN($D168/$D$162,$D168-SUM($E168:K168)))</f>
        <v>152570</v>
      </c>
      <c r="M168" s="95">
        <f>IF(M$11&lt;$C168,0,MIN($D168/$D$162,$D168-SUM($E168:L168)))</f>
        <v>152570</v>
      </c>
      <c r="N168" s="95">
        <f>IF(N$11&lt;$C168,0,MIN($D168/$D$162,$D168-SUM($E168:M168)))</f>
        <v>152570</v>
      </c>
      <c r="O168" s="95">
        <f>IF(O$11&lt;$C168,0,MIN($D168/$D$162,$D168-SUM($E168:N168)))</f>
        <v>152570</v>
      </c>
      <c r="P168" s="95">
        <f>IF(P$11&lt;$C168,0,MIN($D168/$D$162,$D168-SUM($E168:O168)))</f>
        <v>152570</v>
      </c>
      <c r="Q168" s="95">
        <f>IF(Q$11&lt;$C168,0,MIN($D168/$D$162,$D168-SUM($E168:P168)))</f>
        <v>152570</v>
      </c>
      <c r="R168" s="95">
        <f>IF(R$11&lt;$C168,0,MIN($D168/$D$162,$D168-SUM($E168:Q168)))</f>
        <v>152570</v>
      </c>
      <c r="S168" s="95">
        <f>IF(S$11&lt;$C168,0,MIN($D168/$D$162,$D168-SUM($E168:R168)))</f>
        <v>152570</v>
      </c>
      <c r="T168" s="95">
        <f>IF(T$11&lt;$C168,0,MIN($D168/$D$162,$D168-SUM($E168:S168)))</f>
        <v>152570</v>
      </c>
      <c r="U168" s="95">
        <f>IF(U$11&lt;$C168,0,MIN($D168/$D$162,$D168-SUM($E168:T168)))</f>
        <v>152570</v>
      </c>
      <c r="V168" s="95">
        <f>IF(V$11&lt;$C168,0,MIN($D168/$D$162,$D168-SUM($E168:U168)))</f>
        <v>152570</v>
      </c>
      <c r="W168" s="95">
        <f>IF(W$11&lt;$C168,0,MIN($D168/$D$162,$D168-SUM($E168:V168)))</f>
        <v>152570</v>
      </c>
      <c r="X168" s="95">
        <f>IF(X$11&lt;$C168,0,MIN($D168/$D$162,$D168-SUM($E168:W168)))</f>
        <v>152570</v>
      </c>
      <c r="Y168" s="95">
        <f>IF(Y$11&lt;$C168,0,MIN($D168/$D$162,$D168-SUM($E168:X168)))</f>
        <v>0</v>
      </c>
      <c r="Z168" s="95">
        <f>IF(Z$11&lt;$C168,0,MIN($D168/$D$162,$D168-SUM($E168:Y168)))</f>
        <v>0</v>
      </c>
      <c r="AA168" s="95">
        <f>IF(AA$11&lt;$C168,0,MIN($D168/$D$162,$D168-SUM($E168:Z168)))</f>
        <v>0</v>
      </c>
      <c r="AB168" s="95">
        <f>IF(AB$11&lt;$C168,0,MIN($D168/$D$162,$D168-SUM($E168:AA168)))</f>
        <v>0</v>
      </c>
      <c r="AC168" s="95">
        <f>IF(AC$11&lt;$C168,0,MIN($D168/$D$162,$D168-SUM($E168:AB168)))</f>
        <v>0</v>
      </c>
      <c r="AD168" s="95">
        <f>IF(AD$11&lt;$C168,0,MIN($D168/$D$162,$D168-SUM($E168:AC168)))</f>
        <v>0</v>
      </c>
    </row>
    <row r="169" spans="1:30">
      <c r="A169" s="95"/>
      <c r="B169" s="118">
        <f t="shared" si="52"/>
        <v>3</v>
      </c>
      <c r="C169">
        <f t="shared" si="53"/>
        <v>2027</v>
      </c>
      <c r="D169" s="95" cm="1">
        <f t="array" ref="D169">INDEX($F$14:$AD$16,$B169,MATCH($C169,$F$11:$AD$11,0))*$G$163</f>
        <v>2392575</v>
      </c>
      <c r="E169" s="95"/>
      <c r="F169" s="95">
        <f>IF(F$11&lt;$C169,0,MIN($D169/$D$162,$D169-SUM($E169:E169)))</f>
        <v>0</v>
      </c>
      <c r="G169" s="95">
        <f>IF(G$11&lt;$C169,0,MIN($D169/$D$162,$D169-SUM($E169:F169)))</f>
        <v>0</v>
      </c>
      <c r="H169" s="95">
        <f>IF(H$11&lt;$C169,0,MIN($D169/$D$162,$D169-SUM($E169:G169)))</f>
        <v>0</v>
      </c>
      <c r="I169" s="95">
        <f>IF(I$11&lt;$C169,0,MIN($D169/$D$162,$D169-SUM($E169:H169)))</f>
        <v>0</v>
      </c>
      <c r="J169" s="95">
        <f>IF(J$11&lt;$C169,0,MIN($D169/$D$162,$D169-SUM($E169:I169)))</f>
        <v>0</v>
      </c>
      <c r="K169" s="95">
        <f>IF(K$11&lt;$C169,0,MIN($D169/$D$162,$D169-SUM($E169:J169)))</f>
        <v>159505</v>
      </c>
      <c r="L169" s="95">
        <f>IF(L$11&lt;$C169,0,MIN($D169/$D$162,$D169-SUM($E169:K169)))</f>
        <v>159505</v>
      </c>
      <c r="M169" s="95">
        <f>IF(M$11&lt;$C169,0,MIN($D169/$D$162,$D169-SUM($E169:L169)))</f>
        <v>159505</v>
      </c>
      <c r="N169" s="95">
        <f>IF(N$11&lt;$C169,0,MIN($D169/$D$162,$D169-SUM($E169:M169)))</f>
        <v>159505</v>
      </c>
      <c r="O169" s="95">
        <f>IF(O$11&lt;$C169,0,MIN($D169/$D$162,$D169-SUM($E169:N169)))</f>
        <v>159505</v>
      </c>
      <c r="P169" s="95">
        <f>IF(P$11&lt;$C169,0,MIN($D169/$D$162,$D169-SUM($E169:O169)))</f>
        <v>159505</v>
      </c>
      <c r="Q169" s="95">
        <f>IF(Q$11&lt;$C169,0,MIN($D169/$D$162,$D169-SUM($E169:P169)))</f>
        <v>159505</v>
      </c>
      <c r="R169" s="95">
        <f>IF(R$11&lt;$C169,0,MIN($D169/$D$162,$D169-SUM($E169:Q169)))</f>
        <v>159505</v>
      </c>
      <c r="S169" s="95">
        <f>IF(S$11&lt;$C169,0,MIN($D169/$D$162,$D169-SUM($E169:R169)))</f>
        <v>159505</v>
      </c>
      <c r="T169" s="95">
        <f>IF(T$11&lt;$C169,0,MIN($D169/$D$162,$D169-SUM($E169:S169)))</f>
        <v>159505</v>
      </c>
      <c r="U169" s="95">
        <f>IF(U$11&lt;$C169,0,MIN($D169/$D$162,$D169-SUM($E169:T169)))</f>
        <v>159505</v>
      </c>
      <c r="V169" s="95">
        <f>IF(V$11&lt;$C169,0,MIN($D169/$D$162,$D169-SUM($E169:U169)))</f>
        <v>159505</v>
      </c>
      <c r="W169" s="95">
        <f>IF(W$11&lt;$C169,0,MIN($D169/$D$162,$D169-SUM($E169:V169)))</f>
        <v>159505</v>
      </c>
      <c r="X169" s="95">
        <f>IF(X$11&lt;$C169,0,MIN($D169/$D$162,$D169-SUM($E169:W169)))</f>
        <v>159505</v>
      </c>
      <c r="Y169" s="95">
        <f>IF(Y$11&lt;$C169,0,MIN($D169/$D$162,$D169-SUM($E169:X169)))</f>
        <v>159505</v>
      </c>
      <c r="Z169" s="95">
        <f>IF(Z$11&lt;$C169,0,MIN($D169/$D$162,$D169-SUM($E169:Y169)))</f>
        <v>0</v>
      </c>
      <c r="AA169" s="95">
        <f>IF(AA$11&lt;$C169,0,MIN($D169/$D$162,$D169-SUM($E169:Z169)))</f>
        <v>0</v>
      </c>
      <c r="AB169" s="95">
        <f>IF(AB$11&lt;$C169,0,MIN($D169/$D$162,$D169-SUM($E169:AA169)))</f>
        <v>0</v>
      </c>
      <c r="AC169" s="95">
        <f>IF(AC$11&lt;$C169,0,MIN($D169/$D$162,$D169-SUM($E169:AB169)))</f>
        <v>0</v>
      </c>
      <c r="AD169" s="95">
        <f>IF(AD$11&lt;$C169,0,MIN($D169/$D$162,$D169-SUM($E169:AC169)))</f>
        <v>0</v>
      </c>
    </row>
    <row r="170" spans="1:30">
      <c r="A170" s="95"/>
      <c r="B170" s="118">
        <f t="shared" si="52"/>
        <v>3</v>
      </c>
      <c r="C170">
        <f t="shared" si="53"/>
        <v>2028</v>
      </c>
      <c r="D170" s="95" cm="1">
        <f t="array" ref="D170">INDEX($F$14:$AD$16,$B170,MATCH($C170,$F$11:$AD$11,0))*$G$163</f>
        <v>1987875</v>
      </c>
      <c r="E170" s="95"/>
      <c r="F170" s="95">
        <f>IF(F$11&lt;$C170,0,MIN($D170/$D$162,$D170-SUM($E170:E170)))</f>
        <v>0</v>
      </c>
      <c r="G170" s="95">
        <f>IF(G$11&lt;$C170,0,MIN($D170/$D$162,$D170-SUM($E170:F170)))</f>
        <v>0</v>
      </c>
      <c r="H170" s="95">
        <f>IF(H$11&lt;$C170,0,MIN($D170/$D$162,$D170-SUM($E170:G170)))</f>
        <v>0</v>
      </c>
      <c r="I170" s="95">
        <f>IF(I$11&lt;$C170,0,MIN($D170/$D$162,$D170-SUM($E170:H170)))</f>
        <v>0</v>
      </c>
      <c r="J170" s="95">
        <f>IF(J$11&lt;$C170,0,MIN($D170/$D$162,$D170-SUM($E170:I170)))</f>
        <v>0</v>
      </c>
      <c r="K170" s="95">
        <f>IF(K$11&lt;$C170,0,MIN($D170/$D$162,$D170-SUM($E170:J170)))</f>
        <v>0</v>
      </c>
      <c r="L170" s="95">
        <f>IF(L$11&lt;$C170,0,MIN($D170/$D$162,$D170-SUM($E170:K170)))</f>
        <v>132525</v>
      </c>
      <c r="M170" s="95">
        <f>IF(M$11&lt;$C170,0,MIN($D170/$D$162,$D170-SUM($E170:L170)))</f>
        <v>132525</v>
      </c>
      <c r="N170" s="95">
        <f>IF(N$11&lt;$C170,0,MIN($D170/$D$162,$D170-SUM($E170:M170)))</f>
        <v>132525</v>
      </c>
      <c r="O170" s="95">
        <f>IF(O$11&lt;$C170,0,MIN($D170/$D$162,$D170-SUM($E170:N170)))</f>
        <v>132525</v>
      </c>
      <c r="P170" s="95">
        <f>IF(P$11&lt;$C170,0,MIN($D170/$D$162,$D170-SUM($E170:O170)))</f>
        <v>132525</v>
      </c>
      <c r="Q170" s="95">
        <f>IF(Q$11&lt;$C170,0,MIN($D170/$D$162,$D170-SUM($E170:P170)))</f>
        <v>132525</v>
      </c>
      <c r="R170" s="95">
        <f>IF(R$11&lt;$C170,0,MIN($D170/$D$162,$D170-SUM($E170:Q170)))</f>
        <v>132525</v>
      </c>
      <c r="S170" s="95">
        <f>IF(S$11&lt;$C170,0,MIN($D170/$D$162,$D170-SUM($E170:R170)))</f>
        <v>132525</v>
      </c>
      <c r="T170" s="95">
        <f>IF(T$11&lt;$C170,0,MIN($D170/$D$162,$D170-SUM($E170:S170)))</f>
        <v>132525</v>
      </c>
      <c r="U170" s="95">
        <f>IF(U$11&lt;$C170,0,MIN($D170/$D$162,$D170-SUM($E170:T170)))</f>
        <v>132525</v>
      </c>
      <c r="V170" s="95">
        <f>IF(V$11&lt;$C170,0,MIN($D170/$D$162,$D170-SUM($E170:U170)))</f>
        <v>132525</v>
      </c>
      <c r="W170" s="95">
        <f>IF(W$11&lt;$C170,0,MIN($D170/$D$162,$D170-SUM($E170:V170)))</f>
        <v>132525</v>
      </c>
      <c r="X170" s="95">
        <f>IF(X$11&lt;$C170,0,MIN($D170/$D$162,$D170-SUM($E170:W170)))</f>
        <v>132525</v>
      </c>
      <c r="Y170" s="95">
        <f>IF(Y$11&lt;$C170,0,MIN($D170/$D$162,$D170-SUM($E170:X170)))</f>
        <v>132525</v>
      </c>
      <c r="Z170" s="95">
        <f>IF(Z$11&lt;$C170,0,MIN($D170/$D$162,$D170-SUM($E170:Y170)))</f>
        <v>132525</v>
      </c>
      <c r="AA170" s="95">
        <f>IF(AA$11&lt;$C170,0,MIN($D170/$D$162,$D170-SUM($E170:Z170)))</f>
        <v>0</v>
      </c>
      <c r="AB170" s="95">
        <f>IF(AB$11&lt;$C170,0,MIN($D170/$D$162,$D170-SUM($E170:AA170)))</f>
        <v>0</v>
      </c>
      <c r="AC170" s="95">
        <f>IF(AC$11&lt;$C170,0,MIN($D170/$D$162,$D170-SUM($E170:AB170)))</f>
        <v>0</v>
      </c>
      <c r="AD170" s="95">
        <f>IF(AD$11&lt;$C170,0,MIN($D170/$D$162,$D170-SUM($E170:AC170)))</f>
        <v>0</v>
      </c>
    </row>
    <row r="171" spans="1:30">
      <c r="A171" s="95"/>
      <c r="B171" s="118">
        <f t="shared" si="52"/>
        <v>3</v>
      </c>
      <c r="C171">
        <f t="shared" si="53"/>
        <v>2029</v>
      </c>
      <c r="D171" s="95" cm="1">
        <f t="array" ref="D171">INDEX($F$14:$AD$16,$B171,MATCH($C171,$F$11:$AD$11,0))*$G$163</f>
        <v>121125</v>
      </c>
      <c r="E171" s="95"/>
      <c r="F171" s="95">
        <f>IF(F$11&lt;$C171,0,MIN($D171/$D$162,$D171-SUM($E171:E171)))</f>
        <v>0</v>
      </c>
      <c r="G171" s="95">
        <f>IF(G$11&lt;$C171,0,MIN($D171/$D$162,$D171-SUM($E171:F171)))</f>
        <v>0</v>
      </c>
      <c r="H171" s="95">
        <f>IF(H$11&lt;$C171,0,MIN($D171/$D$162,$D171-SUM($E171:G171)))</f>
        <v>0</v>
      </c>
      <c r="I171" s="95">
        <f>IF(I$11&lt;$C171,0,MIN($D171/$D$162,$D171-SUM($E171:H171)))</f>
        <v>0</v>
      </c>
      <c r="J171" s="95">
        <f>IF(J$11&lt;$C171,0,MIN($D171/$D$162,$D171-SUM($E171:I171)))</f>
        <v>0</v>
      </c>
      <c r="K171" s="95">
        <f>IF(K$11&lt;$C171,0,MIN($D171/$D$162,$D171-SUM($E171:J171)))</f>
        <v>0</v>
      </c>
      <c r="L171" s="95">
        <f>IF(L$11&lt;$C171,0,MIN($D171/$D$162,$D171-SUM($E171:K171)))</f>
        <v>0</v>
      </c>
      <c r="M171" s="95">
        <f>IF(M$11&lt;$C171,0,MIN($D171/$D$162,$D171-SUM($E171:L171)))</f>
        <v>8075</v>
      </c>
      <c r="N171" s="95">
        <f>IF(N$11&lt;$C171,0,MIN($D171/$D$162,$D171-SUM($E171:M171)))</f>
        <v>8075</v>
      </c>
      <c r="O171" s="95">
        <f>IF(O$11&lt;$C171,0,MIN($D171/$D$162,$D171-SUM($E171:N171)))</f>
        <v>8075</v>
      </c>
      <c r="P171" s="95">
        <f>IF(P$11&lt;$C171,0,MIN($D171/$D$162,$D171-SUM($E171:O171)))</f>
        <v>8075</v>
      </c>
      <c r="Q171" s="95">
        <f>IF(Q$11&lt;$C171,0,MIN($D171/$D$162,$D171-SUM($E171:P171)))</f>
        <v>8075</v>
      </c>
      <c r="R171" s="95">
        <f>IF(R$11&lt;$C171,0,MIN($D171/$D$162,$D171-SUM($E171:Q171)))</f>
        <v>8075</v>
      </c>
      <c r="S171" s="95">
        <f>IF(S$11&lt;$C171,0,MIN($D171/$D$162,$D171-SUM($E171:R171)))</f>
        <v>8075</v>
      </c>
      <c r="T171" s="95">
        <f>IF(T$11&lt;$C171,0,MIN($D171/$D$162,$D171-SUM($E171:S171)))</f>
        <v>8075</v>
      </c>
      <c r="U171" s="95">
        <f>IF(U$11&lt;$C171,0,MIN($D171/$D$162,$D171-SUM($E171:T171)))</f>
        <v>8075</v>
      </c>
      <c r="V171" s="95">
        <f>IF(V$11&lt;$C171,0,MIN($D171/$D$162,$D171-SUM($E171:U171)))</f>
        <v>8075</v>
      </c>
      <c r="W171" s="95">
        <f>IF(W$11&lt;$C171,0,MIN($D171/$D$162,$D171-SUM($E171:V171)))</f>
        <v>8075</v>
      </c>
      <c r="X171" s="95">
        <f>IF(X$11&lt;$C171,0,MIN($D171/$D$162,$D171-SUM($E171:W171)))</f>
        <v>8075</v>
      </c>
      <c r="Y171" s="95">
        <f>IF(Y$11&lt;$C171,0,MIN($D171/$D$162,$D171-SUM($E171:X171)))</f>
        <v>8075</v>
      </c>
      <c r="Z171" s="95">
        <f>IF(Z$11&lt;$C171,0,MIN($D171/$D$162,$D171-SUM($E171:Y171)))</f>
        <v>8075</v>
      </c>
      <c r="AA171" s="95">
        <f>IF(AA$11&lt;$C171,0,MIN($D171/$D$162,$D171-SUM($E171:Z171)))</f>
        <v>8075</v>
      </c>
      <c r="AB171" s="95">
        <f>IF(AB$11&lt;$C171,0,MIN($D171/$D$162,$D171-SUM($E171:AA171)))</f>
        <v>0</v>
      </c>
      <c r="AC171" s="95">
        <f>IF(AC$11&lt;$C171,0,MIN($D171/$D$162,$D171-SUM($E171:AB171)))</f>
        <v>0</v>
      </c>
      <c r="AD171" s="95">
        <f>IF(AD$11&lt;$C171,0,MIN($D171/$D$162,$D171-SUM($E171:AC171)))</f>
        <v>0</v>
      </c>
    </row>
    <row r="172" spans="1:30">
      <c r="A172" s="95"/>
      <c r="B172" s="118">
        <f t="shared" si="52"/>
        <v>3</v>
      </c>
      <c r="C172">
        <f t="shared" si="53"/>
        <v>2030</v>
      </c>
      <c r="D172" s="95" cm="1">
        <f t="array" ref="D172">INDEX($F$14:$AD$16,$B172,MATCH($C172,$F$11:$AD$11,0))*$G$163</f>
        <v>0</v>
      </c>
      <c r="E172" s="95"/>
      <c r="F172" s="95">
        <f>IF(F$11&lt;$C172,0,MIN($D172/$D$162,$D172-SUM($E172:E172)))</f>
        <v>0</v>
      </c>
      <c r="G172" s="95">
        <f>IF(G$11&lt;$C172,0,MIN($D172/$D$162,$D172-SUM($E172:F172)))</f>
        <v>0</v>
      </c>
      <c r="H172" s="95">
        <f>IF(H$11&lt;$C172,0,MIN($D172/$D$162,$D172-SUM($E172:G172)))</f>
        <v>0</v>
      </c>
      <c r="I172" s="95">
        <f>IF(I$11&lt;$C172,0,MIN($D172/$D$162,$D172-SUM($E172:H172)))</f>
        <v>0</v>
      </c>
      <c r="J172" s="95">
        <f>IF(J$11&lt;$C172,0,MIN($D172/$D$162,$D172-SUM($E172:I172)))</f>
        <v>0</v>
      </c>
      <c r="K172" s="95">
        <f>IF(K$11&lt;$C172,0,MIN($D172/$D$162,$D172-SUM($E172:J172)))</f>
        <v>0</v>
      </c>
      <c r="L172" s="95">
        <f>IF(L$11&lt;$C172,0,MIN($D172/$D$162,$D172-SUM($E172:K172)))</f>
        <v>0</v>
      </c>
      <c r="M172" s="95">
        <f>IF(M$11&lt;$C172,0,MIN($D172/$D$162,$D172-SUM($E172:L172)))</f>
        <v>0</v>
      </c>
      <c r="N172" s="95">
        <f>IF(N$11&lt;$C172,0,MIN($D172/$D$162,$D172-SUM($E172:M172)))</f>
        <v>0</v>
      </c>
      <c r="O172" s="95">
        <f>IF(O$11&lt;$C172,0,MIN($D172/$D$162,$D172-SUM($E172:N172)))</f>
        <v>0</v>
      </c>
      <c r="P172" s="95">
        <f>IF(P$11&lt;$C172,0,MIN($D172/$D$162,$D172-SUM($E172:O172)))</f>
        <v>0</v>
      </c>
      <c r="Q172" s="95">
        <f>IF(Q$11&lt;$C172,0,MIN($D172/$D$162,$D172-SUM($E172:P172)))</f>
        <v>0</v>
      </c>
      <c r="R172" s="95">
        <f>IF(R$11&lt;$C172,0,MIN($D172/$D$162,$D172-SUM($E172:Q172)))</f>
        <v>0</v>
      </c>
      <c r="S172" s="95">
        <f>IF(S$11&lt;$C172,0,MIN($D172/$D$162,$D172-SUM($E172:R172)))</f>
        <v>0</v>
      </c>
      <c r="T172" s="95">
        <f>IF(T$11&lt;$C172,0,MIN($D172/$D$162,$D172-SUM($E172:S172)))</f>
        <v>0</v>
      </c>
      <c r="U172" s="95">
        <f>IF(U$11&lt;$C172,0,MIN($D172/$D$162,$D172-SUM($E172:T172)))</f>
        <v>0</v>
      </c>
      <c r="V172" s="95">
        <f>IF(V$11&lt;$C172,0,MIN($D172/$D$162,$D172-SUM($E172:U172)))</f>
        <v>0</v>
      </c>
      <c r="W172" s="95">
        <f>IF(W$11&lt;$C172,0,MIN($D172/$D$162,$D172-SUM($E172:V172)))</f>
        <v>0</v>
      </c>
      <c r="X172" s="95">
        <f>IF(X$11&lt;$C172,0,MIN($D172/$D$162,$D172-SUM($E172:W172)))</f>
        <v>0</v>
      </c>
      <c r="Y172" s="95">
        <f>IF(Y$11&lt;$C172,0,MIN($D172/$D$162,$D172-SUM($E172:X172)))</f>
        <v>0</v>
      </c>
      <c r="Z172" s="95">
        <f>IF(Z$11&lt;$C172,0,MIN($D172/$D$162,$D172-SUM($E172:Y172)))</f>
        <v>0</v>
      </c>
      <c r="AA172" s="95">
        <f>IF(AA$11&lt;$C172,0,MIN($D172/$D$162,$D172-SUM($E172:Z172)))</f>
        <v>0</v>
      </c>
      <c r="AB172" s="95">
        <f>IF(AB$11&lt;$C172,0,MIN($D172/$D$162,$D172-SUM($E172:AA172)))</f>
        <v>0</v>
      </c>
      <c r="AC172" s="95">
        <f>IF(AC$11&lt;$C172,0,MIN($D172/$D$162,$D172-SUM($E172:AB172)))</f>
        <v>0</v>
      </c>
      <c r="AD172" s="95">
        <f>IF(AD$11&lt;$C172,0,MIN($D172/$D$162,$D172-SUM($E172:AC172)))</f>
        <v>0</v>
      </c>
    </row>
    <row r="173" spans="1:30">
      <c r="A173" s="95"/>
      <c r="B173" s="118">
        <f t="shared" si="52"/>
        <v>3</v>
      </c>
      <c r="C173">
        <f t="shared" si="53"/>
        <v>2031</v>
      </c>
      <c r="D173" s="95" cm="1">
        <f t="array" ref="D173">INDEX($F$14:$AD$16,$B173,MATCH($C173,$F$11:$AD$11,0))*$G$163</f>
        <v>813675</v>
      </c>
      <c r="E173" s="95"/>
      <c r="F173" s="95">
        <f>IF(F$11&lt;$C173,0,MIN($D173/$D$162,$D173-SUM($E173:E173)))</f>
        <v>0</v>
      </c>
      <c r="G173" s="95">
        <f>IF(G$11&lt;$C173,0,MIN($D173/$D$162,$D173-SUM($E173:F173)))</f>
        <v>0</v>
      </c>
      <c r="H173" s="95">
        <f>IF(H$11&lt;$C173,0,MIN($D173/$D$162,$D173-SUM($E173:G173)))</f>
        <v>0</v>
      </c>
      <c r="I173" s="95">
        <f>IF(I$11&lt;$C173,0,MIN($D173/$D$162,$D173-SUM($E173:H173)))</f>
        <v>0</v>
      </c>
      <c r="J173" s="95">
        <f>IF(J$11&lt;$C173,0,MIN($D173/$D$162,$D173-SUM($E173:I173)))</f>
        <v>0</v>
      </c>
      <c r="K173" s="95">
        <f>IF(K$11&lt;$C173,0,MIN($D173/$D$162,$D173-SUM($E173:J173)))</f>
        <v>0</v>
      </c>
      <c r="L173" s="95">
        <f>IF(L$11&lt;$C173,0,MIN($D173/$D$162,$D173-SUM($E173:K173)))</f>
        <v>0</v>
      </c>
      <c r="M173" s="95">
        <f>IF(M$11&lt;$C173,0,MIN($D173/$D$162,$D173-SUM($E173:L173)))</f>
        <v>0</v>
      </c>
      <c r="N173" s="95">
        <f>IF(N$11&lt;$C173,0,MIN($D173/$D$162,$D173-SUM($E173:M173)))</f>
        <v>0</v>
      </c>
      <c r="O173" s="95">
        <f>IF(O$11&lt;$C173,0,MIN($D173/$D$162,$D173-SUM($E173:N173)))</f>
        <v>54245</v>
      </c>
      <c r="P173" s="95">
        <f>IF(P$11&lt;$C173,0,MIN($D173/$D$162,$D173-SUM($E173:O173)))</f>
        <v>54245</v>
      </c>
      <c r="Q173" s="95">
        <f>IF(Q$11&lt;$C173,0,MIN($D173/$D$162,$D173-SUM($E173:P173)))</f>
        <v>54245</v>
      </c>
      <c r="R173" s="95">
        <f>IF(R$11&lt;$C173,0,MIN($D173/$D$162,$D173-SUM($E173:Q173)))</f>
        <v>54245</v>
      </c>
      <c r="S173" s="95">
        <f>IF(S$11&lt;$C173,0,MIN($D173/$D$162,$D173-SUM($E173:R173)))</f>
        <v>54245</v>
      </c>
      <c r="T173" s="95">
        <f>IF(T$11&lt;$C173,0,MIN($D173/$D$162,$D173-SUM($E173:S173)))</f>
        <v>54245</v>
      </c>
      <c r="U173" s="95">
        <f>IF(U$11&lt;$C173,0,MIN($D173/$D$162,$D173-SUM($E173:T173)))</f>
        <v>54245</v>
      </c>
      <c r="V173" s="95">
        <f>IF(V$11&lt;$C173,0,MIN($D173/$D$162,$D173-SUM($E173:U173)))</f>
        <v>54245</v>
      </c>
      <c r="W173" s="95">
        <f>IF(W$11&lt;$C173,0,MIN($D173/$D$162,$D173-SUM($E173:V173)))</f>
        <v>54245</v>
      </c>
      <c r="X173" s="95">
        <f>IF(X$11&lt;$C173,0,MIN($D173/$D$162,$D173-SUM($E173:W173)))</f>
        <v>54245</v>
      </c>
      <c r="Y173" s="95">
        <f>IF(Y$11&lt;$C173,0,MIN($D173/$D$162,$D173-SUM($E173:X173)))</f>
        <v>54245</v>
      </c>
      <c r="Z173" s="95">
        <f>IF(Z$11&lt;$C173,0,MIN($D173/$D$162,$D173-SUM($E173:Y173)))</f>
        <v>54245</v>
      </c>
      <c r="AA173" s="95">
        <f>IF(AA$11&lt;$C173,0,MIN($D173/$D$162,$D173-SUM($E173:Z173)))</f>
        <v>54245</v>
      </c>
      <c r="AB173" s="95">
        <f>IF(AB$11&lt;$C173,0,MIN($D173/$D$162,$D173-SUM($E173:AA173)))</f>
        <v>54245</v>
      </c>
      <c r="AC173" s="95">
        <f>IF(AC$11&lt;$C173,0,MIN($D173/$D$162,$D173-SUM($E173:AB173)))</f>
        <v>54245</v>
      </c>
      <c r="AD173" s="95">
        <f>IF(AD$11&lt;$C173,0,MIN($D173/$D$162,$D173-SUM($E173:AC173)))</f>
        <v>0</v>
      </c>
    </row>
    <row r="174" spans="1:30">
      <c r="A174" s="95"/>
      <c r="B174" s="118">
        <f t="shared" si="52"/>
        <v>3</v>
      </c>
      <c r="C174">
        <f t="shared" si="53"/>
        <v>2032</v>
      </c>
      <c r="D174" s="95" cm="1">
        <f t="array" ref="D174">INDEX($F$14:$AD$16,$B174,MATCH($C174,$F$11:$AD$11,0))*$G$163</f>
        <v>1187025</v>
      </c>
      <c r="E174" s="95"/>
      <c r="F174" s="95">
        <f>IF(F$11&lt;$C174,0,MIN($D174/$D$162,$D174-SUM($E174:E174)))</f>
        <v>0</v>
      </c>
      <c r="G174" s="95">
        <f>IF(G$11&lt;$C174,0,MIN($D174/$D$162,$D174-SUM($E174:F174)))</f>
        <v>0</v>
      </c>
      <c r="H174" s="95">
        <f>IF(H$11&lt;$C174,0,MIN($D174/$D$162,$D174-SUM($E174:G174)))</f>
        <v>0</v>
      </c>
      <c r="I174" s="95">
        <f>IF(I$11&lt;$C174,0,MIN($D174/$D$162,$D174-SUM($E174:H174)))</f>
        <v>0</v>
      </c>
      <c r="J174" s="95">
        <f>IF(J$11&lt;$C174,0,MIN($D174/$D$162,$D174-SUM($E174:I174)))</f>
        <v>0</v>
      </c>
      <c r="K174" s="95">
        <f>IF(K$11&lt;$C174,0,MIN($D174/$D$162,$D174-SUM($E174:J174)))</f>
        <v>0</v>
      </c>
      <c r="L174" s="95">
        <f>IF(L$11&lt;$C174,0,MIN($D174/$D$162,$D174-SUM($E174:K174)))</f>
        <v>0</v>
      </c>
      <c r="M174" s="95">
        <f>IF(M$11&lt;$C174,0,MIN($D174/$D$162,$D174-SUM($E174:L174)))</f>
        <v>0</v>
      </c>
      <c r="N174" s="95">
        <f>IF(N$11&lt;$C174,0,MIN($D174/$D$162,$D174-SUM($E174:M174)))</f>
        <v>0</v>
      </c>
      <c r="O174" s="95">
        <f>IF(O$11&lt;$C174,0,MIN($D174/$D$162,$D174-SUM($E174:N174)))</f>
        <v>0</v>
      </c>
      <c r="P174" s="95">
        <f>IF(P$11&lt;$C174,0,MIN($D174/$D$162,$D174-SUM($E174:O174)))</f>
        <v>79135</v>
      </c>
      <c r="Q174" s="95">
        <f>IF(Q$11&lt;$C174,0,MIN($D174/$D$162,$D174-SUM($E174:P174)))</f>
        <v>79135</v>
      </c>
      <c r="R174" s="95">
        <f>IF(R$11&lt;$C174,0,MIN($D174/$D$162,$D174-SUM($E174:Q174)))</f>
        <v>79135</v>
      </c>
      <c r="S174" s="95">
        <f>IF(S$11&lt;$C174,0,MIN($D174/$D$162,$D174-SUM($E174:R174)))</f>
        <v>79135</v>
      </c>
      <c r="T174" s="95">
        <f>IF(T$11&lt;$C174,0,MIN($D174/$D$162,$D174-SUM($E174:S174)))</f>
        <v>79135</v>
      </c>
      <c r="U174" s="95">
        <f>IF(U$11&lt;$C174,0,MIN($D174/$D$162,$D174-SUM($E174:T174)))</f>
        <v>79135</v>
      </c>
      <c r="V174" s="95">
        <f>IF(V$11&lt;$C174,0,MIN($D174/$D$162,$D174-SUM($E174:U174)))</f>
        <v>79135</v>
      </c>
      <c r="W174" s="95">
        <f>IF(W$11&lt;$C174,0,MIN($D174/$D$162,$D174-SUM($E174:V174)))</f>
        <v>79135</v>
      </c>
      <c r="X174" s="95">
        <f>IF(X$11&lt;$C174,0,MIN($D174/$D$162,$D174-SUM($E174:W174)))</f>
        <v>79135</v>
      </c>
      <c r="Y174" s="95">
        <f>IF(Y$11&lt;$C174,0,MIN($D174/$D$162,$D174-SUM($E174:X174)))</f>
        <v>79135</v>
      </c>
      <c r="Z174" s="95">
        <f>IF(Z$11&lt;$C174,0,MIN($D174/$D$162,$D174-SUM($E174:Y174)))</f>
        <v>79135</v>
      </c>
      <c r="AA174" s="95">
        <f>IF(AA$11&lt;$C174,0,MIN($D174/$D$162,$D174-SUM($E174:Z174)))</f>
        <v>79135</v>
      </c>
      <c r="AB174" s="95">
        <f>IF(AB$11&lt;$C174,0,MIN($D174/$D$162,$D174-SUM($E174:AA174)))</f>
        <v>79135</v>
      </c>
      <c r="AC174" s="95">
        <f>IF(AC$11&lt;$C174,0,MIN($D174/$D$162,$D174-SUM($E174:AB174)))</f>
        <v>79135</v>
      </c>
      <c r="AD174" s="95">
        <f>IF(AD$11&lt;$C174,0,MIN($D174/$D$162,$D174-SUM($E174:AC174)))</f>
        <v>79135</v>
      </c>
    </row>
    <row r="175" spans="1:30">
      <c r="A175" s="95"/>
      <c r="B175" s="118">
        <f t="shared" si="52"/>
        <v>3</v>
      </c>
      <c r="C175">
        <f t="shared" si="53"/>
        <v>2033</v>
      </c>
      <c r="D175" s="95" cm="1">
        <f t="array" ref="D175">INDEX($F$14:$AD$16,$B175,MATCH($C175,$F$11:$AD$11,0))*$G$163</f>
        <v>1373700</v>
      </c>
      <c r="E175" s="95"/>
      <c r="F175" s="95">
        <f>IF(F$11&lt;$C175,0,MIN($D175/$D$162,$D175-SUM($E175:E175)))</f>
        <v>0</v>
      </c>
      <c r="G175" s="95">
        <f>IF(G$11&lt;$C175,0,MIN($D175/$D$162,$D175-SUM($E175:F175)))</f>
        <v>0</v>
      </c>
      <c r="H175" s="95">
        <f>IF(H$11&lt;$C175,0,MIN($D175/$D$162,$D175-SUM($E175:G175)))</f>
        <v>0</v>
      </c>
      <c r="I175" s="95">
        <f>IF(I$11&lt;$C175,0,MIN($D175/$D$162,$D175-SUM($E175:H175)))</f>
        <v>0</v>
      </c>
      <c r="J175" s="95">
        <f>IF(J$11&lt;$C175,0,MIN($D175/$D$162,$D175-SUM($E175:I175)))</f>
        <v>0</v>
      </c>
      <c r="K175" s="95">
        <f>IF(K$11&lt;$C175,0,MIN($D175/$D$162,$D175-SUM($E175:J175)))</f>
        <v>0</v>
      </c>
      <c r="L175" s="95">
        <f>IF(L$11&lt;$C175,0,MIN($D175/$D$162,$D175-SUM($E175:K175)))</f>
        <v>0</v>
      </c>
      <c r="M175" s="95">
        <f>IF(M$11&lt;$C175,0,MIN($D175/$D$162,$D175-SUM($E175:L175)))</f>
        <v>0</v>
      </c>
      <c r="N175" s="95">
        <f>IF(N$11&lt;$C175,0,MIN($D175/$D$162,$D175-SUM($E175:M175)))</f>
        <v>0</v>
      </c>
      <c r="O175" s="95">
        <f>IF(O$11&lt;$C175,0,MIN($D175/$D$162,$D175-SUM($E175:N175)))</f>
        <v>0</v>
      </c>
      <c r="P175" s="95">
        <f>IF(P$11&lt;$C175,0,MIN($D175/$D$162,$D175-SUM($E175:O175)))</f>
        <v>0</v>
      </c>
      <c r="Q175" s="95">
        <f>IF(Q$11&lt;$C175,0,MIN($D175/$D$162,$D175-SUM($E175:P175)))</f>
        <v>91580</v>
      </c>
      <c r="R175" s="95">
        <f>IF(R$11&lt;$C175,0,MIN($D175/$D$162,$D175-SUM($E175:Q175)))</f>
        <v>91580</v>
      </c>
      <c r="S175" s="95">
        <f>IF(S$11&lt;$C175,0,MIN($D175/$D$162,$D175-SUM($E175:R175)))</f>
        <v>91580</v>
      </c>
      <c r="T175" s="95">
        <f>IF(T$11&lt;$C175,0,MIN($D175/$D$162,$D175-SUM($E175:S175)))</f>
        <v>91580</v>
      </c>
      <c r="U175" s="95">
        <f>IF(U$11&lt;$C175,0,MIN($D175/$D$162,$D175-SUM($E175:T175)))</f>
        <v>91580</v>
      </c>
      <c r="V175" s="95">
        <f>IF(V$11&lt;$C175,0,MIN($D175/$D$162,$D175-SUM($E175:U175)))</f>
        <v>91580</v>
      </c>
      <c r="W175" s="95">
        <f>IF(W$11&lt;$C175,0,MIN($D175/$D$162,$D175-SUM($E175:V175)))</f>
        <v>91580</v>
      </c>
      <c r="X175" s="95">
        <f>IF(X$11&lt;$C175,0,MIN($D175/$D$162,$D175-SUM($E175:W175)))</f>
        <v>91580</v>
      </c>
      <c r="Y175" s="95">
        <f>IF(Y$11&lt;$C175,0,MIN($D175/$D$162,$D175-SUM($E175:X175)))</f>
        <v>91580</v>
      </c>
      <c r="Z175" s="95">
        <f>IF(Z$11&lt;$C175,0,MIN($D175/$D$162,$D175-SUM($E175:Y175)))</f>
        <v>91580</v>
      </c>
      <c r="AA175" s="95">
        <f>IF(AA$11&lt;$C175,0,MIN($D175/$D$162,$D175-SUM($E175:Z175)))</f>
        <v>91580</v>
      </c>
      <c r="AB175" s="95">
        <f>IF(AB$11&lt;$C175,0,MIN($D175/$D$162,$D175-SUM($E175:AA175)))</f>
        <v>91580</v>
      </c>
      <c r="AC175" s="95">
        <f>IF(AC$11&lt;$C175,0,MIN($D175/$D$162,$D175-SUM($E175:AB175)))</f>
        <v>91580</v>
      </c>
      <c r="AD175" s="95">
        <f>IF(AD$11&lt;$C175,0,MIN($D175/$D$162,$D175-SUM($E175:AC175)))</f>
        <v>91580</v>
      </c>
    </row>
    <row r="176" spans="1:30">
      <c r="A176" s="95"/>
      <c r="B176" s="118">
        <f t="shared" si="52"/>
        <v>3</v>
      </c>
      <c r="C176">
        <f t="shared" si="53"/>
        <v>2034</v>
      </c>
      <c r="D176" s="95" cm="1">
        <f t="array" ref="D176">INDEX($F$14:$AD$16,$B176,MATCH($C176,$F$11:$AD$11,0))*$G$163</f>
        <v>555750</v>
      </c>
      <c r="E176" s="95"/>
      <c r="F176" s="95">
        <f>IF(F$11&lt;$C176,0,MIN($D176/$D$162,$D176-SUM($E176:E176)))</f>
        <v>0</v>
      </c>
      <c r="G176" s="95">
        <f>IF(G$11&lt;$C176,0,MIN($D176/$D$162,$D176-SUM($E176:F176)))</f>
        <v>0</v>
      </c>
      <c r="H176" s="95">
        <f>IF(H$11&lt;$C176,0,MIN($D176/$D$162,$D176-SUM($E176:G176)))</f>
        <v>0</v>
      </c>
      <c r="I176" s="95">
        <f>IF(I$11&lt;$C176,0,MIN($D176/$D$162,$D176-SUM($E176:H176)))</f>
        <v>0</v>
      </c>
      <c r="J176" s="95">
        <f>IF(J$11&lt;$C176,0,MIN($D176/$D$162,$D176-SUM($E176:I176)))</f>
        <v>0</v>
      </c>
      <c r="K176" s="95">
        <f>IF(K$11&lt;$C176,0,MIN($D176/$D$162,$D176-SUM($E176:J176)))</f>
        <v>0</v>
      </c>
      <c r="L176" s="95">
        <f>IF(L$11&lt;$C176,0,MIN($D176/$D$162,$D176-SUM($E176:K176)))</f>
        <v>0</v>
      </c>
      <c r="M176" s="95">
        <f>IF(M$11&lt;$C176,0,MIN($D176/$D$162,$D176-SUM($E176:L176)))</f>
        <v>0</v>
      </c>
      <c r="N176" s="95">
        <f>IF(N$11&lt;$C176,0,MIN($D176/$D$162,$D176-SUM($E176:M176)))</f>
        <v>0</v>
      </c>
      <c r="O176" s="95">
        <f>IF(O$11&lt;$C176,0,MIN($D176/$D$162,$D176-SUM($E176:N176)))</f>
        <v>0</v>
      </c>
      <c r="P176" s="95">
        <f>IF(P$11&lt;$C176,0,MIN($D176/$D$162,$D176-SUM($E176:O176)))</f>
        <v>0</v>
      </c>
      <c r="Q176" s="95">
        <f>IF(Q$11&lt;$C176,0,MIN($D176/$D$162,$D176-SUM($E176:P176)))</f>
        <v>0</v>
      </c>
      <c r="R176" s="95">
        <f>IF(R$11&lt;$C176,0,MIN($D176/$D$162,$D176-SUM($E176:Q176)))</f>
        <v>37050</v>
      </c>
      <c r="S176" s="95">
        <f>IF(S$11&lt;$C176,0,MIN($D176/$D$162,$D176-SUM($E176:R176)))</f>
        <v>37050</v>
      </c>
      <c r="T176" s="95">
        <f>IF(T$11&lt;$C176,0,MIN($D176/$D$162,$D176-SUM($E176:S176)))</f>
        <v>37050</v>
      </c>
      <c r="U176" s="95">
        <f>IF(U$11&lt;$C176,0,MIN($D176/$D$162,$D176-SUM($E176:T176)))</f>
        <v>37050</v>
      </c>
      <c r="V176" s="95">
        <f>IF(V$11&lt;$C176,0,MIN($D176/$D$162,$D176-SUM($E176:U176)))</f>
        <v>37050</v>
      </c>
      <c r="W176" s="95">
        <f>IF(W$11&lt;$C176,0,MIN($D176/$D$162,$D176-SUM($E176:V176)))</f>
        <v>37050</v>
      </c>
      <c r="X176" s="95">
        <f>IF(X$11&lt;$C176,0,MIN($D176/$D$162,$D176-SUM($E176:W176)))</f>
        <v>37050</v>
      </c>
      <c r="Y176" s="95">
        <f>IF(Y$11&lt;$C176,0,MIN($D176/$D$162,$D176-SUM($E176:X176)))</f>
        <v>37050</v>
      </c>
      <c r="Z176" s="95">
        <f>IF(Z$11&lt;$C176,0,MIN($D176/$D$162,$D176-SUM($E176:Y176)))</f>
        <v>37050</v>
      </c>
      <c r="AA176" s="95">
        <f>IF(AA$11&lt;$C176,0,MIN($D176/$D$162,$D176-SUM($E176:Z176)))</f>
        <v>37050</v>
      </c>
      <c r="AB176" s="95">
        <f>IF(AB$11&lt;$C176,0,MIN($D176/$D$162,$D176-SUM($E176:AA176)))</f>
        <v>37050</v>
      </c>
      <c r="AC176" s="95">
        <f>IF(AC$11&lt;$C176,0,MIN($D176/$D$162,$D176-SUM($E176:AB176)))</f>
        <v>37050</v>
      </c>
      <c r="AD176" s="95">
        <f>IF(AD$11&lt;$C176,0,MIN($D176/$D$162,$D176-SUM($E176:AC176)))</f>
        <v>37050</v>
      </c>
    </row>
    <row r="177" spans="1:30">
      <c r="A177" s="95"/>
      <c r="B177" s="118">
        <f t="shared" si="52"/>
        <v>3</v>
      </c>
      <c r="C177">
        <f t="shared" si="53"/>
        <v>2035</v>
      </c>
      <c r="D177" s="95" cm="1">
        <f t="array" ref="D177">INDEX($F$14:$AD$16,$B177,MATCH($C177,$F$11:$AD$11,0))*$G$163</f>
        <v>2542200</v>
      </c>
      <c r="E177" s="95"/>
      <c r="F177" s="95">
        <f>IF(F$11&lt;$C177,0,MIN($D177/$D$162,$D177-SUM($E177:E177)))</f>
        <v>0</v>
      </c>
      <c r="G177" s="95">
        <f>IF(G$11&lt;$C177,0,MIN($D177/$D$162,$D177-SUM($E177:F177)))</f>
        <v>0</v>
      </c>
      <c r="H177" s="95">
        <f>IF(H$11&lt;$C177,0,MIN($D177/$D$162,$D177-SUM($E177:G177)))</f>
        <v>0</v>
      </c>
      <c r="I177" s="95">
        <f>IF(I$11&lt;$C177,0,MIN($D177/$D$162,$D177-SUM($E177:H177)))</f>
        <v>0</v>
      </c>
      <c r="J177" s="95">
        <f>IF(J$11&lt;$C177,0,MIN($D177/$D$162,$D177-SUM($E177:I177)))</f>
        <v>0</v>
      </c>
      <c r="K177" s="95">
        <f>IF(K$11&lt;$C177,0,MIN($D177/$D$162,$D177-SUM($E177:J177)))</f>
        <v>0</v>
      </c>
      <c r="L177" s="95">
        <f>IF(L$11&lt;$C177,0,MIN($D177/$D$162,$D177-SUM($E177:K177)))</f>
        <v>0</v>
      </c>
      <c r="M177" s="95">
        <f>IF(M$11&lt;$C177,0,MIN($D177/$D$162,$D177-SUM($E177:L177)))</f>
        <v>0</v>
      </c>
      <c r="N177" s="95">
        <f>IF(N$11&lt;$C177,0,MIN($D177/$D$162,$D177-SUM($E177:M177)))</f>
        <v>0</v>
      </c>
      <c r="O177" s="95">
        <f>IF(O$11&lt;$C177,0,MIN($D177/$D$162,$D177-SUM($E177:N177)))</f>
        <v>0</v>
      </c>
      <c r="P177" s="95">
        <f>IF(P$11&lt;$C177,0,MIN($D177/$D$162,$D177-SUM($E177:O177)))</f>
        <v>0</v>
      </c>
      <c r="Q177" s="95">
        <f>IF(Q$11&lt;$C177,0,MIN($D177/$D$162,$D177-SUM($E177:P177)))</f>
        <v>0</v>
      </c>
      <c r="R177" s="95">
        <f>IF(R$11&lt;$C177,0,MIN($D177/$D$162,$D177-SUM($E177:Q177)))</f>
        <v>0</v>
      </c>
      <c r="S177" s="95">
        <f>IF(S$11&lt;$C177,0,MIN($D177/$D$162,$D177-SUM($E177:R177)))</f>
        <v>169480</v>
      </c>
      <c r="T177" s="95">
        <f>IF(T$11&lt;$C177,0,MIN($D177/$D$162,$D177-SUM($E177:S177)))</f>
        <v>169480</v>
      </c>
      <c r="U177" s="95">
        <f>IF(U$11&lt;$C177,0,MIN($D177/$D$162,$D177-SUM($E177:T177)))</f>
        <v>169480</v>
      </c>
      <c r="V177" s="95">
        <f>IF(V$11&lt;$C177,0,MIN($D177/$D$162,$D177-SUM($E177:U177)))</f>
        <v>169480</v>
      </c>
      <c r="W177" s="95">
        <f>IF(W$11&lt;$C177,0,MIN($D177/$D$162,$D177-SUM($E177:V177)))</f>
        <v>169480</v>
      </c>
      <c r="X177" s="95">
        <f>IF(X$11&lt;$C177,0,MIN($D177/$D$162,$D177-SUM($E177:W177)))</f>
        <v>169480</v>
      </c>
      <c r="Y177" s="95">
        <f>IF(Y$11&lt;$C177,0,MIN($D177/$D$162,$D177-SUM($E177:X177)))</f>
        <v>169480</v>
      </c>
      <c r="Z177" s="95">
        <f>IF(Z$11&lt;$C177,0,MIN($D177/$D$162,$D177-SUM($E177:Y177)))</f>
        <v>169480</v>
      </c>
      <c r="AA177" s="95">
        <f>IF(AA$11&lt;$C177,0,MIN($D177/$D$162,$D177-SUM($E177:Z177)))</f>
        <v>169480</v>
      </c>
      <c r="AB177" s="95">
        <f>IF(AB$11&lt;$C177,0,MIN($D177/$D$162,$D177-SUM($E177:AA177)))</f>
        <v>169480</v>
      </c>
      <c r="AC177" s="95">
        <f>IF(AC$11&lt;$C177,0,MIN($D177/$D$162,$D177-SUM($E177:AB177)))</f>
        <v>169480</v>
      </c>
      <c r="AD177" s="95">
        <f>IF(AD$11&lt;$C177,0,MIN($D177/$D$162,$D177-SUM($E177:AC177)))</f>
        <v>169480</v>
      </c>
    </row>
    <row r="178" spans="1:30">
      <c r="A178" s="95"/>
      <c r="B178" s="118">
        <f t="shared" si="52"/>
        <v>3</v>
      </c>
      <c r="C178">
        <f t="shared" si="53"/>
        <v>2036</v>
      </c>
      <c r="D178" s="95" cm="1">
        <f t="array" ref="D178">INDEX($F$14:$AD$16,$B178,MATCH($C178,$F$11:$AD$11,0))*$G$163</f>
        <v>1708575</v>
      </c>
      <c r="E178" s="95"/>
      <c r="F178" s="95">
        <f>IF(F$11&lt;$C178,0,MIN($D178/$D$162,$D178-SUM($E178:E178)))</f>
        <v>0</v>
      </c>
      <c r="G178" s="95">
        <f>IF(G$11&lt;$C178,0,MIN($D178/$D$162,$D178-SUM($E178:F178)))</f>
        <v>0</v>
      </c>
      <c r="H178" s="95">
        <f>IF(H$11&lt;$C178,0,MIN($D178/$D$162,$D178-SUM($E178:G178)))</f>
        <v>0</v>
      </c>
      <c r="I178" s="95">
        <f>IF(I$11&lt;$C178,0,MIN($D178/$D$162,$D178-SUM($E178:H178)))</f>
        <v>0</v>
      </c>
      <c r="J178" s="95">
        <f>IF(J$11&lt;$C178,0,MIN($D178/$D$162,$D178-SUM($E178:I178)))</f>
        <v>0</v>
      </c>
      <c r="K178" s="95">
        <f>IF(K$11&lt;$C178,0,MIN($D178/$D$162,$D178-SUM($E178:J178)))</f>
        <v>0</v>
      </c>
      <c r="L178" s="95">
        <f>IF(L$11&lt;$C178,0,MIN($D178/$D$162,$D178-SUM($E178:K178)))</f>
        <v>0</v>
      </c>
      <c r="M178" s="95">
        <f>IF(M$11&lt;$C178,0,MIN($D178/$D$162,$D178-SUM($E178:L178)))</f>
        <v>0</v>
      </c>
      <c r="N178" s="95">
        <f>IF(N$11&lt;$C178,0,MIN($D178/$D$162,$D178-SUM($E178:M178)))</f>
        <v>0</v>
      </c>
      <c r="O178" s="95">
        <f>IF(O$11&lt;$C178,0,MIN($D178/$D$162,$D178-SUM($E178:N178)))</f>
        <v>0</v>
      </c>
      <c r="P178" s="95">
        <f>IF(P$11&lt;$C178,0,MIN($D178/$D$162,$D178-SUM($E178:O178)))</f>
        <v>0</v>
      </c>
      <c r="Q178" s="95">
        <f>IF(Q$11&lt;$C178,0,MIN($D178/$D$162,$D178-SUM($E178:P178)))</f>
        <v>0</v>
      </c>
      <c r="R178" s="95">
        <f>IF(R$11&lt;$C178,0,MIN($D178/$D$162,$D178-SUM($E178:Q178)))</f>
        <v>0</v>
      </c>
      <c r="S178" s="95">
        <f>IF(S$11&lt;$C178,0,MIN($D178/$D$162,$D178-SUM($E178:R178)))</f>
        <v>0</v>
      </c>
      <c r="T178" s="95">
        <f>IF(T$11&lt;$C178,0,MIN($D178/$D$162,$D178-SUM($E178:S178)))</f>
        <v>113905</v>
      </c>
      <c r="U178" s="95">
        <f>IF(U$11&lt;$C178,0,MIN($D178/$D$162,$D178-SUM($E178:T178)))</f>
        <v>113905</v>
      </c>
      <c r="V178" s="95">
        <f>IF(V$11&lt;$C178,0,MIN($D178/$D$162,$D178-SUM($E178:U178)))</f>
        <v>113905</v>
      </c>
      <c r="W178" s="95">
        <f>IF(W$11&lt;$C178,0,MIN($D178/$D$162,$D178-SUM($E178:V178)))</f>
        <v>113905</v>
      </c>
      <c r="X178" s="95">
        <f>IF(X$11&lt;$C178,0,MIN($D178/$D$162,$D178-SUM($E178:W178)))</f>
        <v>113905</v>
      </c>
      <c r="Y178" s="95">
        <f>IF(Y$11&lt;$C178,0,MIN($D178/$D$162,$D178-SUM($E178:X178)))</f>
        <v>113905</v>
      </c>
      <c r="Z178" s="95">
        <f>IF(Z$11&lt;$C178,0,MIN($D178/$D$162,$D178-SUM($E178:Y178)))</f>
        <v>113905</v>
      </c>
      <c r="AA178" s="95">
        <f>IF(AA$11&lt;$C178,0,MIN($D178/$D$162,$D178-SUM($E178:Z178)))</f>
        <v>113905</v>
      </c>
      <c r="AB178" s="95">
        <f>IF(AB$11&lt;$C178,0,MIN($D178/$D$162,$D178-SUM($E178:AA178)))</f>
        <v>113905</v>
      </c>
      <c r="AC178" s="95">
        <f>IF(AC$11&lt;$C178,0,MIN($D178/$D$162,$D178-SUM($E178:AB178)))</f>
        <v>113905</v>
      </c>
      <c r="AD178" s="95">
        <f>IF(AD$11&lt;$C178,0,MIN($D178/$D$162,$D178-SUM($E178:AC178)))</f>
        <v>113905</v>
      </c>
    </row>
    <row r="179" spans="1:30">
      <c r="A179" s="95"/>
      <c r="B179" s="118">
        <f t="shared" si="52"/>
        <v>3</v>
      </c>
      <c r="C179">
        <f t="shared" si="53"/>
        <v>2037</v>
      </c>
      <c r="D179" s="95" cm="1">
        <f t="array" ref="D179">INDEX($F$14:$AD$16,$B179,MATCH($C179,$F$11:$AD$11,0))*$G$163</f>
        <v>1765575</v>
      </c>
      <c r="E179" s="95"/>
      <c r="F179" s="95">
        <f>IF(F$11&lt;$C179,0,MIN($D179/$D$162,$D179-SUM($E179:E179)))</f>
        <v>0</v>
      </c>
      <c r="G179" s="95">
        <f>IF(G$11&lt;$C179,0,MIN($D179/$D$162,$D179-SUM($E179:F179)))</f>
        <v>0</v>
      </c>
      <c r="H179" s="95">
        <f>IF(H$11&lt;$C179,0,MIN($D179/$D$162,$D179-SUM($E179:G179)))</f>
        <v>0</v>
      </c>
      <c r="I179" s="95">
        <f>IF(I$11&lt;$C179,0,MIN($D179/$D$162,$D179-SUM($E179:H179)))</f>
        <v>0</v>
      </c>
      <c r="J179" s="95">
        <f>IF(J$11&lt;$C179,0,MIN($D179/$D$162,$D179-SUM($E179:I179)))</f>
        <v>0</v>
      </c>
      <c r="K179" s="95">
        <f>IF(K$11&lt;$C179,0,MIN($D179/$D$162,$D179-SUM($E179:J179)))</f>
        <v>0</v>
      </c>
      <c r="L179" s="95">
        <f>IF(L$11&lt;$C179,0,MIN($D179/$D$162,$D179-SUM($E179:K179)))</f>
        <v>0</v>
      </c>
      <c r="M179" s="95">
        <f>IF(M$11&lt;$C179,0,MIN($D179/$D$162,$D179-SUM($E179:L179)))</f>
        <v>0</v>
      </c>
      <c r="N179" s="95">
        <f>IF(N$11&lt;$C179,0,MIN($D179/$D$162,$D179-SUM($E179:M179)))</f>
        <v>0</v>
      </c>
      <c r="O179" s="95">
        <f>IF(O$11&lt;$C179,0,MIN($D179/$D$162,$D179-SUM($E179:N179)))</f>
        <v>0</v>
      </c>
      <c r="P179" s="95">
        <f>IF(P$11&lt;$C179,0,MIN($D179/$D$162,$D179-SUM($E179:O179)))</f>
        <v>0</v>
      </c>
      <c r="Q179" s="95">
        <f>IF(Q$11&lt;$C179,0,MIN($D179/$D$162,$D179-SUM($E179:P179)))</f>
        <v>0</v>
      </c>
      <c r="R179" s="95">
        <f>IF(R$11&lt;$C179,0,MIN($D179/$D$162,$D179-SUM($E179:Q179)))</f>
        <v>0</v>
      </c>
      <c r="S179" s="95">
        <f>IF(S$11&lt;$C179,0,MIN($D179/$D$162,$D179-SUM($E179:R179)))</f>
        <v>0</v>
      </c>
      <c r="T179" s="95">
        <f>IF(T$11&lt;$C179,0,MIN($D179/$D$162,$D179-SUM($E179:S179)))</f>
        <v>0</v>
      </c>
      <c r="U179" s="95">
        <f>IF(U$11&lt;$C179,0,MIN($D179/$D$162,$D179-SUM($E179:T179)))</f>
        <v>117705</v>
      </c>
      <c r="V179" s="95">
        <f>IF(V$11&lt;$C179,0,MIN($D179/$D$162,$D179-SUM($E179:U179)))</f>
        <v>117705</v>
      </c>
      <c r="W179" s="95">
        <f>IF(W$11&lt;$C179,0,MIN($D179/$D$162,$D179-SUM($E179:V179)))</f>
        <v>117705</v>
      </c>
      <c r="X179" s="95">
        <f>IF(X$11&lt;$C179,0,MIN($D179/$D$162,$D179-SUM($E179:W179)))</f>
        <v>117705</v>
      </c>
      <c r="Y179" s="95">
        <f>IF(Y$11&lt;$C179,0,MIN($D179/$D$162,$D179-SUM($E179:X179)))</f>
        <v>117705</v>
      </c>
      <c r="Z179" s="95">
        <f>IF(Z$11&lt;$C179,0,MIN($D179/$D$162,$D179-SUM($E179:Y179)))</f>
        <v>117705</v>
      </c>
      <c r="AA179" s="95">
        <f>IF(AA$11&lt;$C179,0,MIN($D179/$D$162,$D179-SUM($E179:Z179)))</f>
        <v>117705</v>
      </c>
      <c r="AB179" s="95">
        <f>IF(AB$11&lt;$C179,0,MIN($D179/$D$162,$D179-SUM($E179:AA179)))</f>
        <v>117705</v>
      </c>
      <c r="AC179" s="95">
        <f>IF(AC$11&lt;$C179,0,MIN($D179/$D$162,$D179-SUM($E179:AB179)))</f>
        <v>117705</v>
      </c>
      <c r="AD179" s="95">
        <f>IF(AD$11&lt;$C179,0,MIN($D179/$D$162,$D179-SUM($E179:AC179)))</f>
        <v>117705</v>
      </c>
    </row>
    <row r="180" spans="1:30">
      <c r="A180" s="95"/>
      <c r="B180" s="118">
        <f t="shared" si="52"/>
        <v>3</v>
      </c>
      <c r="C180">
        <f t="shared" si="53"/>
        <v>2038</v>
      </c>
      <c r="D180" s="95" cm="1">
        <f t="array" ref="D180">INDEX($F$14:$AD$16,$B180,MATCH($C180,$F$11:$AD$11,0))*$G$163</f>
        <v>1487700</v>
      </c>
      <c r="E180" s="95"/>
      <c r="F180" s="95">
        <f>IF(F$11&lt;$C180,0,MIN($D180/$D$162,$D180-SUM($E180:E180)))</f>
        <v>0</v>
      </c>
      <c r="G180" s="95">
        <f>IF(G$11&lt;$C180,0,MIN($D180/$D$162,$D180-SUM($E180:F180)))</f>
        <v>0</v>
      </c>
      <c r="H180" s="95">
        <f>IF(H$11&lt;$C180,0,MIN($D180/$D$162,$D180-SUM($E180:G180)))</f>
        <v>0</v>
      </c>
      <c r="I180" s="95">
        <f>IF(I$11&lt;$C180,0,MIN($D180/$D$162,$D180-SUM($E180:H180)))</f>
        <v>0</v>
      </c>
      <c r="J180" s="95">
        <f>IF(J$11&lt;$C180,0,MIN($D180/$D$162,$D180-SUM($E180:I180)))</f>
        <v>0</v>
      </c>
      <c r="K180" s="95">
        <f>IF(K$11&lt;$C180,0,MIN($D180/$D$162,$D180-SUM($E180:J180)))</f>
        <v>0</v>
      </c>
      <c r="L180" s="95">
        <f>IF(L$11&lt;$C180,0,MIN($D180/$D$162,$D180-SUM($E180:K180)))</f>
        <v>0</v>
      </c>
      <c r="M180" s="95">
        <f>IF(M$11&lt;$C180,0,MIN($D180/$D$162,$D180-SUM($E180:L180)))</f>
        <v>0</v>
      </c>
      <c r="N180" s="95">
        <f>IF(N$11&lt;$C180,0,MIN($D180/$D$162,$D180-SUM($E180:M180)))</f>
        <v>0</v>
      </c>
      <c r="O180" s="95">
        <f>IF(O$11&lt;$C180,0,MIN($D180/$D$162,$D180-SUM($E180:N180)))</f>
        <v>0</v>
      </c>
      <c r="P180" s="95">
        <f>IF(P$11&lt;$C180,0,MIN($D180/$D$162,$D180-SUM($E180:O180)))</f>
        <v>0</v>
      </c>
      <c r="Q180" s="95">
        <f>IF(Q$11&lt;$C180,0,MIN($D180/$D$162,$D180-SUM($E180:P180)))</f>
        <v>0</v>
      </c>
      <c r="R180" s="95">
        <f>IF(R$11&lt;$C180,0,MIN($D180/$D$162,$D180-SUM($E180:Q180)))</f>
        <v>0</v>
      </c>
      <c r="S180" s="95">
        <f>IF(S$11&lt;$C180,0,MIN($D180/$D$162,$D180-SUM($E180:R180)))</f>
        <v>0</v>
      </c>
      <c r="T180" s="95">
        <f>IF(T$11&lt;$C180,0,MIN($D180/$D$162,$D180-SUM($E180:S180)))</f>
        <v>0</v>
      </c>
      <c r="U180" s="95">
        <f>IF(U$11&lt;$C180,0,MIN($D180/$D$162,$D180-SUM($E180:T180)))</f>
        <v>0</v>
      </c>
      <c r="V180" s="95">
        <f>IF(V$11&lt;$C180,0,MIN($D180/$D$162,$D180-SUM($E180:U180)))</f>
        <v>99180</v>
      </c>
      <c r="W180" s="95">
        <f>IF(W$11&lt;$C180,0,MIN($D180/$D$162,$D180-SUM($E180:V180)))</f>
        <v>99180</v>
      </c>
      <c r="X180" s="95">
        <f>IF(X$11&lt;$C180,0,MIN($D180/$D$162,$D180-SUM($E180:W180)))</f>
        <v>99180</v>
      </c>
      <c r="Y180" s="95">
        <f>IF(Y$11&lt;$C180,0,MIN($D180/$D$162,$D180-SUM($E180:X180)))</f>
        <v>99180</v>
      </c>
      <c r="Z180" s="95">
        <f>IF(Z$11&lt;$C180,0,MIN($D180/$D$162,$D180-SUM($E180:Y180)))</f>
        <v>99180</v>
      </c>
      <c r="AA180" s="95">
        <f>IF(AA$11&lt;$C180,0,MIN($D180/$D$162,$D180-SUM($E180:Z180)))</f>
        <v>99180</v>
      </c>
      <c r="AB180" s="95">
        <f>IF(AB$11&lt;$C180,0,MIN($D180/$D$162,$D180-SUM($E180:AA180)))</f>
        <v>99180</v>
      </c>
      <c r="AC180" s="95">
        <f>IF(AC$11&lt;$C180,0,MIN($D180/$D$162,$D180-SUM($E180:AB180)))</f>
        <v>99180</v>
      </c>
      <c r="AD180" s="95">
        <f>IF(AD$11&lt;$C180,0,MIN($D180/$D$162,$D180-SUM($E180:AC180)))</f>
        <v>99180</v>
      </c>
    </row>
    <row r="181" spans="1:30">
      <c r="A181" s="95"/>
      <c r="B181" s="118">
        <f t="shared" si="52"/>
        <v>3</v>
      </c>
      <c r="C181">
        <f t="shared" si="53"/>
        <v>2039</v>
      </c>
      <c r="D181" s="95" cm="1">
        <f t="array" ref="D181">INDEX($F$14:$AD$16,$B181,MATCH($C181,$F$11:$AD$11,0))*$G$163</f>
        <v>1442100</v>
      </c>
      <c r="E181" s="95"/>
      <c r="F181" s="95">
        <f>IF(F$11&lt;$C181,0,MIN($D181/$D$162,$D181-SUM($E181:E181)))</f>
        <v>0</v>
      </c>
      <c r="G181" s="95">
        <f>IF(G$11&lt;$C181,0,MIN($D181/$D$162,$D181-SUM($E181:F181)))</f>
        <v>0</v>
      </c>
      <c r="H181" s="95">
        <f>IF(H$11&lt;$C181,0,MIN($D181/$D$162,$D181-SUM($E181:G181)))</f>
        <v>0</v>
      </c>
      <c r="I181" s="95">
        <f>IF(I$11&lt;$C181,0,MIN($D181/$D$162,$D181-SUM($E181:H181)))</f>
        <v>0</v>
      </c>
      <c r="J181" s="95">
        <f>IF(J$11&lt;$C181,0,MIN($D181/$D$162,$D181-SUM($E181:I181)))</f>
        <v>0</v>
      </c>
      <c r="K181" s="95">
        <f>IF(K$11&lt;$C181,0,MIN($D181/$D$162,$D181-SUM($E181:J181)))</f>
        <v>0</v>
      </c>
      <c r="L181" s="95">
        <f>IF(L$11&lt;$C181,0,MIN($D181/$D$162,$D181-SUM($E181:K181)))</f>
        <v>0</v>
      </c>
      <c r="M181" s="95">
        <f>IF(M$11&lt;$C181,0,MIN($D181/$D$162,$D181-SUM($E181:L181)))</f>
        <v>0</v>
      </c>
      <c r="N181" s="95">
        <f>IF(N$11&lt;$C181,0,MIN($D181/$D$162,$D181-SUM($E181:M181)))</f>
        <v>0</v>
      </c>
      <c r="O181" s="95">
        <f>IF(O$11&lt;$C181,0,MIN($D181/$D$162,$D181-SUM($E181:N181)))</f>
        <v>0</v>
      </c>
      <c r="P181" s="95">
        <f>IF(P$11&lt;$C181,0,MIN($D181/$D$162,$D181-SUM($E181:O181)))</f>
        <v>0</v>
      </c>
      <c r="Q181" s="95">
        <f>IF(Q$11&lt;$C181,0,MIN($D181/$D$162,$D181-SUM($E181:P181)))</f>
        <v>0</v>
      </c>
      <c r="R181" s="95">
        <f>IF(R$11&lt;$C181,0,MIN($D181/$D$162,$D181-SUM($E181:Q181)))</f>
        <v>0</v>
      </c>
      <c r="S181" s="95">
        <f>IF(S$11&lt;$C181,0,MIN($D181/$D$162,$D181-SUM($E181:R181)))</f>
        <v>0</v>
      </c>
      <c r="T181" s="95">
        <f>IF(T$11&lt;$C181,0,MIN($D181/$D$162,$D181-SUM($E181:S181)))</f>
        <v>0</v>
      </c>
      <c r="U181" s="95">
        <f>IF(U$11&lt;$C181,0,MIN($D181/$D$162,$D181-SUM($E181:T181)))</f>
        <v>0</v>
      </c>
      <c r="V181" s="95">
        <f>IF(V$11&lt;$C181,0,MIN($D181/$D$162,$D181-SUM($E181:U181)))</f>
        <v>0</v>
      </c>
      <c r="W181" s="95">
        <f>IF(W$11&lt;$C181,0,MIN($D181/$D$162,$D181-SUM($E181:V181)))</f>
        <v>96140</v>
      </c>
      <c r="X181" s="95">
        <f>IF(X$11&lt;$C181,0,MIN($D181/$D$162,$D181-SUM($E181:W181)))</f>
        <v>96140</v>
      </c>
      <c r="Y181" s="95">
        <f>IF(Y$11&lt;$C181,0,MIN($D181/$D$162,$D181-SUM($E181:X181)))</f>
        <v>96140</v>
      </c>
      <c r="Z181" s="95">
        <f>IF(Z$11&lt;$C181,0,MIN($D181/$D$162,$D181-SUM($E181:Y181)))</f>
        <v>96140</v>
      </c>
      <c r="AA181" s="95">
        <f>IF(AA$11&lt;$C181,0,MIN($D181/$D$162,$D181-SUM($E181:Z181)))</f>
        <v>96140</v>
      </c>
      <c r="AB181" s="95">
        <f>IF(AB$11&lt;$C181,0,MIN($D181/$D$162,$D181-SUM($E181:AA181)))</f>
        <v>96140</v>
      </c>
      <c r="AC181" s="95">
        <f>IF(AC$11&lt;$C181,0,MIN($D181/$D$162,$D181-SUM($E181:AB181)))</f>
        <v>96140</v>
      </c>
      <c r="AD181" s="95">
        <f>IF(AD$11&lt;$C181,0,MIN($D181/$D$162,$D181-SUM($E181:AC181)))</f>
        <v>96140</v>
      </c>
    </row>
    <row r="182" spans="1:30">
      <c r="A182" s="95"/>
      <c r="B182" s="118">
        <f t="shared" si="52"/>
        <v>3</v>
      </c>
      <c r="C182">
        <f t="shared" si="53"/>
        <v>2040</v>
      </c>
      <c r="D182" s="95" cm="1">
        <f t="array" ref="D182">INDEX($F$14:$AD$16,$B182,MATCH($C182,$F$11:$AD$11,0))*$G$163</f>
        <v>471675</v>
      </c>
      <c r="E182" s="95"/>
      <c r="F182" s="95">
        <f>IF(F$11&lt;$C182,0,MIN($D182/$D$162,$D182-SUM($E182:E182)))</f>
        <v>0</v>
      </c>
      <c r="G182" s="95">
        <f>IF(G$11&lt;$C182,0,MIN($D182/$D$162,$D182-SUM($E182:F182)))</f>
        <v>0</v>
      </c>
      <c r="H182" s="95">
        <f>IF(H$11&lt;$C182,0,MIN($D182/$D$162,$D182-SUM($E182:G182)))</f>
        <v>0</v>
      </c>
      <c r="I182" s="95">
        <f>IF(I$11&lt;$C182,0,MIN($D182/$D$162,$D182-SUM($E182:H182)))</f>
        <v>0</v>
      </c>
      <c r="J182" s="95">
        <f>IF(J$11&lt;$C182,0,MIN($D182/$D$162,$D182-SUM($E182:I182)))</f>
        <v>0</v>
      </c>
      <c r="K182" s="95">
        <f>IF(K$11&lt;$C182,0,MIN($D182/$D$162,$D182-SUM($E182:J182)))</f>
        <v>0</v>
      </c>
      <c r="L182" s="95">
        <f>IF(L$11&lt;$C182,0,MIN($D182/$D$162,$D182-SUM($E182:K182)))</f>
        <v>0</v>
      </c>
      <c r="M182" s="95">
        <f>IF(M$11&lt;$C182,0,MIN($D182/$D$162,$D182-SUM($E182:L182)))</f>
        <v>0</v>
      </c>
      <c r="N182" s="95">
        <f>IF(N$11&lt;$C182,0,MIN($D182/$D$162,$D182-SUM($E182:M182)))</f>
        <v>0</v>
      </c>
      <c r="O182" s="95">
        <f>IF(O$11&lt;$C182,0,MIN($D182/$D$162,$D182-SUM($E182:N182)))</f>
        <v>0</v>
      </c>
      <c r="P182" s="95">
        <f>IF(P$11&lt;$C182,0,MIN($D182/$D$162,$D182-SUM($E182:O182)))</f>
        <v>0</v>
      </c>
      <c r="Q182" s="95">
        <f>IF(Q$11&lt;$C182,0,MIN($D182/$D$162,$D182-SUM($E182:P182)))</f>
        <v>0</v>
      </c>
      <c r="R182" s="95">
        <f>IF(R$11&lt;$C182,0,MIN($D182/$D$162,$D182-SUM($E182:Q182)))</f>
        <v>0</v>
      </c>
      <c r="S182" s="95">
        <f>IF(S$11&lt;$C182,0,MIN($D182/$D$162,$D182-SUM($E182:R182)))</f>
        <v>0</v>
      </c>
      <c r="T182" s="95">
        <f>IF(T$11&lt;$C182,0,MIN($D182/$D$162,$D182-SUM($E182:S182)))</f>
        <v>0</v>
      </c>
      <c r="U182" s="95">
        <f>IF(U$11&lt;$C182,0,MIN($D182/$D$162,$D182-SUM($E182:T182)))</f>
        <v>0</v>
      </c>
      <c r="V182" s="95">
        <f>IF(V$11&lt;$C182,0,MIN($D182/$D$162,$D182-SUM($E182:U182)))</f>
        <v>0</v>
      </c>
      <c r="W182" s="95">
        <f>IF(W$11&lt;$C182,0,MIN($D182/$D$162,$D182-SUM($E182:V182)))</f>
        <v>0</v>
      </c>
      <c r="X182" s="95">
        <f>IF(X$11&lt;$C182,0,MIN($D182/$D$162,$D182-SUM($E182:W182)))</f>
        <v>31445</v>
      </c>
      <c r="Y182" s="95">
        <f>IF(Y$11&lt;$C182,0,MIN($D182/$D$162,$D182-SUM($E182:X182)))</f>
        <v>31445</v>
      </c>
      <c r="Z182" s="95">
        <f>IF(Z$11&lt;$C182,0,MIN($D182/$D$162,$D182-SUM($E182:Y182)))</f>
        <v>31445</v>
      </c>
      <c r="AA182" s="95">
        <f>IF(AA$11&lt;$C182,0,MIN($D182/$D$162,$D182-SUM($E182:Z182)))</f>
        <v>31445</v>
      </c>
      <c r="AB182" s="95">
        <f>IF(AB$11&lt;$C182,0,MIN($D182/$D$162,$D182-SUM($E182:AA182)))</f>
        <v>31445</v>
      </c>
      <c r="AC182" s="95">
        <f>IF(AC$11&lt;$C182,0,MIN($D182/$D$162,$D182-SUM($E182:AB182)))</f>
        <v>31445</v>
      </c>
      <c r="AD182" s="95">
        <f>IF(AD$11&lt;$C182,0,MIN($D182/$D$162,$D182-SUM($E182:AC182)))</f>
        <v>31445</v>
      </c>
    </row>
    <row r="183" spans="1:30">
      <c r="A183" s="95"/>
      <c r="B183" s="118">
        <f t="shared" si="52"/>
        <v>3</v>
      </c>
      <c r="C183">
        <f t="shared" si="53"/>
        <v>2041</v>
      </c>
      <c r="D183" s="95" cm="1">
        <f t="array" ref="D183">INDEX($F$14:$AD$16,$B183,MATCH($C183,$F$11:$AD$11,0))*$G$163</f>
        <v>548625</v>
      </c>
      <c r="E183" s="95"/>
      <c r="F183" s="95">
        <f>IF(F$11&lt;$C183,0,MIN($D183/$D$162,$D183-SUM($E183:E183)))</f>
        <v>0</v>
      </c>
      <c r="G183" s="95">
        <f>IF(G$11&lt;$C183,0,MIN($D183/$D$162,$D183-SUM($E183:F183)))</f>
        <v>0</v>
      </c>
      <c r="H183" s="95">
        <f>IF(H$11&lt;$C183,0,MIN($D183/$D$162,$D183-SUM($E183:G183)))</f>
        <v>0</v>
      </c>
      <c r="I183" s="95">
        <f>IF(I$11&lt;$C183,0,MIN($D183/$D$162,$D183-SUM($E183:H183)))</f>
        <v>0</v>
      </c>
      <c r="J183" s="95">
        <f>IF(J$11&lt;$C183,0,MIN($D183/$D$162,$D183-SUM($E183:I183)))</f>
        <v>0</v>
      </c>
      <c r="K183" s="95">
        <f>IF(K$11&lt;$C183,0,MIN($D183/$D$162,$D183-SUM($E183:J183)))</f>
        <v>0</v>
      </c>
      <c r="L183" s="95">
        <f>IF(L$11&lt;$C183,0,MIN($D183/$D$162,$D183-SUM($E183:K183)))</f>
        <v>0</v>
      </c>
      <c r="M183" s="95">
        <f>IF(M$11&lt;$C183,0,MIN($D183/$D$162,$D183-SUM($E183:L183)))</f>
        <v>0</v>
      </c>
      <c r="N183" s="95">
        <f>IF(N$11&lt;$C183,0,MIN($D183/$D$162,$D183-SUM($E183:M183)))</f>
        <v>0</v>
      </c>
      <c r="O183" s="95">
        <f>IF(O$11&lt;$C183,0,MIN($D183/$D$162,$D183-SUM($E183:N183)))</f>
        <v>0</v>
      </c>
      <c r="P183" s="95">
        <f>IF(P$11&lt;$C183,0,MIN($D183/$D$162,$D183-SUM($E183:O183)))</f>
        <v>0</v>
      </c>
      <c r="Q183" s="95">
        <f>IF(Q$11&lt;$C183,0,MIN($D183/$D$162,$D183-SUM($E183:P183)))</f>
        <v>0</v>
      </c>
      <c r="R183" s="95">
        <f>IF(R$11&lt;$C183,0,MIN($D183/$D$162,$D183-SUM($E183:Q183)))</f>
        <v>0</v>
      </c>
      <c r="S183" s="95">
        <f>IF(S$11&lt;$C183,0,MIN($D183/$D$162,$D183-SUM($E183:R183)))</f>
        <v>0</v>
      </c>
      <c r="T183" s="95">
        <f>IF(T$11&lt;$C183,0,MIN($D183/$D$162,$D183-SUM($E183:S183)))</f>
        <v>0</v>
      </c>
      <c r="U183" s="95">
        <f>IF(U$11&lt;$C183,0,MIN($D183/$D$162,$D183-SUM($E183:T183)))</f>
        <v>0</v>
      </c>
      <c r="V183" s="95">
        <f>IF(V$11&lt;$C183,0,MIN($D183/$D$162,$D183-SUM($E183:U183)))</f>
        <v>0</v>
      </c>
      <c r="W183" s="95">
        <f>IF(W$11&lt;$C183,0,MIN($D183/$D$162,$D183-SUM($E183:V183)))</f>
        <v>0</v>
      </c>
      <c r="X183" s="95">
        <f>IF(X$11&lt;$C183,0,MIN($D183/$D$162,$D183-SUM($E183:W183)))</f>
        <v>0</v>
      </c>
      <c r="Y183" s="95">
        <f>IF(Y$11&lt;$C183,0,MIN($D183/$D$162,$D183-SUM($E183:X183)))</f>
        <v>36575</v>
      </c>
      <c r="Z183" s="95">
        <f>IF(Z$11&lt;$C183,0,MIN($D183/$D$162,$D183-SUM($E183:Y183)))</f>
        <v>36575</v>
      </c>
      <c r="AA183" s="95">
        <f>IF(AA$11&lt;$C183,0,MIN($D183/$D$162,$D183-SUM($E183:Z183)))</f>
        <v>36575</v>
      </c>
      <c r="AB183" s="95">
        <f>IF(AB$11&lt;$C183,0,MIN($D183/$D$162,$D183-SUM($E183:AA183)))</f>
        <v>36575</v>
      </c>
      <c r="AC183" s="95">
        <f>IF(AC$11&lt;$C183,0,MIN($D183/$D$162,$D183-SUM($E183:AB183)))</f>
        <v>36575</v>
      </c>
      <c r="AD183" s="95">
        <f>IF(AD$11&lt;$C183,0,MIN($D183/$D$162,$D183-SUM($E183:AC183)))</f>
        <v>36575</v>
      </c>
    </row>
    <row r="184" spans="1:30">
      <c r="A184" s="95"/>
      <c r="B184" s="118">
        <f t="shared" si="52"/>
        <v>3</v>
      </c>
      <c r="C184">
        <f t="shared" si="53"/>
        <v>2042</v>
      </c>
      <c r="D184" s="95" cm="1">
        <f t="array" ref="D184">INDEX($F$14:$AD$16,$B184,MATCH($C184,$F$11:$AD$11,0))*$G$163</f>
        <v>1660125</v>
      </c>
      <c r="E184" s="95"/>
      <c r="F184" s="95">
        <f>IF(F$11&lt;$C184,0,MIN($D184/$D$162,$D184-SUM($E184:E184)))</f>
        <v>0</v>
      </c>
      <c r="G184" s="95">
        <f>IF(G$11&lt;$C184,0,MIN($D184/$D$162,$D184-SUM($E184:F184)))</f>
        <v>0</v>
      </c>
      <c r="H184" s="95">
        <f>IF(H$11&lt;$C184,0,MIN($D184/$D$162,$D184-SUM($E184:G184)))</f>
        <v>0</v>
      </c>
      <c r="I184" s="95">
        <f>IF(I$11&lt;$C184,0,MIN($D184/$D$162,$D184-SUM($E184:H184)))</f>
        <v>0</v>
      </c>
      <c r="J184" s="95">
        <f>IF(J$11&lt;$C184,0,MIN($D184/$D$162,$D184-SUM($E184:I184)))</f>
        <v>0</v>
      </c>
      <c r="K184" s="95">
        <f>IF(K$11&lt;$C184,0,MIN($D184/$D$162,$D184-SUM($E184:J184)))</f>
        <v>0</v>
      </c>
      <c r="L184" s="95">
        <f>IF(L$11&lt;$C184,0,MIN($D184/$D$162,$D184-SUM($E184:K184)))</f>
        <v>0</v>
      </c>
      <c r="M184" s="95">
        <f>IF(M$11&lt;$C184,0,MIN($D184/$D$162,$D184-SUM($E184:L184)))</f>
        <v>0</v>
      </c>
      <c r="N184" s="95">
        <f>IF(N$11&lt;$C184,0,MIN($D184/$D$162,$D184-SUM($E184:M184)))</f>
        <v>0</v>
      </c>
      <c r="O184" s="95">
        <f>IF(O$11&lt;$C184,0,MIN($D184/$D$162,$D184-SUM($E184:N184)))</f>
        <v>0</v>
      </c>
      <c r="P184" s="95">
        <f>IF(P$11&lt;$C184,0,MIN($D184/$D$162,$D184-SUM($E184:O184)))</f>
        <v>0</v>
      </c>
      <c r="Q184" s="95">
        <f>IF(Q$11&lt;$C184,0,MIN($D184/$D$162,$D184-SUM($E184:P184)))</f>
        <v>0</v>
      </c>
      <c r="R184" s="95">
        <f>IF(R$11&lt;$C184,0,MIN($D184/$D$162,$D184-SUM($E184:Q184)))</f>
        <v>0</v>
      </c>
      <c r="S184" s="95">
        <f>IF(S$11&lt;$C184,0,MIN($D184/$D$162,$D184-SUM($E184:R184)))</f>
        <v>0</v>
      </c>
      <c r="T184" s="95">
        <f>IF(T$11&lt;$C184,0,MIN($D184/$D$162,$D184-SUM($E184:S184)))</f>
        <v>0</v>
      </c>
      <c r="U184" s="95">
        <f>IF(U$11&lt;$C184,0,MIN($D184/$D$162,$D184-SUM($E184:T184)))</f>
        <v>0</v>
      </c>
      <c r="V184" s="95">
        <f>IF(V$11&lt;$C184,0,MIN($D184/$D$162,$D184-SUM($E184:U184)))</f>
        <v>0</v>
      </c>
      <c r="W184" s="95">
        <f>IF(W$11&lt;$C184,0,MIN($D184/$D$162,$D184-SUM($E184:V184)))</f>
        <v>0</v>
      </c>
      <c r="X184" s="95">
        <f>IF(X$11&lt;$C184,0,MIN($D184/$D$162,$D184-SUM($E184:W184)))</f>
        <v>0</v>
      </c>
      <c r="Y184" s="95">
        <f>IF(Y$11&lt;$C184,0,MIN($D184/$D$162,$D184-SUM($E184:X184)))</f>
        <v>0</v>
      </c>
      <c r="Z184" s="95">
        <f>IF(Z$11&lt;$C184,0,MIN($D184/$D$162,$D184-SUM($E184:Y184)))</f>
        <v>110675</v>
      </c>
      <c r="AA184" s="95">
        <f>IF(AA$11&lt;$C184,0,MIN($D184/$D$162,$D184-SUM($E184:Z184)))</f>
        <v>110675</v>
      </c>
      <c r="AB184" s="95">
        <f>IF(AB$11&lt;$C184,0,MIN($D184/$D$162,$D184-SUM($E184:AA184)))</f>
        <v>110675</v>
      </c>
      <c r="AC184" s="95">
        <f>IF(AC$11&lt;$C184,0,MIN($D184/$D$162,$D184-SUM($E184:AB184)))</f>
        <v>110675</v>
      </c>
      <c r="AD184" s="95">
        <f>IF(AD$11&lt;$C184,0,MIN($D184/$D$162,$D184-SUM($E184:AC184)))</f>
        <v>110675</v>
      </c>
    </row>
    <row r="185" spans="1:30">
      <c r="A185" s="95"/>
      <c r="B185" s="118">
        <f t="shared" si="52"/>
        <v>3</v>
      </c>
      <c r="C185">
        <f t="shared" si="53"/>
        <v>2043</v>
      </c>
      <c r="D185" s="95" cm="1">
        <f t="array" ref="D185">INDEX($F$14:$AD$16,$B185,MATCH($C185,$F$11:$AD$11,0))*$G$163</f>
        <v>1376550</v>
      </c>
      <c r="E185" s="95"/>
      <c r="F185" s="95">
        <f>IF(F$11&lt;$C185,0,MIN($D185/$D$162,$D185-SUM($E185:E185)))</f>
        <v>0</v>
      </c>
      <c r="G185" s="95">
        <f>IF(G$11&lt;$C185,0,MIN($D185/$D$162,$D185-SUM($E185:F185)))</f>
        <v>0</v>
      </c>
      <c r="H185" s="95">
        <f>IF(H$11&lt;$C185,0,MIN($D185/$D$162,$D185-SUM($E185:G185)))</f>
        <v>0</v>
      </c>
      <c r="I185" s="95">
        <f>IF(I$11&lt;$C185,0,MIN($D185/$D$162,$D185-SUM($E185:H185)))</f>
        <v>0</v>
      </c>
      <c r="J185" s="95">
        <f>IF(J$11&lt;$C185,0,MIN($D185/$D$162,$D185-SUM($E185:I185)))</f>
        <v>0</v>
      </c>
      <c r="K185" s="95">
        <f>IF(K$11&lt;$C185,0,MIN($D185/$D$162,$D185-SUM($E185:J185)))</f>
        <v>0</v>
      </c>
      <c r="L185" s="95">
        <f>IF(L$11&lt;$C185,0,MIN($D185/$D$162,$D185-SUM($E185:K185)))</f>
        <v>0</v>
      </c>
      <c r="M185" s="95">
        <f>IF(M$11&lt;$C185,0,MIN($D185/$D$162,$D185-SUM($E185:L185)))</f>
        <v>0</v>
      </c>
      <c r="N185" s="95">
        <f>IF(N$11&lt;$C185,0,MIN($D185/$D$162,$D185-SUM($E185:M185)))</f>
        <v>0</v>
      </c>
      <c r="O185" s="95">
        <f>IF(O$11&lt;$C185,0,MIN($D185/$D$162,$D185-SUM($E185:N185)))</f>
        <v>0</v>
      </c>
      <c r="P185" s="95">
        <f>IF(P$11&lt;$C185,0,MIN($D185/$D$162,$D185-SUM($E185:O185)))</f>
        <v>0</v>
      </c>
      <c r="Q185" s="95">
        <f>IF(Q$11&lt;$C185,0,MIN($D185/$D$162,$D185-SUM($E185:P185)))</f>
        <v>0</v>
      </c>
      <c r="R185" s="95">
        <f>IF(R$11&lt;$C185,0,MIN($D185/$D$162,$D185-SUM($E185:Q185)))</f>
        <v>0</v>
      </c>
      <c r="S185" s="95">
        <f>IF(S$11&lt;$C185,0,MIN($D185/$D$162,$D185-SUM($E185:R185)))</f>
        <v>0</v>
      </c>
      <c r="T185" s="95">
        <f>IF(T$11&lt;$C185,0,MIN($D185/$D$162,$D185-SUM($E185:S185)))</f>
        <v>0</v>
      </c>
      <c r="U185" s="95">
        <f>IF(U$11&lt;$C185,0,MIN($D185/$D$162,$D185-SUM($E185:T185)))</f>
        <v>0</v>
      </c>
      <c r="V185" s="95">
        <f>IF(V$11&lt;$C185,0,MIN($D185/$D$162,$D185-SUM($E185:U185)))</f>
        <v>0</v>
      </c>
      <c r="W185" s="95">
        <f>IF(W$11&lt;$C185,0,MIN($D185/$D$162,$D185-SUM($E185:V185)))</f>
        <v>0</v>
      </c>
      <c r="X185" s="95">
        <f>IF(X$11&lt;$C185,0,MIN($D185/$D$162,$D185-SUM($E185:W185)))</f>
        <v>0</v>
      </c>
      <c r="Y185" s="95">
        <f>IF(Y$11&lt;$C185,0,MIN($D185/$D$162,$D185-SUM($E185:X185)))</f>
        <v>0</v>
      </c>
      <c r="Z185" s="95">
        <f>IF(Z$11&lt;$C185,0,MIN($D185/$D$162,$D185-SUM($E185:Y185)))</f>
        <v>0</v>
      </c>
      <c r="AA185" s="95">
        <f>IF(AA$11&lt;$C185,0,MIN($D185/$D$162,$D185-SUM($E185:Z185)))</f>
        <v>91770</v>
      </c>
      <c r="AB185" s="95">
        <f>IF(AB$11&lt;$C185,0,MIN($D185/$D$162,$D185-SUM($E185:AA185)))</f>
        <v>91770</v>
      </c>
      <c r="AC185" s="95">
        <f>IF(AC$11&lt;$C185,0,MIN($D185/$D$162,$D185-SUM($E185:AB185)))</f>
        <v>91770</v>
      </c>
      <c r="AD185" s="95">
        <f>IF(AD$11&lt;$C185,0,MIN($D185/$D$162,$D185-SUM($E185:AC185)))</f>
        <v>91770</v>
      </c>
    </row>
    <row r="186" spans="1:30">
      <c r="A186" s="95"/>
      <c r="B186" s="118">
        <f t="shared" si="52"/>
        <v>3</v>
      </c>
      <c r="C186">
        <f t="shared" si="53"/>
        <v>2044</v>
      </c>
      <c r="D186" s="95" cm="1">
        <f t="array" ref="D186">INDEX($F$14:$AD$16,$B186,MATCH($C186,$F$11:$AD$11,0))*$G$163</f>
        <v>676875</v>
      </c>
      <c r="E186" s="95"/>
      <c r="F186" s="95">
        <f>IF(F$11&lt;$C186,0,MIN($D186/$D$162,$D186-SUM($E186:E186)))</f>
        <v>0</v>
      </c>
      <c r="G186" s="95">
        <f>IF(G$11&lt;$C186,0,MIN($D186/$D$162,$D186-SUM($E186:F186)))</f>
        <v>0</v>
      </c>
      <c r="H186" s="95">
        <f>IF(H$11&lt;$C186,0,MIN($D186/$D$162,$D186-SUM($E186:G186)))</f>
        <v>0</v>
      </c>
      <c r="I186" s="95">
        <f>IF(I$11&lt;$C186,0,MIN($D186/$D$162,$D186-SUM($E186:H186)))</f>
        <v>0</v>
      </c>
      <c r="J186" s="95">
        <f>IF(J$11&lt;$C186,0,MIN($D186/$D$162,$D186-SUM($E186:I186)))</f>
        <v>0</v>
      </c>
      <c r="K186" s="95">
        <f>IF(K$11&lt;$C186,0,MIN($D186/$D$162,$D186-SUM($E186:J186)))</f>
        <v>0</v>
      </c>
      <c r="L186" s="95">
        <f>IF(L$11&lt;$C186,0,MIN($D186/$D$162,$D186-SUM($E186:K186)))</f>
        <v>0</v>
      </c>
      <c r="M186" s="95">
        <f>IF(M$11&lt;$C186,0,MIN($D186/$D$162,$D186-SUM($E186:L186)))</f>
        <v>0</v>
      </c>
      <c r="N186" s="95">
        <f>IF(N$11&lt;$C186,0,MIN($D186/$D$162,$D186-SUM($E186:M186)))</f>
        <v>0</v>
      </c>
      <c r="O186" s="95">
        <f>IF(O$11&lt;$C186,0,MIN($D186/$D$162,$D186-SUM($E186:N186)))</f>
        <v>0</v>
      </c>
      <c r="P186" s="95">
        <f>IF(P$11&lt;$C186,0,MIN($D186/$D$162,$D186-SUM($E186:O186)))</f>
        <v>0</v>
      </c>
      <c r="Q186" s="95">
        <f>IF(Q$11&lt;$C186,0,MIN($D186/$D$162,$D186-SUM($E186:P186)))</f>
        <v>0</v>
      </c>
      <c r="R186" s="95">
        <f>IF(R$11&lt;$C186,0,MIN($D186/$D$162,$D186-SUM($E186:Q186)))</f>
        <v>0</v>
      </c>
      <c r="S186" s="95">
        <f>IF(S$11&lt;$C186,0,MIN($D186/$D$162,$D186-SUM($E186:R186)))</f>
        <v>0</v>
      </c>
      <c r="T186" s="95">
        <f>IF(T$11&lt;$C186,0,MIN($D186/$D$162,$D186-SUM($E186:S186)))</f>
        <v>0</v>
      </c>
      <c r="U186" s="95">
        <f>IF(U$11&lt;$C186,0,MIN($D186/$D$162,$D186-SUM($E186:T186)))</f>
        <v>0</v>
      </c>
      <c r="V186" s="95">
        <f>IF(V$11&lt;$C186,0,MIN($D186/$D$162,$D186-SUM($E186:U186)))</f>
        <v>0</v>
      </c>
      <c r="W186" s="95">
        <f>IF(W$11&lt;$C186,0,MIN($D186/$D$162,$D186-SUM($E186:V186)))</f>
        <v>0</v>
      </c>
      <c r="X186" s="95">
        <f>IF(X$11&lt;$C186,0,MIN($D186/$D$162,$D186-SUM($E186:W186)))</f>
        <v>0</v>
      </c>
      <c r="Y186" s="95">
        <f>IF(Y$11&lt;$C186,0,MIN($D186/$D$162,$D186-SUM($E186:X186)))</f>
        <v>0</v>
      </c>
      <c r="Z186" s="95">
        <f>IF(Z$11&lt;$C186,0,MIN($D186/$D$162,$D186-SUM($E186:Y186)))</f>
        <v>0</v>
      </c>
      <c r="AA186" s="95">
        <f>IF(AA$11&lt;$C186,0,MIN($D186/$D$162,$D186-SUM($E186:Z186)))</f>
        <v>0</v>
      </c>
      <c r="AB186" s="95">
        <f>IF(AB$11&lt;$C186,0,MIN($D186/$D$162,$D186-SUM($E186:AA186)))</f>
        <v>45125</v>
      </c>
      <c r="AC186" s="95">
        <f>IF(AC$11&lt;$C186,0,MIN($D186/$D$162,$D186-SUM($E186:AB186)))</f>
        <v>45125</v>
      </c>
      <c r="AD186" s="95">
        <f>IF(AD$11&lt;$C186,0,MIN($D186/$D$162,$D186-SUM($E186:AC186)))</f>
        <v>45125</v>
      </c>
    </row>
    <row r="187" spans="1:30">
      <c r="A187" s="95"/>
      <c r="B187" s="118">
        <f t="shared" si="52"/>
        <v>3</v>
      </c>
      <c r="C187">
        <f t="shared" si="53"/>
        <v>2045</v>
      </c>
      <c r="D187" s="95" cm="1">
        <f t="array" ref="D187">INDEX($F$14:$AD$16,$B187,MATCH($C187,$F$11:$AD$11,0))*$G$163</f>
        <v>1768425</v>
      </c>
      <c r="E187" s="95"/>
      <c r="F187" s="95">
        <f>IF(F$11&lt;$C187,0,MIN($D187/$D$162,$D187-SUM($E187:E187)))</f>
        <v>0</v>
      </c>
      <c r="G187" s="95">
        <f>IF(G$11&lt;$C187,0,MIN($D187/$D$162,$D187-SUM($E187:F187)))</f>
        <v>0</v>
      </c>
      <c r="H187" s="95">
        <f>IF(H$11&lt;$C187,0,MIN($D187/$D$162,$D187-SUM($E187:G187)))</f>
        <v>0</v>
      </c>
      <c r="I187" s="95">
        <f>IF(I$11&lt;$C187,0,MIN($D187/$D$162,$D187-SUM($E187:H187)))</f>
        <v>0</v>
      </c>
      <c r="J187" s="95">
        <f>IF(J$11&lt;$C187,0,MIN($D187/$D$162,$D187-SUM($E187:I187)))</f>
        <v>0</v>
      </c>
      <c r="K187" s="95">
        <f>IF(K$11&lt;$C187,0,MIN($D187/$D$162,$D187-SUM($E187:J187)))</f>
        <v>0</v>
      </c>
      <c r="L187" s="95">
        <f>IF(L$11&lt;$C187,0,MIN($D187/$D$162,$D187-SUM($E187:K187)))</f>
        <v>0</v>
      </c>
      <c r="M187" s="95">
        <f>IF(M$11&lt;$C187,0,MIN($D187/$D$162,$D187-SUM($E187:L187)))</f>
        <v>0</v>
      </c>
      <c r="N187" s="95">
        <f>IF(N$11&lt;$C187,0,MIN($D187/$D$162,$D187-SUM($E187:M187)))</f>
        <v>0</v>
      </c>
      <c r="O187" s="95">
        <f>IF(O$11&lt;$C187,0,MIN($D187/$D$162,$D187-SUM($E187:N187)))</f>
        <v>0</v>
      </c>
      <c r="P187" s="95">
        <f>IF(P$11&lt;$C187,0,MIN($D187/$D$162,$D187-SUM($E187:O187)))</f>
        <v>0</v>
      </c>
      <c r="Q187" s="95">
        <f>IF(Q$11&lt;$C187,0,MIN($D187/$D$162,$D187-SUM($E187:P187)))</f>
        <v>0</v>
      </c>
      <c r="R187" s="95">
        <f>IF(R$11&lt;$C187,0,MIN($D187/$D$162,$D187-SUM($E187:Q187)))</f>
        <v>0</v>
      </c>
      <c r="S187" s="95">
        <f>IF(S$11&lt;$C187,0,MIN($D187/$D$162,$D187-SUM($E187:R187)))</f>
        <v>0</v>
      </c>
      <c r="T187" s="95">
        <f>IF(T$11&lt;$C187,0,MIN($D187/$D$162,$D187-SUM($E187:S187)))</f>
        <v>0</v>
      </c>
      <c r="U187" s="95">
        <f>IF(U$11&lt;$C187,0,MIN($D187/$D$162,$D187-SUM($E187:T187)))</f>
        <v>0</v>
      </c>
      <c r="V187" s="95">
        <f>IF(V$11&lt;$C187,0,MIN($D187/$D$162,$D187-SUM($E187:U187)))</f>
        <v>0</v>
      </c>
      <c r="W187" s="95">
        <f>IF(W$11&lt;$C187,0,MIN($D187/$D$162,$D187-SUM($E187:V187)))</f>
        <v>0</v>
      </c>
      <c r="X187" s="95">
        <f>IF(X$11&lt;$C187,0,MIN($D187/$D$162,$D187-SUM($E187:W187)))</f>
        <v>0</v>
      </c>
      <c r="Y187" s="95">
        <f>IF(Y$11&lt;$C187,0,MIN($D187/$D$162,$D187-SUM($E187:X187)))</f>
        <v>0</v>
      </c>
      <c r="Z187" s="95">
        <f>IF(Z$11&lt;$C187,0,MIN($D187/$D$162,$D187-SUM($E187:Y187)))</f>
        <v>0</v>
      </c>
      <c r="AA187" s="95">
        <f>IF(AA$11&lt;$C187,0,MIN($D187/$D$162,$D187-SUM($E187:Z187)))</f>
        <v>0</v>
      </c>
      <c r="AB187" s="95">
        <f>IF(AB$11&lt;$C187,0,MIN($D187/$D$162,$D187-SUM($E187:AA187)))</f>
        <v>0</v>
      </c>
      <c r="AC187" s="95">
        <f>IF(AC$11&lt;$C187,0,MIN($D187/$D$162,$D187-SUM($E187:AB187)))</f>
        <v>117895</v>
      </c>
      <c r="AD187" s="95">
        <f>IF(AD$11&lt;$C187,0,MIN($D187/$D$162,$D187-SUM($E187:AC187)))</f>
        <v>117895</v>
      </c>
    </row>
    <row r="188" spans="1:30">
      <c r="A188" s="95"/>
      <c r="B188" s="118">
        <f t="shared" si="52"/>
        <v>3</v>
      </c>
      <c r="C188">
        <f t="shared" si="53"/>
        <v>2046</v>
      </c>
      <c r="D188" s="95" cm="1">
        <f t="array" ref="D188">INDEX($F$14:$AD$16,$B188,MATCH($C188,$F$11:$AD$11,0))*$G$163</f>
        <v>2140350</v>
      </c>
      <c r="E188" s="95"/>
      <c r="F188" s="95">
        <f>IF(F$11&lt;$C188,0,MIN($D188/$D$162,$D188-SUM($E188:E188)))</f>
        <v>0</v>
      </c>
      <c r="G188" s="95">
        <f>IF(G$11&lt;$C188,0,MIN($D188/$D$162,$D188-SUM($E188:F188)))</f>
        <v>0</v>
      </c>
      <c r="H188" s="95">
        <f>IF(H$11&lt;$C188,0,MIN($D188/$D$162,$D188-SUM($E188:G188)))</f>
        <v>0</v>
      </c>
      <c r="I188" s="95">
        <f>IF(I$11&lt;$C188,0,MIN($D188/$D$162,$D188-SUM($E188:H188)))</f>
        <v>0</v>
      </c>
      <c r="J188" s="95">
        <f>IF(J$11&lt;$C188,0,MIN($D188/$D$162,$D188-SUM($E188:I188)))</f>
        <v>0</v>
      </c>
      <c r="K188" s="95">
        <f>IF(K$11&lt;$C188,0,MIN($D188/$D$162,$D188-SUM($E188:J188)))</f>
        <v>0</v>
      </c>
      <c r="L188" s="95">
        <f>IF(L$11&lt;$C188,0,MIN($D188/$D$162,$D188-SUM($E188:K188)))</f>
        <v>0</v>
      </c>
      <c r="M188" s="95">
        <f>IF(M$11&lt;$C188,0,MIN($D188/$D$162,$D188-SUM($E188:L188)))</f>
        <v>0</v>
      </c>
      <c r="N188" s="95">
        <f>IF(N$11&lt;$C188,0,MIN($D188/$D$162,$D188-SUM($E188:M188)))</f>
        <v>0</v>
      </c>
      <c r="O188" s="95">
        <f>IF(O$11&lt;$C188,0,MIN($D188/$D$162,$D188-SUM($E188:N188)))</f>
        <v>0</v>
      </c>
      <c r="P188" s="95">
        <f>IF(P$11&lt;$C188,0,MIN($D188/$D$162,$D188-SUM($E188:O188)))</f>
        <v>0</v>
      </c>
      <c r="Q188" s="95">
        <f>IF(Q$11&lt;$C188,0,MIN($D188/$D$162,$D188-SUM($E188:P188)))</f>
        <v>0</v>
      </c>
      <c r="R188" s="95">
        <f>IF(R$11&lt;$C188,0,MIN($D188/$D$162,$D188-SUM($E188:Q188)))</f>
        <v>0</v>
      </c>
      <c r="S188" s="95">
        <f>IF(S$11&lt;$C188,0,MIN($D188/$D$162,$D188-SUM($E188:R188)))</f>
        <v>0</v>
      </c>
      <c r="T188" s="95">
        <f>IF(T$11&lt;$C188,0,MIN($D188/$D$162,$D188-SUM($E188:S188)))</f>
        <v>0</v>
      </c>
      <c r="U188" s="95">
        <f>IF(U$11&lt;$C188,0,MIN($D188/$D$162,$D188-SUM($E188:T188)))</f>
        <v>0</v>
      </c>
      <c r="V188" s="95">
        <f>IF(V$11&lt;$C188,0,MIN($D188/$D$162,$D188-SUM($E188:U188)))</f>
        <v>0</v>
      </c>
      <c r="W188" s="95">
        <f>IF(W$11&lt;$C188,0,MIN($D188/$D$162,$D188-SUM($E188:V188)))</f>
        <v>0</v>
      </c>
      <c r="X188" s="95">
        <f>IF(X$11&lt;$C188,0,MIN($D188/$D$162,$D188-SUM($E188:W188)))</f>
        <v>0</v>
      </c>
      <c r="Y188" s="95">
        <f>IF(Y$11&lt;$C188,0,MIN($D188/$D$162,$D188-SUM($E188:X188)))</f>
        <v>0</v>
      </c>
      <c r="Z188" s="95">
        <f>IF(Z$11&lt;$C188,0,MIN($D188/$D$162,$D188-SUM($E188:Y188)))</f>
        <v>0</v>
      </c>
      <c r="AA188" s="95">
        <f>IF(AA$11&lt;$C188,0,MIN($D188/$D$162,$D188-SUM($E188:Z188)))</f>
        <v>0</v>
      </c>
      <c r="AB188" s="95">
        <f>IF(AB$11&lt;$C188,0,MIN($D188/$D$162,$D188-SUM($E188:AA188)))</f>
        <v>0</v>
      </c>
      <c r="AC188" s="95">
        <f>IF(AC$11&lt;$C188,0,MIN($D188/$D$162,$D188-SUM($E188:AB188)))</f>
        <v>0</v>
      </c>
      <c r="AD188" s="95">
        <f>IF(AD$11&lt;$C188,0,MIN($D188/$D$162,$D188-SUM($E188:AC188)))</f>
        <v>142690</v>
      </c>
    </row>
    <row r="189" spans="1:30" ht="14.4">
      <c r="C189" s="108" t="str">
        <f>"Total "&amp;C162</f>
        <v>Total Long Term</v>
      </c>
      <c r="D189" s="109" t="s">
        <v>68</v>
      </c>
      <c r="E189" s="109"/>
      <c r="F189" s="110">
        <f>SUM(F164:F188)</f>
        <v>214890</v>
      </c>
      <c r="G189" s="110">
        <f t="shared" ref="G189:AD189" si="54">SUM(G164:G188)</f>
        <v>257450</v>
      </c>
      <c r="H189" s="110">
        <f t="shared" si="54"/>
        <v>404985</v>
      </c>
      <c r="I189" s="110">
        <f t="shared" si="54"/>
        <v>440895</v>
      </c>
      <c r="J189" s="110">
        <f t="shared" si="54"/>
        <v>593465</v>
      </c>
      <c r="K189" s="110">
        <f t="shared" si="54"/>
        <v>752970</v>
      </c>
      <c r="L189" s="110">
        <f t="shared" si="54"/>
        <v>885495</v>
      </c>
      <c r="M189" s="110">
        <f t="shared" si="54"/>
        <v>893570</v>
      </c>
      <c r="N189" s="110">
        <f t="shared" si="54"/>
        <v>893570</v>
      </c>
      <c r="O189" s="110">
        <f t="shared" si="54"/>
        <v>947815</v>
      </c>
      <c r="P189" s="110">
        <f t="shared" si="54"/>
        <v>1026950</v>
      </c>
      <c r="Q189" s="110">
        <f t="shared" si="54"/>
        <v>1118530</v>
      </c>
      <c r="R189" s="110">
        <f t="shared" si="54"/>
        <v>1155580</v>
      </c>
      <c r="S189" s="110">
        <f t="shared" si="54"/>
        <v>1325060</v>
      </c>
      <c r="T189" s="110">
        <f t="shared" si="54"/>
        <v>1438965</v>
      </c>
      <c r="U189" s="110">
        <f t="shared" si="54"/>
        <v>1341780</v>
      </c>
      <c r="V189" s="110">
        <f t="shared" si="54"/>
        <v>1398400</v>
      </c>
      <c r="W189" s="110">
        <f t="shared" si="54"/>
        <v>1347005</v>
      </c>
      <c r="X189" s="110">
        <f t="shared" si="54"/>
        <v>1342540</v>
      </c>
      <c r="Y189" s="110">
        <f t="shared" si="54"/>
        <v>1226545</v>
      </c>
      <c r="Z189" s="110">
        <f t="shared" si="54"/>
        <v>1177715</v>
      </c>
      <c r="AA189" s="110">
        <f t="shared" si="54"/>
        <v>1136960</v>
      </c>
      <c r="AB189" s="110">
        <f t="shared" si="54"/>
        <v>1174010</v>
      </c>
      <c r="AC189" s="110">
        <f t="shared" si="54"/>
        <v>1291905</v>
      </c>
      <c r="AD189" s="110">
        <f t="shared" si="54"/>
        <v>1380350</v>
      </c>
    </row>
    <row r="191" spans="1:30" ht="14.4">
      <c r="A191" s="90">
        <f>MAX(A$11:A190)+1</f>
        <v>6</v>
      </c>
      <c r="B191" s="90"/>
      <c r="C191" s="90" t="str">
        <f>CaseData!$C$24</f>
        <v>Units of Production</v>
      </c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7"/>
    </row>
    <row r="192" spans="1:30" ht="14.4">
      <c r="C192" s="91" t="s">
        <v>66</v>
      </c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</row>
    <row r="193" spans="2:30" ht="14.4">
      <c r="D193" s="93" t="s">
        <v>78</v>
      </c>
      <c r="E193" s="93"/>
    </row>
    <row r="194" spans="2:30" ht="14.4">
      <c r="B194" s="94">
        <v>1</v>
      </c>
      <c r="C194" t="str" cm="1">
        <f t="array" ref="C194">INDEX(ListAssetClasses1,B194)</f>
        <v>Short Term</v>
      </c>
      <c r="D194">
        <f>INDEX(CaseData!$G$34:$I$34,MATCH(C194,CaseData!$G$31:$I$31,0))</f>
        <v>5</v>
      </c>
      <c r="F194" s="95">
        <f t="shared" ref="F194:AD194" si="55">F247</f>
        <v>1035120</v>
      </c>
      <c r="G194" s="95">
        <f t="shared" si="55"/>
        <v>737352</v>
      </c>
      <c r="H194" s="95">
        <f t="shared" si="55"/>
        <v>797521.2</v>
      </c>
      <c r="I194" s="95">
        <f t="shared" si="55"/>
        <v>1497709.1999999997</v>
      </c>
      <c r="J194" s="95">
        <f t="shared" si="55"/>
        <v>1500627.5999999999</v>
      </c>
      <c r="K194" s="95">
        <f t="shared" si="55"/>
        <v>1426191.2999999998</v>
      </c>
      <c r="L194" s="95">
        <f t="shared" si="55"/>
        <v>1390657.5</v>
      </c>
      <c r="M194" s="95">
        <f t="shared" si="55"/>
        <v>1017045.2999999999</v>
      </c>
      <c r="N194" s="95">
        <f t="shared" si="55"/>
        <v>963972.6</v>
      </c>
      <c r="O194" s="95">
        <f t="shared" si="55"/>
        <v>1487392.2</v>
      </c>
      <c r="P194" s="95">
        <f t="shared" si="55"/>
        <v>1407797.4</v>
      </c>
      <c r="Q194" s="95">
        <f t="shared" si="55"/>
        <v>1629054.3</v>
      </c>
      <c r="R194" s="95">
        <f t="shared" si="55"/>
        <v>1465954.5</v>
      </c>
      <c r="S194" s="95">
        <f t="shared" si="55"/>
        <v>1461884.7</v>
      </c>
      <c r="T194" s="95">
        <f t="shared" si="55"/>
        <v>1508282.7</v>
      </c>
      <c r="U194" s="95">
        <f t="shared" si="55"/>
        <v>1124045.7</v>
      </c>
      <c r="V194" s="95">
        <f t="shared" si="55"/>
        <v>1551317.7</v>
      </c>
      <c r="W194" s="95">
        <f t="shared" si="55"/>
        <v>1337436.6000000001</v>
      </c>
      <c r="X194" s="95">
        <f t="shared" si="55"/>
        <v>1657987.5</v>
      </c>
      <c r="Y194" s="95">
        <f t="shared" si="55"/>
        <v>1662422.1</v>
      </c>
      <c r="Z194" s="95">
        <f t="shared" si="55"/>
        <v>1615921.5</v>
      </c>
      <c r="AA194" s="95">
        <f t="shared" si="55"/>
        <v>1685968.8</v>
      </c>
      <c r="AB194" s="95">
        <f t="shared" si="55"/>
        <v>1774757.7</v>
      </c>
      <c r="AC194" s="95">
        <f t="shared" si="55"/>
        <v>1377695.7</v>
      </c>
      <c r="AD194" s="95">
        <f t="shared" si="55"/>
        <v>1327153.7999999998</v>
      </c>
    </row>
    <row r="195" spans="2:30">
      <c r="B195">
        <f>B194+1</f>
        <v>2</v>
      </c>
      <c r="C195" t="str" cm="1">
        <f t="array" ref="C195">INDEX(ListAssetClasses1,B195)</f>
        <v>Medium Term</v>
      </c>
      <c r="D195">
        <f>INDEX(CaseData!$G$34:$I$34,MATCH(C195,CaseData!$G$31:$I$31,0))</f>
        <v>10</v>
      </c>
      <c r="F195" s="95">
        <f t="shared" ref="F195:AD195" si="56">F278</f>
        <v>546345</v>
      </c>
      <c r="G195" s="95">
        <f t="shared" si="56"/>
        <v>595821</v>
      </c>
      <c r="H195" s="95">
        <f t="shared" si="56"/>
        <v>674446.8</v>
      </c>
      <c r="I195" s="95">
        <f t="shared" si="56"/>
        <v>710604.75</v>
      </c>
      <c r="J195" s="95">
        <f t="shared" si="56"/>
        <v>741114</v>
      </c>
      <c r="K195" s="95">
        <f t="shared" si="56"/>
        <v>1103200.8</v>
      </c>
      <c r="L195" s="95">
        <f t="shared" si="56"/>
        <v>957463.2</v>
      </c>
      <c r="M195" s="95">
        <f t="shared" si="56"/>
        <v>1118992.6499999999</v>
      </c>
      <c r="N195" s="95">
        <f t="shared" si="56"/>
        <v>1329228.6000000001</v>
      </c>
      <c r="O195" s="95">
        <f t="shared" si="56"/>
        <v>1461896.1</v>
      </c>
      <c r="P195" s="95">
        <f t="shared" si="56"/>
        <v>1723443.4500000002</v>
      </c>
      <c r="Q195" s="95">
        <f t="shared" si="56"/>
        <v>1515744</v>
      </c>
      <c r="R195" s="95">
        <f t="shared" si="56"/>
        <v>1487409.3</v>
      </c>
      <c r="S195" s="95">
        <f t="shared" si="56"/>
        <v>1507783.9500000002</v>
      </c>
      <c r="T195" s="95">
        <f t="shared" si="56"/>
        <v>1732734.45</v>
      </c>
      <c r="U195" s="95">
        <f t="shared" si="56"/>
        <v>1390757.25</v>
      </c>
      <c r="V195" s="95">
        <f t="shared" si="56"/>
        <v>1842772.9500000002</v>
      </c>
      <c r="W195" s="95">
        <f t="shared" si="56"/>
        <v>1604968.95</v>
      </c>
      <c r="X195" s="95">
        <f t="shared" si="56"/>
        <v>1445101.05</v>
      </c>
      <c r="Y195" s="95">
        <f t="shared" si="56"/>
        <v>1567896.1500000001</v>
      </c>
      <c r="Z195" s="95">
        <f t="shared" si="56"/>
        <v>1544930.8499999999</v>
      </c>
      <c r="AA195" s="95">
        <f t="shared" si="56"/>
        <v>1670071.5</v>
      </c>
      <c r="AB195" s="95">
        <f t="shared" si="56"/>
        <v>1785684.6</v>
      </c>
      <c r="AC195" s="95">
        <f t="shared" si="56"/>
        <v>1683936.75</v>
      </c>
      <c r="AD195" s="95">
        <f t="shared" si="56"/>
        <v>1753476.75</v>
      </c>
    </row>
    <row r="196" spans="2:30">
      <c r="B196">
        <f>B195+1</f>
        <v>3</v>
      </c>
      <c r="C196" t="str" cm="1">
        <f t="array" ref="C196">INDEX(ListAssetClasses1,B196)</f>
        <v>Long Term</v>
      </c>
      <c r="D196">
        <f>INDEX(CaseData!$G$34:$I$34,MATCH(C196,CaseData!$G$31:$I$31,0))</f>
        <v>15</v>
      </c>
      <c r="F196" s="95">
        <f t="shared" ref="F196:AD196" si="57">F309</f>
        <v>428705.55</v>
      </c>
      <c r="G196" s="95">
        <f t="shared" si="57"/>
        <v>458815.8</v>
      </c>
      <c r="H196" s="95">
        <f t="shared" si="57"/>
        <v>690721.72500000009</v>
      </c>
      <c r="I196" s="95">
        <f t="shared" si="57"/>
        <v>672622.79999999993</v>
      </c>
      <c r="J196" s="95">
        <f t="shared" si="57"/>
        <v>885455.09999999986</v>
      </c>
      <c r="K196" s="95">
        <f t="shared" si="57"/>
        <v>1087480.2</v>
      </c>
      <c r="L196" s="95">
        <f t="shared" si="57"/>
        <v>1208847.45</v>
      </c>
      <c r="M196" s="95">
        <f t="shared" si="57"/>
        <v>1063642.7999999998</v>
      </c>
      <c r="N196" s="95">
        <f t="shared" si="57"/>
        <v>930120.3</v>
      </c>
      <c r="O196" s="95">
        <f t="shared" si="57"/>
        <v>934395.29999999993</v>
      </c>
      <c r="P196" s="95">
        <f t="shared" si="57"/>
        <v>997612.57499999995</v>
      </c>
      <c r="Q196" s="95">
        <f t="shared" si="57"/>
        <v>1086180.6000000001</v>
      </c>
      <c r="R196" s="95">
        <f t="shared" si="57"/>
        <v>1061763.2250000001</v>
      </c>
      <c r="S196" s="95">
        <f t="shared" si="57"/>
        <v>1316811.1499999999</v>
      </c>
      <c r="T196" s="95">
        <f t="shared" si="57"/>
        <v>1452452.625</v>
      </c>
      <c r="U196" s="95">
        <f t="shared" si="57"/>
        <v>1422174.2250000001</v>
      </c>
      <c r="V196" s="95">
        <f t="shared" si="57"/>
        <v>1469222.0250000001</v>
      </c>
      <c r="W196" s="95">
        <f t="shared" si="57"/>
        <v>1420856.1</v>
      </c>
      <c r="X196" s="95">
        <f t="shared" si="57"/>
        <v>1327219.3500000001</v>
      </c>
      <c r="Y196" s="95">
        <f t="shared" si="57"/>
        <v>1178530.575</v>
      </c>
      <c r="Z196" s="95">
        <f t="shared" si="57"/>
        <v>1183089.1499999999</v>
      </c>
      <c r="AA196" s="95">
        <f t="shared" si="57"/>
        <v>1157839.575</v>
      </c>
      <c r="AB196" s="95">
        <f t="shared" si="57"/>
        <v>1132012.875</v>
      </c>
      <c r="AC196" s="95">
        <f t="shared" si="57"/>
        <v>1272740.1749999998</v>
      </c>
      <c r="AD196" s="95">
        <f t="shared" si="57"/>
        <v>1416454.2749999999</v>
      </c>
    </row>
    <row r="197" spans="2:30" ht="14.4">
      <c r="C197" s="108" t="s">
        <v>4</v>
      </c>
      <c r="D197" s="109" t="s">
        <v>68</v>
      </c>
      <c r="E197" s="109"/>
      <c r="F197" s="110">
        <f>SUM(F194:F196)</f>
        <v>2010170.55</v>
      </c>
      <c r="G197" s="110">
        <f t="shared" ref="G197:AD197" si="58">SUM(G194:G196)</f>
        <v>1791988.8</v>
      </c>
      <c r="H197" s="110">
        <f t="shared" si="58"/>
        <v>2162689.7250000001</v>
      </c>
      <c r="I197" s="110">
        <f t="shared" si="58"/>
        <v>2880936.7499999995</v>
      </c>
      <c r="J197" s="110">
        <f t="shared" si="58"/>
        <v>3127196.6999999993</v>
      </c>
      <c r="K197" s="110">
        <f t="shared" si="58"/>
        <v>3616872.3</v>
      </c>
      <c r="L197" s="110">
        <f t="shared" si="58"/>
        <v>3556968.1500000004</v>
      </c>
      <c r="M197" s="110">
        <f t="shared" si="58"/>
        <v>3199680.7499999995</v>
      </c>
      <c r="N197" s="110">
        <f t="shared" si="58"/>
        <v>3223321.5</v>
      </c>
      <c r="O197" s="110">
        <f t="shared" si="58"/>
        <v>3883683.5999999996</v>
      </c>
      <c r="P197" s="110">
        <f t="shared" si="58"/>
        <v>4128853.4249999998</v>
      </c>
      <c r="Q197" s="110">
        <f t="shared" si="58"/>
        <v>4230978.9000000004</v>
      </c>
      <c r="R197" s="110">
        <f t="shared" si="58"/>
        <v>4015127.0249999999</v>
      </c>
      <c r="S197" s="110">
        <f t="shared" si="58"/>
        <v>4286479.8000000007</v>
      </c>
      <c r="T197" s="110">
        <f t="shared" si="58"/>
        <v>4693469.7750000004</v>
      </c>
      <c r="U197" s="110">
        <f t="shared" si="58"/>
        <v>3936977.1750000003</v>
      </c>
      <c r="V197" s="110">
        <f t="shared" si="58"/>
        <v>4863312.6750000007</v>
      </c>
      <c r="W197" s="110">
        <f t="shared" si="58"/>
        <v>4363261.6500000004</v>
      </c>
      <c r="X197" s="110">
        <f t="shared" si="58"/>
        <v>4430307.9000000004</v>
      </c>
      <c r="Y197" s="110">
        <f t="shared" si="58"/>
        <v>4408848.8250000002</v>
      </c>
      <c r="Z197" s="110">
        <f t="shared" si="58"/>
        <v>4343941.5</v>
      </c>
      <c r="AA197" s="110">
        <f t="shared" si="58"/>
        <v>4513879.875</v>
      </c>
      <c r="AB197" s="110">
        <f t="shared" si="58"/>
        <v>4692455.1749999998</v>
      </c>
      <c r="AC197" s="110">
        <f t="shared" si="58"/>
        <v>4334372.625</v>
      </c>
      <c r="AD197" s="110">
        <f t="shared" si="58"/>
        <v>4497084.8249999993</v>
      </c>
    </row>
    <row r="198" spans="2:30"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</row>
    <row r="199" spans="2:30" ht="14.4">
      <c r="B199" s="94">
        <v>1</v>
      </c>
      <c r="C199" s="93" t="str" cm="1">
        <f t="array" ref="C199">INDEX(ListAssetClasses1,B199)</f>
        <v>Short Term</v>
      </c>
      <c r="D199" s="100"/>
    </row>
    <row r="200" spans="2:30">
      <c r="C200" t="s">
        <v>11</v>
      </c>
      <c r="D200" t="s">
        <v>68</v>
      </c>
      <c r="F200" s="97">
        <f>$F$29</f>
        <v>0</v>
      </c>
      <c r="G200" s="97">
        <f>F203</f>
        <v>1688880</v>
      </c>
      <c r="H200" s="97">
        <f t="shared" ref="H200:AD200" si="59">G203</f>
        <v>1257528</v>
      </c>
      <c r="I200" s="97">
        <f t="shared" si="59"/>
        <v>1394506.8</v>
      </c>
      <c r="J200" s="97">
        <f t="shared" si="59"/>
        <v>2431797.6</v>
      </c>
      <c r="K200" s="97">
        <f t="shared" si="59"/>
        <v>2204670</v>
      </c>
      <c r="L200" s="97">
        <f t="shared" si="59"/>
        <v>2519978.7000000002</v>
      </c>
      <c r="M200" s="97">
        <f t="shared" si="59"/>
        <v>2348821.2000000002</v>
      </c>
      <c r="N200" s="97">
        <f t="shared" si="59"/>
        <v>1621275.9000000004</v>
      </c>
      <c r="O200" s="97">
        <f t="shared" si="59"/>
        <v>1767303.3000000003</v>
      </c>
      <c r="P200" s="97">
        <f t="shared" si="59"/>
        <v>2624411.1000000006</v>
      </c>
      <c r="Q200" s="97">
        <f t="shared" si="59"/>
        <v>2707613.7000000007</v>
      </c>
      <c r="R200" s="97">
        <f t="shared" si="59"/>
        <v>3249059.4000000013</v>
      </c>
      <c r="S200" s="97">
        <f t="shared" si="59"/>
        <v>2869104.9000000013</v>
      </c>
      <c r="T200" s="97">
        <f t="shared" si="59"/>
        <v>2785720.2000000011</v>
      </c>
      <c r="U200" s="97">
        <f t="shared" si="59"/>
        <v>3039937.5000000009</v>
      </c>
      <c r="V200" s="97">
        <f t="shared" si="59"/>
        <v>2440891.8000000007</v>
      </c>
      <c r="W200" s="97">
        <f t="shared" si="59"/>
        <v>3357074.1000000006</v>
      </c>
      <c r="X200" s="97">
        <f t="shared" si="59"/>
        <v>3021637.5000000005</v>
      </c>
      <c r="Y200" s="97">
        <f t="shared" si="59"/>
        <v>3619650</v>
      </c>
      <c r="Z200" s="97">
        <f t="shared" si="59"/>
        <v>3809727.9</v>
      </c>
      <c r="AA200" s="97">
        <f t="shared" si="59"/>
        <v>3585806.4000000004</v>
      </c>
      <c r="AB200" s="97">
        <f t="shared" si="59"/>
        <v>3954837.6000000006</v>
      </c>
      <c r="AC200" s="97">
        <f t="shared" si="59"/>
        <v>4007079.9000000004</v>
      </c>
      <c r="AD200" s="97">
        <f t="shared" si="59"/>
        <v>3542884.2</v>
      </c>
    </row>
    <row r="201" spans="2:30">
      <c r="C201" t="s">
        <v>42</v>
      </c>
      <c r="D201" t="s">
        <v>68</v>
      </c>
      <c r="F201" s="97" cm="1">
        <f t="array" ref="F201">INDEX(F$14:F$16,$B199)</f>
        <v>2724000</v>
      </c>
      <c r="G201" s="97" cm="1">
        <f t="array" ref="G201">INDEX(G$14:G$16,$B199)</f>
        <v>306000</v>
      </c>
      <c r="H201" s="97" cm="1">
        <f t="array" ref="H201">INDEX(H$14:H$16,$B199)</f>
        <v>934500</v>
      </c>
      <c r="I201" s="97" cm="1">
        <f t="array" ref="I201">INDEX(I$14:I$16,$B199)</f>
        <v>2535000</v>
      </c>
      <c r="J201" s="97" cm="1">
        <f t="array" ref="J201">INDEX(J$14:J$16,$B199)</f>
        <v>1273500</v>
      </c>
      <c r="K201" s="97" cm="1">
        <f t="array" ref="K201">INDEX(K$14:K$16,$B199)</f>
        <v>1741500</v>
      </c>
      <c r="L201" s="97" cm="1">
        <f t="array" ref="L201">INDEX(L$14:L$16,$B199)</f>
        <v>1219500</v>
      </c>
      <c r="M201" s="97" cm="1">
        <f t="array" ref="M201">INDEX(M$14:M$16,$B199)</f>
        <v>289500</v>
      </c>
      <c r="N201" s="97" cm="1">
        <f t="array" ref="N201">INDEX(N$14:N$16,$B199)</f>
        <v>1110000</v>
      </c>
      <c r="O201" s="97" cm="1">
        <f t="array" ref="O201">INDEX(O$14:O$16,$B199)</f>
        <v>2344500</v>
      </c>
      <c r="P201" s="97" cm="1">
        <f t="array" ref="P201">INDEX(P$14:P$16,$B199)</f>
        <v>1491000</v>
      </c>
      <c r="Q201" s="97" cm="1">
        <f t="array" ref="Q201">INDEX(Q$14:Q$16,$B199)</f>
        <v>2170500</v>
      </c>
      <c r="R201" s="97" cm="1">
        <f t="array" ref="R201">INDEX(R$14:R$16,$B199)</f>
        <v>1086000</v>
      </c>
      <c r="S201" s="97" cm="1">
        <f t="array" ref="S201">INDEX(S$14:S$16,$B199)</f>
        <v>1378500</v>
      </c>
      <c r="T201" s="97" cm="1">
        <f t="array" ref="T201">INDEX(T$14:T$16,$B199)</f>
        <v>1762500</v>
      </c>
      <c r="U201" s="97" cm="1">
        <f t="array" ref="U201">INDEX(U$14:U$16,$B199)</f>
        <v>525000</v>
      </c>
      <c r="V201" s="97" cm="1">
        <f t="array" ref="V201">INDEX(V$14:V$16,$B199)</f>
        <v>2467500</v>
      </c>
      <c r="W201" s="97" cm="1">
        <f t="array" ref="W201">INDEX(W$14:W$16,$B199)</f>
        <v>1002000</v>
      </c>
      <c r="X201" s="97" cm="1">
        <f t="array" ref="X201">INDEX(X$14:X$16,$B199)</f>
        <v>2256000</v>
      </c>
      <c r="Y201" s="97" cm="1">
        <f t="array" ref="Y201">INDEX(Y$14:Y$16,$B199)</f>
        <v>1852500</v>
      </c>
      <c r="Z201" s="97" cm="1">
        <f t="array" ref="Z201">INDEX(Z$14:Z$16,$B199)</f>
        <v>1392000</v>
      </c>
      <c r="AA201" s="97" cm="1">
        <f t="array" ref="AA201">INDEX(AA$14:AA$16,$B199)</f>
        <v>2055000</v>
      </c>
      <c r="AB201" s="97" cm="1">
        <f t="array" ref="AB201">INDEX(AB$14:AB$16,$B199)</f>
        <v>1827000</v>
      </c>
      <c r="AC201" s="97" cm="1">
        <f t="array" ref="AC201">INDEX(AC$14:AC$16,$B199)</f>
        <v>913500</v>
      </c>
      <c r="AD201" s="97" cm="1">
        <f t="array" ref="AD201">INDEX(AD$14:AD$16,$B199)</f>
        <v>1356000</v>
      </c>
    </row>
    <row r="202" spans="2:30">
      <c r="C202" t="s">
        <v>2</v>
      </c>
      <c r="D202" t="s">
        <v>68</v>
      </c>
      <c r="F202" s="97">
        <f>-F194</f>
        <v>-1035120</v>
      </c>
      <c r="G202" s="97">
        <f t="shared" ref="G202:AD202" si="60">-G194</f>
        <v>-737352</v>
      </c>
      <c r="H202" s="97">
        <f t="shared" si="60"/>
        <v>-797521.2</v>
      </c>
      <c r="I202" s="97">
        <f t="shared" si="60"/>
        <v>-1497709.1999999997</v>
      </c>
      <c r="J202" s="97">
        <f t="shared" si="60"/>
        <v>-1500627.5999999999</v>
      </c>
      <c r="K202" s="97">
        <f t="shared" si="60"/>
        <v>-1426191.2999999998</v>
      </c>
      <c r="L202" s="97">
        <f t="shared" si="60"/>
        <v>-1390657.5</v>
      </c>
      <c r="M202" s="97">
        <f t="shared" si="60"/>
        <v>-1017045.2999999999</v>
      </c>
      <c r="N202" s="97">
        <f t="shared" si="60"/>
        <v>-963972.6</v>
      </c>
      <c r="O202" s="97">
        <f t="shared" si="60"/>
        <v>-1487392.2</v>
      </c>
      <c r="P202" s="97">
        <f t="shared" si="60"/>
        <v>-1407797.4</v>
      </c>
      <c r="Q202" s="97">
        <f t="shared" si="60"/>
        <v>-1629054.3</v>
      </c>
      <c r="R202" s="97">
        <f t="shared" si="60"/>
        <v>-1465954.5</v>
      </c>
      <c r="S202" s="97">
        <f t="shared" si="60"/>
        <v>-1461884.7</v>
      </c>
      <c r="T202" s="97">
        <f t="shared" si="60"/>
        <v>-1508282.7</v>
      </c>
      <c r="U202" s="97">
        <f t="shared" si="60"/>
        <v>-1124045.7</v>
      </c>
      <c r="V202" s="97">
        <f t="shared" si="60"/>
        <v>-1551317.7</v>
      </c>
      <c r="W202" s="97">
        <f t="shared" si="60"/>
        <v>-1337436.6000000001</v>
      </c>
      <c r="X202" s="97">
        <f t="shared" si="60"/>
        <v>-1657987.5</v>
      </c>
      <c r="Y202" s="97">
        <f t="shared" si="60"/>
        <v>-1662422.1</v>
      </c>
      <c r="Z202" s="97">
        <f t="shared" si="60"/>
        <v>-1615921.5</v>
      </c>
      <c r="AA202" s="97">
        <f t="shared" si="60"/>
        <v>-1685968.8</v>
      </c>
      <c r="AB202" s="97">
        <f t="shared" si="60"/>
        <v>-1774757.7</v>
      </c>
      <c r="AC202" s="97">
        <f t="shared" si="60"/>
        <v>-1377695.7</v>
      </c>
      <c r="AD202" s="97">
        <f t="shared" si="60"/>
        <v>-1327153.7999999998</v>
      </c>
    </row>
    <row r="203" spans="2:30" ht="14.4">
      <c r="C203" s="93" t="s">
        <v>12</v>
      </c>
      <c r="D203" t="s">
        <v>68</v>
      </c>
      <c r="F203" s="112">
        <f>SUM(F200:F202)</f>
        <v>1688880</v>
      </c>
      <c r="G203" s="112">
        <f t="shared" ref="G203:AD203" si="61">SUM(G200:G202)</f>
        <v>1257528</v>
      </c>
      <c r="H203" s="112">
        <f t="shared" si="61"/>
        <v>1394506.8</v>
      </c>
      <c r="I203" s="112">
        <f t="shared" si="61"/>
        <v>2431797.6</v>
      </c>
      <c r="J203" s="112">
        <f t="shared" si="61"/>
        <v>2204670</v>
      </c>
      <c r="K203" s="112">
        <f t="shared" si="61"/>
        <v>2519978.7000000002</v>
      </c>
      <c r="L203" s="112">
        <f t="shared" si="61"/>
        <v>2348821.2000000002</v>
      </c>
      <c r="M203" s="112">
        <f t="shared" si="61"/>
        <v>1621275.9000000004</v>
      </c>
      <c r="N203" s="112">
        <f t="shared" si="61"/>
        <v>1767303.3000000003</v>
      </c>
      <c r="O203" s="112">
        <f t="shared" si="61"/>
        <v>2624411.1000000006</v>
      </c>
      <c r="P203" s="112">
        <f t="shared" si="61"/>
        <v>2707613.7000000007</v>
      </c>
      <c r="Q203" s="112">
        <f t="shared" si="61"/>
        <v>3249059.4000000013</v>
      </c>
      <c r="R203" s="112">
        <f t="shared" si="61"/>
        <v>2869104.9000000013</v>
      </c>
      <c r="S203" s="112">
        <f t="shared" si="61"/>
        <v>2785720.2000000011</v>
      </c>
      <c r="T203" s="112">
        <f t="shared" si="61"/>
        <v>3039937.5000000009</v>
      </c>
      <c r="U203" s="112">
        <f t="shared" si="61"/>
        <v>2440891.8000000007</v>
      </c>
      <c r="V203" s="112">
        <f t="shared" si="61"/>
        <v>3357074.1000000006</v>
      </c>
      <c r="W203" s="112">
        <f t="shared" si="61"/>
        <v>3021637.5000000005</v>
      </c>
      <c r="X203" s="112">
        <f t="shared" si="61"/>
        <v>3619650</v>
      </c>
      <c r="Y203" s="112">
        <f t="shared" si="61"/>
        <v>3809727.9</v>
      </c>
      <c r="Z203" s="112">
        <f t="shared" si="61"/>
        <v>3585806.4000000004</v>
      </c>
      <c r="AA203" s="112">
        <f t="shared" si="61"/>
        <v>3954837.6000000006</v>
      </c>
      <c r="AB203" s="112">
        <f t="shared" si="61"/>
        <v>4007079.9000000004</v>
      </c>
      <c r="AC203" s="112">
        <f t="shared" si="61"/>
        <v>3542884.2</v>
      </c>
      <c r="AD203" s="112">
        <f t="shared" si="61"/>
        <v>3571730.4000000004</v>
      </c>
    </row>
    <row r="205" spans="2:30" ht="14.4">
      <c r="B205" s="94">
        <v>2</v>
      </c>
      <c r="C205" s="93" t="str" cm="1">
        <f t="array" ref="C205">INDEX(ListAssetClasses1,B205)</f>
        <v>Medium Term</v>
      </c>
      <c r="D205" s="100"/>
    </row>
    <row r="206" spans="2:30">
      <c r="C206" t="s">
        <v>11</v>
      </c>
      <c r="D206" t="s">
        <v>68</v>
      </c>
      <c r="F206" s="97">
        <f>$F$29</f>
        <v>0</v>
      </c>
      <c r="G206" s="97">
        <f>F209</f>
        <v>2329155</v>
      </c>
      <c r="H206" s="97">
        <f t="shared" ref="H206:AD206" si="62">G209</f>
        <v>2568834</v>
      </c>
      <c r="I206" s="97">
        <f t="shared" si="62"/>
        <v>2935387.2</v>
      </c>
      <c r="J206" s="97">
        <f t="shared" si="62"/>
        <v>3130782.45</v>
      </c>
      <c r="K206" s="97">
        <f t="shared" si="62"/>
        <v>3294168.45</v>
      </c>
      <c r="L206" s="97">
        <f t="shared" si="62"/>
        <v>4871467.6500000004</v>
      </c>
      <c r="M206" s="97">
        <f t="shared" si="62"/>
        <v>4116504.45</v>
      </c>
      <c r="N206" s="97">
        <f t="shared" si="62"/>
        <v>4608511.8000000007</v>
      </c>
      <c r="O206" s="97">
        <f t="shared" si="62"/>
        <v>5251783.2000000011</v>
      </c>
      <c r="P206" s="97">
        <f t="shared" si="62"/>
        <v>5535887.1000000015</v>
      </c>
      <c r="Q206" s="97">
        <f t="shared" si="62"/>
        <v>7226443.6500000013</v>
      </c>
      <c r="R206" s="97">
        <f t="shared" si="62"/>
        <v>6291199.6500000013</v>
      </c>
      <c r="S206" s="97">
        <f t="shared" si="62"/>
        <v>6212290.3500000015</v>
      </c>
      <c r="T206" s="97">
        <f t="shared" si="62"/>
        <v>6261506.4000000013</v>
      </c>
      <c r="U206" s="97">
        <f t="shared" si="62"/>
        <v>7122271.950000002</v>
      </c>
      <c r="V206" s="97">
        <f t="shared" si="62"/>
        <v>6073514.700000002</v>
      </c>
      <c r="W206" s="97">
        <f t="shared" si="62"/>
        <v>7563741.7500000028</v>
      </c>
      <c r="X206" s="97">
        <f t="shared" si="62"/>
        <v>6569272.8000000026</v>
      </c>
      <c r="Y206" s="97">
        <f t="shared" si="62"/>
        <v>6015171.7500000028</v>
      </c>
      <c r="Z206" s="97">
        <f t="shared" si="62"/>
        <v>6637275.6000000024</v>
      </c>
      <c r="AA206" s="97">
        <f t="shared" si="62"/>
        <v>7090344.7500000019</v>
      </c>
      <c r="AB206" s="97">
        <f t="shared" si="62"/>
        <v>7472273.2500000019</v>
      </c>
      <c r="AC206" s="97">
        <f t="shared" si="62"/>
        <v>7914088.6500000022</v>
      </c>
      <c r="AD206" s="97">
        <f t="shared" si="62"/>
        <v>7542651.9000000022</v>
      </c>
    </row>
    <row r="207" spans="2:30">
      <c r="C207" t="s">
        <v>42</v>
      </c>
      <c r="D207" t="s">
        <v>68</v>
      </c>
      <c r="F207" s="97" cm="1">
        <f t="array" ref="F207">INDEX(F$14:F$16,$B205)</f>
        <v>2875500</v>
      </c>
      <c r="G207" s="97" cm="1">
        <f t="array" ref="G207">INDEX(G$14:G$16,$B205)</f>
        <v>835500</v>
      </c>
      <c r="H207" s="97" cm="1">
        <f t="array" ref="H207">INDEX(H$14:H$16,$B205)</f>
        <v>1041000</v>
      </c>
      <c r="I207" s="97" cm="1">
        <f t="array" ref="I207">INDEX(I$14:I$16,$B205)</f>
        <v>906000</v>
      </c>
      <c r="J207" s="97" cm="1">
        <f t="array" ref="J207">INDEX(J$14:J$16,$B205)</f>
        <v>904500</v>
      </c>
      <c r="K207" s="97" cm="1">
        <f t="array" ref="K207">INDEX(K$14:K$16,$B205)</f>
        <v>2680500</v>
      </c>
      <c r="L207" s="97" cm="1">
        <f t="array" ref="L207">INDEX(L$14:L$16,$B205)</f>
        <v>202500</v>
      </c>
      <c r="M207" s="97" cm="1">
        <f t="array" ref="M207">INDEX(M$14:M$16,$B205)</f>
        <v>1611000</v>
      </c>
      <c r="N207" s="97" cm="1">
        <f t="array" ref="N207">INDEX(N$14:N$16,$B205)</f>
        <v>1972500</v>
      </c>
      <c r="O207" s="97" cm="1">
        <f t="array" ref="O207">INDEX(O$14:O$16,$B205)</f>
        <v>1746000</v>
      </c>
      <c r="P207" s="97" cm="1">
        <f t="array" ref="P207">INDEX(P$14:P$16,$B205)</f>
        <v>3414000</v>
      </c>
      <c r="Q207" s="97" cm="1">
        <f t="array" ref="Q207">INDEX(Q$14:Q$16,$B205)</f>
        <v>580500</v>
      </c>
      <c r="R207" s="97" cm="1">
        <f t="array" ref="R207">INDEX(R$14:R$16,$B205)</f>
        <v>1408500</v>
      </c>
      <c r="S207" s="97" cm="1">
        <f t="array" ref="S207">INDEX(S$14:S$16,$B205)</f>
        <v>1557000</v>
      </c>
      <c r="T207" s="97" cm="1">
        <f t="array" ref="T207">INDEX(T$14:T$16,$B205)</f>
        <v>2593500</v>
      </c>
      <c r="U207" s="97" cm="1">
        <f t="array" ref="U207">INDEX(U$14:U$16,$B205)</f>
        <v>342000</v>
      </c>
      <c r="V207" s="97" cm="1">
        <f t="array" ref="V207">INDEX(V$14:V$16,$B205)</f>
        <v>3333000</v>
      </c>
      <c r="W207" s="97" cm="1">
        <f t="array" ref="W207">INDEX(W$14:W$16,$B205)</f>
        <v>610500</v>
      </c>
      <c r="X207" s="97" cm="1">
        <f t="array" ref="X207">INDEX(X$14:X$16,$B205)</f>
        <v>891000</v>
      </c>
      <c r="Y207" s="97" cm="1">
        <f t="array" ref="Y207">INDEX(Y$14:Y$16,$B205)</f>
        <v>2190000</v>
      </c>
      <c r="Z207" s="97" cm="1">
        <f t="array" ref="Z207">INDEX(Z$14:Z$16,$B205)</f>
        <v>1998000</v>
      </c>
      <c r="AA207" s="97" cm="1">
        <f t="array" ref="AA207">INDEX(AA$14:AA$16,$B205)</f>
        <v>2052000</v>
      </c>
      <c r="AB207" s="97" cm="1">
        <f t="array" ref="AB207">INDEX(AB$14:AB$16,$B205)</f>
        <v>2227500</v>
      </c>
      <c r="AC207" s="97" cm="1">
        <f t="array" ref="AC207">INDEX(AC$14:AC$16,$B205)</f>
        <v>1312500</v>
      </c>
      <c r="AD207" s="97" cm="1">
        <f t="array" ref="AD207">INDEX(AD$14:AD$16,$B205)</f>
        <v>2460000</v>
      </c>
    </row>
    <row r="208" spans="2:30">
      <c r="C208" t="s">
        <v>2</v>
      </c>
      <c r="D208" t="s">
        <v>68</v>
      </c>
      <c r="F208" s="97">
        <f>-F195</f>
        <v>-546345</v>
      </c>
      <c r="G208" s="97">
        <f t="shared" ref="G208:AD208" si="63">-G195</f>
        <v>-595821</v>
      </c>
      <c r="H208" s="97">
        <f t="shared" si="63"/>
        <v>-674446.8</v>
      </c>
      <c r="I208" s="97">
        <f t="shared" si="63"/>
        <v>-710604.75</v>
      </c>
      <c r="J208" s="97">
        <f t="shared" si="63"/>
        <v>-741114</v>
      </c>
      <c r="K208" s="97">
        <f t="shared" si="63"/>
        <v>-1103200.8</v>
      </c>
      <c r="L208" s="97">
        <f t="shared" si="63"/>
        <v>-957463.2</v>
      </c>
      <c r="M208" s="97">
        <f t="shared" si="63"/>
        <v>-1118992.6499999999</v>
      </c>
      <c r="N208" s="97">
        <f t="shared" si="63"/>
        <v>-1329228.6000000001</v>
      </c>
      <c r="O208" s="97">
        <f t="shared" si="63"/>
        <v>-1461896.1</v>
      </c>
      <c r="P208" s="97">
        <f t="shared" si="63"/>
        <v>-1723443.4500000002</v>
      </c>
      <c r="Q208" s="97">
        <f t="shared" si="63"/>
        <v>-1515744</v>
      </c>
      <c r="R208" s="97">
        <f t="shared" si="63"/>
        <v>-1487409.3</v>
      </c>
      <c r="S208" s="97">
        <f t="shared" si="63"/>
        <v>-1507783.9500000002</v>
      </c>
      <c r="T208" s="97">
        <f t="shared" si="63"/>
        <v>-1732734.45</v>
      </c>
      <c r="U208" s="97">
        <f t="shared" si="63"/>
        <v>-1390757.25</v>
      </c>
      <c r="V208" s="97">
        <f t="shared" si="63"/>
        <v>-1842772.9500000002</v>
      </c>
      <c r="W208" s="97">
        <f t="shared" si="63"/>
        <v>-1604968.95</v>
      </c>
      <c r="X208" s="97">
        <f t="shared" si="63"/>
        <v>-1445101.05</v>
      </c>
      <c r="Y208" s="97">
        <f t="shared" si="63"/>
        <v>-1567896.1500000001</v>
      </c>
      <c r="Z208" s="97">
        <f t="shared" si="63"/>
        <v>-1544930.8499999999</v>
      </c>
      <c r="AA208" s="97">
        <f t="shared" si="63"/>
        <v>-1670071.5</v>
      </c>
      <c r="AB208" s="97">
        <f t="shared" si="63"/>
        <v>-1785684.6</v>
      </c>
      <c r="AC208" s="97">
        <f t="shared" si="63"/>
        <v>-1683936.75</v>
      </c>
      <c r="AD208" s="97">
        <f t="shared" si="63"/>
        <v>-1753476.75</v>
      </c>
    </row>
    <row r="209" spans="1:30" ht="14.4">
      <c r="C209" s="93" t="s">
        <v>12</v>
      </c>
      <c r="D209" t="s">
        <v>68</v>
      </c>
      <c r="F209" s="112">
        <f>SUM(F206:F208)</f>
        <v>2329155</v>
      </c>
      <c r="G209" s="112">
        <f t="shared" ref="G209:AD209" si="64">SUM(G206:G208)</f>
        <v>2568834</v>
      </c>
      <c r="H209" s="112">
        <f t="shared" si="64"/>
        <v>2935387.2</v>
      </c>
      <c r="I209" s="112">
        <f t="shared" si="64"/>
        <v>3130782.45</v>
      </c>
      <c r="J209" s="112">
        <f t="shared" si="64"/>
        <v>3294168.45</v>
      </c>
      <c r="K209" s="112">
        <f t="shared" si="64"/>
        <v>4871467.6500000004</v>
      </c>
      <c r="L209" s="112">
        <f t="shared" si="64"/>
        <v>4116504.45</v>
      </c>
      <c r="M209" s="112">
        <f t="shared" si="64"/>
        <v>4608511.8000000007</v>
      </c>
      <c r="N209" s="112">
        <f t="shared" si="64"/>
        <v>5251783.2000000011</v>
      </c>
      <c r="O209" s="112">
        <f t="shared" si="64"/>
        <v>5535887.1000000015</v>
      </c>
      <c r="P209" s="112">
        <f t="shared" si="64"/>
        <v>7226443.6500000013</v>
      </c>
      <c r="Q209" s="112">
        <f t="shared" si="64"/>
        <v>6291199.6500000013</v>
      </c>
      <c r="R209" s="112">
        <f t="shared" si="64"/>
        <v>6212290.3500000015</v>
      </c>
      <c r="S209" s="112">
        <f t="shared" si="64"/>
        <v>6261506.4000000013</v>
      </c>
      <c r="T209" s="112">
        <f t="shared" si="64"/>
        <v>7122271.950000002</v>
      </c>
      <c r="U209" s="112">
        <f t="shared" si="64"/>
        <v>6073514.700000002</v>
      </c>
      <c r="V209" s="112">
        <f t="shared" si="64"/>
        <v>7563741.7500000028</v>
      </c>
      <c r="W209" s="112">
        <f t="shared" si="64"/>
        <v>6569272.8000000026</v>
      </c>
      <c r="X209" s="112">
        <f t="shared" si="64"/>
        <v>6015171.7500000028</v>
      </c>
      <c r="Y209" s="112">
        <f t="shared" si="64"/>
        <v>6637275.6000000024</v>
      </c>
      <c r="Z209" s="112">
        <f t="shared" si="64"/>
        <v>7090344.7500000019</v>
      </c>
      <c r="AA209" s="112">
        <f t="shared" si="64"/>
        <v>7472273.2500000019</v>
      </c>
      <c r="AB209" s="112">
        <f t="shared" si="64"/>
        <v>7914088.6500000022</v>
      </c>
      <c r="AC209" s="112">
        <f t="shared" si="64"/>
        <v>7542651.9000000022</v>
      </c>
      <c r="AD209" s="112">
        <f t="shared" si="64"/>
        <v>8249175.1500000022</v>
      </c>
    </row>
    <row r="211" spans="1:30" ht="14.4">
      <c r="B211" s="94">
        <v>3</v>
      </c>
      <c r="C211" s="93" t="str" cm="1">
        <f t="array" ref="C211">INDEX(ListAssetClasses1,B211)</f>
        <v>Long Term</v>
      </c>
      <c r="D211" s="120"/>
    </row>
    <row r="212" spans="1:30" ht="14.4">
      <c r="C212" s="93" t="s">
        <v>11</v>
      </c>
      <c r="D212" t="s">
        <v>68</v>
      </c>
      <c r="F212" s="97">
        <f>$F$29</f>
        <v>0</v>
      </c>
      <c r="G212" s="97">
        <f>F215</f>
        <v>2964294.45</v>
      </c>
      <c r="H212" s="97">
        <f t="shared" ref="H212:AD212" si="65">G215</f>
        <v>3177478.6500000004</v>
      </c>
      <c r="I212" s="97">
        <f t="shared" si="65"/>
        <v>4816256.9250000007</v>
      </c>
      <c r="J212" s="97">
        <f t="shared" si="65"/>
        <v>4710634.1250000009</v>
      </c>
      <c r="K212" s="97">
        <f t="shared" si="65"/>
        <v>6234179.0250000013</v>
      </c>
      <c r="L212" s="97">
        <f t="shared" si="65"/>
        <v>7665198.825000002</v>
      </c>
      <c r="M212" s="97">
        <f t="shared" si="65"/>
        <v>8548851.3750000037</v>
      </c>
      <c r="N212" s="97">
        <f t="shared" si="65"/>
        <v>7612708.5750000039</v>
      </c>
      <c r="O212" s="97">
        <f t="shared" si="65"/>
        <v>6682588.2750000041</v>
      </c>
      <c r="P212" s="97">
        <f t="shared" si="65"/>
        <v>6604692.9750000043</v>
      </c>
      <c r="Q212" s="97">
        <f t="shared" si="65"/>
        <v>6856580.4000000041</v>
      </c>
      <c r="R212" s="97">
        <f t="shared" si="65"/>
        <v>7216399.8000000045</v>
      </c>
      <c r="S212" s="97">
        <f t="shared" si="65"/>
        <v>6739636.5750000048</v>
      </c>
      <c r="T212" s="97">
        <f t="shared" si="65"/>
        <v>8098825.4250000045</v>
      </c>
      <c r="U212" s="97">
        <f t="shared" si="65"/>
        <v>8444872.8000000045</v>
      </c>
      <c r="V212" s="97">
        <f t="shared" si="65"/>
        <v>8881198.5750000048</v>
      </c>
      <c r="W212" s="97">
        <f t="shared" si="65"/>
        <v>8977976.5500000045</v>
      </c>
      <c r="X212" s="97">
        <f t="shared" si="65"/>
        <v>9075120.4500000048</v>
      </c>
      <c r="Y212" s="97">
        <f t="shared" si="65"/>
        <v>8244401.1000000052</v>
      </c>
      <c r="Z212" s="97">
        <f t="shared" si="65"/>
        <v>7643370.525000005</v>
      </c>
      <c r="AA212" s="97">
        <f t="shared" si="65"/>
        <v>8207781.3750000056</v>
      </c>
      <c r="AB212" s="97">
        <f t="shared" si="65"/>
        <v>8498941.8000000063</v>
      </c>
      <c r="AC212" s="97">
        <f t="shared" si="65"/>
        <v>8079428.9250000063</v>
      </c>
      <c r="AD212" s="97">
        <f t="shared" si="65"/>
        <v>8668188.7500000075</v>
      </c>
    </row>
    <row r="213" spans="1:30">
      <c r="C213" t="s">
        <v>42</v>
      </c>
      <c r="D213" t="s">
        <v>68</v>
      </c>
      <c r="F213" s="97" cm="1">
        <f t="array" ref="F213">INDEX(F$14:F$16,$B211)</f>
        <v>3393000</v>
      </c>
      <c r="G213" s="97" cm="1">
        <f t="array" ref="G213">INDEX(G$14:G$16,$B211)</f>
        <v>672000</v>
      </c>
      <c r="H213" s="97" cm="1">
        <f t="array" ref="H213">INDEX(H$14:H$16,$B211)</f>
        <v>2329500</v>
      </c>
      <c r="I213" s="97" cm="1">
        <f t="array" ref="I213">INDEX(I$14:I$16,$B211)</f>
        <v>567000</v>
      </c>
      <c r="J213" s="97" cm="1">
        <f t="array" ref="J213">INDEX(J$14:J$16,$B211)</f>
        <v>2409000</v>
      </c>
      <c r="K213" s="97" cm="1">
        <f t="array" ref="K213">INDEX(K$14:K$16,$B211)</f>
        <v>2518500</v>
      </c>
      <c r="L213" s="97" cm="1">
        <f t="array" ref="L213">INDEX(L$14:L$16,$B211)</f>
        <v>2092500</v>
      </c>
      <c r="M213" s="97" cm="1">
        <f t="array" ref="M213">INDEX(M$14:M$16,$B211)</f>
        <v>127500</v>
      </c>
      <c r="N213" s="97" cm="1">
        <f t="array" ref="N213">INDEX(N$14:N$16,$B211)</f>
        <v>0</v>
      </c>
      <c r="O213" s="97" cm="1">
        <f t="array" ref="O213">INDEX(O$14:O$16,$B211)</f>
        <v>856500</v>
      </c>
      <c r="P213" s="97" cm="1">
        <f t="array" ref="P213">INDEX(P$14:P$16,$B211)</f>
        <v>1249500</v>
      </c>
      <c r="Q213" s="97" cm="1">
        <f t="array" ref="Q213">INDEX(Q$14:Q$16,$B211)</f>
        <v>1446000</v>
      </c>
      <c r="R213" s="97" cm="1">
        <f t="array" ref="R213">INDEX(R$14:R$16,$B211)</f>
        <v>585000</v>
      </c>
      <c r="S213" s="97" cm="1">
        <f t="array" ref="S213">INDEX(S$14:S$16,$B211)</f>
        <v>2676000</v>
      </c>
      <c r="T213" s="97" cm="1">
        <f t="array" ref="T213">INDEX(T$14:T$16,$B211)</f>
        <v>1798500</v>
      </c>
      <c r="U213" s="97" cm="1">
        <f t="array" ref="U213">INDEX(U$14:U$16,$B211)</f>
        <v>1858500</v>
      </c>
      <c r="V213" s="97" cm="1">
        <f t="array" ref="V213">INDEX(V$14:V$16,$B211)</f>
        <v>1566000</v>
      </c>
      <c r="W213" s="97" cm="1">
        <f t="array" ref="W213">INDEX(W$14:W$16,$B211)</f>
        <v>1518000</v>
      </c>
      <c r="X213" s="97" cm="1">
        <f t="array" ref="X213">INDEX(X$14:X$16,$B211)</f>
        <v>496500</v>
      </c>
      <c r="Y213" s="97" cm="1">
        <f t="array" ref="Y213">INDEX(Y$14:Y$16,$B211)</f>
        <v>577500</v>
      </c>
      <c r="Z213" s="97" cm="1">
        <f t="array" ref="Z213">INDEX(Z$14:Z$16,$B211)</f>
        <v>1747500</v>
      </c>
      <c r="AA213" s="97" cm="1">
        <f t="array" ref="AA213">INDEX(AA$14:AA$16,$B211)</f>
        <v>1449000</v>
      </c>
      <c r="AB213" s="97" cm="1">
        <f t="array" ref="AB213">INDEX(AB$14:AB$16,$B211)</f>
        <v>712500</v>
      </c>
      <c r="AC213" s="97" cm="1">
        <f t="array" ref="AC213">INDEX(AC$14:AC$16,$B211)</f>
        <v>1861500</v>
      </c>
      <c r="AD213" s="97" cm="1">
        <f t="array" ref="AD213">INDEX(AD$14:AD$16,$B211)</f>
        <v>2253000</v>
      </c>
    </row>
    <row r="214" spans="1:30">
      <c r="C214" t="s">
        <v>2</v>
      </c>
      <c r="D214" t="s">
        <v>68</v>
      </c>
      <c r="F214" s="97">
        <f>-F196</f>
        <v>-428705.55</v>
      </c>
      <c r="G214" s="97">
        <f t="shared" ref="G214:AD214" si="66">-G196</f>
        <v>-458815.8</v>
      </c>
      <c r="H214" s="97">
        <f t="shared" si="66"/>
        <v>-690721.72500000009</v>
      </c>
      <c r="I214" s="97">
        <f t="shared" si="66"/>
        <v>-672622.79999999993</v>
      </c>
      <c r="J214" s="97">
        <f t="shared" si="66"/>
        <v>-885455.09999999986</v>
      </c>
      <c r="K214" s="97">
        <f t="shared" si="66"/>
        <v>-1087480.2</v>
      </c>
      <c r="L214" s="97">
        <f t="shared" si="66"/>
        <v>-1208847.45</v>
      </c>
      <c r="M214" s="97">
        <f t="shared" si="66"/>
        <v>-1063642.7999999998</v>
      </c>
      <c r="N214" s="97">
        <f t="shared" si="66"/>
        <v>-930120.3</v>
      </c>
      <c r="O214" s="97">
        <f t="shared" si="66"/>
        <v>-934395.29999999993</v>
      </c>
      <c r="P214" s="97">
        <f t="shared" si="66"/>
        <v>-997612.57499999995</v>
      </c>
      <c r="Q214" s="97">
        <f t="shared" si="66"/>
        <v>-1086180.6000000001</v>
      </c>
      <c r="R214" s="97">
        <f t="shared" si="66"/>
        <v>-1061763.2250000001</v>
      </c>
      <c r="S214" s="97">
        <f t="shared" si="66"/>
        <v>-1316811.1499999999</v>
      </c>
      <c r="T214" s="97">
        <f t="shared" si="66"/>
        <v>-1452452.625</v>
      </c>
      <c r="U214" s="97">
        <f t="shared" si="66"/>
        <v>-1422174.2250000001</v>
      </c>
      <c r="V214" s="97">
        <f t="shared" si="66"/>
        <v>-1469222.0250000001</v>
      </c>
      <c r="W214" s="97">
        <f t="shared" si="66"/>
        <v>-1420856.1</v>
      </c>
      <c r="X214" s="97">
        <f t="shared" si="66"/>
        <v>-1327219.3500000001</v>
      </c>
      <c r="Y214" s="97">
        <f t="shared" si="66"/>
        <v>-1178530.575</v>
      </c>
      <c r="Z214" s="97">
        <f t="shared" si="66"/>
        <v>-1183089.1499999999</v>
      </c>
      <c r="AA214" s="97">
        <f t="shared" si="66"/>
        <v>-1157839.575</v>
      </c>
      <c r="AB214" s="97">
        <f t="shared" si="66"/>
        <v>-1132012.875</v>
      </c>
      <c r="AC214" s="97">
        <f t="shared" si="66"/>
        <v>-1272740.1749999998</v>
      </c>
      <c r="AD214" s="97">
        <f t="shared" si="66"/>
        <v>-1416454.2749999999</v>
      </c>
    </row>
    <row r="215" spans="1:30" ht="14.4">
      <c r="C215" s="93" t="s">
        <v>12</v>
      </c>
      <c r="D215" t="s">
        <v>68</v>
      </c>
      <c r="F215" s="112">
        <f>SUM(F212:F214)</f>
        <v>2964294.45</v>
      </c>
      <c r="G215" s="112">
        <f t="shared" ref="G215:AD215" si="67">SUM(G212:G214)</f>
        <v>3177478.6500000004</v>
      </c>
      <c r="H215" s="112">
        <f t="shared" si="67"/>
        <v>4816256.9250000007</v>
      </c>
      <c r="I215" s="112">
        <f t="shared" si="67"/>
        <v>4710634.1250000009</v>
      </c>
      <c r="J215" s="112">
        <f t="shared" si="67"/>
        <v>6234179.0250000013</v>
      </c>
      <c r="K215" s="112">
        <f t="shared" si="67"/>
        <v>7665198.825000002</v>
      </c>
      <c r="L215" s="112">
        <f t="shared" si="67"/>
        <v>8548851.3750000037</v>
      </c>
      <c r="M215" s="112">
        <f t="shared" si="67"/>
        <v>7612708.5750000039</v>
      </c>
      <c r="N215" s="112">
        <f t="shared" si="67"/>
        <v>6682588.2750000041</v>
      </c>
      <c r="O215" s="112">
        <f t="shared" si="67"/>
        <v>6604692.9750000043</v>
      </c>
      <c r="P215" s="112">
        <f t="shared" si="67"/>
        <v>6856580.4000000041</v>
      </c>
      <c r="Q215" s="112">
        <f t="shared" si="67"/>
        <v>7216399.8000000045</v>
      </c>
      <c r="R215" s="112">
        <f t="shared" si="67"/>
        <v>6739636.5750000048</v>
      </c>
      <c r="S215" s="112">
        <f t="shared" si="67"/>
        <v>8098825.4250000045</v>
      </c>
      <c r="T215" s="112">
        <f t="shared" si="67"/>
        <v>8444872.8000000045</v>
      </c>
      <c r="U215" s="112">
        <f t="shared" si="67"/>
        <v>8881198.5750000048</v>
      </c>
      <c r="V215" s="112">
        <f t="shared" si="67"/>
        <v>8977976.5500000045</v>
      </c>
      <c r="W215" s="112">
        <f t="shared" si="67"/>
        <v>9075120.4500000048</v>
      </c>
      <c r="X215" s="112">
        <f t="shared" si="67"/>
        <v>8244401.1000000052</v>
      </c>
      <c r="Y215" s="112">
        <f t="shared" si="67"/>
        <v>7643370.525000005</v>
      </c>
      <c r="Z215" s="112">
        <f t="shared" si="67"/>
        <v>8207781.3750000056</v>
      </c>
      <c r="AA215" s="112">
        <f t="shared" si="67"/>
        <v>8498941.8000000063</v>
      </c>
      <c r="AB215" s="112">
        <f t="shared" si="67"/>
        <v>8079428.9250000063</v>
      </c>
      <c r="AC215" s="112">
        <f t="shared" si="67"/>
        <v>8668188.7500000075</v>
      </c>
      <c r="AD215" s="112">
        <f t="shared" si="67"/>
        <v>9504734.4750000071</v>
      </c>
    </row>
    <row r="216" spans="1:30" ht="14.4">
      <c r="C216" s="93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  <c r="AB216" s="121"/>
      <c r="AC216" s="121"/>
      <c r="AD216" s="121"/>
    </row>
    <row r="217" spans="1:30" ht="14.4">
      <c r="C217" s="91" t="s">
        <v>79</v>
      </c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</row>
    <row r="218" spans="1:30" ht="14.4">
      <c r="B218" s="94">
        <v>1</v>
      </c>
      <c r="C218" s="93" t="str" cm="1">
        <f t="array" ref="C218">INDEX(ListAssetClasses1,B218)</f>
        <v>Short Term</v>
      </c>
      <c r="E218" t="s">
        <v>80</v>
      </c>
      <c r="F218" s="111" cm="1">
        <f t="array" ref="F218">INDEX($D$194:$D$196,B218)</f>
        <v>5</v>
      </c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</row>
    <row r="219" spans="1:30" ht="14.4">
      <c r="E219" t="s">
        <v>37</v>
      </c>
      <c r="F219" s="122">
        <v>1</v>
      </c>
      <c r="G219" s="111">
        <f>F219+1</f>
        <v>2</v>
      </c>
      <c r="H219" s="111">
        <f t="shared" ref="H219:Y219" si="68">G219+1</f>
        <v>3</v>
      </c>
      <c r="I219" s="111">
        <f t="shared" si="68"/>
        <v>4</v>
      </c>
      <c r="J219" s="111">
        <f t="shared" si="68"/>
        <v>5</v>
      </c>
      <c r="K219" s="111">
        <f t="shared" si="68"/>
        <v>6</v>
      </c>
      <c r="L219" s="111">
        <f t="shared" si="68"/>
        <v>7</v>
      </c>
      <c r="M219" s="111">
        <f t="shared" si="68"/>
        <v>8</v>
      </c>
      <c r="N219" s="111">
        <f t="shared" si="68"/>
        <v>9</v>
      </c>
      <c r="O219" s="111">
        <f t="shared" si="68"/>
        <v>10</v>
      </c>
      <c r="P219" s="111">
        <f t="shared" si="68"/>
        <v>11</v>
      </c>
      <c r="Q219" s="111">
        <f t="shared" si="68"/>
        <v>12</v>
      </c>
      <c r="R219" s="111">
        <f t="shared" si="68"/>
        <v>13</v>
      </c>
      <c r="S219" s="111">
        <f t="shared" si="68"/>
        <v>14</v>
      </c>
      <c r="T219" s="111">
        <f t="shared" si="68"/>
        <v>15</v>
      </c>
      <c r="U219" s="111">
        <f t="shared" si="68"/>
        <v>16</v>
      </c>
      <c r="V219" s="111">
        <f t="shared" si="68"/>
        <v>17</v>
      </c>
      <c r="W219" s="111">
        <f t="shared" si="68"/>
        <v>18</v>
      </c>
      <c r="X219" s="111">
        <f t="shared" si="68"/>
        <v>19</v>
      </c>
      <c r="Y219" s="111">
        <f t="shared" si="68"/>
        <v>20</v>
      </c>
      <c r="Z219" s="111"/>
      <c r="AA219" s="111"/>
      <c r="AB219" s="111"/>
      <c r="AC219" s="111"/>
      <c r="AD219" s="111"/>
    </row>
    <row r="220" spans="1:30" ht="14.4">
      <c r="C220" s="115" t="s">
        <v>47</v>
      </c>
      <c r="D220" s="123">
        <f>INDEX(CaseData!$E$39:$T$39,MATCH(F218,CaseData!$E$40:$T$40,0))</f>
        <v>1000000</v>
      </c>
      <c r="E220" t="s">
        <v>81</v>
      </c>
      <c r="F220" s="124">
        <f>INDEX(CaseData!$D$40:$T$61,MATCH(F219,CaseData!$D$40:$D$61,0),MATCH($F218,CaseData!$D$40:$T$40,0))</f>
        <v>400000</v>
      </c>
      <c r="G220" s="124">
        <f>INDEX(CaseData!$D$40:$T$61,MATCH(G219,CaseData!$D$40:$D$61,0),MATCH($F218,CaseData!$D$40:$T$40,0))</f>
        <v>240000</v>
      </c>
      <c r="H220" s="124">
        <f>INDEX(CaseData!$D$40:$T$61,MATCH(H219,CaseData!$D$40:$D$61,0),MATCH($F218,CaseData!$D$40:$T$40,0))</f>
        <v>144000</v>
      </c>
      <c r="I220" s="124">
        <f>INDEX(CaseData!$D$40:$T$61,MATCH(I219,CaseData!$D$40:$D$61,0),MATCH($F218,CaseData!$D$40:$T$40,0))</f>
        <v>108000</v>
      </c>
      <c r="J220" s="124">
        <f>INDEX(CaseData!$D$40:$T$61,MATCH(J219,CaseData!$D$40:$D$61,0),MATCH($F218,CaseData!$D$40:$T$40,0))</f>
        <v>107999.99999999999</v>
      </c>
      <c r="K220" s="124">
        <f>INDEX(CaseData!$D$40:$T$61,MATCH(K219,CaseData!$D$40:$D$61,0),MATCH($F218,CaseData!$D$40:$T$40,0))</f>
        <v>0</v>
      </c>
      <c r="L220" s="124">
        <f>INDEX(CaseData!$D$40:$T$61,MATCH(L219,CaseData!$D$40:$D$61,0),MATCH($F218,CaseData!$D$40:$T$40,0))</f>
        <v>0</v>
      </c>
      <c r="M220" s="124">
        <f>INDEX(CaseData!$D$40:$T$61,MATCH(M219,CaseData!$D$40:$D$61,0),MATCH($F218,CaseData!$D$40:$T$40,0))</f>
        <v>0</v>
      </c>
      <c r="N220" s="124">
        <f>INDEX(CaseData!$D$40:$T$61,MATCH(N219,CaseData!$D$40:$D$61,0),MATCH($F218,CaseData!$D$40:$T$40,0))</f>
        <v>0</v>
      </c>
      <c r="O220" s="124">
        <f>INDEX(CaseData!$D$40:$T$61,MATCH(O219,CaseData!$D$40:$D$61,0),MATCH($F218,CaseData!$D$40:$T$40,0))</f>
        <v>0</v>
      </c>
      <c r="P220" s="124">
        <f>INDEX(CaseData!$D$40:$T$61,MATCH(P219,CaseData!$D$40:$D$61,0),MATCH($F218,CaseData!$D$40:$T$40,0))</f>
        <v>0</v>
      </c>
      <c r="Q220" s="124">
        <f>INDEX(CaseData!$D$40:$T$61,MATCH(Q219,CaseData!$D$40:$D$61,0),MATCH($F218,CaseData!$D$40:$T$40,0))</f>
        <v>0</v>
      </c>
      <c r="R220" s="124">
        <f>INDEX(CaseData!$D$40:$T$61,MATCH(R219,CaseData!$D$40:$D$61,0),MATCH($F218,CaseData!$D$40:$T$40,0))</f>
        <v>0</v>
      </c>
      <c r="S220" s="124">
        <f>INDEX(CaseData!$D$40:$T$61,MATCH(S219,CaseData!$D$40:$D$61,0),MATCH($F218,CaseData!$D$40:$T$40,0))</f>
        <v>0</v>
      </c>
      <c r="T220" s="124">
        <f>INDEX(CaseData!$D$40:$T$61,MATCH(T219,CaseData!$D$40:$D$61,0),MATCH($F218,CaseData!$D$40:$T$40,0))</f>
        <v>0</v>
      </c>
      <c r="U220" s="124">
        <f>INDEX(CaseData!$D$40:$T$61,MATCH(U219,CaseData!$D$40:$D$61,0),MATCH($F218,CaseData!$D$40:$T$40,0))</f>
        <v>0</v>
      </c>
      <c r="V220" s="124">
        <f>INDEX(CaseData!$D$40:$T$61,MATCH(V219,CaseData!$D$40:$D$61,0),MATCH($F218,CaseData!$D$40:$T$40,0))</f>
        <v>0</v>
      </c>
      <c r="W220" s="124">
        <f>INDEX(CaseData!$D$40:$T$61,MATCH(W219,CaseData!$D$40:$D$61,0),MATCH($F218,CaseData!$D$40:$T$40,0))</f>
        <v>0</v>
      </c>
      <c r="X220" s="124">
        <f>INDEX(CaseData!$D$40:$T$61,MATCH(X219,CaseData!$D$40:$D$61,0),MATCH($F218,CaseData!$D$40:$T$40,0))</f>
        <v>0</v>
      </c>
      <c r="Y220" s="124">
        <f>INDEX(CaseData!$D$40:$T$61,MATCH(Y219,CaseData!$D$40:$D$61,0),MATCH($F218,CaseData!$D$40:$T$40,0))</f>
        <v>0</v>
      </c>
      <c r="Z220" s="125"/>
      <c r="AA220" s="125"/>
      <c r="AB220" s="125"/>
      <c r="AC220" s="125"/>
      <c r="AD220" s="125"/>
    </row>
    <row r="221" spans="1:30" ht="14.4">
      <c r="C221" s="114" t="s">
        <v>76</v>
      </c>
      <c r="D221" s="114" t="s">
        <v>77</v>
      </c>
      <c r="E221" s="115" t="s">
        <v>73</v>
      </c>
      <c r="F221" s="119"/>
      <c r="G221" s="117">
        <f>1-CaseData!$G$11</f>
        <v>0.95</v>
      </c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95"/>
      <c r="AA221" s="95"/>
      <c r="AB221" s="95"/>
      <c r="AC221" s="95"/>
      <c r="AD221" s="95"/>
    </row>
    <row r="222" spans="1:30">
      <c r="A222" s="95"/>
      <c r="B222" s="118">
        <f>B218</f>
        <v>1</v>
      </c>
      <c r="C222">
        <f>$F$11</f>
        <v>2022</v>
      </c>
      <c r="D222" s="95" cm="1">
        <f t="array" ref="D222">INDEX($F$14:$AD$16,$B222,MATCH($C222,$F$11:$AD$11,0))*$G$221</f>
        <v>2587800</v>
      </c>
      <c r="E222" s="95"/>
      <c r="F222" s="95" cm="1">
        <f t="array" ref="F222">IF($C222&gt;F$11,0,INDEX($F$220:$AD$220,F$11-$C222+1)*($D222/$D$220))</f>
        <v>1035120</v>
      </c>
      <c r="G222" s="95" cm="1">
        <f t="array" ref="G222">IF($C222&gt;G$11,0,INDEX($F$220:$AD$220,G$11-$C222+1)*($D222/$D$220))</f>
        <v>621072</v>
      </c>
      <c r="H222" s="95" cm="1">
        <f t="array" ref="H222">IF($C222&gt;H$11,0,INDEX($F$220:$AD$220,H$11-$C222+1)*($D222/$D$220))</f>
        <v>372643.2</v>
      </c>
      <c r="I222" s="95" cm="1">
        <f t="array" ref="I222">IF($C222&gt;I$11,0,INDEX($F$220:$AD$220,I$11-$C222+1)*($D222/$D$220))</f>
        <v>279482.40000000002</v>
      </c>
      <c r="J222" s="95" cm="1">
        <f t="array" ref="J222">IF($C222&gt;J$11,0,INDEX($F$220:$AD$220,J$11-$C222+1)*($D222/$D$220))</f>
        <v>279482.39999999997</v>
      </c>
      <c r="K222" s="95" cm="1">
        <f t="array" ref="K222">IF($C222&gt;K$11,0,INDEX($F$220:$AD$220,K$11-$C222+1)*($D222/$D$220))</f>
        <v>0</v>
      </c>
      <c r="L222" s="95" cm="1">
        <f t="array" ref="L222">IF($C222&gt;L$11,0,INDEX($F$220:$AD$220,L$11-$C222+1)*($D222/$D$220))</f>
        <v>0</v>
      </c>
      <c r="M222" s="95" cm="1">
        <f t="array" ref="M222">IF($C222&gt;M$11,0,INDEX($F$220:$AD$220,M$11-$C222+1)*($D222/$D$220))</f>
        <v>0</v>
      </c>
      <c r="N222" s="95" cm="1">
        <f t="array" ref="N222">IF($C222&gt;N$11,0,INDEX($F$220:$AD$220,N$11-$C222+1)*($D222/$D$220))</f>
        <v>0</v>
      </c>
      <c r="O222" s="95" cm="1">
        <f t="array" ref="O222">IF($C222&gt;O$11,0,INDEX($F$220:$AD$220,O$11-$C222+1)*($D222/$D$220))</f>
        <v>0</v>
      </c>
      <c r="P222" s="95" cm="1">
        <f t="array" ref="P222">IF($C222&gt;P$11,0,INDEX($F$220:$AD$220,P$11-$C222+1)*($D222/$D$220))</f>
        <v>0</v>
      </c>
      <c r="Q222" s="95" cm="1">
        <f t="array" ref="Q222">IF($C222&gt;Q$11,0,INDEX($F$220:$AD$220,Q$11-$C222+1)*($D222/$D$220))</f>
        <v>0</v>
      </c>
      <c r="R222" s="95" cm="1">
        <f t="array" ref="R222">IF($C222&gt;R$11,0,INDEX($F$220:$AD$220,R$11-$C222+1)*($D222/$D$220))</f>
        <v>0</v>
      </c>
      <c r="S222" s="95" cm="1">
        <f t="array" ref="S222">IF($C222&gt;S$11,0,INDEX($F$220:$AD$220,S$11-$C222+1)*($D222/$D$220))</f>
        <v>0</v>
      </c>
      <c r="T222" s="95" cm="1">
        <f t="array" ref="T222">IF($C222&gt;T$11,0,INDEX($F$220:$AD$220,T$11-$C222+1)*($D222/$D$220))</f>
        <v>0</v>
      </c>
      <c r="U222" s="95" cm="1">
        <f t="array" ref="U222">IF($C222&gt;U$11,0,INDEX($F$220:$AD$220,U$11-$C222+1)*($D222/$D$220))</f>
        <v>0</v>
      </c>
      <c r="V222" s="95" cm="1">
        <f t="array" ref="V222">IF($C222&gt;V$11,0,INDEX($F$220:$AD$220,V$11-$C222+1)*($D222/$D$220))</f>
        <v>0</v>
      </c>
      <c r="W222" s="95" cm="1">
        <f t="array" ref="W222">IF($C222&gt;W$11,0,INDEX($F$220:$AD$220,W$11-$C222+1)*($D222/$D$220))</f>
        <v>0</v>
      </c>
      <c r="X222" s="95" cm="1">
        <f t="array" ref="X222">IF($C222&gt;X$11,0,INDEX($F$220:$AD$220,X$11-$C222+1)*($D222/$D$220))</f>
        <v>0</v>
      </c>
      <c r="Y222" s="95" cm="1">
        <f t="array" ref="Y222">IF($C222&gt;Y$11,0,INDEX($F$220:$AD$220,Y$11-$C222+1)*($D222/$D$220))</f>
        <v>0</v>
      </c>
      <c r="Z222" s="95" cm="1">
        <f t="array" ref="Z222">IF($C222&gt;Z$11,0,INDEX($F$220:$AD$220,Z$11-$C222+1)*($D222/$D$220))</f>
        <v>0</v>
      </c>
      <c r="AA222" s="95" cm="1">
        <f t="array" ref="AA222">IF($C222&gt;AA$11,0,INDEX($F$220:$AD$220,AA$11-$C222+1)*($D222/$D$220))</f>
        <v>0</v>
      </c>
      <c r="AB222" s="95" cm="1">
        <f t="array" ref="AB222">IF($C222&gt;AB$11,0,INDEX($F$220:$AD$220,AB$11-$C222+1)*($D222/$D$220))</f>
        <v>0</v>
      </c>
      <c r="AC222" s="95" cm="1">
        <f t="array" ref="AC222">IF($C222&gt;AC$11,0,INDEX($F$220:$AD$220,AC$11-$C222+1)*($D222/$D$220))</f>
        <v>0</v>
      </c>
      <c r="AD222" s="95" cm="1">
        <f t="array" ref="AD222">IF($C222&gt;AD$11,0,INDEX($F$220:$AD$220,AD$11-$C222+1)*($D222/$D$220))</f>
        <v>0</v>
      </c>
    </row>
    <row r="223" spans="1:30">
      <c r="A223" s="95"/>
      <c r="B223" s="118">
        <f>B222</f>
        <v>1</v>
      </c>
      <c r="C223">
        <f>C222+1</f>
        <v>2023</v>
      </c>
      <c r="D223" s="95" cm="1">
        <f t="array" ref="D223">INDEX($F$14:$AD$16,$B223,MATCH($C223,$F$11:$AD$11,0))*$G$221</f>
        <v>290700</v>
      </c>
      <c r="E223" s="95"/>
      <c r="F223" s="95" cm="1">
        <f t="array" ref="F223">IF($C223&gt;F$11,0,INDEX($F$220:$AD$220,F$11-$C223+1)*($D223/$D$220))</f>
        <v>0</v>
      </c>
      <c r="G223" s="95" cm="1">
        <f t="array" ref="G223">IF($C223&gt;G$11,0,INDEX($F$220:$AD$220,G$11-$C223+1)*($D223/$D$220))</f>
        <v>116280</v>
      </c>
      <c r="H223" s="95" cm="1">
        <f t="array" ref="H223">IF($C223&gt;H$11,0,INDEX($F$220:$AD$220,H$11-$C223+1)*($D223/$D$220))</f>
        <v>69768</v>
      </c>
      <c r="I223" s="95" cm="1">
        <f t="array" ref="I223">IF($C223&gt;I$11,0,INDEX($F$220:$AD$220,I$11-$C223+1)*($D223/$D$220))</f>
        <v>41860.800000000003</v>
      </c>
      <c r="J223" s="95" cm="1">
        <f t="array" ref="J223">IF($C223&gt;J$11,0,INDEX($F$220:$AD$220,J$11-$C223+1)*($D223/$D$220))</f>
        <v>31395.600000000002</v>
      </c>
      <c r="K223" s="95" cm="1">
        <f t="array" ref="K223">IF($C223&gt;K$11,0,INDEX($F$220:$AD$220,K$11-$C223+1)*($D223/$D$220))</f>
        <v>31395.599999999999</v>
      </c>
      <c r="L223" s="95" cm="1">
        <f t="array" ref="L223">IF($C223&gt;L$11,0,INDEX($F$220:$AD$220,L$11-$C223+1)*($D223/$D$220))</f>
        <v>0</v>
      </c>
      <c r="M223" s="95" cm="1">
        <f t="array" ref="M223">IF($C223&gt;M$11,0,INDEX($F$220:$AD$220,M$11-$C223+1)*($D223/$D$220))</f>
        <v>0</v>
      </c>
      <c r="N223" s="95" cm="1">
        <f t="array" ref="N223">IF($C223&gt;N$11,0,INDEX($F$220:$AD$220,N$11-$C223+1)*($D223/$D$220))</f>
        <v>0</v>
      </c>
      <c r="O223" s="95" cm="1">
        <f t="array" ref="O223">IF($C223&gt;O$11,0,INDEX($F$220:$AD$220,O$11-$C223+1)*($D223/$D$220))</f>
        <v>0</v>
      </c>
      <c r="P223" s="95" cm="1">
        <f t="array" ref="P223">IF($C223&gt;P$11,0,INDEX($F$220:$AD$220,P$11-$C223+1)*($D223/$D$220))</f>
        <v>0</v>
      </c>
      <c r="Q223" s="95" cm="1">
        <f t="array" ref="Q223">IF($C223&gt;Q$11,0,INDEX($F$220:$AD$220,Q$11-$C223+1)*($D223/$D$220))</f>
        <v>0</v>
      </c>
      <c r="R223" s="95" cm="1">
        <f t="array" ref="R223">IF($C223&gt;R$11,0,INDEX($F$220:$AD$220,R$11-$C223+1)*($D223/$D$220))</f>
        <v>0</v>
      </c>
      <c r="S223" s="95" cm="1">
        <f t="array" ref="S223">IF($C223&gt;S$11,0,INDEX($F$220:$AD$220,S$11-$C223+1)*($D223/$D$220))</f>
        <v>0</v>
      </c>
      <c r="T223" s="95" cm="1">
        <f t="array" ref="T223">IF($C223&gt;T$11,0,INDEX($F$220:$AD$220,T$11-$C223+1)*($D223/$D$220))</f>
        <v>0</v>
      </c>
      <c r="U223" s="95" cm="1">
        <f t="array" ref="U223">IF($C223&gt;U$11,0,INDEX($F$220:$AD$220,U$11-$C223+1)*($D223/$D$220))</f>
        <v>0</v>
      </c>
      <c r="V223" s="95" cm="1">
        <f t="array" ref="V223">IF($C223&gt;V$11,0,INDEX($F$220:$AD$220,V$11-$C223+1)*($D223/$D$220))</f>
        <v>0</v>
      </c>
      <c r="W223" s="95" cm="1">
        <f t="array" ref="W223">IF($C223&gt;W$11,0,INDEX($F$220:$AD$220,W$11-$C223+1)*($D223/$D$220))</f>
        <v>0</v>
      </c>
      <c r="X223" s="95" cm="1">
        <f t="array" ref="X223">IF($C223&gt;X$11,0,INDEX($F$220:$AD$220,X$11-$C223+1)*($D223/$D$220))</f>
        <v>0</v>
      </c>
      <c r="Y223" s="95" cm="1">
        <f t="array" ref="Y223">IF($C223&gt;Y$11,0,INDEX($F$220:$AD$220,Y$11-$C223+1)*($D223/$D$220))</f>
        <v>0</v>
      </c>
      <c r="Z223" s="95" cm="1">
        <f t="array" ref="Z223">IF($C223&gt;Z$11,0,INDEX($F$220:$AD$220,Z$11-$C223+1)*($D223/$D$220))</f>
        <v>0</v>
      </c>
      <c r="AA223" s="95" cm="1">
        <f t="array" ref="AA223">IF($C223&gt;AA$11,0,INDEX($F$220:$AD$220,AA$11-$C223+1)*($D223/$D$220))</f>
        <v>0</v>
      </c>
      <c r="AB223" s="95" cm="1">
        <f t="array" ref="AB223">IF($C223&gt;AB$11,0,INDEX($F$220:$AD$220,AB$11-$C223+1)*($D223/$D$220))</f>
        <v>0</v>
      </c>
      <c r="AC223" s="95" cm="1">
        <f t="array" ref="AC223">IF($C223&gt;AC$11,0,INDEX($F$220:$AD$220,AC$11-$C223+1)*($D223/$D$220))</f>
        <v>0</v>
      </c>
      <c r="AD223" s="95" cm="1">
        <f t="array" ref="AD223">IF($C223&gt;AD$11,0,INDEX($F$220:$AD$220,AD$11-$C223+1)*($D223/$D$220))</f>
        <v>0</v>
      </c>
    </row>
    <row r="224" spans="1:30">
      <c r="A224" s="95"/>
      <c r="B224" s="118">
        <f t="shared" ref="B224:B246" si="69">B223</f>
        <v>1</v>
      </c>
      <c r="C224">
        <f t="shared" ref="C224:C246" si="70">C223+1</f>
        <v>2024</v>
      </c>
      <c r="D224" s="95" cm="1">
        <f t="array" ref="D224">INDEX($F$14:$AD$16,$B224,MATCH($C224,$F$11:$AD$11,0))*$G$221</f>
        <v>887775</v>
      </c>
      <c r="E224" s="95"/>
      <c r="F224" s="95" cm="1">
        <f t="array" ref="F224">IF($C224&gt;F$11,0,INDEX($F$220:$AD$220,F$11-$C224+1)*($D224/$D$220))</f>
        <v>0</v>
      </c>
      <c r="G224" s="95" cm="1">
        <f t="array" ref="G224">IF($C224&gt;G$11,0,INDEX($F$220:$AD$220,G$11-$C224+1)*($D224/$D$220))</f>
        <v>0</v>
      </c>
      <c r="H224" s="95" cm="1">
        <f t="array" ref="H224">IF($C224&gt;H$11,0,INDEX($F$220:$AD$220,H$11-$C224+1)*($D224/$D$220))</f>
        <v>355110</v>
      </c>
      <c r="I224" s="95" cm="1">
        <f t="array" ref="I224">IF($C224&gt;I$11,0,INDEX($F$220:$AD$220,I$11-$C224+1)*($D224/$D$220))</f>
        <v>213066</v>
      </c>
      <c r="J224" s="95" cm="1">
        <f t="array" ref="J224">IF($C224&gt;J$11,0,INDEX($F$220:$AD$220,J$11-$C224+1)*($D224/$D$220))</f>
        <v>127839.59999999999</v>
      </c>
      <c r="K224" s="95" cm="1">
        <f t="array" ref="K224">IF($C224&gt;K$11,0,INDEX($F$220:$AD$220,K$11-$C224+1)*($D224/$D$220))</f>
        <v>95879.7</v>
      </c>
      <c r="L224" s="95" cm="1">
        <f t="array" ref="L224">IF($C224&gt;L$11,0,INDEX($F$220:$AD$220,L$11-$C224+1)*($D224/$D$220))</f>
        <v>95879.699999999983</v>
      </c>
      <c r="M224" s="95" cm="1">
        <f t="array" ref="M224">IF($C224&gt;M$11,0,INDEX($F$220:$AD$220,M$11-$C224+1)*($D224/$D$220))</f>
        <v>0</v>
      </c>
      <c r="N224" s="95" cm="1">
        <f t="array" ref="N224">IF($C224&gt;N$11,0,INDEX($F$220:$AD$220,N$11-$C224+1)*($D224/$D$220))</f>
        <v>0</v>
      </c>
      <c r="O224" s="95" cm="1">
        <f t="array" ref="O224">IF($C224&gt;O$11,0,INDEX($F$220:$AD$220,O$11-$C224+1)*($D224/$D$220))</f>
        <v>0</v>
      </c>
      <c r="P224" s="95" cm="1">
        <f t="array" ref="P224">IF($C224&gt;P$11,0,INDEX($F$220:$AD$220,P$11-$C224+1)*($D224/$D$220))</f>
        <v>0</v>
      </c>
      <c r="Q224" s="95" cm="1">
        <f t="array" ref="Q224">IF($C224&gt;Q$11,0,INDEX($F$220:$AD$220,Q$11-$C224+1)*($D224/$D$220))</f>
        <v>0</v>
      </c>
      <c r="R224" s="95" cm="1">
        <f t="array" ref="R224">IF($C224&gt;R$11,0,INDEX($F$220:$AD$220,R$11-$C224+1)*($D224/$D$220))</f>
        <v>0</v>
      </c>
      <c r="S224" s="95" cm="1">
        <f t="array" ref="S224">IF($C224&gt;S$11,0,INDEX($F$220:$AD$220,S$11-$C224+1)*($D224/$D$220))</f>
        <v>0</v>
      </c>
      <c r="T224" s="95" cm="1">
        <f t="array" ref="T224">IF($C224&gt;T$11,0,INDEX($F$220:$AD$220,T$11-$C224+1)*($D224/$D$220))</f>
        <v>0</v>
      </c>
      <c r="U224" s="95" cm="1">
        <f t="array" ref="U224">IF($C224&gt;U$11,0,INDEX($F$220:$AD$220,U$11-$C224+1)*($D224/$D$220))</f>
        <v>0</v>
      </c>
      <c r="V224" s="95" cm="1">
        <f t="array" ref="V224">IF($C224&gt;V$11,0,INDEX($F$220:$AD$220,V$11-$C224+1)*($D224/$D$220))</f>
        <v>0</v>
      </c>
      <c r="W224" s="95" cm="1">
        <f t="array" ref="W224">IF($C224&gt;W$11,0,INDEX($F$220:$AD$220,W$11-$C224+1)*($D224/$D$220))</f>
        <v>0</v>
      </c>
      <c r="X224" s="95" cm="1">
        <f t="array" ref="X224">IF($C224&gt;X$11,0,INDEX($F$220:$AD$220,X$11-$C224+1)*($D224/$D$220))</f>
        <v>0</v>
      </c>
      <c r="Y224" s="95" cm="1">
        <f t="array" ref="Y224">IF($C224&gt;Y$11,0,INDEX($F$220:$AD$220,Y$11-$C224+1)*($D224/$D$220))</f>
        <v>0</v>
      </c>
      <c r="Z224" s="95" cm="1">
        <f t="array" ref="Z224">IF($C224&gt;Z$11,0,INDEX($F$220:$AD$220,Z$11-$C224+1)*($D224/$D$220))</f>
        <v>0</v>
      </c>
      <c r="AA224" s="95" cm="1">
        <f t="array" ref="AA224">IF($C224&gt;AA$11,0,INDEX($F$220:$AD$220,AA$11-$C224+1)*($D224/$D$220))</f>
        <v>0</v>
      </c>
      <c r="AB224" s="95" cm="1">
        <f t="array" ref="AB224">IF($C224&gt;AB$11,0,INDEX($F$220:$AD$220,AB$11-$C224+1)*($D224/$D$220))</f>
        <v>0</v>
      </c>
      <c r="AC224" s="95" cm="1">
        <f t="array" ref="AC224">IF($C224&gt;AC$11,0,INDEX($F$220:$AD$220,AC$11-$C224+1)*($D224/$D$220))</f>
        <v>0</v>
      </c>
      <c r="AD224" s="95" cm="1">
        <f t="array" ref="AD224">IF($C224&gt;AD$11,0,INDEX($F$220:$AD$220,AD$11-$C224+1)*($D224/$D$220))</f>
        <v>0</v>
      </c>
    </row>
    <row r="225" spans="1:30">
      <c r="A225" s="95"/>
      <c r="B225" s="118">
        <f t="shared" si="69"/>
        <v>1</v>
      </c>
      <c r="C225">
        <f t="shared" si="70"/>
        <v>2025</v>
      </c>
      <c r="D225" s="95" cm="1">
        <f t="array" ref="D225">INDEX($F$14:$AD$16,$B225,MATCH($C225,$F$11:$AD$11,0))*$G$221</f>
        <v>2408250</v>
      </c>
      <c r="E225" s="95"/>
      <c r="F225" s="95" cm="1">
        <f t="array" ref="F225">IF($C225&gt;F$11,0,INDEX($F$220:$AD$220,F$11-$C225+1)*($D225/$D$220))</f>
        <v>0</v>
      </c>
      <c r="G225" s="95" cm="1">
        <f t="array" ref="G225">IF($C225&gt;G$11,0,INDEX($F$220:$AD$220,G$11-$C225+1)*($D225/$D$220))</f>
        <v>0</v>
      </c>
      <c r="H225" s="95" cm="1">
        <f t="array" ref="H225">IF($C225&gt;H$11,0,INDEX($F$220:$AD$220,H$11-$C225+1)*($D225/$D$220))</f>
        <v>0</v>
      </c>
      <c r="I225" s="95" cm="1">
        <f t="array" ref="I225">IF($C225&gt;I$11,0,INDEX($F$220:$AD$220,I$11-$C225+1)*($D225/$D$220))</f>
        <v>963299.99999999988</v>
      </c>
      <c r="J225" s="95" cm="1">
        <f t="array" ref="J225">IF($C225&gt;J$11,0,INDEX($F$220:$AD$220,J$11-$C225+1)*($D225/$D$220))</f>
        <v>577980</v>
      </c>
      <c r="K225" s="95" cm="1">
        <f t="array" ref="K225">IF($C225&gt;K$11,0,INDEX($F$220:$AD$220,K$11-$C225+1)*($D225/$D$220))</f>
        <v>346787.99999999994</v>
      </c>
      <c r="L225" s="95" cm="1">
        <f t="array" ref="L225">IF($C225&gt;L$11,0,INDEX($F$220:$AD$220,L$11-$C225+1)*($D225/$D$220))</f>
        <v>260090.99999999997</v>
      </c>
      <c r="M225" s="95" cm="1">
        <f t="array" ref="M225">IF($C225&gt;M$11,0,INDEX($F$220:$AD$220,M$11-$C225+1)*($D225/$D$220))</f>
        <v>260090.99999999994</v>
      </c>
      <c r="N225" s="95" cm="1">
        <f t="array" ref="N225">IF($C225&gt;N$11,0,INDEX($F$220:$AD$220,N$11-$C225+1)*($D225/$D$220))</f>
        <v>0</v>
      </c>
      <c r="O225" s="95" cm="1">
        <f t="array" ref="O225">IF($C225&gt;O$11,0,INDEX($F$220:$AD$220,O$11-$C225+1)*($D225/$D$220))</f>
        <v>0</v>
      </c>
      <c r="P225" s="95" cm="1">
        <f t="array" ref="P225">IF($C225&gt;P$11,0,INDEX($F$220:$AD$220,P$11-$C225+1)*($D225/$D$220))</f>
        <v>0</v>
      </c>
      <c r="Q225" s="95" cm="1">
        <f t="array" ref="Q225">IF($C225&gt;Q$11,0,INDEX($F$220:$AD$220,Q$11-$C225+1)*($D225/$D$220))</f>
        <v>0</v>
      </c>
      <c r="R225" s="95" cm="1">
        <f t="array" ref="R225">IF($C225&gt;R$11,0,INDEX($F$220:$AD$220,R$11-$C225+1)*($D225/$D$220))</f>
        <v>0</v>
      </c>
      <c r="S225" s="95" cm="1">
        <f t="array" ref="S225">IF($C225&gt;S$11,0,INDEX($F$220:$AD$220,S$11-$C225+1)*($D225/$D$220))</f>
        <v>0</v>
      </c>
      <c r="T225" s="95" cm="1">
        <f t="array" ref="T225">IF($C225&gt;T$11,0,INDEX($F$220:$AD$220,T$11-$C225+1)*($D225/$D$220))</f>
        <v>0</v>
      </c>
      <c r="U225" s="95" cm="1">
        <f t="array" ref="U225">IF($C225&gt;U$11,0,INDEX($F$220:$AD$220,U$11-$C225+1)*($D225/$D$220))</f>
        <v>0</v>
      </c>
      <c r="V225" s="95" cm="1">
        <f t="array" ref="V225">IF($C225&gt;V$11,0,INDEX($F$220:$AD$220,V$11-$C225+1)*($D225/$D$220))</f>
        <v>0</v>
      </c>
      <c r="W225" s="95" cm="1">
        <f t="array" ref="W225">IF($C225&gt;W$11,0,INDEX($F$220:$AD$220,W$11-$C225+1)*($D225/$D$220))</f>
        <v>0</v>
      </c>
      <c r="X225" s="95" cm="1">
        <f t="array" ref="X225">IF($C225&gt;X$11,0,INDEX($F$220:$AD$220,X$11-$C225+1)*($D225/$D$220))</f>
        <v>0</v>
      </c>
      <c r="Y225" s="95" cm="1">
        <f t="array" ref="Y225">IF($C225&gt;Y$11,0,INDEX($F$220:$AD$220,Y$11-$C225+1)*($D225/$D$220))</f>
        <v>0</v>
      </c>
      <c r="Z225" s="95" cm="1">
        <f t="array" ref="Z225">IF($C225&gt;Z$11,0,INDEX($F$220:$AD$220,Z$11-$C225+1)*($D225/$D$220))</f>
        <v>0</v>
      </c>
      <c r="AA225" s="95" cm="1">
        <f t="array" ref="AA225">IF($C225&gt;AA$11,0,INDEX($F$220:$AD$220,AA$11-$C225+1)*($D225/$D$220))</f>
        <v>0</v>
      </c>
      <c r="AB225" s="95" cm="1">
        <f t="array" ref="AB225">IF($C225&gt;AB$11,0,INDEX($F$220:$AD$220,AB$11-$C225+1)*($D225/$D$220))</f>
        <v>0</v>
      </c>
      <c r="AC225" s="95" cm="1">
        <f t="array" ref="AC225">IF($C225&gt;AC$11,0,INDEX($F$220:$AD$220,AC$11-$C225+1)*($D225/$D$220))</f>
        <v>0</v>
      </c>
      <c r="AD225" s="95" cm="1">
        <f t="array" ref="AD225">IF($C225&gt;AD$11,0,INDEX($F$220:$AD$220,AD$11-$C225+1)*($D225/$D$220))</f>
        <v>0</v>
      </c>
    </row>
    <row r="226" spans="1:30">
      <c r="A226" s="95"/>
      <c r="B226" s="118">
        <f t="shared" si="69"/>
        <v>1</v>
      </c>
      <c r="C226">
        <f t="shared" si="70"/>
        <v>2026</v>
      </c>
      <c r="D226" s="95" cm="1">
        <f t="array" ref="D226">INDEX($F$14:$AD$16,$B226,MATCH($C226,$F$11:$AD$11,0))*$G$221</f>
        <v>1209825</v>
      </c>
      <c r="E226" s="95"/>
      <c r="F226" s="95" cm="1">
        <f t="array" ref="F226">IF($C226&gt;F$11,0,INDEX($F$220:$AD$220,F$11-$C226+1)*($D226/$D$220))</f>
        <v>0</v>
      </c>
      <c r="G226" s="95" cm="1">
        <f t="array" ref="G226">IF($C226&gt;G$11,0,INDEX($F$220:$AD$220,G$11-$C226+1)*($D226/$D$220))</f>
        <v>0</v>
      </c>
      <c r="H226" s="95" cm="1">
        <f t="array" ref="H226">IF($C226&gt;H$11,0,INDEX($F$220:$AD$220,H$11-$C226+1)*($D226/$D$220))</f>
        <v>0</v>
      </c>
      <c r="I226" s="95" cm="1">
        <f t="array" ref="I226">IF($C226&gt;I$11,0,INDEX($F$220:$AD$220,I$11-$C226+1)*($D226/$D$220))</f>
        <v>0</v>
      </c>
      <c r="J226" s="95" cm="1">
        <f t="array" ref="J226">IF($C226&gt;J$11,0,INDEX($F$220:$AD$220,J$11-$C226+1)*($D226/$D$220))</f>
        <v>483930</v>
      </c>
      <c r="K226" s="95" cm="1">
        <f t="array" ref="K226">IF($C226&gt;K$11,0,INDEX($F$220:$AD$220,K$11-$C226+1)*($D226/$D$220))</f>
        <v>290358</v>
      </c>
      <c r="L226" s="95" cm="1">
        <f t="array" ref="L226">IF($C226&gt;L$11,0,INDEX($F$220:$AD$220,L$11-$C226+1)*($D226/$D$220))</f>
        <v>174214.8</v>
      </c>
      <c r="M226" s="95" cm="1">
        <f t="array" ref="M226">IF($C226&gt;M$11,0,INDEX($F$220:$AD$220,M$11-$C226+1)*($D226/$D$220))</f>
        <v>130661.09999999999</v>
      </c>
      <c r="N226" s="95" cm="1">
        <f t="array" ref="N226">IF($C226&gt;N$11,0,INDEX($F$220:$AD$220,N$11-$C226+1)*($D226/$D$220))</f>
        <v>130661.09999999998</v>
      </c>
      <c r="O226" s="95" cm="1">
        <f t="array" ref="O226">IF($C226&gt;O$11,0,INDEX($F$220:$AD$220,O$11-$C226+1)*($D226/$D$220))</f>
        <v>0</v>
      </c>
      <c r="P226" s="95" cm="1">
        <f t="array" ref="P226">IF($C226&gt;P$11,0,INDEX($F$220:$AD$220,P$11-$C226+1)*($D226/$D$220))</f>
        <v>0</v>
      </c>
      <c r="Q226" s="95" cm="1">
        <f t="array" ref="Q226">IF($C226&gt;Q$11,0,INDEX($F$220:$AD$220,Q$11-$C226+1)*($D226/$D$220))</f>
        <v>0</v>
      </c>
      <c r="R226" s="95" cm="1">
        <f t="array" ref="R226">IF($C226&gt;R$11,0,INDEX($F$220:$AD$220,R$11-$C226+1)*($D226/$D$220))</f>
        <v>0</v>
      </c>
      <c r="S226" s="95" cm="1">
        <f t="array" ref="S226">IF($C226&gt;S$11,0,INDEX($F$220:$AD$220,S$11-$C226+1)*($D226/$D$220))</f>
        <v>0</v>
      </c>
      <c r="T226" s="95" cm="1">
        <f t="array" ref="T226">IF($C226&gt;T$11,0,INDEX($F$220:$AD$220,T$11-$C226+1)*($D226/$D$220))</f>
        <v>0</v>
      </c>
      <c r="U226" s="95" cm="1">
        <f t="array" ref="U226">IF($C226&gt;U$11,0,INDEX($F$220:$AD$220,U$11-$C226+1)*($D226/$D$220))</f>
        <v>0</v>
      </c>
      <c r="V226" s="95" cm="1">
        <f t="array" ref="V226">IF($C226&gt;V$11,0,INDEX($F$220:$AD$220,V$11-$C226+1)*($D226/$D$220))</f>
        <v>0</v>
      </c>
      <c r="W226" s="95" cm="1">
        <f t="array" ref="W226">IF($C226&gt;W$11,0,INDEX($F$220:$AD$220,W$11-$C226+1)*($D226/$D$220))</f>
        <v>0</v>
      </c>
      <c r="X226" s="95" cm="1">
        <f t="array" ref="X226">IF($C226&gt;X$11,0,INDEX($F$220:$AD$220,X$11-$C226+1)*($D226/$D$220))</f>
        <v>0</v>
      </c>
      <c r="Y226" s="95" cm="1">
        <f t="array" ref="Y226">IF($C226&gt;Y$11,0,INDEX($F$220:$AD$220,Y$11-$C226+1)*($D226/$D$220))</f>
        <v>0</v>
      </c>
      <c r="Z226" s="95" cm="1">
        <f t="array" ref="Z226">IF($C226&gt;Z$11,0,INDEX($F$220:$AD$220,Z$11-$C226+1)*($D226/$D$220))</f>
        <v>0</v>
      </c>
      <c r="AA226" s="95" cm="1">
        <f t="array" ref="AA226">IF($C226&gt;AA$11,0,INDEX($F$220:$AD$220,AA$11-$C226+1)*($D226/$D$220))</f>
        <v>0</v>
      </c>
      <c r="AB226" s="95" cm="1">
        <f t="array" ref="AB226">IF($C226&gt;AB$11,0,INDEX($F$220:$AD$220,AB$11-$C226+1)*($D226/$D$220))</f>
        <v>0</v>
      </c>
      <c r="AC226" s="95" cm="1">
        <f t="array" ref="AC226">IF($C226&gt;AC$11,0,INDEX($F$220:$AD$220,AC$11-$C226+1)*($D226/$D$220))</f>
        <v>0</v>
      </c>
      <c r="AD226" s="95" cm="1">
        <f t="array" ref="AD226">IF($C226&gt;AD$11,0,INDEX($F$220:$AD$220,AD$11-$C226+1)*($D226/$D$220))</f>
        <v>0</v>
      </c>
    </row>
    <row r="227" spans="1:30">
      <c r="A227" s="95"/>
      <c r="B227" s="118">
        <f t="shared" si="69"/>
        <v>1</v>
      </c>
      <c r="C227">
        <f t="shared" si="70"/>
        <v>2027</v>
      </c>
      <c r="D227" s="95" cm="1">
        <f t="array" ref="D227">INDEX($F$14:$AD$16,$B227,MATCH($C227,$F$11:$AD$11,0))*$G$221</f>
        <v>1654425</v>
      </c>
      <c r="E227" s="95"/>
      <c r="F227" s="95" cm="1">
        <f t="array" ref="F227">IF($C227&gt;F$11,0,INDEX($F$220:$AD$220,F$11-$C227+1)*($D227/$D$220))</f>
        <v>0</v>
      </c>
      <c r="G227" s="95" cm="1">
        <f t="array" ref="G227">IF($C227&gt;G$11,0,INDEX($F$220:$AD$220,G$11-$C227+1)*($D227/$D$220))</f>
        <v>0</v>
      </c>
      <c r="H227" s="95" cm="1">
        <f t="array" ref="H227">IF($C227&gt;H$11,0,INDEX($F$220:$AD$220,H$11-$C227+1)*($D227/$D$220))</f>
        <v>0</v>
      </c>
      <c r="I227" s="95" cm="1">
        <f t="array" ref="I227">IF($C227&gt;I$11,0,INDEX($F$220:$AD$220,I$11-$C227+1)*($D227/$D$220))</f>
        <v>0</v>
      </c>
      <c r="J227" s="95" cm="1">
        <f t="array" ref="J227">IF($C227&gt;J$11,0,INDEX($F$220:$AD$220,J$11-$C227+1)*($D227/$D$220))</f>
        <v>0</v>
      </c>
      <c r="K227" s="95" cm="1">
        <f t="array" ref="K227">IF($C227&gt;K$11,0,INDEX($F$220:$AD$220,K$11-$C227+1)*($D227/$D$220))</f>
        <v>661770</v>
      </c>
      <c r="L227" s="95" cm="1">
        <f t="array" ref="L227">IF($C227&gt;L$11,0,INDEX($F$220:$AD$220,L$11-$C227+1)*($D227/$D$220))</f>
        <v>397062</v>
      </c>
      <c r="M227" s="95" cm="1">
        <f t="array" ref="M227">IF($C227&gt;M$11,0,INDEX($F$220:$AD$220,M$11-$C227+1)*($D227/$D$220))</f>
        <v>238237.2</v>
      </c>
      <c r="N227" s="95" cm="1">
        <f t="array" ref="N227">IF($C227&gt;N$11,0,INDEX($F$220:$AD$220,N$11-$C227+1)*($D227/$D$220))</f>
        <v>178677.9</v>
      </c>
      <c r="O227" s="95" cm="1">
        <f t="array" ref="O227">IF($C227&gt;O$11,0,INDEX($F$220:$AD$220,O$11-$C227+1)*($D227/$D$220))</f>
        <v>178677.9</v>
      </c>
      <c r="P227" s="95" cm="1">
        <f t="array" ref="P227">IF($C227&gt;P$11,0,INDEX($F$220:$AD$220,P$11-$C227+1)*($D227/$D$220))</f>
        <v>0</v>
      </c>
      <c r="Q227" s="95" cm="1">
        <f t="array" ref="Q227">IF($C227&gt;Q$11,0,INDEX($F$220:$AD$220,Q$11-$C227+1)*($D227/$D$220))</f>
        <v>0</v>
      </c>
      <c r="R227" s="95" cm="1">
        <f t="array" ref="R227">IF($C227&gt;R$11,0,INDEX($F$220:$AD$220,R$11-$C227+1)*($D227/$D$220))</f>
        <v>0</v>
      </c>
      <c r="S227" s="95" cm="1">
        <f t="array" ref="S227">IF($C227&gt;S$11,0,INDEX($F$220:$AD$220,S$11-$C227+1)*($D227/$D$220))</f>
        <v>0</v>
      </c>
      <c r="T227" s="95" cm="1">
        <f t="array" ref="T227">IF($C227&gt;T$11,0,INDEX($F$220:$AD$220,T$11-$C227+1)*($D227/$D$220))</f>
        <v>0</v>
      </c>
      <c r="U227" s="95" cm="1">
        <f t="array" ref="U227">IF($C227&gt;U$11,0,INDEX($F$220:$AD$220,U$11-$C227+1)*($D227/$D$220))</f>
        <v>0</v>
      </c>
      <c r="V227" s="95" cm="1">
        <f t="array" ref="V227">IF($C227&gt;V$11,0,INDEX($F$220:$AD$220,V$11-$C227+1)*($D227/$D$220))</f>
        <v>0</v>
      </c>
      <c r="W227" s="95" cm="1">
        <f t="array" ref="W227">IF($C227&gt;W$11,0,INDEX($F$220:$AD$220,W$11-$C227+1)*($D227/$D$220))</f>
        <v>0</v>
      </c>
      <c r="X227" s="95" cm="1">
        <f t="array" ref="X227">IF($C227&gt;X$11,0,INDEX($F$220:$AD$220,X$11-$C227+1)*($D227/$D$220))</f>
        <v>0</v>
      </c>
      <c r="Y227" s="95" cm="1">
        <f t="array" ref="Y227">IF($C227&gt;Y$11,0,INDEX($F$220:$AD$220,Y$11-$C227+1)*($D227/$D$220))</f>
        <v>0</v>
      </c>
      <c r="Z227" s="95" cm="1">
        <f t="array" ref="Z227">IF($C227&gt;Z$11,0,INDEX($F$220:$AD$220,Z$11-$C227+1)*($D227/$D$220))</f>
        <v>0</v>
      </c>
      <c r="AA227" s="95" cm="1">
        <f t="array" ref="AA227">IF($C227&gt;AA$11,0,INDEX($F$220:$AD$220,AA$11-$C227+1)*($D227/$D$220))</f>
        <v>0</v>
      </c>
      <c r="AB227" s="95" cm="1">
        <f t="array" ref="AB227">IF($C227&gt;AB$11,0,INDEX($F$220:$AD$220,AB$11-$C227+1)*($D227/$D$220))</f>
        <v>0</v>
      </c>
      <c r="AC227" s="95" cm="1">
        <f t="array" ref="AC227">IF($C227&gt;AC$11,0,INDEX($F$220:$AD$220,AC$11-$C227+1)*($D227/$D$220))</f>
        <v>0</v>
      </c>
      <c r="AD227" s="95" cm="1">
        <f t="array" ref="AD227">IF($C227&gt;AD$11,0,INDEX($F$220:$AD$220,AD$11-$C227+1)*($D227/$D$220))</f>
        <v>0</v>
      </c>
    </row>
    <row r="228" spans="1:30">
      <c r="A228" s="95"/>
      <c r="B228" s="118">
        <f t="shared" si="69"/>
        <v>1</v>
      </c>
      <c r="C228">
        <f t="shared" si="70"/>
        <v>2028</v>
      </c>
      <c r="D228" s="95" cm="1">
        <f t="array" ref="D228">INDEX($F$14:$AD$16,$B228,MATCH($C228,$F$11:$AD$11,0))*$G$221</f>
        <v>1158525</v>
      </c>
      <c r="E228" s="95"/>
      <c r="F228" s="95" cm="1">
        <f t="array" ref="F228">IF($C228&gt;F$11,0,INDEX($F$220:$AD$220,F$11-$C228+1)*($D228/$D$220))</f>
        <v>0</v>
      </c>
      <c r="G228" s="95" cm="1">
        <f t="array" ref="G228">IF($C228&gt;G$11,0,INDEX($F$220:$AD$220,G$11-$C228+1)*($D228/$D$220))</f>
        <v>0</v>
      </c>
      <c r="H228" s="95" cm="1">
        <f t="array" ref="H228">IF($C228&gt;H$11,0,INDEX($F$220:$AD$220,H$11-$C228+1)*($D228/$D$220))</f>
        <v>0</v>
      </c>
      <c r="I228" s="95" cm="1">
        <f t="array" ref="I228">IF($C228&gt;I$11,0,INDEX($F$220:$AD$220,I$11-$C228+1)*($D228/$D$220))</f>
        <v>0</v>
      </c>
      <c r="J228" s="95" cm="1">
        <f t="array" ref="J228">IF($C228&gt;J$11,0,INDEX($F$220:$AD$220,J$11-$C228+1)*($D228/$D$220))</f>
        <v>0</v>
      </c>
      <c r="K228" s="95" cm="1">
        <f t="array" ref="K228">IF($C228&gt;K$11,0,INDEX($F$220:$AD$220,K$11-$C228+1)*($D228/$D$220))</f>
        <v>0</v>
      </c>
      <c r="L228" s="95" cm="1">
        <f t="array" ref="L228">IF($C228&gt;L$11,0,INDEX($F$220:$AD$220,L$11-$C228+1)*($D228/$D$220))</f>
        <v>463410</v>
      </c>
      <c r="M228" s="95" cm="1">
        <f t="array" ref="M228">IF($C228&gt;M$11,0,INDEX($F$220:$AD$220,M$11-$C228+1)*($D228/$D$220))</f>
        <v>278046</v>
      </c>
      <c r="N228" s="95" cm="1">
        <f t="array" ref="N228">IF($C228&gt;N$11,0,INDEX($F$220:$AD$220,N$11-$C228+1)*($D228/$D$220))</f>
        <v>166827.6</v>
      </c>
      <c r="O228" s="95" cm="1">
        <f t="array" ref="O228">IF($C228&gt;O$11,0,INDEX($F$220:$AD$220,O$11-$C228+1)*($D228/$D$220))</f>
        <v>125120.7</v>
      </c>
      <c r="P228" s="95" cm="1">
        <f t="array" ref="P228">IF($C228&gt;P$11,0,INDEX($F$220:$AD$220,P$11-$C228+1)*($D228/$D$220))</f>
        <v>125120.69999999998</v>
      </c>
      <c r="Q228" s="95" cm="1">
        <f t="array" ref="Q228">IF($C228&gt;Q$11,0,INDEX($F$220:$AD$220,Q$11-$C228+1)*($D228/$D$220))</f>
        <v>0</v>
      </c>
      <c r="R228" s="95" cm="1">
        <f t="array" ref="R228">IF($C228&gt;R$11,0,INDEX($F$220:$AD$220,R$11-$C228+1)*($D228/$D$220))</f>
        <v>0</v>
      </c>
      <c r="S228" s="95" cm="1">
        <f t="array" ref="S228">IF($C228&gt;S$11,0,INDEX($F$220:$AD$220,S$11-$C228+1)*($D228/$D$220))</f>
        <v>0</v>
      </c>
      <c r="T228" s="95" cm="1">
        <f t="array" ref="T228">IF($C228&gt;T$11,0,INDEX($F$220:$AD$220,T$11-$C228+1)*($D228/$D$220))</f>
        <v>0</v>
      </c>
      <c r="U228" s="95" cm="1">
        <f t="array" ref="U228">IF($C228&gt;U$11,0,INDEX($F$220:$AD$220,U$11-$C228+1)*($D228/$D$220))</f>
        <v>0</v>
      </c>
      <c r="V228" s="95" cm="1">
        <f t="array" ref="V228">IF($C228&gt;V$11,0,INDEX($F$220:$AD$220,V$11-$C228+1)*($D228/$D$220))</f>
        <v>0</v>
      </c>
      <c r="W228" s="95" cm="1">
        <f t="array" ref="W228">IF($C228&gt;W$11,0,INDEX($F$220:$AD$220,W$11-$C228+1)*($D228/$D$220))</f>
        <v>0</v>
      </c>
      <c r="X228" s="95" cm="1">
        <f t="array" ref="X228">IF($C228&gt;X$11,0,INDEX($F$220:$AD$220,X$11-$C228+1)*($D228/$D$220))</f>
        <v>0</v>
      </c>
      <c r="Y228" s="95" cm="1">
        <f t="array" ref="Y228">IF($C228&gt;Y$11,0,INDEX($F$220:$AD$220,Y$11-$C228+1)*($D228/$D$220))</f>
        <v>0</v>
      </c>
      <c r="Z228" s="95" cm="1">
        <f t="array" ref="Z228">IF($C228&gt;Z$11,0,INDEX($F$220:$AD$220,Z$11-$C228+1)*($D228/$D$220))</f>
        <v>0</v>
      </c>
      <c r="AA228" s="95" cm="1">
        <f t="array" ref="AA228">IF($C228&gt;AA$11,0,INDEX($F$220:$AD$220,AA$11-$C228+1)*($D228/$D$220))</f>
        <v>0</v>
      </c>
      <c r="AB228" s="95" cm="1">
        <f t="array" ref="AB228">IF($C228&gt;AB$11,0,INDEX($F$220:$AD$220,AB$11-$C228+1)*($D228/$D$220))</f>
        <v>0</v>
      </c>
      <c r="AC228" s="95" cm="1">
        <f t="array" ref="AC228">IF($C228&gt;AC$11,0,INDEX($F$220:$AD$220,AC$11-$C228+1)*($D228/$D$220))</f>
        <v>0</v>
      </c>
      <c r="AD228" s="95" cm="1">
        <f t="array" ref="AD228">IF($C228&gt;AD$11,0,INDEX($F$220:$AD$220,AD$11-$C228+1)*($D228/$D$220))</f>
        <v>0</v>
      </c>
    </row>
    <row r="229" spans="1:30">
      <c r="A229" s="95"/>
      <c r="B229" s="118">
        <f t="shared" si="69"/>
        <v>1</v>
      </c>
      <c r="C229">
        <f t="shared" si="70"/>
        <v>2029</v>
      </c>
      <c r="D229" s="95" cm="1">
        <f t="array" ref="D229">INDEX($F$14:$AD$16,$B229,MATCH($C229,$F$11:$AD$11,0))*$G$221</f>
        <v>275025</v>
      </c>
      <c r="E229" s="95"/>
      <c r="F229" s="95" cm="1">
        <f t="array" ref="F229">IF($C229&gt;F$11,0,INDEX($F$220:$AD$220,F$11-$C229+1)*($D229/$D$220))</f>
        <v>0</v>
      </c>
      <c r="G229" s="95" cm="1">
        <f t="array" ref="G229">IF($C229&gt;G$11,0,INDEX($F$220:$AD$220,G$11-$C229+1)*($D229/$D$220))</f>
        <v>0</v>
      </c>
      <c r="H229" s="95" cm="1">
        <f t="array" ref="H229">IF($C229&gt;H$11,0,INDEX($F$220:$AD$220,H$11-$C229+1)*($D229/$D$220))</f>
        <v>0</v>
      </c>
      <c r="I229" s="95" cm="1">
        <f t="array" ref="I229">IF($C229&gt;I$11,0,INDEX($F$220:$AD$220,I$11-$C229+1)*($D229/$D$220))</f>
        <v>0</v>
      </c>
      <c r="J229" s="95" cm="1">
        <f t="array" ref="J229">IF($C229&gt;J$11,0,INDEX($F$220:$AD$220,J$11-$C229+1)*($D229/$D$220))</f>
        <v>0</v>
      </c>
      <c r="K229" s="95" cm="1">
        <f t="array" ref="K229">IF($C229&gt;K$11,0,INDEX($F$220:$AD$220,K$11-$C229+1)*($D229/$D$220))</f>
        <v>0</v>
      </c>
      <c r="L229" s="95" cm="1">
        <f t="array" ref="L229">IF($C229&gt;L$11,0,INDEX($F$220:$AD$220,L$11-$C229+1)*($D229/$D$220))</f>
        <v>0</v>
      </c>
      <c r="M229" s="95" cm="1">
        <f t="array" ref="M229">IF($C229&gt;M$11,0,INDEX($F$220:$AD$220,M$11-$C229+1)*($D229/$D$220))</f>
        <v>110010.00000000001</v>
      </c>
      <c r="N229" s="95" cm="1">
        <f t="array" ref="N229">IF($C229&gt;N$11,0,INDEX($F$220:$AD$220,N$11-$C229+1)*($D229/$D$220))</f>
        <v>66006</v>
      </c>
      <c r="O229" s="95" cm="1">
        <f t="array" ref="O229">IF($C229&gt;O$11,0,INDEX($F$220:$AD$220,O$11-$C229+1)*($D229/$D$220))</f>
        <v>39603.600000000006</v>
      </c>
      <c r="P229" s="95" cm="1">
        <f t="array" ref="P229">IF($C229&gt;P$11,0,INDEX($F$220:$AD$220,P$11-$C229+1)*($D229/$D$220))</f>
        <v>29702.7</v>
      </c>
      <c r="Q229" s="95" cm="1">
        <f t="array" ref="Q229">IF($C229&gt;Q$11,0,INDEX($F$220:$AD$220,Q$11-$C229+1)*($D229/$D$220))</f>
        <v>29702.699999999997</v>
      </c>
      <c r="R229" s="95" cm="1">
        <f t="array" ref="R229">IF($C229&gt;R$11,0,INDEX($F$220:$AD$220,R$11-$C229+1)*($D229/$D$220))</f>
        <v>0</v>
      </c>
      <c r="S229" s="95" cm="1">
        <f t="array" ref="S229">IF($C229&gt;S$11,0,INDEX($F$220:$AD$220,S$11-$C229+1)*($D229/$D$220))</f>
        <v>0</v>
      </c>
      <c r="T229" s="95" cm="1">
        <f t="array" ref="T229">IF($C229&gt;T$11,0,INDEX($F$220:$AD$220,T$11-$C229+1)*($D229/$D$220))</f>
        <v>0</v>
      </c>
      <c r="U229" s="95" cm="1">
        <f t="array" ref="U229">IF($C229&gt;U$11,0,INDEX($F$220:$AD$220,U$11-$C229+1)*($D229/$D$220))</f>
        <v>0</v>
      </c>
      <c r="V229" s="95" cm="1">
        <f t="array" ref="V229">IF($C229&gt;V$11,0,INDEX($F$220:$AD$220,V$11-$C229+1)*($D229/$D$220))</f>
        <v>0</v>
      </c>
      <c r="W229" s="95" cm="1">
        <f t="array" ref="W229">IF($C229&gt;W$11,0,INDEX($F$220:$AD$220,W$11-$C229+1)*($D229/$D$220))</f>
        <v>0</v>
      </c>
      <c r="X229" s="95" cm="1">
        <f t="array" ref="X229">IF($C229&gt;X$11,0,INDEX($F$220:$AD$220,X$11-$C229+1)*($D229/$D$220))</f>
        <v>0</v>
      </c>
      <c r="Y229" s="95" cm="1">
        <f t="array" ref="Y229">IF($C229&gt;Y$11,0,INDEX($F$220:$AD$220,Y$11-$C229+1)*($D229/$D$220))</f>
        <v>0</v>
      </c>
      <c r="Z229" s="95" cm="1">
        <f t="array" ref="Z229">IF($C229&gt;Z$11,0,INDEX($F$220:$AD$220,Z$11-$C229+1)*($D229/$D$220))</f>
        <v>0</v>
      </c>
      <c r="AA229" s="95" cm="1">
        <f t="array" ref="AA229">IF($C229&gt;AA$11,0,INDEX($F$220:$AD$220,AA$11-$C229+1)*($D229/$D$220))</f>
        <v>0</v>
      </c>
      <c r="AB229" s="95" cm="1">
        <f t="array" ref="AB229">IF($C229&gt;AB$11,0,INDEX($F$220:$AD$220,AB$11-$C229+1)*($D229/$D$220))</f>
        <v>0</v>
      </c>
      <c r="AC229" s="95" cm="1">
        <f t="array" ref="AC229">IF($C229&gt;AC$11,0,INDEX($F$220:$AD$220,AC$11-$C229+1)*($D229/$D$220))</f>
        <v>0</v>
      </c>
      <c r="AD229" s="95" cm="1">
        <f t="array" ref="AD229">IF($C229&gt;AD$11,0,INDEX($F$220:$AD$220,AD$11-$C229+1)*($D229/$D$220))</f>
        <v>0</v>
      </c>
    </row>
    <row r="230" spans="1:30">
      <c r="A230" s="95"/>
      <c r="B230" s="118">
        <f t="shared" si="69"/>
        <v>1</v>
      </c>
      <c r="C230">
        <f t="shared" si="70"/>
        <v>2030</v>
      </c>
      <c r="D230" s="95" cm="1">
        <f t="array" ref="D230">INDEX($F$14:$AD$16,$B230,MATCH($C230,$F$11:$AD$11,0))*$G$221</f>
        <v>1054500</v>
      </c>
      <c r="E230" s="95"/>
      <c r="F230" s="95" cm="1">
        <f t="array" ref="F230">IF($C230&gt;F$11,0,INDEX($F$220:$AD$220,F$11-$C230+1)*($D230/$D$220))</f>
        <v>0</v>
      </c>
      <c r="G230" s="95" cm="1">
        <f t="array" ref="G230">IF($C230&gt;G$11,0,INDEX($F$220:$AD$220,G$11-$C230+1)*($D230/$D$220))</f>
        <v>0</v>
      </c>
      <c r="H230" s="95" cm="1">
        <f t="array" ref="H230">IF($C230&gt;H$11,0,INDEX($F$220:$AD$220,H$11-$C230+1)*($D230/$D$220))</f>
        <v>0</v>
      </c>
      <c r="I230" s="95" cm="1">
        <f t="array" ref="I230">IF($C230&gt;I$11,0,INDEX($F$220:$AD$220,I$11-$C230+1)*($D230/$D$220))</f>
        <v>0</v>
      </c>
      <c r="J230" s="95" cm="1">
        <f t="array" ref="J230">IF($C230&gt;J$11,0,INDEX($F$220:$AD$220,J$11-$C230+1)*($D230/$D$220))</f>
        <v>0</v>
      </c>
      <c r="K230" s="95" cm="1">
        <f t="array" ref="K230">IF($C230&gt;K$11,0,INDEX($F$220:$AD$220,K$11-$C230+1)*($D230/$D$220))</f>
        <v>0</v>
      </c>
      <c r="L230" s="95" cm="1">
        <f t="array" ref="L230">IF($C230&gt;L$11,0,INDEX($F$220:$AD$220,L$11-$C230+1)*($D230/$D$220))</f>
        <v>0</v>
      </c>
      <c r="M230" s="95" cm="1">
        <f t="array" ref="M230">IF($C230&gt;M$11,0,INDEX($F$220:$AD$220,M$11-$C230+1)*($D230/$D$220))</f>
        <v>0</v>
      </c>
      <c r="N230" s="95" cm="1">
        <f t="array" ref="N230">IF($C230&gt;N$11,0,INDEX($F$220:$AD$220,N$11-$C230+1)*($D230/$D$220))</f>
        <v>421800</v>
      </c>
      <c r="O230" s="95" cm="1">
        <f t="array" ref="O230">IF($C230&gt;O$11,0,INDEX($F$220:$AD$220,O$11-$C230+1)*($D230/$D$220))</f>
        <v>253080</v>
      </c>
      <c r="P230" s="95" cm="1">
        <f t="array" ref="P230">IF($C230&gt;P$11,0,INDEX($F$220:$AD$220,P$11-$C230+1)*($D230/$D$220))</f>
        <v>151848</v>
      </c>
      <c r="Q230" s="95" cm="1">
        <f t="array" ref="Q230">IF($C230&gt;Q$11,0,INDEX($F$220:$AD$220,Q$11-$C230+1)*($D230/$D$220))</f>
        <v>113886</v>
      </c>
      <c r="R230" s="95" cm="1">
        <f t="array" ref="R230">IF($C230&gt;R$11,0,INDEX($F$220:$AD$220,R$11-$C230+1)*($D230/$D$220))</f>
        <v>113885.99999999999</v>
      </c>
      <c r="S230" s="95" cm="1">
        <f t="array" ref="S230">IF($C230&gt;S$11,0,INDEX($F$220:$AD$220,S$11-$C230+1)*($D230/$D$220))</f>
        <v>0</v>
      </c>
      <c r="T230" s="95" cm="1">
        <f t="array" ref="T230">IF($C230&gt;T$11,0,INDEX($F$220:$AD$220,T$11-$C230+1)*($D230/$D$220))</f>
        <v>0</v>
      </c>
      <c r="U230" s="95" cm="1">
        <f t="array" ref="U230">IF($C230&gt;U$11,0,INDEX($F$220:$AD$220,U$11-$C230+1)*($D230/$D$220))</f>
        <v>0</v>
      </c>
      <c r="V230" s="95" cm="1">
        <f t="array" ref="V230">IF($C230&gt;V$11,0,INDEX($F$220:$AD$220,V$11-$C230+1)*($D230/$D$220))</f>
        <v>0</v>
      </c>
      <c r="W230" s="95" cm="1">
        <f t="array" ref="W230">IF($C230&gt;W$11,0,INDEX($F$220:$AD$220,W$11-$C230+1)*($D230/$D$220))</f>
        <v>0</v>
      </c>
      <c r="X230" s="95" cm="1">
        <f t="array" ref="X230">IF($C230&gt;X$11,0,INDEX($F$220:$AD$220,X$11-$C230+1)*($D230/$D$220))</f>
        <v>0</v>
      </c>
      <c r="Y230" s="95" cm="1">
        <f t="array" ref="Y230">IF($C230&gt;Y$11,0,INDEX($F$220:$AD$220,Y$11-$C230+1)*($D230/$D$220))</f>
        <v>0</v>
      </c>
      <c r="Z230" s="95" cm="1">
        <f t="array" ref="Z230">IF($C230&gt;Z$11,0,INDEX($F$220:$AD$220,Z$11-$C230+1)*($D230/$D$220))</f>
        <v>0</v>
      </c>
      <c r="AA230" s="95" cm="1">
        <f t="array" ref="AA230">IF($C230&gt;AA$11,0,INDEX($F$220:$AD$220,AA$11-$C230+1)*($D230/$D$220))</f>
        <v>0</v>
      </c>
      <c r="AB230" s="95" cm="1">
        <f t="array" ref="AB230">IF($C230&gt;AB$11,0,INDEX($F$220:$AD$220,AB$11-$C230+1)*($D230/$D$220))</f>
        <v>0</v>
      </c>
      <c r="AC230" s="95" cm="1">
        <f t="array" ref="AC230">IF($C230&gt;AC$11,0,INDEX($F$220:$AD$220,AC$11-$C230+1)*($D230/$D$220))</f>
        <v>0</v>
      </c>
      <c r="AD230" s="95" cm="1">
        <f t="array" ref="AD230">IF($C230&gt;AD$11,0,INDEX($F$220:$AD$220,AD$11-$C230+1)*($D230/$D$220))</f>
        <v>0</v>
      </c>
    </row>
    <row r="231" spans="1:30">
      <c r="A231" s="95"/>
      <c r="B231" s="118">
        <f t="shared" si="69"/>
        <v>1</v>
      </c>
      <c r="C231">
        <f t="shared" si="70"/>
        <v>2031</v>
      </c>
      <c r="D231" s="95" cm="1">
        <f t="array" ref="D231">INDEX($F$14:$AD$16,$B231,MATCH($C231,$F$11:$AD$11,0))*$G$221</f>
        <v>2227275</v>
      </c>
      <c r="E231" s="95"/>
      <c r="F231" s="95" cm="1">
        <f t="array" ref="F231">IF($C231&gt;F$11,0,INDEX($F$220:$AD$220,F$11-$C231+1)*($D231/$D$220))</f>
        <v>0</v>
      </c>
      <c r="G231" s="95" cm="1">
        <f t="array" ref="G231">IF($C231&gt;G$11,0,INDEX($F$220:$AD$220,G$11-$C231+1)*($D231/$D$220))</f>
        <v>0</v>
      </c>
      <c r="H231" s="95" cm="1">
        <f t="array" ref="H231">IF($C231&gt;H$11,0,INDEX($F$220:$AD$220,H$11-$C231+1)*($D231/$D$220))</f>
        <v>0</v>
      </c>
      <c r="I231" s="95" cm="1">
        <f t="array" ref="I231">IF($C231&gt;I$11,0,INDEX($F$220:$AD$220,I$11-$C231+1)*($D231/$D$220))</f>
        <v>0</v>
      </c>
      <c r="J231" s="95" cm="1">
        <f t="array" ref="J231">IF($C231&gt;J$11,0,INDEX($F$220:$AD$220,J$11-$C231+1)*($D231/$D$220))</f>
        <v>0</v>
      </c>
      <c r="K231" s="95" cm="1">
        <f t="array" ref="K231">IF($C231&gt;K$11,0,INDEX($F$220:$AD$220,K$11-$C231+1)*($D231/$D$220))</f>
        <v>0</v>
      </c>
      <c r="L231" s="95" cm="1">
        <f t="array" ref="L231">IF($C231&gt;L$11,0,INDEX($F$220:$AD$220,L$11-$C231+1)*($D231/$D$220))</f>
        <v>0</v>
      </c>
      <c r="M231" s="95" cm="1">
        <f t="array" ref="M231">IF($C231&gt;M$11,0,INDEX($F$220:$AD$220,M$11-$C231+1)*($D231/$D$220))</f>
        <v>0</v>
      </c>
      <c r="N231" s="95" cm="1">
        <f t="array" ref="N231">IF($C231&gt;N$11,0,INDEX($F$220:$AD$220,N$11-$C231+1)*($D231/$D$220))</f>
        <v>0</v>
      </c>
      <c r="O231" s="95" cm="1">
        <f t="array" ref="O231">IF($C231&gt;O$11,0,INDEX($F$220:$AD$220,O$11-$C231+1)*($D231/$D$220))</f>
        <v>890910</v>
      </c>
      <c r="P231" s="95" cm="1">
        <f t="array" ref="P231">IF($C231&gt;P$11,0,INDEX($F$220:$AD$220,P$11-$C231+1)*($D231/$D$220))</f>
        <v>534546</v>
      </c>
      <c r="Q231" s="95" cm="1">
        <f t="array" ref="Q231">IF($C231&gt;Q$11,0,INDEX($F$220:$AD$220,Q$11-$C231+1)*($D231/$D$220))</f>
        <v>320727.60000000003</v>
      </c>
      <c r="R231" s="95" cm="1">
        <f t="array" ref="R231">IF($C231&gt;R$11,0,INDEX($F$220:$AD$220,R$11-$C231+1)*($D231/$D$220))</f>
        <v>240545.7</v>
      </c>
      <c r="S231" s="95" cm="1">
        <f t="array" ref="S231">IF($C231&gt;S$11,0,INDEX($F$220:$AD$220,S$11-$C231+1)*($D231/$D$220))</f>
        <v>240545.69999999998</v>
      </c>
      <c r="T231" s="95" cm="1">
        <f t="array" ref="T231">IF($C231&gt;T$11,0,INDEX($F$220:$AD$220,T$11-$C231+1)*($D231/$D$220))</f>
        <v>0</v>
      </c>
      <c r="U231" s="95" cm="1">
        <f t="array" ref="U231">IF($C231&gt;U$11,0,INDEX($F$220:$AD$220,U$11-$C231+1)*($D231/$D$220))</f>
        <v>0</v>
      </c>
      <c r="V231" s="95" cm="1">
        <f t="array" ref="V231">IF($C231&gt;V$11,0,INDEX($F$220:$AD$220,V$11-$C231+1)*($D231/$D$220))</f>
        <v>0</v>
      </c>
      <c r="W231" s="95" cm="1">
        <f t="array" ref="W231">IF($C231&gt;W$11,0,INDEX($F$220:$AD$220,W$11-$C231+1)*($D231/$D$220))</f>
        <v>0</v>
      </c>
      <c r="X231" s="95" cm="1">
        <f t="array" ref="X231">IF($C231&gt;X$11,0,INDEX($F$220:$AD$220,X$11-$C231+1)*($D231/$D$220))</f>
        <v>0</v>
      </c>
      <c r="Y231" s="95" cm="1">
        <f t="array" ref="Y231">IF($C231&gt;Y$11,0,INDEX($F$220:$AD$220,Y$11-$C231+1)*($D231/$D$220))</f>
        <v>0</v>
      </c>
      <c r="Z231" s="95" cm="1">
        <f t="array" ref="Z231">IF($C231&gt;Z$11,0,INDEX($F$220:$AD$220,Z$11-$C231+1)*($D231/$D$220))</f>
        <v>0</v>
      </c>
      <c r="AA231" s="95" cm="1">
        <f t="array" ref="AA231">IF($C231&gt;AA$11,0,INDEX($F$220:$AD$220,AA$11-$C231+1)*($D231/$D$220))</f>
        <v>0</v>
      </c>
      <c r="AB231" s="95" cm="1">
        <f t="array" ref="AB231">IF($C231&gt;AB$11,0,INDEX($F$220:$AD$220,AB$11-$C231+1)*($D231/$D$220))</f>
        <v>0</v>
      </c>
      <c r="AC231" s="95" cm="1">
        <f t="array" ref="AC231">IF($C231&gt;AC$11,0,INDEX($F$220:$AD$220,AC$11-$C231+1)*($D231/$D$220))</f>
        <v>0</v>
      </c>
      <c r="AD231" s="95" cm="1">
        <f t="array" ref="AD231">IF($C231&gt;AD$11,0,INDEX($F$220:$AD$220,AD$11-$C231+1)*($D231/$D$220))</f>
        <v>0</v>
      </c>
    </row>
    <row r="232" spans="1:30">
      <c r="A232" s="95"/>
      <c r="B232" s="118">
        <f t="shared" si="69"/>
        <v>1</v>
      </c>
      <c r="C232">
        <f t="shared" si="70"/>
        <v>2032</v>
      </c>
      <c r="D232" s="95" cm="1">
        <f t="array" ref="D232">INDEX($F$14:$AD$16,$B232,MATCH($C232,$F$11:$AD$11,0))*$G$221</f>
        <v>1416450</v>
      </c>
      <c r="E232" s="95"/>
      <c r="F232" s="95" cm="1">
        <f t="array" ref="F232">IF($C232&gt;F$11,0,INDEX($F$220:$AD$220,F$11-$C232+1)*($D232/$D$220))</f>
        <v>0</v>
      </c>
      <c r="G232" s="95" cm="1">
        <f t="array" ref="G232">IF($C232&gt;G$11,0,INDEX($F$220:$AD$220,G$11-$C232+1)*($D232/$D$220))</f>
        <v>0</v>
      </c>
      <c r="H232" s="95" cm="1">
        <f t="array" ref="H232">IF($C232&gt;H$11,0,INDEX($F$220:$AD$220,H$11-$C232+1)*($D232/$D$220))</f>
        <v>0</v>
      </c>
      <c r="I232" s="95" cm="1">
        <f t="array" ref="I232">IF($C232&gt;I$11,0,INDEX($F$220:$AD$220,I$11-$C232+1)*($D232/$D$220))</f>
        <v>0</v>
      </c>
      <c r="J232" s="95" cm="1">
        <f t="array" ref="J232">IF($C232&gt;J$11,0,INDEX($F$220:$AD$220,J$11-$C232+1)*($D232/$D$220))</f>
        <v>0</v>
      </c>
      <c r="K232" s="95" cm="1">
        <f t="array" ref="K232">IF($C232&gt;K$11,0,INDEX($F$220:$AD$220,K$11-$C232+1)*($D232/$D$220))</f>
        <v>0</v>
      </c>
      <c r="L232" s="95" cm="1">
        <f t="array" ref="L232">IF($C232&gt;L$11,0,INDEX($F$220:$AD$220,L$11-$C232+1)*($D232/$D$220))</f>
        <v>0</v>
      </c>
      <c r="M232" s="95" cm="1">
        <f t="array" ref="M232">IF($C232&gt;M$11,0,INDEX($F$220:$AD$220,M$11-$C232+1)*($D232/$D$220))</f>
        <v>0</v>
      </c>
      <c r="N232" s="95" cm="1">
        <f t="array" ref="N232">IF($C232&gt;N$11,0,INDEX($F$220:$AD$220,N$11-$C232+1)*($D232/$D$220))</f>
        <v>0</v>
      </c>
      <c r="O232" s="95" cm="1">
        <f t="array" ref="O232">IF($C232&gt;O$11,0,INDEX($F$220:$AD$220,O$11-$C232+1)*($D232/$D$220))</f>
        <v>0</v>
      </c>
      <c r="P232" s="95" cm="1">
        <f t="array" ref="P232">IF($C232&gt;P$11,0,INDEX($F$220:$AD$220,P$11-$C232+1)*($D232/$D$220))</f>
        <v>566580</v>
      </c>
      <c r="Q232" s="95" cm="1">
        <f t="array" ref="Q232">IF($C232&gt;Q$11,0,INDEX($F$220:$AD$220,Q$11-$C232+1)*($D232/$D$220))</f>
        <v>339948</v>
      </c>
      <c r="R232" s="95" cm="1">
        <f t="array" ref="R232">IF($C232&gt;R$11,0,INDEX($F$220:$AD$220,R$11-$C232+1)*($D232/$D$220))</f>
        <v>203968.8</v>
      </c>
      <c r="S232" s="95" cm="1">
        <f t="array" ref="S232">IF($C232&gt;S$11,0,INDEX($F$220:$AD$220,S$11-$C232+1)*($D232/$D$220))</f>
        <v>152976.6</v>
      </c>
      <c r="T232" s="95" cm="1">
        <f t="array" ref="T232">IF($C232&gt;T$11,0,INDEX($F$220:$AD$220,T$11-$C232+1)*($D232/$D$220))</f>
        <v>152976.59999999998</v>
      </c>
      <c r="U232" s="95" cm="1">
        <f t="array" ref="U232">IF($C232&gt;U$11,0,INDEX($F$220:$AD$220,U$11-$C232+1)*($D232/$D$220))</f>
        <v>0</v>
      </c>
      <c r="V232" s="95" cm="1">
        <f t="array" ref="V232">IF($C232&gt;V$11,0,INDEX($F$220:$AD$220,V$11-$C232+1)*($D232/$D$220))</f>
        <v>0</v>
      </c>
      <c r="W232" s="95" cm="1">
        <f t="array" ref="W232">IF($C232&gt;W$11,0,INDEX($F$220:$AD$220,W$11-$C232+1)*($D232/$D$220))</f>
        <v>0</v>
      </c>
      <c r="X232" s="95" cm="1">
        <f t="array" ref="X232">IF($C232&gt;X$11,0,INDEX($F$220:$AD$220,X$11-$C232+1)*($D232/$D$220))</f>
        <v>0</v>
      </c>
      <c r="Y232" s="95" cm="1">
        <f t="array" ref="Y232">IF($C232&gt;Y$11,0,INDEX($F$220:$AD$220,Y$11-$C232+1)*($D232/$D$220))</f>
        <v>0</v>
      </c>
      <c r="Z232" s="95" cm="1">
        <f t="array" ref="Z232">IF($C232&gt;Z$11,0,INDEX($F$220:$AD$220,Z$11-$C232+1)*($D232/$D$220))</f>
        <v>0</v>
      </c>
      <c r="AA232" s="95" cm="1">
        <f t="array" ref="AA232">IF($C232&gt;AA$11,0,INDEX($F$220:$AD$220,AA$11-$C232+1)*($D232/$D$220))</f>
        <v>0</v>
      </c>
      <c r="AB232" s="95" cm="1">
        <f t="array" ref="AB232">IF($C232&gt;AB$11,0,INDEX($F$220:$AD$220,AB$11-$C232+1)*($D232/$D$220))</f>
        <v>0</v>
      </c>
      <c r="AC232" s="95" cm="1">
        <f t="array" ref="AC232">IF($C232&gt;AC$11,0,INDEX($F$220:$AD$220,AC$11-$C232+1)*($D232/$D$220))</f>
        <v>0</v>
      </c>
      <c r="AD232" s="95" cm="1">
        <f t="array" ref="AD232">IF($C232&gt;AD$11,0,INDEX($F$220:$AD$220,AD$11-$C232+1)*($D232/$D$220))</f>
        <v>0</v>
      </c>
    </row>
    <row r="233" spans="1:30">
      <c r="A233" s="95"/>
      <c r="B233" s="118">
        <f t="shared" si="69"/>
        <v>1</v>
      </c>
      <c r="C233">
        <f t="shared" si="70"/>
        <v>2033</v>
      </c>
      <c r="D233" s="95" cm="1">
        <f t="array" ref="D233">INDEX($F$14:$AD$16,$B233,MATCH($C233,$F$11:$AD$11,0))*$G$221</f>
        <v>2061975</v>
      </c>
      <c r="E233" s="95"/>
      <c r="F233" s="95" cm="1">
        <f t="array" ref="F233">IF($C233&gt;F$11,0,INDEX($F$220:$AD$220,F$11-$C233+1)*($D233/$D$220))</f>
        <v>0</v>
      </c>
      <c r="G233" s="95" cm="1">
        <f t="array" ref="G233">IF($C233&gt;G$11,0,INDEX($F$220:$AD$220,G$11-$C233+1)*($D233/$D$220))</f>
        <v>0</v>
      </c>
      <c r="H233" s="95" cm="1">
        <f t="array" ref="H233">IF($C233&gt;H$11,0,INDEX($F$220:$AD$220,H$11-$C233+1)*($D233/$D$220))</f>
        <v>0</v>
      </c>
      <c r="I233" s="95" cm="1">
        <f t="array" ref="I233">IF($C233&gt;I$11,0,INDEX($F$220:$AD$220,I$11-$C233+1)*($D233/$D$220))</f>
        <v>0</v>
      </c>
      <c r="J233" s="95" cm="1">
        <f t="array" ref="J233">IF($C233&gt;J$11,0,INDEX($F$220:$AD$220,J$11-$C233+1)*($D233/$D$220))</f>
        <v>0</v>
      </c>
      <c r="K233" s="95" cm="1">
        <f t="array" ref="K233">IF($C233&gt;K$11,0,INDEX($F$220:$AD$220,K$11-$C233+1)*($D233/$D$220))</f>
        <v>0</v>
      </c>
      <c r="L233" s="95" cm="1">
        <f t="array" ref="L233">IF($C233&gt;L$11,0,INDEX($F$220:$AD$220,L$11-$C233+1)*($D233/$D$220))</f>
        <v>0</v>
      </c>
      <c r="M233" s="95" cm="1">
        <f t="array" ref="M233">IF($C233&gt;M$11,0,INDEX($F$220:$AD$220,M$11-$C233+1)*($D233/$D$220))</f>
        <v>0</v>
      </c>
      <c r="N233" s="95" cm="1">
        <f t="array" ref="N233">IF($C233&gt;N$11,0,INDEX($F$220:$AD$220,N$11-$C233+1)*($D233/$D$220))</f>
        <v>0</v>
      </c>
      <c r="O233" s="95" cm="1">
        <f t="array" ref="O233">IF($C233&gt;O$11,0,INDEX($F$220:$AD$220,O$11-$C233+1)*($D233/$D$220))</f>
        <v>0</v>
      </c>
      <c r="P233" s="95" cm="1">
        <f t="array" ref="P233">IF($C233&gt;P$11,0,INDEX($F$220:$AD$220,P$11-$C233+1)*($D233/$D$220))</f>
        <v>0</v>
      </c>
      <c r="Q233" s="95" cm="1">
        <f t="array" ref="Q233">IF($C233&gt;Q$11,0,INDEX($F$220:$AD$220,Q$11-$C233+1)*($D233/$D$220))</f>
        <v>824790</v>
      </c>
      <c r="R233" s="95" cm="1">
        <f t="array" ref="R233">IF($C233&gt;R$11,0,INDEX($F$220:$AD$220,R$11-$C233+1)*($D233/$D$220))</f>
        <v>494874</v>
      </c>
      <c r="S233" s="95" cm="1">
        <f t="array" ref="S233">IF($C233&gt;S$11,0,INDEX($F$220:$AD$220,S$11-$C233+1)*($D233/$D$220))</f>
        <v>296924.39999999997</v>
      </c>
      <c r="T233" s="95" cm="1">
        <f t="array" ref="T233">IF($C233&gt;T$11,0,INDEX($F$220:$AD$220,T$11-$C233+1)*($D233/$D$220))</f>
        <v>222693.3</v>
      </c>
      <c r="U233" s="95" cm="1">
        <f t="array" ref="U233">IF($C233&gt;U$11,0,INDEX($F$220:$AD$220,U$11-$C233+1)*($D233/$D$220))</f>
        <v>222693.29999999996</v>
      </c>
      <c r="V233" s="95" cm="1">
        <f t="array" ref="V233">IF($C233&gt;V$11,0,INDEX($F$220:$AD$220,V$11-$C233+1)*($D233/$D$220))</f>
        <v>0</v>
      </c>
      <c r="W233" s="95" cm="1">
        <f t="array" ref="W233">IF($C233&gt;W$11,0,INDEX($F$220:$AD$220,W$11-$C233+1)*($D233/$D$220))</f>
        <v>0</v>
      </c>
      <c r="X233" s="95" cm="1">
        <f t="array" ref="X233">IF($C233&gt;X$11,0,INDEX($F$220:$AD$220,X$11-$C233+1)*($D233/$D$220))</f>
        <v>0</v>
      </c>
      <c r="Y233" s="95" cm="1">
        <f t="array" ref="Y233">IF($C233&gt;Y$11,0,INDEX($F$220:$AD$220,Y$11-$C233+1)*($D233/$D$220))</f>
        <v>0</v>
      </c>
      <c r="Z233" s="95" cm="1">
        <f t="array" ref="Z233">IF($C233&gt;Z$11,0,INDEX($F$220:$AD$220,Z$11-$C233+1)*($D233/$D$220))</f>
        <v>0</v>
      </c>
      <c r="AA233" s="95" cm="1">
        <f t="array" ref="AA233">IF($C233&gt;AA$11,0,INDEX($F$220:$AD$220,AA$11-$C233+1)*($D233/$D$220))</f>
        <v>0</v>
      </c>
      <c r="AB233" s="95" cm="1">
        <f t="array" ref="AB233">IF($C233&gt;AB$11,0,INDEX($F$220:$AD$220,AB$11-$C233+1)*($D233/$D$220))</f>
        <v>0</v>
      </c>
      <c r="AC233" s="95" cm="1">
        <f t="array" ref="AC233">IF($C233&gt;AC$11,0,INDEX($F$220:$AD$220,AC$11-$C233+1)*($D233/$D$220))</f>
        <v>0</v>
      </c>
      <c r="AD233" s="95" cm="1">
        <f t="array" ref="AD233">IF($C233&gt;AD$11,0,INDEX($F$220:$AD$220,AD$11-$C233+1)*($D233/$D$220))</f>
        <v>0</v>
      </c>
    </row>
    <row r="234" spans="1:30">
      <c r="A234" s="95"/>
      <c r="B234" s="118">
        <f t="shared" si="69"/>
        <v>1</v>
      </c>
      <c r="C234">
        <f t="shared" si="70"/>
        <v>2034</v>
      </c>
      <c r="D234" s="95" cm="1">
        <f t="array" ref="D234">INDEX($F$14:$AD$16,$B234,MATCH($C234,$F$11:$AD$11,0))*$G$221</f>
        <v>1031700</v>
      </c>
      <c r="E234" s="95"/>
      <c r="F234" s="95" cm="1">
        <f t="array" ref="F234">IF($C234&gt;F$11,0,INDEX($F$220:$AD$220,F$11-$C234+1)*($D234/$D$220))</f>
        <v>0</v>
      </c>
      <c r="G234" s="95" cm="1">
        <f t="array" ref="G234">IF($C234&gt;G$11,0,INDEX($F$220:$AD$220,G$11-$C234+1)*($D234/$D$220))</f>
        <v>0</v>
      </c>
      <c r="H234" s="95" cm="1">
        <f t="array" ref="H234">IF($C234&gt;H$11,0,INDEX($F$220:$AD$220,H$11-$C234+1)*($D234/$D$220))</f>
        <v>0</v>
      </c>
      <c r="I234" s="95" cm="1">
        <f t="array" ref="I234">IF($C234&gt;I$11,0,INDEX($F$220:$AD$220,I$11-$C234+1)*($D234/$D$220))</f>
        <v>0</v>
      </c>
      <c r="J234" s="95" cm="1">
        <f t="array" ref="J234">IF($C234&gt;J$11,0,INDEX($F$220:$AD$220,J$11-$C234+1)*($D234/$D$220))</f>
        <v>0</v>
      </c>
      <c r="K234" s="95" cm="1">
        <f t="array" ref="K234">IF($C234&gt;K$11,0,INDEX($F$220:$AD$220,K$11-$C234+1)*($D234/$D$220))</f>
        <v>0</v>
      </c>
      <c r="L234" s="95" cm="1">
        <f t="array" ref="L234">IF($C234&gt;L$11,0,INDEX($F$220:$AD$220,L$11-$C234+1)*($D234/$D$220))</f>
        <v>0</v>
      </c>
      <c r="M234" s="95" cm="1">
        <f t="array" ref="M234">IF($C234&gt;M$11,0,INDEX($F$220:$AD$220,M$11-$C234+1)*($D234/$D$220))</f>
        <v>0</v>
      </c>
      <c r="N234" s="95" cm="1">
        <f t="array" ref="N234">IF($C234&gt;N$11,0,INDEX($F$220:$AD$220,N$11-$C234+1)*($D234/$D$220))</f>
        <v>0</v>
      </c>
      <c r="O234" s="95" cm="1">
        <f t="array" ref="O234">IF($C234&gt;O$11,0,INDEX($F$220:$AD$220,O$11-$C234+1)*($D234/$D$220))</f>
        <v>0</v>
      </c>
      <c r="P234" s="95" cm="1">
        <f t="array" ref="P234">IF($C234&gt;P$11,0,INDEX($F$220:$AD$220,P$11-$C234+1)*($D234/$D$220))</f>
        <v>0</v>
      </c>
      <c r="Q234" s="95" cm="1">
        <f t="array" ref="Q234">IF($C234&gt;Q$11,0,INDEX($F$220:$AD$220,Q$11-$C234+1)*($D234/$D$220))</f>
        <v>0</v>
      </c>
      <c r="R234" s="95" cm="1">
        <f t="array" ref="R234">IF($C234&gt;R$11,0,INDEX($F$220:$AD$220,R$11-$C234+1)*($D234/$D$220))</f>
        <v>412680</v>
      </c>
      <c r="S234" s="95" cm="1">
        <f t="array" ref="S234">IF($C234&gt;S$11,0,INDEX($F$220:$AD$220,S$11-$C234+1)*($D234/$D$220))</f>
        <v>247608.00000000003</v>
      </c>
      <c r="T234" s="95" cm="1">
        <f t="array" ref="T234">IF($C234&gt;T$11,0,INDEX($F$220:$AD$220,T$11-$C234+1)*($D234/$D$220))</f>
        <v>148564.80000000002</v>
      </c>
      <c r="U234" s="95" cm="1">
        <f t="array" ref="U234">IF($C234&gt;U$11,0,INDEX($F$220:$AD$220,U$11-$C234+1)*($D234/$D$220))</f>
        <v>111423.6</v>
      </c>
      <c r="V234" s="95" cm="1">
        <f t="array" ref="V234">IF($C234&gt;V$11,0,INDEX($F$220:$AD$220,V$11-$C234+1)*($D234/$D$220))</f>
        <v>111423.59999999999</v>
      </c>
      <c r="W234" s="95" cm="1">
        <f t="array" ref="W234">IF($C234&gt;W$11,0,INDEX($F$220:$AD$220,W$11-$C234+1)*($D234/$D$220))</f>
        <v>0</v>
      </c>
      <c r="X234" s="95" cm="1">
        <f t="array" ref="X234">IF($C234&gt;X$11,0,INDEX($F$220:$AD$220,X$11-$C234+1)*($D234/$D$220))</f>
        <v>0</v>
      </c>
      <c r="Y234" s="95" cm="1">
        <f t="array" ref="Y234">IF($C234&gt;Y$11,0,INDEX($F$220:$AD$220,Y$11-$C234+1)*($D234/$D$220))</f>
        <v>0</v>
      </c>
      <c r="Z234" s="95" cm="1">
        <f t="array" ref="Z234">IF($C234&gt;Z$11,0,INDEX($F$220:$AD$220,Z$11-$C234+1)*($D234/$D$220))</f>
        <v>0</v>
      </c>
      <c r="AA234" s="95" cm="1">
        <f t="array" ref="AA234">IF($C234&gt;AA$11,0,INDEX($F$220:$AD$220,AA$11-$C234+1)*($D234/$D$220))</f>
        <v>0</v>
      </c>
      <c r="AB234" s="95" cm="1">
        <f t="array" ref="AB234">IF($C234&gt;AB$11,0,INDEX($F$220:$AD$220,AB$11-$C234+1)*($D234/$D$220))</f>
        <v>0</v>
      </c>
      <c r="AC234" s="95" cm="1">
        <f t="array" ref="AC234">IF($C234&gt;AC$11,0,INDEX($F$220:$AD$220,AC$11-$C234+1)*($D234/$D$220))</f>
        <v>0</v>
      </c>
      <c r="AD234" s="95" cm="1">
        <f t="array" ref="AD234">IF($C234&gt;AD$11,0,INDEX($F$220:$AD$220,AD$11-$C234+1)*($D234/$D$220))</f>
        <v>0</v>
      </c>
    </row>
    <row r="235" spans="1:30">
      <c r="A235" s="95"/>
      <c r="B235" s="118">
        <f t="shared" si="69"/>
        <v>1</v>
      </c>
      <c r="C235">
        <f t="shared" si="70"/>
        <v>2035</v>
      </c>
      <c r="D235" s="95" cm="1">
        <f t="array" ref="D235">INDEX($F$14:$AD$16,$B235,MATCH($C235,$F$11:$AD$11,0))*$G$221</f>
        <v>1309575</v>
      </c>
      <c r="E235" s="95"/>
      <c r="F235" s="95" cm="1">
        <f t="array" ref="F235">IF($C235&gt;F$11,0,INDEX($F$220:$AD$220,F$11-$C235+1)*($D235/$D$220))</f>
        <v>0</v>
      </c>
      <c r="G235" s="95" cm="1">
        <f t="array" ref="G235">IF($C235&gt;G$11,0,INDEX($F$220:$AD$220,G$11-$C235+1)*($D235/$D$220))</f>
        <v>0</v>
      </c>
      <c r="H235" s="95" cm="1">
        <f t="array" ref="H235">IF($C235&gt;H$11,0,INDEX($F$220:$AD$220,H$11-$C235+1)*($D235/$D$220))</f>
        <v>0</v>
      </c>
      <c r="I235" s="95" cm="1">
        <f t="array" ref="I235">IF($C235&gt;I$11,0,INDEX($F$220:$AD$220,I$11-$C235+1)*($D235/$D$220))</f>
        <v>0</v>
      </c>
      <c r="J235" s="95" cm="1">
        <f t="array" ref="J235">IF($C235&gt;J$11,0,INDEX($F$220:$AD$220,J$11-$C235+1)*($D235/$D$220))</f>
        <v>0</v>
      </c>
      <c r="K235" s="95" cm="1">
        <f t="array" ref="K235">IF($C235&gt;K$11,0,INDEX($F$220:$AD$220,K$11-$C235+1)*($D235/$D$220))</f>
        <v>0</v>
      </c>
      <c r="L235" s="95" cm="1">
        <f t="array" ref="L235">IF($C235&gt;L$11,0,INDEX($F$220:$AD$220,L$11-$C235+1)*($D235/$D$220))</f>
        <v>0</v>
      </c>
      <c r="M235" s="95" cm="1">
        <f t="array" ref="M235">IF($C235&gt;M$11,0,INDEX($F$220:$AD$220,M$11-$C235+1)*($D235/$D$220))</f>
        <v>0</v>
      </c>
      <c r="N235" s="95" cm="1">
        <f t="array" ref="N235">IF($C235&gt;N$11,0,INDEX($F$220:$AD$220,N$11-$C235+1)*($D235/$D$220))</f>
        <v>0</v>
      </c>
      <c r="O235" s="95" cm="1">
        <f t="array" ref="O235">IF($C235&gt;O$11,0,INDEX($F$220:$AD$220,O$11-$C235+1)*($D235/$D$220))</f>
        <v>0</v>
      </c>
      <c r="P235" s="95" cm="1">
        <f t="array" ref="P235">IF($C235&gt;P$11,0,INDEX($F$220:$AD$220,P$11-$C235+1)*($D235/$D$220))</f>
        <v>0</v>
      </c>
      <c r="Q235" s="95" cm="1">
        <f t="array" ref="Q235">IF($C235&gt;Q$11,0,INDEX($F$220:$AD$220,Q$11-$C235+1)*($D235/$D$220))</f>
        <v>0</v>
      </c>
      <c r="R235" s="95" cm="1">
        <f t="array" ref="R235">IF($C235&gt;R$11,0,INDEX($F$220:$AD$220,R$11-$C235+1)*($D235/$D$220))</f>
        <v>0</v>
      </c>
      <c r="S235" s="95" cm="1">
        <f t="array" ref="S235">IF($C235&gt;S$11,0,INDEX($F$220:$AD$220,S$11-$C235+1)*($D235/$D$220))</f>
        <v>523830</v>
      </c>
      <c r="T235" s="95" cm="1">
        <f t="array" ref="T235">IF($C235&gt;T$11,0,INDEX($F$220:$AD$220,T$11-$C235+1)*($D235/$D$220))</f>
        <v>314298</v>
      </c>
      <c r="U235" s="95" cm="1">
        <f t="array" ref="U235">IF($C235&gt;U$11,0,INDEX($F$220:$AD$220,U$11-$C235+1)*($D235/$D$220))</f>
        <v>188578.8</v>
      </c>
      <c r="V235" s="95" cm="1">
        <f t="array" ref="V235">IF($C235&gt;V$11,0,INDEX($F$220:$AD$220,V$11-$C235+1)*($D235/$D$220))</f>
        <v>141434.1</v>
      </c>
      <c r="W235" s="95" cm="1">
        <f t="array" ref="W235">IF($C235&gt;W$11,0,INDEX($F$220:$AD$220,W$11-$C235+1)*($D235/$D$220))</f>
        <v>141434.09999999998</v>
      </c>
      <c r="X235" s="95" cm="1">
        <f t="array" ref="X235">IF($C235&gt;X$11,0,INDEX($F$220:$AD$220,X$11-$C235+1)*($D235/$D$220))</f>
        <v>0</v>
      </c>
      <c r="Y235" s="95" cm="1">
        <f t="array" ref="Y235">IF($C235&gt;Y$11,0,INDEX($F$220:$AD$220,Y$11-$C235+1)*($D235/$D$220))</f>
        <v>0</v>
      </c>
      <c r="Z235" s="95" cm="1">
        <f t="array" ref="Z235">IF($C235&gt;Z$11,0,INDEX($F$220:$AD$220,Z$11-$C235+1)*($D235/$D$220))</f>
        <v>0</v>
      </c>
      <c r="AA235" s="95" cm="1">
        <f t="array" ref="AA235">IF($C235&gt;AA$11,0,INDEX($F$220:$AD$220,AA$11-$C235+1)*($D235/$D$220))</f>
        <v>0</v>
      </c>
      <c r="AB235" s="95" cm="1">
        <f t="array" ref="AB235">IF($C235&gt;AB$11,0,INDEX($F$220:$AD$220,AB$11-$C235+1)*($D235/$D$220))</f>
        <v>0</v>
      </c>
      <c r="AC235" s="95" cm="1">
        <f t="array" ref="AC235">IF($C235&gt;AC$11,0,INDEX($F$220:$AD$220,AC$11-$C235+1)*($D235/$D$220))</f>
        <v>0</v>
      </c>
      <c r="AD235" s="95" cm="1">
        <f t="array" ref="AD235">IF($C235&gt;AD$11,0,INDEX($F$220:$AD$220,AD$11-$C235+1)*($D235/$D$220))</f>
        <v>0</v>
      </c>
    </row>
    <row r="236" spans="1:30">
      <c r="A236" s="95"/>
      <c r="B236" s="118">
        <f t="shared" si="69"/>
        <v>1</v>
      </c>
      <c r="C236">
        <f t="shared" si="70"/>
        <v>2036</v>
      </c>
      <c r="D236" s="95" cm="1">
        <f t="array" ref="D236">INDEX($F$14:$AD$16,$B236,MATCH($C236,$F$11:$AD$11,0))*$G$221</f>
        <v>1674375</v>
      </c>
      <c r="E236" s="95"/>
      <c r="F236" s="95" cm="1">
        <f t="array" ref="F236">IF($C236&gt;F$11,0,INDEX($F$220:$AD$220,F$11-$C236+1)*($D236/$D$220))</f>
        <v>0</v>
      </c>
      <c r="G236" s="95" cm="1">
        <f t="array" ref="G236">IF($C236&gt;G$11,0,INDEX($F$220:$AD$220,G$11-$C236+1)*($D236/$D$220))</f>
        <v>0</v>
      </c>
      <c r="H236" s="95" cm="1">
        <f t="array" ref="H236">IF($C236&gt;H$11,0,INDEX($F$220:$AD$220,H$11-$C236+1)*($D236/$D$220))</f>
        <v>0</v>
      </c>
      <c r="I236" s="95" cm="1">
        <f t="array" ref="I236">IF($C236&gt;I$11,0,INDEX($F$220:$AD$220,I$11-$C236+1)*($D236/$D$220))</f>
        <v>0</v>
      </c>
      <c r="J236" s="95" cm="1">
        <f t="array" ref="J236">IF($C236&gt;J$11,0,INDEX($F$220:$AD$220,J$11-$C236+1)*($D236/$D$220))</f>
        <v>0</v>
      </c>
      <c r="K236" s="95" cm="1">
        <f t="array" ref="K236">IF($C236&gt;K$11,0,INDEX($F$220:$AD$220,K$11-$C236+1)*($D236/$D$220))</f>
        <v>0</v>
      </c>
      <c r="L236" s="95" cm="1">
        <f t="array" ref="L236">IF($C236&gt;L$11,0,INDEX($F$220:$AD$220,L$11-$C236+1)*($D236/$D$220))</f>
        <v>0</v>
      </c>
      <c r="M236" s="95" cm="1">
        <f t="array" ref="M236">IF($C236&gt;M$11,0,INDEX($F$220:$AD$220,M$11-$C236+1)*($D236/$D$220))</f>
        <v>0</v>
      </c>
      <c r="N236" s="95" cm="1">
        <f t="array" ref="N236">IF($C236&gt;N$11,0,INDEX($F$220:$AD$220,N$11-$C236+1)*($D236/$D$220))</f>
        <v>0</v>
      </c>
      <c r="O236" s="95" cm="1">
        <f t="array" ref="O236">IF($C236&gt;O$11,0,INDEX($F$220:$AD$220,O$11-$C236+1)*($D236/$D$220))</f>
        <v>0</v>
      </c>
      <c r="P236" s="95" cm="1">
        <f t="array" ref="P236">IF($C236&gt;P$11,0,INDEX($F$220:$AD$220,P$11-$C236+1)*($D236/$D$220))</f>
        <v>0</v>
      </c>
      <c r="Q236" s="95" cm="1">
        <f t="array" ref="Q236">IF($C236&gt;Q$11,0,INDEX($F$220:$AD$220,Q$11-$C236+1)*($D236/$D$220))</f>
        <v>0</v>
      </c>
      <c r="R236" s="95" cm="1">
        <f t="array" ref="R236">IF($C236&gt;R$11,0,INDEX($F$220:$AD$220,R$11-$C236+1)*($D236/$D$220))</f>
        <v>0</v>
      </c>
      <c r="S236" s="95" cm="1">
        <f t="array" ref="S236">IF($C236&gt;S$11,0,INDEX($F$220:$AD$220,S$11-$C236+1)*($D236/$D$220))</f>
        <v>0</v>
      </c>
      <c r="T236" s="95" cm="1">
        <f t="array" ref="T236">IF($C236&gt;T$11,0,INDEX($F$220:$AD$220,T$11-$C236+1)*($D236/$D$220))</f>
        <v>669750</v>
      </c>
      <c r="U236" s="95" cm="1">
        <f t="array" ref="U236">IF($C236&gt;U$11,0,INDEX($F$220:$AD$220,U$11-$C236+1)*($D236/$D$220))</f>
        <v>401850</v>
      </c>
      <c r="V236" s="95" cm="1">
        <f t="array" ref="V236">IF($C236&gt;V$11,0,INDEX($F$220:$AD$220,V$11-$C236+1)*($D236/$D$220))</f>
        <v>241110</v>
      </c>
      <c r="W236" s="95" cm="1">
        <f t="array" ref="W236">IF($C236&gt;W$11,0,INDEX($F$220:$AD$220,W$11-$C236+1)*($D236/$D$220))</f>
        <v>180832.5</v>
      </c>
      <c r="X236" s="95" cm="1">
        <f t="array" ref="X236">IF($C236&gt;X$11,0,INDEX($F$220:$AD$220,X$11-$C236+1)*($D236/$D$220))</f>
        <v>180832.49999999997</v>
      </c>
      <c r="Y236" s="95" cm="1">
        <f t="array" ref="Y236">IF($C236&gt;Y$11,0,INDEX($F$220:$AD$220,Y$11-$C236+1)*($D236/$D$220))</f>
        <v>0</v>
      </c>
      <c r="Z236" s="95" cm="1">
        <f t="array" ref="Z236">IF($C236&gt;Z$11,0,INDEX($F$220:$AD$220,Z$11-$C236+1)*($D236/$D$220))</f>
        <v>0</v>
      </c>
      <c r="AA236" s="95" cm="1">
        <f t="array" ref="AA236">IF($C236&gt;AA$11,0,INDEX($F$220:$AD$220,AA$11-$C236+1)*($D236/$D$220))</f>
        <v>0</v>
      </c>
      <c r="AB236" s="95" cm="1">
        <f t="array" ref="AB236">IF($C236&gt;AB$11,0,INDEX($F$220:$AD$220,AB$11-$C236+1)*($D236/$D$220))</f>
        <v>0</v>
      </c>
      <c r="AC236" s="95" cm="1">
        <f t="array" ref="AC236">IF($C236&gt;AC$11,0,INDEX($F$220:$AD$220,AC$11-$C236+1)*($D236/$D$220))</f>
        <v>0</v>
      </c>
      <c r="AD236" s="95" cm="1">
        <f t="array" ref="AD236">IF($C236&gt;AD$11,0,INDEX($F$220:$AD$220,AD$11-$C236+1)*($D236/$D$220))</f>
        <v>0</v>
      </c>
    </row>
    <row r="237" spans="1:30">
      <c r="A237" s="95"/>
      <c r="B237" s="118">
        <f t="shared" si="69"/>
        <v>1</v>
      </c>
      <c r="C237">
        <f t="shared" si="70"/>
        <v>2037</v>
      </c>
      <c r="D237" s="95" cm="1">
        <f t="array" ref="D237">INDEX($F$14:$AD$16,$B237,MATCH($C237,$F$11:$AD$11,0))*$G$221</f>
        <v>498750</v>
      </c>
      <c r="E237" s="95"/>
      <c r="F237" s="95" cm="1">
        <f t="array" ref="F237">IF($C237&gt;F$11,0,INDEX($F$220:$AD$220,F$11-$C237+1)*($D237/$D$220))</f>
        <v>0</v>
      </c>
      <c r="G237" s="95" cm="1">
        <f t="array" ref="G237">IF($C237&gt;G$11,0,INDEX($F$220:$AD$220,G$11-$C237+1)*($D237/$D$220))</f>
        <v>0</v>
      </c>
      <c r="H237" s="95" cm="1">
        <f t="array" ref="H237">IF($C237&gt;H$11,0,INDEX($F$220:$AD$220,H$11-$C237+1)*($D237/$D$220))</f>
        <v>0</v>
      </c>
      <c r="I237" s="95" cm="1">
        <f t="array" ref="I237">IF($C237&gt;I$11,0,INDEX($F$220:$AD$220,I$11-$C237+1)*($D237/$D$220))</f>
        <v>0</v>
      </c>
      <c r="J237" s="95" cm="1">
        <f t="array" ref="J237">IF($C237&gt;J$11,0,INDEX($F$220:$AD$220,J$11-$C237+1)*($D237/$D$220))</f>
        <v>0</v>
      </c>
      <c r="K237" s="95" cm="1">
        <f t="array" ref="K237">IF($C237&gt;K$11,0,INDEX($F$220:$AD$220,K$11-$C237+1)*($D237/$D$220))</f>
        <v>0</v>
      </c>
      <c r="L237" s="95" cm="1">
        <f t="array" ref="L237">IF($C237&gt;L$11,0,INDEX($F$220:$AD$220,L$11-$C237+1)*($D237/$D$220))</f>
        <v>0</v>
      </c>
      <c r="M237" s="95" cm="1">
        <f t="array" ref="M237">IF($C237&gt;M$11,0,INDEX($F$220:$AD$220,M$11-$C237+1)*($D237/$D$220))</f>
        <v>0</v>
      </c>
      <c r="N237" s="95" cm="1">
        <f t="array" ref="N237">IF($C237&gt;N$11,0,INDEX($F$220:$AD$220,N$11-$C237+1)*($D237/$D$220))</f>
        <v>0</v>
      </c>
      <c r="O237" s="95" cm="1">
        <f t="array" ref="O237">IF($C237&gt;O$11,0,INDEX($F$220:$AD$220,O$11-$C237+1)*($D237/$D$220))</f>
        <v>0</v>
      </c>
      <c r="P237" s="95" cm="1">
        <f t="array" ref="P237">IF($C237&gt;P$11,0,INDEX($F$220:$AD$220,P$11-$C237+1)*($D237/$D$220))</f>
        <v>0</v>
      </c>
      <c r="Q237" s="95" cm="1">
        <f t="array" ref="Q237">IF($C237&gt;Q$11,0,INDEX($F$220:$AD$220,Q$11-$C237+1)*($D237/$D$220))</f>
        <v>0</v>
      </c>
      <c r="R237" s="95" cm="1">
        <f t="array" ref="R237">IF($C237&gt;R$11,0,INDEX($F$220:$AD$220,R$11-$C237+1)*($D237/$D$220))</f>
        <v>0</v>
      </c>
      <c r="S237" s="95" cm="1">
        <f t="array" ref="S237">IF($C237&gt;S$11,0,INDEX($F$220:$AD$220,S$11-$C237+1)*($D237/$D$220))</f>
        <v>0</v>
      </c>
      <c r="T237" s="95" cm="1">
        <f t="array" ref="T237">IF($C237&gt;T$11,0,INDEX($F$220:$AD$220,T$11-$C237+1)*($D237/$D$220))</f>
        <v>0</v>
      </c>
      <c r="U237" s="95" cm="1">
        <f t="array" ref="U237">IF($C237&gt;U$11,0,INDEX($F$220:$AD$220,U$11-$C237+1)*($D237/$D$220))</f>
        <v>199500</v>
      </c>
      <c r="V237" s="95" cm="1">
        <f t="array" ref="V237">IF($C237&gt;V$11,0,INDEX($F$220:$AD$220,V$11-$C237+1)*($D237/$D$220))</f>
        <v>119700</v>
      </c>
      <c r="W237" s="95" cm="1">
        <f t="array" ref="W237">IF($C237&gt;W$11,0,INDEX($F$220:$AD$220,W$11-$C237+1)*($D237/$D$220))</f>
        <v>71820</v>
      </c>
      <c r="X237" s="95" cm="1">
        <f t="array" ref="X237">IF($C237&gt;X$11,0,INDEX($F$220:$AD$220,X$11-$C237+1)*($D237/$D$220))</f>
        <v>53865</v>
      </c>
      <c r="Y237" s="95" cm="1">
        <f t="array" ref="Y237">IF($C237&gt;Y$11,0,INDEX($F$220:$AD$220,Y$11-$C237+1)*($D237/$D$220))</f>
        <v>53864.999999999993</v>
      </c>
      <c r="Z237" s="95" cm="1">
        <f t="array" ref="Z237">IF($C237&gt;Z$11,0,INDEX($F$220:$AD$220,Z$11-$C237+1)*($D237/$D$220))</f>
        <v>0</v>
      </c>
      <c r="AA237" s="95" cm="1">
        <f t="array" ref="AA237">IF($C237&gt;AA$11,0,INDEX($F$220:$AD$220,AA$11-$C237+1)*($D237/$D$220))</f>
        <v>0</v>
      </c>
      <c r="AB237" s="95" cm="1">
        <f t="array" ref="AB237">IF($C237&gt;AB$11,0,INDEX($F$220:$AD$220,AB$11-$C237+1)*($D237/$D$220))</f>
        <v>0</v>
      </c>
      <c r="AC237" s="95" cm="1">
        <f t="array" ref="AC237">IF($C237&gt;AC$11,0,INDEX($F$220:$AD$220,AC$11-$C237+1)*($D237/$D$220))</f>
        <v>0</v>
      </c>
      <c r="AD237" s="95" cm="1">
        <f t="array" ref="AD237">IF($C237&gt;AD$11,0,INDEX($F$220:$AD$220,AD$11-$C237+1)*($D237/$D$220))</f>
        <v>0</v>
      </c>
    </row>
    <row r="238" spans="1:30">
      <c r="A238" s="95"/>
      <c r="B238" s="118">
        <f t="shared" si="69"/>
        <v>1</v>
      </c>
      <c r="C238">
        <f t="shared" si="70"/>
        <v>2038</v>
      </c>
      <c r="D238" s="95" cm="1">
        <f t="array" ref="D238">INDEX($F$14:$AD$16,$B238,MATCH($C238,$F$11:$AD$11,0))*$G$221</f>
        <v>2344125</v>
      </c>
      <c r="E238" s="95"/>
      <c r="F238" s="95" cm="1">
        <f t="array" ref="F238">IF($C238&gt;F$11,0,INDEX($F$220:$AD$220,F$11-$C238+1)*($D238/$D$220))</f>
        <v>0</v>
      </c>
      <c r="G238" s="95" cm="1">
        <f t="array" ref="G238">IF($C238&gt;G$11,0,INDEX($F$220:$AD$220,G$11-$C238+1)*($D238/$D$220))</f>
        <v>0</v>
      </c>
      <c r="H238" s="95" cm="1">
        <f t="array" ref="H238">IF($C238&gt;H$11,0,INDEX($F$220:$AD$220,H$11-$C238+1)*($D238/$D$220))</f>
        <v>0</v>
      </c>
      <c r="I238" s="95" cm="1">
        <f t="array" ref="I238">IF($C238&gt;I$11,0,INDEX($F$220:$AD$220,I$11-$C238+1)*($D238/$D$220))</f>
        <v>0</v>
      </c>
      <c r="J238" s="95" cm="1">
        <f t="array" ref="J238">IF($C238&gt;J$11,0,INDEX($F$220:$AD$220,J$11-$C238+1)*($D238/$D$220))</f>
        <v>0</v>
      </c>
      <c r="K238" s="95" cm="1">
        <f t="array" ref="K238">IF($C238&gt;K$11,0,INDEX($F$220:$AD$220,K$11-$C238+1)*($D238/$D$220))</f>
        <v>0</v>
      </c>
      <c r="L238" s="95" cm="1">
        <f t="array" ref="L238">IF($C238&gt;L$11,0,INDEX($F$220:$AD$220,L$11-$C238+1)*($D238/$D$220))</f>
        <v>0</v>
      </c>
      <c r="M238" s="95" cm="1">
        <f t="array" ref="M238">IF($C238&gt;M$11,0,INDEX($F$220:$AD$220,M$11-$C238+1)*($D238/$D$220))</f>
        <v>0</v>
      </c>
      <c r="N238" s="95" cm="1">
        <f t="array" ref="N238">IF($C238&gt;N$11,0,INDEX($F$220:$AD$220,N$11-$C238+1)*($D238/$D$220))</f>
        <v>0</v>
      </c>
      <c r="O238" s="95" cm="1">
        <f t="array" ref="O238">IF($C238&gt;O$11,0,INDEX($F$220:$AD$220,O$11-$C238+1)*($D238/$D$220))</f>
        <v>0</v>
      </c>
      <c r="P238" s="95" cm="1">
        <f t="array" ref="P238">IF($C238&gt;P$11,0,INDEX($F$220:$AD$220,P$11-$C238+1)*($D238/$D$220))</f>
        <v>0</v>
      </c>
      <c r="Q238" s="95" cm="1">
        <f t="array" ref="Q238">IF($C238&gt;Q$11,0,INDEX($F$220:$AD$220,Q$11-$C238+1)*($D238/$D$220))</f>
        <v>0</v>
      </c>
      <c r="R238" s="95" cm="1">
        <f t="array" ref="R238">IF($C238&gt;R$11,0,INDEX($F$220:$AD$220,R$11-$C238+1)*($D238/$D$220))</f>
        <v>0</v>
      </c>
      <c r="S238" s="95" cm="1">
        <f t="array" ref="S238">IF($C238&gt;S$11,0,INDEX($F$220:$AD$220,S$11-$C238+1)*($D238/$D$220))</f>
        <v>0</v>
      </c>
      <c r="T238" s="95" cm="1">
        <f t="array" ref="T238">IF($C238&gt;T$11,0,INDEX($F$220:$AD$220,T$11-$C238+1)*($D238/$D$220))</f>
        <v>0</v>
      </c>
      <c r="U238" s="95" cm="1">
        <f t="array" ref="U238">IF($C238&gt;U$11,0,INDEX($F$220:$AD$220,U$11-$C238+1)*($D238/$D$220))</f>
        <v>0</v>
      </c>
      <c r="V238" s="95" cm="1">
        <f t="array" ref="V238">IF($C238&gt;V$11,0,INDEX($F$220:$AD$220,V$11-$C238+1)*($D238/$D$220))</f>
        <v>937650</v>
      </c>
      <c r="W238" s="95" cm="1">
        <f t="array" ref="W238">IF($C238&gt;W$11,0,INDEX($F$220:$AD$220,W$11-$C238+1)*($D238/$D$220))</f>
        <v>562590</v>
      </c>
      <c r="X238" s="95" cm="1">
        <f t="array" ref="X238">IF($C238&gt;X$11,0,INDEX($F$220:$AD$220,X$11-$C238+1)*($D238/$D$220))</f>
        <v>337554</v>
      </c>
      <c r="Y238" s="95" cm="1">
        <f t="array" ref="Y238">IF($C238&gt;Y$11,0,INDEX($F$220:$AD$220,Y$11-$C238+1)*($D238/$D$220))</f>
        <v>253165.5</v>
      </c>
      <c r="Z238" s="95" cm="1">
        <f t="array" ref="Z238">IF($C238&gt;Z$11,0,INDEX($F$220:$AD$220,Z$11-$C238+1)*($D238/$D$220))</f>
        <v>253165.49999999997</v>
      </c>
      <c r="AA238" s="95" cm="1">
        <f t="array" ref="AA238">IF($C238&gt;AA$11,0,INDEX($F$220:$AD$220,AA$11-$C238+1)*($D238/$D$220))</f>
        <v>0</v>
      </c>
      <c r="AB238" s="95" cm="1">
        <f t="array" ref="AB238">IF($C238&gt;AB$11,0,INDEX($F$220:$AD$220,AB$11-$C238+1)*($D238/$D$220))</f>
        <v>0</v>
      </c>
      <c r="AC238" s="95" cm="1">
        <f t="array" ref="AC238">IF($C238&gt;AC$11,0,INDEX($F$220:$AD$220,AC$11-$C238+1)*($D238/$D$220))</f>
        <v>0</v>
      </c>
      <c r="AD238" s="95" cm="1">
        <f t="array" ref="AD238">IF($C238&gt;AD$11,0,INDEX($F$220:$AD$220,AD$11-$C238+1)*($D238/$D$220))</f>
        <v>0</v>
      </c>
    </row>
    <row r="239" spans="1:30">
      <c r="A239" s="95"/>
      <c r="B239" s="118">
        <f t="shared" si="69"/>
        <v>1</v>
      </c>
      <c r="C239">
        <f t="shared" si="70"/>
        <v>2039</v>
      </c>
      <c r="D239" s="95" cm="1">
        <f t="array" ref="D239">INDEX($F$14:$AD$16,$B239,MATCH($C239,$F$11:$AD$11,0))*$G$221</f>
        <v>951900</v>
      </c>
      <c r="E239" s="95"/>
      <c r="F239" s="95" cm="1">
        <f t="array" ref="F239">IF($C239&gt;F$11,0,INDEX($F$220:$AD$220,F$11-$C239+1)*($D239/$D$220))</f>
        <v>0</v>
      </c>
      <c r="G239" s="95" cm="1">
        <f t="array" ref="G239">IF($C239&gt;G$11,0,INDEX($F$220:$AD$220,G$11-$C239+1)*($D239/$D$220))</f>
        <v>0</v>
      </c>
      <c r="H239" s="95" cm="1">
        <f t="array" ref="H239">IF($C239&gt;H$11,0,INDEX($F$220:$AD$220,H$11-$C239+1)*($D239/$D$220))</f>
        <v>0</v>
      </c>
      <c r="I239" s="95" cm="1">
        <f t="array" ref="I239">IF($C239&gt;I$11,0,INDEX($F$220:$AD$220,I$11-$C239+1)*($D239/$D$220))</f>
        <v>0</v>
      </c>
      <c r="J239" s="95" cm="1">
        <f t="array" ref="J239">IF($C239&gt;J$11,0,INDEX($F$220:$AD$220,J$11-$C239+1)*($D239/$D$220))</f>
        <v>0</v>
      </c>
      <c r="K239" s="95" cm="1">
        <f t="array" ref="K239">IF($C239&gt;K$11,0,INDEX($F$220:$AD$220,K$11-$C239+1)*($D239/$D$220))</f>
        <v>0</v>
      </c>
      <c r="L239" s="95" cm="1">
        <f t="array" ref="L239">IF($C239&gt;L$11,0,INDEX($F$220:$AD$220,L$11-$C239+1)*($D239/$D$220))</f>
        <v>0</v>
      </c>
      <c r="M239" s="95" cm="1">
        <f t="array" ref="M239">IF($C239&gt;M$11,0,INDEX($F$220:$AD$220,M$11-$C239+1)*($D239/$D$220))</f>
        <v>0</v>
      </c>
      <c r="N239" s="95" cm="1">
        <f t="array" ref="N239">IF($C239&gt;N$11,0,INDEX($F$220:$AD$220,N$11-$C239+1)*($D239/$D$220))</f>
        <v>0</v>
      </c>
      <c r="O239" s="95" cm="1">
        <f t="array" ref="O239">IF($C239&gt;O$11,0,INDEX($F$220:$AD$220,O$11-$C239+1)*($D239/$D$220))</f>
        <v>0</v>
      </c>
      <c r="P239" s="95" cm="1">
        <f t="array" ref="P239">IF($C239&gt;P$11,0,INDEX($F$220:$AD$220,P$11-$C239+1)*($D239/$D$220))</f>
        <v>0</v>
      </c>
      <c r="Q239" s="95" cm="1">
        <f t="array" ref="Q239">IF($C239&gt;Q$11,0,INDEX($F$220:$AD$220,Q$11-$C239+1)*($D239/$D$220))</f>
        <v>0</v>
      </c>
      <c r="R239" s="95" cm="1">
        <f t="array" ref="R239">IF($C239&gt;R$11,0,INDEX($F$220:$AD$220,R$11-$C239+1)*($D239/$D$220))</f>
        <v>0</v>
      </c>
      <c r="S239" s="95" cm="1">
        <f t="array" ref="S239">IF($C239&gt;S$11,0,INDEX($F$220:$AD$220,S$11-$C239+1)*($D239/$D$220))</f>
        <v>0</v>
      </c>
      <c r="T239" s="95" cm="1">
        <f t="array" ref="T239">IF($C239&gt;T$11,0,INDEX($F$220:$AD$220,T$11-$C239+1)*($D239/$D$220))</f>
        <v>0</v>
      </c>
      <c r="U239" s="95" cm="1">
        <f t="array" ref="U239">IF($C239&gt;U$11,0,INDEX($F$220:$AD$220,U$11-$C239+1)*($D239/$D$220))</f>
        <v>0</v>
      </c>
      <c r="V239" s="95" cm="1">
        <f t="array" ref="V239">IF($C239&gt;V$11,0,INDEX($F$220:$AD$220,V$11-$C239+1)*($D239/$D$220))</f>
        <v>0</v>
      </c>
      <c r="W239" s="95" cm="1">
        <f t="array" ref="W239">IF($C239&gt;W$11,0,INDEX($F$220:$AD$220,W$11-$C239+1)*($D239/$D$220))</f>
        <v>380760</v>
      </c>
      <c r="X239" s="95" cm="1">
        <f t="array" ref="X239">IF($C239&gt;X$11,0,INDEX($F$220:$AD$220,X$11-$C239+1)*($D239/$D$220))</f>
        <v>228456</v>
      </c>
      <c r="Y239" s="95" cm="1">
        <f t="array" ref="Y239">IF($C239&gt;Y$11,0,INDEX($F$220:$AD$220,Y$11-$C239+1)*($D239/$D$220))</f>
        <v>137073.60000000001</v>
      </c>
      <c r="Z239" s="95" cm="1">
        <f t="array" ref="Z239">IF($C239&gt;Z$11,0,INDEX($F$220:$AD$220,Z$11-$C239+1)*($D239/$D$220))</f>
        <v>102805.2</v>
      </c>
      <c r="AA239" s="95" cm="1">
        <f t="array" ref="AA239">IF($C239&gt;AA$11,0,INDEX($F$220:$AD$220,AA$11-$C239+1)*($D239/$D$220))</f>
        <v>102805.19999999998</v>
      </c>
      <c r="AB239" s="95" cm="1">
        <f t="array" ref="AB239">IF($C239&gt;AB$11,0,INDEX($F$220:$AD$220,AB$11-$C239+1)*($D239/$D$220))</f>
        <v>0</v>
      </c>
      <c r="AC239" s="95" cm="1">
        <f t="array" ref="AC239">IF($C239&gt;AC$11,0,INDEX($F$220:$AD$220,AC$11-$C239+1)*($D239/$D$220))</f>
        <v>0</v>
      </c>
      <c r="AD239" s="95" cm="1">
        <f t="array" ref="AD239">IF($C239&gt;AD$11,0,INDEX($F$220:$AD$220,AD$11-$C239+1)*($D239/$D$220))</f>
        <v>0</v>
      </c>
    </row>
    <row r="240" spans="1:30">
      <c r="A240" s="95"/>
      <c r="B240" s="118">
        <f t="shared" si="69"/>
        <v>1</v>
      </c>
      <c r="C240">
        <f t="shared" si="70"/>
        <v>2040</v>
      </c>
      <c r="D240" s="95" cm="1">
        <f t="array" ref="D240">INDEX($F$14:$AD$16,$B240,MATCH($C240,$F$11:$AD$11,0))*$G$221</f>
        <v>2143200</v>
      </c>
      <c r="E240" s="95"/>
      <c r="F240" s="95" cm="1">
        <f t="array" ref="F240">IF($C240&gt;F$11,0,INDEX($F$220:$AD$220,F$11-$C240+1)*($D240/$D$220))</f>
        <v>0</v>
      </c>
      <c r="G240" s="95" cm="1">
        <f t="array" ref="G240">IF($C240&gt;G$11,0,INDEX($F$220:$AD$220,G$11-$C240+1)*($D240/$D$220))</f>
        <v>0</v>
      </c>
      <c r="H240" s="95" cm="1">
        <f t="array" ref="H240">IF($C240&gt;H$11,0,INDEX($F$220:$AD$220,H$11-$C240+1)*($D240/$D$220))</f>
        <v>0</v>
      </c>
      <c r="I240" s="95" cm="1">
        <f t="array" ref="I240">IF($C240&gt;I$11,0,INDEX($F$220:$AD$220,I$11-$C240+1)*($D240/$D$220))</f>
        <v>0</v>
      </c>
      <c r="J240" s="95" cm="1">
        <f t="array" ref="J240">IF($C240&gt;J$11,0,INDEX($F$220:$AD$220,J$11-$C240+1)*($D240/$D$220))</f>
        <v>0</v>
      </c>
      <c r="K240" s="95" cm="1">
        <f t="array" ref="K240">IF($C240&gt;K$11,0,INDEX($F$220:$AD$220,K$11-$C240+1)*($D240/$D$220))</f>
        <v>0</v>
      </c>
      <c r="L240" s="95" cm="1">
        <f t="array" ref="L240">IF($C240&gt;L$11,0,INDEX($F$220:$AD$220,L$11-$C240+1)*($D240/$D$220))</f>
        <v>0</v>
      </c>
      <c r="M240" s="95" cm="1">
        <f t="array" ref="M240">IF($C240&gt;M$11,0,INDEX($F$220:$AD$220,M$11-$C240+1)*($D240/$D$220))</f>
        <v>0</v>
      </c>
      <c r="N240" s="95" cm="1">
        <f t="array" ref="N240">IF($C240&gt;N$11,0,INDEX($F$220:$AD$220,N$11-$C240+1)*($D240/$D$220))</f>
        <v>0</v>
      </c>
      <c r="O240" s="95" cm="1">
        <f t="array" ref="O240">IF($C240&gt;O$11,0,INDEX($F$220:$AD$220,O$11-$C240+1)*($D240/$D$220))</f>
        <v>0</v>
      </c>
      <c r="P240" s="95" cm="1">
        <f t="array" ref="P240">IF($C240&gt;P$11,0,INDEX($F$220:$AD$220,P$11-$C240+1)*($D240/$D$220))</f>
        <v>0</v>
      </c>
      <c r="Q240" s="95" cm="1">
        <f t="array" ref="Q240">IF($C240&gt;Q$11,0,INDEX($F$220:$AD$220,Q$11-$C240+1)*($D240/$D$220))</f>
        <v>0</v>
      </c>
      <c r="R240" s="95" cm="1">
        <f t="array" ref="R240">IF($C240&gt;R$11,0,INDEX($F$220:$AD$220,R$11-$C240+1)*($D240/$D$220))</f>
        <v>0</v>
      </c>
      <c r="S240" s="95" cm="1">
        <f t="array" ref="S240">IF($C240&gt;S$11,0,INDEX($F$220:$AD$220,S$11-$C240+1)*($D240/$D$220))</f>
        <v>0</v>
      </c>
      <c r="T240" s="95" cm="1">
        <f t="array" ref="T240">IF($C240&gt;T$11,0,INDEX($F$220:$AD$220,T$11-$C240+1)*($D240/$D$220))</f>
        <v>0</v>
      </c>
      <c r="U240" s="95" cm="1">
        <f t="array" ref="U240">IF($C240&gt;U$11,0,INDEX($F$220:$AD$220,U$11-$C240+1)*($D240/$D$220))</f>
        <v>0</v>
      </c>
      <c r="V240" s="95" cm="1">
        <f t="array" ref="V240">IF($C240&gt;V$11,0,INDEX($F$220:$AD$220,V$11-$C240+1)*($D240/$D$220))</f>
        <v>0</v>
      </c>
      <c r="W240" s="95" cm="1">
        <f t="array" ref="W240">IF($C240&gt;W$11,0,INDEX($F$220:$AD$220,W$11-$C240+1)*($D240/$D$220))</f>
        <v>0</v>
      </c>
      <c r="X240" s="95" cm="1">
        <f t="array" ref="X240">IF($C240&gt;X$11,0,INDEX($F$220:$AD$220,X$11-$C240+1)*($D240/$D$220))</f>
        <v>857280.00000000012</v>
      </c>
      <c r="Y240" s="95" cm="1">
        <f t="array" ref="Y240">IF($C240&gt;Y$11,0,INDEX($F$220:$AD$220,Y$11-$C240+1)*($D240/$D$220))</f>
        <v>514368.00000000006</v>
      </c>
      <c r="Z240" s="95" cm="1">
        <f t="array" ref="Z240">IF($C240&gt;Z$11,0,INDEX($F$220:$AD$220,Z$11-$C240+1)*($D240/$D$220))</f>
        <v>308620.80000000005</v>
      </c>
      <c r="AA240" s="95" cm="1">
        <f t="array" ref="AA240">IF($C240&gt;AA$11,0,INDEX($F$220:$AD$220,AA$11-$C240+1)*($D240/$D$220))</f>
        <v>231465.60000000003</v>
      </c>
      <c r="AB240" s="95" cm="1">
        <f t="array" ref="AB240">IF($C240&gt;AB$11,0,INDEX($F$220:$AD$220,AB$11-$C240+1)*($D240/$D$220))</f>
        <v>231465.60000000001</v>
      </c>
      <c r="AC240" s="95" cm="1">
        <f t="array" ref="AC240">IF($C240&gt;AC$11,0,INDEX($F$220:$AD$220,AC$11-$C240+1)*($D240/$D$220))</f>
        <v>0</v>
      </c>
      <c r="AD240" s="95" cm="1">
        <f t="array" ref="AD240">IF($C240&gt;AD$11,0,INDEX($F$220:$AD$220,AD$11-$C240+1)*($D240/$D$220))</f>
        <v>0</v>
      </c>
    </row>
    <row r="241" spans="1:30">
      <c r="A241" s="95"/>
      <c r="B241" s="118">
        <f t="shared" si="69"/>
        <v>1</v>
      </c>
      <c r="C241">
        <f t="shared" si="70"/>
        <v>2041</v>
      </c>
      <c r="D241" s="95" cm="1">
        <f t="array" ref="D241">INDEX($F$14:$AD$16,$B241,MATCH($C241,$F$11:$AD$11,0))*$G$221</f>
        <v>1759875</v>
      </c>
      <c r="E241" s="95"/>
      <c r="F241" s="95" cm="1">
        <f t="array" ref="F241">IF($C241&gt;F$11,0,INDEX($F$220:$AD$220,F$11-$C241+1)*($D241/$D$220))</f>
        <v>0</v>
      </c>
      <c r="G241" s="95" cm="1">
        <f t="array" ref="G241">IF($C241&gt;G$11,0,INDEX($F$220:$AD$220,G$11-$C241+1)*($D241/$D$220))</f>
        <v>0</v>
      </c>
      <c r="H241" s="95" cm="1">
        <f t="array" ref="H241">IF($C241&gt;H$11,0,INDEX($F$220:$AD$220,H$11-$C241+1)*($D241/$D$220))</f>
        <v>0</v>
      </c>
      <c r="I241" s="95" cm="1">
        <f t="array" ref="I241">IF($C241&gt;I$11,0,INDEX($F$220:$AD$220,I$11-$C241+1)*($D241/$D$220))</f>
        <v>0</v>
      </c>
      <c r="J241" s="95" cm="1">
        <f t="array" ref="J241">IF($C241&gt;J$11,0,INDEX($F$220:$AD$220,J$11-$C241+1)*($D241/$D$220))</f>
        <v>0</v>
      </c>
      <c r="K241" s="95" cm="1">
        <f t="array" ref="K241">IF($C241&gt;K$11,0,INDEX($F$220:$AD$220,K$11-$C241+1)*($D241/$D$220))</f>
        <v>0</v>
      </c>
      <c r="L241" s="95" cm="1">
        <f t="array" ref="L241">IF($C241&gt;L$11,0,INDEX($F$220:$AD$220,L$11-$C241+1)*($D241/$D$220))</f>
        <v>0</v>
      </c>
      <c r="M241" s="95" cm="1">
        <f t="array" ref="M241">IF($C241&gt;M$11,0,INDEX($F$220:$AD$220,M$11-$C241+1)*($D241/$D$220))</f>
        <v>0</v>
      </c>
      <c r="N241" s="95" cm="1">
        <f t="array" ref="N241">IF($C241&gt;N$11,0,INDEX($F$220:$AD$220,N$11-$C241+1)*($D241/$D$220))</f>
        <v>0</v>
      </c>
      <c r="O241" s="95" cm="1">
        <f t="array" ref="O241">IF($C241&gt;O$11,0,INDEX($F$220:$AD$220,O$11-$C241+1)*($D241/$D$220))</f>
        <v>0</v>
      </c>
      <c r="P241" s="95" cm="1">
        <f t="array" ref="P241">IF($C241&gt;P$11,0,INDEX($F$220:$AD$220,P$11-$C241+1)*($D241/$D$220))</f>
        <v>0</v>
      </c>
      <c r="Q241" s="95" cm="1">
        <f t="array" ref="Q241">IF($C241&gt;Q$11,0,INDEX($F$220:$AD$220,Q$11-$C241+1)*($D241/$D$220))</f>
        <v>0</v>
      </c>
      <c r="R241" s="95" cm="1">
        <f t="array" ref="R241">IF($C241&gt;R$11,0,INDEX($F$220:$AD$220,R$11-$C241+1)*($D241/$D$220))</f>
        <v>0</v>
      </c>
      <c r="S241" s="95" cm="1">
        <f t="array" ref="S241">IF($C241&gt;S$11,0,INDEX($F$220:$AD$220,S$11-$C241+1)*($D241/$D$220))</f>
        <v>0</v>
      </c>
      <c r="T241" s="95" cm="1">
        <f t="array" ref="T241">IF($C241&gt;T$11,0,INDEX($F$220:$AD$220,T$11-$C241+1)*($D241/$D$220))</f>
        <v>0</v>
      </c>
      <c r="U241" s="95" cm="1">
        <f t="array" ref="U241">IF($C241&gt;U$11,0,INDEX($F$220:$AD$220,U$11-$C241+1)*($D241/$D$220))</f>
        <v>0</v>
      </c>
      <c r="V241" s="95" cm="1">
        <f t="array" ref="V241">IF($C241&gt;V$11,0,INDEX($F$220:$AD$220,V$11-$C241+1)*($D241/$D$220))</f>
        <v>0</v>
      </c>
      <c r="W241" s="95" cm="1">
        <f t="array" ref="W241">IF($C241&gt;W$11,0,INDEX($F$220:$AD$220,W$11-$C241+1)*($D241/$D$220))</f>
        <v>0</v>
      </c>
      <c r="X241" s="95" cm="1">
        <f t="array" ref="X241">IF($C241&gt;X$11,0,INDEX($F$220:$AD$220,X$11-$C241+1)*($D241/$D$220))</f>
        <v>0</v>
      </c>
      <c r="Y241" s="95" cm="1">
        <f t="array" ref="Y241">IF($C241&gt;Y$11,0,INDEX($F$220:$AD$220,Y$11-$C241+1)*($D241/$D$220))</f>
        <v>703950</v>
      </c>
      <c r="Z241" s="95" cm="1">
        <f t="array" ref="Z241">IF($C241&gt;Z$11,0,INDEX($F$220:$AD$220,Z$11-$C241+1)*($D241/$D$220))</f>
        <v>422370</v>
      </c>
      <c r="AA241" s="95" cm="1">
        <f t="array" ref="AA241">IF($C241&gt;AA$11,0,INDEX($F$220:$AD$220,AA$11-$C241+1)*($D241/$D$220))</f>
        <v>253422</v>
      </c>
      <c r="AB241" s="95" cm="1">
        <f t="array" ref="AB241">IF($C241&gt;AB$11,0,INDEX($F$220:$AD$220,AB$11-$C241+1)*($D241/$D$220))</f>
        <v>190066.5</v>
      </c>
      <c r="AC241" s="95" cm="1">
        <f t="array" ref="AC241">IF($C241&gt;AC$11,0,INDEX($F$220:$AD$220,AC$11-$C241+1)*($D241/$D$220))</f>
        <v>190066.49999999997</v>
      </c>
      <c r="AD241" s="95" cm="1">
        <f t="array" ref="AD241">IF($C241&gt;AD$11,0,INDEX($F$220:$AD$220,AD$11-$C241+1)*($D241/$D$220))</f>
        <v>0</v>
      </c>
    </row>
    <row r="242" spans="1:30">
      <c r="A242" s="95"/>
      <c r="B242" s="118">
        <f t="shared" si="69"/>
        <v>1</v>
      </c>
      <c r="C242">
        <f t="shared" si="70"/>
        <v>2042</v>
      </c>
      <c r="D242" s="95" cm="1">
        <f t="array" ref="D242">INDEX($F$14:$AD$16,$B242,MATCH($C242,$F$11:$AD$11,0))*$G$221</f>
        <v>1322400</v>
      </c>
      <c r="E242" s="95"/>
      <c r="F242" s="95" cm="1">
        <f t="array" ref="F242">IF($C242&gt;F$11,0,INDEX($F$220:$AD$220,F$11-$C242+1)*($D242/$D$220))</f>
        <v>0</v>
      </c>
      <c r="G242" s="95" cm="1">
        <f t="array" ref="G242">IF($C242&gt;G$11,0,INDEX($F$220:$AD$220,G$11-$C242+1)*($D242/$D$220))</f>
        <v>0</v>
      </c>
      <c r="H242" s="95" cm="1">
        <f t="array" ref="H242">IF($C242&gt;H$11,0,INDEX($F$220:$AD$220,H$11-$C242+1)*($D242/$D$220))</f>
        <v>0</v>
      </c>
      <c r="I242" s="95" cm="1">
        <f t="array" ref="I242">IF($C242&gt;I$11,0,INDEX($F$220:$AD$220,I$11-$C242+1)*($D242/$D$220))</f>
        <v>0</v>
      </c>
      <c r="J242" s="95" cm="1">
        <f t="array" ref="J242">IF($C242&gt;J$11,0,INDEX($F$220:$AD$220,J$11-$C242+1)*($D242/$D$220))</f>
        <v>0</v>
      </c>
      <c r="K242" s="95" cm="1">
        <f t="array" ref="K242">IF($C242&gt;K$11,0,INDEX($F$220:$AD$220,K$11-$C242+1)*($D242/$D$220))</f>
        <v>0</v>
      </c>
      <c r="L242" s="95" cm="1">
        <f t="array" ref="L242">IF($C242&gt;L$11,0,INDEX($F$220:$AD$220,L$11-$C242+1)*($D242/$D$220))</f>
        <v>0</v>
      </c>
      <c r="M242" s="95" cm="1">
        <f t="array" ref="M242">IF($C242&gt;M$11,0,INDEX($F$220:$AD$220,M$11-$C242+1)*($D242/$D$220))</f>
        <v>0</v>
      </c>
      <c r="N242" s="95" cm="1">
        <f t="array" ref="N242">IF($C242&gt;N$11,0,INDEX($F$220:$AD$220,N$11-$C242+1)*($D242/$D$220))</f>
        <v>0</v>
      </c>
      <c r="O242" s="95" cm="1">
        <f t="array" ref="O242">IF($C242&gt;O$11,0,INDEX($F$220:$AD$220,O$11-$C242+1)*($D242/$D$220))</f>
        <v>0</v>
      </c>
      <c r="P242" s="95" cm="1">
        <f t="array" ref="P242">IF($C242&gt;P$11,0,INDEX($F$220:$AD$220,P$11-$C242+1)*($D242/$D$220))</f>
        <v>0</v>
      </c>
      <c r="Q242" s="95" cm="1">
        <f t="array" ref="Q242">IF($C242&gt;Q$11,0,INDEX($F$220:$AD$220,Q$11-$C242+1)*($D242/$D$220))</f>
        <v>0</v>
      </c>
      <c r="R242" s="95" cm="1">
        <f t="array" ref="R242">IF($C242&gt;R$11,0,INDEX($F$220:$AD$220,R$11-$C242+1)*($D242/$D$220))</f>
        <v>0</v>
      </c>
      <c r="S242" s="95" cm="1">
        <f t="array" ref="S242">IF($C242&gt;S$11,0,INDEX($F$220:$AD$220,S$11-$C242+1)*($D242/$D$220))</f>
        <v>0</v>
      </c>
      <c r="T242" s="95" cm="1">
        <f t="array" ref="T242">IF($C242&gt;T$11,0,INDEX($F$220:$AD$220,T$11-$C242+1)*($D242/$D$220))</f>
        <v>0</v>
      </c>
      <c r="U242" s="95" cm="1">
        <f t="array" ref="U242">IF($C242&gt;U$11,0,INDEX($F$220:$AD$220,U$11-$C242+1)*($D242/$D$220))</f>
        <v>0</v>
      </c>
      <c r="V242" s="95" cm="1">
        <f t="array" ref="V242">IF($C242&gt;V$11,0,INDEX($F$220:$AD$220,V$11-$C242+1)*($D242/$D$220))</f>
        <v>0</v>
      </c>
      <c r="W242" s="95" cm="1">
        <f t="array" ref="W242">IF($C242&gt;W$11,0,INDEX($F$220:$AD$220,W$11-$C242+1)*($D242/$D$220))</f>
        <v>0</v>
      </c>
      <c r="X242" s="95" cm="1">
        <f t="array" ref="X242">IF($C242&gt;X$11,0,INDEX($F$220:$AD$220,X$11-$C242+1)*($D242/$D$220))</f>
        <v>0</v>
      </c>
      <c r="Y242" s="95" cm="1">
        <f t="array" ref="Y242">IF($C242&gt;Y$11,0,INDEX($F$220:$AD$220,Y$11-$C242+1)*($D242/$D$220))</f>
        <v>0</v>
      </c>
      <c r="Z242" s="95" cm="1">
        <f t="array" ref="Z242">IF($C242&gt;Z$11,0,INDEX($F$220:$AD$220,Z$11-$C242+1)*($D242/$D$220))</f>
        <v>528960</v>
      </c>
      <c r="AA242" s="95" cm="1">
        <f t="array" ref="AA242">IF($C242&gt;AA$11,0,INDEX($F$220:$AD$220,AA$11-$C242+1)*($D242/$D$220))</f>
        <v>317376</v>
      </c>
      <c r="AB242" s="95" cm="1">
        <f t="array" ref="AB242">IF($C242&gt;AB$11,0,INDEX($F$220:$AD$220,AB$11-$C242+1)*($D242/$D$220))</f>
        <v>190425.60000000001</v>
      </c>
      <c r="AC242" s="95" cm="1">
        <f t="array" ref="AC242">IF($C242&gt;AC$11,0,INDEX($F$220:$AD$220,AC$11-$C242+1)*($D242/$D$220))</f>
        <v>142819.20000000001</v>
      </c>
      <c r="AD242" s="95" cm="1">
        <f t="array" ref="AD242">IF($C242&gt;AD$11,0,INDEX($F$220:$AD$220,AD$11-$C242+1)*($D242/$D$220))</f>
        <v>142819.19999999998</v>
      </c>
    </row>
    <row r="243" spans="1:30">
      <c r="A243" s="95"/>
      <c r="B243" s="118">
        <f t="shared" si="69"/>
        <v>1</v>
      </c>
      <c r="C243">
        <f t="shared" si="70"/>
        <v>2043</v>
      </c>
      <c r="D243" s="95" cm="1">
        <f t="array" ref="D243">INDEX($F$14:$AD$16,$B243,MATCH($C243,$F$11:$AD$11,0))*$G$221</f>
        <v>1952250</v>
      </c>
      <c r="E243" s="95"/>
      <c r="F243" s="95" cm="1">
        <f t="array" ref="F243">IF($C243&gt;F$11,0,INDEX($F$220:$AD$220,F$11-$C243+1)*($D243/$D$220))</f>
        <v>0</v>
      </c>
      <c r="G243" s="95" cm="1">
        <f t="array" ref="G243">IF($C243&gt;G$11,0,INDEX($F$220:$AD$220,G$11-$C243+1)*($D243/$D$220))</f>
        <v>0</v>
      </c>
      <c r="H243" s="95" cm="1">
        <f t="array" ref="H243">IF($C243&gt;H$11,0,INDEX($F$220:$AD$220,H$11-$C243+1)*($D243/$D$220))</f>
        <v>0</v>
      </c>
      <c r="I243" s="95" cm="1">
        <f t="array" ref="I243">IF($C243&gt;I$11,0,INDEX($F$220:$AD$220,I$11-$C243+1)*($D243/$D$220))</f>
        <v>0</v>
      </c>
      <c r="J243" s="95" cm="1">
        <f t="array" ref="J243">IF($C243&gt;J$11,0,INDEX($F$220:$AD$220,J$11-$C243+1)*($D243/$D$220))</f>
        <v>0</v>
      </c>
      <c r="K243" s="95" cm="1">
        <f t="array" ref="K243">IF($C243&gt;K$11,0,INDEX($F$220:$AD$220,K$11-$C243+1)*($D243/$D$220))</f>
        <v>0</v>
      </c>
      <c r="L243" s="95" cm="1">
        <f t="array" ref="L243">IF($C243&gt;L$11,0,INDEX($F$220:$AD$220,L$11-$C243+1)*($D243/$D$220))</f>
        <v>0</v>
      </c>
      <c r="M243" s="95" cm="1">
        <f t="array" ref="M243">IF($C243&gt;M$11,0,INDEX($F$220:$AD$220,M$11-$C243+1)*($D243/$D$220))</f>
        <v>0</v>
      </c>
      <c r="N243" s="95" cm="1">
        <f t="array" ref="N243">IF($C243&gt;N$11,0,INDEX($F$220:$AD$220,N$11-$C243+1)*($D243/$D$220))</f>
        <v>0</v>
      </c>
      <c r="O243" s="95" cm="1">
        <f t="array" ref="O243">IF($C243&gt;O$11,0,INDEX($F$220:$AD$220,O$11-$C243+1)*($D243/$D$220))</f>
        <v>0</v>
      </c>
      <c r="P243" s="95" cm="1">
        <f t="array" ref="P243">IF($C243&gt;P$11,0,INDEX($F$220:$AD$220,P$11-$C243+1)*($D243/$D$220))</f>
        <v>0</v>
      </c>
      <c r="Q243" s="95" cm="1">
        <f t="array" ref="Q243">IF($C243&gt;Q$11,0,INDEX($F$220:$AD$220,Q$11-$C243+1)*($D243/$D$220))</f>
        <v>0</v>
      </c>
      <c r="R243" s="95" cm="1">
        <f t="array" ref="R243">IF($C243&gt;R$11,0,INDEX($F$220:$AD$220,R$11-$C243+1)*($D243/$D$220))</f>
        <v>0</v>
      </c>
      <c r="S243" s="95" cm="1">
        <f t="array" ref="S243">IF($C243&gt;S$11,0,INDEX($F$220:$AD$220,S$11-$C243+1)*($D243/$D$220))</f>
        <v>0</v>
      </c>
      <c r="T243" s="95" cm="1">
        <f t="array" ref="T243">IF($C243&gt;T$11,0,INDEX($F$220:$AD$220,T$11-$C243+1)*($D243/$D$220))</f>
        <v>0</v>
      </c>
      <c r="U243" s="95" cm="1">
        <f t="array" ref="U243">IF($C243&gt;U$11,0,INDEX($F$220:$AD$220,U$11-$C243+1)*($D243/$D$220))</f>
        <v>0</v>
      </c>
      <c r="V243" s="95" cm="1">
        <f t="array" ref="V243">IF($C243&gt;V$11,0,INDEX($F$220:$AD$220,V$11-$C243+1)*($D243/$D$220))</f>
        <v>0</v>
      </c>
      <c r="W243" s="95" cm="1">
        <f t="array" ref="W243">IF($C243&gt;W$11,0,INDEX($F$220:$AD$220,W$11-$C243+1)*($D243/$D$220))</f>
        <v>0</v>
      </c>
      <c r="X243" s="95" cm="1">
        <f t="array" ref="X243">IF($C243&gt;X$11,0,INDEX($F$220:$AD$220,X$11-$C243+1)*($D243/$D$220))</f>
        <v>0</v>
      </c>
      <c r="Y243" s="95" cm="1">
        <f t="array" ref="Y243">IF($C243&gt;Y$11,0,INDEX($F$220:$AD$220,Y$11-$C243+1)*($D243/$D$220))</f>
        <v>0</v>
      </c>
      <c r="Z243" s="95" cm="1">
        <f t="array" ref="Z243">IF($C243&gt;Z$11,0,INDEX($F$220:$AD$220,Z$11-$C243+1)*($D243/$D$220))</f>
        <v>0</v>
      </c>
      <c r="AA243" s="95" cm="1">
        <f t="array" ref="AA243">IF($C243&gt;AA$11,0,INDEX($F$220:$AD$220,AA$11-$C243+1)*($D243/$D$220))</f>
        <v>780900</v>
      </c>
      <c r="AB243" s="95" cm="1">
        <f t="array" ref="AB243">IF($C243&gt;AB$11,0,INDEX($F$220:$AD$220,AB$11-$C243+1)*($D243/$D$220))</f>
        <v>468540</v>
      </c>
      <c r="AC243" s="95" cm="1">
        <f t="array" ref="AC243">IF($C243&gt;AC$11,0,INDEX($F$220:$AD$220,AC$11-$C243+1)*($D243/$D$220))</f>
        <v>281124</v>
      </c>
      <c r="AD243" s="95" cm="1">
        <f t="array" ref="AD243">IF($C243&gt;AD$11,0,INDEX($F$220:$AD$220,AD$11-$C243+1)*($D243/$D$220))</f>
        <v>210843</v>
      </c>
    </row>
    <row r="244" spans="1:30">
      <c r="A244" s="95"/>
      <c r="B244" s="118">
        <f t="shared" si="69"/>
        <v>1</v>
      </c>
      <c r="C244">
        <f t="shared" si="70"/>
        <v>2044</v>
      </c>
      <c r="D244" s="95" cm="1">
        <f t="array" ref="D244">INDEX($F$14:$AD$16,$B244,MATCH($C244,$F$11:$AD$11,0))*$G$221</f>
        <v>1735650</v>
      </c>
      <c r="E244" s="95"/>
      <c r="F244" s="95" cm="1">
        <f t="array" ref="F244">IF($C244&gt;F$11,0,INDEX($F$220:$AD$220,F$11-$C244+1)*($D244/$D$220))</f>
        <v>0</v>
      </c>
      <c r="G244" s="95" cm="1">
        <f t="array" ref="G244">IF($C244&gt;G$11,0,INDEX($F$220:$AD$220,G$11-$C244+1)*($D244/$D$220))</f>
        <v>0</v>
      </c>
      <c r="H244" s="95" cm="1">
        <f t="array" ref="H244">IF($C244&gt;H$11,0,INDEX($F$220:$AD$220,H$11-$C244+1)*($D244/$D$220))</f>
        <v>0</v>
      </c>
      <c r="I244" s="95" cm="1">
        <f t="array" ref="I244">IF($C244&gt;I$11,0,INDEX($F$220:$AD$220,I$11-$C244+1)*($D244/$D$220))</f>
        <v>0</v>
      </c>
      <c r="J244" s="95" cm="1">
        <f t="array" ref="J244">IF($C244&gt;J$11,0,INDEX($F$220:$AD$220,J$11-$C244+1)*($D244/$D$220))</f>
        <v>0</v>
      </c>
      <c r="K244" s="95" cm="1">
        <f t="array" ref="K244">IF($C244&gt;K$11,0,INDEX($F$220:$AD$220,K$11-$C244+1)*($D244/$D$220))</f>
        <v>0</v>
      </c>
      <c r="L244" s="95" cm="1">
        <f t="array" ref="L244">IF($C244&gt;L$11,0,INDEX($F$220:$AD$220,L$11-$C244+1)*($D244/$D$220))</f>
        <v>0</v>
      </c>
      <c r="M244" s="95" cm="1">
        <f t="array" ref="M244">IF($C244&gt;M$11,0,INDEX($F$220:$AD$220,M$11-$C244+1)*($D244/$D$220))</f>
        <v>0</v>
      </c>
      <c r="N244" s="95" cm="1">
        <f t="array" ref="N244">IF($C244&gt;N$11,0,INDEX($F$220:$AD$220,N$11-$C244+1)*($D244/$D$220))</f>
        <v>0</v>
      </c>
      <c r="O244" s="95" cm="1">
        <f t="array" ref="O244">IF($C244&gt;O$11,0,INDEX($F$220:$AD$220,O$11-$C244+1)*($D244/$D$220))</f>
        <v>0</v>
      </c>
      <c r="P244" s="95" cm="1">
        <f t="array" ref="P244">IF($C244&gt;P$11,0,INDEX($F$220:$AD$220,P$11-$C244+1)*($D244/$D$220))</f>
        <v>0</v>
      </c>
      <c r="Q244" s="95" cm="1">
        <f t="array" ref="Q244">IF($C244&gt;Q$11,0,INDEX($F$220:$AD$220,Q$11-$C244+1)*($D244/$D$220))</f>
        <v>0</v>
      </c>
      <c r="R244" s="95" cm="1">
        <f t="array" ref="R244">IF($C244&gt;R$11,0,INDEX($F$220:$AD$220,R$11-$C244+1)*($D244/$D$220))</f>
        <v>0</v>
      </c>
      <c r="S244" s="95" cm="1">
        <f t="array" ref="S244">IF($C244&gt;S$11,0,INDEX($F$220:$AD$220,S$11-$C244+1)*($D244/$D$220))</f>
        <v>0</v>
      </c>
      <c r="T244" s="95" cm="1">
        <f t="array" ref="T244">IF($C244&gt;T$11,0,INDEX($F$220:$AD$220,T$11-$C244+1)*($D244/$D$220))</f>
        <v>0</v>
      </c>
      <c r="U244" s="95" cm="1">
        <f t="array" ref="U244">IF($C244&gt;U$11,0,INDEX($F$220:$AD$220,U$11-$C244+1)*($D244/$D$220))</f>
        <v>0</v>
      </c>
      <c r="V244" s="95" cm="1">
        <f t="array" ref="V244">IF($C244&gt;V$11,0,INDEX($F$220:$AD$220,V$11-$C244+1)*($D244/$D$220))</f>
        <v>0</v>
      </c>
      <c r="W244" s="95" cm="1">
        <f t="array" ref="W244">IF($C244&gt;W$11,0,INDEX($F$220:$AD$220,W$11-$C244+1)*($D244/$D$220))</f>
        <v>0</v>
      </c>
      <c r="X244" s="95" cm="1">
        <f t="array" ref="X244">IF($C244&gt;X$11,0,INDEX($F$220:$AD$220,X$11-$C244+1)*($D244/$D$220))</f>
        <v>0</v>
      </c>
      <c r="Y244" s="95" cm="1">
        <f t="array" ref="Y244">IF($C244&gt;Y$11,0,INDEX($F$220:$AD$220,Y$11-$C244+1)*($D244/$D$220))</f>
        <v>0</v>
      </c>
      <c r="Z244" s="95" cm="1">
        <f t="array" ref="Z244">IF($C244&gt;Z$11,0,INDEX($F$220:$AD$220,Z$11-$C244+1)*($D244/$D$220))</f>
        <v>0</v>
      </c>
      <c r="AA244" s="95" cm="1">
        <f t="array" ref="AA244">IF($C244&gt;AA$11,0,INDEX($F$220:$AD$220,AA$11-$C244+1)*($D244/$D$220))</f>
        <v>0</v>
      </c>
      <c r="AB244" s="95" cm="1">
        <f t="array" ref="AB244">IF($C244&gt;AB$11,0,INDEX($F$220:$AD$220,AB$11-$C244+1)*($D244/$D$220))</f>
        <v>694260</v>
      </c>
      <c r="AC244" s="95" cm="1">
        <f t="array" ref="AC244">IF($C244&gt;AC$11,0,INDEX($F$220:$AD$220,AC$11-$C244+1)*($D244/$D$220))</f>
        <v>416556</v>
      </c>
      <c r="AD244" s="95" cm="1">
        <f t="array" ref="AD244">IF($C244&gt;AD$11,0,INDEX($F$220:$AD$220,AD$11-$C244+1)*($D244/$D$220))</f>
        <v>249933.59999999998</v>
      </c>
    </row>
    <row r="245" spans="1:30">
      <c r="A245" s="95"/>
      <c r="B245" s="118">
        <f t="shared" si="69"/>
        <v>1</v>
      </c>
      <c r="C245">
        <f t="shared" si="70"/>
        <v>2045</v>
      </c>
      <c r="D245" s="95" cm="1">
        <f t="array" ref="D245">INDEX($F$14:$AD$16,$B245,MATCH($C245,$F$11:$AD$11,0))*$G$221</f>
        <v>867825</v>
      </c>
      <c r="E245" s="95"/>
      <c r="F245" s="95" cm="1">
        <f t="array" ref="F245">IF($C245&gt;F$11,0,INDEX($F$220:$AD$220,F$11-$C245+1)*($D245/$D$220))</f>
        <v>0</v>
      </c>
      <c r="G245" s="95" cm="1">
        <f t="array" ref="G245">IF($C245&gt;G$11,0,INDEX($F$220:$AD$220,G$11-$C245+1)*($D245/$D$220))</f>
        <v>0</v>
      </c>
      <c r="H245" s="95" cm="1">
        <f t="array" ref="H245">IF($C245&gt;H$11,0,INDEX($F$220:$AD$220,H$11-$C245+1)*($D245/$D$220))</f>
        <v>0</v>
      </c>
      <c r="I245" s="95" cm="1">
        <f t="array" ref="I245">IF($C245&gt;I$11,0,INDEX($F$220:$AD$220,I$11-$C245+1)*($D245/$D$220))</f>
        <v>0</v>
      </c>
      <c r="J245" s="95" cm="1">
        <f t="array" ref="J245">IF($C245&gt;J$11,0,INDEX($F$220:$AD$220,J$11-$C245+1)*($D245/$D$220))</f>
        <v>0</v>
      </c>
      <c r="K245" s="95" cm="1">
        <f t="array" ref="K245">IF($C245&gt;K$11,0,INDEX($F$220:$AD$220,K$11-$C245+1)*($D245/$D$220))</f>
        <v>0</v>
      </c>
      <c r="L245" s="95" cm="1">
        <f t="array" ref="L245">IF($C245&gt;L$11,0,INDEX($F$220:$AD$220,L$11-$C245+1)*($D245/$D$220))</f>
        <v>0</v>
      </c>
      <c r="M245" s="95" cm="1">
        <f t="array" ref="M245">IF($C245&gt;M$11,0,INDEX($F$220:$AD$220,M$11-$C245+1)*($D245/$D$220))</f>
        <v>0</v>
      </c>
      <c r="N245" s="95" cm="1">
        <f t="array" ref="N245">IF($C245&gt;N$11,0,INDEX($F$220:$AD$220,N$11-$C245+1)*($D245/$D$220))</f>
        <v>0</v>
      </c>
      <c r="O245" s="95" cm="1">
        <f t="array" ref="O245">IF($C245&gt;O$11,0,INDEX($F$220:$AD$220,O$11-$C245+1)*($D245/$D$220))</f>
        <v>0</v>
      </c>
      <c r="P245" s="95" cm="1">
        <f t="array" ref="P245">IF($C245&gt;P$11,0,INDEX($F$220:$AD$220,P$11-$C245+1)*($D245/$D$220))</f>
        <v>0</v>
      </c>
      <c r="Q245" s="95" cm="1">
        <f t="array" ref="Q245">IF($C245&gt;Q$11,0,INDEX($F$220:$AD$220,Q$11-$C245+1)*($D245/$D$220))</f>
        <v>0</v>
      </c>
      <c r="R245" s="95" cm="1">
        <f t="array" ref="R245">IF($C245&gt;R$11,0,INDEX($F$220:$AD$220,R$11-$C245+1)*($D245/$D$220))</f>
        <v>0</v>
      </c>
      <c r="S245" s="95" cm="1">
        <f t="array" ref="S245">IF($C245&gt;S$11,0,INDEX($F$220:$AD$220,S$11-$C245+1)*($D245/$D$220))</f>
        <v>0</v>
      </c>
      <c r="T245" s="95" cm="1">
        <f t="array" ref="T245">IF($C245&gt;T$11,0,INDEX($F$220:$AD$220,T$11-$C245+1)*($D245/$D$220))</f>
        <v>0</v>
      </c>
      <c r="U245" s="95" cm="1">
        <f t="array" ref="U245">IF($C245&gt;U$11,0,INDEX($F$220:$AD$220,U$11-$C245+1)*($D245/$D$220))</f>
        <v>0</v>
      </c>
      <c r="V245" s="95" cm="1">
        <f t="array" ref="V245">IF($C245&gt;V$11,0,INDEX($F$220:$AD$220,V$11-$C245+1)*($D245/$D$220))</f>
        <v>0</v>
      </c>
      <c r="W245" s="95" cm="1">
        <f t="array" ref="W245">IF($C245&gt;W$11,0,INDEX($F$220:$AD$220,W$11-$C245+1)*($D245/$D$220))</f>
        <v>0</v>
      </c>
      <c r="X245" s="95" cm="1">
        <f t="array" ref="X245">IF($C245&gt;X$11,0,INDEX($F$220:$AD$220,X$11-$C245+1)*($D245/$D$220))</f>
        <v>0</v>
      </c>
      <c r="Y245" s="95" cm="1">
        <f t="array" ref="Y245">IF($C245&gt;Y$11,0,INDEX($F$220:$AD$220,Y$11-$C245+1)*($D245/$D$220))</f>
        <v>0</v>
      </c>
      <c r="Z245" s="95" cm="1">
        <f t="array" ref="Z245">IF($C245&gt;Z$11,0,INDEX($F$220:$AD$220,Z$11-$C245+1)*($D245/$D$220))</f>
        <v>0</v>
      </c>
      <c r="AA245" s="95" cm="1">
        <f t="array" ref="AA245">IF($C245&gt;AA$11,0,INDEX($F$220:$AD$220,AA$11-$C245+1)*($D245/$D$220))</f>
        <v>0</v>
      </c>
      <c r="AB245" s="95" cm="1">
        <f t="array" ref="AB245">IF($C245&gt;AB$11,0,INDEX($F$220:$AD$220,AB$11-$C245+1)*($D245/$D$220))</f>
        <v>0</v>
      </c>
      <c r="AC245" s="95" cm="1">
        <f t="array" ref="AC245">IF($C245&gt;AC$11,0,INDEX($F$220:$AD$220,AC$11-$C245+1)*($D245/$D$220))</f>
        <v>347130</v>
      </c>
      <c r="AD245" s="95" cm="1">
        <f t="array" ref="AD245">IF($C245&gt;AD$11,0,INDEX($F$220:$AD$220,AD$11-$C245+1)*($D245/$D$220))</f>
        <v>208278</v>
      </c>
    </row>
    <row r="246" spans="1:30">
      <c r="A246" s="95"/>
      <c r="B246" s="118">
        <f t="shared" si="69"/>
        <v>1</v>
      </c>
      <c r="C246">
        <f t="shared" si="70"/>
        <v>2046</v>
      </c>
      <c r="D246" s="95" cm="1">
        <f t="array" ref="D246">INDEX($F$14:$AD$16,$B246,MATCH($C246,$F$11:$AD$11,0))*$G$221</f>
        <v>1288200</v>
      </c>
      <c r="E246" s="95"/>
      <c r="F246" s="95" cm="1">
        <f t="array" ref="F246">IF($C246&gt;F$11,0,INDEX($F$220:$AD$220,F$11-$C246+1)*($D246/$D$220))</f>
        <v>0</v>
      </c>
      <c r="G246" s="95" cm="1">
        <f t="array" ref="G246">IF($C246&gt;G$11,0,INDEX($F$220:$AD$220,G$11-$C246+1)*($D246/$D$220))</f>
        <v>0</v>
      </c>
      <c r="H246" s="95" cm="1">
        <f t="array" ref="H246">IF($C246&gt;H$11,0,INDEX($F$220:$AD$220,H$11-$C246+1)*($D246/$D$220))</f>
        <v>0</v>
      </c>
      <c r="I246" s="95" cm="1">
        <f t="array" ref="I246">IF($C246&gt;I$11,0,INDEX($F$220:$AD$220,I$11-$C246+1)*($D246/$D$220))</f>
        <v>0</v>
      </c>
      <c r="J246" s="95" cm="1">
        <f t="array" ref="J246">IF($C246&gt;J$11,0,INDEX($F$220:$AD$220,J$11-$C246+1)*($D246/$D$220))</f>
        <v>0</v>
      </c>
      <c r="K246" s="95" cm="1">
        <f t="array" ref="K246">IF($C246&gt;K$11,0,INDEX($F$220:$AD$220,K$11-$C246+1)*($D246/$D$220))</f>
        <v>0</v>
      </c>
      <c r="L246" s="95" cm="1">
        <f t="array" ref="L246">IF($C246&gt;L$11,0,INDEX($F$220:$AD$220,L$11-$C246+1)*($D246/$D$220))</f>
        <v>0</v>
      </c>
      <c r="M246" s="95" cm="1">
        <f t="array" ref="M246">IF($C246&gt;M$11,0,INDEX($F$220:$AD$220,M$11-$C246+1)*($D246/$D$220))</f>
        <v>0</v>
      </c>
      <c r="N246" s="95" cm="1">
        <f t="array" ref="N246">IF($C246&gt;N$11,0,INDEX($F$220:$AD$220,N$11-$C246+1)*($D246/$D$220))</f>
        <v>0</v>
      </c>
      <c r="O246" s="95" cm="1">
        <f t="array" ref="O246">IF($C246&gt;O$11,0,INDEX($F$220:$AD$220,O$11-$C246+1)*($D246/$D$220))</f>
        <v>0</v>
      </c>
      <c r="P246" s="95" cm="1">
        <f t="array" ref="P246">IF($C246&gt;P$11,0,INDEX($F$220:$AD$220,P$11-$C246+1)*($D246/$D$220))</f>
        <v>0</v>
      </c>
      <c r="Q246" s="95" cm="1">
        <f t="array" ref="Q246">IF($C246&gt;Q$11,0,INDEX($F$220:$AD$220,Q$11-$C246+1)*($D246/$D$220))</f>
        <v>0</v>
      </c>
      <c r="R246" s="95" cm="1">
        <f t="array" ref="R246">IF($C246&gt;R$11,0,INDEX($F$220:$AD$220,R$11-$C246+1)*($D246/$D$220))</f>
        <v>0</v>
      </c>
      <c r="S246" s="95" cm="1">
        <f t="array" ref="S246">IF($C246&gt;S$11,0,INDEX($F$220:$AD$220,S$11-$C246+1)*($D246/$D$220))</f>
        <v>0</v>
      </c>
      <c r="T246" s="95" cm="1">
        <f t="array" ref="T246">IF($C246&gt;T$11,0,INDEX($F$220:$AD$220,T$11-$C246+1)*($D246/$D$220))</f>
        <v>0</v>
      </c>
      <c r="U246" s="95" cm="1">
        <f t="array" ref="U246">IF($C246&gt;U$11,0,INDEX($F$220:$AD$220,U$11-$C246+1)*($D246/$D$220))</f>
        <v>0</v>
      </c>
      <c r="V246" s="95" cm="1">
        <f t="array" ref="V246">IF($C246&gt;V$11,0,INDEX($F$220:$AD$220,V$11-$C246+1)*($D246/$D$220))</f>
        <v>0</v>
      </c>
      <c r="W246" s="95" cm="1">
        <f t="array" ref="W246">IF($C246&gt;W$11,0,INDEX($F$220:$AD$220,W$11-$C246+1)*($D246/$D$220))</f>
        <v>0</v>
      </c>
      <c r="X246" s="95" cm="1">
        <f t="array" ref="X246">IF($C246&gt;X$11,0,INDEX($F$220:$AD$220,X$11-$C246+1)*($D246/$D$220))</f>
        <v>0</v>
      </c>
      <c r="Y246" s="95" cm="1">
        <f t="array" ref="Y246">IF($C246&gt;Y$11,0,INDEX($F$220:$AD$220,Y$11-$C246+1)*($D246/$D$220))</f>
        <v>0</v>
      </c>
      <c r="Z246" s="95" cm="1">
        <f t="array" ref="Z246">IF($C246&gt;Z$11,0,INDEX($F$220:$AD$220,Z$11-$C246+1)*($D246/$D$220))</f>
        <v>0</v>
      </c>
      <c r="AA246" s="95" cm="1">
        <f t="array" ref="AA246">IF($C246&gt;AA$11,0,INDEX($F$220:$AD$220,AA$11-$C246+1)*($D246/$D$220))</f>
        <v>0</v>
      </c>
      <c r="AB246" s="95" cm="1">
        <f t="array" ref="AB246">IF($C246&gt;AB$11,0,INDEX($F$220:$AD$220,AB$11-$C246+1)*($D246/$D$220))</f>
        <v>0</v>
      </c>
      <c r="AC246" s="95" cm="1">
        <f t="array" ref="AC246">IF($C246&gt;AC$11,0,INDEX($F$220:$AD$220,AC$11-$C246+1)*($D246/$D$220))</f>
        <v>0</v>
      </c>
      <c r="AD246" s="95" cm="1">
        <f t="array" ref="AD246">IF($C246&gt;AD$11,0,INDEX($F$220:$AD$220,AD$11-$C246+1)*($D246/$D$220))</f>
        <v>515280</v>
      </c>
    </row>
    <row r="247" spans="1:30" ht="14.4">
      <c r="C247" s="108" t="str">
        <f>"Total "&amp;C218</f>
        <v>Total Short Term</v>
      </c>
      <c r="D247" s="108" t="s">
        <v>68</v>
      </c>
      <c r="E247" s="109"/>
      <c r="F247" s="110">
        <f>SUM(F222:F246)</f>
        <v>1035120</v>
      </c>
      <c r="G247" s="110">
        <f t="shared" ref="G247:AD247" si="71">SUM(G222:G246)</f>
        <v>737352</v>
      </c>
      <c r="H247" s="110">
        <f t="shared" si="71"/>
        <v>797521.2</v>
      </c>
      <c r="I247" s="110">
        <f t="shared" si="71"/>
        <v>1497709.1999999997</v>
      </c>
      <c r="J247" s="110">
        <f t="shared" si="71"/>
        <v>1500627.5999999999</v>
      </c>
      <c r="K247" s="110">
        <f t="shared" si="71"/>
        <v>1426191.2999999998</v>
      </c>
      <c r="L247" s="110">
        <f t="shared" si="71"/>
        <v>1390657.5</v>
      </c>
      <c r="M247" s="110">
        <f t="shared" si="71"/>
        <v>1017045.2999999999</v>
      </c>
      <c r="N247" s="110">
        <f t="shared" si="71"/>
        <v>963972.6</v>
      </c>
      <c r="O247" s="110">
        <f t="shared" si="71"/>
        <v>1487392.2</v>
      </c>
      <c r="P247" s="110">
        <f t="shared" si="71"/>
        <v>1407797.4</v>
      </c>
      <c r="Q247" s="110">
        <f t="shared" si="71"/>
        <v>1629054.3</v>
      </c>
      <c r="R247" s="110">
        <f t="shared" si="71"/>
        <v>1465954.5</v>
      </c>
      <c r="S247" s="110">
        <f t="shared" si="71"/>
        <v>1461884.7</v>
      </c>
      <c r="T247" s="110">
        <f t="shared" si="71"/>
        <v>1508282.7</v>
      </c>
      <c r="U247" s="110">
        <f t="shared" si="71"/>
        <v>1124045.7</v>
      </c>
      <c r="V247" s="110">
        <f t="shared" si="71"/>
        <v>1551317.7</v>
      </c>
      <c r="W247" s="110">
        <f t="shared" si="71"/>
        <v>1337436.6000000001</v>
      </c>
      <c r="X247" s="110">
        <f t="shared" si="71"/>
        <v>1657987.5</v>
      </c>
      <c r="Y247" s="110">
        <f t="shared" si="71"/>
        <v>1662422.1</v>
      </c>
      <c r="Z247" s="110">
        <f t="shared" si="71"/>
        <v>1615921.5</v>
      </c>
      <c r="AA247" s="110">
        <f t="shared" si="71"/>
        <v>1685968.8</v>
      </c>
      <c r="AB247" s="110">
        <f t="shared" si="71"/>
        <v>1774757.7</v>
      </c>
      <c r="AC247" s="110">
        <f t="shared" si="71"/>
        <v>1377695.7</v>
      </c>
      <c r="AD247" s="110">
        <f t="shared" si="71"/>
        <v>1327153.7999999998</v>
      </c>
    </row>
    <row r="249" spans="1:30" ht="14.4">
      <c r="B249" s="94">
        <v>2</v>
      </c>
      <c r="C249" s="93" t="str" cm="1">
        <f t="array" ref="C249">INDEX(ListAssetClasses1,B249)</f>
        <v>Medium Term</v>
      </c>
      <c r="E249" t="s">
        <v>80</v>
      </c>
      <c r="F249" s="111" cm="1">
        <f t="array" ref="F249">INDEX($D$194:$D$196,B249)</f>
        <v>10</v>
      </c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</row>
    <row r="250" spans="1:30" ht="14.4">
      <c r="E250" t="s">
        <v>37</v>
      </c>
      <c r="F250" s="122">
        <v>1</v>
      </c>
      <c r="G250" s="111">
        <f>F250+1</f>
        <v>2</v>
      </c>
      <c r="H250" s="111">
        <f t="shared" ref="H250:Y250" si="72">G250+1</f>
        <v>3</v>
      </c>
      <c r="I250" s="111">
        <f t="shared" si="72"/>
        <v>4</v>
      </c>
      <c r="J250" s="111">
        <f t="shared" si="72"/>
        <v>5</v>
      </c>
      <c r="K250" s="111">
        <f t="shared" si="72"/>
        <v>6</v>
      </c>
      <c r="L250" s="111">
        <f t="shared" si="72"/>
        <v>7</v>
      </c>
      <c r="M250" s="111">
        <f t="shared" si="72"/>
        <v>8</v>
      </c>
      <c r="N250" s="111">
        <f t="shared" si="72"/>
        <v>9</v>
      </c>
      <c r="O250" s="111">
        <f t="shared" si="72"/>
        <v>10</v>
      </c>
      <c r="P250" s="111">
        <f t="shared" si="72"/>
        <v>11</v>
      </c>
      <c r="Q250" s="111">
        <f t="shared" si="72"/>
        <v>12</v>
      </c>
      <c r="R250" s="111">
        <f t="shared" si="72"/>
        <v>13</v>
      </c>
      <c r="S250" s="111">
        <f t="shared" si="72"/>
        <v>14</v>
      </c>
      <c r="T250" s="111">
        <f t="shared" si="72"/>
        <v>15</v>
      </c>
      <c r="U250" s="111">
        <f t="shared" si="72"/>
        <v>16</v>
      </c>
      <c r="V250" s="111">
        <f t="shared" si="72"/>
        <v>17</v>
      </c>
      <c r="W250" s="111">
        <f t="shared" si="72"/>
        <v>18</v>
      </c>
      <c r="X250" s="111">
        <f t="shared" si="72"/>
        <v>19</v>
      </c>
      <c r="Y250" s="111">
        <f t="shared" si="72"/>
        <v>20</v>
      </c>
      <c r="Z250" s="111"/>
      <c r="AA250" s="95"/>
      <c r="AB250" s="95"/>
      <c r="AC250" s="95"/>
      <c r="AD250" s="95"/>
    </row>
    <row r="251" spans="1:30" ht="14.4">
      <c r="C251" s="115" t="s">
        <v>47</v>
      </c>
      <c r="D251" s="123">
        <f>INDEX(CaseData!$E$39:$T$39,MATCH(F249,CaseData!$E$40:$T$40,0))</f>
        <v>1000000</v>
      </c>
      <c r="E251" t="s">
        <v>81</v>
      </c>
      <c r="F251" s="124">
        <f>INDEX(CaseData!$D$40:$T$61,MATCH(F250,CaseData!$D$40:$D$61,0),MATCH($F249,CaseData!$D$40:$T$40,0))</f>
        <v>200000</v>
      </c>
      <c r="G251" s="124">
        <f>INDEX(CaseData!$D$40:$T$61,MATCH(G250,CaseData!$D$40:$D$61,0),MATCH($F249,CaseData!$D$40:$T$40,0))</f>
        <v>160000</v>
      </c>
      <c r="H251" s="124">
        <f>INDEX(CaseData!$D$40:$T$61,MATCH(H250,CaseData!$D$40:$D$61,0),MATCH($F249,CaseData!$D$40:$T$40,0))</f>
        <v>128000</v>
      </c>
      <c r="I251" s="124">
        <f>INDEX(CaseData!$D$40:$T$61,MATCH(I250,CaseData!$D$40:$D$61,0),MATCH($F249,CaseData!$D$40:$T$40,0))</f>
        <v>102000</v>
      </c>
      <c r="J251" s="124">
        <f>INDEX(CaseData!$D$40:$T$61,MATCH(J250,CaseData!$D$40:$D$61,0),MATCH($F249,CaseData!$D$40:$T$40,0))</f>
        <v>82000</v>
      </c>
      <c r="K251" s="124">
        <f>INDEX(CaseData!$D$40:$T$61,MATCH(K250,CaseData!$D$40:$D$61,0),MATCH($F249,CaseData!$D$40:$T$40,0))</f>
        <v>66000</v>
      </c>
      <c r="L251" s="124">
        <f>INDEX(CaseData!$D$40:$T$61,MATCH(L250,CaseData!$D$40:$D$61,0),MATCH($F249,CaseData!$D$40:$T$40,0))</f>
        <v>66000</v>
      </c>
      <c r="M251" s="124">
        <f>INDEX(CaseData!$D$40:$T$61,MATCH(M250,CaseData!$D$40:$D$61,0),MATCH($F249,CaseData!$D$40:$T$40,0))</f>
        <v>66000</v>
      </c>
      <c r="N251" s="124">
        <f>INDEX(CaseData!$D$40:$T$61,MATCH(N250,CaseData!$D$40:$D$61,0),MATCH($F249,CaseData!$D$40:$T$40,0))</f>
        <v>66000</v>
      </c>
      <c r="O251" s="124">
        <f>INDEX(CaseData!$D$40:$T$61,MATCH(O250,CaseData!$D$40:$D$61,0),MATCH($F249,CaseData!$D$40:$T$40,0))</f>
        <v>64000</v>
      </c>
      <c r="P251" s="124">
        <f>INDEX(CaseData!$D$40:$T$61,MATCH(P250,CaseData!$D$40:$D$61,0),MATCH($F249,CaseData!$D$40:$T$40,0))</f>
        <v>0</v>
      </c>
      <c r="Q251" s="124">
        <f>INDEX(CaseData!$D$40:$T$61,MATCH(Q250,CaseData!$D$40:$D$61,0),MATCH($F249,CaseData!$D$40:$T$40,0))</f>
        <v>0</v>
      </c>
      <c r="R251" s="124">
        <f>INDEX(CaseData!$D$40:$T$61,MATCH(R250,CaseData!$D$40:$D$61,0),MATCH($F249,CaseData!$D$40:$T$40,0))</f>
        <v>0</v>
      </c>
      <c r="S251" s="124">
        <f>INDEX(CaseData!$D$40:$T$61,MATCH(S250,CaseData!$D$40:$D$61,0),MATCH($F249,CaseData!$D$40:$T$40,0))</f>
        <v>0</v>
      </c>
      <c r="T251" s="124">
        <f>INDEX(CaseData!$D$40:$T$61,MATCH(T250,CaseData!$D$40:$D$61,0),MATCH($F249,CaseData!$D$40:$T$40,0))</f>
        <v>0</v>
      </c>
      <c r="U251" s="124">
        <f>INDEX(CaseData!$D$40:$T$61,MATCH(U250,CaseData!$D$40:$D$61,0),MATCH($F249,CaseData!$D$40:$T$40,0))</f>
        <v>0</v>
      </c>
      <c r="V251" s="124">
        <f>INDEX(CaseData!$D$40:$T$61,MATCH(V250,CaseData!$D$40:$D$61,0),MATCH($F249,CaseData!$D$40:$T$40,0))</f>
        <v>0</v>
      </c>
      <c r="W251" s="124">
        <f>INDEX(CaseData!$D$40:$T$61,MATCH(W250,CaseData!$D$40:$D$61,0),MATCH($F249,CaseData!$D$40:$T$40,0))</f>
        <v>0</v>
      </c>
      <c r="X251" s="124">
        <f>INDEX(CaseData!$D$40:$T$61,MATCH(X250,CaseData!$D$40:$D$61,0),MATCH($F249,CaseData!$D$40:$T$40,0))</f>
        <v>0</v>
      </c>
      <c r="Y251" s="124">
        <f>INDEX(CaseData!$D$40:$T$61,MATCH(Y250,CaseData!$D$40:$D$61,0),MATCH($F249,CaseData!$D$40:$T$40,0))</f>
        <v>0</v>
      </c>
      <c r="Z251" s="125"/>
      <c r="AA251" s="95"/>
      <c r="AB251" s="95"/>
      <c r="AC251" s="95"/>
      <c r="AD251" s="95"/>
    </row>
    <row r="252" spans="1:30" ht="14.4">
      <c r="C252" s="114" t="s">
        <v>76</v>
      </c>
      <c r="D252" s="114" t="s">
        <v>77</v>
      </c>
      <c r="E252" s="115" t="s">
        <v>73</v>
      </c>
      <c r="F252" s="119"/>
      <c r="G252" s="117">
        <f>1-CaseData!$G$11</f>
        <v>0.95</v>
      </c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95"/>
      <c r="AA252" s="95"/>
      <c r="AB252" s="95"/>
      <c r="AC252" s="95"/>
      <c r="AD252" s="95"/>
    </row>
    <row r="253" spans="1:30">
      <c r="A253" s="95"/>
      <c r="B253" s="118">
        <f>B249</f>
        <v>2</v>
      </c>
      <c r="C253">
        <f>$F$11</f>
        <v>2022</v>
      </c>
      <c r="D253" s="95" cm="1">
        <f t="array" ref="D253">INDEX($F$14:$AD$16,$B253,MATCH($C253,$F$11:$AD$11,0))*$G$252</f>
        <v>2731725</v>
      </c>
      <c r="E253" s="95"/>
      <c r="F253" s="95" cm="1">
        <f t="array" ref="F253">IF($C253&gt;F$11,0,INDEX($F$251:$AD$251,F$11-$C253+1)*($D253/$D$251))</f>
        <v>546345</v>
      </c>
      <c r="G253" s="95" cm="1">
        <f t="array" ref="G253">IF($C253&gt;G$11,0,INDEX($F$251:$AD$251,G$11-$C253+1)*($D253/$D$251))</f>
        <v>437076</v>
      </c>
      <c r="H253" s="95" cm="1">
        <f t="array" ref="H253">IF($C253&gt;H$11,0,INDEX($F$251:$AD$251,H$11-$C253+1)*($D253/$D$251))</f>
        <v>349660.8</v>
      </c>
      <c r="I253" s="95" cm="1">
        <f t="array" ref="I253">IF($C253&gt;I$11,0,INDEX($F$251:$AD$251,I$11-$C253+1)*($D253/$D$251))</f>
        <v>278635.95</v>
      </c>
      <c r="J253" s="95" cm="1">
        <f t="array" ref="J253">IF($C253&gt;J$11,0,INDEX($F$251:$AD$251,J$11-$C253+1)*($D253/$D$251))</f>
        <v>224001.44999999998</v>
      </c>
      <c r="K253" s="95" cm="1">
        <f t="array" ref="K253">IF($C253&gt;K$11,0,INDEX($F$251:$AD$251,K$11-$C253+1)*($D253/$D$251))</f>
        <v>180293.85</v>
      </c>
      <c r="L253" s="95" cm="1">
        <f t="array" ref="L253">IF($C253&gt;L$11,0,INDEX($F$251:$AD$251,L$11-$C253+1)*($D253/$D$251))</f>
        <v>180293.85</v>
      </c>
      <c r="M253" s="95" cm="1">
        <f t="array" ref="M253">IF($C253&gt;M$11,0,INDEX($F$251:$AD$251,M$11-$C253+1)*($D253/$D$251))</f>
        <v>180293.85</v>
      </c>
      <c r="N253" s="95" cm="1">
        <f t="array" ref="N253">IF($C253&gt;N$11,0,INDEX($F$251:$AD$251,N$11-$C253+1)*($D253/$D$251))</f>
        <v>180293.85</v>
      </c>
      <c r="O253" s="95" cm="1">
        <f t="array" ref="O253">IF($C253&gt;O$11,0,INDEX($F$251:$AD$251,O$11-$C253+1)*($D253/$D$251))</f>
        <v>174830.4</v>
      </c>
      <c r="P253" s="95" cm="1">
        <f t="array" ref="P253">IF($C253&gt;P$11,0,INDEX($F$251:$AD$251,P$11-$C253+1)*($D253/$D$251))</f>
        <v>0</v>
      </c>
      <c r="Q253" s="95" cm="1">
        <f t="array" ref="Q253">IF($C253&gt;Q$11,0,INDEX($F$251:$AD$251,Q$11-$C253+1)*($D253/$D$251))</f>
        <v>0</v>
      </c>
      <c r="R253" s="95" cm="1">
        <f t="array" ref="R253">IF($C253&gt;R$11,0,INDEX($F$251:$AD$251,R$11-$C253+1)*($D253/$D$251))</f>
        <v>0</v>
      </c>
      <c r="S253" s="95" cm="1">
        <f t="array" ref="S253">IF($C253&gt;S$11,0,INDEX($F$251:$AD$251,S$11-$C253+1)*($D253/$D$251))</f>
        <v>0</v>
      </c>
      <c r="T253" s="95" cm="1">
        <f t="array" ref="T253">IF($C253&gt;T$11,0,INDEX($F$251:$AD$251,T$11-$C253+1)*($D253/$D$251))</f>
        <v>0</v>
      </c>
      <c r="U253" s="95" cm="1">
        <f t="array" ref="U253">IF($C253&gt;U$11,0,INDEX($F$251:$AD$251,U$11-$C253+1)*($D253/$D$251))</f>
        <v>0</v>
      </c>
      <c r="V253" s="95" cm="1">
        <f t="array" ref="V253">IF($C253&gt;V$11,0,INDEX($F$251:$AD$251,V$11-$C253+1)*($D253/$D$251))</f>
        <v>0</v>
      </c>
      <c r="W253" s="95" cm="1">
        <f t="array" ref="W253">IF($C253&gt;W$11,0,INDEX($F$251:$AD$251,W$11-$C253+1)*($D253/$D$251))</f>
        <v>0</v>
      </c>
      <c r="X253" s="95" cm="1">
        <f t="array" ref="X253">IF($C253&gt;X$11,0,INDEX($F$251:$AD$251,X$11-$C253+1)*($D253/$D$251))</f>
        <v>0</v>
      </c>
      <c r="Y253" s="95" cm="1">
        <f t="array" ref="Y253">IF($C253&gt;Y$11,0,INDEX($F$251:$AD$251,Y$11-$C253+1)*($D253/$D$251))</f>
        <v>0</v>
      </c>
      <c r="Z253" s="95" cm="1">
        <f t="array" ref="Z253">IF($C253&gt;Z$11,0,INDEX($F$251:$AD$251,Z$11-$C253+1)*($D253/$D$251))</f>
        <v>0</v>
      </c>
      <c r="AA253" s="95" cm="1">
        <f t="array" ref="AA253">IF($C253&gt;AA$11,0,INDEX($F$251:$AD$251,AA$11-$C253+1)*($D253/$D$251))</f>
        <v>0</v>
      </c>
      <c r="AB253" s="95" cm="1">
        <f t="array" ref="AB253">IF($C253&gt;AB$11,0,INDEX($F$251:$AD$251,AB$11-$C253+1)*($D253/$D$251))</f>
        <v>0</v>
      </c>
      <c r="AC253" s="95" cm="1">
        <f t="array" ref="AC253">IF($C253&gt;AC$11,0,INDEX($F$251:$AD$251,AC$11-$C253+1)*($D253/$D$251))</f>
        <v>0</v>
      </c>
      <c r="AD253" s="95" cm="1">
        <f t="array" ref="AD253">IF($C253&gt;AD$11,0,INDEX($F$251:$AD$251,AD$11-$C253+1)*($D253/$D$251))</f>
        <v>0</v>
      </c>
    </row>
    <row r="254" spans="1:30">
      <c r="A254" s="95"/>
      <c r="B254" s="118">
        <f>B253</f>
        <v>2</v>
      </c>
      <c r="C254">
        <f>C253+1</f>
        <v>2023</v>
      </c>
      <c r="D254" s="95" cm="1">
        <f t="array" ref="D254">INDEX($F$14:$AD$16,$B254,MATCH($C254,$F$11:$AD$11,0))*$G$252</f>
        <v>793725</v>
      </c>
      <c r="E254" s="95"/>
      <c r="F254" s="95" cm="1">
        <f t="array" ref="F254">IF($C254&gt;F$11,0,INDEX($F$251:$AD$251,F$11-$C254+1)*($D254/$D$251))</f>
        <v>0</v>
      </c>
      <c r="G254" s="95" cm="1">
        <f t="array" ref="G254">IF($C254&gt;G$11,0,INDEX($F$251:$AD$251,G$11-$C254+1)*($D254/$D$251))</f>
        <v>158745</v>
      </c>
      <c r="H254" s="95" cm="1">
        <f t="array" ref="H254">IF($C254&gt;H$11,0,INDEX($F$251:$AD$251,H$11-$C254+1)*($D254/$D$251))</f>
        <v>126996</v>
      </c>
      <c r="I254" s="95" cm="1">
        <f t="array" ref="I254">IF($C254&gt;I$11,0,INDEX($F$251:$AD$251,I$11-$C254+1)*($D254/$D$251))</f>
        <v>101596.8</v>
      </c>
      <c r="J254" s="95" cm="1">
        <f t="array" ref="J254">IF($C254&gt;J$11,0,INDEX($F$251:$AD$251,J$11-$C254+1)*($D254/$D$251))</f>
        <v>80959.95</v>
      </c>
      <c r="K254" s="95" cm="1">
        <f t="array" ref="K254">IF($C254&gt;K$11,0,INDEX($F$251:$AD$251,K$11-$C254+1)*($D254/$D$251))</f>
        <v>65085.450000000004</v>
      </c>
      <c r="L254" s="95" cm="1">
        <f t="array" ref="L254">IF($C254&gt;L$11,0,INDEX($F$251:$AD$251,L$11-$C254+1)*($D254/$D$251))</f>
        <v>52385.85</v>
      </c>
      <c r="M254" s="95" cm="1">
        <f t="array" ref="M254">IF($C254&gt;M$11,0,INDEX($F$251:$AD$251,M$11-$C254+1)*($D254/$D$251))</f>
        <v>52385.85</v>
      </c>
      <c r="N254" s="95" cm="1">
        <f t="array" ref="N254">IF($C254&gt;N$11,0,INDEX($F$251:$AD$251,N$11-$C254+1)*($D254/$D$251))</f>
        <v>52385.85</v>
      </c>
      <c r="O254" s="95" cm="1">
        <f t="array" ref="O254">IF($C254&gt;O$11,0,INDEX($F$251:$AD$251,O$11-$C254+1)*($D254/$D$251))</f>
        <v>52385.85</v>
      </c>
      <c r="P254" s="95" cm="1">
        <f t="array" ref="P254">IF($C254&gt;P$11,0,INDEX($F$251:$AD$251,P$11-$C254+1)*($D254/$D$251))</f>
        <v>50798.400000000001</v>
      </c>
      <c r="Q254" s="95" cm="1">
        <f t="array" ref="Q254">IF($C254&gt;Q$11,0,INDEX($F$251:$AD$251,Q$11-$C254+1)*($D254/$D$251))</f>
        <v>0</v>
      </c>
      <c r="R254" s="95" cm="1">
        <f t="array" ref="R254">IF($C254&gt;R$11,0,INDEX($F$251:$AD$251,R$11-$C254+1)*($D254/$D$251))</f>
        <v>0</v>
      </c>
      <c r="S254" s="95" cm="1">
        <f t="array" ref="S254">IF($C254&gt;S$11,0,INDEX($F$251:$AD$251,S$11-$C254+1)*($D254/$D$251))</f>
        <v>0</v>
      </c>
      <c r="T254" s="95" cm="1">
        <f t="array" ref="T254">IF($C254&gt;T$11,0,INDEX($F$251:$AD$251,T$11-$C254+1)*($D254/$D$251))</f>
        <v>0</v>
      </c>
      <c r="U254" s="95" cm="1">
        <f t="array" ref="U254">IF($C254&gt;U$11,0,INDEX($F$251:$AD$251,U$11-$C254+1)*($D254/$D$251))</f>
        <v>0</v>
      </c>
      <c r="V254" s="95" cm="1">
        <f t="array" ref="V254">IF($C254&gt;V$11,0,INDEX($F$251:$AD$251,V$11-$C254+1)*($D254/$D$251))</f>
        <v>0</v>
      </c>
      <c r="W254" s="95" cm="1">
        <f t="array" ref="W254">IF($C254&gt;W$11,0,INDEX($F$251:$AD$251,W$11-$C254+1)*($D254/$D$251))</f>
        <v>0</v>
      </c>
      <c r="X254" s="95" cm="1">
        <f t="array" ref="X254">IF($C254&gt;X$11,0,INDEX($F$251:$AD$251,X$11-$C254+1)*($D254/$D$251))</f>
        <v>0</v>
      </c>
      <c r="Y254" s="95" cm="1">
        <f t="array" ref="Y254">IF($C254&gt;Y$11,0,INDEX($F$251:$AD$251,Y$11-$C254+1)*($D254/$D$251))</f>
        <v>0</v>
      </c>
      <c r="Z254" s="95" cm="1">
        <f t="array" ref="Z254">IF($C254&gt;Z$11,0,INDEX($F$251:$AD$251,Z$11-$C254+1)*($D254/$D$251))</f>
        <v>0</v>
      </c>
      <c r="AA254" s="95" cm="1">
        <f t="array" ref="AA254">IF($C254&gt;AA$11,0,INDEX($F$251:$AD$251,AA$11-$C254+1)*($D254/$D$251))</f>
        <v>0</v>
      </c>
      <c r="AB254" s="95" cm="1">
        <f t="array" ref="AB254">IF($C254&gt;AB$11,0,INDEX($F$251:$AD$251,AB$11-$C254+1)*($D254/$D$251))</f>
        <v>0</v>
      </c>
      <c r="AC254" s="95" cm="1">
        <f t="array" ref="AC254">IF($C254&gt;AC$11,0,INDEX($F$251:$AD$251,AC$11-$C254+1)*($D254/$D$251))</f>
        <v>0</v>
      </c>
      <c r="AD254" s="95" cm="1">
        <f t="array" ref="AD254">IF($C254&gt;AD$11,0,INDEX($F$251:$AD$251,AD$11-$C254+1)*($D254/$D$251))</f>
        <v>0</v>
      </c>
    </row>
    <row r="255" spans="1:30">
      <c r="A255" s="95"/>
      <c r="B255" s="118">
        <f t="shared" ref="B255:B277" si="73">B254</f>
        <v>2</v>
      </c>
      <c r="C255">
        <f t="shared" ref="C255:C277" si="74">C254+1</f>
        <v>2024</v>
      </c>
      <c r="D255" s="95" cm="1">
        <f t="array" ref="D255">INDEX($F$14:$AD$16,$B255,MATCH($C255,$F$11:$AD$11,0))*$G$252</f>
        <v>988950</v>
      </c>
      <c r="E255" s="95"/>
      <c r="F255" s="95" cm="1">
        <f t="array" ref="F255">IF($C255&gt;F$11,0,INDEX($F$251:$AD$251,F$11-$C255+1)*($D255/$D$251))</f>
        <v>0</v>
      </c>
      <c r="G255" s="95" cm="1">
        <f t="array" ref="G255">IF($C255&gt;G$11,0,INDEX($F$251:$AD$251,G$11-$C255+1)*($D255/$D$251))</f>
        <v>0</v>
      </c>
      <c r="H255" s="95" cm="1">
        <f t="array" ref="H255">IF($C255&gt;H$11,0,INDEX($F$251:$AD$251,H$11-$C255+1)*($D255/$D$251))</f>
        <v>197790</v>
      </c>
      <c r="I255" s="95" cm="1">
        <f t="array" ref="I255">IF($C255&gt;I$11,0,INDEX($F$251:$AD$251,I$11-$C255+1)*($D255/$D$251))</f>
        <v>158232</v>
      </c>
      <c r="J255" s="95" cm="1">
        <f t="array" ref="J255">IF($C255&gt;J$11,0,INDEX($F$251:$AD$251,J$11-$C255+1)*($D255/$D$251))</f>
        <v>126585.60000000001</v>
      </c>
      <c r="K255" s="95" cm="1">
        <f t="array" ref="K255">IF($C255&gt;K$11,0,INDEX($F$251:$AD$251,K$11-$C255+1)*($D255/$D$251))</f>
        <v>100872.9</v>
      </c>
      <c r="L255" s="95" cm="1">
        <f t="array" ref="L255">IF($C255&gt;L$11,0,INDEX($F$251:$AD$251,L$11-$C255+1)*($D255/$D$251))</f>
        <v>81093.899999999994</v>
      </c>
      <c r="M255" s="95" cm="1">
        <f t="array" ref="M255">IF($C255&gt;M$11,0,INDEX($F$251:$AD$251,M$11-$C255+1)*($D255/$D$251))</f>
        <v>65270.7</v>
      </c>
      <c r="N255" s="95" cm="1">
        <f t="array" ref="N255">IF($C255&gt;N$11,0,INDEX($F$251:$AD$251,N$11-$C255+1)*($D255/$D$251))</f>
        <v>65270.7</v>
      </c>
      <c r="O255" s="95" cm="1">
        <f t="array" ref="O255">IF($C255&gt;O$11,0,INDEX($F$251:$AD$251,O$11-$C255+1)*($D255/$D$251))</f>
        <v>65270.7</v>
      </c>
      <c r="P255" s="95" cm="1">
        <f t="array" ref="P255">IF($C255&gt;P$11,0,INDEX($F$251:$AD$251,P$11-$C255+1)*($D255/$D$251))</f>
        <v>65270.7</v>
      </c>
      <c r="Q255" s="95" cm="1">
        <f t="array" ref="Q255">IF($C255&gt;Q$11,0,INDEX($F$251:$AD$251,Q$11-$C255+1)*($D255/$D$251))</f>
        <v>63292.800000000003</v>
      </c>
      <c r="R255" s="95" cm="1">
        <f t="array" ref="R255">IF($C255&gt;R$11,0,INDEX($F$251:$AD$251,R$11-$C255+1)*($D255/$D$251))</f>
        <v>0</v>
      </c>
      <c r="S255" s="95" cm="1">
        <f t="array" ref="S255">IF($C255&gt;S$11,0,INDEX($F$251:$AD$251,S$11-$C255+1)*($D255/$D$251))</f>
        <v>0</v>
      </c>
      <c r="T255" s="95" cm="1">
        <f t="array" ref="T255">IF($C255&gt;T$11,0,INDEX($F$251:$AD$251,T$11-$C255+1)*($D255/$D$251))</f>
        <v>0</v>
      </c>
      <c r="U255" s="95" cm="1">
        <f t="array" ref="U255">IF($C255&gt;U$11,0,INDEX($F$251:$AD$251,U$11-$C255+1)*($D255/$D$251))</f>
        <v>0</v>
      </c>
      <c r="V255" s="95" cm="1">
        <f t="array" ref="V255">IF($C255&gt;V$11,0,INDEX($F$251:$AD$251,V$11-$C255+1)*($D255/$D$251))</f>
        <v>0</v>
      </c>
      <c r="W255" s="95" cm="1">
        <f t="array" ref="W255">IF($C255&gt;W$11,0,INDEX($F$251:$AD$251,W$11-$C255+1)*($D255/$D$251))</f>
        <v>0</v>
      </c>
      <c r="X255" s="95" cm="1">
        <f t="array" ref="X255">IF($C255&gt;X$11,0,INDEX($F$251:$AD$251,X$11-$C255+1)*($D255/$D$251))</f>
        <v>0</v>
      </c>
      <c r="Y255" s="95" cm="1">
        <f t="array" ref="Y255">IF($C255&gt;Y$11,0,INDEX($F$251:$AD$251,Y$11-$C255+1)*($D255/$D$251))</f>
        <v>0</v>
      </c>
      <c r="Z255" s="95" cm="1">
        <f t="array" ref="Z255">IF($C255&gt;Z$11,0,INDEX($F$251:$AD$251,Z$11-$C255+1)*($D255/$D$251))</f>
        <v>0</v>
      </c>
      <c r="AA255" s="95" cm="1">
        <f t="array" ref="AA255">IF($C255&gt;AA$11,0,INDEX($F$251:$AD$251,AA$11-$C255+1)*($D255/$D$251))</f>
        <v>0</v>
      </c>
      <c r="AB255" s="95" cm="1">
        <f t="array" ref="AB255">IF($C255&gt;AB$11,0,INDEX($F$251:$AD$251,AB$11-$C255+1)*($D255/$D$251))</f>
        <v>0</v>
      </c>
      <c r="AC255" s="95" cm="1">
        <f t="array" ref="AC255">IF($C255&gt;AC$11,0,INDEX($F$251:$AD$251,AC$11-$C255+1)*($D255/$D$251))</f>
        <v>0</v>
      </c>
      <c r="AD255" s="95" cm="1">
        <f t="array" ref="AD255">IF($C255&gt;AD$11,0,INDEX($F$251:$AD$251,AD$11-$C255+1)*($D255/$D$251))</f>
        <v>0</v>
      </c>
    </row>
    <row r="256" spans="1:30">
      <c r="A256" s="95"/>
      <c r="B256" s="118">
        <f t="shared" si="73"/>
        <v>2</v>
      </c>
      <c r="C256">
        <f t="shared" si="74"/>
        <v>2025</v>
      </c>
      <c r="D256" s="95" cm="1">
        <f t="array" ref="D256">INDEX($F$14:$AD$16,$B256,MATCH($C256,$F$11:$AD$11,0))*$G$252</f>
        <v>860700</v>
      </c>
      <c r="E256" s="95"/>
      <c r="F256" s="95" cm="1">
        <f t="array" ref="F256">IF($C256&gt;F$11,0,INDEX($F$251:$AD$251,F$11-$C256+1)*($D256/$D$251))</f>
        <v>0</v>
      </c>
      <c r="G256" s="95" cm="1">
        <f t="array" ref="G256">IF($C256&gt;G$11,0,INDEX($F$251:$AD$251,G$11-$C256+1)*($D256/$D$251))</f>
        <v>0</v>
      </c>
      <c r="H256" s="95" cm="1">
        <f t="array" ref="H256">IF($C256&gt;H$11,0,INDEX($F$251:$AD$251,H$11-$C256+1)*($D256/$D$251))</f>
        <v>0</v>
      </c>
      <c r="I256" s="95" cm="1">
        <f t="array" ref="I256">IF($C256&gt;I$11,0,INDEX($F$251:$AD$251,I$11-$C256+1)*($D256/$D$251))</f>
        <v>172140</v>
      </c>
      <c r="J256" s="95" cm="1">
        <f t="array" ref="J256">IF($C256&gt;J$11,0,INDEX($F$251:$AD$251,J$11-$C256+1)*($D256/$D$251))</f>
        <v>137712</v>
      </c>
      <c r="K256" s="95" cm="1">
        <f t="array" ref="K256">IF($C256&gt;K$11,0,INDEX($F$251:$AD$251,K$11-$C256+1)*($D256/$D$251))</f>
        <v>110169.60000000001</v>
      </c>
      <c r="L256" s="95" cm="1">
        <f t="array" ref="L256">IF($C256&gt;L$11,0,INDEX($F$251:$AD$251,L$11-$C256+1)*($D256/$D$251))</f>
        <v>87791.400000000009</v>
      </c>
      <c r="M256" s="95" cm="1">
        <f t="array" ref="M256">IF($C256&gt;M$11,0,INDEX($F$251:$AD$251,M$11-$C256+1)*($D256/$D$251))</f>
        <v>70577.400000000009</v>
      </c>
      <c r="N256" s="95" cm="1">
        <f t="array" ref="N256">IF($C256&gt;N$11,0,INDEX($F$251:$AD$251,N$11-$C256+1)*($D256/$D$251))</f>
        <v>56806.200000000004</v>
      </c>
      <c r="O256" s="95" cm="1">
        <f t="array" ref="O256">IF($C256&gt;O$11,0,INDEX($F$251:$AD$251,O$11-$C256+1)*($D256/$D$251))</f>
        <v>56806.200000000004</v>
      </c>
      <c r="P256" s="95" cm="1">
        <f t="array" ref="P256">IF($C256&gt;P$11,0,INDEX($F$251:$AD$251,P$11-$C256+1)*($D256/$D$251))</f>
        <v>56806.200000000004</v>
      </c>
      <c r="Q256" s="95" cm="1">
        <f t="array" ref="Q256">IF($C256&gt;Q$11,0,INDEX($F$251:$AD$251,Q$11-$C256+1)*($D256/$D$251))</f>
        <v>56806.200000000004</v>
      </c>
      <c r="R256" s="95" cm="1">
        <f t="array" ref="R256">IF($C256&gt;R$11,0,INDEX($F$251:$AD$251,R$11-$C256+1)*($D256/$D$251))</f>
        <v>55084.800000000003</v>
      </c>
      <c r="S256" s="95" cm="1">
        <f t="array" ref="S256">IF($C256&gt;S$11,0,INDEX($F$251:$AD$251,S$11-$C256+1)*($D256/$D$251))</f>
        <v>0</v>
      </c>
      <c r="T256" s="95" cm="1">
        <f t="array" ref="T256">IF($C256&gt;T$11,0,INDEX($F$251:$AD$251,T$11-$C256+1)*($D256/$D$251))</f>
        <v>0</v>
      </c>
      <c r="U256" s="95" cm="1">
        <f t="array" ref="U256">IF($C256&gt;U$11,0,INDEX($F$251:$AD$251,U$11-$C256+1)*($D256/$D$251))</f>
        <v>0</v>
      </c>
      <c r="V256" s="95" cm="1">
        <f t="array" ref="V256">IF($C256&gt;V$11,0,INDEX($F$251:$AD$251,V$11-$C256+1)*($D256/$D$251))</f>
        <v>0</v>
      </c>
      <c r="W256" s="95" cm="1">
        <f t="array" ref="W256">IF($C256&gt;W$11,0,INDEX($F$251:$AD$251,W$11-$C256+1)*($D256/$D$251))</f>
        <v>0</v>
      </c>
      <c r="X256" s="95" cm="1">
        <f t="array" ref="X256">IF($C256&gt;X$11,0,INDEX($F$251:$AD$251,X$11-$C256+1)*($D256/$D$251))</f>
        <v>0</v>
      </c>
      <c r="Y256" s="95" cm="1">
        <f t="array" ref="Y256">IF($C256&gt;Y$11,0,INDEX($F$251:$AD$251,Y$11-$C256+1)*($D256/$D$251))</f>
        <v>0</v>
      </c>
      <c r="Z256" s="95" cm="1">
        <f t="array" ref="Z256">IF($C256&gt;Z$11,0,INDEX($F$251:$AD$251,Z$11-$C256+1)*($D256/$D$251))</f>
        <v>0</v>
      </c>
      <c r="AA256" s="95" cm="1">
        <f t="array" ref="AA256">IF($C256&gt;AA$11,0,INDEX($F$251:$AD$251,AA$11-$C256+1)*($D256/$D$251))</f>
        <v>0</v>
      </c>
      <c r="AB256" s="95" cm="1">
        <f t="array" ref="AB256">IF($C256&gt;AB$11,0,INDEX($F$251:$AD$251,AB$11-$C256+1)*($D256/$D$251))</f>
        <v>0</v>
      </c>
      <c r="AC256" s="95" cm="1">
        <f t="array" ref="AC256">IF($C256&gt;AC$11,0,INDEX($F$251:$AD$251,AC$11-$C256+1)*($D256/$D$251))</f>
        <v>0</v>
      </c>
      <c r="AD256" s="95" cm="1">
        <f t="array" ref="AD256">IF($C256&gt;AD$11,0,INDEX($F$251:$AD$251,AD$11-$C256+1)*($D256/$D$251))</f>
        <v>0</v>
      </c>
    </row>
    <row r="257" spans="1:30">
      <c r="A257" s="95"/>
      <c r="B257" s="118">
        <f t="shared" si="73"/>
        <v>2</v>
      </c>
      <c r="C257">
        <f t="shared" si="74"/>
        <v>2026</v>
      </c>
      <c r="D257" s="95" cm="1">
        <f t="array" ref="D257">INDEX($F$14:$AD$16,$B257,MATCH($C257,$F$11:$AD$11,0))*$G$252</f>
        <v>859275</v>
      </c>
      <c r="E257" s="95"/>
      <c r="F257" s="95" cm="1">
        <f t="array" ref="F257">IF($C257&gt;F$11,0,INDEX($F$251:$AD$251,F$11-$C257+1)*($D257/$D$251))</f>
        <v>0</v>
      </c>
      <c r="G257" s="95" cm="1">
        <f t="array" ref="G257">IF($C257&gt;G$11,0,INDEX($F$251:$AD$251,G$11-$C257+1)*($D257/$D$251))</f>
        <v>0</v>
      </c>
      <c r="H257" s="95" cm="1">
        <f t="array" ref="H257">IF($C257&gt;H$11,0,INDEX($F$251:$AD$251,H$11-$C257+1)*($D257/$D$251))</f>
        <v>0</v>
      </c>
      <c r="I257" s="95" cm="1">
        <f t="array" ref="I257">IF($C257&gt;I$11,0,INDEX($F$251:$AD$251,I$11-$C257+1)*($D257/$D$251))</f>
        <v>0</v>
      </c>
      <c r="J257" s="95" cm="1">
        <f t="array" ref="J257">IF($C257&gt;J$11,0,INDEX($F$251:$AD$251,J$11-$C257+1)*($D257/$D$251))</f>
        <v>171855</v>
      </c>
      <c r="K257" s="95" cm="1">
        <f t="array" ref="K257">IF($C257&gt;K$11,0,INDEX($F$251:$AD$251,K$11-$C257+1)*($D257/$D$251))</f>
        <v>137484</v>
      </c>
      <c r="L257" s="95" cm="1">
        <f t="array" ref="L257">IF($C257&gt;L$11,0,INDEX($F$251:$AD$251,L$11-$C257+1)*($D257/$D$251))</f>
        <v>109987.2</v>
      </c>
      <c r="M257" s="95" cm="1">
        <f t="array" ref="M257">IF($C257&gt;M$11,0,INDEX($F$251:$AD$251,M$11-$C257+1)*($D257/$D$251))</f>
        <v>87646.05</v>
      </c>
      <c r="N257" s="95" cm="1">
        <f t="array" ref="N257">IF($C257&gt;N$11,0,INDEX($F$251:$AD$251,N$11-$C257+1)*($D257/$D$251))</f>
        <v>70460.55</v>
      </c>
      <c r="O257" s="95" cm="1">
        <f t="array" ref="O257">IF($C257&gt;O$11,0,INDEX($F$251:$AD$251,O$11-$C257+1)*($D257/$D$251))</f>
        <v>56712.15</v>
      </c>
      <c r="P257" s="95" cm="1">
        <f t="array" ref="P257">IF($C257&gt;P$11,0,INDEX($F$251:$AD$251,P$11-$C257+1)*($D257/$D$251))</f>
        <v>56712.15</v>
      </c>
      <c r="Q257" s="95" cm="1">
        <f t="array" ref="Q257">IF($C257&gt;Q$11,0,INDEX($F$251:$AD$251,Q$11-$C257+1)*($D257/$D$251))</f>
        <v>56712.15</v>
      </c>
      <c r="R257" s="95" cm="1">
        <f t="array" ref="R257">IF($C257&gt;R$11,0,INDEX($F$251:$AD$251,R$11-$C257+1)*($D257/$D$251))</f>
        <v>56712.15</v>
      </c>
      <c r="S257" s="95" cm="1">
        <f t="array" ref="S257">IF($C257&gt;S$11,0,INDEX($F$251:$AD$251,S$11-$C257+1)*($D257/$D$251))</f>
        <v>54993.599999999999</v>
      </c>
      <c r="T257" s="95" cm="1">
        <f t="array" ref="T257">IF($C257&gt;T$11,0,INDEX($F$251:$AD$251,T$11-$C257+1)*($D257/$D$251))</f>
        <v>0</v>
      </c>
      <c r="U257" s="95" cm="1">
        <f t="array" ref="U257">IF($C257&gt;U$11,0,INDEX($F$251:$AD$251,U$11-$C257+1)*($D257/$D$251))</f>
        <v>0</v>
      </c>
      <c r="V257" s="95" cm="1">
        <f t="array" ref="V257">IF($C257&gt;V$11,0,INDEX($F$251:$AD$251,V$11-$C257+1)*($D257/$D$251))</f>
        <v>0</v>
      </c>
      <c r="W257" s="95" cm="1">
        <f t="array" ref="W257">IF($C257&gt;W$11,0,INDEX($F$251:$AD$251,W$11-$C257+1)*($D257/$D$251))</f>
        <v>0</v>
      </c>
      <c r="X257" s="95" cm="1">
        <f t="array" ref="X257">IF($C257&gt;X$11,0,INDEX($F$251:$AD$251,X$11-$C257+1)*($D257/$D$251))</f>
        <v>0</v>
      </c>
      <c r="Y257" s="95" cm="1">
        <f t="array" ref="Y257">IF($C257&gt;Y$11,0,INDEX($F$251:$AD$251,Y$11-$C257+1)*($D257/$D$251))</f>
        <v>0</v>
      </c>
      <c r="Z257" s="95" cm="1">
        <f t="array" ref="Z257">IF($C257&gt;Z$11,0,INDEX($F$251:$AD$251,Z$11-$C257+1)*($D257/$D$251))</f>
        <v>0</v>
      </c>
      <c r="AA257" s="95" cm="1">
        <f t="array" ref="AA257">IF($C257&gt;AA$11,0,INDEX($F$251:$AD$251,AA$11-$C257+1)*($D257/$D$251))</f>
        <v>0</v>
      </c>
      <c r="AB257" s="95" cm="1">
        <f t="array" ref="AB257">IF($C257&gt;AB$11,0,INDEX($F$251:$AD$251,AB$11-$C257+1)*($D257/$D$251))</f>
        <v>0</v>
      </c>
      <c r="AC257" s="95" cm="1">
        <f t="array" ref="AC257">IF($C257&gt;AC$11,0,INDEX($F$251:$AD$251,AC$11-$C257+1)*($D257/$D$251))</f>
        <v>0</v>
      </c>
      <c r="AD257" s="95" cm="1">
        <f t="array" ref="AD257">IF($C257&gt;AD$11,0,INDEX($F$251:$AD$251,AD$11-$C257+1)*($D257/$D$251))</f>
        <v>0</v>
      </c>
    </row>
    <row r="258" spans="1:30">
      <c r="A258" s="95"/>
      <c r="B258" s="118">
        <f t="shared" si="73"/>
        <v>2</v>
      </c>
      <c r="C258">
        <f t="shared" si="74"/>
        <v>2027</v>
      </c>
      <c r="D258" s="95" cm="1">
        <f t="array" ref="D258">INDEX($F$14:$AD$16,$B258,MATCH($C258,$F$11:$AD$11,0))*$G$252</f>
        <v>2546475</v>
      </c>
      <c r="E258" s="95"/>
      <c r="F258" s="95" cm="1">
        <f t="array" ref="F258">IF($C258&gt;F$11,0,INDEX($F$251:$AD$251,F$11-$C258+1)*($D258/$D$251))</f>
        <v>0</v>
      </c>
      <c r="G258" s="95" cm="1">
        <f t="array" ref="G258">IF($C258&gt;G$11,0,INDEX($F$251:$AD$251,G$11-$C258+1)*($D258/$D$251))</f>
        <v>0</v>
      </c>
      <c r="H258" s="95" cm="1">
        <f t="array" ref="H258">IF($C258&gt;H$11,0,INDEX($F$251:$AD$251,H$11-$C258+1)*($D258/$D$251))</f>
        <v>0</v>
      </c>
      <c r="I258" s="95" cm="1">
        <f t="array" ref="I258">IF($C258&gt;I$11,0,INDEX($F$251:$AD$251,I$11-$C258+1)*($D258/$D$251))</f>
        <v>0</v>
      </c>
      <c r="J258" s="95" cm="1">
        <f t="array" ref="J258">IF($C258&gt;J$11,0,INDEX($F$251:$AD$251,J$11-$C258+1)*($D258/$D$251))</f>
        <v>0</v>
      </c>
      <c r="K258" s="95" cm="1">
        <f t="array" ref="K258">IF($C258&gt;K$11,0,INDEX($F$251:$AD$251,K$11-$C258+1)*($D258/$D$251))</f>
        <v>509295</v>
      </c>
      <c r="L258" s="95" cm="1">
        <f t="array" ref="L258">IF($C258&gt;L$11,0,INDEX($F$251:$AD$251,L$11-$C258+1)*($D258/$D$251))</f>
        <v>407436</v>
      </c>
      <c r="M258" s="95" cm="1">
        <f t="array" ref="M258">IF($C258&gt;M$11,0,INDEX($F$251:$AD$251,M$11-$C258+1)*($D258/$D$251))</f>
        <v>325948.79999999999</v>
      </c>
      <c r="N258" s="95" cm="1">
        <f t="array" ref="N258">IF($C258&gt;N$11,0,INDEX($F$251:$AD$251,N$11-$C258+1)*($D258/$D$251))</f>
        <v>259740.45</v>
      </c>
      <c r="O258" s="95" cm="1">
        <f t="array" ref="O258">IF($C258&gt;O$11,0,INDEX($F$251:$AD$251,O$11-$C258+1)*($D258/$D$251))</f>
        <v>208810.95</v>
      </c>
      <c r="P258" s="95" cm="1">
        <f t="array" ref="P258">IF($C258&gt;P$11,0,INDEX($F$251:$AD$251,P$11-$C258+1)*($D258/$D$251))</f>
        <v>168067.35</v>
      </c>
      <c r="Q258" s="95" cm="1">
        <f t="array" ref="Q258">IF($C258&gt;Q$11,0,INDEX($F$251:$AD$251,Q$11-$C258+1)*($D258/$D$251))</f>
        <v>168067.35</v>
      </c>
      <c r="R258" s="95" cm="1">
        <f t="array" ref="R258">IF($C258&gt;R$11,0,INDEX($F$251:$AD$251,R$11-$C258+1)*($D258/$D$251))</f>
        <v>168067.35</v>
      </c>
      <c r="S258" s="95" cm="1">
        <f t="array" ref="S258">IF($C258&gt;S$11,0,INDEX($F$251:$AD$251,S$11-$C258+1)*($D258/$D$251))</f>
        <v>168067.35</v>
      </c>
      <c r="T258" s="95" cm="1">
        <f t="array" ref="T258">IF($C258&gt;T$11,0,INDEX($F$251:$AD$251,T$11-$C258+1)*($D258/$D$251))</f>
        <v>162974.39999999999</v>
      </c>
      <c r="U258" s="95" cm="1">
        <f t="array" ref="U258">IF($C258&gt;U$11,0,INDEX($F$251:$AD$251,U$11-$C258+1)*($D258/$D$251))</f>
        <v>0</v>
      </c>
      <c r="V258" s="95" cm="1">
        <f t="array" ref="V258">IF($C258&gt;V$11,0,INDEX($F$251:$AD$251,V$11-$C258+1)*($D258/$D$251))</f>
        <v>0</v>
      </c>
      <c r="W258" s="95" cm="1">
        <f t="array" ref="W258">IF($C258&gt;W$11,0,INDEX($F$251:$AD$251,W$11-$C258+1)*($D258/$D$251))</f>
        <v>0</v>
      </c>
      <c r="X258" s="95" cm="1">
        <f t="array" ref="X258">IF($C258&gt;X$11,0,INDEX($F$251:$AD$251,X$11-$C258+1)*($D258/$D$251))</f>
        <v>0</v>
      </c>
      <c r="Y258" s="95" cm="1">
        <f t="array" ref="Y258">IF($C258&gt;Y$11,0,INDEX($F$251:$AD$251,Y$11-$C258+1)*($D258/$D$251))</f>
        <v>0</v>
      </c>
      <c r="Z258" s="95" cm="1">
        <f t="array" ref="Z258">IF($C258&gt;Z$11,0,INDEX($F$251:$AD$251,Z$11-$C258+1)*($D258/$D$251))</f>
        <v>0</v>
      </c>
      <c r="AA258" s="95" cm="1">
        <f t="array" ref="AA258">IF($C258&gt;AA$11,0,INDEX($F$251:$AD$251,AA$11-$C258+1)*($D258/$D$251))</f>
        <v>0</v>
      </c>
      <c r="AB258" s="95" cm="1">
        <f t="array" ref="AB258">IF($C258&gt;AB$11,0,INDEX($F$251:$AD$251,AB$11-$C258+1)*($D258/$D$251))</f>
        <v>0</v>
      </c>
      <c r="AC258" s="95" cm="1">
        <f t="array" ref="AC258">IF($C258&gt;AC$11,0,INDEX($F$251:$AD$251,AC$11-$C258+1)*($D258/$D$251))</f>
        <v>0</v>
      </c>
      <c r="AD258" s="95" cm="1">
        <f t="array" ref="AD258">IF($C258&gt;AD$11,0,INDEX($F$251:$AD$251,AD$11-$C258+1)*($D258/$D$251))</f>
        <v>0</v>
      </c>
    </row>
    <row r="259" spans="1:30">
      <c r="A259" s="95"/>
      <c r="B259" s="118">
        <f t="shared" si="73"/>
        <v>2</v>
      </c>
      <c r="C259">
        <f t="shared" si="74"/>
        <v>2028</v>
      </c>
      <c r="D259" s="95" cm="1">
        <f t="array" ref="D259">INDEX($F$14:$AD$16,$B259,MATCH($C259,$F$11:$AD$11,0))*$G$252</f>
        <v>192375</v>
      </c>
      <c r="E259" s="95"/>
      <c r="F259" s="95" cm="1">
        <f t="array" ref="F259">IF($C259&gt;F$11,0,INDEX($F$251:$AD$251,F$11-$C259+1)*($D259/$D$251))</f>
        <v>0</v>
      </c>
      <c r="G259" s="95" cm="1">
        <f t="array" ref="G259">IF($C259&gt;G$11,0,INDEX($F$251:$AD$251,G$11-$C259+1)*($D259/$D$251))</f>
        <v>0</v>
      </c>
      <c r="H259" s="95" cm="1">
        <f t="array" ref="H259">IF($C259&gt;H$11,0,INDEX($F$251:$AD$251,H$11-$C259+1)*($D259/$D$251))</f>
        <v>0</v>
      </c>
      <c r="I259" s="95" cm="1">
        <f t="array" ref="I259">IF($C259&gt;I$11,0,INDEX($F$251:$AD$251,I$11-$C259+1)*($D259/$D$251))</f>
        <v>0</v>
      </c>
      <c r="J259" s="95" cm="1">
        <f t="array" ref="J259">IF($C259&gt;J$11,0,INDEX($F$251:$AD$251,J$11-$C259+1)*($D259/$D$251))</f>
        <v>0</v>
      </c>
      <c r="K259" s="95" cm="1">
        <f t="array" ref="K259">IF($C259&gt;K$11,0,INDEX($F$251:$AD$251,K$11-$C259+1)*($D259/$D$251))</f>
        <v>0</v>
      </c>
      <c r="L259" s="95" cm="1">
        <f t="array" ref="L259">IF($C259&gt;L$11,0,INDEX($F$251:$AD$251,L$11-$C259+1)*($D259/$D$251))</f>
        <v>38475</v>
      </c>
      <c r="M259" s="95" cm="1">
        <f t="array" ref="M259">IF($C259&gt;M$11,0,INDEX($F$251:$AD$251,M$11-$C259+1)*($D259/$D$251))</f>
        <v>30780</v>
      </c>
      <c r="N259" s="95" cm="1">
        <f t="array" ref="N259">IF($C259&gt;N$11,0,INDEX($F$251:$AD$251,N$11-$C259+1)*($D259/$D$251))</f>
        <v>24624</v>
      </c>
      <c r="O259" s="95" cm="1">
        <f t="array" ref="O259">IF($C259&gt;O$11,0,INDEX($F$251:$AD$251,O$11-$C259+1)*($D259/$D$251))</f>
        <v>19622.25</v>
      </c>
      <c r="P259" s="95" cm="1">
        <f t="array" ref="P259">IF($C259&gt;P$11,0,INDEX($F$251:$AD$251,P$11-$C259+1)*($D259/$D$251))</f>
        <v>15774.75</v>
      </c>
      <c r="Q259" s="95" cm="1">
        <f t="array" ref="Q259">IF($C259&gt;Q$11,0,INDEX($F$251:$AD$251,Q$11-$C259+1)*($D259/$D$251))</f>
        <v>12696.75</v>
      </c>
      <c r="R259" s="95" cm="1">
        <f t="array" ref="R259">IF($C259&gt;R$11,0,INDEX($F$251:$AD$251,R$11-$C259+1)*($D259/$D$251))</f>
        <v>12696.75</v>
      </c>
      <c r="S259" s="95" cm="1">
        <f t="array" ref="S259">IF($C259&gt;S$11,0,INDEX($F$251:$AD$251,S$11-$C259+1)*($D259/$D$251))</f>
        <v>12696.75</v>
      </c>
      <c r="T259" s="95" cm="1">
        <f t="array" ref="T259">IF($C259&gt;T$11,0,INDEX($F$251:$AD$251,T$11-$C259+1)*($D259/$D$251))</f>
        <v>12696.75</v>
      </c>
      <c r="U259" s="95" cm="1">
        <f t="array" ref="U259">IF($C259&gt;U$11,0,INDEX($F$251:$AD$251,U$11-$C259+1)*($D259/$D$251))</f>
        <v>12312</v>
      </c>
      <c r="V259" s="95" cm="1">
        <f t="array" ref="V259">IF($C259&gt;V$11,0,INDEX($F$251:$AD$251,V$11-$C259+1)*($D259/$D$251))</f>
        <v>0</v>
      </c>
      <c r="W259" s="95" cm="1">
        <f t="array" ref="W259">IF($C259&gt;W$11,0,INDEX($F$251:$AD$251,W$11-$C259+1)*($D259/$D$251))</f>
        <v>0</v>
      </c>
      <c r="X259" s="95" cm="1">
        <f t="array" ref="X259">IF($C259&gt;X$11,0,INDEX($F$251:$AD$251,X$11-$C259+1)*($D259/$D$251))</f>
        <v>0</v>
      </c>
      <c r="Y259" s="95" cm="1">
        <f t="array" ref="Y259">IF($C259&gt;Y$11,0,INDEX($F$251:$AD$251,Y$11-$C259+1)*($D259/$D$251))</f>
        <v>0</v>
      </c>
      <c r="Z259" s="95" cm="1">
        <f t="array" ref="Z259">IF($C259&gt;Z$11,0,INDEX($F$251:$AD$251,Z$11-$C259+1)*($D259/$D$251))</f>
        <v>0</v>
      </c>
      <c r="AA259" s="95" cm="1">
        <f t="array" ref="AA259">IF($C259&gt;AA$11,0,INDEX($F$251:$AD$251,AA$11-$C259+1)*($D259/$D$251))</f>
        <v>0</v>
      </c>
      <c r="AB259" s="95" cm="1">
        <f t="array" ref="AB259">IF($C259&gt;AB$11,0,INDEX($F$251:$AD$251,AB$11-$C259+1)*($D259/$D$251))</f>
        <v>0</v>
      </c>
      <c r="AC259" s="95" cm="1">
        <f t="array" ref="AC259">IF($C259&gt;AC$11,0,INDEX($F$251:$AD$251,AC$11-$C259+1)*($D259/$D$251))</f>
        <v>0</v>
      </c>
      <c r="AD259" s="95" cm="1">
        <f t="array" ref="AD259">IF($C259&gt;AD$11,0,INDEX($F$251:$AD$251,AD$11-$C259+1)*($D259/$D$251))</f>
        <v>0</v>
      </c>
    </row>
    <row r="260" spans="1:30">
      <c r="A260" s="95"/>
      <c r="B260" s="118">
        <f t="shared" si="73"/>
        <v>2</v>
      </c>
      <c r="C260">
        <f t="shared" si="74"/>
        <v>2029</v>
      </c>
      <c r="D260" s="95" cm="1">
        <f t="array" ref="D260">INDEX($F$14:$AD$16,$B260,MATCH($C260,$F$11:$AD$11,0))*$G$252</f>
        <v>1530450</v>
      </c>
      <c r="E260" s="95"/>
      <c r="F260" s="95" cm="1">
        <f t="array" ref="F260">IF($C260&gt;F$11,0,INDEX($F$251:$AD$251,F$11-$C260+1)*($D260/$D$251))</f>
        <v>0</v>
      </c>
      <c r="G260" s="95" cm="1">
        <f t="array" ref="G260">IF($C260&gt;G$11,0,INDEX($F$251:$AD$251,G$11-$C260+1)*($D260/$D$251))</f>
        <v>0</v>
      </c>
      <c r="H260" s="95" cm="1">
        <f t="array" ref="H260">IF($C260&gt;H$11,0,INDEX($F$251:$AD$251,H$11-$C260+1)*($D260/$D$251))</f>
        <v>0</v>
      </c>
      <c r="I260" s="95" cm="1">
        <f t="array" ref="I260">IF($C260&gt;I$11,0,INDEX($F$251:$AD$251,I$11-$C260+1)*($D260/$D$251))</f>
        <v>0</v>
      </c>
      <c r="J260" s="95" cm="1">
        <f t="array" ref="J260">IF($C260&gt;J$11,0,INDEX($F$251:$AD$251,J$11-$C260+1)*($D260/$D$251))</f>
        <v>0</v>
      </c>
      <c r="K260" s="95" cm="1">
        <f t="array" ref="K260">IF($C260&gt;K$11,0,INDEX($F$251:$AD$251,K$11-$C260+1)*($D260/$D$251))</f>
        <v>0</v>
      </c>
      <c r="L260" s="95" cm="1">
        <f t="array" ref="L260">IF($C260&gt;L$11,0,INDEX($F$251:$AD$251,L$11-$C260+1)*($D260/$D$251))</f>
        <v>0</v>
      </c>
      <c r="M260" s="95" cm="1">
        <f t="array" ref="M260">IF($C260&gt;M$11,0,INDEX($F$251:$AD$251,M$11-$C260+1)*($D260/$D$251))</f>
        <v>306090</v>
      </c>
      <c r="N260" s="95" cm="1">
        <f t="array" ref="N260">IF($C260&gt;N$11,0,INDEX($F$251:$AD$251,N$11-$C260+1)*($D260/$D$251))</f>
        <v>244872</v>
      </c>
      <c r="O260" s="95" cm="1">
        <f t="array" ref="O260">IF($C260&gt;O$11,0,INDEX($F$251:$AD$251,O$11-$C260+1)*($D260/$D$251))</f>
        <v>195897.60000000001</v>
      </c>
      <c r="P260" s="95" cm="1">
        <f t="array" ref="P260">IF($C260&gt;P$11,0,INDEX($F$251:$AD$251,P$11-$C260+1)*($D260/$D$251))</f>
        <v>156105.90000000002</v>
      </c>
      <c r="Q260" s="95" cm="1">
        <f t="array" ref="Q260">IF($C260&gt;Q$11,0,INDEX($F$251:$AD$251,Q$11-$C260+1)*($D260/$D$251))</f>
        <v>125496.90000000001</v>
      </c>
      <c r="R260" s="95" cm="1">
        <f t="array" ref="R260">IF($C260&gt;R$11,0,INDEX($F$251:$AD$251,R$11-$C260+1)*($D260/$D$251))</f>
        <v>101009.70000000001</v>
      </c>
      <c r="S260" s="95" cm="1">
        <f t="array" ref="S260">IF($C260&gt;S$11,0,INDEX($F$251:$AD$251,S$11-$C260+1)*($D260/$D$251))</f>
        <v>101009.70000000001</v>
      </c>
      <c r="T260" s="95" cm="1">
        <f t="array" ref="T260">IF($C260&gt;T$11,0,INDEX($F$251:$AD$251,T$11-$C260+1)*($D260/$D$251))</f>
        <v>101009.70000000001</v>
      </c>
      <c r="U260" s="95" cm="1">
        <f t="array" ref="U260">IF($C260&gt;U$11,0,INDEX($F$251:$AD$251,U$11-$C260+1)*($D260/$D$251))</f>
        <v>101009.70000000001</v>
      </c>
      <c r="V260" s="95" cm="1">
        <f t="array" ref="V260">IF($C260&gt;V$11,0,INDEX($F$251:$AD$251,V$11-$C260+1)*($D260/$D$251))</f>
        <v>97948.800000000003</v>
      </c>
      <c r="W260" s="95" cm="1">
        <f t="array" ref="W260">IF($C260&gt;W$11,0,INDEX($F$251:$AD$251,W$11-$C260+1)*($D260/$D$251))</f>
        <v>0</v>
      </c>
      <c r="X260" s="95" cm="1">
        <f t="array" ref="X260">IF($C260&gt;X$11,0,INDEX($F$251:$AD$251,X$11-$C260+1)*($D260/$D$251))</f>
        <v>0</v>
      </c>
      <c r="Y260" s="95" cm="1">
        <f t="array" ref="Y260">IF($C260&gt;Y$11,0,INDEX($F$251:$AD$251,Y$11-$C260+1)*($D260/$D$251))</f>
        <v>0</v>
      </c>
      <c r="Z260" s="95" cm="1">
        <f t="array" ref="Z260">IF($C260&gt;Z$11,0,INDEX($F$251:$AD$251,Z$11-$C260+1)*($D260/$D$251))</f>
        <v>0</v>
      </c>
      <c r="AA260" s="95" cm="1">
        <f t="array" ref="AA260">IF($C260&gt;AA$11,0,INDEX($F$251:$AD$251,AA$11-$C260+1)*($D260/$D$251))</f>
        <v>0</v>
      </c>
      <c r="AB260" s="95" cm="1">
        <f t="array" ref="AB260">IF($C260&gt;AB$11,0,INDEX($F$251:$AD$251,AB$11-$C260+1)*($D260/$D$251))</f>
        <v>0</v>
      </c>
      <c r="AC260" s="95" cm="1">
        <f t="array" ref="AC260">IF($C260&gt;AC$11,0,INDEX($F$251:$AD$251,AC$11-$C260+1)*($D260/$D$251))</f>
        <v>0</v>
      </c>
      <c r="AD260" s="95" cm="1">
        <f t="array" ref="AD260">IF($C260&gt;AD$11,0,INDEX($F$251:$AD$251,AD$11-$C260+1)*($D260/$D$251))</f>
        <v>0</v>
      </c>
    </row>
    <row r="261" spans="1:30">
      <c r="A261" s="95"/>
      <c r="B261" s="118">
        <f t="shared" si="73"/>
        <v>2</v>
      </c>
      <c r="C261">
        <f t="shared" si="74"/>
        <v>2030</v>
      </c>
      <c r="D261" s="95" cm="1">
        <f t="array" ref="D261">INDEX($F$14:$AD$16,$B261,MATCH($C261,$F$11:$AD$11,0))*$G$252</f>
        <v>1873875</v>
      </c>
      <c r="E261" s="95"/>
      <c r="F261" s="95" cm="1">
        <f t="array" ref="F261">IF($C261&gt;F$11,0,INDEX($F$251:$AD$251,F$11-$C261+1)*($D261/$D$251))</f>
        <v>0</v>
      </c>
      <c r="G261" s="95" cm="1">
        <f t="array" ref="G261">IF($C261&gt;G$11,0,INDEX($F$251:$AD$251,G$11-$C261+1)*($D261/$D$251))</f>
        <v>0</v>
      </c>
      <c r="H261" s="95" cm="1">
        <f t="array" ref="H261">IF($C261&gt;H$11,0,INDEX($F$251:$AD$251,H$11-$C261+1)*($D261/$D$251))</f>
        <v>0</v>
      </c>
      <c r="I261" s="95" cm="1">
        <f t="array" ref="I261">IF($C261&gt;I$11,0,INDEX($F$251:$AD$251,I$11-$C261+1)*($D261/$D$251))</f>
        <v>0</v>
      </c>
      <c r="J261" s="95" cm="1">
        <f t="array" ref="J261">IF($C261&gt;J$11,0,INDEX($F$251:$AD$251,J$11-$C261+1)*($D261/$D$251))</f>
        <v>0</v>
      </c>
      <c r="K261" s="95" cm="1">
        <f t="array" ref="K261">IF($C261&gt;K$11,0,INDEX($F$251:$AD$251,K$11-$C261+1)*($D261/$D$251))</f>
        <v>0</v>
      </c>
      <c r="L261" s="95" cm="1">
        <f t="array" ref="L261">IF($C261&gt;L$11,0,INDEX($F$251:$AD$251,L$11-$C261+1)*($D261/$D$251))</f>
        <v>0</v>
      </c>
      <c r="M261" s="95" cm="1">
        <f t="array" ref="M261">IF($C261&gt;M$11,0,INDEX($F$251:$AD$251,M$11-$C261+1)*($D261/$D$251))</f>
        <v>0</v>
      </c>
      <c r="N261" s="95" cm="1">
        <f t="array" ref="N261">IF($C261&gt;N$11,0,INDEX($F$251:$AD$251,N$11-$C261+1)*($D261/$D$251))</f>
        <v>374775</v>
      </c>
      <c r="O261" s="95" cm="1">
        <f t="array" ref="O261">IF($C261&gt;O$11,0,INDEX($F$251:$AD$251,O$11-$C261+1)*($D261/$D$251))</f>
        <v>299820</v>
      </c>
      <c r="P261" s="95" cm="1">
        <f t="array" ref="P261">IF($C261&gt;P$11,0,INDEX($F$251:$AD$251,P$11-$C261+1)*($D261/$D$251))</f>
        <v>239856</v>
      </c>
      <c r="Q261" s="95" cm="1">
        <f t="array" ref="Q261">IF($C261&gt;Q$11,0,INDEX($F$251:$AD$251,Q$11-$C261+1)*($D261/$D$251))</f>
        <v>191135.25</v>
      </c>
      <c r="R261" s="95" cm="1">
        <f t="array" ref="R261">IF($C261&gt;R$11,0,INDEX($F$251:$AD$251,R$11-$C261+1)*($D261/$D$251))</f>
        <v>153657.75</v>
      </c>
      <c r="S261" s="95" cm="1">
        <f t="array" ref="S261">IF($C261&gt;S$11,0,INDEX($F$251:$AD$251,S$11-$C261+1)*($D261/$D$251))</f>
        <v>123675.75</v>
      </c>
      <c r="T261" s="95" cm="1">
        <f t="array" ref="T261">IF($C261&gt;T$11,0,INDEX($F$251:$AD$251,T$11-$C261+1)*($D261/$D$251))</f>
        <v>123675.75</v>
      </c>
      <c r="U261" s="95" cm="1">
        <f t="array" ref="U261">IF($C261&gt;U$11,0,INDEX($F$251:$AD$251,U$11-$C261+1)*($D261/$D$251))</f>
        <v>123675.75</v>
      </c>
      <c r="V261" s="95" cm="1">
        <f t="array" ref="V261">IF($C261&gt;V$11,0,INDEX($F$251:$AD$251,V$11-$C261+1)*($D261/$D$251))</f>
        <v>123675.75</v>
      </c>
      <c r="W261" s="95" cm="1">
        <f t="array" ref="W261">IF($C261&gt;W$11,0,INDEX($F$251:$AD$251,W$11-$C261+1)*($D261/$D$251))</f>
        <v>119928</v>
      </c>
      <c r="X261" s="95" cm="1">
        <f t="array" ref="X261">IF($C261&gt;X$11,0,INDEX($F$251:$AD$251,X$11-$C261+1)*($D261/$D$251))</f>
        <v>0</v>
      </c>
      <c r="Y261" s="95" cm="1">
        <f t="array" ref="Y261">IF($C261&gt;Y$11,0,INDEX($F$251:$AD$251,Y$11-$C261+1)*($D261/$D$251))</f>
        <v>0</v>
      </c>
      <c r="Z261" s="95" cm="1">
        <f t="array" ref="Z261">IF($C261&gt;Z$11,0,INDEX($F$251:$AD$251,Z$11-$C261+1)*($D261/$D$251))</f>
        <v>0</v>
      </c>
      <c r="AA261" s="95" cm="1">
        <f t="array" ref="AA261">IF($C261&gt;AA$11,0,INDEX($F$251:$AD$251,AA$11-$C261+1)*($D261/$D$251))</f>
        <v>0</v>
      </c>
      <c r="AB261" s="95" cm="1">
        <f t="array" ref="AB261">IF($C261&gt;AB$11,0,INDEX($F$251:$AD$251,AB$11-$C261+1)*($D261/$D$251))</f>
        <v>0</v>
      </c>
      <c r="AC261" s="95" cm="1">
        <f t="array" ref="AC261">IF($C261&gt;AC$11,0,INDEX($F$251:$AD$251,AC$11-$C261+1)*($D261/$D$251))</f>
        <v>0</v>
      </c>
      <c r="AD261" s="95" cm="1">
        <f t="array" ref="AD261">IF($C261&gt;AD$11,0,INDEX($F$251:$AD$251,AD$11-$C261+1)*($D261/$D$251))</f>
        <v>0</v>
      </c>
    </row>
    <row r="262" spans="1:30">
      <c r="A262" s="95"/>
      <c r="B262" s="118">
        <f t="shared" si="73"/>
        <v>2</v>
      </c>
      <c r="C262">
        <f t="shared" si="74"/>
        <v>2031</v>
      </c>
      <c r="D262" s="95" cm="1">
        <f t="array" ref="D262">INDEX($F$14:$AD$16,$B262,MATCH($C262,$F$11:$AD$11,0))*$G$252</f>
        <v>1658700</v>
      </c>
      <c r="E262" s="95"/>
      <c r="F262" s="95" cm="1">
        <f t="array" ref="F262">IF($C262&gt;F$11,0,INDEX($F$251:$AD$251,F$11-$C262+1)*($D262/$D$251))</f>
        <v>0</v>
      </c>
      <c r="G262" s="95" cm="1">
        <f t="array" ref="G262">IF($C262&gt;G$11,0,INDEX($F$251:$AD$251,G$11-$C262+1)*($D262/$D$251))</f>
        <v>0</v>
      </c>
      <c r="H262" s="95" cm="1">
        <f t="array" ref="H262">IF($C262&gt;H$11,0,INDEX($F$251:$AD$251,H$11-$C262+1)*($D262/$D$251))</f>
        <v>0</v>
      </c>
      <c r="I262" s="95" cm="1">
        <f t="array" ref="I262">IF($C262&gt;I$11,0,INDEX($F$251:$AD$251,I$11-$C262+1)*($D262/$D$251))</f>
        <v>0</v>
      </c>
      <c r="J262" s="95" cm="1">
        <f t="array" ref="J262">IF($C262&gt;J$11,0,INDEX($F$251:$AD$251,J$11-$C262+1)*($D262/$D$251))</f>
        <v>0</v>
      </c>
      <c r="K262" s="95" cm="1">
        <f t="array" ref="K262">IF($C262&gt;K$11,0,INDEX($F$251:$AD$251,K$11-$C262+1)*($D262/$D$251))</f>
        <v>0</v>
      </c>
      <c r="L262" s="95" cm="1">
        <f t="array" ref="L262">IF($C262&gt;L$11,0,INDEX($F$251:$AD$251,L$11-$C262+1)*($D262/$D$251))</f>
        <v>0</v>
      </c>
      <c r="M262" s="95" cm="1">
        <f t="array" ref="M262">IF($C262&gt;M$11,0,INDEX($F$251:$AD$251,M$11-$C262+1)*($D262/$D$251))</f>
        <v>0</v>
      </c>
      <c r="N262" s="95" cm="1">
        <f t="array" ref="N262">IF($C262&gt;N$11,0,INDEX($F$251:$AD$251,N$11-$C262+1)*($D262/$D$251))</f>
        <v>0</v>
      </c>
      <c r="O262" s="95" cm="1">
        <f t="array" ref="O262">IF($C262&gt;O$11,0,INDEX($F$251:$AD$251,O$11-$C262+1)*($D262/$D$251))</f>
        <v>331740</v>
      </c>
      <c r="P262" s="95" cm="1">
        <f t="array" ref="P262">IF($C262&gt;P$11,0,INDEX($F$251:$AD$251,P$11-$C262+1)*($D262/$D$251))</f>
        <v>265392</v>
      </c>
      <c r="Q262" s="95" cm="1">
        <f t="array" ref="Q262">IF($C262&gt;Q$11,0,INDEX($F$251:$AD$251,Q$11-$C262+1)*($D262/$D$251))</f>
        <v>212313.60000000001</v>
      </c>
      <c r="R262" s="95" cm="1">
        <f t="array" ref="R262">IF($C262&gt;R$11,0,INDEX($F$251:$AD$251,R$11-$C262+1)*($D262/$D$251))</f>
        <v>169187.4</v>
      </c>
      <c r="S262" s="95" cm="1">
        <f t="array" ref="S262">IF($C262&gt;S$11,0,INDEX($F$251:$AD$251,S$11-$C262+1)*($D262/$D$251))</f>
        <v>136013.4</v>
      </c>
      <c r="T262" s="95" cm="1">
        <f t="array" ref="T262">IF($C262&gt;T$11,0,INDEX($F$251:$AD$251,T$11-$C262+1)*($D262/$D$251))</f>
        <v>109474.2</v>
      </c>
      <c r="U262" s="95" cm="1">
        <f t="array" ref="U262">IF($C262&gt;U$11,0,INDEX($F$251:$AD$251,U$11-$C262+1)*($D262/$D$251))</f>
        <v>109474.2</v>
      </c>
      <c r="V262" s="95" cm="1">
        <f t="array" ref="V262">IF($C262&gt;V$11,0,INDEX($F$251:$AD$251,V$11-$C262+1)*($D262/$D$251))</f>
        <v>109474.2</v>
      </c>
      <c r="W262" s="95" cm="1">
        <f t="array" ref="W262">IF($C262&gt;W$11,0,INDEX($F$251:$AD$251,W$11-$C262+1)*($D262/$D$251))</f>
        <v>109474.2</v>
      </c>
      <c r="X262" s="95" cm="1">
        <f t="array" ref="X262">IF($C262&gt;X$11,0,INDEX($F$251:$AD$251,X$11-$C262+1)*($D262/$D$251))</f>
        <v>106156.8</v>
      </c>
      <c r="Y262" s="95" cm="1">
        <f t="array" ref="Y262">IF($C262&gt;Y$11,0,INDEX($F$251:$AD$251,Y$11-$C262+1)*($D262/$D$251))</f>
        <v>0</v>
      </c>
      <c r="Z262" s="95" cm="1">
        <f t="array" ref="Z262">IF($C262&gt;Z$11,0,INDEX($F$251:$AD$251,Z$11-$C262+1)*($D262/$D$251))</f>
        <v>0</v>
      </c>
      <c r="AA262" s="95" cm="1">
        <f t="array" ref="AA262">IF($C262&gt;AA$11,0,INDEX($F$251:$AD$251,AA$11-$C262+1)*($D262/$D$251))</f>
        <v>0</v>
      </c>
      <c r="AB262" s="95" cm="1">
        <f t="array" ref="AB262">IF($C262&gt;AB$11,0,INDEX($F$251:$AD$251,AB$11-$C262+1)*($D262/$D$251))</f>
        <v>0</v>
      </c>
      <c r="AC262" s="95" cm="1">
        <f t="array" ref="AC262">IF($C262&gt;AC$11,0,INDEX($F$251:$AD$251,AC$11-$C262+1)*($D262/$D$251))</f>
        <v>0</v>
      </c>
      <c r="AD262" s="95" cm="1">
        <f t="array" ref="AD262">IF($C262&gt;AD$11,0,INDEX($F$251:$AD$251,AD$11-$C262+1)*($D262/$D$251))</f>
        <v>0</v>
      </c>
    </row>
    <row r="263" spans="1:30">
      <c r="A263" s="95"/>
      <c r="B263" s="118">
        <f t="shared" si="73"/>
        <v>2</v>
      </c>
      <c r="C263">
        <f t="shared" si="74"/>
        <v>2032</v>
      </c>
      <c r="D263" s="95" cm="1">
        <f t="array" ref="D263">INDEX($F$14:$AD$16,$B263,MATCH($C263,$F$11:$AD$11,0))*$G$252</f>
        <v>3243300</v>
      </c>
      <c r="E263" s="95"/>
      <c r="F263" s="95" cm="1">
        <f t="array" ref="F263">IF($C263&gt;F$11,0,INDEX($F$251:$AD$251,F$11-$C263+1)*($D263/$D$251))</f>
        <v>0</v>
      </c>
      <c r="G263" s="95" cm="1">
        <f t="array" ref="G263">IF($C263&gt;G$11,0,INDEX($F$251:$AD$251,G$11-$C263+1)*($D263/$D$251))</f>
        <v>0</v>
      </c>
      <c r="H263" s="95" cm="1">
        <f t="array" ref="H263">IF($C263&gt;H$11,0,INDEX($F$251:$AD$251,H$11-$C263+1)*($D263/$D$251))</f>
        <v>0</v>
      </c>
      <c r="I263" s="95" cm="1">
        <f t="array" ref="I263">IF($C263&gt;I$11,0,INDEX($F$251:$AD$251,I$11-$C263+1)*($D263/$D$251))</f>
        <v>0</v>
      </c>
      <c r="J263" s="95" cm="1">
        <f t="array" ref="J263">IF($C263&gt;J$11,0,INDEX($F$251:$AD$251,J$11-$C263+1)*($D263/$D$251))</f>
        <v>0</v>
      </c>
      <c r="K263" s="95" cm="1">
        <f t="array" ref="K263">IF($C263&gt;K$11,0,INDEX($F$251:$AD$251,K$11-$C263+1)*($D263/$D$251))</f>
        <v>0</v>
      </c>
      <c r="L263" s="95" cm="1">
        <f t="array" ref="L263">IF($C263&gt;L$11,0,INDEX($F$251:$AD$251,L$11-$C263+1)*($D263/$D$251))</f>
        <v>0</v>
      </c>
      <c r="M263" s="95" cm="1">
        <f t="array" ref="M263">IF($C263&gt;M$11,0,INDEX($F$251:$AD$251,M$11-$C263+1)*($D263/$D$251))</f>
        <v>0</v>
      </c>
      <c r="N263" s="95" cm="1">
        <f t="array" ref="N263">IF($C263&gt;N$11,0,INDEX($F$251:$AD$251,N$11-$C263+1)*($D263/$D$251))</f>
        <v>0</v>
      </c>
      <c r="O263" s="95" cm="1">
        <f t="array" ref="O263">IF($C263&gt;O$11,0,INDEX($F$251:$AD$251,O$11-$C263+1)*($D263/$D$251))</f>
        <v>0</v>
      </c>
      <c r="P263" s="95" cm="1">
        <f t="array" ref="P263">IF($C263&gt;P$11,0,INDEX($F$251:$AD$251,P$11-$C263+1)*($D263/$D$251))</f>
        <v>648660</v>
      </c>
      <c r="Q263" s="95" cm="1">
        <f t="array" ref="Q263">IF($C263&gt;Q$11,0,INDEX($F$251:$AD$251,Q$11-$C263+1)*($D263/$D$251))</f>
        <v>518928</v>
      </c>
      <c r="R263" s="95" cm="1">
        <f t="array" ref="R263">IF($C263&gt;R$11,0,INDEX($F$251:$AD$251,R$11-$C263+1)*($D263/$D$251))</f>
        <v>415142.40000000002</v>
      </c>
      <c r="S263" s="95" cm="1">
        <f t="array" ref="S263">IF($C263&gt;S$11,0,INDEX($F$251:$AD$251,S$11-$C263+1)*($D263/$D$251))</f>
        <v>330816.60000000003</v>
      </c>
      <c r="T263" s="95" cm="1">
        <f t="array" ref="T263">IF($C263&gt;T$11,0,INDEX($F$251:$AD$251,T$11-$C263+1)*($D263/$D$251))</f>
        <v>265950.60000000003</v>
      </c>
      <c r="U263" s="95" cm="1">
        <f t="array" ref="U263">IF($C263&gt;U$11,0,INDEX($F$251:$AD$251,U$11-$C263+1)*($D263/$D$251))</f>
        <v>214057.80000000002</v>
      </c>
      <c r="V263" s="95" cm="1">
        <f t="array" ref="V263">IF($C263&gt;V$11,0,INDEX($F$251:$AD$251,V$11-$C263+1)*($D263/$D$251))</f>
        <v>214057.80000000002</v>
      </c>
      <c r="W263" s="95" cm="1">
        <f t="array" ref="W263">IF($C263&gt;W$11,0,INDEX($F$251:$AD$251,W$11-$C263+1)*($D263/$D$251))</f>
        <v>214057.80000000002</v>
      </c>
      <c r="X263" s="95" cm="1">
        <f t="array" ref="X263">IF($C263&gt;X$11,0,INDEX($F$251:$AD$251,X$11-$C263+1)*($D263/$D$251))</f>
        <v>214057.80000000002</v>
      </c>
      <c r="Y263" s="95" cm="1">
        <f t="array" ref="Y263">IF($C263&gt;Y$11,0,INDEX($F$251:$AD$251,Y$11-$C263+1)*($D263/$D$251))</f>
        <v>207571.20000000001</v>
      </c>
      <c r="Z263" s="95" cm="1">
        <f t="array" ref="Z263">IF($C263&gt;Z$11,0,INDEX($F$251:$AD$251,Z$11-$C263+1)*($D263/$D$251))</f>
        <v>0</v>
      </c>
      <c r="AA263" s="95" cm="1">
        <f t="array" ref="AA263">IF($C263&gt;AA$11,0,INDEX($F$251:$AD$251,AA$11-$C263+1)*($D263/$D$251))</f>
        <v>0</v>
      </c>
      <c r="AB263" s="95" cm="1">
        <f t="array" ref="AB263">IF($C263&gt;AB$11,0,INDEX($F$251:$AD$251,AB$11-$C263+1)*($D263/$D$251))</f>
        <v>0</v>
      </c>
      <c r="AC263" s="95" cm="1">
        <f t="array" ref="AC263">IF($C263&gt;AC$11,0,INDEX($F$251:$AD$251,AC$11-$C263+1)*($D263/$D$251))</f>
        <v>0</v>
      </c>
      <c r="AD263" s="95" cm="1">
        <f t="array" ref="AD263">IF($C263&gt;AD$11,0,INDEX($F$251:$AD$251,AD$11-$C263+1)*($D263/$D$251))</f>
        <v>0</v>
      </c>
    </row>
    <row r="264" spans="1:30">
      <c r="A264" s="95"/>
      <c r="B264" s="118">
        <f t="shared" si="73"/>
        <v>2</v>
      </c>
      <c r="C264">
        <f t="shared" si="74"/>
        <v>2033</v>
      </c>
      <c r="D264" s="95" cm="1">
        <f t="array" ref="D264">INDEX($F$14:$AD$16,$B264,MATCH($C264,$F$11:$AD$11,0))*$G$252</f>
        <v>551475</v>
      </c>
      <c r="E264" s="95"/>
      <c r="F264" s="95" cm="1">
        <f t="array" ref="F264">IF($C264&gt;F$11,0,INDEX($F$251:$AD$251,F$11-$C264+1)*($D264/$D$251))</f>
        <v>0</v>
      </c>
      <c r="G264" s="95" cm="1">
        <f t="array" ref="G264">IF($C264&gt;G$11,0,INDEX($F$251:$AD$251,G$11-$C264+1)*($D264/$D$251))</f>
        <v>0</v>
      </c>
      <c r="H264" s="95" cm="1">
        <f t="array" ref="H264">IF($C264&gt;H$11,0,INDEX($F$251:$AD$251,H$11-$C264+1)*($D264/$D$251))</f>
        <v>0</v>
      </c>
      <c r="I264" s="95" cm="1">
        <f t="array" ref="I264">IF($C264&gt;I$11,0,INDEX($F$251:$AD$251,I$11-$C264+1)*($D264/$D$251))</f>
        <v>0</v>
      </c>
      <c r="J264" s="95" cm="1">
        <f t="array" ref="J264">IF($C264&gt;J$11,0,INDEX($F$251:$AD$251,J$11-$C264+1)*($D264/$D$251))</f>
        <v>0</v>
      </c>
      <c r="K264" s="95" cm="1">
        <f t="array" ref="K264">IF($C264&gt;K$11,0,INDEX($F$251:$AD$251,K$11-$C264+1)*($D264/$D$251))</f>
        <v>0</v>
      </c>
      <c r="L264" s="95" cm="1">
        <f t="array" ref="L264">IF($C264&gt;L$11,0,INDEX($F$251:$AD$251,L$11-$C264+1)*($D264/$D$251))</f>
        <v>0</v>
      </c>
      <c r="M264" s="95" cm="1">
        <f t="array" ref="M264">IF($C264&gt;M$11,0,INDEX($F$251:$AD$251,M$11-$C264+1)*($D264/$D$251))</f>
        <v>0</v>
      </c>
      <c r="N264" s="95" cm="1">
        <f t="array" ref="N264">IF($C264&gt;N$11,0,INDEX($F$251:$AD$251,N$11-$C264+1)*($D264/$D$251))</f>
        <v>0</v>
      </c>
      <c r="O264" s="95" cm="1">
        <f t="array" ref="O264">IF($C264&gt;O$11,0,INDEX($F$251:$AD$251,O$11-$C264+1)*($D264/$D$251))</f>
        <v>0</v>
      </c>
      <c r="P264" s="95" cm="1">
        <f t="array" ref="P264">IF($C264&gt;P$11,0,INDEX($F$251:$AD$251,P$11-$C264+1)*($D264/$D$251))</f>
        <v>0</v>
      </c>
      <c r="Q264" s="95" cm="1">
        <f t="array" ref="Q264">IF($C264&gt;Q$11,0,INDEX($F$251:$AD$251,Q$11-$C264+1)*($D264/$D$251))</f>
        <v>110295.00000000001</v>
      </c>
      <c r="R264" s="95" cm="1">
        <f t="array" ref="R264">IF($C264&gt;R$11,0,INDEX($F$251:$AD$251,R$11-$C264+1)*($D264/$D$251))</f>
        <v>88236.000000000015</v>
      </c>
      <c r="S264" s="95" cm="1">
        <f t="array" ref="S264">IF($C264&gt;S$11,0,INDEX($F$251:$AD$251,S$11-$C264+1)*($D264/$D$251))</f>
        <v>70588.800000000003</v>
      </c>
      <c r="T264" s="95" cm="1">
        <f t="array" ref="T264">IF($C264&gt;T$11,0,INDEX($F$251:$AD$251,T$11-$C264+1)*($D264/$D$251))</f>
        <v>56250.450000000004</v>
      </c>
      <c r="U264" s="95" cm="1">
        <f t="array" ref="U264">IF($C264&gt;U$11,0,INDEX($F$251:$AD$251,U$11-$C264+1)*($D264/$D$251))</f>
        <v>45220.950000000004</v>
      </c>
      <c r="V264" s="95" cm="1">
        <f t="array" ref="V264">IF($C264&gt;V$11,0,INDEX($F$251:$AD$251,V$11-$C264+1)*($D264/$D$251))</f>
        <v>36397.350000000006</v>
      </c>
      <c r="W264" s="95" cm="1">
        <f t="array" ref="W264">IF($C264&gt;W$11,0,INDEX($F$251:$AD$251,W$11-$C264+1)*($D264/$D$251))</f>
        <v>36397.350000000006</v>
      </c>
      <c r="X264" s="95" cm="1">
        <f t="array" ref="X264">IF($C264&gt;X$11,0,INDEX($F$251:$AD$251,X$11-$C264+1)*($D264/$D$251))</f>
        <v>36397.350000000006</v>
      </c>
      <c r="Y264" s="95" cm="1">
        <f t="array" ref="Y264">IF($C264&gt;Y$11,0,INDEX($F$251:$AD$251,Y$11-$C264+1)*($D264/$D$251))</f>
        <v>36397.350000000006</v>
      </c>
      <c r="Z264" s="95" cm="1">
        <f t="array" ref="Z264">IF($C264&gt;Z$11,0,INDEX($F$251:$AD$251,Z$11-$C264+1)*($D264/$D$251))</f>
        <v>35294.400000000001</v>
      </c>
      <c r="AA264" s="95" cm="1">
        <f t="array" ref="AA264">IF($C264&gt;AA$11,0,INDEX($F$251:$AD$251,AA$11-$C264+1)*($D264/$D$251))</f>
        <v>0</v>
      </c>
      <c r="AB264" s="95" cm="1">
        <f t="array" ref="AB264">IF($C264&gt;AB$11,0,INDEX($F$251:$AD$251,AB$11-$C264+1)*($D264/$D$251))</f>
        <v>0</v>
      </c>
      <c r="AC264" s="95" cm="1">
        <f t="array" ref="AC264">IF($C264&gt;AC$11,0,INDEX($F$251:$AD$251,AC$11-$C264+1)*($D264/$D$251))</f>
        <v>0</v>
      </c>
      <c r="AD264" s="95" cm="1">
        <f t="array" ref="AD264">IF($C264&gt;AD$11,0,INDEX($F$251:$AD$251,AD$11-$C264+1)*($D264/$D$251))</f>
        <v>0</v>
      </c>
    </row>
    <row r="265" spans="1:30">
      <c r="A265" s="95"/>
      <c r="B265" s="118">
        <f t="shared" si="73"/>
        <v>2</v>
      </c>
      <c r="C265">
        <f t="shared" si="74"/>
        <v>2034</v>
      </c>
      <c r="D265" s="95" cm="1">
        <f t="array" ref="D265">INDEX($F$14:$AD$16,$B265,MATCH($C265,$F$11:$AD$11,0))*$G$252</f>
        <v>1338075</v>
      </c>
      <c r="E265" s="95"/>
      <c r="F265" s="95" cm="1">
        <f t="array" ref="F265">IF($C265&gt;F$11,0,INDEX($F$251:$AD$251,F$11-$C265+1)*($D265/$D$251))</f>
        <v>0</v>
      </c>
      <c r="G265" s="95" cm="1">
        <f t="array" ref="G265">IF($C265&gt;G$11,0,INDEX($F$251:$AD$251,G$11-$C265+1)*($D265/$D$251))</f>
        <v>0</v>
      </c>
      <c r="H265" s="95" cm="1">
        <f t="array" ref="H265">IF($C265&gt;H$11,0,INDEX($F$251:$AD$251,H$11-$C265+1)*($D265/$D$251))</f>
        <v>0</v>
      </c>
      <c r="I265" s="95" cm="1">
        <f t="array" ref="I265">IF($C265&gt;I$11,0,INDEX($F$251:$AD$251,I$11-$C265+1)*($D265/$D$251))</f>
        <v>0</v>
      </c>
      <c r="J265" s="95" cm="1">
        <f t="array" ref="J265">IF($C265&gt;J$11,0,INDEX($F$251:$AD$251,J$11-$C265+1)*($D265/$D$251))</f>
        <v>0</v>
      </c>
      <c r="K265" s="95" cm="1">
        <f t="array" ref="K265">IF($C265&gt;K$11,0,INDEX($F$251:$AD$251,K$11-$C265+1)*($D265/$D$251))</f>
        <v>0</v>
      </c>
      <c r="L265" s="95" cm="1">
        <f t="array" ref="L265">IF($C265&gt;L$11,0,INDEX($F$251:$AD$251,L$11-$C265+1)*($D265/$D$251))</f>
        <v>0</v>
      </c>
      <c r="M265" s="95" cm="1">
        <f t="array" ref="M265">IF($C265&gt;M$11,0,INDEX($F$251:$AD$251,M$11-$C265+1)*($D265/$D$251))</f>
        <v>0</v>
      </c>
      <c r="N265" s="95" cm="1">
        <f t="array" ref="N265">IF($C265&gt;N$11,0,INDEX($F$251:$AD$251,N$11-$C265+1)*($D265/$D$251))</f>
        <v>0</v>
      </c>
      <c r="O265" s="95" cm="1">
        <f t="array" ref="O265">IF($C265&gt;O$11,0,INDEX($F$251:$AD$251,O$11-$C265+1)*($D265/$D$251))</f>
        <v>0</v>
      </c>
      <c r="P265" s="95" cm="1">
        <f t="array" ref="P265">IF($C265&gt;P$11,0,INDEX($F$251:$AD$251,P$11-$C265+1)*($D265/$D$251))</f>
        <v>0</v>
      </c>
      <c r="Q265" s="95" cm="1">
        <f t="array" ref="Q265">IF($C265&gt;Q$11,0,INDEX($F$251:$AD$251,Q$11-$C265+1)*($D265/$D$251))</f>
        <v>0</v>
      </c>
      <c r="R265" s="95" cm="1">
        <f t="array" ref="R265">IF($C265&gt;R$11,0,INDEX($F$251:$AD$251,R$11-$C265+1)*($D265/$D$251))</f>
        <v>267615</v>
      </c>
      <c r="S265" s="95" cm="1">
        <f t="array" ref="S265">IF($C265&gt;S$11,0,INDEX($F$251:$AD$251,S$11-$C265+1)*($D265/$D$251))</f>
        <v>214091.99999999997</v>
      </c>
      <c r="T265" s="95" cm="1">
        <f t="array" ref="T265">IF($C265&gt;T$11,0,INDEX($F$251:$AD$251,T$11-$C265+1)*($D265/$D$251))</f>
        <v>171273.59999999998</v>
      </c>
      <c r="U265" s="95" cm="1">
        <f t="array" ref="U265">IF($C265&gt;U$11,0,INDEX($F$251:$AD$251,U$11-$C265+1)*($D265/$D$251))</f>
        <v>136483.65</v>
      </c>
      <c r="V265" s="95" cm="1">
        <f t="array" ref="V265">IF($C265&gt;V$11,0,INDEX($F$251:$AD$251,V$11-$C265+1)*($D265/$D$251))</f>
        <v>109722.15</v>
      </c>
      <c r="W265" s="95" cm="1">
        <f t="array" ref="W265">IF($C265&gt;W$11,0,INDEX($F$251:$AD$251,W$11-$C265+1)*($D265/$D$251))</f>
        <v>88312.95</v>
      </c>
      <c r="X265" s="95" cm="1">
        <f t="array" ref="X265">IF($C265&gt;X$11,0,INDEX($F$251:$AD$251,X$11-$C265+1)*($D265/$D$251))</f>
        <v>88312.95</v>
      </c>
      <c r="Y265" s="95" cm="1">
        <f t="array" ref="Y265">IF($C265&gt;Y$11,0,INDEX($F$251:$AD$251,Y$11-$C265+1)*($D265/$D$251))</f>
        <v>88312.95</v>
      </c>
      <c r="Z265" s="95" cm="1">
        <f t="array" ref="Z265">IF($C265&gt;Z$11,0,INDEX($F$251:$AD$251,Z$11-$C265+1)*($D265/$D$251))</f>
        <v>88312.95</v>
      </c>
      <c r="AA265" s="95" cm="1">
        <f t="array" ref="AA265">IF($C265&gt;AA$11,0,INDEX($F$251:$AD$251,AA$11-$C265+1)*($D265/$D$251))</f>
        <v>85636.799999999988</v>
      </c>
      <c r="AB265" s="95" cm="1">
        <f t="array" ref="AB265">IF($C265&gt;AB$11,0,INDEX($F$251:$AD$251,AB$11-$C265+1)*($D265/$D$251))</f>
        <v>0</v>
      </c>
      <c r="AC265" s="95" cm="1">
        <f t="array" ref="AC265">IF($C265&gt;AC$11,0,INDEX($F$251:$AD$251,AC$11-$C265+1)*($D265/$D$251))</f>
        <v>0</v>
      </c>
      <c r="AD265" s="95" cm="1">
        <f t="array" ref="AD265">IF($C265&gt;AD$11,0,INDEX($F$251:$AD$251,AD$11-$C265+1)*($D265/$D$251))</f>
        <v>0</v>
      </c>
    </row>
    <row r="266" spans="1:30">
      <c r="A266" s="95"/>
      <c r="B266" s="118">
        <f t="shared" si="73"/>
        <v>2</v>
      </c>
      <c r="C266">
        <f t="shared" si="74"/>
        <v>2035</v>
      </c>
      <c r="D266" s="95" cm="1">
        <f t="array" ref="D266">INDEX($F$14:$AD$16,$B266,MATCH($C266,$F$11:$AD$11,0))*$G$252</f>
        <v>1479150</v>
      </c>
      <c r="E266" s="95"/>
      <c r="F266" s="95" cm="1">
        <f t="array" ref="F266">IF($C266&gt;F$11,0,INDEX($F$251:$AD$251,F$11-$C266+1)*($D266/$D$251))</f>
        <v>0</v>
      </c>
      <c r="G266" s="95" cm="1">
        <f t="array" ref="G266">IF($C266&gt;G$11,0,INDEX($F$251:$AD$251,G$11-$C266+1)*($D266/$D$251))</f>
        <v>0</v>
      </c>
      <c r="H266" s="95" cm="1">
        <f t="array" ref="H266">IF($C266&gt;H$11,0,INDEX($F$251:$AD$251,H$11-$C266+1)*($D266/$D$251))</f>
        <v>0</v>
      </c>
      <c r="I266" s="95" cm="1">
        <f t="array" ref="I266">IF($C266&gt;I$11,0,INDEX($F$251:$AD$251,I$11-$C266+1)*($D266/$D$251))</f>
        <v>0</v>
      </c>
      <c r="J266" s="95" cm="1">
        <f t="array" ref="J266">IF($C266&gt;J$11,0,INDEX($F$251:$AD$251,J$11-$C266+1)*($D266/$D$251))</f>
        <v>0</v>
      </c>
      <c r="K266" s="95" cm="1">
        <f t="array" ref="K266">IF($C266&gt;K$11,0,INDEX($F$251:$AD$251,K$11-$C266+1)*($D266/$D$251))</f>
        <v>0</v>
      </c>
      <c r="L266" s="95" cm="1">
        <f t="array" ref="L266">IF($C266&gt;L$11,0,INDEX($F$251:$AD$251,L$11-$C266+1)*($D266/$D$251))</f>
        <v>0</v>
      </c>
      <c r="M266" s="95" cm="1">
        <f t="array" ref="M266">IF($C266&gt;M$11,0,INDEX($F$251:$AD$251,M$11-$C266+1)*($D266/$D$251))</f>
        <v>0</v>
      </c>
      <c r="N266" s="95" cm="1">
        <f t="array" ref="N266">IF($C266&gt;N$11,0,INDEX($F$251:$AD$251,N$11-$C266+1)*($D266/$D$251))</f>
        <v>0</v>
      </c>
      <c r="O266" s="95" cm="1">
        <f t="array" ref="O266">IF($C266&gt;O$11,0,INDEX($F$251:$AD$251,O$11-$C266+1)*($D266/$D$251))</f>
        <v>0</v>
      </c>
      <c r="P266" s="95" cm="1">
        <f t="array" ref="P266">IF($C266&gt;P$11,0,INDEX($F$251:$AD$251,P$11-$C266+1)*($D266/$D$251))</f>
        <v>0</v>
      </c>
      <c r="Q266" s="95" cm="1">
        <f t="array" ref="Q266">IF($C266&gt;Q$11,0,INDEX($F$251:$AD$251,Q$11-$C266+1)*($D266/$D$251))</f>
        <v>0</v>
      </c>
      <c r="R266" s="95" cm="1">
        <f t="array" ref="R266">IF($C266&gt;R$11,0,INDEX($F$251:$AD$251,R$11-$C266+1)*($D266/$D$251))</f>
        <v>0</v>
      </c>
      <c r="S266" s="95" cm="1">
        <f t="array" ref="S266">IF($C266&gt;S$11,0,INDEX($F$251:$AD$251,S$11-$C266+1)*($D266/$D$251))</f>
        <v>295830</v>
      </c>
      <c r="T266" s="95" cm="1">
        <f t="array" ref="T266">IF($C266&gt;T$11,0,INDEX($F$251:$AD$251,T$11-$C266+1)*($D266/$D$251))</f>
        <v>236664</v>
      </c>
      <c r="U266" s="95" cm="1">
        <f t="array" ref="U266">IF($C266&gt;U$11,0,INDEX($F$251:$AD$251,U$11-$C266+1)*($D266/$D$251))</f>
        <v>189331.19999999998</v>
      </c>
      <c r="V266" s="95" cm="1">
        <f t="array" ref="V266">IF($C266&gt;V$11,0,INDEX($F$251:$AD$251,V$11-$C266+1)*($D266/$D$251))</f>
        <v>150873.29999999999</v>
      </c>
      <c r="W266" s="95" cm="1">
        <f t="array" ref="W266">IF($C266&gt;W$11,0,INDEX($F$251:$AD$251,W$11-$C266+1)*($D266/$D$251))</f>
        <v>121290.3</v>
      </c>
      <c r="X266" s="95" cm="1">
        <f t="array" ref="X266">IF($C266&gt;X$11,0,INDEX($F$251:$AD$251,X$11-$C266+1)*($D266/$D$251))</f>
        <v>97623.9</v>
      </c>
      <c r="Y266" s="95" cm="1">
        <f t="array" ref="Y266">IF($C266&gt;Y$11,0,INDEX($F$251:$AD$251,Y$11-$C266+1)*($D266/$D$251))</f>
        <v>97623.9</v>
      </c>
      <c r="Z266" s="95" cm="1">
        <f t="array" ref="Z266">IF($C266&gt;Z$11,0,INDEX($F$251:$AD$251,Z$11-$C266+1)*($D266/$D$251))</f>
        <v>97623.9</v>
      </c>
      <c r="AA266" s="95" cm="1">
        <f t="array" ref="AA266">IF($C266&gt;AA$11,0,INDEX($F$251:$AD$251,AA$11-$C266+1)*($D266/$D$251))</f>
        <v>97623.9</v>
      </c>
      <c r="AB266" s="95" cm="1">
        <f t="array" ref="AB266">IF($C266&gt;AB$11,0,INDEX($F$251:$AD$251,AB$11-$C266+1)*($D266/$D$251))</f>
        <v>94665.599999999991</v>
      </c>
      <c r="AC266" s="95" cm="1">
        <f t="array" ref="AC266">IF($C266&gt;AC$11,0,INDEX($F$251:$AD$251,AC$11-$C266+1)*($D266/$D$251))</f>
        <v>0</v>
      </c>
      <c r="AD266" s="95" cm="1">
        <f t="array" ref="AD266">IF($C266&gt;AD$11,0,INDEX($F$251:$AD$251,AD$11-$C266+1)*($D266/$D$251))</f>
        <v>0</v>
      </c>
    </row>
    <row r="267" spans="1:30">
      <c r="A267" s="95"/>
      <c r="B267" s="118">
        <f t="shared" si="73"/>
        <v>2</v>
      </c>
      <c r="C267">
        <f t="shared" si="74"/>
        <v>2036</v>
      </c>
      <c r="D267" s="95" cm="1">
        <f t="array" ref="D267">INDEX($F$14:$AD$16,$B267,MATCH($C267,$F$11:$AD$11,0))*$G$252</f>
        <v>2463825</v>
      </c>
      <c r="E267" s="95"/>
      <c r="F267" s="95" cm="1">
        <f t="array" ref="F267">IF($C267&gt;F$11,0,INDEX($F$251:$AD$251,F$11-$C267+1)*($D267/$D$251))</f>
        <v>0</v>
      </c>
      <c r="G267" s="95" cm="1">
        <f t="array" ref="G267">IF($C267&gt;G$11,0,INDEX($F$251:$AD$251,G$11-$C267+1)*($D267/$D$251))</f>
        <v>0</v>
      </c>
      <c r="H267" s="95" cm="1">
        <f t="array" ref="H267">IF($C267&gt;H$11,0,INDEX($F$251:$AD$251,H$11-$C267+1)*($D267/$D$251))</f>
        <v>0</v>
      </c>
      <c r="I267" s="95" cm="1">
        <f t="array" ref="I267">IF($C267&gt;I$11,0,INDEX($F$251:$AD$251,I$11-$C267+1)*($D267/$D$251))</f>
        <v>0</v>
      </c>
      <c r="J267" s="95" cm="1">
        <f t="array" ref="J267">IF($C267&gt;J$11,0,INDEX($F$251:$AD$251,J$11-$C267+1)*($D267/$D$251))</f>
        <v>0</v>
      </c>
      <c r="K267" s="95" cm="1">
        <f t="array" ref="K267">IF($C267&gt;K$11,0,INDEX($F$251:$AD$251,K$11-$C267+1)*($D267/$D$251))</f>
        <v>0</v>
      </c>
      <c r="L267" s="95" cm="1">
        <f t="array" ref="L267">IF($C267&gt;L$11,0,INDEX($F$251:$AD$251,L$11-$C267+1)*($D267/$D$251))</f>
        <v>0</v>
      </c>
      <c r="M267" s="95" cm="1">
        <f t="array" ref="M267">IF($C267&gt;M$11,0,INDEX($F$251:$AD$251,M$11-$C267+1)*($D267/$D$251))</f>
        <v>0</v>
      </c>
      <c r="N267" s="95" cm="1">
        <f t="array" ref="N267">IF($C267&gt;N$11,0,INDEX($F$251:$AD$251,N$11-$C267+1)*($D267/$D$251))</f>
        <v>0</v>
      </c>
      <c r="O267" s="95" cm="1">
        <f t="array" ref="O267">IF($C267&gt;O$11,0,INDEX($F$251:$AD$251,O$11-$C267+1)*($D267/$D$251))</f>
        <v>0</v>
      </c>
      <c r="P267" s="95" cm="1">
        <f t="array" ref="P267">IF($C267&gt;P$11,0,INDEX($F$251:$AD$251,P$11-$C267+1)*($D267/$D$251))</f>
        <v>0</v>
      </c>
      <c r="Q267" s="95" cm="1">
        <f t="array" ref="Q267">IF($C267&gt;Q$11,0,INDEX($F$251:$AD$251,Q$11-$C267+1)*($D267/$D$251))</f>
        <v>0</v>
      </c>
      <c r="R267" s="95" cm="1">
        <f t="array" ref="R267">IF($C267&gt;R$11,0,INDEX($F$251:$AD$251,R$11-$C267+1)*($D267/$D$251))</f>
        <v>0</v>
      </c>
      <c r="S267" s="95" cm="1">
        <f t="array" ref="S267">IF($C267&gt;S$11,0,INDEX($F$251:$AD$251,S$11-$C267+1)*($D267/$D$251))</f>
        <v>0</v>
      </c>
      <c r="T267" s="95" cm="1">
        <f t="array" ref="T267">IF($C267&gt;T$11,0,INDEX($F$251:$AD$251,T$11-$C267+1)*($D267/$D$251))</f>
        <v>492765</v>
      </c>
      <c r="U267" s="95" cm="1">
        <f t="array" ref="U267">IF($C267&gt;U$11,0,INDEX($F$251:$AD$251,U$11-$C267+1)*($D267/$D$251))</f>
        <v>394212</v>
      </c>
      <c r="V267" s="95" cm="1">
        <f t="array" ref="V267">IF($C267&gt;V$11,0,INDEX($F$251:$AD$251,V$11-$C267+1)*($D267/$D$251))</f>
        <v>315369.59999999998</v>
      </c>
      <c r="W267" s="95" cm="1">
        <f t="array" ref="W267">IF($C267&gt;W$11,0,INDEX($F$251:$AD$251,W$11-$C267+1)*($D267/$D$251))</f>
        <v>251310.15</v>
      </c>
      <c r="X267" s="95" cm="1">
        <f t="array" ref="X267">IF($C267&gt;X$11,0,INDEX($F$251:$AD$251,X$11-$C267+1)*($D267/$D$251))</f>
        <v>202033.65</v>
      </c>
      <c r="Y267" s="95" cm="1">
        <f t="array" ref="Y267">IF($C267&gt;Y$11,0,INDEX($F$251:$AD$251,Y$11-$C267+1)*($D267/$D$251))</f>
        <v>162612.44999999998</v>
      </c>
      <c r="Z267" s="95" cm="1">
        <f t="array" ref="Z267">IF($C267&gt;Z$11,0,INDEX($F$251:$AD$251,Z$11-$C267+1)*($D267/$D$251))</f>
        <v>162612.44999999998</v>
      </c>
      <c r="AA267" s="95" cm="1">
        <f t="array" ref="AA267">IF($C267&gt;AA$11,0,INDEX($F$251:$AD$251,AA$11-$C267+1)*($D267/$D$251))</f>
        <v>162612.44999999998</v>
      </c>
      <c r="AB267" s="95" cm="1">
        <f t="array" ref="AB267">IF($C267&gt;AB$11,0,INDEX($F$251:$AD$251,AB$11-$C267+1)*($D267/$D$251))</f>
        <v>162612.44999999998</v>
      </c>
      <c r="AC267" s="95" cm="1">
        <f t="array" ref="AC267">IF($C267&gt;AC$11,0,INDEX($F$251:$AD$251,AC$11-$C267+1)*($D267/$D$251))</f>
        <v>157684.79999999999</v>
      </c>
      <c r="AD267" s="95" cm="1">
        <f t="array" ref="AD267">IF($C267&gt;AD$11,0,INDEX($F$251:$AD$251,AD$11-$C267+1)*($D267/$D$251))</f>
        <v>0</v>
      </c>
    </row>
    <row r="268" spans="1:30">
      <c r="A268" s="95"/>
      <c r="B268" s="118">
        <f t="shared" si="73"/>
        <v>2</v>
      </c>
      <c r="C268">
        <f t="shared" si="74"/>
        <v>2037</v>
      </c>
      <c r="D268" s="95" cm="1">
        <f t="array" ref="D268">INDEX($F$14:$AD$16,$B268,MATCH($C268,$F$11:$AD$11,0))*$G$252</f>
        <v>324900</v>
      </c>
      <c r="E268" s="95"/>
      <c r="F268" s="95" cm="1">
        <f t="array" ref="F268">IF($C268&gt;F$11,0,INDEX($F$251:$AD$251,F$11-$C268+1)*($D268/$D$251))</f>
        <v>0</v>
      </c>
      <c r="G268" s="95" cm="1">
        <f t="array" ref="G268">IF($C268&gt;G$11,0,INDEX($F$251:$AD$251,G$11-$C268+1)*($D268/$D$251))</f>
        <v>0</v>
      </c>
      <c r="H268" s="95" cm="1">
        <f t="array" ref="H268">IF($C268&gt;H$11,0,INDEX($F$251:$AD$251,H$11-$C268+1)*($D268/$D$251))</f>
        <v>0</v>
      </c>
      <c r="I268" s="95" cm="1">
        <f t="array" ref="I268">IF($C268&gt;I$11,0,INDEX($F$251:$AD$251,I$11-$C268+1)*($D268/$D$251))</f>
        <v>0</v>
      </c>
      <c r="J268" s="95" cm="1">
        <f t="array" ref="J268">IF($C268&gt;J$11,0,INDEX($F$251:$AD$251,J$11-$C268+1)*($D268/$D$251))</f>
        <v>0</v>
      </c>
      <c r="K268" s="95" cm="1">
        <f t="array" ref="K268">IF($C268&gt;K$11,0,INDEX($F$251:$AD$251,K$11-$C268+1)*($D268/$D$251))</f>
        <v>0</v>
      </c>
      <c r="L268" s="95" cm="1">
        <f t="array" ref="L268">IF($C268&gt;L$11,0,INDEX($F$251:$AD$251,L$11-$C268+1)*($D268/$D$251))</f>
        <v>0</v>
      </c>
      <c r="M268" s="95" cm="1">
        <f t="array" ref="M268">IF($C268&gt;M$11,0,INDEX($F$251:$AD$251,M$11-$C268+1)*($D268/$D$251))</f>
        <v>0</v>
      </c>
      <c r="N268" s="95" cm="1">
        <f t="array" ref="N268">IF($C268&gt;N$11,0,INDEX($F$251:$AD$251,N$11-$C268+1)*($D268/$D$251))</f>
        <v>0</v>
      </c>
      <c r="O268" s="95" cm="1">
        <f t="array" ref="O268">IF($C268&gt;O$11,0,INDEX($F$251:$AD$251,O$11-$C268+1)*($D268/$D$251))</f>
        <v>0</v>
      </c>
      <c r="P268" s="95" cm="1">
        <f t="array" ref="P268">IF($C268&gt;P$11,0,INDEX($F$251:$AD$251,P$11-$C268+1)*($D268/$D$251))</f>
        <v>0</v>
      </c>
      <c r="Q268" s="95" cm="1">
        <f t="array" ref="Q268">IF($C268&gt;Q$11,0,INDEX($F$251:$AD$251,Q$11-$C268+1)*($D268/$D$251))</f>
        <v>0</v>
      </c>
      <c r="R268" s="95" cm="1">
        <f t="array" ref="R268">IF($C268&gt;R$11,0,INDEX($F$251:$AD$251,R$11-$C268+1)*($D268/$D$251))</f>
        <v>0</v>
      </c>
      <c r="S268" s="95" cm="1">
        <f t="array" ref="S268">IF($C268&gt;S$11,0,INDEX($F$251:$AD$251,S$11-$C268+1)*($D268/$D$251))</f>
        <v>0</v>
      </c>
      <c r="T268" s="95" cm="1">
        <f t="array" ref="T268">IF($C268&gt;T$11,0,INDEX($F$251:$AD$251,T$11-$C268+1)*($D268/$D$251))</f>
        <v>0</v>
      </c>
      <c r="U268" s="95" cm="1">
        <f t="array" ref="U268">IF($C268&gt;U$11,0,INDEX($F$251:$AD$251,U$11-$C268+1)*($D268/$D$251))</f>
        <v>64980.000000000007</v>
      </c>
      <c r="V268" s="95" cm="1">
        <f t="array" ref="V268">IF($C268&gt;V$11,0,INDEX($F$251:$AD$251,V$11-$C268+1)*($D268/$D$251))</f>
        <v>51984</v>
      </c>
      <c r="W268" s="95" cm="1">
        <f t="array" ref="W268">IF($C268&gt;W$11,0,INDEX($F$251:$AD$251,W$11-$C268+1)*($D268/$D$251))</f>
        <v>41587.200000000004</v>
      </c>
      <c r="X268" s="95" cm="1">
        <f t="array" ref="X268">IF($C268&gt;X$11,0,INDEX($F$251:$AD$251,X$11-$C268+1)*($D268/$D$251))</f>
        <v>33139.800000000003</v>
      </c>
      <c r="Y268" s="95" cm="1">
        <f t="array" ref="Y268">IF($C268&gt;Y$11,0,INDEX($F$251:$AD$251,Y$11-$C268+1)*($D268/$D$251))</f>
        <v>26641.800000000003</v>
      </c>
      <c r="Z268" s="95" cm="1">
        <f t="array" ref="Z268">IF($C268&gt;Z$11,0,INDEX($F$251:$AD$251,Z$11-$C268+1)*($D268/$D$251))</f>
        <v>21443.4</v>
      </c>
      <c r="AA268" s="95" cm="1">
        <f t="array" ref="AA268">IF($C268&gt;AA$11,0,INDEX($F$251:$AD$251,AA$11-$C268+1)*($D268/$D$251))</f>
        <v>21443.4</v>
      </c>
      <c r="AB268" s="95" cm="1">
        <f t="array" ref="AB268">IF($C268&gt;AB$11,0,INDEX($F$251:$AD$251,AB$11-$C268+1)*($D268/$D$251))</f>
        <v>21443.4</v>
      </c>
      <c r="AC268" s="95" cm="1">
        <f t="array" ref="AC268">IF($C268&gt;AC$11,0,INDEX($F$251:$AD$251,AC$11-$C268+1)*($D268/$D$251))</f>
        <v>21443.4</v>
      </c>
      <c r="AD268" s="95" cm="1">
        <f t="array" ref="AD268">IF($C268&gt;AD$11,0,INDEX($F$251:$AD$251,AD$11-$C268+1)*($D268/$D$251))</f>
        <v>20793.600000000002</v>
      </c>
    </row>
    <row r="269" spans="1:30">
      <c r="A269" s="95"/>
      <c r="B269" s="118">
        <f t="shared" si="73"/>
        <v>2</v>
      </c>
      <c r="C269">
        <f t="shared" si="74"/>
        <v>2038</v>
      </c>
      <c r="D269" s="95" cm="1">
        <f t="array" ref="D269">INDEX($F$14:$AD$16,$B269,MATCH($C269,$F$11:$AD$11,0))*$G$252</f>
        <v>3166350</v>
      </c>
      <c r="E269" s="95"/>
      <c r="F269" s="95" cm="1">
        <f t="array" ref="F269">IF($C269&gt;F$11,0,INDEX($F$251:$AD$251,F$11-$C269+1)*($D269/$D$251))</f>
        <v>0</v>
      </c>
      <c r="G269" s="95" cm="1">
        <f t="array" ref="G269">IF($C269&gt;G$11,0,INDEX($F$251:$AD$251,G$11-$C269+1)*($D269/$D$251))</f>
        <v>0</v>
      </c>
      <c r="H269" s="95" cm="1">
        <f t="array" ref="H269">IF($C269&gt;H$11,0,INDEX($F$251:$AD$251,H$11-$C269+1)*($D269/$D$251))</f>
        <v>0</v>
      </c>
      <c r="I269" s="95" cm="1">
        <f t="array" ref="I269">IF($C269&gt;I$11,0,INDEX($F$251:$AD$251,I$11-$C269+1)*($D269/$D$251))</f>
        <v>0</v>
      </c>
      <c r="J269" s="95" cm="1">
        <f t="array" ref="J269">IF($C269&gt;J$11,0,INDEX($F$251:$AD$251,J$11-$C269+1)*($D269/$D$251))</f>
        <v>0</v>
      </c>
      <c r="K269" s="95" cm="1">
        <f t="array" ref="K269">IF($C269&gt;K$11,0,INDEX($F$251:$AD$251,K$11-$C269+1)*($D269/$D$251))</f>
        <v>0</v>
      </c>
      <c r="L269" s="95" cm="1">
        <f t="array" ref="L269">IF($C269&gt;L$11,0,INDEX($F$251:$AD$251,L$11-$C269+1)*($D269/$D$251))</f>
        <v>0</v>
      </c>
      <c r="M269" s="95" cm="1">
        <f t="array" ref="M269">IF($C269&gt;M$11,0,INDEX($F$251:$AD$251,M$11-$C269+1)*($D269/$D$251))</f>
        <v>0</v>
      </c>
      <c r="N269" s="95" cm="1">
        <f t="array" ref="N269">IF($C269&gt;N$11,0,INDEX($F$251:$AD$251,N$11-$C269+1)*($D269/$D$251))</f>
        <v>0</v>
      </c>
      <c r="O269" s="95" cm="1">
        <f t="array" ref="O269">IF($C269&gt;O$11,0,INDEX($F$251:$AD$251,O$11-$C269+1)*($D269/$D$251))</f>
        <v>0</v>
      </c>
      <c r="P269" s="95" cm="1">
        <f t="array" ref="P269">IF($C269&gt;P$11,0,INDEX($F$251:$AD$251,P$11-$C269+1)*($D269/$D$251))</f>
        <v>0</v>
      </c>
      <c r="Q269" s="95" cm="1">
        <f t="array" ref="Q269">IF($C269&gt;Q$11,0,INDEX($F$251:$AD$251,Q$11-$C269+1)*($D269/$D$251))</f>
        <v>0</v>
      </c>
      <c r="R269" s="95" cm="1">
        <f t="array" ref="R269">IF($C269&gt;R$11,0,INDEX($F$251:$AD$251,R$11-$C269+1)*($D269/$D$251))</f>
        <v>0</v>
      </c>
      <c r="S269" s="95" cm="1">
        <f t="array" ref="S269">IF($C269&gt;S$11,0,INDEX($F$251:$AD$251,S$11-$C269+1)*($D269/$D$251))</f>
        <v>0</v>
      </c>
      <c r="T269" s="95" cm="1">
        <f t="array" ref="T269">IF($C269&gt;T$11,0,INDEX($F$251:$AD$251,T$11-$C269+1)*($D269/$D$251))</f>
        <v>0</v>
      </c>
      <c r="U269" s="95" cm="1">
        <f t="array" ref="U269">IF($C269&gt;U$11,0,INDEX($F$251:$AD$251,U$11-$C269+1)*($D269/$D$251))</f>
        <v>0</v>
      </c>
      <c r="V269" s="95" cm="1">
        <f t="array" ref="V269">IF($C269&gt;V$11,0,INDEX($F$251:$AD$251,V$11-$C269+1)*($D269/$D$251))</f>
        <v>633270</v>
      </c>
      <c r="W269" s="95" cm="1">
        <f t="array" ref="W269">IF($C269&gt;W$11,0,INDEX($F$251:$AD$251,W$11-$C269+1)*($D269/$D$251))</f>
        <v>506616</v>
      </c>
      <c r="X269" s="95" cm="1">
        <f t="array" ref="X269">IF($C269&gt;X$11,0,INDEX($F$251:$AD$251,X$11-$C269+1)*($D269/$D$251))</f>
        <v>405292.79999999999</v>
      </c>
      <c r="Y269" s="95" cm="1">
        <f t="array" ref="Y269">IF($C269&gt;Y$11,0,INDEX($F$251:$AD$251,Y$11-$C269+1)*($D269/$D$251))</f>
        <v>322967.7</v>
      </c>
      <c r="Z269" s="95" cm="1">
        <f t="array" ref="Z269">IF($C269&gt;Z$11,0,INDEX($F$251:$AD$251,Z$11-$C269+1)*($D269/$D$251))</f>
        <v>259640.7</v>
      </c>
      <c r="AA269" s="95" cm="1">
        <f t="array" ref="AA269">IF($C269&gt;AA$11,0,INDEX($F$251:$AD$251,AA$11-$C269+1)*($D269/$D$251))</f>
        <v>208979.1</v>
      </c>
      <c r="AB269" s="95" cm="1">
        <f t="array" ref="AB269">IF($C269&gt;AB$11,0,INDEX($F$251:$AD$251,AB$11-$C269+1)*($D269/$D$251))</f>
        <v>208979.1</v>
      </c>
      <c r="AC269" s="95" cm="1">
        <f t="array" ref="AC269">IF($C269&gt;AC$11,0,INDEX($F$251:$AD$251,AC$11-$C269+1)*($D269/$D$251))</f>
        <v>208979.1</v>
      </c>
      <c r="AD269" s="95" cm="1">
        <f t="array" ref="AD269">IF($C269&gt;AD$11,0,INDEX($F$251:$AD$251,AD$11-$C269+1)*($D269/$D$251))</f>
        <v>208979.1</v>
      </c>
    </row>
    <row r="270" spans="1:30">
      <c r="A270" s="95"/>
      <c r="B270" s="118">
        <f t="shared" si="73"/>
        <v>2</v>
      </c>
      <c r="C270">
        <f t="shared" si="74"/>
        <v>2039</v>
      </c>
      <c r="D270" s="95" cm="1">
        <f t="array" ref="D270">INDEX($F$14:$AD$16,$B270,MATCH($C270,$F$11:$AD$11,0))*$G$252</f>
        <v>579975</v>
      </c>
      <c r="E270" s="95"/>
      <c r="F270" s="95" cm="1">
        <f t="array" ref="F270">IF($C270&gt;F$11,0,INDEX($F$251:$AD$251,F$11-$C270+1)*($D270/$D$251))</f>
        <v>0</v>
      </c>
      <c r="G270" s="95" cm="1">
        <f t="array" ref="G270">IF($C270&gt;G$11,0,INDEX($F$251:$AD$251,G$11-$C270+1)*($D270/$D$251))</f>
        <v>0</v>
      </c>
      <c r="H270" s="95" cm="1">
        <f t="array" ref="H270">IF($C270&gt;H$11,0,INDEX($F$251:$AD$251,H$11-$C270+1)*($D270/$D$251))</f>
        <v>0</v>
      </c>
      <c r="I270" s="95" cm="1">
        <f t="array" ref="I270">IF($C270&gt;I$11,0,INDEX($F$251:$AD$251,I$11-$C270+1)*($D270/$D$251))</f>
        <v>0</v>
      </c>
      <c r="J270" s="95" cm="1">
        <f t="array" ref="J270">IF($C270&gt;J$11,0,INDEX($F$251:$AD$251,J$11-$C270+1)*($D270/$D$251))</f>
        <v>0</v>
      </c>
      <c r="K270" s="95" cm="1">
        <f t="array" ref="K270">IF($C270&gt;K$11,0,INDEX($F$251:$AD$251,K$11-$C270+1)*($D270/$D$251))</f>
        <v>0</v>
      </c>
      <c r="L270" s="95" cm="1">
        <f t="array" ref="L270">IF($C270&gt;L$11,0,INDEX($F$251:$AD$251,L$11-$C270+1)*($D270/$D$251))</f>
        <v>0</v>
      </c>
      <c r="M270" s="95" cm="1">
        <f t="array" ref="M270">IF($C270&gt;M$11,0,INDEX($F$251:$AD$251,M$11-$C270+1)*($D270/$D$251))</f>
        <v>0</v>
      </c>
      <c r="N270" s="95" cm="1">
        <f t="array" ref="N270">IF($C270&gt;N$11,0,INDEX($F$251:$AD$251,N$11-$C270+1)*($D270/$D$251))</f>
        <v>0</v>
      </c>
      <c r="O270" s="95" cm="1">
        <f t="array" ref="O270">IF($C270&gt;O$11,0,INDEX($F$251:$AD$251,O$11-$C270+1)*($D270/$D$251))</f>
        <v>0</v>
      </c>
      <c r="P270" s="95" cm="1">
        <f t="array" ref="P270">IF($C270&gt;P$11,0,INDEX($F$251:$AD$251,P$11-$C270+1)*($D270/$D$251))</f>
        <v>0</v>
      </c>
      <c r="Q270" s="95" cm="1">
        <f t="array" ref="Q270">IF($C270&gt;Q$11,0,INDEX($F$251:$AD$251,Q$11-$C270+1)*($D270/$D$251))</f>
        <v>0</v>
      </c>
      <c r="R270" s="95" cm="1">
        <f t="array" ref="R270">IF($C270&gt;R$11,0,INDEX($F$251:$AD$251,R$11-$C270+1)*($D270/$D$251))</f>
        <v>0</v>
      </c>
      <c r="S270" s="95" cm="1">
        <f t="array" ref="S270">IF($C270&gt;S$11,0,INDEX($F$251:$AD$251,S$11-$C270+1)*($D270/$D$251))</f>
        <v>0</v>
      </c>
      <c r="T270" s="95" cm="1">
        <f t="array" ref="T270">IF($C270&gt;T$11,0,INDEX($F$251:$AD$251,T$11-$C270+1)*($D270/$D$251))</f>
        <v>0</v>
      </c>
      <c r="U270" s="95" cm="1">
        <f t="array" ref="U270">IF($C270&gt;U$11,0,INDEX($F$251:$AD$251,U$11-$C270+1)*($D270/$D$251))</f>
        <v>0</v>
      </c>
      <c r="V270" s="95" cm="1">
        <f t="array" ref="V270">IF($C270&gt;V$11,0,INDEX($F$251:$AD$251,V$11-$C270+1)*($D270/$D$251))</f>
        <v>0</v>
      </c>
      <c r="W270" s="95" cm="1">
        <f t="array" ref="W270">IF($C270&gt;W$11,0,INDEX($F$251:$AD$251,W$11-$C270+1)*($D270/$D$251))</f>
        <v>115995</v>
      </c>
      <c r="X270" s="95" cm="1">
        <f t="array" ref="X270">IF($C270&gt;X$11,0,INDEX($F$251:$AD$251,X$11-$C270+1)*($D270/$D$251))</f>
        <v>92796</v>
      </c>
      <c r="Y270" s="95" cm="1">
        <f t="array" ref="Y270">IF($C270&gt;Y$11,0,INDEX($F$251:$AD$251,Y$11-$C270+1)*($D270/$D$251))</f>
        <v>74236.800000000003</v>
      </c>
      <c r="Z270" s="95" cm="1">
        <f t="array" ref="Z270">IF($C270&gt;Z$11,0,INDEX($F$251:$AD$251,Z$11-$C270+1)*($D270/$D$251))</f>
        <v>59157.450000000004</v>
      </c>
      <c r="AA270" s="95" cm="1">
        <f t="array" ref="AA270">IF($C270&gt;AA$11,0,INDEX($F$251:$AD$251,AA$11-$C270+1)*($D270/$D$251))</f>
        <v>47557.950000000004</v>
      </c>
      <c r="AB270" s="95" cm="1">
        <f t="array" ref="AB270">IF($C270&gt;AB$11,0,INDEX($F$251:$AD$251,AB$11-$C270+1)*($D270/$D$251))</f>
        <v>38278.35</v>
      </c>
      <c r="AC270" s="95" cm="1">
        <f t="array" ref="AC270">IF($C270&gt;AC$11,0,INDEX($F$251:$AD$251,AC$11-$C270+1)*($D270/$D$251))</f>
        <v>38278.35</v>
      </c>
      <c r="AD270" s="95" cm="1">
        <f t="array" ref="AD270">IF($C270&gt;AD$11,0,INDEX($F$251:$AD$251,AD$11-$C270+1)*($D270/$D$251))</f>
        <v>38278.35</v>
      </c>
    </row>
    <row r="271" spans="1:30">
      <c r="A271" s="95"/>
      <c r="B271" s="118">
        <f t="shared" si="73"/>
        <v>2</v>
      </c>
      <c r="C271">
        <f t="shared" si="74"/>
        <v>2040</v>
      </c>
      <c r="D271" s="95" cm="1">
        <f t="array" ref="D271">INDEX($F$14:$AD$16,$B271,MATCH($C271,$F$11:$AD$11,0))*$G$252</f>
        <v>846450</v>
      </c>
      <c r="E271" s="95"/>
      <c r="F271" s="95" cm="1">
        <f t="array" ref="F271">IF($C271&gt;F$11,0,INDEX($F$251:$AD$251,F$11-$C271+1)*($D271/$D$251))</f>
        <v>0</v>
      </c>
      <c r="G271" s="95" cm="1">
        <f t="array" ref="G271">IF($C271&gt;G$11,0,INDEX($F$251:$AD$251,G$11-$C271+1)*($D271/$D$251))</f>
        <v>0</v>
      </c>
      <c r="H271" s="95" cm="1">
        <f t="array" ref="H271">IF($C271&gt;H$11,0,INDEX($F$251:$AD$251,H$11-$C271+1)*($D271/$D$251))</f>
        <v>0</v>
      </c>
      <c r="I271" s="95" cm="1">
        <f t="array" ref="I271">IF($C271&gt;I$11,0,INDEX($F$251:$AD$251,I$11-$C271+1)*($D271/$D$251))</f>
        <v>0</v>
      </c>
      <c r="J271" s="95" cm="1">
        <f t="array" ref="J271">IF($C271&gt;J$11,0,INDEX($F$251:$AD$251,J$11-$C271+1)*($D271/$D$251))</f>
        <v>0</v>
      </c>
      <c r="K271" s="95" cm="1">
        <f t="array" ref="K271">IF($C271&gt;K$11,0,INDEX($F$251:$AD$251,K$11-$C271+1)*($D271/$D$251))</f>
        <v>0</v>
      </c>
      <c r="L271" s="95" cm="1">
        <f t="array" ref="L271">IF($C271&gt;L$11,0,INDEX($F$251:$AD$251,L$11-$C271+1)*($D271/$D$251))</f>
        <v>0</v>
      </c>
      <c r="M271" s="95" cm="1">
        <f t="array" ref="M271">IF($C271&gt;M$11,0,INDEX($F$251:$AD$251,M$11-$C271+1)*($D271/$D$251))</f>
        <v>0</v>
      </c>
      <c r="N271" s="95" cm="1">
        <f t="array" ref="N271">IF($C271&gt;N$11,0,INDEX($F$251:$AD$251,N$11-$C271+1)*($D271/$D$251))</f>
        <v>0</v>
      </c>
      <c r="O271" s="95" cm="1">
        <f t="array" ref="O271">IF($C271&gt;O$11,0,INDEX($F$251:$AD$251,O$11-$C271+1)*($D271/$D$251))</f>
        <v>0</v>
      </c>
      <c r="P271" s="95" cm="1">
        <f t="array" ref="P271">IF($C271&gt;P$11,0,INDEX($F$251:$AD$251,P$11-$C271+1)*($D271/$D$251))</f>
        <v>0</v>
      </c>
      <c r="Q271" s="95" cm="1">
        <f t="array" ref="Q271">IF($C271&gt;Q$11,0,INDEX($F$251:$AD$251,Q$11-$C271+1)*($D271/$D$251))</f>
        <v>0</v>
      </c>
      <c r="R271" s="95" cm="1">
        <f t="array" ref="R271">IF($C271&gt;R$11,0,INDEX($F$251:$AD$251,R$11-$C271+1)*($D271/$D$251))</f>
        <v>0</v>
      </c>
      <c r="S271" s="95" cm="1">
        <f t="array" ref="S271">IF($C271&gt;S$11,0,INDEX($F$251:$AD$251,S$11-$C271+1)*($D271/$D$251))</f>
        <v>0</v>
      </c>
      <c r="T271" s="95" cm="1">
        <f t="array" ref="T271">IF($C271&gt;T$11,0,INDEX($F$251:$AD$251,T$11-$C271+1)*($D271/$D$251))</f>
        <v>0</v>
      </c>
      <c r="U271" s="95" cm="1">
        <f t="array" ref="U271">IF($C271&gt;U$11,0,INDEX($F$251:$AD$251,U$11-$C271+1)*($D271/$D$251))</f>
        <v>0</v>
      </c>
      <c r="V271" s="95" cm="1">
        <f t="array" ref="V271">IF($C271&gt;V$11,0,INDEX($F$251:$AD$251,V$11-$C271+1)*($D271/$D$251))</f>
        <v>0</v>
      </c>
      <c r="W271" s="95" cm="1">
        <f t="array" ref="W271">IF($C271&gt;W$11,0,INDEX($F$251:$AD$251,W$11-$C271+1)*($D271/$D$251))</f>
        <v>0</v>
      </c>
      <c r="X271" s="95" cm="1">
        <f t="array" ref="X271">IF($C271&gt;X$11,0,INDEX($F$251:$AD$251,X$11-$C271+1)*($D271/$D$251))</f>
        <v>169290</v>
      </c>
      <c r="Y271" s="95" cm="1">
        <f t="array" ref="Y271">IF($C271&gt;Y$11,0,INDEX($F$251:$AD$251,Y$11-$C271+1)*($D271/$D$251))</f>
        <v>135432</v>
      </c>
      <c r="Z271" s="95" cm="1">
        <f t="array" ref="Z271">IF($C271&gt;Z$11,0,INDEX($F$251:$AD$251,Z$11-$C271+1)*($D271/$D$251))</f>
        <v>108345.60000000001</v>
      </c>
      <c r="AA271" s="95" cm="1">
        <f t="array" ref="AA271">IF($C271&gt;AA$11,0,INDEX($F$251:$AD$251,AA$11-$C271+1)*($D271/$D$251))</f>
        <v>86337.900000000009</v>
      </c>
      <c r="AB271" s="95" cm="1">
        <f t="array" ref="AB271">IF($C271&gt;AB$11,0,INDEX($F$251:$AD$251,AB$11-$C271+1)*($D271/$D$251))</f>
        <v>69408.900000000009</v>
      </c>
      <c r="AC271" s="95" cm="1">
        <f t="array" ref="AC271">IF($C271&gt;AC$11,0,INDEX($F$251:$AD$251,AC$11-$C271+1)*($D271/$D$251))</f>
        <v>55865.700000000004</v>
      </c>
      <c r="AD271" s="95" cm="1">
        <f t="array" ref="AD271">IF($C271&gt;AD$11,0,INDEX($F$251:$AD$251,AD$11-$C271+1)*($D271/$D$251))</f>
        <v>55865.700000000004</v>
      </c>
    </row>
    <row r="272" spans="1:30">
      <c r="A272" s="95"/>
      <c r="B272" s="118">
        <f t="shared" si="73"/>
        <v>2</v>
      </c>
      <c r="C272">
        <f t="shared" si="74"/>
        <v>2041</v>
      </c>
      <c r="D272" s="95" cm="1">
        <f t="array" ref="D272">INDEX($F$14:$AD$16,$B272,MATCH($C272,$F$11:$AD$11,0))*$G$252</f>
        <v>2080500</v>
      </c>
      <c r="E272" s="95"/>
      <c r="F272" s="95" cm="1">
        <f t="array" ref="F272">IF($C272&gt;F$11,0,INDEX($F$251:$AD$251,F$11-$C272+1)*($D272/$D$251))</f>
        <v>0</v>
      </c>
      <c r="G272" s="95" cm="1">
        <f t="array" ref="G272">IF($C272&gt;G$11,0,INDEX($F$251:$AD$251,G$11-$C272+1)*($D272/$D$251))</f>
        <v>0</v>
      </c>
      <c r="H272" s="95" cm="1">
        <f t="array" ref="H272">IF($C272&gt;H$11,0,INDEX($F$251:$AD$251,H$11-$C272+1)*($D272/$D$251))</f>
        <v>0</v>
      </c>
      <c r="I272" s="95" cm="1">
        <f t="array" ref="I272">IF($C272&gt;I$11,0,INDEX($F$251:$AD$251,I$11-$C272+1)*($D272/$D$251))</f>
        <v>0</v>
      </c>
      <c r="J272" s="95" cm="1">
        <f t="array" ref="J272">IF($C272&gt;J$11,0,INDEX($F$251:$AD$251,J$11-$C272+1)*($D272/$D$251))</f>
        <v>0</v>
      </c>
      <c r="K272" s="95" cm="1">
        <f t="array" ref="K272">IF($C272&gt;K$11,0,INDEX($F$251:$AD$251,K$11-$C272+1)*($D272/$D$251))</f>
        <v>0</v>
      </c>
      <c r="L272" s="95" cm="1">
        <f t="array" ref="L272">IF($C272&gt;L$11,0,INDEX($F$251:$AD$251,L$11-$C272+1)*($D272/$D$251))</f>
        <v>0</v>
      </c>
      <c r="M272" s="95" cm="1">
        <f t="array" ref="M272">IF($C272&gt;M$11,0,INDEX($F$251:$AD$251,M$11-$C272+1)*($D272/$D$251))</f>
        <v>0</v>
      </c>
      <c r="N272" s="95" cm="1">
        <f t="array" ref="N272">IF($C272&gt;N$11,0,INDEX($F$251:$AD$251,N$11-$C272+1)*($D272/$D$251))</f>
        <v>0</v>
      </c>
      <c r="O272" s="95" cm="1">
        <f t="array" ref="O272">IF($C272&gt;O$11,0,INDEX($F$251:$AD$251,O$11-$C272+1)*($D272/$D$251))</f>
        <v>0</v>
      </c>
      <c r="P272" s="95" cm="1">
        <f t="array" ref="P272">IF($C272&gt;P$11,0,INDEX($F$251:$AD$251,P$11-$C272+1)*($D272/$D$251))</f>
        <v>0</v>
      </c>
      <c r="Q272" s="95" cm="1">
        <f t="array" ref="Q272">IF($C272&gt;Q$11,0,INDEX($F$251:$AD$251,Q$11-$C272+1)*($D272/$D$251))</f>
        <v>0</v>
      </c>
      <c r="R272" s="95" cm="1">
        <f t="array" ref="R272">IF($C272&gt;R$11,0,INDEX($F$251:$AD$251,R$11-$C272+1)*($D272/$D$251))</f>
        <v>0</v>
      </c>
      <c r="S272" s="95" cm="1">
        <f t="array" ref="S272">IF($C272&gt;S$11,0,INDEX($F$251:$AD$251,S$11-$C272+1)*($D272/$D$251))</f>
        <v>0</v>
      </c>
      <c r="T272" s="95" cm="1">
        <f t="array" ref="T272">IF($C272&gt;T$11,0,INDEX($F$251:$AD$251,T$11-$C272+1)*($D272/$D$251))</f>
        <v>0</v>
      </c>
      <c r="U272" s="95" cm="1">
        <f t="array" ref="U272">IF($C272&gt;U$11,0,INDEX($F$251:$AD$251,U$11-$C272+1)*($D272/$D$251))</f>
        <v>0</v>
      </c>
      <c r="V272" s="95" cm="1">
        <f t="array" ref="V272">IF($C272&gt;V$11,0,INDEX($F$251:$AD$251,V$11-$C272+1)*($D272/$D$251))</f>
        <v>0</v>
      </c>
      <c r="W272" s="95" cm="1">
        <f t="array" ref="W272">IF($C272&gt;W$11,0,INDEX($F$251:$AD$251,W$11-$C272+1)*($D272/$D$251))</f>
        <v>0</v>
      </c>
      <c r="X272" s="95" cm="1">
        <f t="array" ref="X272">IF($C272&gt;X$11,0,INDEX($F$251:$AD$251,X$11-$C272+1)*($D272/$D$251))</f>
        <v>0</v>
      </c>
      <c r="Y272" s="95" cm="1">
        <f t="array" ref="Y272">IF($C272&gt;Y$11,0,INDEX($F$251:$AD$251,Y$11-$C272+1)*($D272/$D$251))</f>
        <v>416099.99999999994</v>
      </c>
      <c r="Z272" s="95" cm="1">
        <f t="array" ref="Z272">IF($C272&gt;Z$11,0,INDEX($F$251:$AD$251,Z$11-$C272+1)*($D272/$D$251))</f>
        <v>332879.99999999994</v>
      </c>
      <c r="AA272" s="95" cm="1">
        <f t="array" ref="AA272">IF($C272&gt;AA$11,0,INDEX($F$251:$AD$251,AA$11-$C272+1)*($D272/$D$251))</f>
        <v>266304</v>
      </c>
      <c r="AB272" s="95" cm="1">
        <f t="array" ref="AB272">IF($C272&gt;AB$11,0,INDEX($F$251:$AD$251,AB$11-$C272+1)*($D272/$D$251))</f>
        <v>212210.99999999997</v>
      </c>
      <c r="AC272" s="95" cm="1">
        <f t="array" ref="AC272">IF($C272&gt;AC$11,0,INDEX($F$251:$AD$251,AC$11-$C272+1)*($D272/$D$251))</f>
        <v>170600.99999999997</v>
      </c>
      <c r="AD272" s="95" cm="1">
        <f t="array" ref="AD272">IF($C272&gt;AD$11,0,INDEX($F$251:$AD$251,AD$11-$C272+1)*($D272/$D$251))</f>
        <v>137313</v>
      </c>
    </row>
    <row r="273" spans="1:30">
      <c r="A273" s="95"/>
      <c r="B273" s="118">
        <f t="shared" si="73"/>
        <v>2</v>
      </c>
      <c r="C273">
        <f t="shared" si="74"/>
        <v>2042</v>
      </c>
      <c r="D273" s="95" cm="1">
        <f t="array" ref="D273">INDEX($F$14:$AD$16,$B273,MATCH($C273,$F$11:$AD$11,0))*$G$252</f>
        <v>1898100</v>
      </c>
      <c r="E273" s="95"/>
      <c r="F273" s="95" cm="1">
        <f t="array" ref="F273">IF($C273&gt;F$11,0,INDEX($F$251:$AD$251,F$11-$C273+1)*($D273/$D$251))</f>
        <v>0</v>
      </c>
      <c r="G273" s="95" cm="1">
        <f t="array" ref="G273">IF($C273&gt;G$11,0,INDEX($F$251:$AD$251,G$11-$C273+1)*($D273/$D$251))</f>
        <v>0</v>
      </c>
      <c r="H273" s="95" cm="1">
        <f t="array" ref="H273">IF($C273&gt;H$11,0,INDEX($F$251:$AD$251,H$11-$C273+1)*($D273/$D$251))</f>
        <v>0</v>
      </c>
      <c r="I273" s="95" cm="1">
        <f t="array" ref="I273">IF($C273&gt;I$11,0,INDEX($F$251:$AD$251,I$11-$C273+1)*($D273/$D$251))</f>
        <v>0</v>
      </c>
      <c r="J273" s="95" cm="1">
        <f t="array" ref="J273">IF($C273&gt;J$11,0,INDEX($F$251:$AD$251,J$11-$C273+1)*($D273/$D$251))</f>
        <v>0</v>
      </c>
      <c r="K273" s="95" cm="1">
        <f t="array" ref="K273">IF($C273&gt;K$11,0,INDEX($F$251:$AD$251,K$11-$C273+1)*($D273/$D$251))</f>
        <v>0</v>
      </c>
      <c r="L273" s="95" cm="1">
        <f t="array" ref="L273">IF($C273&gt;L$11,0,INDEX($F$251:$AD$251,L$11-$C273+1)*($D273/$D$251))</f>
        <v>0</v>
      </c>
      <c r="M273" s="95" cm="1">
        <f t="array" ref="M273">IF($C273&gt;M$11,0,INDEX($F$251:$AD$251,M$11-$C273+1)*($D273/$D$251))</f>
        <v>0</v>
      </c>
      <c r="N273" s="95" cm="1">
        <f t="array" ref="N273">IF($C273&gt;N$11,0,INDEX($F$251:$AD$251,N$11-$C273+1)*($D273/$D$251))</f>
        <v>0</v>
      </c>
      <c r="O273" s="95" cm="1">
        <f t="array" ref="O273">IF($C273&gt;O$11,0,INDEX($F$251:$AD$251,O$11-$C273+1)*($D273/$D$251))</f>
        <v>0</v>
      </c>
      <c r="P273" s="95" cm="1">
        <f t="array" ref="P273">IF($C273&gt;P$11,0,INDEX($F$251:$AD$251,P$11-$C273+1)*($D273/$D$251))</f>
        <v>0</v>
      </c>
      <c r="Q273" s="95" cm="1">
        <f t="array" ref="Q273">IF($C273&gt;Q$11,0,INDEX($F$251:$AD$251,Q$11-$C273+1)*($D273/$D$251))</f>
        <v>0</v>
      </c>
      <c r="R273" s="95" cm="1">
        <f t="array" ref="R273">IF($C273&gt;R$11,0,INDEX($F$251:$AD$251,R$11-$C273+1)*($D273/$D$251))</f>
        <v>0</v>
      </c>
      <c r="S273" s="95" cm="1">
        <f t="array" ref="S273">IF($C273&gt;S$11,0,INDEX($F$251:$AD$251,S$11-$C273+1)*($D273/$D$251))</f>
        <v>0</v>
      </c>
      <c r="T273" s="95" cm="1">
        <f t="array" ref="T273">IF($C273&gt;T$11,0,INDEX($F$251:$AD$251,T$11-$C273+1)*($D273/$D$251))</f>
        <v>0</v>
      </c>
      <c r="U273" s="95" cm="1">
        <f t="array" ref="U273">IF($C273&gt;U$11,0,INDEX($F$251:$AD$251,U$11-$C273+1)*($D273/$D$251))</f>
        <v>0</v>
      </c>
      <c r="V273" s="95" cm="1">
        <f t="array" ref="V273">IF($C273&gt;V$11,0,INDEX($F$251:$AD$251,V$11-$C273+1)*($D273/$D$251))</f>
        <v>0</v>
      </c>
      <c r="W273" s="95" cm="1">
        <f t="array" ref="W273">IF($C273&gt;W$11,0,INDEX($F$251:$AD$251,W$11-$C273+1)*($D273/$D$251))</f>
        <v>0</v>
      </c>
      <c r="X273" s="95" cm="1">
        <f t="array" ref="X273">IF($C273&gt;X$11,0,INDEX($F$251:$AD$251,X$11-$C273+1)*($D273/$D$251))</f>
        <v>0</v>
      </c>
      <c r="Y273" s="95" cm="1">
        <f t="array" ref="Y273">IF($C273&gt;Y$11,0,INDEX($F$251:$AD$251,Y$11-$C273+1)*($D273/$D$251))</f>
        <v>0</v>
      </c>
      <c r="Z273" s="95" cm="1">
        <f t="array" ref="Z273">IF($C273&gt;Z$11,0,INDEX($F$251:$AD$251,Z$11-$C273+1)*($D273/$D$251))</f>
        <v>379620</v>
      </c>
      <c r="AA273" s="95" cm="1">
        <f t="array" ref="AA273">IF($C273&gt;AA$11,0,INDEX($F$251:$AD$251,AA$11-$C273+1)*($D273/$D$251))</f>
        <v>303696</v>
      </c>
      <c r="AB273" s="95" cm="1">
        <f t="array" ref="AB273">IF($C273&gt;AB$11,0,INDEX($F$251:$AD$251,AB$11-$C273+1)*($D273/$D$251))</f>
        <v>242956.79999999999</v>
      </c>
      <c r="AC273" s="95" cm="1">
        <f t="array" ref="AC273">IF($C273&gt;AC$11,0,INDEX($F$251:$AD$251,AC$11-$C273+1)*($D273/$D$251))</f>
        <v>193606.19999999998</v>
      </c>
      <c r="AD273" s="95" cm="1">
        <f t="array" ref="AD273">IF($C273&gt;AD$11,0,INDEX($F$251:$AD$251,AD$11-$C273+1)*($D273/$D$251))</f>
        <v>155644.19999999998</v>
      </c>
    </row>
    <row r="274" spans="1:30">
      <c r="A274" s="95"/>
      <c r="B274" s="118">
        <f t="shared" si="73"/>
        <v>2</v>
      </c>
      <c r="C274">
        <f t="shared" si="74"/>
        <v>2043</v>
      </c>
      <c r="D274" s="95" cm="1">
        <f t="array" ref="D274">INDEX($F$14:$AD$16,$B274,MATCH($C274,$F$11:$AD$11,0))*$G$252</f>
        <v>1949400</v>
      </c>
      <c r="E274" s="95"/>
      <c r="F274" s="95" cm="1">
        <f t="array" ref="F274">IF($C274&gt;F$11,0,INDEX($F$251:$AD$251,F$11-$C274+1)*($D274/$D$251))</f>
        <v>0</v>
      </c>
      <c r="G274" s="95" cm="1">
        <f t="array" ref="G274">IF($C274&gt;G$11,0,INDEX($F$251:$AD$251,G$11-$C274+1)*($D274/$D$251))</f>
        <v>0</v>
      </c>
      <c r="H274" s="95" cm="1">
        <f t="array" ref="H274">IF($C274&gt;H$11,0,INDEX($F$251:$AD$251,H$11-$C274+1)*($D274/$D$251))</f>
        <v>0</v>
      </c>
      <c r="I274" s="95" cm="1">
        <f t="array" ref="I274">IF($C274&gt;I$11,0,INDEX($F$251:$AD$251,I$11-$C274+1)*($D274/$D$251))</f>
        <v>0</v>
      </c>
      <c r="J274" s="95" cm="1">
        <f t="array" ref="J274">IF($C274&gt;J$11,0,INDEX($F$251:$AD$251,J$11-$C274+1)*($D274/$D$251))</f>
        <v>0</v>
      </c>
      <c r="K274" s="95" cm="1">
        <f t="array" ref="K274">IF($C274&gt;K$11,0,INDEX($F$251:$AD$251,K$11-$C274+1)*($D274/$D$251))</f>
        <v>0</v>
      </c>
      <c r="L274" s="95" cm="1">
        <f t="array" ref="L274">IF($C274&gt;L$11,0,INDEX($F$251:$AD$251,L$11-$C274+1)*($D274/$D$251))</f>
        <v>0</v>
      </c>
      <c r="M274" s="95" cm="1">
        <f t="array" ref="M274">IF($C274&gt;M$11,0,INDEX($F$251:$AD$251,M$11-$C274+1)*($D274/$D$251))</f>
        <v>0</v>
      </c>
      <c r="N274" s="95" cm="1">
        <f t="array" ref="N274">IF($C274&gt;N$11,0,INDEX($F$251:$AD$251,N$11-$C274+1)*($D274/$D$251))</f>
        <v>0</v>
      </c>
      <c r="O274" s="95" cm="1">
        <f t="array" ref="O274">IF($C274&gt;O$11,0,INDEX($F$251:$AD$251,O$11-$C274+1)*($D274/$D$251))</f>
        <v>0</v>
      </c>
      <c r="P274" s="95" cm="1">
        <f t="array" ref="P274">IF($C274&gt;P$11,0,INDEX($F$251:$AD$251,P$11-$C274+1)*($D274/$D$251))</f>
        <v>0</v>
      </c>
      <c r="Q274" s="95" cm="1">
        <f t="array" ref="Q274">IF($C274&gt;Q$11,0,INDEX($F$251:$AD$251,Q$11-$C274+1)*($D274/$D$251))</f>
        <v>0</v>
      </c>
      <c r="R274" s="95" cm="1">
        <f t="array" ref="R274">IF($C274&gt;R$11,0,INDEX($F$251:$AD$251,R$11-$C274+1)*($D274/$D$251))</f>
        <v>0</v>
      </c>
      <c r="S274" s="95" cm="1">
        <f t="array" ref="S274">IF($C274&gt;S$11,0,INDEX($F$251:$AD$251,S$11-$C274+1)*($D274/$D$251))</f>
        <v>0</v>
      </c>
      <c r="T274" s="95" cm="1">
        <f t="array" ref="T274">IF($C274&gt;T$11,0,INDEX($F$251:$AD$251,T$11-$C274+1)*($D274/$D$251))</f>
        <v>0</v>
      </c>
      <c r="U274" s="95" cm="1">
        <f t="array" ref="U274">IF($C274&gt;U$11,0,INDEX($F$251:$AD$251,U$11-$C274+1)*($D274/$D$251))</f>
        <v>0</v>
      </c>
      <c r="V274" s="95" cm="1">
        <f t="array" ref="V274">IF($C274&gt;V$11,0,INDEX($F$251:$AD$251,V$11-$C274+1)*($D274/$D$251))</f>
        <v>0</v>
      </c>
      <c r="W274" s="95" cm="1">
        <f t="array" ref="W274">IF($C274&gt;W$11,0,INDEX($F$251:$AD$251,W$11-$C274+1)*($D274/$D$251))</f>
        <v>0</v>
      </c>
      <c r="X274" s="95" cm="1">
        <f t="array" ref="X274">IF($C274&gt;X$11,0,INDEX($F$251:$AD$251,X$11-$C274+1)*($D274/$D$251))</f>
        <v>0</v>
      </c>
      <c r="Y274" s="95" cm="1">
        <f t="array" ref="Y274">IF($C274&gt;Y$11,0,INDEX($F$251:$AD$251,Y$11-$C274+1)*($D274/$D$251))</f>
        <v>0</v>
      </c>
      <c r="Z274" s="95" cm="1">
        <f t="array" ref="Z274">IF($C274&gt;Z$11,0,INDEX($F$251:$AD$251,Z$11-$C274+1)*($D274/$D$251))</f>
        <v>0</v>
      </c>
      <c r="AA274" s="95" cm="1">
        <f t="array" ref="AA274">IF($C274&gt;AA$11,0,INDEX($F$251:$AD$251,AA$11-$C274+1)*($D274/$D$251))</f>
        <v>389880</v>
      </c>
      <c r="AB274" s="95" cm="1">
        <f t="array" ref="AB274">IF($C274&gt;AB$11,0,INDEX($F$251:$AD$251,AB$11-$C274+1)*($D274/$D$251))</f>
        <v>311904</v>
      </c>
      <c r="AC274" s="95" cm="1">
        <f t="array" ref="AC274">IF($C274&gt;AC$11,0,INDEX($F$251:$AD$251,AC$11-$C274+1)*($D274/$D$251))</f>
        <v>249523.20000000001</v>
      </c>
      <c r="AD274" s="95" cm="1">
        <f t="array" ref="AD274">IF($C274&gt;AD$11,0,INDEX($F$251:$AD$251,AD$11-$C274+1)*($D274/$D$251))</f>
        <v>198838.8</v>
      </c>
    </row>
    <row r="275" spans="1:30">
      <c r="A275" s="95"/>
      <c r="B275" s="118">
        <f t="shared" si="73"/>
        <v>2</v>
      </c>
      <c r="C275">
        <f t="shared" si="74"/>
        <v>2044</v>
      </c>
      <c r="D275" s="95" cm="1">
        <f t="array" ref="D275">INDEX($F$14:$AD$16,$B275,MATCH($C275,$F$11:$AD$11,0))*$G$252</f>
        <v>2116125</v>
      </c>
      <c r="E275" s="95"/>
      <c r="F275" s="95" cm="1">
        <f t="array" ref="F275">IF($C275&gt;F$11,0,INDEX($F$251:$AD$251,F$11-$C275+1)*($D275/$D$251))</f>
        <v>0</v>
      </c>
      <c r="G275" s="95" cm="1">
        <f t="array" ref="G275">IF($C275&gt;G$11,0,INDEX($F$251:$AD$251,G$11-$C275+1)*($D275/$D$251))</f>
        <v>0</v>
      </c>
      <c r="H275" s="95" cm="1">
        <f t="array" ref="H275">IF($C275&gt;H$11,0,INDEX($F$251:$AD$251,H$11-$C275+1)*($D275/$D$251))</f>
        <v>0</v>
      </c>
      <c r="I275" s="95" cm="1">
        <f t="array" ref="I275">IF($C275&gt;I$11,0,INDEX($F$251:$AD$251,I$11-$C275+1)*($D275/$D$251))</f>
        <v>0</v>
      </c>
      <c r="J275" s="95" cm="1">
        <f t="array" ref="J275">IF($C275&gt;J$11,0,INDEX($F$251:$AD$251,J$11-$C275+1)*($D275/$D$251))</f>
        <v>0</v>
      </c>
      <c r="K275" s="95" cm="1">
        <f t="array" ref="K275">IF($C275&gt;K$11,0,INDEX($F$251:$AD$251,K$11-$C275+1)*($D275/$D$251))</f>
        <v>0</v>
      </c>
      <c r="L275" s="95" cm="1">
        <f t="array" ref="L275">IF($C275&gt;L$11,0,INDEX($F$251:$AD$251,L$11-$C275+1)*($D275/$D$251))</f>
        <v>0</v>
      </c>
      <c r="M275" s="95" cm="1">
        <f t="array" ref="M275">IF($C275&gt;M$11,0,INDEX($F$251:$AD$251,M$11-$C275+1)*($D275/$D$251))</f>
        <v>0</v>
      </c>
      <c r="N275" s="95" cm="1">
        <f t="array" ref="N275">IF($C275&gt;N$11,0,INDEX($F$251:$AD$251,N$11-$C275+1)*($D275/$D$251))</f>
        <v>0</v>
      </c>
      <c r="O275" s="95" cm="1">
        <f t="array" ref="O275">IF($C275&gt;O$11,0,INDEX($F$251:$AD$251,O$11-$C275+1)*($D275/$D$251))</f>
        <v>0</v>
      </c>
      <c r="P275" s="95" cm="1">
        <f t="array" ref="P275">IF($C275&gt;P$11,0,INDEX($F$251:$AD$251,P$11-$C275+1)*($D275/$D$251))</f>
        <v>0</v>
      </c>
      <c r="Q275" s="95" cm="1">
        <f t="array" ref="Q275">IF($C275&gt;Q$11,0,INDEX($F$251:$AD$251,Q$11-$C275+1)*($D275/$D$251))</f>
        <v>0</v>
      </c>
      <c r="R275" s="95" cm="1">
        <f t="array" ref="R275">IF($C275&gt;R$11,0,INDEX($F$251:$AD$251,R$11-$C275+1)*($D275/$D$251))</f>
        <v>0</v>
      </c>
      <c r="S275" s="95" cm="1">
        <f t="array" ref="S275">IF($C275&gt;S$11,0,INDEX($F$251:$AD$251,S$11-$C275+1)*($D275/$D$251))</f>
        <v>0</v>
      </c>
      <c r="T275" s="95" cm="1">
        <f t="array" ref="T275">IF($C275&gt;T$11,0,INDEX($F$251:$AD$251,T$11-$C275+1)*($D275/$D$251))</f>
        <v>0</v>
      </c>
      <c r="U275" s="95" cm="1">
        <f t="array" ref="U275">IF($C275&gt;U$11,0,INDEX($F$251:$AD$251,U$11-$C275+1)*($D275/$D$251))</f>
        <v>0</v>
      </c>
      <c r="V275" s="95" cm="1">
        <f t="array" ref="V275">IF($C275&gt;V$11,0,INDEX($F$251:$AD$251,V$11-$C275+1)*($D275/$D$251))</f>
        <v>0</v>
      </c>
      <c r="W275" s="95" cm="1">
        <f t="array" ref="W275">IF($C275&gt;W$11,0,INDEX($F$251:$AD$251,W$11-$C275+1)*($D275/$D$251))</f>
        <v>0</v>
      </c>
      <c r="X275" s="95" cm="1">
        <f t="array" ref="X275">IF($C275&gt;X$11,0,INDEX($F$251:$AD$251,X$11-$C275+1)*($D275/$D$251))</f>
        <v>0</v>
      </c>
      <c r="Y275" s="95" cm="1">
        <f t="array" ref="Y275">IF($C275&gt;Y$11,0,INDEX($F$251:$AD$251,Y$11-$C275+1)*($D275/$D$251))</f>
        <v>0</v>
      </c>
      <c r="Z275" s="95" cm="1">
        <f t="array" ref="Z275">IF($C275&gt;Z$11,0,INDEX($F$251:$AD$251,Z$11-$C275+1)*($D275/$D$251))</f>
        <v>0</v>
      </c>
      <c r="AA275" s="95" cm="1">
        <f t="array" ref="AA275">IF($C275&gt;AA$11,0,INDEX($F$251:$AD$251,AA$11-$C275+1)*($D275/$D$251))</f>
        <v>0</v>
      </c>
      <c r="AB275" s="95" cm="1">
        <f t="array" ref="AB275">IF($C275&gt;AB$11,0,INDEX($F$251:$AD$251,AB$11-$C275+1)*($D275/$D$251))</f>
        <v>423224.99999999994</v>
      </c>
      <c r="AC275" s="95" cm="1">
        <f t="array" ref="AC275">IF($C275&gt;AC$11,0,INDEX($F$251:$AD$251,AC$11-$C275+1)*($D275/$D$251))</f>
        <v>338579.99999999994</v>
      </c>
      <c r="AD275" s="95" cm="1">
        <f t="array" ref="AD275">IF($C275&gt;AD$11,0,INDEX($F$251:$AD$251,AD$11-$C275+1)*($D275/$D$251))</f>
        <v>270864</v>
      </c>
    </row>
    <row r="276" spans="1:30">
      <c r="A276" s="95"/>
      <c r="B276" s="118">
        <f t="shared" si="73"/>
        <v>2</v>
      </c>
      <c r="C276">
        <f t="shared" si="74"/>
        <v>2045</v>
      </c>
      <c r="D276" s="95" cm="1">
        <f t="array" ref="D276">INDEX($F$14:$AD$16,$B276,MATCH($C276,$F$11:$AD$11,0))*$G$252</f>
        <v>1246875</v>
      </c>
      <c r="E276" s="95"/>
      <c r="F276" s="95" cm="1">
        <f t="array" ref="F276">IF($C276&gt;F$11,0,INDEX($F$251:$AD$251,F$11-$C276+1)*($D276/$D$251))</f>
        <v>0</v>
      </c>
      <c r="G276" s="95" cm="1">
        <f t="array" ref="G276">IF($C276&gt;G$11,0,INDEX($F$251:$AD$251,G$11-$C276+1)*($D276/$D$251))</f>
        <v>0</v>
      </c>
      <c r="H276" s="95" cm="1">
        <f t="array" ref="H276">IF($C276&gt;H$11,0,INDEX($F$251:$AD$251,H$11-$C276+1)*($D276/$D$251))</f>
        <v>0</v>
      </c>
      <c r="I276" s="95" cm="1">
        <f t="array" ref="I276">IF($C276&gt;I$11,0,INDEX($F$251:$AD$251,I$11-$C276+1)*($D276/$D$251))</f>
        <v>0</v>
      </c>
      <c r="J276" s="95" cm="1">
        <f t="array" ref="J276">IF($C276&gt;J$11,0,INDEX($F$251:$AD$251,J$11-$C276+1)*($D276/$D$251))</f>
        <v>0</v>
      </c>
      <c r="K276" s="95" cm="1">
        <f t="array" ref="K276">IF($C276&gt;K$11,0,INDEX($F$251:$AD$251,K$11-$C276+1)*($D276/$D$251))</f>
        <v>0</v>
      </c>
      <c r="L276" s="95" cm="1">
        <f t="array" ref="L276">IF($C276&gt;L$11,0,INDEX($F$251:$AD$251,L$11-$C276+1)*($D276/$D$251))</f>
        <v>0</v>
      </c>
      <c r="M276" s="95" cm="1">
        <f t="array" ref="M276">IF($C276&gt;M$11,0,INDEX($F$251:$AD$251,M$11-$C276+1)*($D276/$D$251))</f>
        <v>0</v>
      </c>
      <c r="N276" s="95" cm="1">
        <f t="array" ref="N276">IF($C276&gt;N$11,0,INDEX($F$251:$AD$251,N$11-$C276+1)*($D276/$D$251))</f>
        <v>0</v>
      </c>
      <c r="O276" s="95" cm="1">
        <f t="array" ref="O276">IF($C276&gt;O$11,0,INDEX($F$251:$AD$251,O$11-$C276+1)*($D276/$D$251))</f>
        <v>0</v>
      </c>
      <c r="P276" s="95" cm="1">
        <f t="array" ref="P276">IF($C276&gt;P$11,0,INDEX($F$251:$AD$251,P$11-$C276+1)*($D276/$D$251))</f>
        <v>0</v>
      </c>
      <c r="Q276" s="95" cm="1">
        <f t="array" ref="Q276">IF($C276&gt;Q$11,0,INDEX($F$251:$AD$251,Q$11-$C276+1)*($D276/$D$251))</f>
        <v>0</v>
      </c>
      <c r="R276" s="95" cm="1">
        <f t="array" ref="R276">IF($C276&gt;R$11,0,INDEX($F$251:$AD$251,R$11-$C276+1)*($D276/$D$251))</f>
        <v>0</v>
      </c>
      <c r="S276" s="95" cm="1">
        <f t="array" ref="S276">IF($C276&gt;S$11,0,INDEX($F$251:$AD$251,S$11-$C276+1)*($D276/$D$251))</f>
        <v>0</v>
      </c>
      <c r="T276" s="95" cm="1">
        <f t="array" ref="T276">IF($C276&gt;T$11,0,INDEX($F$251:$AD$251,T$11-$C276+1)*($D276/$D$251))</f>
        <v>0</v>
      </c>
      <c r="U276" s="95" cm="1">
        <f t="array" ref="U276">IF($C276&gt;U$11,0,INDEX($F$251:$AD$251,U$11-$C276+1)*($D276/$D$251))</f>
        <v>0</v>
      </c>
      <c r="V276" s="95" cm="1">
        <f t="array" ref="V276">IF($C276&gt;V$11,0,INDEX($F$251:$AD$251,V$11-$C276+1)*($D276/$D$251))</f>
        <v>0</v>
      </c>
      <c r="W276" s="95" cm="1">
        <f t="array" ref="W276">IF($C276&gt;W$11,0,INDEX($F$251:$AD$251,W$11-$C276+1)*($D276/$D$251))</f>
        <v>0</v>
      </c>
      <c r="X276" s="95" cm="1">
        <f t="array" ref="X276">IF($C276&gt;X$11,0,INDEX($F$251:$AD$251,X$11-$C276+1)*($D276/$D$251))</f>
        <v>0</v>
      </c>
      <c r="Y276" s="95" cm="1">
        <f t="array" ref="Y276">IF($C276&gt;Y$11,0,INDEX($F$251:$AD$251,Y$11-$C276+1)*($D276/$D$251))</f>
        <v>0</v>
      </c>
      <c r="Z276" s="95" cm="1">
        <f t="array" ref="Z276">IF($C276&gt;Z$11,0,INDEX($F$251:$AD$251,Z$11-$C276+1)*($D276/$D$251))</f>
        <v>0</v>
      </c>
      <c r="AA276" s="95" cm="1">
        <f t="array" ref="AA276">IF($C276&gt;AA$11,0,INDEX($F$251:$AD$251,AA$11-$C276+1)*($D276/$D$251))</f>
        <v>0</v>
      </c>
      <c r="AB276" s="95" cm="1">
        <f t="array" ref="AB276">IF($C276&gt;AB$11,0,INDEX($F$251:$AD$251,AB$11-$C276+1)*($D276/$D$251))</f>
        <v>0</v>
      </c>
      <c r="AC276" s="95" cm="1">
        <f t="array" ref="AC276">IF($C276&gt;AC$11,0,INDEX($F$251:$AD$251,AC$11-$C276+1)*($D276/$D$251))</f>
        <v>249375</v>
      </c>
      <c r="AD276" s="95" cm="1">
        <f t="array" ref="AD276">IF($C276&gt;AD$11,0,INDEX($F$251:$AD$251,AD$11-$C276+1)*($D276/$D$251))</f>
        <v>199500</v>
      </c>
    </row>
    <row r="277" spans="1:30">
      <c r="A277" s="95"/>
      <c r="B277" s="118">
        <f t="shared" si="73"/>
        <v>2</v>
      </c>
      <c r="C277">
        <f t="shared" si="74"/>
        <v>2046</v>
      </c>
      <c r="D277" s="95" cm="1">
        <f t="array" ref="D277">INDEX($F$14:$AD$16,$B277,MATCH($C277,$F$11:$AD$11,0))*$G$252</f>
        <v>2337000</v>
      </c>
      <c r="E277" s="95"/>
      <c r="F277" s="95" cm="1">
        <f t="array" ref="F277">IF($C277&gt;F$11,0,INDEX($F$251:$AD$251,F$11-$C277+1)*($D277/$D$251))</f>
        <v>0</v>
      </c>
      <c r="G277" s="95" cm="1">
        <f t="array" ref="G277">IF($C277&gt;G$11,0,INDEX($F$251:$AD$251,G$11-$C277+1)*($D277/$D$251))</f>
        <v>0</v>
      </c>
      <c r="H277" s="95" cm="1">
        <f t="array" ref="H277">IF($C277&gt;H$11,0,INDEX($F$251:$AD$251,H$11-$C277+1)*($D277/$D$251))</f>
        <v>0</v>
      </c>
      <c r="I277" s="95" cm="1">
        <f t="array" ref="I277">IF($C277&gt;I$11,0,INDEX($F$251:$AD$251,I$11-$C277+1)*($D277/$D$251))</f>
        <v>0</v>
      </c>
      <c r="J277" s="95" cm="1">
        <f t="array" ref="J277">IF($C277&gt;J$11,0,INDEX($F$251:$AD$251,J$11-$C277+1)*($D277/$D$251))</f>
        <v>0</v>
      </c>
      <c r="K277" s="95" cm="1">
        <f t="array" ref="K277">IF($C277&gt;K$11,0,INDEX($F$251:$AD$251,K$11-$C277+1)*($D277/$D$251))</f>
        <v>0</v>
      </c>
      <c r="L277" s="95" cm="1">
        <f t="array" ref="L277">IF($C277&gt;L$11,0,INDEX($F$251:$AD$251,L$11-$C277+1)*($D277/$D$251))</f>
        <v>0</v>
      </c>
      <c r="M277" s="95" cm="1">
        <f t="array" ref="M277">IF($C277&gt;M$11,0,INDEX($F$251:$AD$251,M$11-$C277+1)*($D277/$D$251))</f>
        <v>0</v>
      </c>
      <c r="N277" s="95" cm="1">
        <f t="array" ref="N277">IF($C277&gt;N$11,0,INDEX($F$251:$AD$251,N$11-$C277+1)*($D277/$D$251))</f>
        <v>0</v>
      </c>
      <c r="O277" s="95" cm="1">
        <f t="array" ref="O277">IF($C277&gt;O$11,0,INDEX($F$251:$AD$251,O$11-$C277+1)*($D277/$D$251))</f>
        <v>0</v>
      </c>
      <c r="P277" s="95" cm="1">
        <f t="array" ref="P277">IF($C277&gt;P$11,0,INDEX($F$251:$AD$251,P$11-$C277+1)*($D277/$D$251))</f>
        <v>0</v>
      </c>
      <c r="Q277" s="95" cm="1">
        <f t="array" ref="Q277">IF($C277&gt;Q$11,0,INDEX($F$251:$AD$251,Q$11-$C277+1)*($D277/$D$251))</f>
        <v>0</v>
      </c>
      <c r="R277" s="95" cm="1">
        <f t="array" ref="R277">IF($C277&gt;R$11,0,INDEX($F$251:$AD$251,R$11-$C277+1)*($D277/$D$251))</f>
        <v>0</v>
      </c>
      <c r="S277" s="95" cm="1">
        <f t="array" ref="S277">IF($C277&gt;S$11,0,INDEX($F$251:$AD$251,S$11-$C277+1)*($D277/$D$251))</f>
        <v>0</v>
      </c>
      <c r="T277" s="95" cm="1">
        <f t="array" ref="T277">IF($C277&gt;T$11,0,INDEX($F$251:$AD$251,T$11-$C277+1)*($D277/$D$251))</f>
        <v>0</v>
      </c>
      <c r="U277" s="95" cm="1">
        <f t="array" ref="U277">IF($C277&gt;U$11,0,INDEX($F$251:$AD$251,U$11-$C277+1)*($D277/$D$251))</f>
        <v>0</v>
      </c>
      <c r="V277" s="95" cm="1">
        <f t="array" ref="V277">IF($C277&gt;V$11,0,INDEX($F$251:$AD$251,V$11-$C277+1)*($D277/$D$251))</f>
        <v>0</v>
      </c>
      <c r="W277" s="95" cm="1">
        <f t="array" ref="W277">IF($C277&gt;W$11,0,INDEX($F$251:$AD$251,W$11-$C277+1)*($D277/$D$251))</f>
        <v>0</v>
      </c>
      <c r="X277" s="95" cm="1">
        <f t="array" ref="X277">IF($C277&gt;X$11,0,INDEX($F$251:$AD$251,X$11-$C277+1)*($D277/$D$251))</f>
        <v>0</v>
      </c>
      <c r="Y277" s="95" cm="1">
        <f t="array" ref="Y277">IF($C277&gt;Y$11,0,INDEX($F$251:$AD$251,Y$11-$C277+1)*($D277/$D$251))</f>
        <v>0</v>
      </c>
      <c r="Z277" s="95" cm="1">
        <f t="array" ref="Z277">IF($C277&gt;Z$11,0,INDEX($F$251:$AD$251,Z$11-$C277+1)*($D277/$D$251))</f>
        <v>0</v>
      </c>
      <c r="AA277" s="95" cm="1">
        <f t="array" ref="AA277">IF($C277&gt;AA$11,0,INDEX($F$251:$AD$251,AA$11-$C277+1)*($D277/$D$251))</f>
        <v>0</v>
      </c>
      <c r="AB277" s="95" cm="1">
        <f t="array" ref="AB277">IF($C277&gt;AB$11,0,INDEX($F$251:$AD$251,AB$11-$C277+1)*($D277/$D$251))</f>
        <v>0</v>
      </c>
      <c r="AC277" s="95" cm="1">
        <f t="array" ref="AC277">IF($C277&gt;AC$11,0,INDEX($F$251:$AD$251,AC$11-$C277+1)*($D277/$D$251))</f>
        <v>0</v>
      </c>
      <c r="AD277" s="95" cm="1">
        <f t="array" ref="AD277">IF($C277&gt;AD$11,0,INDEX($F$251:$AD$251,AD$11-$C277+1)*($D277/$D$251))</f>
        <v>467400.00000000006</v>
      </c>
    </row>
    <row r="278" spans="1:30" ht="14.4">
      <c r="C278" s="108" t="str">
        <f>"Total "&amp;C249</f>
        <v>Total Medium Term</v>
      </c>
      <c r="D278" s="108" t="s">
        <v>68</v>
      </c>
      <c r="E278" s="109"/>
      <c r="F278" s="110">
        <f>SUM(F253:F277)</f>
        <v>546345</v>
      </c>
      <c r="G278" s="110">
        <f t="shared" ref="G278:AD278" si="75">SUM(G253:G277)</f>
        <v>595821</v>
      </c>
      <c r="H278" s="110">
        <f t="shared" si="75"/>
        <v>674446.8</v>
      </c>
      <c r="I278" s="110">
        <f t="shared" si="75"/>
        <v>710604.75</v>
      </c>
      <c r="J278" s="110">
        <f t="shared" si="75"/>
        <v>741114</v>
      </c>
      <c r="K278" s="110">
        <f t="shared" si="75"/>
        <v>1103200.8</v>
      </c>
      <c r="L278" s="110">
        <f t="shared" si="75"/>
        <v>957463.2</v>
      </c>
      <c r="M278" s="110">
        <f t="shared" si="75"/>
        <v>1118992.6499999999</v>
      </c>
      <c r="N278" s="110">
        <f t="shared" si="75"/>
        <v>1329228.6000000001</v>
      </c>
      <c r="O278" s="110">
        <f t="shared" si="75"/>
        <v>1461896.1</v>
      </c>
      <c r="P278" s="110">
        <f t="shared" si="75"/>
        <v>1723443.4500000002</v>
      </c>
      <c r="Q278" s="110">
        <f t="shared" si="75"/>
        <v>1515744</v>
      </c>
      <c r="R278" s="110">
        <f t="shared" si="75"/>
        <v>1487409.3</v>
      </c>
      <c r="S278" s="110">
        <f t="shared" si="75"/>
        <v>1507783.9500000002</v>
      </c>
      <c r="T278" s="110">
        <f t="shared" si="75"/>
        <v>1732734.45</v>
      </c>
      <c r="U278" s="110">
        <f t="shared" si="75"/>
        <v>1390757.25</v>
      </c>
      <c r="V278" s="110">
        <f t="shared" si="75"/>
        <v>1842772.9500000002</v>
      </c>
      <c r="W278" s="110">
        <f t="shared" si="75"/>
        <v>1604968.95</v>
      </c>
      <c r="X278" s="110">
        <f t="shared" si="75"/>
        <v>1445101.05</v>
      </c>
      <c r="Y278" s="110">
        <f t="shared" si="75"/>
        <v>1567896.1500000001</v>
      </c>
      <c r="Z278" s="110">
        <f t="shared" si="75"/>
        <v>1544930.8499999999</v>
      </c>
      <c r="AA278" s="110">
        <f t="shared" si="75"/>
        <v>1670071.5</v>
      </c>
      <c r="AB278" s="110">
        <f t="shared" si="75"/>
        <v>1785684.6</v>
      </c>
      <c r="AC278" s="110">
        <f t="shared" si="75"/>
        <v>1683936.75</v>
      </c>
      <c r="AD278" s="110">
        <f t="shared" si="75"/>
        <v>1753476.75</v>
      </c>
    </row>
    <row r="280" spans="1:30" ht="14.4">
      <c r="B280" s="94">
        <v>3</v>
      </c>
      <c r="C280" s="93" t="str" cm="1">
        <f t="array" ref="C280">INDEX(ListAssetClasses1,B280)</f>
        <v>Long Term</v>
      </c>
      <c r="E280" t="s">
        <v>80</v>
      </c>
      <c r="F280" s="111" cm="1">
        <f t="array" ref="F280">INDEX($D$194:$D$196,B280)</f>
        <v>15</v>
      </c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</row>
    <row r="281" spans="1:30" ht="14.4">
      <c r="E281" t="s">
        <v>37</v>
      </c>
      <c r="F281" s="122">
        <v>1</v>
      </c>
      <c r="G281" s="111">
        <f>F281+1</f>
        <v>2</v>
      </c>
      <c r="H281" s="111">
        <f t="shared" ref="H281:Y281" si="76">G281+1</f>
        <v>3</v>
      </c>
      <c r="I281" s="111">
        <f t="shared" si="76"/>
        <v>4</v>
      </c>
      <c r="J281" s="111">
        <f t="shared" si="76"/>
        <v>5</v>
      </c>
      <c r="K281" s="111">
        <f t="shared" si="76"/>
        <v>6</v>
      </c>
      <c r="L281" s="111">
        <f t="shared" si="76"/>
        <v>7</v>
      </c>
      <c r="M281" s="111">
        <f t="shared" si="76"/>
        <v>8</v>
      </c>
      <c r="N281" s="111">
        <f t="shared" si="76"/>
        <v>9</v>
      </c>
      <c r="O281" s="111">
        <f t="shared" si="76"/>
        <v>10</v>
      </c>
      <c r="P281" s="111">
        <f t="shared" si="76"/>
        <v>11</v>
      </c>
      <c r="Q281" s="111">
        <f t="shared" si="76"/>
        <v>12</v>
      </c>
      <c r="R281" s="111">
        <f t="shared" si="76"/>
        <v>13</v>
      </c>
      <c r="S281" s="111">
        <f t="shared" si="76"/>
        <v>14</v>
      </c>
      <c r="T281" s="111">
        <f t="shared" si="76"/>
        <v>15</v>
      </c>
      <c r="U281" s="111">
        <f t="shared" si="76"/>
        <v>16</v>
      </c>
      <c r="V281" s="111">
        <f t="shared" si="76"/>
        <v>17</v>
      </c>
      <c r="W281" s="111">
        <f t="shared" si="76"/>
        <v>18</v>
      </c>
      <c r="X281" s="111">
        <f t="shared" si="76"/>
        <v>19</v>
      </c>
      <c r="Y281" s="111">
        <f t="shared" si="76"/>
        <v>20</v>
      </c>
      <c r="Z281" s="95"/>
      <c r="AA281" s="95"/>
      <c r="AB281" s="95"/>
      <c r="AC281" s="95"/>
      <c r="AD281" s="95"/>
    </row>
    <row r="282" spans="1:30" ht="14.4">
      <c r="C282" s="115" t="s">
        <v>47</v>
      </c>
      <c r="D282" s="123">
        <f>INDEX(CaseData!$E$39:$T$39,MATCH(F280,CaseData!$E$40:$T$40,0))</f>
        <v>1000000</v>
      </c>
      <c r="E282" t="s">
        <v>81</v>
      </c>
      <c r="F282" s="124">
        <f>INDEX(CaseData!$D$40:$T$61,MATCH(F281,CaseData!$D$40:$D$61,0),MATCH($F280,CaseData!$D$40:$T$40,0))</f>
        <v>133000</v>
      </c>
      <c r="G282" s="124">
        <f>INDEX(CaseData!$D$40:$T$61,MATCH(G281,CaseData!$D$40:$D$61,0),MATCH($F280,CaseData!$D$40:$T$40,0))</f>
        <v>116000</v>
      </c>
      <c r="H282" s="124">
        <f>INDEX(CaseData!$D$40:$T$61,MATCH(H281,CaseData!$D$40:$D$61,0),MATCH($F280,CaseData!$D$40:$T$40,0))</f>
        <v>100000</v>
      </c>
      <c r="I282" s="124">
        <f>INDEX(CaseData!$D$40:$T$61,MATCH(I281,CaseData!$D$40:$D$61,0),MATCH($F280,CaseData!$D$40:$T$40,0))</f>
        <v>87000</v>
      </c>
      <c r="J282" s="124">
        <f>INDEX(CaseData!$D$40:$T$61,MATCH(J281,CaseData!$D$40:$D$61,0),MATCH($F280,CaseData!$D$40:$T$40,0))</f>
        <v>75000</v>
      </c>
      <c r="K282" s="124">
        <f>INDEX(CaseData!$D$40:$T$61,MATCH(K281,CaseData!$D$40:$D$61,0),MATCH($F280,CaseData!$D$40:$T$40,0))</f>
        <v>65000</v>
      </c>
      <c r="L282" s="124">
        <f>INDEX(CaseData!$D$40:$T$61,MATCH(L281,CaseData!$D$40:$D$61,0),MATCH($F280,CaseData!$D$40:$T$40,0))</f>
        <v>57000</v>
      </c>
      <c r="M282" s="124">
        <f>INDEX(CaseData!$D$40:$T$61,MATCH(M281,CaseData!$D$40:$D$61,0),MATCH($F280,CaseData!$D$40:$T$40,0))</f>
        <v>49000</v>
      </c>
      <c r="N282" s="124">
        <f>INDEX(CaseData!$D$40:$T$61,MATCH(N281,CaseData!$D$40:$D$61,0),MATCH($F280,CaseData!$D$40:$T$40,0))</f>
        <v>45000</v>
      </c>
      <c r="O282" s="124">
        <f>INDEX(CaseData!$D$40:$T$61,MATCH(O281,CaseData!$D$40:$D$61,0),MATCH($F280,CaseData!$D$40:$T$40,0))</f>
        <v>45000</v>
      </c>
      <c r="P282" s="124">
        <f>INDEX(CaseData!$D$40:$T$61,MATCH(P281,CaseData!$D$40:$D$61,0),MATCH($F280,CaseData!$D$40:$T$40,0))</f>
        <v>45000</v>
      </c>
      <c r="Q282" s="124">
        <f>INDEX(CaseData!$D$40:$T$61,MATCH(Q281,CaseData!$D$40:$D$61,0),MATCH($F280,CaseData!$D$40:$T$40,0))</f>
        <v>45000</v>
      </c>
      <c r="R282" s="124">
        <f>INDEX(CaseData!$D$40:$T$61,MATCH(R281,CaseData!$D$40:$D$61,0),MATCH($F280,CaseData!$D$40:$T$40,0))</f>
        <v>45000</v>
      </c>
      <c r="S282" s="124">
        <f>INDEX(CaseData!$D$40:$T$61,MATCH(S281,CaseData!$D$40:$D$61,0),MATCH($F280,CaseData!$D$40:$T$40,0))</f>
        <v>45000</v>
      </c>
      <c r="T282" s="124">
        <f>INDEX(CaseData!$D$40:$T$61,MATCH(T281,CaseData!$D$40:$D$61,0),MATCH($F280,CaseData!$D$40:$T$40,0))</f>
        <v>48000</v>
      </c>
      <c r="U282" s="124">
        <f>INDEX(CaseData!$D$40:$T$61,MATCH(U281,CaseData!$D$40:$D$61,0),MATCH($F280,CaseData!$D$40:$T$40,0))</f>
        <v>0</v>
      </c>
      <c r="V282" s="124">
        <f>INDEX(CaseData!$D$40:$T$61,MATCH(V281,CaseData!$D$40:$D$61,0),MATCH($F280,CaseData!$D$40:$T$40,0))</f>
        <v>0</v>
      </c>
      <c r="W282" s="124">
        <f>INDEX(CaseData!$D$40:$T$61,MATCH(W281,CaseData!$D$40:$D$61,0),MATCH($F280,CaseData!$D$40:$T$40,0))</f>
        <v>0</v>
      </c>
      <c r="X282" s="124">
        <f>INDEX(CaseData!$D$40:$T$61,MATCH(X281,CaseData!$D$40:$D$61,0),MATCH($F280,CaseData!$D$40:$T$40,0))</f>
        <v>0</v>
      </c>
      <c r="Y282" s="124">
        <f>INDEX(CaseData!$D$40:$T$61,MATCH(Y281,CaseData!$D$40:$D$61,0),MATCH($F280,CaseData!$D$40:$T$40,0))</f>
        <v>0</v>
      </c>
      <c r="Z282" s="95"/>
      <c r="AA282" s="95"/>
      <c r="AB282" s="95"/>
      <c r="AC282" s="95"/>
      <c r="AD282" s="95"/>
    </row>
    <row r="283" spans="1:30" ht="14.4">
      <c r="C283" s="114" t="s">
        <v>76</v>
      </c>
      <c r="D283" s="114" t="s">
        <v>77</v>
      </c>
      <c r="E283" s="115" t="s">
        <v>73</v>
      </c>
      <c r="F283" s="119"/>
      <c r="G283" s="117">
        <f>1-CaseData!$G$11</f>
        <v>0.95</v>
      </c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95"/>
      <c r="AA283" s="95"/>
      <c r="AB283" s="95"/>
      <c r="AC283" s="95"/>
      <c r="AD283" s="95"/>
    </row>
    <row r="284" spans="1:30">
      <c r="A284" s="95"/>
      <c r="B284" s="118">
        <f>B280</f>
        <v>3</v>
      </c>
      <c r="C284">
        <f>$F$11</f>
        <v>2022</v>
      </c>
      <c r="D284" s="95" cm="1">
        <f t="array" ref="D284">INDEX($F$14:$AD$16,$B284,MATCH($C284,$F$11:$AD$11,0))*$G$283</f>
        <v>3223350</v>
      </c>
      <c r="E284" s="95"/>
      <c r="F284" s="95" cm="1">
        <f t="array" ref="F284">IF($C284&gt;F$11,0,INDEX($F$282:$AD$282,F$11-$C284+1)*($D284/$D$282))</f>
        <v>428705.55</v>
      </c>
      <c r="G284" s="95" cm="1">
        <f t="array" ref="G284">IF($C284&gt;G$11,0,INDEX($F$282:$AD$282,G$11-$C284+1)*($D284/$D$282))</f>
        <v>373908.6</v>
      </c>
      <c r="H284" s="95" cm="1">
        <f t="array" ref="H284">IF($C284&gt;H$11,0,INDEX($F$282:$AD$282,H$11-$C284+1)*($D284/$D$282))</f>
        <v>322335</v>
      </c>
      <c r="I284" s="95" cm="1">
        <f t="array" ref="I284">IF($C284&gt;I$11,0,INDEX($F$282:$AD$282,I$11-$C284+1)*($D284/$D$282))</f>
        <v>280431.45</v>
      </c>
      <c r="J284" s="95" cm="1">
        <f t="array" ref="J284">IF($C284&gt;J$11,0,INDEX($F$282:$AD$282,J$11-$C284+1)*($D284/$D$282))</f>
        <v>241751.25</v>
      </c>
      <c r="K284" s="95" cm="1">
        <f t="array" ref="K284">IF($C284&gt;K$11,0,INDEX($F$282:$AD$282,K$11-$C284+1)*($D284/$D$282))</f>
        <v>209517.75</v>
      </c>
      <c r="L284" s="95" cm="1">
        <f t="array" ref="L284">IF($C284&gt;L$11,0,INDEX($F$282:$AD$282,L$11-$C284+1)*($D284/$D$282))</f>
        <v>183730.94999999998</v>
      </c>
      <c r="M284" s="95" cm="1">
        <f t="array" ref="M284">IF($C284&gt;M$11,0,INDEX($F$282:$AD$282,M$11-$C284+1)*($D284/$D$282))</f>
        <v>157944.15</v>
      </c>
      <c r="N284" s="95" cm="1">
        <f t="array" ref="N284">IF($C284&gt;N$11,0,INDEX($F$282:$AD$282,N$11-$C284+1)*($D284/$D$282))</f>
        <v>145050.75</v>
      </c>
      <c r="O284" s="95" cm="1">
        <f t="array" ref="O284">IF($C284&gt;O$11,0,INDEX($F$282:$AD$282,O$11-$C284+1)*($D284/$D$282))</f>
        <v>145050.75</v>
      </c>
      <c r="P284" s="95" cm="1">
        <f t="array" ref="P284">IF($C284&gt;P$11,0,INDEX($F$282:$AD$282,P$11-$C284+1)*($D284/$D$282))</f>
        <v>145050.75</v>
      </c>
      <c r="Q284" s="95" cm="1">
        <f t="array" ref="Q284">IF($C284&gt;Q$11,0,INDEX($F$282:$AD$282,Q$11-$C284+1)*($D284/$D$282))</f>
        <v>145050.75</v>
      </c>
      <c r="R284" s="95" cm="1">
        <f t="array" ref="R284">IF($C284&gt;R$11,0,INDEX($F$282:$AD$282,R$11-$C284+1)*($D284/$D$282))</f>
        <v>145050.75</v>
      </c>
      <c r="S284" s="95" cm="1">
        <f t="array" ref="S284">IF($C284&gt;S$11,0,INDEX($F$282:$AD$282,S$11-$C284+1)*($D284/$D$282))</f>
        <v>145050.75</v>
      </c>
      <c r="T284" s="95" cm="1">
        <f t="array" ref="T284">IF($C284&gt;T$11,0,INDEX($F$282:$AD$282,T$11-$C284+1)*($D284/$D$282))</f>
        <v>154720.79999999999</v>
      </c>
      <c r="U284" s="95" cm="1">
        <f t="array" ref="U284">IF($C284&gt;U$11,0,INDEX($F$282:$AD$282,U$11-$C284+1)*($D284/$D$282))</f>
        <v>0</v>
      </c>
      <c r="V284" s="95" cm="1">
        <f t="array" ref="V284">IF($C284&gt;V$11,0,INDEX($F$282:$AD$282,V$11-$C284+1)*($D284/$D$282))</f>
        <v>0</v>
      </c>
      <c r="W284" s="95" cm="1">
        <f t="array" ref="W284">IF($C284&gt;W$11,0,INDEX($F$282:$AD$282,W$11-$C284+1)*($D284/$D$282))</f>
        <v>0</v>
      </c>
      <c r="X284" s="95" cm="1">
        <f t="array" ref="X284">IF($C284&gt;X$11,0,INDEX($F$282:$AD$282,X$11-$C284+1)*($D284/$D$282))</f>
        <v>0</v>
      </c>
      <c r="Y284" s="95" cm="1">
        <f t="array" ref="Y284">IF($C284&gt;Y$11,0,INDEX($F$282:$AD$282,Y$11-$C284+1)*($D284/$D$282))</f>
        <v>0</v>
      </c>
      <c r="Z284" s="95" cm="1">
        <f t="array" ref="Z284">IF($C284&gt;Z$11,0,INDEX($F$282:$AD$282,Z$11-$C284+1)*($D284/$D$282))</f>
        <v>0</v>
      </c>
      <c r="AA284" s="95" cm="1">
        <f t="array" ref="AA284">IF($C284&gt;AA$11,0,INDEX($F$282:$AD$282,AA$11-$C284+1)*($D284/$D$282))</f>
        <v>0</v>
      </c>
      <c r="AB284" s="95" cm="1">
        <f t="array" ref="AB284">IF($C284&gt;AB$11,0,INDEX($F$282:$AD$282,AB$11-$C284+1)*($D284/$D$282))</f>
        <v>0</v>
      </c>
      <c r="AC284" s="95" cm="1">
        <f t="array" ref="AC284">IF($C284&gt;AC$11,0,INDEX($F$282:$AD$282,AC$11-$C284+1)*($D284/$D$282))</f>
        <v>0</v>
      </c>
      <c r="AD284" s="95" cm="1">
        <f t="array" ref="AD284">IF($C284&gt;AD$11,0,INDEX($F$282:$AD$282,AD$11-$C284+1)*($D284/$D$282))</f>
        <v>0</v>
      </c>
    </row>
    <row r="285" spans="1:30">
      <c r="A285" s="95"/>
      <c r="B285" s="118">
        <f>B284</f>
        <v>3</v>
      </c>
      <c r="C285">
        <f>C284+1</f>
        <v>2023</v>
      </c>
      <c r="D285" s="95" cm="1">
        <f t="array" ref="D285">INDEX($F$14:$AD$16,$B285,MATCH($C285,$F$11:$AD$11,0))*$G$283</f>
        <v>638400</v>
      </c>
      <c r="E285" s="95"/>
      <c r="F285" s="95" cm="1">
        <f t="array" ref="F285">IF($C285&gt;F$11,0,INDEX($F$282:$AD$282,F$11-$C285+1)*($D285/$D$282))</f>
        <v>0</v>
      </c>
      <c r="G285" s="95" cm="1">
        <f t="array" ref="G285">IF($C285&gt;G$11,0,INDEX($F$282:$AD$282,G$11-$C285+1)*($D285/$D$282))</f>
        <v>84907.199999999997</v>
      </c>
      <c r="H285" s="95" cm="1">
        <f t="array" ref="H285">IF($C285&gt;H$11,0,INDEX($F$282:$AD$282,H$11-$C285+1)*($D285/$D$282))</f>
        <v>74054.399999999994</v>
      </c>
      <c r="I285" s="95" cm="1">
        <f t="array" ref="I285">IF($C285&gt;I$11,0,INDEX($F$282:$AD$282,I$11-$C285+1)*($D285/$D$282))</f>
        <v>63840</v>
      </c>
      <c r="J285" s="95" cm="1">
        <f t="array" ref="J285">IF($C285&gt;J$11,0,INDEX($F$282:$AD$282,J$11-$C285+1)*($D285/$D$282))</f>
        <v>55540.799999999996</v>
      </c>
      <c r="K285" s="95" cm="1">
        <f t="array" ref="K285">IF($C285&gt;K$11,0,INDEX($F$282:$AD$282,K$11-$C285+1)*($D285/$D$282))</f>
        <v>47880</v>
      </c>
      <c r="L285" s="95" cm="1">
        <f t="array" ref="L285">IF($C285&gt;L$11,0,INDEX($F$282:$AD$282,L$11-$C285+1)*($D285/$D$282))</f>
        <v>41496</v>
      </c>
      <c r="M285" s="95" cm="1">
        <f t="array" ref="M285">IF($C285&gt;M$11,0,INDEX($F$282:$AD$282,M$11-$C285+1)*($D285/$D$282))</f>
        <v>36388.799999999996</v>
      </c>
      <c r="N285" s="95" cm="1">
        <f t="array" ref="N285">IF($C285&gt;N$11,0,INDEX($F$282:$AD$282,N$11-$C285+1)*($D285/$D$282))</f>
        <v>31281.599999999999</v>
      </c>
      <c r="O285" s="95" cm="1">
        <f t="array" ref="O285">IF($C285&gt;O$11,0,INDEX($F$282:$AD$282,O$11-$C285+1)*($D285/$D$282))</f>
        <v>28728</v>
      </c>
      <c r="P285" s="95" cm="1">
        <f t="array" ref="P285">IF($C285&gt;P$11,0,INDEX($F$282:$AD$282,P$11-$C285+1)*($D285/$D$282))</f>
        <v>28728</v>
      </c>
      <c r="Q285" s="95" cm="1">
        <f t="array" ref="Q285">IF($C285&gt;Q$11,0,INDEX($F$282:$AD$282,Q$11-$C285+1)*($D285/$D$282))</f>
        <v>28728</v>
      </c>
      <c r="R285" s="95" cm="1">
        <f t="array" ref="R285">IF($C285&gt;R$11,0,INDEX($F$282:$AD$282,R$11-$C285+1)*($D285/$D$282))</f>
        <v>28728</v>
      </c>
      <c r="S285" s="95" cm="1">
        <f t="array" ref="S285">IF($C285&gt;S$11,0,INDEX($F$282:$AD$282,S$11-$C285+1)*($D285/$D$282))</f>
        <v>28728</v>
      </c>
      <c r="T285" s="95" cm="1">
        <f t="array" ref="T285">IF($C285&gt;T$11,0,INDEX($F$282:$AD$282,T$11-$C285+1)*($D285/$D$282))</f>
        <v>28728</v>
      </c>
      <c r="U285" s="95" cm="1">
        <f t="array" ref="U285">IF($C285&gt;U$11,0,INDEX($F$282:$AD$282,U$11-$C285+1)*($D285/$D$282))</f>
        <v>30643.199999999997</v>
      </c>
      <c r="V285" s="95" cm="1">
        <f t="array" ref="V285">IF($C285&gt;V$11,0,INDEX($F$282:$AD$282,V$11-$C285+1)*($D285/$D$282))</f>
        <v>0</v>
      </c>
      <c r="W285" s="95" cm="1">
        <f t="array" ref="W285">IF($C285&gt;W$11,0,INDEX($F$282:$AD$282,W$11-$C285+1)*($D285/$D$282))</f>
        <v>0</v>
      </c>
      <c r="X285" s="95" cm="1">
        <f t="array" ref="X285">IF($C285&gt;X$11,0,INDEX($F$282:$AD$282,X$11-$C285+1)*($D285/$D$282))</f>
        <v>0</v>
      </c>
      <c r="Y285" s="95" cm="1">
        <f t="array" ref="Y285">IF($C285&gt;Y$11,0,INDEX($F$282:$AD$282,Y$11-$C285+1)*($D285/$D$282))</f>
        <v>0</v>
      </c>
      <c r="Z285" s="95" cm="1">
        <f t="array" ref="Z285">IF($C285&gt;Z$11,0,INDEX($F$282:$AD$282,Z$11-$C285+1)*($D285/$D$282))</f>
        <v>0</v>
      </c>
      <c r="AA285" s="95" cm="1">
        <f t="array" ref="AA285">IF($C285&gt;AA$11,0,INDEX($F$282:$AD$282,AA$11-$C285+1)*($D285/$D$282))</f>
        <v>0</v>
      </c>
      <c r="AB285" s="95" cm="1">
        <f t="array" ref="AB285">IF($C285&gt;AB$11,0,INDEX($F$282:$AD$282,AB$11-$C285+1)*($D285/$D$282))</f>
        <v>0</v>
      </c>
      <c r="AC285" s="95" cm="1">
        <f t="array" ref="AC285">IF($C285&gt;AC$11,0,INDEX($F$282:$AD$282,AC$11-$C285+1)*($D285/$D$282))</f>
        <v>0</v>
      </c>
      <c r="AD285" s="95" cm="1">
        <f t="array" ref="AD285">IF($C285&gt;AD$11,0,INDEX($F$282:$AD$282,AD$11-$C285+1)*($D285/$D$282))</f>
        <v>0</v>
      </c>
    </row>
    <row r="286" spans="1:30">
      <c r="A286" s="95"/>
      <c r="B286" s="118">
        <f t="shared" ref="B286:B308" si="77">B285</f>
        <v>3</v>
      </c>
      <c r="C286">
        <f t="shared" ref="C286:C308" si="78">C285+1</f>
        <v>2024</v>
      </c>
      <c r="D286" s="95" cm="1">
        <f t="array" ref="D286">INDEX($F$14:$AD$16,$B286,MATCH($C286,$F$11:$AD$11,0))*$G$283</f>
        <v>2213025</v>
      </c>
      <c r="E286" s="95"/>
      <c r="F286" s="95" cm="1">
        <f t="array" ref="F286">IF($C286&gt;F$11,0,INDEX($F$282:$AD$282,F$11-$C286+1)*($D286/$D$282))</f>
        <v>0</v>
      </c>
      <c r="G286" s="95" cm="1">
        <f t="array" ref="G286">IF($C286&gt;G$11,0,INDEX($F$282:$AD$282,G$11-$C286+1)*($D286/$D$282))</f>
        <v>0</v>
      </c>
      <c r="H286" s="95" cm="1">
        <f t="array" ref="H286">IF($C286&gt;H$11,0,INDEX($F$282:$AD$282,H$11-$C286+1)*($D286/$D$282))</f>
        <v>294332.32500000001</v>
      </c>
      <c r="I286" s="95" cm="1">
        <f t="array" ref="I286">IF($C286&gt;I$11,0,INDEX($F$282:$AD$282,I$11-$C286+1)*($D286/$D$282))</f>
        <v>256710.9</v>
      </c>
      <c r="J286" s="95" cm="1">
        <f t="array" ref="J286">IF($C286&gt;J$11,0,INDEX($F$282:$AD$282,J$11-$C286+1)*($D286/$D$282))</f>
        <v>221302.5</v>
      </c>
      <c r="K286" s="95" cm="1">
        <f t="array" ref="K286">IF($C286&gt;K$11,0,INDEX($F$282:$AD$282,K$11-$C286+1)*($D286/$D$282))</f>
        <v>192533.17499999999</v>
      </c>
      <c r="L286" s="95" cm="1">
        <f t="array" ref="L286">IF($C286&gt;L$11,0,INDEX($F$282:$AD$282,L$11-$C286+1)*($D286/$D$282))</f>
        <v>165976.875</v>
      </c>
      <c r="M286" s="95" cm="1">
        <f t="array" ref="M286">IF($C286&gt;M$11,0,INDEX($F$282:$AD$282,M$11-$C286+1)*($D286/$D$282))</f>
        <v>143846.625</v>
      </c>
      <c r="N286" s="95" cm="1">
        <f t="array" ref="N286">IF($C286&gt;N$11,0,INDEX($F$282:$AD$282,N$11-$C286+1)*($D286/$D$282))</f>
        <v>126142.425</v>
      </c>
      <c r="O286" s="95" cm="1">
        <f t="array" ref="O286">IF($C286&gt;O$11,0,INDEX($F$282:$AD$282,O$11-$C286+1)*($D286/$D$282))</f>
        <v>108438.22500000001</v>
      </c>
      <c r="P286" s="95" cm="1">
        <f t="array" ref="P286">IF($C286&gt;P$11,0,INDEX($F$282:$AD$282,P$11-$C286+1)*($D286/$D$282))</f>
        <v>99586.125</v>
      </c>
      <c r="Q286" s="95" cm="1">
        <f t="array" ref="Q286">IF($C286&gt;Q$11,0,INDEX($F$282:$AD$282,Q$11-$C286+1)*($D286/$D$282))</f>
        <v>99586.125</v>
      </c>
      <c r="R286" s="95" cm="1">
        <f t="array" ref="R286">IF($C286&gt;R$11,0,INDEX($F$282:$AD$282,R$11-$C286+1)*($D286/$D$282))</f>
        <v>99586.125</v>
      </c>
      <c r="S286" s="95" cm="1">
        <f t="array" ref="S286">IF($C286&gt;S$11,0,INDEX($F$282:$AD$282,S$11-$C286+1)*($D286/$D$282))</f>
        <v>99586.125</v>
      </c>
      <c r="T286" s="95" cm="1">
        <f t="array" ref="T286">IF($C286&gt;T$11,0,INDEX($F$282:$AD$282,T$11-$C286+1)*($D286/$D$282))</f>
        <v>99586.125</v>
      </c>
      <c r="U286" s="95" cm="1">
        <f t="array" ref="U286">IF($C286&gt;U$11,0,INDEX($F$282:$AD$282,U$11-$C286+1)*($D286/$D$282))</f>
        <v>99586.125</v>
      </c>
      <c r="V286" s="95" cm="1">
        <f t="array" ref="V286">IF($C286&gt;V$11,0,INDEX($F$282:$AD$282,V$11-$C286+1)*($D286/$D$282))</f>
        <v>106225.2</v>
      </c>
      <c r="W286" s="95" cm="1">
        <f t="array" ref="W286">IF($C286&gt;W$11,0,INDEX($F$282:$AD$282,W$11-$C286+1)*($D286/$D$282))</f>
        <v>0</v>
      </c>
      <c r="X286" s="95" cm="1">
        <f t="array" ref="X286">IF($C286&gt;X$11,0,INDEX($F$282:$AD$282,X$11-$C286+1)*($D286/$D$282))</f>
        <v>0</v>
      </c>
      <c r="Y286" s="95" cm="1">
        <f t="array" ref="Y286">IF($C286&gt;Y$11,0,INDEX($F$282:$AD$282,Y$11-$C286+1)*($D286/$D$282))</f>
        <v>0</v>
      </c>
      <c r="Z286" s="95" cm="1">
        <f t="array" ref="Z286">IF($C286&gt;Z$11,0,INDEX($F$282:$AD$282,Z$11-$C286+1)*($D286/$D$282))</f>
        <v>0</v>
      </c>
      <c r="AA286" s="95" cm="1">
        <f t="array" ref="AA286">IF($C286&gt;AA$11,0,INDEX($F$282:$AD$282,AA$11-$C286+1)*($D286/$D$282))</f>
        <v>0</v>
      </c>
      <c r="AB286" s="95" cm="1">
        <f t="array" ref="AB286">IF($C286&gt;AB$11,0,INDEX($F$282:$AD$282,AB$11-$C286+1)*($D286/$D$282))</f>
        <v>0</v>
      </c>
      <c r="AC286" s="95" cm="1">
        <f t="array" ref="AC286">IF($C286&gt;AC$11,0,INDEX($F$282:$AD$282,AC$11-$C286+1)*($D286/$D$282))</f>
        <v>0</v>
      </c>
      <c r="AD286" s="95" cm="1">
        <f t="array" ref="AD286">IF($C286&gt;AD$11,0,INDEX($F$282:$AD$282,AD$11-$C286+1)*($D286/$D$282))</f>
        <v>0</v>
      </c>
    </row>
    <row r="287" spans="1:30">
      <c r="A287" s="95"/>
      <c r="B287" s="118">
        <f t="shared" si="77"/>
        <v>3</v>
      </c>
      <c r="C287">
        <f t="shared" si="78"/>
        <v>2025</v>
      </c>
      <c r="D287" s="95" cm="1">
        <f t="array" ref="D287">INDEX($F$14:$AD$16,$B287,MATCH($C287,$F$11:$AD$11,0))*$G$283</f>
        <v>538650</v>
      </c>
      <c r="E287" s="95"/>
      <c r="F287" s="95" cm="1">
        <f t="array" ref="F287">IF($C287&gt;F$11,0,INDEX($F$282:$AD$282,F$11-$C287+1)*($D287/$D$282))</f>
        <v>0</v>
      </c>
      <c r="G287" s="95" cm="1">
        <f t="array" ref="G287">IF($C287&gt;G$11,0,INDEX($F$282:$AD$282,G$11-$C287+1)*($D287/$D$282))</f>
        <v>0</v>
      </c>
      <c r="H287" s="95" cm="1">
        <f t="array" ref="H287">IF($C287&gt;H$11,0,INDEX($F$282:$AD$282,H$11-$C287+1)*($D287/$D$282))</f>
        <v>0</v>
      </c>
      <c r="I287" s="95" cm="1">
        <f t="array" ref="I287">IF($C287&gt;I$11,0,INDEX($F$282:$AD$282,I$11-$C287+1)*($D287/$D$282))</f>
        <v>71640.45</v>
      </c>
      <c r="J287" s="95" cm="1">
        <f t="array" ref="J287">IF($C287&gt;J$11,0,INDEX($F$282:$AD$282,J$11-$C287+1)*($D287/$D$282))</f>
        <v>62483.399999999994</v>
      </c>
      <c r="K287" s="95" cm="1">
        <f t="array" ref="K287">IF($C287&gt;K$11,0,INDEX($F$282:$AD$282,K$11-$C287+1)*($D287/$D$282))</f>
        <v>53864.999999999993</v>
      </c>
      <c r="L287" s="95" cm="1">
        <f t="array" ref="L287">IF($C287&gt;L$11,0,INDEX($F$282:$AD$282,L$11-$C287+1)*($D287/$D$282))</f>
        <v>46862.549999999996</v>
      </c>
      <c r="M287" s="95" cm="1">
        <f t="array" ref="M287">IF($C287&gt;M$11,0,INDEX($F$282:$AD$282,M$11-$C287+1)*($D287/$D$282))</f>
        <v>40398.75</v>
      </c>
      <c r="N287" s="95" cm="1">
        <f t="array" ref="N287">IF($C287&gt;N$11,0,INDEX($F$282:$AD$282,N$11-$C287+1)*($D287/$D$282))</f>
        <v>35012.25</v>
      </c>
      <c r="O287" s="95" cm="1">
        <f t="array" ref="O287">IF($C287&gt;O$11,0,INDEX($F$282:$AD$282,O$11-$C287+1)*($D287/$D$282))</f>
        <v>30703.05</v>
      </c>
      <c r="P287" s="95" cm="1">
        <f t="array" ref="P287">IF($C287&gt;P$11,0,INDEX($F$282:$AD$282,P$11-$C287+1)*($D287/$D$282))</f>
        <v>26393.85</v>
      </c>
      <c r="Q287" s="95" cm="1">
        <f t="array" ref="Q287">IF($C287&gt;Q$11,0,INDEX($F$282:$AD$282,Q$11-$C287+1)*($D287/$D$282))</f>
        <v>24239.25</v>
      </c>
      <c r="R287" s="95" cm="1">
        <f t="array" ref="R287">IF($C287&gt;R$11,0,INDEX($F$282:$AD$282,R$11-$C287+1)*($D287/$D$282))</f>
        <v>24239.25</v>
      </c>
      <c r="S287" s="95" cm="1">
        <f t="array" ref="S287">IF($C287&gt;S$11,0,INDEX($F$282:$AD$282,S$11-$C287+1)*($D287/$D$282))</f>
        <v>24239.25</v>
      </c>
      <c r="T287" s="95" cm="1">
        <f t="array" ref="T287">IF($C287&gt;T$11,0,INDEX($F$282:$AD$282,T$11-$C287+1)*($D287/$D$282))</f>
        <v>24239.25</v>
      </c>
      <c r="U287" s="95" cm="1">
        <f t="array" ref="U287">IF($C287&gt;U$11,0,INDEX($F$282:$AD$282,U$11-$C287+1)*($D287/$D$282))</f>
        <v>24239.25</v>
      </c>
      <c r="V287" s="95" cm="1">
        <f t="array" ref="V287">IF($C287&gt;V$11,0,INDEX($F$282:$AD$282,V$11-$C287+1)*($D287/$D$282))</f>
        <v>24239.25</v>
      </c>
      <c r="W287" s="95" cm="1">
        <f t="array" ref="W287">IF($C287&gt;W$11,0,INDEX($F$282:$AD$282,W$11-$C287+1)*($D287/$D$282))</f>
        <v>25855.199999999997</v>
      </c>
      <c r="X287" s="95" cm="1">
        <f t="array" ref="X287">IF($C287&gt;X$11,0,INDEX($F$282:$AD$282,X$11-$C287+1)*($D287/$D$282))</f>
        <v>0</v>
      </c>
      <c r="Y287" s="95" cm="1">
        <f t="array" ref="Y287">IF($C287&gt;Y$11,0,INDEX($F$282:$AD$282,Y$11-$C287+1)*($D287/$D$282))</f>
        <v>0</v>
      </c>
      <c r="Z287" s="95" cm="1">
        <f t="array" ref="Z287">IF($C287&gt;Z$11,0,INDEX($F$282:$AD$282,Z$11-$C287+1)*($D287/$D$282))</f>
        <v>0</v>
      </c>
      <c r="AA287" s="95" cm="1">
        <f t="array" ref="AA287">IF($C287&gt;AA$11,0,INDEX($F$282:$AD$282,AA$11-$C287+1)*($D287/$D$282))</f>
        <v>0</v>
      </c>
      <c r="AB287" s="95" cm="1">
        <f t="array" ref="AB287">IF($C287&gt;AB$11,0,INDEX($F$282:$AD$282,AB$11-$C287+1)*($D287/$D$282))</f>
        <v>0</v>
      </c>
      <c r="AC287" s="95" cm="1">
        <f t="array" ref="AC287">IF($C287&gt;AC$11,0,INDEX($F$282:$AD$282,AC$11-$C287+1)*($D287/$D$282))</f>
        <v>0</v>
      </c>
      <c r="AD287" s="95" cm="1">
        <f t="array" ref="AD287">IF($C287&gt;AD$11,0,INDEX($F$282:$AD$282,AD$11-$C287+1)*($D287/$D$282))</f>
        <v>0</v>
      </c>
    </row>
    <row r="288" spans="1:30">
      <c r="A288" s="95"/>
      <c r="B288" s="118">
        <f t="shared" si="77"/>
        <v>3</v>
      </c>
      <c r="C288">
        <f t="shared" si="78"/>
        <v>2026</v>
      </c>
      <c r="D288" s="95" cm="1">
        <f t="array" ref="D288">INDEX($F$14:$AD$16,$B288,MATCH($C288,$F$11:$AD$11,0))*$G$283</f>
        <v>2288550</v>
      </c>
      <c r="E288" s="95"/>
      <c r="F288" s="95" cm="1">
        <f t="array" ref="F288">IF($C288&gt;F$11,0,INDEX($F$282:$AD$282,F$11-$C288+1)*($D288/$D$282))</f>
        <v>0</v>
      </c>
      <c r="G288" s="95" cm="1">
        <f t="array" ref="G288">IF($C288&gt;G$11,0,INDEX($F$282:$AD$282,G$11-$C288+1)*($D288/$D$282))</f>
        <v>0</v>
      </c>
      <c r="H288" s="95" cm="1">
        <f t="array" ref="H288">IF($C288&gt;H$11,0,INDEX($F$282:$AD$282,H$11-$C288+1)*($D288/$D$282))</f>
        <v>0</v>
      </c>
      <c r="I288" s="95" cm="1">
        <f t="array" ref="I288">IF($C288&gt;I$11,0,INDEX($F$282:$AD$282,I$11-$C288+1)*($D288/$D$282))</f>
        <v>0</v>
      </c>
      <c r="J288" s="95" cm="1">
        <f t="array" ref="J288">IF($C288&gt;J$11,0,INDEX($F$282:$AD$282,J$11-$C288+1)*($D288/$D$282))</f>
        <v>304377.14999999997</v>
      </c>
      <c r="K288" s="95" cm="1">
        <f t="array" ref="K288">IF($C288&gt;K$11,0,INDEX($F$282:$AD$282,K$11-$C288+1)*($D288/$D$282))</f>
        <v>265471.8</v>
      </c>
      <c r="L288" s="95" cm="1">
        <f t="array" ref="L288">IF($C288&gt;L$11,0,INDEX($F$282:$AD$282,L$11-$C288+1)*($D288/$D$282))</f>
        <v>228855</v>
      </c>
      <c r="M288" s="95" cm="1">
        <f t="array" ref="M288">IF($C288&gt;M$11,0,INDEX($F$282:$AD$282,M$11-$C288+1)*($D288/$D$282))</f>
        <v>199103.84999999998</v>
      </c>
      <c r="N288" s="95" cm="1">
        <f t="array" ref="N288">IF($C288&gt;N$11,0,INDEX($F$282:$AD$282,N$11-$C288+1)*($D288/$D$282))</f>
        <v>171641.25</v>
      </c>
      <c r="O288" s="95" cm="1">
        <f t="array" ref="O288">IF($C288&gt;O$11,0,INDEX($F$282:$AD$282,O$11-$C288+1)*($D288/$D$282))</f>
        <v>148755.75</v>
      </c>
      <c r="P288" s="95" cm="1">
        <f t="array" ref="P288">IF($C288&gt;P$11,0,INDEX($F$282:$AD$282,P$11-$C288+1)*($D288/$D$282))</f>
        <v>130447.34999999999</v>
      </c>
      <c r="Q288" s="95" cm="1">
        <f t="array" ref="Q288">IF($C288&gt;Q$11,0,INDEX($F$282:$AD$282,Q$11-$C288+1)*($D288/$D$282))</f>
        <v>112138.95</v>
      </c>
      <c r="R288" s="95" cm="1">
        <f t="array" ref="R288">IF($C288&gt;R$11,0,INDEX($F$282:$AD$282,R$11-$C288+1)*($D288/$D$282))</f>
        <v>102984.75</v>
      </c>
      <c r="S288" s="95" cm="1">
        <f t="array" ref="S288">IF($C288&gt;S$11,0,INDEX($F$282:$AD$282,S$11-$C288+1)*($D288/$D$282))</f>
        <v>102984.75</v>
      </c>
      <c r="T288" s="95" cm="1">
        <f t="array" ref="T288">IF($C288&gt;T$11,0,INDEX($F$282:$AD$282,T$11-$C288+1)*($D288/$D$282))</f>
        <v>102984.75</v>
      </c>
      <c r="U288" s="95" cm="1">
        <f t="array" ref="U288">IF($C288&gt;U$11,0,INDEX($F$282:$AD$282,U$11-$C288+1)*($D288/$D$282))</f>
        <v>102984.75</v>
      </c>
      <c r="V288" s="95" cm="1">
        <f t="array" ref="V288">IF($C288&gt;V$11,0,INDEX($F$282:$AD$282,V$11-$C288+1)*($D288/$D$282))</f>
        <v>102984.75</v>
      </c>
      <c r="W288" s="95" cm="1">
        <f t="array" ref="W288">IF($C288&gt;W$11,0,INDEX($F$282:$AD$282,W$11-$C288+1)*($D288/$D$282))</f>
        <v>102984.75</v>
      </c>
      <c r="X288" s="95" cm="1">
        <f t="array" ref="X288">IF($C288&gt;X$11,0,INDEX($F$282:$AD$282,X$11-$C288+1)*($D288/$D$282))</f>
        <v>109850.4</v>
      </c>
      <c r="Y288" s="95" cm="1">
        <f t="array" ref="Y288">IF($C288&gt;Y$11,0,INDEX($F$282:$AD$282,Y$11-$C288+1)*($D288/$D$282))</f>
        <v>0</v>
      </c>
      <c r="Z288" s="95" cm="1">
        <f t="array" ref="Z288">IF($C288&gt;Z$11,0,INDEX($F$282:$AD$282,Z$11-$C288+1)*($D288/$D$282))</f>
        <v>0</v>
      </c>
      <c r="AA288" s="95" cm="1">
        <f t="array" ref="AA288">IF($C288&gt;AA$11,0,INDEX($F$282:$AD$282,AA$11-$C288+1)*($D288/$D$282))</f>
        <v>0</v>
      </c>
      <c r="AB288" s="95" cm="1">
        <f t="array" ref="AB288">IF($C288&gt;AB$11,0,INDEX($F$282:$AD$282,AB$11-$C288+1)*($D288/$D$282))</f>
        <v>0</v>
      </c>
      <c r="AC288" s="95" cm="1">
        <f t="array" ref="AC288">IF($C288&gt;AC$11,0,INDEX($F$282:$AD$282,AC$11-$C288+1)*($D288/$D$282))</f>
        <v>0</v>
      </c>
      <c r="AD288" s="95" cm="1">
        <f t="array" ref="AD288">IF($C288&gt;AD$11,0,INDEX($F$282:$AD$282,AD$11-$C288+1)*($D288/$D$282))</f>
        <v>0</v>
      </c>
    </row>
    <row r="289" spans="1:30">
      <c r="A289" s="95"/>
      <c r="B289" s="118">
        <f t="shared" si="77"/>
        <v>3</v>
      </c>
      <c r="C289">
        <f t="shared" si="78"/>
        <v>2027</v>
      </c>
      <c r="D289" s="95" cm="1">
        <f t="array" ref="D289">INDEX($F$14:$AD$16,$B289,MATCH($C289,$F$11:$AD$11,0))*$G$283</f>
        <v>2392575</v>
      </c>
      <c r="E289" s="95"/>
      <c r="F289" s="95" cm="1">
        <f t="array" ref="F289">IF($C289&gt;F$11,0,INDEX($F$282:$AD$282,F$11-$C289+1)*($D289/$D$282))</f>
        <v>0</v>
      </c>
      <c r="G289" s="95" cm="1">
        <f t="array" ref="G289">IF($C289&gt;G$11,0,INDEX($F$282:$AD$282,G$11-$C289+1)*($D289/$D$282))</f>
        <v>0</v>
      </c>
      <c r="H289" s="95" cm="1">
        <f t="array" ref="H289">IF($C289&gt;H$11,0,INDEX($F$282:$AD$282,H$11-$C289+1)*($D289/$D$282))</f>
        <v>0</v>
      </c>
      <c r="I289" s="95" cm="1">
        <f t="array" ref="I289">IF($C289&gt;I$11,0,INDEX($F$282:$AD$282,I$11-$C289+1)*($D289/$D$282))</f>
        <v>0</v>
      </c>
      <c r="J289" s="95" cm="1">
        <f t="array" ref="J289">IF($C289&gt;J$11,0,INDEX($F$282:$AD$282,J$11-$C289+1)*($D289/$D$282))</f>
        <v>0</v>
      </c>
      <c r="K289" s="95" cm="1">
        <f t="array" ref="K289">IF($C289&gt;K$11,0,INDEX($F$282:$AD$282,K$11-$C289+1)*($D289/$D$282))</f>
        <v>318212.47499999998</v>
      </c>
      <c r="L289" s="95" cm="1">
        <f t="array" ref="L289">IF($C289&gt;L$11,0,INDEX($F$282:$AD$282,L$11-$C289+1)*($D289/$D$282))</f>
        <v>277538.7</v>
      </c>
      <c r="M289" s="95" cm="1">
        <f t="array" ref="M289">IF($C289&gt;M$11,0,INDEX($F$282:$AD$282,M$11-$C289+1)*($D289/$D$282))</f>
        <v>239257.5</v>
      </c>
      <c r="N289" s="95" cm="1">
        <f t="array" ref="N289">IF($C289&gt;N$11,0,INDEX($F$282:$AD$282,N$11-$C289+1)*($D289/$D$282))</f>
        <v>208154.02499999999</v>
      </c>
      <c r="O289" s="95" cm="1">
        <f t="array" ref="O289">IF($C289&gt;O$11,0,INDEX($F$282:$AD$282,O$11-$C289+1)*($D289/$D$282))</f>
        <v>179443.125</v>
      </c>
      <c r="P289" s="95" cm="1">
        <f t="array" ref="P289">IF($C289&gt;P$11,0,INDEX($F$282:$AD$282,P$11-$C289+1)*($D289/$D$282))</f>
        <v>155517.375</v>
      </c>
      <c r="Q289" s="95" cm="1">
        <f t="array" ref="Q289">IF($C289&gt;Q$11,0,INDEX($F$282:$AD$282,Q$11-$C289+1)*($D289/$D$282))</f>
        <v>136376.77499999999</v>
      </c>
      <c r="R289" s="95" cm="1">
        <f t="array" ref="R289">IF($C289&gt;R$11,0,INDEX($F$282:$AD$282,R$11-$C289+1)*($D289/$D$282))</f>
        <v>117236.17499999999</v>
      </c>
      <c r="S289" s="95" cm="1">
        <f t="array" ref="S289">IF($C289&gt;S$11,0,INDEX($F$282:$AD$282,S$11-$C289+1)*($D289/$D$282))</f>
        <v>107665.875</v>
      </c>
      <c r="T289" s="95" cm="1">
        <f t="array" ref="T289">IF($C289&gt;T$11,0,INDEX($F$282:$AD$282,T$11-$C289+1)*($D289/$D$282))</f>
        <v>107665.875</v>
      </c>
      <c r="U289" s="95" cm="1">
        <f t="array" ref="U289">IF($C289&gt;U$11,0,INDEX($F$282:$AD$282,U$11-$C289+1)*($D289/$D$282))</f>
        <v>107665.875</v>
      </c>
      <c r="V289" s="95" cm="1">
        <f t="array" ref="V289">IF($C289&gt;V$11,0,INDEX($F$282:$AD$282,V$11-$C289+1)*($D289/$D$282))</f>
        <v>107665.875</v>
      </c>
      <c r="W289" s="95" cm="1">
        <f t="array" ref="W289">IF($C289&gt;W$11,0,INDEX($F$282:$AD$282,W$11-$C289+1)*($D289/$D$282))</f>
        <v>107665.875</v>
      </c>
      <c r="X289" s="95" cm="1">
        <f t="array" ref="X289">IF($C289&gt;X$11,0,INDEX($F$282:$AD$282,X$11-$C289+1)*($D289/$D$282))</f>
        <v>107665.875</v>
      </c>
      <c r="Y289" s="95" cm="1">
        <f t="array" ref="Y289">IF($C289&gt;Y$11,0,INDEX($F$282:$AD$282,Y$11-$C289+1)*($D289/$D$282))</f>
        <v>114843.59999999999</v>
      </c>
      <c r="Z289" s="95" cm="1">
        <f t="array" ref="Z289">IF($C289&gt;Z$11,0,INDEX($F$282:$AD$282,Z$11-$C289+1)*($D289/$D$282))</f>
        <v>0</v>
      </c>
      <c r="AA289" s="95" cm="1">
        <f t="array" ref="AA289">IF($C289&gt;AA$11,0,INDEX($F$282:$AD$282,AA$11-$C289+1)*($D289/$D$282))</f>
        <v>0</v>
      </c>
      <c r="AB289" s="95" cm="1">
        <f t="array" ref="AB289">IF($C289&gt;AB$11,0,INDEX($F$282:$AD$282,AB$11-$C289+1)*($D289/$D$282))</f>
        <v>0</v>
      </c>
      <c r="AC289" s="95" cm="1">
        <f t="array" ref="AC289">IF($C289&gt;AC$11,0,INDEX($F$282:$AD$282,AC$11-$C289+1)*($D289/$D$282))</f>
        <v>0</v>
      </c>
      <c r="AD289" s="95" cm="1">
        <f t="array" ref="AD289">IF($C289&gt;AD$11,0,INDEX($F$282:$AD$282,AD$11-$C289+1)*($D289/$D$282))</f>
        <v>0</v>
      </c>
    </row>
    <row r="290" spans="1:30">
      <c r="A290" s="95"/>
      <c r="B290" s="118">
        <f t="shared" si="77"/>
        <v>3</v>
      </c>
      <c r="C290">
        <f t="shared" si="78"/>
        <v>2028</v>
      </c>
      <c r="D290" s="95" cm="1">
        <f t="array" ref="D290">INDEX($F$14:$AD$16,$B290,MATCH($C290,$F$11:$AD$11,0))*$G$283</f>
        <v>1987875</v>
      </c>
      <c r="E290" s="95"/>
      <c r="F290" s="95" cm="1">
        <f t="array" ref="F290">IF($C290&gt;F$11,0,INDEX($F$282:$AD$282,F$11-$C290+1)*($D290/$D$282))</f>
        <v>0</v>
      </c>
      <c r="G290" s="95" cm="1">
        <f t="array" ref="G290">IF($C290&gt;G$11,0,INDEX($F$282:$AD$282,G$11-$C290+1)*($D290/$D$282))</f>
        <v>0</v>
      </c>
      <c r="H290" s="95" cm="1">
        <f t="array" ref="H290">IF($C290&gt;H$11,0,INDEX($F$282:$AD$282,H$11-$C290+1)*($D290/$D$282))</f>
        <v>0</v>
      </c>
      <c r="I290" s="95" cm="1">
        <f t="array" ref="I290">IF($C290&gt;I$11,0,INDEX($F$282:$AD$282,I$11-$C290+1)*($D290/$D$282))</f>
        <v>0</v>
      </c>
      <c r="J290" s="95" cm="1">
        <f t="array" ref="J290">IF($C290&gt;J$11,0,INDEX($F$282:$AD$282,J$11-$C290+1)*($D290/$D$282))</f>
        <v>0</v>
      </c>
      <c r="K290" s="95" cm="1">
        <f t="array" ref="K290">IF($C290&gt;K$11,0,INDEX($F$282:$AD$282,K$11-$C290+1)*($D290/$D$282))</f>
        <v>0</v>
      </c>
      <c r="L290" s="95" cm="1">
        <f t="array" ref="L290">IF($C290&gt;L$11,0,INDEX($F$282:$AD$282,L$11-$C290+1)*($D290/$D$282))</f>
        <v>264387.375</v>
      </c>
      <c r="M290" s="95" cm="1">
        <f t="array" ref="M290">IF($C290&gt;M$11,0,INDEX($F$282:$AD$282,M$11-$C290+1)*($D290/$D$282))</f>
        <v>230593.5</v>
      </c>
      <c r="N290" s="95" cm="1">
        <f t="array" ref="N290">IF($C290&gt;N$11,0,INDEX($F$282:$AD$282,N$11-$C290+1)*($D290/$D$282))</f>
        <v>198787.5</v>
      </c>
      <c r="O290" s="95" cm="1">
        <f t="array" ref="O290">IF($C290&gt;O$11,0,INDEX($F$282:$AD$282,O$11-$C290+1)*($D290/$D$282))</f>
        <v>172945.125</v>
      </c>
      <c r="P290" s="95" cm="1">
        <f t="array" ref="P290">IF($C290&gt;P$11,0,INDEX($F$282:$AD$282,P$11-$C290+1)*($D290/$D$282))</f>
        <v>149090.625</v>
      </c>
      <c r="Q290" s="95" cm="1">
        <f t="array" ref="Q290">IF($C290&gt;Q$11,0,INDEX($F$282:$AD$282,Q$11-$C290+1)*($D290/$D$282))</f>
        <v>129211.875</v>
      </c>
      <c r="R290" s="95" cm="1">
        <f t="array" ref="R290">IF($C290&gt;R$11,0,INDEX($F$282:$AD$282,R$11-$C290+1)*($D290/$D$282))</f>
        <v>113308.875</v>
      </c>
      <c r="S290" s="95" cm="1">
        <f t="array" ref="S290">IF($C290&gt;S$11,0,INDEX($F$282:$AD$282,S$11-$C290+1)*($D290/$D$282))</f>
        <v>97405.875</v>
      </c>
      <c r="T290" s="95" cm="1">
        <f t="array" ref="T290">IF($C290&gt;T$11,0,INDEX($F$282:$AD$282,T$11-$C290+1)*($D290/$D$282))</f>
        <v>89454.375</v>
      </c>
      <c r="U290" s="95" cm="1">
        <f t="array" ref="U290">IF($C290&gt;U$11,0,INDEX($F$282:$AD$282,U$11-$C290+1)*($D290/$D$282))</f>
        <v>89454.375</v>
      </c>
      <c r="V290" s="95" cm="1">
        <f t="array" ref="V290">IF($C290&gt;V$11,0,INDEX($F$282:$AD$282,V$11-$C290+1)*($D290/$D$282))</f>
        <v>89454.375</v>
      </c>
      <c r="W290" s="95" cm="1">
        <f t="array" ref="W290">IF($C290&gt;W$11,0,INDEX($F$282:$AD$282,W$11-$C290+1)*($D290/$D$282))</f>
        <v>89454.375</v>
      </c>
      <c r="X290" s="95" cm="1">
        <f t="array" ref="X290">IF($C290&gt;X$11,0,INDEX($F$282:$AD$282,X$11-$C290+1)*($D290/$D$282))</f>
        <v>89454.375</v>
      </c>
      <c r="Y290" s="95" cm="1">
        <f t="array" ref="Y290">IF($C290&gt;Y$11,0,INDEX($F$282:$AD$282,Y$11-$C290+1)*($D290/$D$282))</f>
        <v>89454.375</v>
      </c>
      <c r="Z290" s="95" cm="1">
        <f t="array" ref="Z290">IF($C290&gt;Z$11,0,INDEX($F$282:$AD$282,Z$11-$C290+1)*($D290/$D$282))</f>
        <v>95418</v>
      </c>
      <c r="AA290" s="95" cm="1">
        <f t="array" ref="AA290">IF($C290&gt;AA$11,0,INDEX($F$282:$AD$282,AA$11-$C290+1)*($D290/$D$282))</f>
        <v>0</v>
      </c>
      <c r="AB290" s="95" cm="1">
        <f t="array" ref="AB290">IF($C290&gt;AB$11,0,INDEX($F$282:$AD$282,AB$11-$C290+1)*($D290/$D$282))</f>
        <v>0</v>
      </c>
      <c r="AC290" s="95" cm="1">
        <f t="array" ref="AC290">IF($C290&gt;AC$11,0,INDEX($F$282:$AD$282,AC$11-$C290+1)*($D290/$D$282))</f>
        <v>0</v>
      </c>
      <c r="AD290" s="95" cm="1">
        <f t="array" ref="AD290">IF($C290&gt;AD$11,0,INDEX($F$282:$AD$282,AD$11-$C290+1)*($D290/$D$282))</f>
        <v>0</v>
      </c>
    </row>
    <row r="291" spans="1:30">
      <c r="A291" s="95"/>
      <c r="B291" s="118">
        <f t="shared" si="77"/>
        <v>3</v>
      </c>
      <c r="C291">
        <f t="shared" si="78"/>
        <v>2029</v>
      </c>
      <c r="D291" s="95" cm="1">
        <f t="array" ref="D291">INDEX($F$14:$AD$16,$B291,MATCH($C291,$F$11:$AD$11,0))*$G$283</f>
        <v>121125</v>
      </c>
      <c r="E291" s="95"/>
      <c r="F291" s="95" cm="1">
        <f t="array" ref="F291">IF($C291&gt;F$11,0,INDEX($F$282:$AD$282,F$11-$C291+1)*($D291/$D$282))</f>
        <v>0</v>
      </c>
      <c r="G291" s="95" cm="1">
        <f t="array" ref="G291">IF($C291&gt;G$11,0,INDEX($F$282:$AD$282,G$11-$C291+1)*($D291/$D$282))</f>
        <v>0</v>
      </c>
      <c r="H291" s="95" cm="1">
        <f t="array" ref="H291">IF($C291&gt;H$11,0,INDEX($F$282:$AD$282,H$11-$C291+1)*($D291/$D$282))</f>
        <v>0</v>
      </c>
      <c r="I291" s="95" cm="1">
        <f t="array" ref="I291">IF($C291&gt;I$11,0,INDEX($F$282:$AD$282,I$11-$C291+1)*($D291/$D$282))</f>
        <v>0</v>
      </c>
      <c r="J291" s="95" cm="1">
        <f t="array" ref="J291">IF($C291&gt;J$11,0,INDEX($F$282:$AD$282,J$11-$C291+1)*($D291/$D$282))</f>
        <v>0</v>
      </c>
      <c r="K291" s="95" cm="1">
        <f t="array" ref="K291">IF($C291&gt;K$11,0,INDEX($F$282:$AD$282,K$11-$C291+1)*($D291/$D$282))</f>
        <v>0</v>
      </c>
      <c r="L291" s="95" cm="1">
        <f t="array" ref="L291">IF($C291&gt;L$11,0,INDEX($F$282:$AD$282,L$11-$C291+1)*($D291/$D$282))</f>
        <v>0</v>
      </c>
      <c r="M291" s="95" cm="1">
        <f t="array" ref="M291">IF($C291&gt;M$11,0,INDEX($F$282:$AD$282,M$11-$C291+1)*($D291/$D$282))</f>
        <v>16109.625</v>
      </c>
      <c r="N291" s="95" cm="1">
        <f t="array" ref="N291">IF($C291&gt;N$11,0,INDEX($F$282:$AD$282,N$11-$C291+1)*($D291/$D$282))</f>
        <v>14050.5</v>
      </c>
      <c r="O291" s="95" cm="1">
        <f t="array" ref="O291">IF($C291&gt;O$11,0,INDEX($F$282:$AD$282,O$11-$C291+1)*($D291/$D$282))</f>
        <v>12112.5</v>
      </c>
      <c r="P291" s="95" cm="1">
        <f t="array" ref="P291">IF($C291&gt;P$11,0,INDEX($F$282:$AD$282,P$11-$C291+1)*($D291/$D$282))</f>
        <v>10537.875</v>
      </c>
      <c r="Q291" s="95" cm="1">
        <f t="array" ref="Q291">IF($C291&gt;Q$11,0,INDEX($F$282:$AD$282,Q$11-$C291+1)*($D291/$D$282))</f>
        <v>9084.375</v>
      </c>
      <c r="R291" s="95" cm="1">
        <f t="array" ref="R291">IF($C291&gt;R$11,0,INDEX($F$282:$AD$282,R$11-$C291+1)*($D291/$D$282))</f>
        <v>7873.125</v>
      </c>
      <c r="S291" s="95" cm="1">
        <f t="array" ref="S291">IF($C291&gt;S$11,0,INDEX($F$282:$AD$282,S$11-$C291+1)*($D291/$D$282))</f>
        <v>6904.125</v>
      </c>
      <c r="T291" s="95" cm="1">
        <f t="array" ref="T291">IF($C291&gt;T$11,0,INDEX($F$282:$AD$282,T$11-$C291+1)*($D291/$D$282))</f>
        <v>5935.125</v>
      </c>
      <c r="U291" s="95" cm="1">
        <f t="array" ref="U291">IF($C291&gt;U$11,0,INDEX($F$282:$AD$282,U$11-$C291+1)*($D291/$D$282))</f>
        <v>5450.625</v>
      </c>
      <c r="V291" s="95" cm="1">
        <f t="array" ref="V291">IF($C291&gt;V$11,0,INDEX($F$282:$AD$282,V$11-$C291+1)*($D291/$D$282))</f>
        <v>5450.625</v>
      </c>
      <c r="W291" s="95" cm="1">
        <f t="array" ref="W291">IF($C291&gt;W$11,0,INDEX($F$282:$AD$282,W$11-$C291+1)*($D291/$D$282))</f>
        <v>5450.625</v>
      </c>
      <c r="X291" s="95" cm="1">
        <f t="array" ref="X291">IF($C291&gt;X$11,0,INDEX($F$282:$AD$282,X$11-$C291+1)*($D291/$D$282))</f>
        <v>5450.625</v>
      </c>
      <c r="Y291" s="95" cm="1">
        <f t="array" ref="Y291">IF($C291&gt;Y$11,0,INDEX($F$282:$AD$282,Y$11-$C291+1)*($D291/$D$282))</f>
        <v>5450.625</v>
      </c>
      <c r="Z291" s="95" cm="1">
        <f t="array" ref="Z291">IF($C291&gt;Z$11,0,INDEX($F$282:$AD$282,Z$11-$C291+1)*($D291/$D$282))</f>
        <v>5450.625</v>
      </c>
      <c r="AA291" s="95" cm="1">
        <f t="array" ref="AA291">IF($C291&gt;AA$11,0,INDEX($F$282:$AD$282,AA$11-$C291+1)*($D291/$D$282))</f>
        <v>5814</v>
      </c>
      <c r="AB291" s="95" cm="1">
        <f t="array" ref="AB291">IF($C291&gt;AB$11,0,INDEX($F$282:$AD$282,AB$11-$C291+1)*($D291/$D$282))</f>
        <v>0</v>
      </c>
      <c r="AC291" s="95" cm="1">
        <f t="array" ref="AC291">IF($C291&gt;AC$11,0,INDEX($F$282:$AD$282,AC$11-$C291+1)*($D291/$D$282))</f>
        <v>0</v>
      </c>
      <c r="AD291" s="95" cm="1">
        <f t="array" ref="AD291">IF($C291&gt;AD$11,0,INDEX($F$282:$AD$282,AD$11-$C291+1)*($D291/$D$282))</f>
        <v>0</v>
      </c>
    </row>
    <row r="292" spans="1:30">
      <c r="A292" s="95"/>
      <c r="B292" s="118">
        <f t="shared" si="77"/>
        <v>3</v>
      </c>
      <c r="C292">
        <f t="shared" si="78"/>
        <v>2030</v>
      </c>
      <c r="D292" s="95" cm="1">
        <f t="array" ref="D292">INDEX($F$14:$AD$16,$B292,MATCH($C292,$F$11:$AD$11,0))*$G$283</f>
        <v>0</v>
      </c>
      <c r="E292" s="95"/>
      <c r="F292" s="95" cm="1">
        <f t="array" ref="F292">IF($C292&gt;F$11,0,INDEX($F$282:$AD$282,F$11-$C292+1)*($D292/$D$282))</f>
        <v>0</v>
      </c>
      <c r="G292" s="95" cm="1">
        <f t="array" ref="G292">IF($C292&gt;G$11,0,INDEX($F$282:$AD$282,G$11-$C292+1)*($D292/$D$282))</f>
        <v>0</v>
      </c>
      <c r="H292" s="95" cm="1">
        <f t="array" ref="H292">IF($C292&gt;H$11,0,INDEX($F$282:$AD$282,H$11-$C292+1)*($D292/$D$282))</f>
        <v>0</v>
      </c>
      <c r="I292" s="95" cm="1">
        <f t="array" ref="I292">IF($C292&gt;I$11,0,INDEX($F$282:$AD$282,I$11-$C292+1)*($D292/$D$282))</f>
        <v>0</v>
      </c>
      <c r="J292" s="95" cm="1">
        <f t="array" ref="J292">IF($C292&gt;J$11,0,INDEX($F$282:$AD$282,J$11-$C292+1)*($D292/$D$282))</f>
        <v>0</v>
      </c>
      <c r="K292" s="95" cm="1">
        <f t="array" ref="K292">IF($C292&gt;K$11,0,INDEX($F$282:$AD$282,K$11-$C292+1)*($D292/$D$282))</f>
        <v>0</v>
      </c>
      <c r="L292" s="95" cm="1">
        <f t="array" ref="L292">IF($C292&gt;L$11,0,INDEX($F$282:$AD$282,L$11-$C292+1)*($D292/$D$282))</f>
        <v>0</v>
      </c>
      <c r="M292" s="95" cm="1">
        <f t="array" ref="M292">IF($C292&gt;M$11,0,INDEX($F$282:$AD$282,M$11-$C292+1)*($D292/$D$282))</f>
        <v>0</v>
      </c>
      <c r="N292" s="95" cm="1">
        <f t="array" ref="N292">IF($C292&gt;N$11,0,INDEX($F$282:$AD$282,N$11-$C292+1)*($D292/$D$282))</f>
        <v>0</v>
      </c>
      <c r="O292" s="95" cm="1">
        <f t="array" ref="O292">IF($C292&gt;O$11,0,INDEX($F$282:$AD$282,O$11-$C292+1)*($D292/$D$282))</f>
        <v>0</v>
      </c>
      <c r="P292" s="95" cm="1">
        <f t="array" ref="P292">IF($C292&gt;P$11,0,INDEX($F$282:$AD$282,P$11-$C292+1)*($D292/$D$282))</f>
        <v>0</v>
      </c>
      <c r="Q292" s="95" cm="1">
        <f t="array" ref="Q292">IF($C292&gt;Q$11,0,INDEX($F$282:$AD$282,Q$11-$C292+1)*($D292/$D$282))</f>
        <v>0</v>
      </c>
      <c r="R292" s="95" cm="1">
        <f t="array" ref="R292">IF($C292&gt;R$11,0,INDEX($F$282:$AD$282,R$11-$C292+1)*($D292/$D$282))</f>
        <v>0</v>
      </c>
      <c r="S292" s="95" cm="1">
        <f t="array" ref="S292">IF($C292&gt;S$11,0,INDEX($F$282:$AD$282,S$11-$C292+1)*($D292/$D$282))</f>
        <v>0</v>
      </c>
      <c r="T292" s="95" cm="1">
        <f t="array" ref="T292">IF($C292&gt;T$11,0,INDEX($F$282:$AD$282,T$11-$C292+1)*($D292/$D$282))</f>
        <v>0</v>
      </c>
      <c r="U292" s="95" cm="1">
        <f t="array" ref="U292">IF($C292&gt;U$11,0,INDEX($F$282:$AD$282,U$11-$C292+1)*($D292/$D$282))</f>
        <v>0</v>
      </c>
      <c r="V292" s="95" cm="1">
        <f t="array" ref="V292">IF($C292&gt;V$11,0,INDEX($F$282:$AD$282,V$11-$C292+1)*($D292/$D$282))</f>
        <v>0</v>
      </c>
      <c r="W292" s="95" cm="1">
        <f t="array" ref="W292">IF($C292&gt;W$11,0,INDEX($F$282:$AD$282,W$11-$C292+1)*($D292/$D$282))</f>
        <v>0</v>
      </c>
      <c r="X292" s="95" cm="1">
        <f t="array" ref="X292">IF($C292&gt;X$11,0,INDEX($F$282:$AD$282,X$11-$C292+1)*($D292/$D$282))</f>
        <v>0</v>
      </c>
      <c r="Y292" s="95" cm="1">
        <f t="array" ref="Y292">IF($C292&gt;Y$11,0,INDEX($F$282:$AD$282,Y$11-$C292+1)*($D292/$D$282))</f>
        <v>0</v>
      </c>
      <c r="Z292" s="95" cm="1">
        <f t="array" ref="Z292">IF($C292&gt;Z$11,0,INDEX($F$282:$AD$282,Z$11-$C292+1)*($D292/$D$282))</f>
        <v>0</v>
      </c>
      <c r="AA292" s="95" cm="1">
        <f t="array" ref="AA292">IF($C292&gt;AA$11,0,INDEX($F$282:$AD$282,AA$11-$C292+1)*($D292/$D$282))</f>
        <v>0</v>
      </c>
      <c r="AB292" s="95" cm="1">
        <f t="array" ref="AB292">IF($C292&gt;AB$11,0,INDEX($F$282:$AD$282,AB$11-$C292+1)*($D292/$D$282))</f>
        <v>0</v>
      </c>
      <c r="AC292" s="95" cm="1">
        <f t="array" ref="AC292">IF($C292&gt;AC$11,0,INDEX($F$282:$AD$282,AC$11-$C292+1)*($D292/$D$282))</f>
        <v>0</v>
      </c>
      <c r="AD292" s="95" cm="1">
        <f t="array" ref="AD292">IF($C292&gt;AD$11,0,INDEX($F$282:$AD$282,AD$11-$C292+1)*($D292/$D$282))</f>
        <v>0</v>
      </c>
    </row>
    <row r="293" spans="1:30">
      <c r="A293" s="95"/>
      <c r="B293" s="118">
        <f t="shared" si="77"/>
        <v>3</v>
      </c>
      <c r="C293">
        <f t="shared" si="78"/>
        <v>2031</v>
      </c>
      <c r="D293" s="95" cm="1">
        <f t="array" ref="D293">INDEX($F$14:$AD$16,$B293,MATCH($C293,$F$11:$AD$11,0))*$G$283</f>
        <v>813675</v>
      </c>
      <c r="E293" s="95"/>
      <c r="F293" s="95" cm="1">
        <f t="array" ref="F293">IF($C293&gt;F$11,0,INDEX($F$282:$AD$282,F$11-$C293+1)*($D293/$D$282))</f>
        <v>0</v>
      </c>
      <c r="G293" s="95" cm="1">
        <f t="array" ref="G293">IF($C293&gt;G$11,0,INDEX($F$282:$AD$282,G$11-$C293+1)*($D293/$D$282))</f>
        <v>0</v>
      </c>
      <c r="H293" s="95" cm="1">
        <f t="array" ref="H293">IF($C293&gt;H$11,0,INDEX($F$282:$AD$282,H$11-$C293+1)*($D293/$D$282))</f>
        <v>0</v>
      </c>
      <c r="I293" s="95" cm="1">
        <f t="array" ref="I293">IF($C293&gt;I$11,0,INDEX($F$282:$AD$282,I$11-$C293+1)*($D293/$D$282))</f>
        <v>0</v>
      </c>
      <c r="J293" s="95" cm="1">
        <f t="array" ref="J293">IF($C293&gt;J$11,0,INDEX($F$282:$AD$282,J$11-$C293+1)*($D293/$D$282))</f>
        <v>0</v>
      </c>
      <c r="K293" s="95" cm="1">
        <f t="array" ref="K293">IF($C293&gt;K$11,0,INDEX($F$282:$AD$282,K$11-$C293+1)*($D293/$D$282))</f>
        <v>0</v>
      </c>
      <c r="L293" s="95" cm="1">
        <f t="array" ref="L293">IF($C293&gt;L$11,0,INDEX($F$282:$AD$282,L$11-$C293+1)*($D293/$D$282))</f>
        <v>0</v>
      </c>
      <c r="M293" s="95" cm="1">
        <f t="array" ref="M293">IF($C293&gt;M$11,0,INDEX($F$282:$AD$282,M$11-$C293+1)*($D293/$D$282))</f>
        <v>0</v>
      </c>
      <c r="N293" s="95" cm="1">
        <f t="array" ref="N293">IF($C293&gt;N$11,0,INDEX($F$282:$AD$282,N$11-$C293+1)*($D293/$D$282))</f>
        <v>0</v>
      </c>
      <c r="O293" s="95" cm="1">
        <f t="array" ref="O293">IF($C293&gt;O$11,0,INDEX($F$282:$AD$282,O$11-$C293+1)*($D293/$D$282))</f>
        <v>108218.77500000001</v>
      </c>
      <c r="P293" s="95" cm="1">
        <f t="array" ref="P293">IF($C293&gt;P$11,0,INDEX($F$282:$AD$282,P$11-$C293+1)*($D293/$D$282))</f>
        <v>94386.3</v>
      </c>
      <c r="Q293" s="95" cm="1">
        <f t="array" ref="Q293">IF($C293&gt;Q$11,0,INDEX($F$282:$AD$282,Q$11-$C293+1)*($D293/$D$282))</f>
        <v>81367.5</v>
      </c>
      <c r="R293" s="95" cm="1">
        <f t="array" ref="R293">IF($C293&gt;R$11,0,INDEX($F$282:$AD$282,R$11-$C293+1)*($D293/$D$282))</f>
        <v>70789.725000000006</v>
      </c>
      <c r="S293" s="95" cm="1">
        <f t="array" ref="S293">IF($C293&gt;S$11,0,INDEX($F$282:$AD$282,S$11-$C293+1)*($D293/$D$282))</f>
        <v>61025.625</v>
      </c>
      <c r="T293" s="95" cm="1">
        <f t="array" ref="T293">IF($C293&gt;T$11,0,INDEX($F$282:$AD$282,T$11-$C293+1)*($D293/$D$282))</f>
        <v>52888.875</v>
      </c>
      <c r="U293" s="95" cm="1">
        <f t="array" ref="U293">IF($C293&gt;U$11,0,INDEX($F$282:$AD$282,U$11-$C293+1)*($D293/$D$282))</f>
        <v>46379.474999999999</v>
      </c>
      <c r="V293" s="95" cm="1">
        <f t="array" ref="V293">IF($C293&gt;V$11,0,INDEX($F$282:$AD$282,V$11-$C293+1)*($D293/$D$282))</f>
        <v>39870.075000000004</v>
      </c>
      <c r="W293" s="95" cm="1">
        <f t="array" ref="W293">IF($C293&gt;W$11,0,INDEX($F$282:$AD$282,W$11-$C293+1)*($D293/$D$282))</f>
        <v>36615.375</v>
      </c>
      <c r="X293" s="95" cm="1">
        <f t="array" ref="X293">IF($C293&gt;X$11,0,INDEX($F$282:$AD$282,X$11-$C293+1)*($D293/$D$282))</f>
        <v>36615.375</v>
      </c>
      <c r="Y293" s="95" cm="1">
        <f t="array" ref="Y293">IF($C293&gt;Y$11,0,INDEX($F$282:$AD$282,Y$11-$C293+1)*($D293/$D$282))</f>
        <v>36615.375</v>
      </c>
      <c r="Z293" s="95" cm="1">
        <f t="array" ref="Z293">IF($C293&gt;Z$11,0,INDEX($F$282:$AD$282,Z$11-$C293+1)*($D293/$D$282))</f>
        <v>36615.375</v>
      </c>
      <c r="AA293" s="95" cm="1">
        <f t="array" ref="AA293">IF($C293&gt;AA$11,0,INDEX($F$282:$AD$282,AA$11-$C293+1)*($D293/$D$282))</f>
        <v>36615.375</v>
      </c>
      <c r="AB293" s="95" cm="1">
        <f t="array" ref="AB293">IF($C293&gt;AB$11,0,INDEX($F$282:$AD$282,AB$11-$C293+1)*($D293/$D$282))</f>
        <v>36615.375</v>
      </c>
      <c r="AC293" s="95" cm="1">
        <f t="array" ref="AC293">IF($C293&gt;AC$11,0,INDEX($F$282:$AD$282,AC$11-$C293+1)*($D293/$D$282))</f>
        <v>39056.400000000001</v>
      </c>
      <c r="AD293" s="95" cm="1">
        <f t="array" ref="AD293">IF($C293&gt;AD$11,0,INDEX($F$282:$AD$282,AD$11-$C293+1)*($D293/$D$282))</f>
        <v>0</v>
      </c>
    </row>
    <row r="294" spans="1:30">
      <c r="A294" s="95"/>
      <c r="B294" s="118">
        <f t="shared" si="77"/>
        <v>3</v>
      </c>
      <c r="C294">
        <f t="shared" si="78"/>
        <v>2032</v>
      </c>
      <c r="D294" s="95" cm="1">
        <f t="array" ref="D294">INDEX($F$14:$AD$16,$B294,MATCH($C294,$F$11:$AD$11,0))*$G$283</f>
        <v>1187025</v>
      </c>
      <c r="E294" s="95"/>
      <c r="F294" s="95" cm="1">
        <f t="array" ref="F294">IF($C294&gt;F$11,0,INDEX($F$282:$AD$282,F$11-$C294+1)*($D294/$D$282))</f>
        <v>0</v>
      </c>
      <c r="G294" s="95" cm="1">
        <f t="array" ref="G294">IF($C294&gt;G$11,0,INDEX($F$282:$AD$282,G$11-$C294+1)*($D294/$D$282))</f>
        <v>0</v>
      </c>
      <c r="H294" s="95" cm="1">
        <f t="array" ref="H294">IF($C294&gt;H$11,0,INDEX($F$282:$AD$282,H$11-$C294+1)*($D294/$D$282))</f>
        <v>0</v>
      </c>
      <c r="I294" s="95" cm="1">
        <f t="array" ref="I294">IF($C294&gt;I$11,0,INDEX($F$282:$AD$282,I$11-$C294+1)*($D294/$D$282))</f>
        <v>0</v>
      </c>
      <c r="J294" s="95" cm="1">
        <f t="array" ref="J294">IF($C294&gt;J$11,0,INDEX($F$282:$AD$282,J$11-$C294+1)*($D294/$D$282))</f>
        <v>0</v>
      </c>
      <c r="K294" s="95" cm="1">
        <f t="array" ref="K294">IF($C294&gt;K$11,0,INDEX($F$282:$AD$282,K$11-$C294+1)*($D294/$D$282))</f>
        <v>0</v>
      </c>
      <c r="L294" s="95" cm="1">
        <f t="array" ref="L294">IF($C294&gt;L$11,0,INDEX($F$282:$AD$282,L$11-$C294+1)*($D294/$D$282))</f>
        <v>0</v>
      </c>
      <c r="M294" s="95" cm="1">
        <f t="array" ref="M294">IF($C294&gt;M$11,0,INDEX($F$282:$AD$282,M$11-$C294+1)*($D294/$D$282))</f>
        <v>0</v>
      </c>
      <c r="N294" s="95" cm="1">
        <f t="array" ref="N294">IF($C294&gt;N$11,0,INDEX($F$282:$AD$282,N$11-$C294+1)*($D294/$D$282))</f>
        <v>0</v>
      </c>
      <c r="O294" s="95" cm="1">
        <f t="array" ref="O294">IF($C294&gt;O$11,0,INDEX($F$282:$AD$282,O$11-$C294+1)*($D294/$D$282))</f>
        <v>0</v>
      </c>
      <c r="P294" s="95" cm="1">
        <f t="array" ref="P294">IF($C294&gt;P$11,0,INDEX($F$282:$AD$282,P$11-$C294+1)*($D294/$D$282))</f>
        <v>157874.32500000001</v>
      </c>
      <c r="Q294" s="95" cm="1">
        <f t="array" ref="Q294">IF($C294&gt;Q$11,0,INDEX($F$282:$AD$282,Q$11-$C294+1)*($D294/$D$282))</f>
        <v>137694.9</v>
      </c>
      <c r="R294" s="95" cm="1">
        <f t="array" ref="R294">IF($C294&gt;R$11,0,INDEX($F$282:$AD$282,R$11-$C294+1)*($D294/$D$282))</f>
        <v>118702.5</v>
      </c>
      <c r="S294" s="95" cm="1">
        <f t="array" ref="S294">IF($C294&gt;S$11,0,INDEX($F$282:$AD$282,S$11-$C294+1)*($D294/$D$282))</f>
        <v>103271.175</v>
      </c>
      <c r="T294" s="95" cm="1">
        <f t="array" ref="T294">IF($C294&gt;T$11,0,INDEX($F$282:$AD$282,T$11-$C294+1)*($D294/$D$282))</f>
        <v>89026.875</v>
      </c>
      <c r="U294" s="95" cm="1">
        <f t="array" ref="U294">IF($C294&gt;U$11,0,INDEX($F$282:$AD$282,U$11-$C294+1)*($D294/$D$282))</f>
        <v>77156.625</v>
      </c>
      <c r="V294" s="95" cm="1">
        <f t="array" ref="V294">IF($C294&gt;V$11,0,INDEX($F$282:$AD$282,V$11-$C294+1)*($D294/$D$282))</f>
        <v>67660.425000000003</v>
      </c>
      <c r="W294" s="95" cm="1">
        <f t="array" ref="W294">IF($C294&gt;W$11,0,INDEX($F$282:$AD$282,W$11-$C294+1)*($D294/$D$282))</f>
        <v>58164.224999999999</v>
      </c>
      <c r="X294" s="95" cm="1">
        <f t="array" ref="X294">IF($C294&gt;X$11,0,INDEX($F$282:$AD$282,X$11-$C294+1)*($D294/$D$282))</f>
        <v>53416.125</v>
      </c>
      <c r="Y294" s="95" cm="1">
        <f t="array" ref="Y294">IF($C294&gt;Y$11,0,INDEX($F$282:$AD$282,Y$11-$C294+1)*($D294/$D$282))</f>
        <v>53416.125</v>
      </c>
      <c r="Z294" s="95" cm="1">
        <f t="array" ref="Z294">IF($C294&gt;Z$11,0,INDEX($F$282:$AD$282,Z$11-$C294+1)*($D294/$D$282))</f>
        <v>53416.125</v>
      </c>
      <c r="AA294" s="95" cm="1">
        <f t="array" ref="AA294">IF($C294&gt;AA$11,0,INDEX($F$282:$AD$282,AA$11-$C294+1)*($D294/$D$282))</f>
        <v>53416.125</v>
      </c>
      <c r="AB294" s="95" cm="1">
        <f t="array" ref="AB294">IF($C294&gt;AB$11,0,INDEX($F$282:$AD$282,AB$11-$C294+1)*($D294/$D$282))</f>
        <v>53416.125</v>
      </c>
      <c r="AC294" s="95" cm="1">
        <f t="array" ref="AC294">IF($C294&gt;AC$11,0,INDEX($F$282:$AD$282,AC$11-$C294+1)*($D294/$D$282))</f>
        <v>53416.125</v>
      </c>
      <c r="AD294" s="95" cm="1">
        <f t="array" ref="AD294">IF($C294&gt;AD$11,0,INDEX($F$282:$AD$282,AD$11-$C294+1)*($D294/$D$282))</f>
        <v>56977.2</v>
      </c>
    </row>
    <row r="295" spans="1:30">
      <c r="A295" s="95"/>
      <c r="B295" s="118">
        <f t="shared" si="77"/>
        <v>3</v>
      </c>
      <c r="C295">
        <f t="shared" si="78"/>
        <v>2033</v>
      </c>
      <c r="D295" s="95" cm="1">
        <f t="array" ref="D295">INDEX($F$14:$AD$16,$B295,MATCH($C295,$F$11:$AD$11,0))*$G$283</f>
        <v>1373700</v>
      </c>
      <c r="E295" s="95"/>
      <c r="F295" s="95" cm="1">
        <f t="array" ref="F295">IF($C295&gt;F$11,0,INDEX($F$282:$AD$282,F$11-$C295+1)*($D295/$D$282))</f>
        <v>0</v>
      </c>
      <c r="G295" s="95" cm="1">
        <f t="array" ref="G295">IF($C295&gt;G$11,0,INDEX($F$282:$AD$282,G$11-$C295+1)*($D295/$D$282))</f>
        <v>0</v>
      </c>
      <c r="H295" s="95" cm="1">
        <f t="array" ref="H295">IF($C295&gt;H$11,0,INDEX($F$282:$AD$282,H$11-$C295+1)*($D295/$D$282))</f>
        <v>0</v>
      </c>
      <c r="I295" s="95" cm="1">
        <f t="array" ref="I295">IF($C295&gt;I$11,0,INDEX($F$282:$AD$282,I$11-$C295+1)*($D295/$D$282))</f>
        <v>0</v>
      </c>
      <c r="J295" s="95" cm="1">
        <f t="array" ref="J295">IF($C295&gt;J$11,0,INDEX($F$282:$AD$282,J$11-$C295+1)*($D295/$D$282))</f>
        <v>0</v>
      </c>
      <c r="K295" s="95" cm="1">
        <f t="array" ref="K295">IF($C295&gt;K$11,0,INDEX($F$282:$AD$282,K$11-$C295+1)*($D295/$D$282))</f>
        <v>0</v>
      </c>
      <c r="L295" s="95" cm="1">
        <f t="array" ref="L295">IF($C295&gt;L$11,0,INDEX($F$282:$AD$282,L$11-$C295+1)*($D295/$D$282))</f>
        <v>0</v>
      </c>
      <c r="M295" s="95" cm="1">
        <f t="array" ref="M295">IF($C295&gt;M$11,0,INDEX($F$282:$AD$282,M$11-$C295+1)*($D295/$D$282))</f>
        <v>0</v>
      </c>
      <c r="N295" s="95" cm="1">
        <f t="array" ref="N295">IF($C295&gt;N$11,0,INDEX($F$282:$AD$282,N$11-$C295+1)*($D295/$D$282))</f>
        <v>0</v>
      </c>
      <c r="O295" s="95" cm="1">
        <f t="array" ref="O295">IF($C295&gt;O$11,0,INDEX($F$282:$AD$282,O$11-$C295+1)*($D295/$D$282))</f>
        <v>0</v>
      </c>
      <c r="P295" s="95" cm="1">
        <f t="array" ref="P295">IF($C295&gt;P$11,0,INDEX($F$282:$AD$282,P$11-$C295+1)*($D295/$D$282))</f>
        <v>0</v>
      </c>
      <c r="Q295" s="95" cm="1">
        <f t="array" ref="Q295">IF($C295&gt;Q$11,0,INDEX($F$282:$AD$282,Q$11-$C295+1)*($D295/$D$282))</f>
        <v>182702.09999999998</v>
      </c>
      <c r="R295" s="95" cm="1">
        <f t="array" ref="R295">IF($C295&gt;R$11,0,INDEX($F$282:$AD$282,R$11-$C295+1)*($D295/$D$282))</f>
        <v>159349.19999999998</v>
      </c>
      <c r="S295" s="95" cm="1">
        <f t="array" ref="S295">IF($C295&gt;S$11,0,INDEX($F$282:$AD$282,S$11-$C295+1)*($D295/$D$282))</f>
        <v>137370</v>
      </c>
      <c r="T295" s="95" cm="1">
        <f t="array" ref="T295">IF($C295&gt;T$11,0,INDEX($F$282:$AD$282,T$11-$C295+1)*($D295/$D$282))</f>
        <v>119511.9</v>
      </c>
      <c r="U295" s="95" cm="1">
        <f t="array" ref="U295">IF($C295&gt;U$11,0,INDEX($F$282:$AD$282,U$11-$C295+1)*($D295/$D$282))</f>
        <v>103027.5</v>
      </c>
      <c r="V295" s="95" cm="1">
        <f t="array" ref="V295">IF($C295&gt;V$11,0,INDEX($F$282:$AD$282,V$11-$C295+1)*($D295/$D$282))</f>
        <v>89290.5</v>
      </c>
      <c r="W295" s="95" cm="1">
        <f t="array" ref="W295">IF($C295&gt;W$11,0,INDEX($F$282:$AD$282,W$11-$C295+1)*($D295/$D$282))</f>
        <v>78300.899999999994</v>
      </c>
      <c r="X295" s="95" cm="1">
        <f t="array" ref="X295">IF($C295&gt;X$11,0,INDEX($F$282:$AD$282,X$11-$C295+1)*($D295/$D$282))</f>
        <v>67311.3</v>
      </c>
      <c r="Y295" s="95" cm="1">
        <f t="array" ref="Y295">IF($C295&gt;Y$11,0,INDEX($F$282:$AD$282,Y$11-$C295+1)*($D295/$D$282))</f>
        <v>61816.5</v>
      </c>
      <c r="Z295" s="95" cm="1">
        <f t="array" ref="Z295">IF($C295&gt;Z$11,0,INDEX($F$282:$AD$282,Z$11-$C295+1)*($D295/$D$282))</f>
        <v>61816.5</v>
      </c>
      <c r="AA295" s="95" cm="1">
        <f t="array" ref="AA295">IF($C295&gt;AA$11,0,INDEX($F$282:$AD$282,AA$11-$C295+1)*($D295/$D$282))</f>
        <v>61816.5</v>
      </c>
      <c r="AB295" s="95" cm="1">
        <f t="array" ref="AB295">IF($C295&gt;AB$11,0,INDEX($F$282:$AD$282,AB$11-$C295+1)*($D295/$D$282))</f>
        <v>61816.5</v>
      </c>
      <c r="AC295" s="95" cm="1">
        <f t="array" ref="AC295">IF($C295&gt;AC$11,0,INDEX($F$282:$AD$282,AC$11-$C295+1)*($D295/$D$282))</f>
        <v>61816.5</v>
      </c>
      <c r="AD295" s="95" cm="1">
        <f t="array" ref="AD295">IF($C295&gt;AD$11,0,INDEX($F$282:$AD$282,AD$11-$C295+1)*($D295/$D$282))</f>
        <v>61816.5</v>
      </c>
    </row>
    <row r="296" spans="1:30">
      <c r="A296" s="95"/>
      <c r="B296" s="118">
        <f t="shared" si="77"/>
        <v>3</v>
      </c>
      <c r="C296">
        <f t="shared" si="78"/>
        <v>2034</v>
      </c>
      <c r="D296" s="95" cm="1">
        <f t="array" ref="D296">INDEX($F$14:$AD$16,$B296,MATCH($C296,$F$11:$AD$11,0))*$G$283</f>
        <v>555750</v>
      </c>
      <c r="E296" s="95"/>
      <c r="F296" s="95" cm="1">
        <f t="array" ref="F296">IF($C296&gt;F$11,0,INDEX($F$282:$AD$282,F$11-$C296+1)*($D296/$D$282))</f>
        <v>0</v>
      </c>
      <c r="G296" s="95" cm="1">
        <f t="array" ref="G296">IF($C296&gt;G$11,0,INDEX($F$282:$AD$282,G$11-$C296+1)*($D296/$D$282))</f>
        <v>0</v>
      </c>
      <c r="H296" s="95" cm="1">
        <f t="array" ref="H296">IF($C296&gt;H$11,0,INDEX($F$282:$AD$282,H$11-$C296+1)*($D296/$D$282))</f>
        <v>0</v>
      </c>
      <c r="I296" s="95" cm="1">
        <f t="array" ref="I296">IF($C296&gt;I$11,0,INDEX($F$282:$AD$282,I$11-$C296+1)*($D296/$D$282))</f>
        <v>0</v>
      </c>
      <c r="J296" s="95" cm="1">
        <f t="array" ref="J296">IF($C296&gt;J$11,0,INDEX($F$282:$AD$282,J$11-$C296+1)*($D296/$D$282))</f>
        <v>0</v>
      </c>
      <c r="K296" s="95" cm="1">
        <f t="array" ref="K296">IF($C296&gt;K$11,0,INDEX($F$282:$AD$282,K$11-$C296+1)*($D296/$D$282))</f>
        <v>0</v>
      </c>
      <c r="L296" s="95" cm="1">
        <f t="array" ref="L296">IF($C296&gt;L$11,0,INDEX($F$282:$AD$282,L$11-$C296+1)*($D296/$D$282))</f>
        <v>0</v>
      </c>
      <c r="M296" s="95" cm="1">
        <f t="array" ref="M296">IF($C296&gt;M$11,0,INDEX($F$282:$AD$282,M$11-$C296+1)*($D296/$D$282))</f>
        <v>0</v>
      </c>
      <c r="N296" s="95" cm="1">
        <f t="array" ref="N296">IF($C296&gt;N$11,0,INDEX($F$282:$AD$282,N$11-$C296+1)*($D296/$D$282))</f>
        <v>0</v>
      </c>
      <c r="O296" s="95" cm="1">
        <f t="array" ref="O296">IF($C296&gt;O$11,0,INDEX($F$282:$AD$282,O$11-$C296+1)*($D296/$D$282))</f>
        <v>0</v>
      </c>
      <c r="P296" s="95" cm="1">
        <f t="array" ref="P296">IF($C296&gt;P$11,0,INDEX($F$282:$AD$282,P$11-$C296+1)*($D296/$D$282))</f>
        <v>0</v>
      </c>
      <c r="Q296" s="95" cm="1">
        <f t="array" ref="Q296">IF($C296&gt;Q$11,0,INDEX($F$282:$AD$282,Q$11-$C296+1)*($D296/$D$282))</f>
        <v>0</v>
      </c>
      <c r="R296" s="95" cm="1">
        <f t="array" ref="R296">IF($C296&gt;R$11,0,INDEX($F$282:$AD$282,R$11-$C296+1)*($D296/$D$282))</f>
        <v>73914.75</v>
      </c>
      <c r="S296" s="95" cm="1">
        <f t="array" ref="S296">IF($C296&gt;S$11,0,INDEX($F$282:$AD$282,S$11-$C296+1)*($D296/$D$282))</f>
        <v>64466.999999999993</v>
      </c>
      <c r="T296" s="95" cm="1">
        <f t="array" ref="T296">IF($C296&gt;T$11,0,INDEX($F$282:$AD$282,T$11-$C296+1)*($D296/$D$282))</f>
        <v>55575</v>
      </c>
      <c r="U296" s="95" cm="1">
        <f t="array" ref="U296">IF($C296&gt;U$11,0,INDEX($F$282:$AD$282,U$11-$C296+1)*($D296/$D$282))</f>
        <v>48350.25</v>
      </c>
      <c r="V296" s="95" cm="1">
        <f t="array" ref="V296">IF($C296&gt;V$11,0,INDEX($F$282:$AD$282,V$11-$C296+1)*($D296/$D$282))</f>
        <v>41681.25</v>
      </c>
      <c r="W296" s="95" cm="1">
        <f t="array" ref="W296">IF($C296&gt;W$11,0,INDEX($F$282:$AD$282,W$11-$C296+1)*($D296/$D$282))</f>
        <v>36123.75</v>
      </c>
      <c r="X296" s="95" cm="1">
        <f t="array" ref="X296">IF($C296&gt;X$11,0,INDEX($F$282:$AD$282,X$11-$C296+1)*($D296/$D$282))</f>
        <v>31677.749999999996</v>
      </c>
      <c r="Y296" s="95" cm="1">
        <f t="array" ref="Y296">IF($C296&gt;Y$11,0,INDEX($F$282:$AD$282,Y$11-$C296+1)*($D296/$D$282))</f>
        <v>27231.75</v>
      </c>
      <c r="Z296" s="95" cm="1">
        <f t="array" ref="Z296">IF($C296&gt;Z$11,0,INDEX($F$282:$AD$282,Z$11-$C296+1)*($D296/$D$282))</f>
        <v>25008.75</v>
      </c>
      <c r="AA296" s="95" cm="1">
        <f t="array" ref="AA296">IF($C296&gt;AA$11,0,INDEX($F$282:$AD$282,AA$11-$C296+1)*($D296/$D$282))</f>
        <v>25008.75</v>
      </c>
      <c r="AB296" s="95" cm="1">
        <f t="array" ref="AB296">IF($C296&gt;AB$11,0,INDEX($F$282:$AD$282,AB$11-$C296+1)*($D296/$D$282))</f>
        <v>25008.75</v>
      </c>
      <c r="AC296" s="95" cm="1">
        <f t="array" ref="AC296">IF($C296&gt;AC$11,0,INDEX($F$282:$AD$282,AC$11-$C296+1)*($D296/$D$282))</f>
        <v>25008.75</v>
      </c>
      <c r="AD296" s="95" cm="1">
        <f t="array" ref="AD296">IF($C296&gt;AD$11,0,INDEX($F$282:$AD$282,AD$11-$C296+1)*($D296/$D$282))</f>
        <v>25008.75</v>
      </c>
    </row>
    <row r="297" spans="1:30">
      <c r="A297" s="95"/>
      <c r="B297" s="118">
        <f t="shared" si="77"/>
        <v>3</v>
      </c>
      <c r="C297">
        <f t="shared" si="78"/>
        <v>2035</v>
      </c>
      <c r="D297" s="95" cm="1">
        <f t="array" ref="D297">INDEX($F$14:$AD$16,$B297,MATCH($C297,$F$11:$AD$11,0))*$G$283</f>
        <v>2542200</v>
      </c>
      <c r="E297" s="95"/>
      <c r="F297" s="95" cm="1">
        <f t="array" ref="F297">IF($C297&gt;F$11,0,INDEX($F$282:$AD$282,F$11-$C297+1)*($D297/$D$282))</f>
        <v>0</v>
      </c>
      <c r="G297" s="95" cm="1">
        <f t="array" ref="G297">IF($C297&gt;G$11,0,INDEX($F$282:$AD$282,G$11-$C297+1)*($D297/$D$282))</f>
        <v>0</v>
      </c>
      <c r="H297" s="95" cm="1">
        <f t="array" ref="H297">IF($C297&gt;H$11,0,INDEX($F$282:$AD$282,H$11-$C297+1)*($D297/$D$282))</f>
        <v>0</v>
      </c>
      <c r="I297" s="95" cm="1">
        <f t="array" ref="I297">IF($C297&gt;I$11,0,INDEX($F$282:$AD$282,I$11-$C297+1)*($D297/$D$282))</f>
        <v>0</v>
      </c>
      <c r="J297" s="95" cm="1">
        <f t="array" ref="J297">IF($C297&gt;J$11,0,INDEX($F$282:$AD$282,J$11-$C297+1)*($D297/$D$282))</f>
        <v>0</v>
      </c>
      <c r="K297" s="95" cm="1">
        <f t="array" ref="K297">IF($C297&gt;K$11,0,INDEX($F$282:$AD$282,K$11-$C297+1)*($D297/$D$282))</f>
        <v>0</v>
      </c>
      <c r="L297" s="95" cm="1">
        <f t="array" ref="L297">IF($C297&gt;L$11,0,INDEX($F$282:$AD$282,L$11-$C297+1)*($D297/$D$282))</f>
        <v>0</v>
      </c>
      <c r="M297" s="95" cm="1">
        <f t="array" ref="M297">IF($C297&gt;M$11,0,INDEX($F$282:$AD$282,M$11-$C297+1)*($D297/$D$282))</f>
        <v>0</v>
      </c>
      <c r="N297" s="95" cm="1">
        <f t="array" ref="N297">IF($C297&gt;N$11,0,INDEX($F$282:$AD$282,N$11-$C297+1)*($D297/$D$282))</f>
        <v>0</v>
      </c>
      <c r="O297" s="95" cm="1">
        <f t="array" ref="O297">IF($C297&gt;O$11,0,INDEX($F$282:$AD$282,O$11-$C297+1)*($D297/$D$282))</f>
        <v>0</v>
      </c>
      <c r="P297" s="95" cm="1">
        <f t="array" ref="P297">IF($C297&gt;P$11,0,INDEX($F$282:$AD$282,P$11-$C297+1)*($D297/$D$282))</f>
        <v>0</v>
      </c>
      <c r="Q297" s="95" cm="1">
        <f t="array" ref="Q297">IF($C297&gt;Q$11,0,INDEX($F$282:$AD$282,Q$11-$C297+1)*($D297/$D$282))</f>
        <v>0</v>
      </c>
      <c r="R297" s="95" cm="1">
        <f t="array" ref="R297">IF($C297&gt;R$11,0,INDEX($F$282:$AD$282,R$11-$C297+1)*($D297/$D$282))</f>
        <v>0</v>
      </c>
      <c r="S297" s="95" cm="1">
        <f t="array" ref="S297">IF($C297&gt;S$11,0,INDEX($F$282:$AD$282,S$11-$C297+1)*($D297/$D$282))</f>
        <v>338112.6</v>
      </c>
      <c r="T297" s="95" cm="1">
        <f t="array" ref="T297">IF($C297&gt;T$11,0,INDEX($F$282:$AD$282,T$11-$C297+1)*($D297/$D$282))</f>
        <v>294895.19999999995</v>
      </c>
      <c r="U297" s="95" cm="1">
        <f t="array" ref="U297">IF($C297&gt;U$11,0,INDEX($F$282:$AD$282,U$11-$C297+1)*($D297/$D$282))</f>
        <v>254219.99999999997</v>
      </c>
      <c r="V297" s="95" cm="1">
        <f t="array" ref="V297">IF($C297&gt;V$11,0,INDEX($F$282:$AD$282,V$11-$C297+1)*($D297/$D$282))</f>
        <v>221171.4</v>
      </c>
      <c r="W297" s="95" cm="1">
        <f t="array" ref="W297">IF($C297&gt;W$11,0,INDEX($F$282:$AD$282,W$11-$C297+1)*($D297/$D$282))</f>
        <v>190664.99999999997</v>
      </c>
      <c r="X297" s="95" cm="1">
        <f t="array" ref="X297">IF($C297&gt;X$11,0,INDEX($F$282:$AD$282,X$11-$C297+1)*($D297/$D$282))</f>
        <v>165243</v>
      </c>
      <c r="Y297" s="95" cm="1">
        <f t="array" ref="Y297">IF($C297&gt;Y$11,0,INDEX($F$282:$AD$282,Y$11-$C297+1)*($D297/$D$282))</f>
        <v>144905.4</v>
      </c>
      <c r="Z297" s="95" cm="1">
        <f t="array" ref="Z297">IF($C297&gt;Z$11,0,INDEX($F$282:$AD$282,Z$11-$C297+1)*($D297/$D$282))</f>
        <v>124567.79999999999</v>
      </c>
      <c r="AA297" s="95" cm="1">
        <f t="array" ref="AA297">IF($C297&gt;AA$11,0,INDEX($F$282:$AD$282,AA$11-$C297+1)*($D297/$D$282))</f>
        <v>114398.99999999999</v>
      </c>
      <c r="AB297" s="95" cm="1">
        <f t="array" ref="AB297">IF($C297&gt;AB$11,0,INDEX($F$282:$AD$282,AB$11-$C297+1)*($D297/$D$282))</f>
        <v>114398.99999999999</v>
      </c>
      <c r="AC297" s="95" cm="1">
        <f t="array" ref="AC297">IF($C297&gt;AC$11,0,INDEX($F$282:$AD$282,AC$11-$C297+1)*($D297/$D$282))</f>
        <v>114398.99999999999</v>
      </c>
      <c r="AD297" s="95" cm="1">
        <f t="array" ref="AD297">IF($C297&gt;AD$11,0,INDEX($F$282:$AD$282,AD$11-$C297+1)*($D297/$D$282))</f>
        <v>114398.99999999999</v>
      </c>
    </row>
    <row r="298" spans="1:30">
      <c r="A298" s="95"/>
      <c r="B298" s="118">
        <f t="shared" si="77"/>
        <v>3</v>
      </c>
      <c r="C298">
        <f t="shared" si="78"/>
        <v>2036</v>
      </c>
      <c r="D298" s="95" cm="1">
        <f t="array" ref="D298">INDEX($F$14:$AD$16,$B298,MATCH($C298,$F$11:$AD$11,0))*$G$283</f>
        <v>1708575</v>
      </c>
      <c r="E298" s="95"/>
      <c r="F298" s="95" cm="1">
        <f t="array" ref="F298">IF($C298&gt;F$11,0,INDEX($F$282:$AD$282,F$11-$C298+1)*($D298/$D$282))</f>
        <v>0</v>
      </c>
      <c r="G298" s="95" cm="1">
        <f t="array" ref="G298">IF($C298&gt;G$11,0,INDEX($F$282:$AD$282,G$11-$C298+1)*($D298/$D$282))</f>
        <v>0</v>
      </c>
      <c r="H298" s="95" cm="1">
        <f t="array" ref="H298">IF($C298&gt;H$11,0,INDEX($F$282:$AD$282,H$11-$C298+1)*($D298/$D$282))</f>
        <v>0</v>
      </c>
      <c r="I298" s="95" cm="1">
        <f t="array" ref="I298">IF($C298&gt;I$11,0,INDEX($F$282:$AD$282,I$11-$C298+1)*($D298/$D$282))</f>
        <v>0</v>
      </c>
      <c r="J298" s="95" cm="1">
        <f t="array" ref="J298">IF($C298&gt;J$11,0,INDEX($F$282:$AD$282,J$11-$C298+1)*($D298/$D$282))</f>
        <v>0</v>
      </c>
      <c r="K298" s="95" cm="1">
        <f t="array" ref="K298">IF($C298&gt;K$11,0,INDEX($F$282:$AD$282,K$11-$C298+1)*($D298/$D$282))</f>
        <v>0</v>
      </c>
      <c r="L298" s="95" cm="1">
        <f t="array" ref="L298">IF($C298&gt;L$11,0,INDEX($F$282:$AD$282,L$11-$C298+1)*($D298/$D$282))</f>
        <v>0</v>
      </c>
      <c r="M298" s="95" cm="1">
        <f t="array" ref="M298">IF($C298&gt;M$11,0,INDEX($F$282:$AD$282,M$11-$C298+1)*($D298/$D$282))</f>
        <v>0</v>
      </c>
      <c r="N298" s="95" cm="1">
        <f t="array" ref="N298">IF($C298&gt;N$11,0,INDEX($F$282:$AD$282,N$11-$C298+1)*($D298/$D$282))</f>
        <v>0</v>
      </c>
      <c r="O298" s="95" cm="1">
        <f t="array" ref="O298">IF($C298&gt;O$11,0,INDEX($F$282:$AD$282,O$11-$C298+1)*($D298/$D$282))</f>
        <v>0</v>
      </c>
      <c r="P298" s="95" cm="1">
        <f t="array" ref="P298">IF($C298&gt;P$11,0,INDEX($F$282:$AD$282,P$11-$C298+1)*($D298/$D$282))</f>
        <v>0</v>
      </c>
      <c r="Q298" s="95" cm="1">
        <f t="array" ref="Q298">IF($C298&gt;Q$11,0,INDEX($F$282:$AD$282,Q$11-$C298+1)*($D298/$D$282))</f>
        <v>0</v>
      </c>
      <c r="R298" s="95" cm="1">
        <f t="array" ref="R298">IF($C298&gt;R$11,0,INDEX($F$282:$AD$282,R$11-$C298+1)*($D298/$D$282))</f>
        <v>0</v>
      </c>
      <c r="S298" s="95" cm="1">
        <f t="array" ref="S298">IF($C298&gt;S$11,0,INDEX($F$282:$AD$282,S$11-$C298+1)*($D298/$D$282))</f>
        <v>0</v>
      </c>
      <c r="T298" s="95" cm="1">
        <f t="array" ref="T298">IF($C298&gt;T$11,0,INDEX($F$282:$AD$282,T$11-$C298+1)*($D298/$D$282))</f>
        <v>227240.47500000001</v>
      </c>
      <c r="U298" s="95" cm="1">
        <f t="array" ref="U298">IF($C298&gt;U$11,0,INDEX($F$282:$AD$282,U$11-$C298+1)*($D298/$D$282))</f>
        <v>198194.69999999998</v>
      </c>
      <c r="V298" s="95" cm="1">
        <f t="array" ref="V298">IF($C298&gt;V$11,0,INDEX($F$282:$AD$282,V$11-$C298+1)*($D298/$D$282))</f>
        <v>170857.5</v>
      </c>
      <c r="W298" s="95" cm="1">
        <f t="array" ref="W298">IF($C298&gt;W$11,0,INDEX($F$282:$AD$282,W$11-$C298+1)*($D298/$D$282))</f>
        <v>148646.02499999999</v>
      </c>
      <c r="X298" s="95" cm="1">
        <f t="array" ref="X298">IF($C298&gt;X$11,0,INDEX($F$282:$AD$282,X$11-$C298+1)*($D298/$D$282))</f>
        <v>128143.125</v>
      </c>
      <c r="Y298" s="95" cm="1">
        <f t="array" ref="Y298">IF($C298&gt;Y$11,0,INDEX($F$282:$AD$282,Y$11-$C298+1)*($D298/$D$282))</f>
        <v>111057.375</v>
      </c>
      <c r="Z298" s="95" cm="1">
        <f t="array" ref="Z298">IF($C298&gt;Z$11,0,INDEX($F$282:$AD$282,Z$11-$C298+1)*($D298/$D$282))</f>
        <v>97388.774999999994</v>
      </c>
      <c r="AA298" s="95" cm="1">
        <f t="array" ref="AA298">IF($C298&gt;AA$11,0,INDEX($F$282:$AD$282,AA$11-$C298+1)*($D298/$D$282))</f>
        <v>83720.175000000003</v>
      </c>
      <c r="AB298" s="95" cm="1">
        <f t="array" ref="AB298">IF($C298&gt;AB$11,0,INDEX($F$282:$AD$282,AB$11-$C298+1)*($D298/$D$282))</f>
        <v>76885.875</v>
      </c>
      <c r="AC298" s="95" cm="1">
        <f t="array" ref="AC298">IF($C298&gt;AC$11,0,INDEX($F$282:$AD$282,AC$11-$C298+1)*($D298/$D$282))</f>
        <v>76885.875</v>
      </c>
      <c r="AD298" s="95" cm="1">
        <f t="array" ref="AD298">IF($C298&gt;AD$11,0,INDEX($F$282:$AD$282,AD$11-$C298+1)*($D298/$D$282))</f>
        <v>76885.875</v>
      </c>
    </row>
    <row r="299" spans="1:30">
      <c r="A299" s="95"/>
      <c r="B299" s="118">
        <f t="shared" si="77"/>
        <v>3</v>
      </c>
      <c r="C299">
        <f t="shared" si="78"/>
        <v>2037</v>
      </c>
      <c r="D299" s="95" cm="1">
        <f t="array" ref="D299">INDEX($F$14:$AD$16,$B299,MATCH($C299,$F$11:$AD$11,0))*$G$283</f>
        <v>1765575</v>
      </c>
      <c r="E299" s="95"/>
      <c r="F299" s="95" cm="1">
        <f t="array" ref="F299">IF($C299&gt;F$11,0,INDEX($F$282:$AD$282,F$11-$C299+1)*($D299/$D$282))</f>
        <v>0</v>
      </c>
      <c r="G299" s="95" cm="1">
        <f t="array" ref="G299">IF($C299&gt;G$11,0,INDEX($F$282:$AD$282,G$11-$C299+1)*($D299/$D$282))</f>
        <v>0</v>
      </c>
      <c r="H299" s="95" cm="1">
        <f t="array" ref="H299">IF($C299&gt;H$11,0,INDEX($F$282:$AD$282,H$11-$C299+1)*($D299/$D$282))</f>
        <v>0</v>
      </c>
      <c r="I299" s="95" cm="1">
        <f t="array" ref="I299">IF($C299&gt;I$11,0,INDEX($F$282:$AD$282,I$11-$C299+1)*($D299/$D$282))</f>
        <v>0</v>
      </c>
      <c r="J299" s="95" cm="1">
        <f t="array" ref="J299">IF($C299&gt;J$11,0,INDEX($F$282:$AD$282,J$11-$C299+1)*($D299/$D$282))</f>
        <v>0</v>
      </c>
      <c r="K299" s="95" cm="1">
        <f t="array" ref="K299">IF($C299&gt;K$11,0,INDEX($F$282:$AD$282,K$11-$C299+1)*($D299/$D$282))</f>
        <v>0</v>
      </c>
      <c r="L299" s="95" cm="1">
        <f t="array" ref="L299">IF($C299&gt;L$11,0,INDEX($F$282:$AD$282,L$11-$C299+1)*($D299/$D$282))</f>
        <v>0</v>
      </c>
      <c r="M299" s="95" cm="1">
        <f t="array" ref="M299">IF($C299&gt;M$11,0,INDEX($F$282:$AD$282,M$11-$C299+1)*($D299/$D$282))</f>
        <v>0</v>
      </c>
      <c r="N299" s="95" cm="1">
        <f t="array" ref="N299">IF($C299&gt;N$11,0,INDEX($F$282:$AD$282,N$11-$C299+1)*($D299/$D$282))</f>
        <v>0</v>
      </c>
      <c r="O299" s="95" cm="1">
        <f t="array" ref="O299">IF($C299&gt;O$11,0,INDEX($F$282:$AD$282,O$11-$C299+1)*($D299/$D$282))</f>
        <v>0</v>
      </c>
      <c r="P299" s="95" cm="1">
        <f t="array" ref="P299">IF($C299&gt;P$11,0,INDEX($F$282:$AD$282,P$11-$C299+1)*($D299/$D$282))</f>
        <v>0</v>
      </c>
      <c r="Q299" s="95" cm="1">
        <f t="array" ref="Q299">IF($C299&gt;Q$11,0,INDEX($F$282:$AD$282,Q$11-$C299+1)*($D299/$D$282))</f>
        <v>0</v>
      </c>
      <c r="R299" s="95" cm="1">
        <f t="array" ref="R299">IF($C299&gt;R$11,0,INDEX($F$282:$AD$282,R$11-$C299+1)*($D299/$D$282))</f>
        <v>0</v>
      </c>
      <c r="S299" s="95" cm="1">
        <f t="array" ref="S299">IF($C299&gt;S$11,0,INDEX($F$282:$AD$282,S$11-$C299+1)*($D299/$D$282))</f>
        <v>0</v>
      </c>
      <c r="T299" s="95" cm="1">
        <f t="array" ref="T299">IF($C299&gt;T$11,0,INDEX($F$282:$AD$282,T$11-$C299+1)*($D299/$D$282))</f>
        <v>0</v>
      </c>
      <c r="U299" s="95" cm="1">
        <f t="array" ref="U299">IF($C299&gt;U$11,0,INDEX($F$282:$AD$282,U$11-$C299+1)*($D299/$D$282))</f>
        <v>234821.47499999998</v>
      </c>
      <c r="V299" s="95" cm="1">
        <f t="array" ref="V299">IF($C299&gt;V$11,0,INDEX($F$282:$AD$282,V$11-$C299+1)*($D299/$D$282))</f>
        <v>204806.69999999998</v>
      </c>
      <c r="W299" s="95" cm="1">
        <f t="array" ref="W299">IF($C299&gt;W$11,0,INDEX($F$282:$AD$282,W$11-$C299+1)*($D299/$D$282))</f>
        <v>176557.5</v>
      </c>
      <c r="X299" s="95" cm="1">
        <f t="array" ref="X299">IF($C299&gt;X$11,0,INDEX($F$282:$AD$282,X$11-$C299+1)*($D299/$D$282))</f>
        <v>153605.02499999999</v>
      </c>
      <c r="Y299" s="95" cm="1">
        <f t="array" ref="Y299">IF($C299&gt;Y$11,0,INDEX($F$282:$AD$282,Y$11-$C299+1)*($D299/$D$282))</f>
        <v>132418.125</v>
      </c>
      <c r="Z299" s="95" cm="1">
        <f t="array" ref="Z299">IF($C299&gt;Z$11,0,INDEX($F$282:$AD$282,Z$11-$C299+1)*($D299/$D$282))</f>
        <v>114762.375</v>
      </c>
      <c r="AA299" s="95" cm="1">
        <f t="array" ref="AA299">IF($C299&gt;AA$11,0,INDEX($F$282:$AD$282,AA$11-$C299+1)*($D299/$D$282))</f>
        <v>100637.77499999999</v>
      </c>
      <c r="AB299" s="95" cm="1">
        <f t="array" ref="AB299">IF($C299&gt;AB$11,0,INDEX($F$282:$AD$282,AB$11-$C299+1)*($D299/$D$282))</f>
        <v>86513.174999999988</v>
      </c>
      <c r="AC299" s="95" cm="1">
        <f t="array" ref="AC299">IF($C299&gt;AC$11,0,INDEX($F$282:$AD$282,AC$11-$C299+1)*($D299/$D$282))</f>
        <v>79450.875</v>
      </c>
      <c r="AD299" s="95" cm="1">
        <f t="array" ref="AD299">IF($C299&gt;AD$11,0,INDEX($F$282:$AD$282,AD$11-$C299+1)*($D299/$D$282))</f>
        <v>79450.875</v>
      </c>
    </row>
    <row r="300" spans="1:30">
      <c r="A300" s="95"/>
      <c r="B300" s="118">
        <f t="shared" si="77"/>
        <v>3</v>
      </c>
      <c r="C300">
        <f t="shared" si="78"/>
        <v>2038</v>
      </c>
      <c r="D300" s="95" cm="1">
        <f t="array" ref="D300">INDEX($F$14:$AD$16,$B300,MATCH($C300,$F$11:$AD$11,0))*$G$283</f>
        <v>1487700</v>
      </c>
      <c r="E300" s="95"/>
      <c r="F300" s="95" cm="1">
        <f t="array" ref="F300">IF($C300&gt;F$11,0,INDEX($F$282:$AD$282,F$11-$C300+1)*($D300/$D$282))</f>
        <v>0</v>
      </c>
      <c r="G300" s="95" cm="1">
        <f t="array" ref="G300">IF($C300&gt;G$11,0,INDEX($F$282:$AD$282,G$11-$C300+1)*($D300/$D$282))</f>
        <v>0</v>
      </c>
      <c r="H300" s="95" cm="1">
        <f t="array" ref="H300">IF($C300&gt;H$11,0,INDEX($F$282:$AD$282,H$11-$C300+1)*($D300/$D$282))</f>
        <v>0</v>
      </c>
      <c r="I300" s="95" cm="1">
        <f t="array" ref="I300">IF($C300&gt;I$11,0,INDEX($F$282:$AD$282,I$11-$C300+1)*($D300/$D$282))</f>
        <v>0</v>
      </c>
      <c r="J300" s="95" cm="1">
        <f t="array" ref="J300">IF($C300&gt;J$11,0,INDEX($F$282:$AD$282,J$11-$C300+1)*($D300/$D$282))</f>
        <v>0</v>
      </c>
      <c r="K300" s="95" cm="1">
        <f t="array" ref="K300">IF($C300&gt;K$11,0,INDEX($F$282:$AD$282,K$11-$C300+1)*($D300/$D$282))</f>
        <v>0</v>
      </c>
      <c r="L300" s="95" cm="1">
        <f t="array" ref="L300">IF($C300&gt;L$11,0,INDEX($F$282:$AD$282,L$11-$C300+1)*($D300/$D$282))</f>
        <v>0</v>
      </c>
      <c r="M300" s="95" cm="1">
        <f t="array" ref="M300">IF($C300&gt;M$11,0,INDEX($F$282:$AD$282,M$11-$C300+1)*($D300/$D$282))</f>
        <v>0</v>
      </c>
      <c r="N300" s="95" cm="1">
        <f t="array" ref="N300">IF($C300&gt;N$11,0,INDEX($F$282:$AD$282,N$11-$C300+1)*($D300/$D$282))</f>
        <v>0</v>
      </c>
      <c r="O300" s="95" cm="1">
        <f t="array" ref="O300">IF($C300&gt;O$11,0,INDEX($F$282:$AD$282,O$11-$C300+1)*($D300/$D$282))</f>
        <v>0</v>
      </c>
      <c r="P300" s="95" cm="1">
        <f t="array" ref="P300">IF($C300&gt;P$11,0,INDEX($F$282:$AD$282,P$11-$C300+1)*($D300/$D$282))</f>
        <v>0</v>
      </c>
      <c r="Q300" s="95" cm="1">
        <f t="array" ref="Q300">IF($C300&gt;Q$11,0,INDEX($F$282:$AD$282,Q$11-$C300+1)*($D300/$D$282))</f>
        <v>0</v>
      </c>
      <c r="R300" s="95" cm="1">
        <f t="array" ref="R300">IF($C300&gt;R$11,0,INDEX($F$282:$AD$282,R$11-$C300+1)*($D300/$D$282))</f>
        <v>0</v>
      </c>
      <c r="S300" s="95" cm="1">
        <f t="array" ref="S300">IF($C300&gt;S$11,0,INDEX($F$282:$AD$282,S$11-$C300+1)*($D300/$D$282))</f>
        <v>0</v>
      </c>
      <c r="T300" s="95" cm="1">
        <f t="array" ref="T300">IF($C300&gt;T$11,0,INDEX($F$282:$AD$282,T$11-$C300+1)*($D300/$D$282))</f>
        <v>0</v>
      </c>
      <c r="U300" s="95" cm="1">
        <f t="array" ref="U300">IF($C300&gt;U$11,0,INDEX($F$282:$AD$282,U$11-$C300+1)*($D300/$D$282))</f>
        <v>0</v>
      </c>
      <c r="V300" s="95" cm="1">
        <f t="array" ref="V300">IF($C300&gt;V$11,0,INDEX($F$282:$AD$282,V$11-$C300+1)*($D300/$D$282))</f>
        <v>197864.1</v>
      </c>
      <c r="W300" s="95" cm="1">
        <f t="array" ref="W300">IF($C300&gt;W$11,0,INDEX($F$282:$AD$282,W$11-$C300+1)*($D300/$D$282))</f>
        <v>172573.2</v>
      </c>
      <c r="X300" s="95" cm="1">
        <f t="array" ref="X300">IF($C300&gt;X$11,0,INDEX($F$282:$AD$282,X$11-$C300+1)*($D300/$D$282))</f>
        <v>148770</v>
      </c>
      <c r="Y300" s="95" cm="1">
        <f t="array" ref="Y300">IF($C300&gt;Y$11,0,INDEX($F$282:$AD$282,Y$11-$C300+1)*($D300/$D$282))</f>
        <v>129429.90000000001</v>
      </c>
      <c r="Z300" s="95" cm="1">
        <f t="array" ref="Z300">IF($C300&gt;Z$11,0,INDEX($F$282:$AD$282,Z$11-$C300+1)*($D300/$D$282))</f>
        <v>111577.5</v>
      </c>
      <c r="AA300" s="95" cm="1">
        <f t="array" ref="AA300">IF($C300&gt;AA$11,0,INDEX($F$282:$AD$282,AA$11-$C300+1)*($D300/$D$282))</f>
        <v>96700.5</v>
      </c>
      <c r="AB300" s="95" cm="1">
        <f t="array" ref="AB300">IF($C300&gt;AB$11,0,INDEX($F$282:$AD$282,AB$11-$C300+1)*($D300/$D$282))</f>
        <v>84798.9</v>
      </c>
      <c r="AC300" s="95" cm="1">
        <f t="array" ref="AC300">IF($C300&gt;AC$11,0,INDEX($F$282:$AD$282,AC$11-$C300+1)*($D300/$D$282))</f>
        <v>72897.3</v>
      </c>
      <c r="AD300" s="95" cm="1">
        <f t="array" ref="AD300">IF($C300&gt;AD$11,0,INDEX($F$282:$AD$282,AD$11-$C300+1)*($D300/$D$282))</f>
        <v>66946.5</v>
      </c>
    </row>
    <row r="301" spans="1:30">
      <c r="A301" s="95"/>
      <c r="B301" s="118">
        <f t="shared" si="77"/>
        <v>3</v>
      </c>
      <c r="C301">
        <f t="shared" si="78"/>
        <v>2039</v>
      </c>
      <c r="D301" s="95" cm="1">
        <f t="array" ref="D301">INDEX($F$14:$AD$16,$B301,MATCH($C301,$F$11:$AD$11,0))*$G$283</f>
        <v>1442100</v>
      </c>
      <c r="E301" s="95"/>
      <c r="F301" s="95" cm="1">
        <f t="array" ref="F301">IF($C301&gt;F$11,0,INDEX($F$282:$AD$282,F$11-$C301+1)*($D301/$D$282))</f>
        <v>0</v>
      </c>
      <c r="G301" s="95" cm="1">
        <f t="array" ref="G301">IF($C301&gt;G$11,0,INDEX($F$282:$AD$282,G$11-$C301+1)*($D301/$D$282))</f>
        <v>0</v>
      </c>
      <c r="H301" s="95" cm="1">
        <f t="array" ref="H301">IF($C301&gt;H$11,0,INDEX($F$282:$AD$282,H$11-$C301+1)*($D301/$D$282))</f>
        <v>0</v>
      </c>
      <c r="I301" s="95" cm="1">
        <f t="array" ref="I301">IF($C301&gt;I$11,0,INDEX($F$282:$AD$282,I$11-$C301+1)*($D301/$D$282))</f>
        <v>0</v>
      </c>
      <c r="J301" s="95" cm="1">
        <f t="array" ref="J301">IF($C301&gt;J$11,0,INDEX($F$282:$AD$282,J$11-$C301+1)*($D301/$D$282))</f>
        <v>0</v>
      </c>
      <c r="K301" s="95" cm="1">
        <f t="array" ref="K301">IF($C301&gt;K$11,0,INDEX($F$282:$AD$282,K$11-$C301+1)*($D301/$D$282))</f>
        <v>0</v>
      </c>
      <c r="L301" s="95" cm="1">
        <f t="array" ref="L301">IF($C301&gt;L$11,0,INDEX($F$282:$AD$282,L$11-$C301+1)*($D301/$D$282))</f>
        <v>0</v>
      </c>
      <c r="M301" s="95" cm="1">
        <f t="array" ref="M301">IF($C301&gt;M$11,0,INDEX($F$282:$AD$282,M$11-$C301+1)*($D301/$D$282))</f>
        <v>0</v>
      </c>
      <c r="N301" s="95" cm="1">
        <f t="array" ref="N301">IF($C301&gt;N$11,0,INDEX($F$282:$AD$282,N$11-$C301+1)*($D301/$D$282))</f>
        <v>0</v>
      </c>
      <c r="O301" s="95" cm="1">
        <f t="array" ref="O301">IF($C301&gt;O$11,0,INDEX($F$282:$AD$282,O$11-$C301+1)*($D301/$D$282))</f>
        <v>0</v>
      </c>
      <c r="P301" s="95" cm="1">
        <f t="array" ref="P301">IF($C301&gt;P$11,0,INDEX($F$282:$AD$282,P$11-$C301+1)*($D301/$D$282))</f>
        <v>0</v>
      </c>
      <c r="Q301" s="95" cm="1">
        <f t="array" ref="Q301">IF($C301&gt;Q$11,0,INDEX($F$282:$AD$282,Q$11-$C301+1)*($D301/$D$282))</f>
        <v>0</v>
      </c>
      <c r="R301" s="95" cm="1">
        <f t="array" ref="R301">IF($C301&gt;R$11,0,INDEX($F$282:$AD$282,R$11-$C301+1)*($D301/$D$282))</f>
        <v>0</v>
      </c>
      <c r="S301" s="95" cm="1">
        <f t="array" ref="S301">IF($C301&gt;S$11,0,INDEX($F$282:$AD$282,S$11-$C301+1)*($D301/$D$282))</f>
        <v>0</v>
      </c>
      <c r="T301" s="95" cm="1">
        <f t="array" ref="T301">IF($C301&gt;T$11,0,INDEX($F$282:$AD$282,T$11-$C301+1)*($D301/$D$282))</f>
        <v>0</v>
      </c>
      <c r="U301" s="95" cm="1">
        <f t="array" ref="U301">IF($C301&gt;U$11,0,INDEX($F$282:$AD$282,U$11-$C301+1)*($D301/$D$282))</f>
        <v>0</v>
      </c>
      <c r="V301" s="95" cm="1">
        <f t="array" ref="V301">IF($C301&gt;V$11,0,INDEX($F$282:$AD$282,V$11-$C301+1)*($D301/$D$282))</f>
        <v>0</v>
      </c>
      <c r="W301" s="95" cm="1">
        <f t="array" ref="W301">IF($C301&gt;W$11,0,INDEX($F$282:$AD$282,W$11-$C301+1)*($D301/$D$282))</f>
        <v>191799.3</v>
      </c>
      <c r="X301" s="95" cm="1">
        <f t="array" ref="X301">IF($C301&gt;X$11,0,INDEX($F$282:$AD$282,X$11-$C301+1)*($D301/$D$282))</f>
        <v>167283.6</v>
      </c>
      <c r="Y301" s="95" cm="1">
        <f t="array" ref="Y301">IF($C301&gt;Y$11,0,INDEX($F$282:$AD$282,Y$11-$C301+1)*($D301/$D$282))</f>
        <v>144210</v>
      </c>
      <c r="Z301" s="95" cm="1">
        <f t="array" ref="Z301">IF($C301&gt;Z$11,0,INDEX($F$282:$AD$282,Z$11-$C301+1)*($D301/$D$282))</f>
        <v>125462.7</v>
      </c>
      <c r="AA301" s="95" cm="1">
        <f t="array" ref="AA301">IF($C301&gt;AA$11,0,INDEX($F$282:$AD$282,AA$11-$C301+1)*($D301/$D$282))</f>
        <v>108157.5</v>
      </c>
      <c r="AB301" s="95" cm="1">
        <f t="array" ref="AB301">IF($C301&gt;AB$11,0,INDEX($F$282:$AD$282,AB$11-$C301+1)*($D301/$D$282))</f>
        <v>93736.5</v>
      </c>
      <c r="AC301" s="95" cm="1">
        <f t="array" ref="AC301">IF($C301&gt;AC$11,0,INDEX($F$282:$AD$282,AC$11-$C301+1)*($D301/$D$282))</f>
        <v>82199.7</v>
      </c>
      <c r="AD301" s="95" cm="1">
        <f t="array" ref="AD301">IF($C301&gt;AD$11,0,INDEX($F$282:$AD$282,AD$11-$C301+1)*($D301/$D$282))</f>
        <v>70662.899999999994</v>
      </c>
    </row>
    <row r="302" spans="1:30">
      <c r="A302" s="95"/>
      <c r="B302" s="118">
        <f t="shared" si="77"/>
        <v>3</v>
      </c>
      <c r="C302">
        <f t="shared" si="78"/>
        <v>2040</v>
      </c>
      <c r="D302" s="95" cm="1">
        <f t="array" ref="D302">INDEX($F$14:$AD$16,$B302,MATCH($C302,$F$11:$AD$11,0))*$G$283</f>
        <v>471675</v>
      </c>
      <c r="E302" s="95"/>
      <c r="F302" s="95" cm="1">
        <f t="array" ref="F302">IF($C302&gt;F$11,0,INDEX($F$282:$AD$282,F$11-$C302+1)*($D302/$D$282))</f>
        <v>0</v>
      </c>
      <c r="G302" s="95" cm="1">
        <f t="array" ref="G302">IF($C302&gt;G$11,0,INDEX($F$282:$AD$282,G$11-$C302+1)*($D302/$D$282))</f>
        <v>0</v>
      </c>
      <c r="H302" s="95" cm="1">
        <f t="array" ref="H302">IF($C302&gt;H$11,0,INDEX($F$282:$AD$282,H$11-$C302+1)*($D302/$D$282))</f>
        <v>0</v>
      </c>
      <c r="I302" s="95" cm="1">
        <f t="array" ref="I302">IF($C302&gt;I$11,0,INDEX($F$282:$AD$282,I$11-$C302+1)*($D302/$D$282))</f>
        <v>0</v>
      </c>
      <c r="J302" s="95" cm="1">
        <f t="array" ref="J302">IF($C302&gt;J$11,0,INDEX($F$282:$AD$282,J$11-$C302+1)*($D302/$D$282))</f>
        <v>0</v>
      </c>
      <c r="K302" s="95" cm="1">
        <f t="array" ref="K302">IF($C302&gt;K$11,0,INDEX($F$282:$AD$282,K$11-$C302+1)*($D302/$D$282))</f>
        <v>0</v>
      </c>
      <c r="L302" s="95" cm="1">
        <f t="array" ref="L302">IF($C302&gt;L$11,0,INDEX($F$282:$AD$282,L$11-$C302+1)*($D302/$D$282))</f>
        <v>0</v>
      </c>
      <c r="M302" s="95" cm="1">
        <f t="array" ref="M302">IF($C302&gt;M$11,0,INDEX($F$282:$AD$282,M$11-$C302+1)*($D302/$D$282))</f>
        <v>0</v>
      </c>
      <c r="N302" s="95" cm="1">
        <f t="array" ref="N302">IF($C302&gt;N$11,0,INDEX($F$282:$AD$282,N$11-$C302+1)*($D302/$D$282))</f>
        <v>0</v>
      </c>
      <c r="O302" s="95" cm="1">
        <f t="array" ref="O302">IF($C302&gt;O$11,0,INDEX($F$282:$AD$282,O$11-$C302+1)*($D302/$D$282))</f>
        <v>0</v>
      </c>
      <c r="P302" s="95" cm="1">
        <f t="array" ref="P302">IF($C302&gt;P$11,0,INDEX($F$282:$AD$282,P$11-$C302+1)*($D302/$D$282))</f>
        <v>0</v>
      </c>
      <c r="Q302" s="95" cm="1">
        <f t="array" ref="Q302">IF($C302&gt;Q$11,0,INDEX($F$282:$AD$282,Q$11-$C302+1)*($D302/$D$282))</f>
        <v>0</v>
      </c>
      <c r="R302" s="95" cm="1">
        <f t="array" ref="R302">IF($C302&gt;R$11,0,INDEX($F$282:$AD$282,R$11-$C302+1)*($D302/$D$282))</f>
        <v>0</v>
      </c>
      <c r="S302" s="95" cm="1">
        <f t="array" ref="S302">IF($C302&gt;S$11,0,INDEX($F$282:$AD$282,S$11-$C302+1)*($D302/$D$282))</f>
        <v>0</v>
      </c>
      <c r="T302" s="95" cm="1">
        <f t="array" ref="T302">IF($C302&gt;T$11,0,INDEX($F$282:$AD$282,T$11-$C302+1)*($D302/$D$282))</f>
        <v>0</v>
      </c>
      <c r="U302" s="95" cm="1">
        <f t="array" ref="U302">IF($C302&gt;U$11,0,INDEX($F$282:$AD$282,U$11-$C302+1)*($D302/$D$282))</f>
        <v>0</v>
      </c>
      <c r="V302" s="95" cm="1">
        <f t="array" ref="V302">IF($C302&gt;V$11,0,INDEX($F$282:$AD$282,V$11-$C302+1)*($D302/$D$282))</f>
        <v>0</v>
      </c>
      <c r="W302" s="95" cm="1">
        <f t="array" ref="W302">IF($C302&gt;W$11,0,INDEX($F$282:$AD$282,W$11-$C302+1)*($D302/$D$282))</f>
        <v>0</v>
      </c>
      <c r="X302" s="95" cm="1">
        <f t="array" ref="X302">IF($C302&gt;X$11,0,INDEX($F$282:$AD$282,X$11-$C302+1)*($D302/$D$282))</f>
        <v>62732.775000000001</v>
      </c>
      <c r="Y302" s="95" cm="1">
        <f t="array" ref="Y302">IF($C302&gt;Y$11,0,INDEX($F$282:$AD$282,Y$11-$C302+1)*($D302/$D$282))</f>
        <v>54714.3</v>
      </c>
      <c r="Z302" s="95" cm="1">
        <f t="array" ref="Z302">IF($C302&gt;Z$11,0,INDEX($F$282:$AD$282,Z$11-$C302+1)*($D302/$D$282))</f>
        <v>47167.5</v>
      </c>
      <c r="AA302" s="95" cm="1">
        <f t="array" ref="AA302">IF($C302&gt;AA$11,0,INDEX($F$282:$AD$282,AA$11-$C302+1)*($D302/$D$282))</f>
        <v>41035.724999999999</v>
      </c>
      <c r="AB302" s="95" cm="1">
        <f t="array" ref="AB302">IF($C302&gt;AB$11,0,INDEX($F$282:$AD$282,AB$11-$C302+1)*($D302/$D$282))</f>
        <v>35375.625</v>
      </c>
      <c r="AC302" s="95" cm="1">
        <f t="array" ref="AC302">IF($C302&gt;AC$11,0,INDEX($F$282:$AD$282,AC$11-$C302+1)*($D302/$D$282))</f>
        <v>30658.875</v>
      </c>
      <c r="AD302" s="95" cm="1">
        <f t="array" ref="AD302">IF($C302&gt;AD$11,0,INDEX($F$282:$AD$282,AD$11-$C302+1)*($D302/$D$282))</f>
        <v>26885.475000000002</v>
      </c>
    </row>
    <row r="303" spans="1:30">
      <c r="A303" s="95"/>
      <c r="B303" s="118">
        <f t="shared" si="77"/>
        <v>3</v>
      </c>
      <c r="C303">
        <f t="shared" si="78"/>
        <v>2041</v>
      </c>
      <c r="D303" s="95" cm="1">
        <f t="array" ref="D303">INDEX($F$14:$AD$16,$B303,MATCH($C303,$F$11:$AD$11,0))*$G$283</f>
        <v>548625</v>
      </c>
      <c r="E303" s="95"/>
      <c r="F303" s="95" cm="1">
        <f t="array" ref="F303">IF($C303&gt;F$11,0,INDEX($F$282:$AD$282,F$11-$C303+1)*($D303/$D$282))</f>
        <v>0</v>
      </c>
      <c r="G303" s="95" cm="1">
        <f t="array" ref="G303">IF($C303&gt;G$11,0,INDEX($F$282:$AD$282,G$11-$C303+1)*($D303/$D$282))</f>
        <v>0</v>
      </c>
      <c r="H303" s="95" cm="1">
        <f t="array" ref="H303">IF($C303&gt;H$11,0,INDEX($F$282:$AD$282,H$11-$C303+1)*($D303/$D$282))</f>
        <v>0</v>
      </c>
      <c r="I303" s="95" cm="1">
        <f t="array" ref="I303">IF($C303&gt;I$11,0,INDEX($F$282:$AD$282,I$11-$C303+1)*($D303/$D$282))</f>
        <v>0</v>
      </c>
      <c r="J303" s="95" cm="1">
        <f t="array" ref="J303">IF($C303&gt;J$11,0,INDEX($F$282:$AD$282,J$11-$C303+1)*($D303/$D$282))</f>
        <v>0</v>
      </c>
      <c r="K303" s="95" cm="1">
        <f t="array" ref="K303">IF($C303&gt;K$11,0,INDEX($F$282:$AD$282,K$11-$C303+1)*($D303/$D$282))</f>
        <v>0</v>
      </c>
      <c r="L303" s="95" cm="1">
        <f t="array" ref="L303">IF($C303&gt;L$11,0,INDEX($F$282:$AD$282,L$11-$C303+1)*($D303/$D$282))</f>
        <v>0</v>
      </c>
      <c r="M303" s="95" cm="1">
        <f t="array" ref="M303">IF($C303&gt;M$11,0,INDEX($F$282:$AD$282,M$11-$C303+1)*($D303/$D$282))</f>
        <v>0</v>
      </c>
      <c r="N303" s="95" cm="1">
        <f t="array" ref="N303">IF($C303&gt;N$11,0,INDEX($F$282:$AD$282,N$11-$C303+1)*($D303/$D$282))</f>
        <v>0</v>
      </c>
      <c r="O303" s="95" cm="1">
        <f t="array" ref="O303">IF($C303&gt;O$11,0,INDEX($F$282:$AD$282,O$11-$C303+1)*($D303/$D$282))</f>
        <v>0</v>
      </c>
      <c r="P303" s="95" cm="1">
        <f t="array" ref="P303">IF($C303&gt;P$11,0,INDEX($F$282:$AD$282,P$11-$C303+1)*($D303/$D$282))</f>
        <v>0</v>
      </c>
      <c r="Q303" s="95" cm="1">
        <f t="array" ref="Q303">IF($C303&gt;Q$11,0,INDEX($F$282:$AD$282,Q$11-$C303+1)*($D303/$D$282))</f>
        <v>0</v>
      </c>
      <c r="R303" s="95" cm="1">
        <f t="array" ref="R303">IF($C303&gt;R$11,0,INDEX($F$282:$AD$282,R$11-$C303+1)*($D303/$D$282))</f>
        <v>0</v>
      </c>
      <c r="S303" s="95" cm="1">
        <f t="array" ref="S303">IF($C303&gt;S$11,0,INDEX($F$282:$AD$282,S$11-$C303+1)*($D303/$D$282))</f>
        <v>0</v>
      </c>
      <c r="T303" s="95" cm="1">
        <f t="array" ref="T303">IF($C303&gt;T$11,0,INDEX($F$282:$AD$282,T$11-$C303+1)*($D303/$D$282))</f>
        <v>0</v>
      </c>
      <c r="U303" s="95" cm="1">
        <f t="array" ref="U303">IF($C303&gt;U$11,0,INDEX($F$282:$AD$282,U$11-$C303+1)*($D303/$D$282))</f>
        <v>0</v>
      </c>
      <c r="V303" s="95" cm="1">
        <f t="array" ref="V303">IF($C303&gt;V$11,0,INDEX($F$282:$AD$282,V$11-$C303+1)*($D303/$D$282))</f>
        <v>0</v>
      </c>
      <c r="W303" s="95" cm="1">
        <f t="array" ref="W303">IF($C303&gt;W$11,0,INDEX($F$282:$AD$282,W$11-$C303+1)*($D303/$D$282))</f>
        <v>0</v>
      </c>
      <c r="X303" s="95" cm="1">
        <f t="array" ref="X303">IF($C303&gt;X$11,0,INDEX($F$282:$AD$282,X$11-$C303+1)*($D303/$D$282))</f>
        <v>0</v>
      </c>
      <c r="Y303" s="95" cm="1">
        <f t="array" ref="Y303">IF($C303&gt;Y$11,0,INDEX($F$282:$AD$282,Y$11-$C303+1)*($D303/$D$282))</f>
        <v>72967.125</v>
      </c>
      <c r="Z303" s="95" cm="1">
        <f t="array" ref="Z303">IF($C303&gt;Z$11,0,INDEX($F$282:$AD$282,Z$11-$C303+1)*($D303/$D$282))</f>
        <v>63640.5</v>
      </c>
      <c r="AA303" s="95" cm="1">
        <f t="array" ref="AA303">IF($C303&gt;AA$11,0,INDEX($F$282:$AD$282,AA$11-$C303+1)*($D303/$D$282))</f>
        <v>54862.5</v>
      </c>
      <c r="AB303" s="95" cm="1">
        <f t="array" ref="AB303">IF($C303&gt;AB$11,0,INDEX($F$282:$AD$282,AB$11-$C303+1)*($D303/$D$282))</f>
        <v>47730.375</v>
      </c>
      <c r="AC303" s="95" cm="1">
        <f t="array" ref="AC303">IF($C303&gt;AC$11,0,INDEX($F$282:$AD$282,AC$11-$C303+1)*($D303/$D$282))</f>
        <v>41146.875</v>
      </c>
      <c r="AD303" s="95" cm="1">
        <f t="array" ref="AD303">IF($C303&gt;AD$11,0,INDEX($F$282:$AD$282,AD$11-$C303+1)*($D303/$D$282))</f>
        <v>35660.625</v>
      </c>
    </row>
    <row r="304" spans="1:30">
      <c r="A304" s="95"/>
      <c r="B304" s="118">
        <f t="shared" si="77"/>
        <v>3</v>
      </c>
      <c r="C304">
        <f t="shared" si="78"/>
        <v>2042</v>
      </c>
      <c r="D304" s="95" cm="1">
        <f t="array" ref="D304">INDEX($F$14:$AD$16,$B304,MATCH($C304,$F$11:$AD$11,0))*$G$283</f>
        <v>1660125</v>
      </c>
      <c r="E304" s="95"/>
      <c r="F304" s="95" cm="1">
        <f t="array" ref="F304">IF($C304&gt;F$11,0,INDEX($F$282:$AD$282,F$11-$C304+1)*($D304/$D$282))</f>
        <v>0</v>
      </c>
      <c r="G304" s="95" cm="1">
        <f t="array" ref="G304">IF($C304&gt;G$11,0,INDEX($F$282:$AD$282,G$11-$C304+1)*($D304/$D$282))</f>
        <v>0</v>
      </c>
      <c r="H304" s="95" cm="1">
        <f t="array" ref="H304">IF($C304&gt;H$11,0,INDEX($F$282:$AD$282,H$11-$C304+1)*($D304/$D$282))</f>
        <v>0</v>
      </c>
      <c r="I304" s="95" cm="1">
        <f t="array" ref="I304">IF($C304&gt;I$11,0,INDEX($F$282:$AD$282,I$11-$C304+1)*($D304/$D$282))</f>
        <v>0</v>
      </c>
      <c r="J304" s="95" cm="1">
        <f t="array" ref="J304">IF($C304&gt;J$11,0,INDEX($F$282:$AD$282,J$11-$C304+1)*($D304/$D$282))</f>
        <v>0</v>
      </c>
      <c r="K304" s="95" cm="1">
        <f t="array" ref="K304">IF($C304&gt;K$11,0,INDEX($F$282:$AD$282,K$11-$C304+1)*($D304/$D$282))</f>
        <v>0</v>
      </c>
      <c r="L304" s="95" cm="1">
        <f t="array" ref="L304">IF($C304&gt;L$11,0,INDEX($F$282:$AD$282,L$11-$C304+1)*($D304/$D$282))</f>
        <v>0</v>
      </c>
      <c r="M304" s="95" cm="1">
        <f t="array" ref="M304">IF($C304&gt;M$11,0,INDEX($F$282:$AD$282,M$11-$C304+1)*($D304/$D$282))</f>
        <v>0</v>
      </c>
      <c r="N304" s="95" cm="1">
        <f t="array" ref="N304">IF($C304&gt;N$11,0,INDEX($F$282:$AD$282,N$11-$C304+1)*($D304/$D$282))</f>
        <v>0</v>
      </c>
      <c r="O304" s="95" cm="1">
        <f t="array" ref="O304">IF($C304&gt;O$11,0,INDEX($F$282:$AD$282,O$11-$C304+1)*($D304/$D$282))</f>
        <v>0</v>
      </c>
      <c r="P304" s="95" cm="1">
        <f t="array" ref="P304">IF($C304&gt;P$11,0,INDEX($F$282:$AD$282,P$11-$C304+1)*($D304/$D$282))</f>
        <v>0</v>
      </c>
      <c r="Q304" s="95" cm="1">
        <f t="array" ref="Q304">IF($C304&gt;Q$11,0,INDEX($F$282:$AD$282,Q$11-$C304+1)*($D304/$D$282))</f>
        <v>0</v>
      </c>
      <c r="R304" s="95" cm="1">
        <f t="array" ref="R304">IF($C304&gt;R$11,0,INDEX($F$282:$AD$282,R$11-$C304+1)*($D304/$D$282))</f>
        <v>0</v>
      </c>
      <c r="S304" s="95" cm="1">
        <f t="array" ref="S304">IF($C304&gt;S$11,0,INDEX($F$282:$AD$282,S$11-$C304+1)*($D304/$D$282))</f>
        <v>0</v>
      </c>
      <c r="T304" s="95" cm="1">
        <f t="array" ref="T304">IF($C304&gt;T$11,0,INDEX($F$282:$AD$282,T$11-$C304+1)*($D304/$D$282))</f>
        <v>0</v>
      </c>
      <c r="U304" s="95" cm="1">
        <f t="array" ref="U304">IF($C304&gt;U$11,0,INDEX($F$282:$AD$282,U$11-$C304+1)*($D304/$D$282))</f>
        <v>0</v>
      </c>
      <c r="V304" s="95" cm="1">
        <f t="array" ref="V304">IF($C304&gt;V$11,0,INDEX($F$282:$AD$282,V$11-$C304+1)*($D304/$D$282))</f>
        <v>0</v>
      </c>
      <c r="W304" s="95" cm="1">
        <f t="array" ref="W304">IF($C304&gt;W$11,0,INDEX($F$282:$AD$282,W$11-$C304+1)*($D304/$D$282))</f>
        <v>0</v>
      </c>
      <c r="X304" s="95" cm="1">
        <f t="array" ref="X304">IF($C304&gt;X$11,0,INDEX($F$282:$AD$282,X$11-$C304+1)*($D304/$D$282))</f>
        <v>0</v>
      </c>
      <c r="Y304" s="95" cm="1">
        <f t="array" ref="Y304">IF($C304&gt;Y$11,0,INDEX($F$282:$AD$282,Y$11-$C304+1)*($D304/$D$282))</f>
        <v>0</v>
      </c>
      <c r="Z304" s="95" cm="1">
        <f t="array" ref="Z304">IF($C304&gt;Z$11,0,INDEX($F$282:$AD$282,Z$11-$C304+1)*($D304/$D$282))</f>
        <v>220796.625</v>
      </c>
      <c r="AA304" s="95" cm="1">
        <f t="array" ref="AA304">IF($C304&gt;AA$11,0,INDEX($F$282:$AD$282,AA$11-$C304+1)*($D304/$D$282))</f>
        <v>192574.5</v>
      </c>
      <c r="AB304" s="95" cm="1">
        <f t="array" ref="AB304">IF($C304&gt;AB$11,0,INDEX($F$282:$AD$282,AB$11-$C304+1)*($D304/$D$282))</f>
        <v>166012.5</v>
      </c>
      <c r="AC304" s="95" cm="1">
        <f t="array" ref="AC304">IF($C304&gt;AC$11,0,INDEX($F$282:$AD$282,AC$11-$C304+1)*($D304/$D$282))</f>
        <v>144430.875</v>
      </c>
      <c r="AD304" s="95" cm="1">
        <f t="array" ref="AD304">IF($C304&gt;AD$11,0,INDEX($F$282:$AD$282,AD$11-$C304+1)*($D304/$D$282))</f>
        <v>124509.375</v>
      </c>
    </row>
    <row r="305" spans="1:30">
      <c r="A305" s="95"/>
      <c r="B305" s="118">
        <f t="shared" si="77"/>
        <v>3</v>
      </c>
      <c r="C305">
        <f t="shared" si="78"/>
        <v>2043</v>
      </c>
      <c r="D305" s="95" cm="1">
        <f t="array" ref="D305">INDEX($F$14:$AD$16,$B305,MATCH($C305,$F$11:$AD$11,0))*$G$283</f>
        <v>1376550</v>
      </c>
      <c r="E305" s="95"/>
      <c r="F305" s="95" cm="1">
        <f t="array" ref="F305">IF($C305&gt;F$11,0,INDEX($F$282:$AD$282,F$11-$C305+1)*($D305/$D$282))</f>
        <v>0</v>
      </c>
      <c r="G305" s="95" cm="1">
        <f t="array" ref="G305">IF($C305&gt;G$11,0,INDEX($F$282:$AD$282,G$11-$C305+1)*($D305/$D$282))</f>
        <v>0</v>
      </c>
      <c r="H305" s="95" cm="1">
        <f t="array" ref="H305">IF($C305&gt;H$11,0,INDEX($F$282:$AD$282,H$11-$C305+1)*($D305/$D$282))</f>
        <v>0</v>
      </c>
      <c r="I305" s="95" cm="1">
        <f t="array" ref="I305">IF($C305&gt;I$11,0,INDEX($F$282:$AD$282,I$11-$C305+1)*($D305/$D$282))</f>
        <v>0</v>
      </c>
      <c r="J305" s="95" cm="1">
        <f t="array" ref="J305">IF($C305&gt;J$11,0,INDEX($F$282:$AD$282,J$11-$C305+1)*($D305/$D$282))</f>
        <v>0</v>
      </c>
      <c r="K305" s="95" cm="1">
        <f t="array" ref="K305">IF($C305&gt;K$11,0,INDEX($F$282:$AD$282,K$11-$C305+1)*($D305/$D$282))</f>
        <v>0</v>
      </c>
      <c r="L305" s="95" cm="1">
        <f t="array" ref="L305">IF($C305&gt;L$11,0,INDEX($F$282:$AD$282,L$11-$C305+1)*($D305/$D$282))</f>
        <v>0</v>
      </c>
      <c r="M305" s="95" cm="1">
        <f t="array" ref="M305">IF($C305&gt;M$11,0,INDEX($F$282:$AD$282,M$11-$C305+1)*($D305/$D$282))</f>
        <v>0</v>
      </c>
      <c r="N305" s="95" cm="1">
        <f t="array" ref="N305">IF($C305&gt;N$11,0,INDEX($F$282:$AD$282,N$11-$C305+1)*($D305/$D$282))</f>
        <v>0</v>
      </c>
      <c r="O305" s="95" cm="1">
        <f t="array" ref="O305">IF($C305&gt;O$11,0,INDEX($F$282:$AD$282,O$11-$C305+1)*($D305/$D$282))</f>
        <v>0</v>
      </c>
      <c r="P305" s="95" cm="1">
        <f t="array" ref="P305">IF($C305&gt;P$11,0,INDEX($F$282:$AD$282,P$11-$C305+1)*($D305/$D$282))</f>
        <v>0</v>
      </c>
      <c r="Q305" s="95" cm="1">
        <f t="array" ref="Q305">IF($C305&gt;Q$11,0,INDEX($F$282:$AD$282,Q$11-$C305+1)*($D305/$D$282))</f>
        <v>0</v>
      </c>
      <c r="R305" s="95" cm="1">
        <f t="array" ref="R305">IF($C305&gt;R$11,0,INDEX($F$282:$AD$282,R$11-$C305+1)*($D305/$D$282))</f>
        <v>0</v>
      </c>
      <c r="S305" s="95" cm="1">
        <f t="array" ref="S305">IF($C305&gt;S$11,0,INDEX($F$282:$AD$282,S$11-$C305+1)*($D305/$D$282))</f>
        <v>0</v>
      </c>
      <c r="T305" s="95" cm="1">
        <f t="array" ref="T305">IF($C305&gt;T$11,0,INDEX($F$282:$AD$282,T$11-$C305+1)*($D305/$D$282))</f>
        <v>0</v>
      </c>
      <c r="U305" s="95" cm="1">
        <f t="array" ref="U305">IF($C305&gt;U$11,0,INDEX($F$282:$AD$282,U$11-$C305+1)*($D305/$D$282))</f>
        <v>0</v>
      </c>
      <c r="V305" s="95" cm="1">
        <f t="array" ref="V305">IF($C305&gt;V$11,0,INDEX($F$282:$AD$282,V$11-$C305+1)*($D305/$D$282))</f>
        <v>0</v>
      </c>
      <c r="W305" s="95" cm="1">
        <f t="array" ref="W305">IF($C305&gt;W$11,0,INDEX($F$282:$AD$282,W$11-$C305+1)*($D305/$D$282))</f>
        <v>0</v>
      </c>
      <c r="X305" s="95" cm="1">
        <f t="array" ref="X305">IF($C305&gt;X$11,0,INDEX($F$282:$AD$282,X$11-$C305+1)*($D305/$D$282))</f>
        <v>0</v>
      </c>
      <c r="Y305" s="95" cm="1">
        <f t="array" ref="Y305">IF($C305&gt;Y$11,0,INDEX($F$282:$AD$282,Y$11-$C305+1)*($D305/$D$282))</f>
        <v>0</v>
      </c>
      <c r="Z305" s="95" cm="1">
        <f t="array" ref="Z305">IF($C305&gt;Z$11,0,INDEX($F$282:$AD$282,Z$11-$C305+1)*($D305/$D$282))</f>
        <v>0</v>
      </c>
      <c r="AA305" s="95" cm="1">
        <f t="array" ref="AA305">IF($C305&gt;AA$11,0,INDEX($F$282:$AD$282,AA$11-$C305+1)*($D305/$D$282))</f>
        <v>183081.15</v>
      </c>
      <c r="AB305" s="95" cm="1">
        <f t="array" ref="AB305">IF($C305&gt;AB$11,0,INDEX($F$282:$AD$282,AB$11-$C305+1)*($D305/$D$282))</f>
        <v>159679.79999999999</v>
      </c>
      <c r="AC305" s="95" cm="1">
        <f t="array" ref="AC305">IF($C305&gt;AC$11,0,INDEX($F$282:$AD$282,AC$11-$C305+1)*($D305/$D$282))</f>
        <v>137655</v>
      </c>
      <c r="AD305" s="95" cm="1">
        <f t="array" ref="AD305">IF($C305&gt;AD$11,0,INDEX($F$282:$AD$282,AD$11-$C305+1)*($D305/$D$282))</f>
        <v>119759.84999999999</v>
      </c>
    </row>
    <row r="306" spans="1:30">
      <c r="A306" s="95"/>
      <c r="B306" s="118">
        <f t="shared" si="77"/>
        <v>3</v>
      </c>
      <c r="C306">
        <f t="shared" si="78"/>
        <v>2044</v>
      </c>
      <c r="D306" s="95" cm="1">
        <f t="array" ref="D306">INDEX($F$14:$AD$16,$B306,MATCH($C306,$F$11:$AD$11,0))*$G$283</f>
        <v>676875</v>
      </c>
      <c r="E306" s="95"/>
      <c r="F306" s="95" cm="1">
        <f t="array" ref="F306">IF($C306&gt;F$11,0,INDEX($F$282:$AD$282,F$11-$C306+1)*($D306/$D$282))</f>
        <v>0</v>
      </c>
      <c r="G306" s="95" cm="1">
        <f t="array" ref="G306">IF($C306&gt;G$11,0,INDEX($F$282:$AD$282,G$11-$C306+1)*($D306/$D$282))</f>
        <v>0</v>
      </c>
      <c r="H306" s="95" cm="1">
        <f t="array" ref="H306">IF($C306&gt;H$11,0,INDEX($F$282:$AD$282,H$11-$C306+1)*($D306/$D$282))</f>
        <v>0</v>
      </c>
      <c r="I306" s="95" cm="1">
        <f t="array" ref="I306">IF($C306&gt;I$11,0,INDEX($F$282:$AD$282,I$11-$C306+1)*($D306/$D$282))</f>
        <v>0</v>
      </c>
      <c r="J306" s="95" cm="1">
        <f t="array" ref="J306">IF($C306&gt;J$11,0,INDEX($F$282:$AD$282,J$11-$C306+1)*($D306/$D$282))</f>
        <v>0</v>
      </c>
      <c r="K306" s="95" cm="1">
        <f t="array" ref="K306">IF($C306&gt;K$11,0,INDEX($F$282:$AD$282,K$11-$C306+1)*($D306/$D$282))</f>
        <v>0</v>
      </c>
      <c r="L306" s="95" cm="1">
        <f t="array" ref="L306">IF($C306&gt;L$11,0,INDEX($F$282:$AD$282,L$11-$C306+1)*($D306/$D$282))</f>
        <v>0</v>
      </c>
      <c r="M306" s="95" cm="1">
        <f t="array" ref="M306">IF($C306&gt;M$11,0,INDEX($F$282:$AD$282,M$11-$C306+1)*($D306/$D$282))</f>
        <v>0</v>
      </c>
      <c r="N306" s="95" cm="1">
        <f t="array" ref="N306">IF($C306&gt;N$11,0,INDEX($F$282:$AD$282,N$11-$C306+1)*($D306/$D$282))</f>
        <v>0</v>
      </c>
      <c r="O306" s="95" cm="1">
        <f t="array" ref="O306">IF($C306&gt;O$11,0,INDEX($F$282:$AD$282,O$11-$C306+1)*($D306/$D$282))</f>
        <v>0</v>
      </c>
      <c r="P306" s="95" cm="1">
        <f t="array" ref="P306">IF($C306&gt;P$11,0,INDEX($F$282:$AD$282,P$11-$C306+1)*($D306/$D$282))</f>
        <v>0</v>
      </c>
      <c r="Q306" s="95" cm="1">
        <f t="array" ref="Q306">IF($C306&gt;Q$11,0,INDEX($F$282:$AD$282,Q$11-$C306+1)*($D306/$D$282))</f>
        <v>0</v>
      </c>
      <c r="R306" s="95" cm="1">
        <f t="array" ref="R306">IF($C306&gt;R$11,0,INDEX($F$282:$AD$282,R$11-$C306+1)*($D306/$D$282))</f>
        <v>0</v>
      </c>
      <c r="S306" s="95" cm="1">
        <f t="array" ref="S306">IF($C306&gt;S$11,0,INDEX($F$282:$AD$282,S$11-$C306+1)*($D306/$D$282))</f>
        <v>0</v>
      </c>
      <c r="T306" s="95" cm="1">
        <f t="array" ref="T306">IF($C306&gt;T$11,0,INDEX($F$282:$AD$282,T$11-$C306+1)*($D306/$D$282))</f>
        <v>0</v>
      </c>
      <c r="U306" s="95" cm="1">
        <f t="array" ref="U306">IF($C306&gt;U$11,0,INDEX($F$282:$AD$282,U$11-$C306+1)*($D306/$D$282))</f>
        <v>0</v>
      </c>
      <c r="V306" s="95" cm="1">
        <f t="array" ref="V306">IF($C306&gt;V$11,0,INDEX($F$282:$AD$282,V$11-$C306+1)*($D306/$D$282))</f>
        <v>0</v>
      </c>
      <c r="W306" s="95" cm="1">
        <f t="array" ref="W306">IF($C306&gt;W$11,0,INDEX($F$282:$AD$282,W$11-$C306+1)*($D306/$D$282))</f>
        <v>0</v>
      </c>
      <c r="X306" s="95" cm="1">
        <f t="array" ref="X306">IF($C306&gt;X$11,0,INDEX($F$282:$AD$282,X$11-$C306+1)*($D306/$D$282))</f>
        <v>0</v>
      </c>
      <c r="Y306" s="95" cm="1">
        <f t="array" ref="Y306">IF($C306&gt;Y$11,0,INDEX($F$282:$AD$282,Y$11-$C306+1)*($D306/$D$282))</f>
        <v>0</v>
      </c>
      <c r="Z306" s="95" cm="1">
        <f t="array" ref="Z306">IF($C306&gt;Z$11,0,INDEX($F$282:$AD$282,Z$11-$C306+1)*($D306/$D$282))</f>
        <v>0</v>
      </c>
      <c r="AA306" s="95" cm="1">
        <f t="array" ref="AA306">IF($C306&gt;AA$11,0,INDEX($F$282:$AD$282,AA$11-$C306+1)*($D306/$D$282))</f>
        <v>0</v>
      </c>
      <c r="AB306" s="95" cm="1">
        <f t="array" ref="AB306">IF($C306&gt;AB$11,0,INDEX($F$282:$AD$282,AB$11-$C306+1)*($D306/$D$282))</f>
        <v>90024.375</v>
      </c>
      <c r="AC306" s="95" cm="1">
        <f t="array" ref="AC306">IF($C306&gt;AC$11,0,INDEX($F$282:$AD$282,AC$11-$C306+1)*($D306/$D$282))</f>
        <v>78517.5</v>
      </c>
      <c r="AD306" s="95" cm="1">
        <f t="array" ref="AD306">IF($C306&gt;AD$11,0,INDEX($F$282:$AD$282,AD$11-$C306+1)*($D306/$D$282))</f>
        <v>67687.5</v>
      </c>
    </row>
    <row r="307" spans="1:30">
      <c r="A307" s="95"/>
      <c r="B307" s="118">
        <f t="shared" si="77"/>
        <v>3</v>
      </c>
      <c r="C307">
        <f t="shared" si="78"/>
        <v>2045</v>
      </c>
      <c r="D307" s="95" cm="1">
        <f t="array" ref="D307">INDEX($F$14:$AD$16,$B307,MATCH($C307,$F$11:$AD$11,0))*$G$283</f>
        <v>1768425</v>
      </c>
      <c r="E307" s="95"/>
      <c r="F307" s="95" cm="1">
        <f t="array" ref="F307">IF($C307&gt;F$11,0,INDEX($F$282:$AD$282,F$11-$C307+1)*($D307/$D$282))</f>
        <v>0</v>
      </c>
      <c r="G307" s="95" cm="1">
        <f t="array" ref="G307">IF($C307&gt;G$11,0,INDEX($F$282:$AD$282,G$11-$C307+1)*($D307/$D$282))</f>
        <v>0</v>
      </c>
      <c r="H307" s="95" cm="1">
        <f t="array" ref="H307">IF($C307&gt;H$11,0,INDEX($F$282:$AD$282,H$11-$C307+1)*($D307/$D$282))</f>
        <v>0</v>
      </c>
      <c r="I307" s="95" cm="1">
        <f t="array" ref="I307">IF($C307&gt;I$11,0,INDEX($F$282:$AD$282,I$11-$C307+1)*($D307/$D$282))</f>
        <v>0</v>
      </c>
      <c r="J307" s="95" cm="1">
        <f t="array" ref="J307">IF($C307&gt;J$11,0,INDEX($F$282:$AD$282,J$11-$C307+1)*($D307/$D$282))</f>
        <v>0</v>
      </c>
      <c r="K307" s="95" cm="1">
        <f t="array" ref="K307">IF($C307&gt;K$11,0,INDEX($F$282:$AD$282,K$11-$C307+1)*($D307/$D$282))</f>
        <v>0</v>
      </c>
      <c r="L307" s="95" cm="1">
        <f t="array" ref="L307">IF($C307&gt;L$11,0,INDEX($F$282:$AD$282,L$11-$C307+1)*($D307/$D$282))</f>
        <v>0</v>
      </c>
      <c r="M307" s="95" cm="1">
        <f t="array" ref="M307">IF($C307&gt;M$11,0,INDEX($F$282:$AD$282,M$11-$C307+1)*($D307/$D$282))</f>
        <v>0</v>
      </c>
      <c r="N307" s="95" cm="1">
        <f t="array" ref="N307">IF($C307&gt;N$11,0,INDEX($F$282:$AD$282,N$11-$C307+1)*($D307/$D$282))</f>
        <v>0</v>
      </c>
      <c r="O307" s="95" cm="1">
        <f t="array" ref="O307">IF($C307&gt;O$11,0,INDEX($F$282:$AD$282,O$11-$C307+1)*($D307/$D$282))</f>
        <v>0</v>
      </c>
      <c r="P307" s="95" cm="1">
        <f t="array" ref="P307">IF($C307&gt;P$11,0,INDEX($F$282:$AD$282,P$11-$C307+1)*($D307/$D$282))</f>
        <v>0</v>
      </c>
      <c r="Q307" s="95" cm="1">
        <f t="array" ref="Q307">IF($C307&gt;Q$11,0,INDEX($F$282:$AD$282,Q$11-$C307+1)*($D307/$D$282))</f>
        <v>0</v>
      </c>
      <c r="R307" s="95" cm="1">
        <f t="array" ref="R307">IF($C307&gt;R$11,0,INDEX($F$282:$AD$282,R$11-$C307+1)*($D307/$D$282))</f>
        <v>0</v>
      </c>
      <c r="S307" s="95" cm="1">
        <f t="array" ref="S307">IF($C307&gt;S$11,0,INDEX($F$282:$AD$282,S$11-$C307+1)*($D307/$D$282))</f>
        <v>0</v>
      </c>
      <c r="T307" s="95" cm="1">
        <f t="array" ref="T307">IF($C307&gt;T$11,0,INDEX($F$282:$AD$282,T$11-$C307+1)*($D307/$D$282))</f>
        <v>0</v>
      </c>
      <c r="U307" s="95" cm="1">
        <f t="array" ref="U307">IF($C307&gt;U$11,0,INDEX($F$282:$AD$282,U$11-$C307+1)*($D307/$D$282))</f>
        <v>0</v>
      </c>
      <c r="V307" s="95" cm="1">
        <f t="array" ref="V307">IF($C307&gt;V$11,0,INDEX($F$282:$AD$282,V$11-$C307+1)*($D307/$D$282))</f>
        <v>0</v>
      </c>
      <c r="W307" s="95" cm="1">
        <f t="array" ref="W307">IF($C307&gt;W$11,0,INDEX($F$282:$AD$282,W$11-$C307+1)*($D307/$D$282))</f>
        <v>0</v>
      </c>
      <c r="X307" s="95" cm="1">
        <f t="array" ref="X307">IF($C307&gt;X$11,0,INDEX($F$282:$AD$282,X$11-$C307+1)*($D307/$D$282))</f>
        <v>0</v>
      </c>
      <c r="Y307" s="95" cm="1">
        <f t="array" ref="Y307">IF($C307&gt;Y$11,0,INDEX($F$282:$AD$282,Y$11-$C307+1)*($D307/$D$282))</f>
        <v>0</v>
      </c>
      <c r="Z307" s="95" cm="1">
        <f t="array" ref="Z307">IF($C307&gt;Z$11,0,INDEX($F$282:$AD$282,Z$11-$C307+1)*($D307/$D$282))</f>
        <v>0</v>
      </c>
      <c r="AA307" s="95" cm="1">
        <f t="array" ref="AA307">IF($C307&gt;AA$11,0,INDEX($F$282:$AD$282,AA$11-$C307+1)*($D307/$D$282))</f>
        <v>0</v>
      </c>
      <c r="AB307" s="95" cm="1">
        <f t="array" ref="AB307">IF($C307&gt;AB$11,0,INDEX($F$282:$AD$282,AB$11-$C307+1)*($D307/$D$282))</f>
        <v>0</v>
      </c>
      <c r="AC307" s="95" cm="1">
        <f t="array" ref="AC307">IF($C307&gt;AC$11,0,INDEX($F$282:$AD$282,AC$11-$C307+1)*($D307/$D$282))</f>
        <v>235200.52499999999</v>
      </c>
      <c r="AD307" s="95" cm="1">
        <f t="array" ref="AD307">IF($C307&gt;AD$11,0,INDEX($F$282:$AD$282,AD$11-$C307+1)*($D307/$D$282))</f>
        <v>205137.3</v>
      </c>
    </row>
    <row r="308" spans="1:30">
      <c r="A308" s="95"/>
      <c r="B308" s="118">
        <f t="shared" si="77"/>
        <v>3</v>
      </c>
      <c r="C308">
        <f t="shared" si="78"/>
        <v>2046</v>
      </c>
      <c r="D308" s="95" cm="1">
        <f t="array" ref="D308">INDEX($F$14:$AD$16,$B308,MATCH($C308,$F$11:$AD$11,0))*$G$283</f>
        <v>2140350</v>
      </c>
      <c r="E308" s="95"/>
      <c r="F308" s="95" cm="1">
        <f t="array" ref="F308">IF($C308&gt;F$11,0,INDEX($F$282:$AD$282,F$11-$C308+1)*($D308/$D$282))</f>
        <v>0</v>
      </c>
      <c r="G308" s="95" cm="1">
        <f t="array" ref="G308">IF($C308&gt;G$11,0,INDEX($F$282:$AD$282,G$11-$C308+1)*($D308/$D$282))</f>
        <v>0</v>
      </c>
      <c r="H308" s="95" cm="1">
        <f t="array" ref="H308">IF($C308&gt;H$11,0,INDEX($F$282:$AD$282,H$11-$C308+1)*($D308/$D$282))</f>
        <v>0</v>
      </c>
      <c r="I308" s="95" cm="1">
        <f t="array" ref="I308">IF($C308&gt;I$11,0,INDEX($F$282:$AD$282,I$11-$C308+1)*($D308/$D$282))</f>
        <v>0</v>
      </c>
      <c r="J308" s="95" cm="1">
        <f t="array" ref="J308">IF($C308&gt;J$11,0,INDEX($F$282:$AD$282,J$11-$C308+1)*($D308/$D$282))</f>
        <v>0</v>
      </c>
      <c r="K308" s="95" cm="1">
        <f t="array" ref="K308">IF($C308&gt;K$11,0,INDEX($F$282:$AD$282,K$11-$C308+1)*($D308/$D$282))</f>
        <v>0</v>
      </c>
      <c r="L308" s="95" cm="1">
        <f t="array" ref="L308">IF($C308&gt;L$11,0,INDEX($F$282:$AD$282,L$11-$C308+1)*($D308/$D$282))</f>
        <v>0</v>
      </c>
      <c r="M308" s="95" cm="1">
        <f t="array" ref="M308">IF($C308&gt;M$11,0,INDEX($F$282:$AD$282,M$11-$C308+1)*($D308/$D$282))</f>
        <v>0</v>
      </c>
      <c r="N308" s="95" cm="1">
        <f t="array" ref="N308">IF($C308&gt;N$11,0,INDEX($F$282:$AD$282,N$11-$C308+1)*($D308/$D$282))</f>
        <v>0</v>
      </c>
      <c r="O308" s="95" cm="1">
        <f t="array" ref="O308">IF($C308&gt;O$11,0,INDEX($F$282:$AD$282,O$11-$C308+1)*($D308/$D$282))</f>
        <v>0</v>
      </c>
      <c r="P308" s="95" cm="1">
        <f t="array" ref="P308">IF($C308&gt;P$11,0,INDEX($F$282:$AD$282,P$11-$C308+1)*($D308/$D$282))</f>
        <v>0</v>
      </c>
      <c r="Q308" s="95" cm="1">
        <f t="array" ref="Q308">IF($C308&gt;Q$11,0,INDEX($F$282:$AD$282,Q$11-$C308+1)*($D308/$D$282))</f>
        <v>0</v>
      </c>
      <c r="R308" s="95" cm="1">
        <f t="array" ref="R308">IF($C308&gt;R$11,0,INDEX($F$282:$AD$282,R$11-$C308+1)*($D308/$D$282))</f>
        <v>0</v>
      </c>
      <c r="S308" s="95" cm="1">
        <f t="array" ref="S308">IF($C308&gt;S$11,0,INDEX($F$282:$AD$282,S$11-$C308+1)*($D308/$D$282))</f>
        <v>0</v>
      </c>
      <c r="T308" s="95" cm="1">
        <f t="array" ref="T308">IF($C308&gt;T$11,0,INDEX($F$282:$AD$282,T$11-$C308+1)*($D308/$D$282))</f>
        <v>0</v>
      </c>
      <c r="U308" s="95" cm="1">
        <f t="array" ref="U308">IF($C308&gt;U$11,0,INDEX($F$282:$AD$282,U$11-$C308+1)*($D308/$D$282))</f>
        <v>0</v>
      </c>
      <c r="V308" s="95" cm="1">
        <f t="array" ref="V308">IF($C308&gt;V$11,0,INDEX($F$282:$AD$282,V$11-$C308+1)*($D308/$D$282))</f>
        <v>0</v>
      </c>
      <c r="W308" s="95" cm="1">
        <f t="array" ref="W308">IF($C308&gt;W$11,0,INDEX($F$282:$AD$282,W$11-$C308+1)*($D308/$D$282))</f>
        <v>0</v>
      </c>
      <c r="X308" s="95" cm="1">
        <f t="array" ref="X308">IF($C308&gt;X$11,0,INDEX($F$282:$AD$282,X$11-$C308+1)*($D308/$D$282))</f>
        <v>0</v>
      </c>
      <c r="Y308" s="95" cm="1">
        <f t="array" ref="Y308">IF($C308&gt;Y$11,0,INDEX($F$282:$AD$282,Y$11-$C308+1)*($D308/$D$282))</f>
        <v>0</v>
      </c>
      <c r="Z308" s="95" cm="1">
        <f t="array" ref="Z308">IF($C308&gt;Z$11,0,INDEX($F$282:$AD$282,Z$11-$C308+1)*($D308/$D$282))</f>
        <v>0</v>
      </c>
      <c r="AA308" s="95" cm="1">
        <f t="array" ref="AA308">IF($C308&gt;AA$11,0,INDEX($F$282:$AD$282,AA$11-$C308+1)*($D308/$D$282))</f>
        <v>0</v>
      </c>
      <c r="AB308" s="95" cm="1">
        <f t="array" ref="AB308">IF($C308&gt;AB$11,0,INDEX($F$282:$AD$282,AB$11-$C308+1)*($D308/$D$282))</f>
        <v>0</v>
      </c>
      <c r="AC308" s="95" cm="1">
        <f t="array" ref="AC308">IF($C308&gt;AC$11,0,INDEX($F$282:$AD$282,AC$11-$C308+1)*($D308/$D$282))</f>
        <v>0</v>
      </c>
      <c r="AD308" s="95" cm="1">
        <f t="array" ref="AD308">IF($C308&gt;AD$11,0,INDEX($F$282:$AD$282,AD$11-$C308+1)*($D308/$D$282))</f>
        <v>284666.55000000005</v>
      </c>
    </row>
    <row r="309" spans="1:30" ht="14.4">
      <c r="C309" s="108" t="str">
        <f>"Total "&amp;C280</f>
        <v>Total Long Term</v>
      </c>
      <c r="D309" s="108" t="s">
        <v>68</v>
      </c>
      <c r="E309" s="109"/>
      <c r="F309" s="110">
        <f>SUM(F284:F308)</f>
        <v>428705.55</v>
      </c>
      <c r="G309" s="110">
        <f t="shared" ref="G309:AD309" si="79">SUM(G284:G308)</f>
        <v>458815.8</v>
      </c>
      <c r="H309" s="110">
        <f t="shared" si="79"/>
        <v>690721.72500000009</v>
      </c>
      <c r="I309" s="110">
        <f t="shared" si="79"/>
        <v>672622.79999999993</v>
      </c>
      <c r="J309" s="110">
        <f t="shared" si="79"/>
        <v>885455.09999999986</v>
      </c>
      <c r="K309" s="110">
        <f t="shared" si="79"/>
        <v>1087480.2</v>
      </c>
      <c r="L309" s="110">
        <f t="shared" si="79"/>
        <v>1208847.45</v>
      </c>
      <c r="M309" s="110">
        <f t="shared" si="79"/>
        <v>1063642.7999999998</v>
      </c>
      <c r="N309" s="110">
        <f t="shared" si="79"/>
        <v>930120.3</v>
      </c>
      <c r="O309" s="110">
        <f t="shared" si="79"/>
        <v>934395.29999999993</v>
      </c>
      <c r="P309" s="110">
        <f t="shared" si="79"/>
        <v>997612.57499999995</v>
      </c>
      <c r="Q309" s="110">
        <f t="shared" si="79"/>
        <v>1086180.6000000001</v>
      </c>
      <c r="R309" s="110">
        <f t="shared" si="79"/>
        <v>1061763.2250000001</v>
      </c>
      <c r="S309" s="110">
        <f t="shared" si="79"/>
        <v>1316811.1499999999</v>
      </c>
      <c r="T309" s="110">
        <f t="shared" si="79"/>
        <v>1452452.625</v>
      </c>
      <c r="U309" s="110">
        <f t="shared" si="79"/>
        <v>1422174.2250000001</v>
      </c>
      <c r="V309" s="110">
        <f t="shared" si="79"/>
        <v>1469222.0250000001</v>
      </c>
      <c r="W309" s="110">
        <f t="shared" si="79"/>
        <v>1420856.1</v>
      </c>
      <c r="X309" s="110">
        <f t="shared" si="79"/>
        <v>1327219.3500000001</v>
      </c>
      <c r="Y309" s="110">
        <f t="shared" si="79"/>
        <v>1178530.575</v>
      </c>
      <c r="Z309" s="110">
        <f t="shared" si="79"/>
        <v>1183089.1499999999</v>
      </c>
      <c r="AA309" s="110">
        <f t="shared" si="79"/>
        <v>1157839.575</v>
      </c>
      <c r="AB309" s="110">
        <f t="shared" si="79"/>
        <v>1132012.875</v>
      </c>
      <c r="AC309" s="110">
        <f t="shared" si="79"/>
        <v>1272740.1749999998</v>
      </c>
      <c r="AD309" s="110">
        <f t="shared" si="79"/>
        <v>1416454.2749999999</v>
      </c>
    </row>
    <row r="311" spans="1:30" ht="14.4">
      <c r="A311" s="90">
        <f>MAX(A$11:A310)+1</f>
        <v>7</v>
      </c>
      <c r="B311" s="90"/>
      <c r="C311" s="90" t="str">
        <f>CaseData!$C$25</f>
        <v>Sum of Years Digits</v>
      </c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  <c r="AB311" s="107"/>
      <c r="AC311" s="107"/>
      <c r="AD311" s="107"/>
    </row>
    <row r="312" spans="1:30" ht="14.4">
      <c r="C312" s="91" t="s">
        <v>66</v>
      </c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</row>
    <row r="313" spans="1:30" ht="14.4">
      <c r="D313" s="93" t="s">
        <v>32</v>
      </c>
      <c r="E313" s="93"/>
    </row>
    <row r="314" spans="1:30" ht="14.4">
      <c r="B314" s="94">
        <v>1</v>
      </c>
      <c r="C314" t="str" cm="1">
        <f t="array" ref="C314">INDEX(ListAssetClasses1,B314)</f>
        <v>Short Term</v>
      </c>
      <c r="D314">
        <f>INDEX(CaseData!$G$35:$I$35,MATCH(C314,CaseData!$G$31:$I$31,0))</f>
        <v>5</v>
      </c>
      <c r="F314" s="95">
        <f t="shared" ref="F314:AD314" si="80">F368</f>
        <v>862600</v>
      </c>
      <c r="G314" s="95">
        <f t="shared" si="80"/>
        <v>786980</v>
      </c>
      <c r="H314" s="95">
        <f t="shared" si="80"/>
        <v>891005</v>
      </c>
      <c r="I314" s="95">
        <f t="shared" si="80"/>
        <v>1442670</v>
      </c>
      <c r="J314" s="95">
        <f t="shared" si="80"/>
        <v>1434310</v>
      </c>
      <c r="K314" s="95">
        <f t="shared" si="80"/>
        <v>1493495</v>
      </c>
      <c r="L314" s="95">
        <f t="shared" si="80"/>
        <v>1449605</v>
      </c>
      <c r="M314" s="95">
        <f t="shared" si="80"/>
        <v>1053360</v>
      </c>
      <c r="N314" s="95">
        <f t="shared" si="80"/>
        <v>957790</v>
      </c>
      <c r="O314" s="95">
        <f t="shared" si="80"/>
        <v>1343395</v>
      </c>
      <c r="P314" s="95">
        <f t="shared" si="80"/>
        <v>1390895</v>
      </c>
      <c r="Q314" s="95">
        <f t="shared" si="80"/>
        <v>1669435</v>
      </c>
      <c r="R314" s="95">
        <f t="shared" si="80"/>
        <v>1544320</v>
      </c>
      <c r="S314" s="95">
        <f t="shared" si="80"/>
        <v>1461385</v>
      </c>
      <c r="T314" s="95">
        <f t="shared" si="80"/>
        <v>1483045</v>
      </c>
      <c r="U314" s="95">
        <f t="shared" si="80"/>
        <v>1149690</v>
      </c>
      <c r="V314" s="95">
        <f t="shared" si="80"/>
        <v>1492640</v>
      </c>
      <c r="W314" s="95">
        <f t="shared" si="80"/>
        <v>1352705</v>
      </c>
      <c r="X314" s="95">
        <f t="shared" si="80"/>
        <v>1615190</v>
      </c>
      <c r="Y314" s="95">
        <f t="shared" si="80"/>
        <v>1694325</v>
      </c>
      <c r="Z314" s="95">
        <f t="shared" si="80"/>
        <v>1621935</v>
      </c>
      <c r="AA314" s="95">
        <f t="shared" si="80"/>
        <v>1704585</v>
      </c>
      <c r="AB314" s="95">
        <f t="shared" si="80"/>
        <v>1741160</v>
      </c>
      <c r="AC314" s="95">
        <f t="shared" si="80"/>
        <v>1436210</v>
      </c>
      <c r="AD314" s="95">
        <f t="shared" si="80"/>
        <v>1356410</v>
      </c>
    </row>
    <row r="315" spans="1:30" ht="14.4">
      <c r="B315" s="111">
        <f>B314+1</f>
        <v>2</v>
      </c>
      <c r="C315" t="str" cm="1">
        <f t="array" ref="C315">INDEX(ListAssetClasses1,B315)</f>
        <v>Medium Term</v>
      </c>
      <c r="D315">
        <f>INDEX(CaseData!$G$35:$I$35,MATCH(C315,CaseData!$G$31:$I$31,0))</f>
        <v>10</v>
      </c>
      <c r="F315" s="95">
        <f t="shared" ref="F315:AD315" si="81">F399</f>
        <v>496677.27272727276</v>
      </c>
      <c r="G315" s="95">
        <f t="shared" si="81"/>
        <v>591323.18181818188</v>
      </c>
      <c r="H315" s="95">
        <f t="shared" si="81"/>
        <v>707033.18181818188</v>
      </c>
      <c r="I315" s="95">
        <f t="shared" si="81"/>
        <v>781444.09090909094</v>
      </c>
      <c r="J315" s="95">
        <f t="shared" si="81"/>
        <v>839946.81818181812</v>
      </c>
      <c r="K315" s="95">
        <f t="shared" si="81"/>
        <v>1189590</v>
      </c>
      <c r="L315" s="95">
        <f t="shared" si="81"/>
        <v>1064915.4545454546</v>
      </c>
      <c r="M315" s="95">
        <f t="shared" si="81"/>
        <v>1180029.5454545454</v>
      </c>
      <c r="N315" s="95">
        <f t="shared" si="81"/>
        <v>1329758.1818181819</v>
      </c>
      <c r="O315" s="95">
        <f t="shared" si="81"/>
        <v>1406293.6363636362</v>
      </c>
      <c r="P315" s="95">
        <f t="shared" si="81"/>
        <v>1740780</v>
      </c>
      <c r="Q315" s="95">
        <f t="shared" si="81"/>
        <v>1576542.2727272727</v>
      </c>
      <c r="R315" s="95">
        <f t="shared" si="81"/>
        <v>1559727.2727272725</v>
      </c>
      <c r="S315" s="95">
        <f t="shared" si="81"/>
        <v>1562214.5454545454</v>
      </c>
      <c r="T315" s="95">
        <f t="shared" si="81"/>
        <v>1732489.0909090908</v>
      </c>
      <c r="U315" s="95">
        <f t="shared" si="81"/>
        <v>1484694.5454545454</v>
      </c>
      <c r="V315" s="95">
        <f t="shared" si="81"/>
        <v>1793919.5454545454</v>
      </c>
      <c r="W315" s="95">
        <f t="shared" si="81"/>
        <v>1578822.2727272725</v>
      </c>
      <c r="X315" s="95">
        <f t="shared" si="81"/>
        <v>1429456.3636363638</v>
      </c>
      <c r="Y315" s="95">
        <f t="shared" si="81"/>
        <v>1523143.6363636362</v>
      </c>
      <c r="Z315" s="95">
        <f t="shared" si="81"/>
        <v>1575998.1818181816</v>
      </c>
      <c r="AA315" s="95">
        <f t="shared" si="81"/>
        <v>1662638.1818181821</v>
      </c>
      <c r="AB315" s="95">
        <f t="shared" si="81"/>
        <v>1754175</v>
      </c>
      <c r="AC315" s="95">
        <f t="shared" si="81"/>
        <v>1673520</v>
      </c>
      <c r="AD315" s="95">
        <f t="shared" si="81"/>
        <v>1795292.7272727271</v>
      </c>
    </row>
    <row r="316" spans="1:30" ht="14.4">
      <c r="B316" s="111">
        <f>B315+1</f>
        <v>3</v>
      </c>
      <c r="C316" t="str" cm="1">
        <f t="array" ref="C316">INDEX(ListAssetClasses1,B316)</f>
        <v>Long Term</v>
      </c>
      <c r="D316">
        <f>INDEX(CaseData!$G$35:$I$35,MATCH(C316,CaseData!$G$31:$I$31,0))</f>
        <v>15</v>
      </c>
      <c r="F316" s="95">
        <f t="shared" ref="F316:AD316" si="82">F430</f>
        <v>402918.75</v>
      </c>
      <c r="G316" s="95">
        <f t="shared" si="82"/>
        <v>455857.5</v>
      </c>
      <c r="H316" s="95">
        <f t="shared" si="82"/>
        <v>700304.375</v>
      </c>
      <c r="I316" s="95">
        <f t="shared" si="82"/>
        <v>717012.5</v>
      </c>
      <c r="J316" s="95">
        <f t="shared" si="82"/>
        <v>947969.375</v>
      </c>
      <c r="K316" s="95">
        <f t="shared" si="82"/>
        <v>1172858.125</v>
      </c>
      <c r="L316" s="95">
        <f t="shared" si="82"/>
        <v>1327221.25</v>
      </c>
      <c r="M316" s="95">
        <f t="shared" si="82"/>
        <v>1231675</v>
      </c>
      <c r="N316" s="95">
        <f t="shared" si="82"/>
        <v>1119978.75</v>
      </c>
      <c r="O316" s="95">
        <f t="shared" si="82"/>
        <v>1109991.875</v>
      </c>
      <c r="P316" s="95">
        <f t="shared" si="82"/>
        <v>1139893.125</v>
      </c>
      <c r="Q316" s="95">
        <f t="shared" si="82"/>
        <v>1183236.875</v>
      </c>
      <c r="R316" s="95">
        <f t="shared" si="82"/>
        <v>1112889.375</v>
      </c>
      <c r="S316" s="95">
        <f t="shared" si="82"/>
        <v>1286216.875</v>
      </c>
      <c r="T316" s="95">
        <f t="shared" si="82"/>
        <v>1334156.25</v>
      </c>
      <c r="U316" s="95">
        <f t="shared" si="82"/>
        <v>1374982.5</v>
      </c>
      <c r="V316" s="95">
        <f t="shared" si="82"/>
        <v>1393222.5</v>
      </c>
      <c r="W316" s="95">
        <f t="shared" si="82"/>
        <v>1398685</v>
      </c>
      <c r="X316" s="95">
        <f t="shared" si="82"/>
        <v>1289268.75</v>
      </c>
      <c r="Y316" s="95">
        <f t="shared" si="82"/>
        <v>1190029.375</v>
      </c>
      <c r="Z316" s="95">
        <f t="shared" si="82"/>
        <v>1244226.875</v>
      </c>
      <c r="AA316" s="95">
        <f t="shared" si="82"/>
        <v>1269081.25</v>
      </c>
      <c r="AB316" s="95">
        <f t="shared" si="82"/>
        <v>1211570.625</v>
      </c>
      <c r="AC316" s="95">
        <f t="shared" si="82"/>
        <v>1285872.5</v>
      </c>
      <c r="AD316" s="95">
        <f t="shared" si="82"/>
        <v>1391928.125</v>
      </c>
    </row>
    <row r="317" spans="1:30" ht="14.4">
      <c r="C317" s="108" t="s">
        <v>4</v>
      </c>
      <c r="D317" s="108" t="s">
        <v>68</v>
      </c>
      <c r="E317" s="109"/>
      <c r="F317" s="110">
        <f>SUM(F314:F316)</f>
        <v>1762196.0227272727</v>
      </c>
      <c r="G317" s="110">
        <f t="shared" ref="G317:AD317" si="83">SUM(G314:G316)</f>
        <v>1834160.6818181819</v>
      </c>
      <c r="H317" s="110">
        <f t="shared" si="83"/>
        <v>2298342.5568181816</v>
      </c>
      <c r="I317" s="110">
        <f t="shared" si="83"/>
        <v>2941126.5909090908</v>
      </c>
      <c r="J317" s="110">
        <f t="shared" si="83"/>
        <v>3222226.1931818184</v>
      </c>
      <c r="K317" s="110">
        <f t="shared" si="83"/>
        <v>3855943.125</v>
      </c>
      <c r="L317" s="110">
        <f t="shared" si="83"/>
        <v>3841741.7045454546</v>
      </c>
      <c r="M317" s="110">
        <f t="shared" si="83"/>
        <v>3465064.5454545454</v>
      </c>
      <c r="N317" s="110">
        <f t="shared" si="83"/>
        <v>3407526.9318181816</v>
      </c>
      <c r="O317" s="110">
        <f t="shared" si="83"/>
        <v>3859680.5113636362</v>
      </c>
      <c r="P317" s="110">
        <f t="shared" si="83"/>
        <v>4271568.125</v>
      </c>
      <c r="Q317" s="110">
        <f t="shared" si="83"/>
        <v>4429214.1477272725</v>
      </c>
      <c r="R317" s="110">
        <f t="shared" si="83"/>
        <v>4216936.6477272725</v>
      </c>
      <c r="S317" s="110">
        <f t="shared" si="83"/>
        <v>4309816.4204545449</v>
      </c>
      <c r="T317" s="110">
        <f t="shared" si="83"/>
        <v>4549690.3409090908</v>
      </c>
      <c r="U317" s="110">
        <f t="shared" si="83"/>
        <v>4009367.0454545454</v>
      </c>
      <c r="V317" s="110">
        <f t="shared" si="83"/>
        <v>4679782.0454545449</v>
      </c>
      <c r="W317" s="110">
        <f t="shared" si="83"/>
        <v>4330212.2727272725</v>
      </c>
      <c r="X317" s="110">
        <f t="shared" si="83"/>
        <v>4333915.1136363633</v>
      </c>
      <c r="Y317" s="110">
        <f t="shared" si="83"/>
        <v>4407498.0113636367</v>
      </c>
      <c r="Z317" s="110">
        <f t="shared" si="83"/>
        <v>4442160.0568181816</v>
      </c>
      <c r="AA317" s="110">
        <f t="shared" si="83"/>
        <v>4636304.4318181816</v>
      </c>
      <c r="AB317" s="110">
        <f t="shared" si="83"/>
        <v>4706905.625</v>
      </c>
      <c r="AC317" s="110">
        <f t="shared" si="83"/>
        <v>4395602.5</v>
      </c>
      <c r="AD317" s="110">
        <f t="shared" si="83"/>
        <v>4543630.8522727266</v>
      </c>
    </row>
    <row r="318" spans="1:30"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</row>
    <row r="319" spans="1:30" ht="14.4">
      <c r="B319" s="94">
        <v>1</v>
      </c>
      <c r="C319" s="93" t="str" cm="1">
        <f t="array" ref="C319">INDEX(ListAssetClasses1,B319)</f>
        <v>Short Term</v>
      </c>
      <c r="D319" s="100"/>
    </row>
    <row r="320" spans="1:30">
      <c r="C320" t="s">
        <v>11</v>
      </c>
      <c r="D320" t="s">
        <v>68</v>
      </c>
      <c r="F320" s="97">
        <f>$F$29</f>
        <v>0</v>
      </c>
      <c r="G320" s="97">
        <f>F323</f>
        <v>1861400</v>
      </c>
      <c r="H320" s="97">
        <f t="shared" ref="H320:AD320" si="84">G323</f>
        <v>1380420</v>
      </c>
      <c r="I320" s="97">
        <f t="shared" si="84"/>
        <v>1423915</v>
      </c>
      <c r="J320" s="97">
        <f t="shared" si="84"/>
        <v>2516245</v>
      </c>
      <c r="K320" s="97">
        <f t="shared" si="84"/>
        <v>2355435</v>
      </c>
      <c r="L320" s="97">
        <f t="shared" si="84"/>
        <v>2603440</v>
      </c>
      <c r="M320" s="97">
        <f t="shared" si="84"/>
        <v>2373335</v>
      </c>
      <c r="N320" s="97">
        <f t="shared" si="84"/>
        <v>1609475</v>
      </c>
      <c r="O320" s="97">
        <f t="shared" si="84"/>
        <v>1761685</v>
      </c>
      <c r="P320" s="97">
        <f t="shared" si="84"/>
        <v>2762790</v>
      </c>
      <c r="Q320" s="97">
        <f t="shared" si="84"/>
        <v>2862895</v>
      </c>
      <c r="R320" s="97">
        <f t="shared" si="84"/>
        <v>3363960</v>
      </c>
      <c r="S320" s="97">
        <f t="shared" si="84"/>
        <v>2905640</v>
      </c>
      <c r="T320" s="97">
        <f t="shared" si="84"/>
        <v>2822755</v>
      </c>
      <c r="U320" s="97">
        <f t="shared" si="84"/>
        <v>3102210</v>
      </c>
      <c r="V320" s="97">
        <f t="shared" si="84"/>
        <v>2477520</v>
      </c>
      <c r="W320" s="97">
        <f t="shared" si="84"/>
        <v>3452380</v>
      </c>
      <c r="X320" s="97">
        <f t="shared" si="84"/>
        <v>3101675</v>
      </c>
      <c r="Y320" s="97">
        <f t="shared" si="84"/>
        <v>3742485</v>
      </c>
      <c r="Z320" s="97">
        <f t="shared" si="84"/>
        <v>3900660</v>
      </c>
      <c r="AA320" s="97">
        <f t="shared" si="84"/>
        <v>3670725</v>
      </c>
      <c r="AB320" s="97">
        <f t="shared" si="84"/>
        <v>4021140</v>
      </c>
      <c r="AC320" s="97">
        <f t="shared" si="84"/>
        <v>4106980</v>
      </c>
      <c r="AD320" s="97">
        <f t="shared" si="84"/>
        <v>3584270</v>
      </c>
    </row>
    <row r="321" spans="2:30">
      <c r="C321" t="s">
        <v>42</v>
      </c>
      <c r="D321" t="s">
        <v>68</v>
      </c>
      <c r="F321" s="97" cm="1">
        <f t="array" ref="F321">INDEX(F$14:F$16,$B319)</f>
        <v>2724000</v>
      </c>
      <c r="G321" s="97" cm="1">
        <f t="array" ref="G321">INDEX(G$14:G$16,$B319)</f>
        <v>306000</v>
      </c>
      <c r="H321" s="97" cm="1">
        <f t="array" ref="H321">INDEX(H$14:H$16,$B319)</f>
        <v>934500</v>
      </c>
      <c r="I321" s="97" cm="1">
        <f t="array" ref="I321">INDEX(I$14:I$16,$B319)</f>
        <v>2535000</v>
      </c>
      <c r="J321" s="97" cm="1">
        <f t="array" ref="J321">INDEX(J$14:J$16,$B319)</f>
        <v>1273500</v>
      </c>
      <c r="K321" s="97" cm="1">
        <f t="array" ref="K321">INDEX(K$14:K$16,$B319)</f>
        <v>1741500</v>
      </c>
      <c r="L321" s="97" cm="1">
        <f t="array" ref="L321">INDEX(L$14:L$16,$B319)</f>
        <v>1219500</v>
      </c>
      <c r="M321" s="97" cm="1">
        <f t="array" ref="M321">INDEX(M$14:M$16,$B319)</f>
        <v>289500</v>
      </c>
      <c r="N321" s="97" cm="1">
        <f t="array" ref="N321">INDEX(N$14:N$16,$B319)</f>
        <v>1110000</v>
      </c>
      <c r="O321" s="97" cm="1">
        <f t="array" ref="O321">INDEX(O$14:O$16,$B319)</f>
        <v>2344500</v>
      </c>
      <c r="P321" s="97" cm="1">
        <f t="array" ref="P321">INDEX(P$14:P$16,$B319)</f>
        <v>1491000</v>
      </c>
      <c r="Q321" s="97" cm="1">
        <f t="array" ref="Q321">INDEX(Q$14:Q$16,$B319)</f>
        <v>2170500</v>
      </c>
      <c r="R321" s="97" cm="1">
        <f t="array" ref="R321">INDEX(R$14:R$16,$B319)</f>
        <v>1086000</v>
      </c>
      <c r="S321" s="97" cm="1">
        <f t="array" ref="S321">INDEX(S$14:S$16,$B319)</f>
        <v>1378500</v>
      </c>
      <c r="T321" s="97" cm="1">
        <f t="array" ref="T321">INDEX(T$14:T$16,$B319)</f>
        <v>1762500</v>
      </c>
      <c r="U321" s="97" cm="1">
        <f t="array" ref="U321">INDEX(U$14:U$16,$B319)</f>
        <v>525000</v>
      </c>
      <c r="V321" s="97" cm="1">
        <f t="array" ref="V321">INDEX(V$14:V$16,$B319)</f>
        <v>2467500</v>
      </c>
      <c r="W321" s="97" cm="1">
        <f t="array" ref="W321">INDEX(W$14:W$16,$B319)</f>
        <v>1002000</v>
      </c>
      <c r="X321" s="97" cm="1">
        <f t="array" ref="X321">INDEX(X$14:X$16,$B319)</f>
        <v>2256000</v>
      </c>
      <c r="Y321" s="97" cm="1">
        <f t="array" ref="Y321">INDEX(Y$14:Y$16,$B319)</f>
        <v>1852500</v>
      </c>
      <c r="Z321" s="97" cm="1">
        <f t="array" ref="Z321">INDEX(Z$14:Z$16,$B319)</f>
        <v>1392000</v>
      </c>
      <c r="AA321" s="97" cm="1">
        <f t="array" ref="AA321">INDEX(AA$14:AA$16,$B319)</f>
        <v>2055000</v>
      </c>
      <c r="AB321" s="97" cm="1">
        <f t="array" ref="AB321">INDEX(AB$14:AB$16,$B319)</f>
        <v>1827000</v>
      </c>
      <c r="AC321" s="97" cm="1">
        <f t="array" ref="AC321">INDEX(AC$14:AC$16,$B319)</f>
        <v>913500</v>
      </c>
      <c r="AD321" s="97" cm="1">
        <f t="array" ref="AD321">INDEX(AD$14:AD$16,$B319)</f>
        <v>1356000</v>
      </c>
    </row>
    <row r="322" spans="2:30">
      <c r="C322" t="s">
        <v>2</v>
      </c>
      <c r="D322" t="s">
        <v>68</v>
      </c>
      <c r="F322" s="97">
        <f>-F314</f>
        <v>-862600</v>
      </c>
      <c r="G322" s="97">
        <f t="shared" ref="G322:AD322" si="85">-G314</f>
        <v>-786980</v>
      </c>
      <c r="H322" s="97">
        <f t="shared" si="85"/>
        <v>-891005</v>
      </c>
      <c r="I322" s="97">
        <f t="shared" si="85"/>
        <v>-1442670</v>
      </c>
      <c r="J322" s="97">
        <f t="shared" si="85"/>
        <v>-1434310</v>
      </c>
      <c r="K322" s="97">
        <f t="shared" si="85"/>
        <v>-1493495</v>
      </c>
      <c r="L322" s="97">
        <f t="shared" si="85"/>
        <v>-1449605</v>
      </c>
      <c r="M322" s="97">
        <f t="shared" si="85"/>
        <v>-1053360</v>
      </c>
      <c r="N322" s="97">
        <f t="shared" si="85"/>
        <v>-957790</v>
      </c>
      <c r="O322" s="97">
        <f t="shared" si="85"/>
        <v>-1343395</v>
      </c>
      <c r="P322" s="97">
        <f t="shared" si="85"/>
        <v>-1390895</v>
      </c>
      <c r="Q322" s="97">
        <f t="shared" si="85"/>
        <v>-1669435</v>
      </c>
      <c r="R322" s="97">
        <f t="shared" si="85"/>
        <v>-1544320</v>
      </c>
      <c r="S322" s="97">
        <f t="shared" si="85"/>
        <v>-1461385</v>
      </c>
      <c r="T322" s="97">
        <f t="shared" si="85"/>
        <v>-1483045</v>
      </c>
      <c r="U322" s="97">
        <f t="shared" si="85"/>
        <v>-1149690</v>
      </c>
      <c r="V322" s="97">
        <f t="shared" si="85"/>
        <v>-1492640</v>
      </c>
      <c r="W322" s="97">
        <f t="shared" si="85"/>
        <v>-1352705</v>
      </c>
      <c r="X322" s="97">
        <f t="shared" si="85"/>
        <v>-1615190</v>
      </c>
      <c r="Y322" s="97">
        <f t="shared" si="85"/>
        <v>-1694325</v>
      </c>
      <c r="Z322" s="97">
        <f t="shared" si="85"/>
        <v>-1621935</v>
      </c>
      <c r="AA322" s="97">
        <f t="shared" si="85"/>
        <v>-1704585</v>
      </c>
      <c r="AB322" s="97">
        <f t="shared" si="85"/>
        <v>-1741160</v>
      </c>
      <c r="AC322" s="97">
        <f t="shared" si="85"/>
        <v>-1436210</v>
      </c>
      <c r="AD322" s="97">
        <f t="shared" si="85"/>
        <v>-1356410</v>
      </c>
    </row>
    <row r="323" spans="2:30" ht="14.4">
      <c r="C323" s="93" t="s">
        <v>12</v>
      </c>
      <c r="D323" t="s">
        <v>68</v>
      </c>
      <c r="F323" s="112">
        <f>SUM(F320:F322)</f>
        <v>1861400</v>
      </c>
      <c r="G323" s="112">
        <f t="shared" ref="G323:AD323" si="86">SUM(G320:G322)</f>
        <v>1380420</v>
      </c>
      <c r="H323" s="112">
        <f t="shared" si="86"/>
        <v>1423915</v>
      </c>
      <c r="I323" s="112">
        <f t="shared" si="86"/>
        <v>2516245</v>
      </c>
      <c r="J323" s="112">
        <f t="shared" si="86"/>
        <v>2355435</v>
      </c>
      <c r="K323" s="112">
        <f t="shared" si="86"/>
        <v>2603440</v>
      </c>
      <c r="L323" s="112">
        <f t="shared" si="86"/>
        <v>2373335</v>
      </c>
      <c r="M323" s="112">
        <f t="shared" si="86"/>
        <v>1609475</v>
      </c>
      <c r="N323" s="112">
        <f t="shared" si="86"/>
        <v>1761685</v>
      </c>
      <c r="O323" s="112">
        <f t="shared" si="86"/>
        <v>2762790</v>
      </c>
      <c r="P323" s="112">
        <f t="shared" si="86"/>
        <v>2862895</v>
      </c>
      <c r="Q323" s="112">
        <f t="shared" si="86"/>
        <v>3363960</v>
      </c>
      <c r="R323" s="112">
        <f t="shared" si="86"/>
        <v>2905640</v>
      </c>
      <c r="S323" s="112">
        <f t="shared" si="86"/>
        <v>2822755</v>
      </c>
      <c r="T323" s="112">
        <f t="shared" si="86"/>
        <v>3102210</v>
      </c>
      <c r="U323" s="112">
        <f t="shared" si="86"/>
        <v>2477520</v>
      </c>
      <c r="V323" s="112">
        <f t="shared" si="86"/>
        <v>3452380</v>
      </c>
      <c r="W323" s="112">
        <f t="shared" si="86"/>
        <v>3101675</v>
      </c>
      <c r="X323" s="112">
        <f t="shared" si="86"/>
        <v>3742485</v>
      </c>
      <c r="Y323" s="112">
        <f t="shared" si="86"/>
        <v>3900660</v>
      </c>
      <c r="Z323" s="112">
        <f t="shared" si="86"/>
        <v>3670725</v>
      </c>
      <c r="AA323" s="112">
        <f t="shared" si="86"/>
        <v>4021140</v>
      </c>
      <c r="AB323" s="112">
        <f t="shared" si="86"/>
        <v>4106980</v>
      </c>
      <c r="AC323" s="112">
        <f t="shared" si="86"/>
        <v>3584270</v>
      </c>
      <c r="AD323" s="112">
        <f t="shared" si="86"/>
        <v>3583860</v>
      </c>
    </row>
    <row r="325" spans="2:30" ht="14.4">
      <c r="B325" s="94">
        <v>2</v>
      </c>
      <c r="C325" s="93" t="str" cm="1">
        <f t="array" ref="C325">INDEX(ListAssetClasses1,B325)</f>
        <v>Medium Term</v>
      </c>
      <c r="D325" s="100"/>
    </row>
    <row r="326" spans="2:30">
      <c r="C326" t="s">
        <v>11</v>
      </c>
      <c r="D326" t="s">
        <v>68</v>
      </c>
      <c r="F326" s="97">
        <f>$F$29</f>
        <v>0</v>
      </c>
      <c r="G326" s="97">
        <f>F329</f>
        <v>2378822.7272727271</v>
      </c>
      <c r="H326" s="97">
        <f t="shared" ref="H326:AD326" si="87">G329</f>
        <v>2622999.5454545449</v>
      </c>
      <c r="I326" s="97">
        <f t="shared" si="87"/>
        <v>2956966.3636363633</v>
      </c>
      <c r="J326" s="97">
        <f t="shared" si="87"/>
        <v>3081522.2727272725</v>
      </c>
      <c r="K326" s="97">
        <f t="shared" si="87"/>
        <v>3146075.4545454541</v>
      </c>
      <c r="L326" s="97">
        <f t="shared" si="87"/>
        <v>4636985.4545454541</v>
      </c>
      <c r="M326" s="97">
        <f t="shared" si="87"/>
        <v>3774569.9999999995</v>
      </c>
      <c r="N326" s="97">
        <f t="shared" si="87"/>
        <v>4205540.4545454551</v>
      </c>
      <c r="O326" s="97">
        <f t="shared" si="87"/>
        <v>4848282.2727272734</v>
      </c>
      <c r="P326" s="97">
        <f t="shared" si="87"/>
        <v>5187988.6363636367</v>
      </c>
      <c r="Q326" s="97">
        <f t="shared" si="87"/>
        <v>6861208.6363636367</v>
      </c>
      <c r="R326" s="97">
        <f t="shared" si="87"/>
        <v>5865166.3636363642</v>
      </c>
      <c r="S326" s="97">
        <f t="shared" si="87"/>
        <v>5713939.0909090918</v>
      </c>
      <c r="T326" s="97">
        <f t="shared" si="87"/>
        <v>5708724.5454545468</v>
      </c>
      <c r="U326" s="97">
        <f t="shared" si="87"/>
        <v>6569735.454545456</v>
      </c>
      <c r="V326" s="97">
        <f t="shared" si="87"/>
        <v>5427040.9090909101</v>
      </c>
      <c r="W326" s="97">
        <f t="shared" si="87"/>
        <v>6966121.3636363652</v>
      </c>
      <c r="X326" s="97">
        <f t="shared" si="87"/>
        <v>5997799.0909090927</v>
      </c>
      <c r="Y326" s="97">
        <f t="shared" si="87"/>
        <v>5459342.7272727285</v>
      </c>
      <c r="Z326" s="97">
        <f t="shared" si="87"/>
        <v>6126199.0909090918</v>
      </c>
      <c r="AA326" s="97">
        <f t="shared" si="87"/>
        <v>6548200.9090909101</v>
      </c>
      <c r="AB326" s="97">
        <f t="shared" si="87"/>
        <v>6937562.7272727285</v>
      </c>
      <c r="AC326" s="97">
        <f t="shared" si="87"/>
        <v>7410887.7272727285</v>
      </c>
      <c r="AD326" s="97">
        <f t="shared" si="87"/>
        <v>7049867.7272727285</v>
      </c>
    </row>
    <row r="327" spans="2:30">
      <c r="C327" t="s">
        <v>42</v>
      </c>
      <c r="D327" t="s">
        <v>68</v>
      </c>
      <c r="F327" s="97" cm="1">
        <f t="array" ref="F327">INDEX(F$14:F$16,$B325)</f>
        <v>2875500</v>
      </c>
      <c r="G327" s="97" cm="1">
        <f t="array" ref="G327">INDEX(G$14:G$16,$B325)</f>
        <v>835500</v>
      </c>
      <c r="H327" s="97" cm="1">
        <f t="array" ref="H327">INDEX(H$14:H$16,$B325)</f>
        <v>1041000</v>
      </c>
      <c r="I327" s="97" cm="1">
        <f t="array" ref="I327">INDEX(I$14:I$16,$B325)</f>
        <v>906000</v>
      </c>
      <c r="J327" s="97" cm="1">
        <f t="array" ref="J327">INDEX(J$14:J$16,$B325)</f>
        <v>904500</v>
      </c>
      <c r="K327" s="97" cm="1">
        <f t="array" ref="K327">INDEX(K$14:K$16,$B325)</f>
        <v>2680500</v>
      </c>
      <c r="L327" s="97" cm="1">
        <f t="array" ref="L327">INDEX(L$14:L$16,$B325)</f>
        <v>202500</v>
      </c>
      <c r="M327" s="97" cm="1">
        <f t="array" ref="M327">INDEX(M$14:M$16,$B325)</f>
        <v>1611000</v>
      </c>
      <c r="N327" s="97" cm="1">
        <f t="array" ref="N327">INDEX(N$14:N$16,$B325)</f>
        <v>1972500</v>
      </c>
      <c r="O327" s="97" cm="1">
        <f t="array" ref="O327">INDEX(O$14:O$16,$B325)</f>
        <v>1746000</v>
      </c>
      <c r="P327" s="97" cm="1">
        <f t="array" ref="P327">INDEX(P$14:P$16,$B325)</f>
        <v>3414000</v>
      </c>
      <c r="Q327" s="97" cm="1">
        <f t="array" ref="Q327">INDEX(Q$14:Q$16,$B325)</f>
        <v>580500</v>
      </c>
      <c r="R327" s="97" cm="1">
        <f t="array" ref="R327">INDEX(R$14:R$16,$B325)</f>
        <v>1408500</v>
      </c>
      <c r="S327" s="97" cm="1">
        <f t="array" ref="S327">INDEX(S$14:S$16,$B325)</f>
        <v>1557000</v>
      </c>
      <c r="T327" s="97" cm="1">
        <f t="array" ref="T327">INDEX(T$14:T$16,$B325)</f>
        <v>2593500</v>
      </c>
      <c r="U327" s="97" cm="1">
        <f t="array" ref="U327">INDEX(U$14:U$16,$B325)</f>
        <v>342000</v>
      </c>
      <c r="V327" s="97" cm="1">
        <f t="array" ref="V327">INDEX(V$14:V$16,$B325)</f>
        <v>3333000</v>
      </c>
      <c r="W327" s="97" cm="1">
        <f t="array" ref="W327">INDEX(W$14:W$16,$B325)</f>
        <v>610500</v>
      </c>
      <c r="X327" s="97" cm="1">
        <f t="array" ref="X327">INDEX(X$14:X$16,$B325)</f>
        <v>891000</v>
      </c>
      <c r="Y327" s="97" cm="1">
        <f t="array" ref="Y327">INDEX(Y$14:Y$16,$B325)</f>
        <v>2190000</v>
      </c>
      <c r="Z327" s="97" cm="1">
        <f t="array" ref="Z327">INDEX(Z$14:Z$16,$B325)</f>
        <v>1998000</v>
      </c>
      <c r="AA327" s="97" cm="1">
        <f t="array" ref="AA327">INDEX(AA$14:AA$16,$B325)</f>
        <v>2052000</v>
      </c>
      <c r="AB327" s="97" cm="1">
        <f t="array" ref="AB327">INDEX(AB$14:AB$16,$B325)</f>
        <v>2227500</v>
      </c>
      <c r="AC327" s="97" cm="1">
        <f t="array" ref="AC327">INDEX(AC$14:AC$16,$B325)</f>
        <v>1312500</v>
      </c>
      <c r="AD327" s="97" cm="1">
        <f t="array" ref="AD327">INDEX(AD$14:AD$16,$B325)</f>
        <v>2460000</v>
      </c>
    </row>
    <row r="328" spans="2:30">
      <c r="C328" t="s">
        <v>2</v>
      </c>
      <c r="D328" t="s">
        <v>68</v>
      </c>
      <c r="F328" s="97">
        <f>-F315</f>
        <v>-496677.27272727276</v>
      </c>
      <c r="G328" s="97">
        <f t="shared" ref="G328:AD328" si="88">-G315</f>
        <v>-591323.18181818188</v>
      </c>
      <c r="H328" s="97">
        <f t="shared" si="88"/>
        <v>-707033.18181818188</v>
      </c>
      <c r="I328" s="97">
        <f t="shared" si="88"/>
        <v>-781444.09090909094</v>
      </c>
      <c r="J328" s="97">
        <f t="shared" si="88"/>
        <v>-839946.81818181812</v>
      </c>
      <c r="K328" s="97">
        <f t="shared" si="88"/>
        <v>-1189590</v>
      </c>
      <c r="L328" s="97">
        <f t="shared" si="88"/>
        <v>-1064915.4545454546</v>
      </c>
      <c r="M328" s="97">
        <f t="shared" si="88"/>
        <v>-1180029.5454545454</v>
      </c>
      <c r="N328" s="97">
        <f t="shared" si="88"/>
        <v>-1329758.1818181819</v>
      </c>
      <c r="O328" s="97">
        <f t="shared" si="88"/>
        <v>-1406293.6363636362</v>
      </c>
      <c r="P328" s="97">
        <f t="shared" si="88"/>
        <v>-1740780</v>
      </c>
      <c r="Q328" s="97">
        <f t="shared" si="88"/>
        <v>-1576542.2727272727</v>
      </c>
      <c r="R328" s="97">
        <f t="shared" si="88"/>
        <v>-1559727.2727272725</v>
      </c>
      <c r="S328" s="97">
        <f t="shared" si="88"/>
        <v>-1562214.5454545454</v>
      </c>
      <c r="T328" s="97">
        <f t="shared" si="88"/>
        <v>-1732489.0909090908</v>
      </c>
      <c r="U328" s="97">
        <f t="shared" si="88"/>
        <v>-1484694.5454545454</v>
      </c>
      <c r="V328" s="97">
        <f t="shared" si="88"/>
        <v>-1793919.5454545454</v>
      </c>
      <c r="W328" s="97">
        <f t="shared" si="88"/>
        <v>-1578822.2727272725</v>
      </c>
      <c r="X328" s="97">
        <f t="shared" si="88"/>
        <v>-1429456.3636363638</v>
      </c>
      <c r="Y328" s="97">
        <f t="shared" si="88"/>
        <v>-1523143.6363636362</v>
      </c>
      <c r="Z328" s="97">
        <f t="shared" si="88"/>
        <v>-1575998.1818181816</v>
      </c>
      <c r="AA328" s="97">
        <f t="shared" si="88"/>
        <v>-1662638.1818181821</v>
      </c>
      <c r="AB328" s="97">
        <f t="shared" si="88"/>
        <v>-1754175</v>
      </c>
      <c r="AC328" s="97">
        <f t="shared" si="88"/>
        <v>-1673520</v>
      </c>
      <c r="AD328" s="97">
        <f t="shared" si="88"/>
        <v>-1795292.7272727271</v>
      </c>
    </row>
    <row r="329" spans="2:30" ht="14.4">
      <c r="C329" s="93" t="s">
        <v>12</v>
      </c>
      <c r="D329" t="s">
        <v>68</v>
      </c>
      <c r="F329" s="112">
        <f>SUM(F326:F328)</f>
        <v>2378822.7272727271</v>
      </c>
      <c r="G329" s="112">
        <f t="shared" ref="G329:AD329" si="89">SUM(G326:G328)</f>
        <v>2622999.5454545449</v>
      </c>
      <c r="H329" s="112">
        <f t="shared" si="89"/>
        <v>2956966.3636363633</v>
      </c>
      <c r="I329" s="112">
        <f t="shared" si="89"/>
        <v>3081522.2727272725</v>
      </c>
      <c r="J329" s="112">
        <f t="shared" si="89"/>
        <v>3146075.4545454541</v>
      </c>
      <c r="K329" s="112">
        <f t="shared" si="89"/>
        <v>4636985.4545454541</v>
      </c>
      <c r="L329" s="112">
        <f t="shared" si="89"/>
        <v>3774569.9999999995</v>
      </c>
      <c r="M329" s="112">
        <f t="shared" si="89"/>
        <v>4205540.4545454551</v>
      </c>
      <c r="N329" s="112">
        <f t="shared" si="89"/>
        <v>4848282.2727272734</v>
      </c>
      <c r="O329" s="112">
        <f t="shared" si="89"/>
        <v>5187988.6363636367</v>
      </c>
      <c r="P329" s="112">
        <f t="shared" si="89"/>
        <v>6861208.6363636367</v>
      </c>
      <c r="Q329" s="112">
        <f t="shared" si="89"/>
        <v>5865166.3636363642</v>
      </c>
      <c r="R329" s="112">
        <f t="shared" si="89"/>
        <v>5713939.0909090918</v>
      </c>
      <c r="S329" s="112">
        <f t="shared" si="89"/>
        <v>5708724.5454545468</v>
      </c>
      <c r="T329" s="112">
        <f t="shared" si="89"/>
        <v>6569735.454545456</v>
      </c>
      <c r="U329" s="112">
        <f t="shared" si="89"/>
        <v>5427040.9090909101</v>
      </c>
      <c r="V329" s="112">
        <f t="shared" si="89"/>
        <v>6966121.3636363652</v>
      </c>
      <c r="W329" s="112">
        <f t="shared" si="89"/>
        <v>5997799.0909090927</v>
      </c>
      <c r="X329" s="112">
        <f t="shared" si="89"/>
        <v>5459342.7272727285</v>
      </c>
      <c r="Y329" s="112">
        <f t="shared" si="89"/>
        <v>6126199.0909090918</v>
      </c>
      <c r="Z329" s="112">
        <f t="shared" si="89"/>
        <v>6548200.9090909101</v>
      </c>
      <c r="AA329" s="112">
        <f t="shared" si="89"/>
        <v>6937562.7272727285</v>
      </c>
      <c r="AB329" s="112">
        <f t="shared" si="89"/>
        <v>7410887.7272727285</v>
      </c>
      <c r="AC329" s="112">
        <f t="shared" si="89"/>
        <v>7049867.7272727285</v>
      </c>
      <c r="AD329" s="112">
        <f t="shared" si="89"/>
        <v>7714575.0000000019</v>
      </c>
    </row>
    <row r="331" spans="2:30" ht="14.4">
      <c r="B331" s="94">
        <v>3</v>
      </c>
      <c r="C331" s="93" t="str" cm="1">
        <f t="array" ref="C331">INDEX(ListAssetClasses1,B331)</f>
        <v>Long Term</v>
      </c>
      <c r="D331" s="100"/>
    </row>
    <row r="332" spans="2:30">
      <c r="C332" t="s">
        <v>11</v>
      </c>
      <c r="D332" t="s">
        <v>68</v>
      </c>
      <c r="F332" s="97">
        <f>$F$29</f>
        <v>0</v>
      </c>
      <c r="G332" s="97">
        <f>F335</f>
        <v>2990081.25</v>
      </c>
      <c r="H332" s="97">
        <f t="shared" ref="H332:AD332" si="90">G335</f>
        <v>3206223.75</v>
      </c>
      <c r="I332" s="97">
        <f t="shared" si="90"/>
        <v>4835419.375</v>
      </c>
      <c r="J332" s="97">
        <f t="shared" si="90"/>
        <v>4685406.875</v>
      </c>
      <c r="K332" s="97">
        <f t="shared" si="90"/>
        <v>6146437.5</v>
      </c>
      <c r="L332" s="97">
        <f t="shared" si="90"/>
        <v>7492079.375</v>
      </c>
      <c r="M332" s="97">
        <f t="shared" si="90"/>
        <v>8257358.125</v>
      </c>
      <c r="N332" s="97">
        <f t="shared" si="90"/>
        <v>7153183.125</v>
      </c>
      <c r="O332" s="97">
        <f t="shared" si="90"/>
        <v>6033204.375</v>
      </c>
      <c r="P332" s="97">
        <f t="shared" si="90"/>
        <v>5779712.5</v>
      </c>
      <c r="Q332" s="97">
        <f t="shared" si="90"/>
        <v>5889319.375</v>
      </c>
      <c r="R332" s="97">
        <f t="shared" si="90"/>
        <v>6152082.5</v>
      </c>
      <c r="S332" s="97">
        <f t="shared" si="90"/>
        <v>5624193.125</v>
      </c>
      <c r="T332" s="97">
        <f t="shared" si="90"/>
        <v>7013976.25</v>
      </c>
      <c r="U332" s="97">
        <f t="shared" si="90"/>
        <v>7478320</v>
      </c>
      <c r="V332" s="97">
        <f t="shared" si="90"/>
        <v>7961837.5</v>
      </c>
      <c r="W332" s="97">
        <f t="shared" si="90"/>
        <v>8134615</v>
      </c>
      <c r="X332" s="97">
        <f t="shared" si="90"/>
        <v>8253930</v>
      </c>
      <c r="Y332" s="97">
        <f t="shared" si="90"/>
        <v>7461161.25</v>
      </c>
      <c r="Z332" s="97">
        <f t="shared" si="90"/>
        <v>6848631.875</v>
      </c>
      <c r="AA332" s="97">
        <f t="shared" si="90"/>
        <v>7351905</v>
      </c>
      <c r="AB332" s="97">
        <f t="shared" si="90"/>
        <v>7531823.75</v>
      </c>
      <c r="AC332" s="97">
        <f t="shared" si="90"/>
        <v>7032753.125</v>
      </c>
      <c r="AD332" s="97">
        <f t="shared" si="90"/>
        <v>7608380.625</v>
      </c>
    </row>
    <row r="333" spans="2:30">
      <c r="C333" t="s">
        <v>42</v>
      </c>
      <c r="D333" t="s">
        <v>68</v>
      </c>
      <c r="F333" s="97" cm="1">
        <f t="array" ref="F333">INDEX(F$14:F$16,$B331)</f>
        <v>3393000</v>
      </c>
      <c r="G333" s="97" cm="1">
        <f t="array" ref="G333">INDEX(G$14:G$16,$B331)</f>
        <v>672000</v>
      </c>
      <c r="H333" s="97" cm="1">
        <f t="array" ref="H333">INDEX(H$14:H$16,$B331)</f>
        <v>2329500</v>
      </c>
      <c r="I333" s="97" cm="1">
        <f t="array" ref="I333">INDEX(I$14:I$16,$B331)</f>
        <v>567000</v>
      </c>
      <c r="J333" s="97" cm="1">
        <f t="array" ref="J333">INDEX(J$14:J$16,$B331)</f>
        <v>2409000</v>
      </c>
      <c r="K333" s="97" cm="1">
        <f t="array" ref="K333">INDEX(K$14:K$16,$B331)</f>
        <v>2518500</v>
      </c>
      <c r="L333" s="97" cm="1">
        <f t="array" ref="L333">INDEX(L$14:L$16,$B331)</f>
        <v>2092500</v>
      </c>
      <c r="M333" s="97" cm="1">
        <f t="array" ref="M333">INDEX(M$14:M$16,$B331)</f>
        <v>127500</v>
      </c>
      <c r="N333" s="97" cm="1">
        <f t="array" ref="N333">INDEX(N$14:N$16,$B331)</f>
        <v>0</v>
      </c>
      <c r="O333" s="97" cm="1">
        <f t="array" ref="O333">INDEX(O$14:O$16,$B331)</f>
        <v>856500</v>
      </c>
      <c r="P333" s="97" cm="1">
        <f t="array" ref="P333">INDEX(P$14:P$16,$B331)</f>
        <v>1249500</v>
      </c>
      <c r="Q333" s="97" cm="1">
        <f t="array" ref="Q333">INDEX(Q$14:Q$16,$B331)</f>
        <v>1446000</v>
      </c>
      <c r="R333" s="97" cm="1">
        <f t="array" ref="R333">INDEX(R$14:R$16,$B331)</f>
        <v>585000</v>
      </c>
      <c r="S333" s="97" cm="1">
        <f t="array" ref="S333">INDEX(S$14:S$16,$B331)</f>
        <v>2676000</v>
      </c>
      <c r="T333" s="97" cm="1">
        <f t="array" ref="T333">INDEX(T$14:T$16,$B331)</f>
        <v>1798500</v>
      </c>
      <c r="U333" s="97" cm="1">
        <f t="array" ref="U333">INDEX(U$14:U$16,$B331)</f>
        <v>1858500</v>
      </c>
      <c r="V333" s="97" cm="1">
        <f t="array" ref="V333">INDEX(V$14:V$16,$B331)</f>
        <v>1566000</v>
      </c>
      <c r="W333" s="97" cm="1">
        <f t="array" ref="W333">INDEX(W$14:W$16,$B331)</f>
        <v>1518000</v>
      </c>
      <c r="X333" s="97" cm="1">
        <f t="array" ref="X333">INDEX(X$14:X$16,$B331)</f>
        <v>496500</v>
      </c>
      <c r="Y333" s="97" cm="1">
        <f t="array" ref="Y333">INDEX(Y$14:Y$16,$B331)</f>
        <v>577500</v>
      </c>
      <c r="Z333" s="97" cm="1">
        <f t="array" ref="Z333">INDEX(Z$14:Z$16,$B331)</f>
        <v>1747500</v>
      </c>
      <c r="AA333" s="97" cm="1">
        <f t="array" ref="AA333">INDEX(AA$14:AA$16,$B331)</f>
        <v>1449000</v>
      </c>
      <c r="AB333" s="97" cm="1">
        <f t="array" ref="AB333">INDEX(AB$14:AB$16,$B331)</f>
        <v>712500</v>
      </c>
      <c r="AC333" s="97" cm="1">
        <f t="array" ref="AC333">INDEX(AC$14:AC$16,$B331)</f>
        <v>1861500</v>
      </c>
      <c r="AD333" s="97" cm="1">
        <f t="array" ref="AD333">INDEX(AD$14:AD$16,$B331)</f>
        <v>2253000</v>
      </c>
    </row>
    <row r="334" spans="2:30">
      <c r="C334" t="s">
        <v>2</v>
      </c>
      <c r="D334" t="s">
        <v>68</v>
      </c>
      <c r="F334" s="97">
        <f>-F316</f>
        <v>-402918.75</v>
      </c>
      <c r="G334" s="97">
        <f t="shared" ref="G334:AD334" si="91">-G316</f>
        <v>-455857.5</v>
      </c>
      <c r="H334" s="97">
        <f t="shared" si="91"/>
        <v>-700304.375</v>
      </c>
      <c r="I334" s="97">
        <f t="shared" si="91"/>
        <v>-717012.5</v>
      </c>
      <c r="J334" s="97">
        <f t="shared" si="91"/>
        <v>-947969.375</v>
      </c>
      <c r="K334" s="97">
        <f t="shared" si="91"/>
        <v>-1172858.125</v>
      </c>
      <c r="L334" s="97">
        <f t="shared" si="91"/>
        <v>-1327221.25</v>
      </c>
      <c r="M334" s="97">
        <f t="shared" si="91"/>
        <v>-1231675</v>
      </c>
      <c r="N334" s="97">
        <f t="shared" si="91"/>
        <v>-1119978.75</v>
      </c>
      <c r="O334" s="97">
        <f t="shared" si="91"/>
        <v>-1109991.875</v>
      </c>
      <c r="P334" s="97">
        <f t="shared" si="91"/>
        <v>-1139893.125</v>
      </c>
      <c r="Q334" s="97">
        <f t="shared" si="91"/>
        <v>-1183236.875</v>
      </c>
      <c r="R334" s="97">
        <f t="shared" si="91"/>
        <v>-1112889.375</v>
      </c>
      <c r="S334" s="97">
        <f t="shared" si="91"/>
        <v>-1286216.875</v>
      </c>
      <c r="T334" s="97">
        <f t="shared" si="91"/>
        <v>-1334156.25</v>
      </c>
      <c r="U334" s="97">
        <f t="shared" si="91"/>
        <v>-1374982.5</v>
      </c>
      <c r="V334" s="97">
        <f t="shared" si="91"/>
        <v>-1393222.5</v>
      </c>
      <c r="W334" s="97">
        <f t="shared" si="91"/>
        <v>-1398685</v>
      </c>
      <c r="X334" s="97">
        <f t="shared" si="91"/>
        <v>-1289268.75</v>
      </c>
      <c r="Y334" s="97">
        <f t="shared" si="91"/>
        <v>-1190029.375</v>
      </c>
      <c r="Z334" s="97">
        <f t="shared" si="91"/>
        <v>-1244226.875</v>
      </c>
      <c r="AA334" s="97">
        <f t="shared" si="91"/>
        <v>-1269081.25</v>
      </c>
      <c r="AB334" s="97">
        <f t="shared" si="91"/>
        <v>-1211570.625</v>
      </c>
      <c r="AC334" s="97">
        <f t="shared" si="91"/>
        <v>-1285872.5</v>
      </c>
      <c r="AD334" s="97">
        <f t="shared" si="91"/>
        <v>-1391928.125</v>
      </c>
    </row>
    <row r="335" spans="2:30" ht="14.4">
      <c r="C335" s="93" t="s">
        <v>12</v>
      </c>
      <c r="D335" t="s">
        <v>68</v>
      </c>
      <c r="F335" s="112">
        <f>SUM(F332:F334)</f>
        <v>2990081.25</v>
      </c>
      <c r="G335" s="112">
        <f t="shared" ref="G335:AD335" si="92">SUM(G332:G334)</f>
        <v>3206223.75</v>
      </c>
      <c r="H335" s="112">
        <f t="shared" si="92"/>
        <v>4835419.375</v>
      </c>
      <c r="I335" s="112">
        <f t="shared" si="92"/>
        <v>4685406.875</v>
      </c>
      <c r="J335" s="112">
        <f t="shared" si="92"/>
        <v>6146437.5</v>
      </c>
      <c r="K335" s="112">
        <f t="shared" si="92"/>
        <v>7492079.375</v>
      </c>
      <c r="L335" s="112">
        <f t="shared" si="92"/>
        <v>8257358.125</v>
      </c>
      <c r="M335" s="112">
        <f t="shared" si="92"/>
        <v>7153183.125</v>
      </c>
      <c r="N335" s="112">
        <f t="shared" si="92"/>
        <v>6033204.375</v>
      </c>
      <c r="O335" s="112">
        <f t="shared" si="92"/>
        <v>5779712.5</v>
      </c>
      <c r="P335" s="112">
        <f t="shared" si="92"/>
        <v>5889319.375</v>
      </c>
      <c r="Q335" s="112">
        <f t="shared" si="92"/>
        <v>6152082.5</v>
      </c>
      <c r="R335" s="112">
        <f t="shared" si="92"/>
        <v>5624193.125</v>
      </c>
      <c r="S335" s="112">
        <f t="shared" si="92"/>
        <v>7013976.25</v>
      </c>
      <c r="T335" s="112">
        <f t="shared" si="92"/>
        <v>7478320</v>
      </c>
      <c r="U335" s="112">
        <f t="shared" si="92"/>
        <v>7961837.5</v>
      </c>
      <c r="V335" s="112">
        <f t="shared" si="92"/>
        <v>8134615</v>
      </c>
      <c r="W335" s="112">
        <f t="shared" si="92"/>
        <v>8253930</v>
      </c>
      <c r="X335" s="112">
        <f t="shared" si="92"/>
        <v>7461161.25</v>
      </c>
      <c r="Y335" s="112">
        <f t="shared" si="92"/>
        <v>6848631.875</v>
      </c>
      <c r="Z335" s="112">
        <f t="shared" si="92"/>
        <v>7351905</v>
      </c>
      <c r="AA335" s="112">
        <f t="shared" si="92"/>
        <v>7531823.75</v>
      </c>
      <c r="AB335" s="112">
        <f t="shared" si="92"/>
        <v>7032753.125</v>
      </c>
      <c r="AC335" s="112">
        <f t="shared" si="92"/>
        <v>7608380.625</v>
      </c>
      <c r="AD335" s="112">
        <f t="shared" si="92"/>
        <v>8469452.5</v>
      </c>
    </row>
    <row r="336" spans="2:30" ht="14.4">
      <c r="C336" s="93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  <c r="AA336" s="121"/>
      <c r="AB336" s="121"/>
      <c r="AC336" s="121"/>
      <c r="AD336" s="121"/>
    </row>
    <row r="337" spans="1:30" ht="14.4">
      <c r="C337" s="91" t="s">
        <v>82</v>
      </c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</row>
    <row r="338" spans="1:30" ht="14.4">
      <c r="C338" s="126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  <c r="AA338" s="127"/>
      <c r="AB338" s="127"/>
      <c r="AC338" s="127"/>
      <c r="AD338" s="127"/>
    </row>
    <row r="339" spans="1:30" ht="14.4">
      <c r="B339" s="94">
        <v>1</v>
      </c>
      <c r="C339" s="93" t="str" cm="1">
        <f t="array" ref="C339">INDEX(ListAssetClasses1,B339)</f>
        <v>Short Term</v>
      </c>
      <c r="E339" t="s">
        <v>32</v>
      </c>
      <c r="F339" s="111" cm="1">
        <f t="array" ref="F339">INDEX($D$314:$D$316,B339)</f>
        <v>5</v>
      </c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</row>
    <row r="340" spans="1:30" ht="14.4">
      <c r="E340" t="s">
        <v>37</v>
      </c>
      <c r="F340" s="122">
        <v>1</v>
      </c>
      <c r="G340" s="111">
        <f>F340+1</f>
        <v>2</v>
      </c>
      <c r="H340" s="111">
        <f t="shared" ref="H340:Y340" si="93">G340+1</f>
        <v>3</v>
      </c>
      <c r="I340" s="111">
        <f t="shared" si="93"/>
        <v>4</v>
      </c>
      <c r="J340" s="111">
        <f t="shared" si="93"/>
        <v>5</v>
      </c>
      <c r="K340" s="111">
        <f t="shared" si="93"/>
        <v>6</v>
      </c>
      <c r="L340" s="111">
        <f t="shared" si="93"/>
        <v>7</v>
      </c>
      <c r="M340" s="111">
        <f t="shared" si="93"/>
        <v>8</v>
      </c>
      <c r="N340" s="111">
        <f t="shared" si="93"/>
        <v>9</v>
      </c>
      <c r="O340" s="111">
        <f t="shared" si="93"/>
        <v>10</v>
      </c>
      <c r="P340" s="111">
        <f t="shared" si="93"/>
        <v>11</v>
      </c>
      <c r="Q340" s="111">
        <f t="shared" si="93"/>
        <v>12</v>
      </c>
      <c r="R340" s="111">
        <f t="shared" si="93"/>
        <v>13</v>
      </c>
      <c r="S340" s="111">
        <f t="shared" si="93"/>
        <v>14</v>
      </c>
      <c r="T340" s="111">
        <f t="shared" si="93"/>
        <v>15</v>
      </c>
      <c r="U340" s="111">
        <f t="shared" si="93"/>
        <v>16</v>
      </c>
      <c r="V340" s="111">
        <f t="shared" si="93"/>
        <v>17</v>
      </c>
      <c r="W340" s="111">
        <f t="shared" si="93"/>
        <v>18</v>
      </c>
      <c r="X340" s="111">
        <f t="shared" si="93"/>
        <v>19</v>
      </c>
      <c r="Y340" s="111">
        <f t="shared" si="93"/>
        <v>20</v>
      </c>
      <c r="Z340" s="95"/>
      <c r="AA340" s="95"/>
      <c r="AB340" s="95"/>
      <c r="AC340" s="95"/>
      <c r="AD340" s="95"/>
    </row>
    <row r="341" spans="1:30" ht="14.4">
      <c r="E341" t="s">
        <v>83</v>
      </c>
      <c r="F341" s="125">
        <f>INDEX(CaseData!$D$65:$T$86,MATCH(F340,CaseData!$D$65:$D$86,0),MATCH($F339,CaseData!$D$65:$T$65,0))</f>
        <v>0.33333333333333331</v>
      </c>
      <c r="G341" s="125">
        <f>INDEX(CaseData!$D$65:$T$86,MATCH(G340,CaseData!$D$65:$D$86,0),MATCH($F339,CaseData!$D$65:$T$65,0))</f>
        <v>0.26666666666666666</v>
      </c>
      <c r="H341" s="125">
        <f>INDEX(CaseData!$D$65:$T$86,MATCH(H340,CaseData!$D$65:$D$86,0),MATCH($F339,CaseData!$D$65:$T$65,0))</f>
        <v>0.2</v>
      </c>
      <c r="I341" s="125">
        <f>INDEX(CaseData!$D$65:$T$86,MATCH(I340,CaseData!$D$65:$D$86,0),MATCH($F339,CaseData!$D$65:$T$65,0))</f>
        <v>0.13333333333333333</v>
      </c>
      <c r="J341" s="125">
        <f>INDEX(CaseData!$D$65:$T$86,MATCH(J340,CaseData!$D$65:$D$86,0),MATCH($F339,CaseData!$D$65:$T$65,0))</f>
        <v>6.6666666666666666E-2</v>
      </c>
      <c r="K341" s="125">
        <f>INDEX(CaseData!$D$65:$T$86,MATCH(K340,CaseData!$D$65:$D$86,0),MATCH($F339,CaseData!$D$65:$T$65,0))</f>
        <v>0</v>
      </c>
      <c r="L341" s="125">
        <f>INDEX(CaseData!$D$65:$T$86,MATCH(L340,CaseData!$D$65:$D$86,0),MATCH($F339,CaseData!$D$65:$T$65,0))</f>
        <v>0</v>
      </c>
      <c r="M341" s="125">
        <f>INDEX(CaseData!$D$65:$T$86,MATCH(M340,CaseData!$D$65:$D$86,0),MATCH($F339,CaseData!$D$65:$T$65,0))</f>
        <v>0</v>
      </c>
      <c r="N341" s="125">
        <f>INDEX(CaseData!$D$65:$T$86,MATCH(N340,CaseData!$D$65:$D$86,0),MATCH($F339,CaseData!$D$65:$T$65,0))</f>
        <v>0</v>
      </c>
      <c r="O341" s="125">
        <f>INDEX(CaseData!$D$65:$T$86,MATCH(O340,CaseData!$D$65:$D$86,0),MATCH($F339,CaseData!$D$65:$T$65,0))</f>
        <v>0</v>
      </c>
      <c r="P341" s="125">
        <f>INDEX(CaseData!$D$65:$T$86,MATCH(P340,CaseData!$D$65:$D$86,0),MATCH($F339,CaseData!$D$65:$T$65,0))</f>
        <v>0</v>
      </c>
      <c r="Q341" s="125">
        <f>INDEX(CaseData!$D$65:$T$86,MATCH(Q340,CaseData!$D$65:$D$86,0),MATCH($F339,CaseData!$D$65:$T$65,0))</f>
        <v>0</v>
      </c>
      <c r="R341" s="125">
        <f>INDEX(CaseData!$D$65:$T$86,MATCH(R340,CaseData!$D$65:$D$86,0),MATCH($F339,CaseData!$D$65:$T$65,0))</f>
        <v>0</v>
      </c>
      <c r="S341" s="125">
        <f>INDEX(CaseData!$D$65:$T$86,MATCH(S340,CaseData!$D$65:$D$86,0),MATCH($F339,CaseData!$D$65:$T$65,0))</f>
        <v>0</v>
      </c>
      <c r="T341" s="125">
        <f>INDEX(CaseData!$D$65:$T$86,MATCH(T340,CaseData!$D$65:$D$86,0),MATCH($F339,CaseData!$D$65:$T$65,0))</f>
        <v>0</v>
      </c>
      <c r="U341" s="125">
        <f>INDEX(CaseData!$D$65:$T$86,MATCH(U340,CaseData!$D$65:$D$86,0),MATCH($F339,CaseData!$D$65:$T$65,0))</f>
        <v>0</v>
      </c>
      <c r="V341" s="125">
        <f>INDEX(CaseData!$D$65:$T$86,MATCH(V340,CaseData!$D$65:$D$86,0),MATCH($F339,CaseData!$D$65:$T$65,0))</f>
        <v>0</v>
      </c>
      <c r="W341" s="125">
        <f>INDEX(CaseData!$D$65:$T$86,MATCH(W340,CaseData!$D$65:$D$86,0),MATCH($F339,CaseData!$D$65:$T$65,0))</f>
        <v>0</v>
      </c>
      <c r="X341" s="125">
        <f>INDEX(CaseData!$D$65:$T$86,MATCH(X340,CaseData!$D$65:$D$86,0),MATCH($F339,CaseData!$D$65:$T$65,0))</f>
        <v>0</v>
      </c>
      <c r="Y341" s="125">
        <f>INDEX(CaseData!$D$65:$T$86,MATCH(Y340,CaseData!$D$65:$D$86,0),MATCH($F339,CaseData!$D$65:$T$65,0))</f>
        <v>0</v>
      </c>
      <c r="Z341" s="95"/>
      <c r="AA341" s="95"/>
      <c r="AB341" s="95"/>
      <c r="AC341" s="95"/>
      <c r="AD341" s="95"/>
    </row>
    <row r="342" spans="1:30" ht="14.4">
      <c r="C342" s="114" t="s">
        <v>76</v>
      </c>
      <c r="D342" s="114" t="s">
        <v>77</v>
      </c>
      <c r="E342" s="115" t="s">
        <v>73</v>
      </c>
      <c r="F342" s="119"/>
      <c r="G342" s="117">
        <f>1-CaseData!$G$11</f>
        <v>0.95</v>
      </c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95"/>
      <c r="AA342" s="95"/>
      <c r="AB342" s="95"/>
      <c r="AC342" s="95"/>
      <c r="AD342" s="95"/>
    </row>
    <row r="343" spans="1:30">
      <c r="A343" s="95"/>
      <c r="B343" s="118">
        <f>B339</f>
        <v>1</v>
      </c>
      <c r="C343">
        <f>$F$11</f>
        <v>2022</v>
      </c>
      <c r="D343" s="95" cm="1">
        <f t="array" ref="D343">INDEX($F$14:$AD$16,$B343,MATCH($C343,$F$11:$AD$11,0))*$G$342</f>
        <v>2587800</v>
      </c>
      <c r="E343" s="95"/>
      <c r="F343" s="95" cm="1">
        <f t="array" ref="F343">IF($C343&gt;F$11,0,INDEX($F$341:$AD$341,F$11-$C343+1))*$D343</f>
        <v>862600</v>
      </c>
      <c r="G343" s="95" cm="1">
        <f t="array" ref="G343">IF($C343&gt;G$11,0,INDEX($F$341:$AD$341,G$11-$C343+1))*$D343</f>
        <v>690080</v>
      </c>
      <c r="H343" s="95" cm="1">
        <f t="array" ref="H343">IF($C343&gt;H$11,0,INDEX($F$341:$AD$341,H$11-$C343+1))*$D343</f>
        <v>517560</v>
      </c>
      <c r="I343" s="95" cm="1">
        <f t="array" ref="I343">IF($C343&gt;I$11,0,INDEX($F$341:$AD$341,I$11-$C343+1))*$D343</f>
        <v>345040</v>
      </c>
      <c r="J343" s="95" cm="1">
        <f t="array" ref="J343">IF($C343&gt;J$11,0,INDEX($F$341:$AD$341,J$11-$C343+1))*$D343</f>
        <v>172520</v>
      </c>
      <c r="K343" s="95" cm="1">
        <f t="array" ref="K343">IF($C343&gt;K$11,0,INDEX($F$341:$AD$341,K$11-$C343+1))*$D343</f>
        <v>0</v>
      </c>
      <c r="L343" s="95" cm="1">
        <f t="array" ref="L343">IF($C343&gt;L$11,0,INDEX($F$341:$AD$341,L$11-$C343+1))*$D343</f>
        <v>0</v>
      </c>
      <c r="M343" s="95" cm="1">
        <f t="array" ref="M343">IF($C343&gt;M$11,0,INDEX($F$341:$AD$341,M$11-$C343+1))*$D343</f>
        <v>0</v>
      </c>
      <c r="N343" s="95" cm="1">
        <f t="array" ref="N343">IF($C343&gt;N$11,0,INDEX($F$341:$AD$341,N$11-$C343+1))*$D343</f>
        <v>0</v>
      </c>
      <c r="O343" s="95" cm="1">
        <f t="array" ref="O343">IF($C343&gt;O$11,0,INDEX($F$341:$AD$341,O$11-$C343+1))*$D343</f>
        <v>0</v>
      </c>
      <c r="P343" s="95" cm="1">
        <f t="array" ref="P343">IF($C343&gt;P$11,0,INDEX($F$341:$AD$341,P$11-$C343+1))*$D343</f>
        <v>0</v>
      </c>
      <c r="Q343" s="95" cm="1">
        <f t="array" ref="Q343">IF($C343&gt;Q$11,0,INDEX($F$341:$AD$341,Q$11-$C343+1))*$D343</f>
        <v>0</v>
      </c>
      <c r="R343" s="95" cm="1">
        <f t="array" ref="R343">IF($C343&gt;R$11,0,INDEX($F$341:$AD$341,R$11-$C343+1))*$D343</f>
        <v>0</v>
      </c>
      <c r="S343" s="95" cm="1">
        <f t="array" ref="S343">IF($C343&gt;S$11,0,INDEX($F$341:$AD$341,S$11-$C343+1))*$D343</f>
        <v>0</v>
      </c>
      <c r="T343" s="95" cm="1">
        <f t="array" ref="T343">IF($C343&gt;T$11,0,INDEX($F$341:$AD$341,T$11-$C343+1))*$D343</f>
        <v>0</v>
      </c>
      <c r="U343" s="95" cm="1">
        <f t="array" ref="U343">IF($C343&gt;U$11,0,INDEX($F$341:$AD$341,U$11-$C343+1))*$D343</f>
        <v>0</v>
      </c>
      <c r="V343" s="95" cm="1">
        <f t="array" ref="V343">IF($C343&gt;V$11,0,INDEX($F$341:$AD$341,V$11-$C343+1))*$D343</f>
        <v>0</v>
      </c>
      <c r="W343" s="95" cm="1">
        <f t="array" ref="W343">IF($C343&gt;W$11,0,INDEX($F$341:$AD$341,W$11-$C343+1))*$D343</f>
        <v>0</v>
      </c>
      <c r="X343" s="95" cm="1">
        <f t="array" ref="X343">IF($C343&gt;X$11,0,INDEX($F$341:$AD$341,X$11-$C343+1))*$D343</f>
        <v>0</v>
      </c>
      <c r="Y343" s="95" cm="1">
        <f t="array" ref="Y343">IF($C343&gt;Y$11,0,INDEX($F$341:$AD$341,Y$11-$C343+1))*$D343</f>
        <v>0</v>
      </c>
      <c r="Z343" s="95" cm="1">
        <f t="array" ref="Z343">IF($C343&gt;Z$11,0,INDEX($F$341:$AD$341,Z$11-$C343+1))*$D343</f>
        <v>0</v>
      </c>
      <c r="AA343" s="95" cm="1">
        <f t="array" ref="AA343">IF($C343&gt;AA$11,0,INDEX($F$341:$AD$341,AA$11-$C343+1))*$D343</f>
        <v>0</v>
      </c>
      <c r="AB343" s="95" cm="1">
        <f t="array" ref="AB343">IF($C343&gt;AB$11,0,INDEX($F$341:$AD$341,AB$11-$C343+1))*$D343</f>
        <v>0</v>
      </c>
      <c r="AC343" s="95" cm="1">
        <f t="array" ref="AC343">IF($C343&gt;AC$11,0,INDEX($F$341:$AD$341,AC$11-$C343+1))*$D343</f>
        <v>0</v>
      </c>
      <c r="AD343" s="95" cm="1">
        <f t="array" ref="AD343">IF($C343&gt;AD$11,0,INDEX($F$341:$AD$341,AD$11-$C343+1))*$D343</f>
        <v>0</v>
      </c>
    </row>
    <row r="344" spans="1:30">
      <c r="A344" s="95"/>
      <c r="B344" s="118">
        <f>B343</f>
        <v>1</v>
      </c>
      <c r="C344">
        <f>C343+1</f>
        <v>2023</v>
      </c>
      <c r="D344" s="95" cm="1">
        <f t="array" ref="D344">INDEX($F$14:$AD$16,$B344,MATCH($C344,$F$11:$AD$11,0))*$G$342</f>
        <v>290700</v>
      </c>
      <c r="E344" s="95"/>
      <c r="F344" s="95" cm="1">
        <f t="array" ref="F344">IF($C344&gt;F$11,0,INDEX($F$341:$AD$341,F$11-$C344+1))*$D344</f>
        <v>0</v>
      </c>
      <c r="G344" s="95" cm="1">
        <f t="array" ref="G344">IF($C344&gt;G$11,0,INDEX($F$341:$AD$341,G$11-$C344+1))*$D344</f>
        <v>96900</v>
      </c>
      <c r="H344" s="95" cm="1">
        <f t="array" ref="H344">IF($C344&gt;H$11,0,INDEX($F$341:$AD$341,H$11-$C344+1))*$D344</f>
        <v>77520</v>
      </c>
      <c r="I344" s="95" cm="1">
        <f t="array" ref="I344">IF($C344&gt;I$11,0,INDEX($F$341:$AD$341,I$11-$C344+1))*$D344</f>
        <v>58140</v>
      </c>
      <c r="J344" s="95" cm="1">
        <f t="array" ref="J344">IF($C344&gt;J$11,0,INDEX($F$341:$AD$341,J$11-$C344+1))*$D344</f>
        <v>38760</v>
      </c>
      <c r="K344" s="95" cm="1">
        <f t="array" ref="K344">IF($C344&gt;K$11,0,INDEX($F$341:$AD$341,K$11-$C344+1))*$D344</f>
        <v>19380</v>
      </c>
      <c r="L344" s="95" cm="1">
        <f t="array" ref="L344">IF($C344&gt;L$11,0,INDEX($F$341:$AD$341,L$11-$C344+1))*$D344</f>
        <v>0</v>
      </c>
      <c r="M344" s="95" cm="1">
        <f t="array" ref="M344">IF($C344&gt;M$11,0,INDEX($F$341:$AD$341,M$11-$C344+1))*$D344</f>
        <v>0</v>
      </c>
      <c r="N344" s="95" cm="1">
        <f t="array" ref="N344">IF($C344&gt;N$11,0,INDEX($F$341:$AD$341,N$11-$C344+1))*$D344</f>
        <v>0</v>
      </c>
      <c r="O344" s="95" cm="1">
        <f t="array" ref="O344">IF($C344&gt;O$11,0,INDEX($F$341:$AD$341,O$11-$C344+1))*$D344</f>
        <v>0</v>
      </c>
      <c r="P344" s="95" cm="1">
        <f t="array" ref="P344">IF($C344&gt;P$11,0,INDEX($F$341:$AD$341,P$11-$C344+1))*$D344</f>
        <v>0</v>
      </c>
      <c r="Q344" s="95" cm="1">
        <f t="array" ref="Q344">IF($C344&gt;Q$11,0,INDEX($F$341:$AD$341,Q$11-$C344+1))*$D344</f>
        <v>0</v>
      </c>
      <c r="R344" s="95" cm="1">
        <f t="array" ref="R344">IF($C344&gt;R$11,0,INDEX($F$341:$AD$341,R$11-$C344+1))*$D344</f>
        <v>0</v>
      </c>
      <c r="S344" s="95" cm="1">
        <f t="array" ref="S344">IF($C344&gt;S$11,0,INDEX($F$341:$AD$341,S$11-$C344+1))*$D344</f>
        <v>0</v>
      </c>
      <c r="T344" s="95" cm="1">
        <f t="array" ref="T344">IF($C344&gt;T$11,0,INDEX($F$341:$AD$341,T$11-$C344+1))*$D344</f>
        <v>0</v>
      </c>
      <c r="U344" s="95" cm="1">
        <f t="array" ref="U344">IF($C344&gt;U$11,0,INDEX($F$341:$AD$341,U$11-$C344+1))*$D344</f>
        <v>0</v>
      </c>
      <c r="V344" s="95" cm="1">
        <f t="array" ref="V344">IF($C344&gt;V$11,0,INDEX($F$341:$AD$341,V$11-$C344+1))*$D344</f>
        <v>0</v>
      </c>
      <c r="W344" s="95" cm="1">
        <f t="array" ref="W344">IF($C344&gt;W$11,0,INDEX($F$341:$AD$341,W$11-$C344+1))*$D344</f>
        <v>0</v>
      </c>
      <c r="X344" s="95" cm="1">
        <f t="array" ref="X344">IF($C344&gt;X$11,0,INDEX($F$341:$AD$341,X$11-$C344+1))*$D344</f>
        <v>0</v>
      </c>
      <c r="Y344" s="95" cm="1">
        <f t="array" ref="Y344">IF($C344&gt;Y$11,0,INDEX($F$341:$AD$341,Y$11-$C344+1))*$D344</f>
        <v>0</v>
      </c>
      <c r="Z344" s="95" cm="1">
        <f t="array" ref="Z344">IF($C344&gt;Z$11,0,INDEX($F$341:$AD$341,Z$11-$C344+1))*$D344</f>
        <v>0</v>
      </c>
      <c r="AA344" s="95" cm="1">
        <f t="array" ref="AA344">IF($C344&gt;AA$11,0,INDEX($F$341:$AD$341,AA$11-$C344+1))*$D344</f>
        <v>0</v>
      </c>
      <c r="AB344" s="95" cm="1">
        <f t="array" ref="AB344">IF($C344&gt;AB$11,0,INDEX($F$341:$AD$341,AB$11-$C344+1))*$D344</f>
        <v>0</v>
      </c>
      <c r="AC344" s="95" cm="1">
        <f t="array" ref="AC344">IF($C344&gt;AC$11,0,INDEX($F$341:$AD$341,AC$11-$C344+1))*$D344</f>
        <v>0</v>
      </c>
      <c r="AD344" s="95" cm="1">
        <f t="array" ref="AD344">IF($C344&gt;AD$11,0,INDEX($F$341:$AD$341,AD$11-$C344+1))*$D344</f>
        <v>0</v>
      </c>
    </row>
    <row r="345" spans="1:30">
      <c r="A345" s="95"/>
      <c r="B345" s="118">
        <f t="shared" ref="B345:B367" si="94">B344</f>
        <v>1</v>
      </c>
      <c r="C345">
        <f t="shared" ref="C345:C367" si="95">C344+1</f>
        <v>2024</v>
      </c>
      <c r="D345" s="95" cm="1">
        <f t="array" ref="D345">INDEX($F$14:$AD$16,$B345,MATCH($C345,$F$11:$AD$11,0))*$G$342</f>
        <v>887775</v>
      </c>
      <c r="E345" s="95"/>
      <c r="F345" s="95" cm="1">
        <f t="array" ref="F345">IF($C345&gt;F$11,0,INDEX($F$341:$AD$341,F$11-$C345+1))*$D345</f>
        <v>0</v>
      </c>
      <c r="G345" s="95" cm="1">
        <f t="array" ref="G345">IF($C345&gt;G$11,0,INDEX($F$341:$AD$341,G$11-$C345+1))*$D345</f>
        <v>0</v>
      </c>
      <c r="H345" s="95" cm="1">
        <f t="array" ref="H345">IF($C345&gt;H$11,0,INDEX($F$341:$AD$341,H$11-$C345+1))*$D345</f>
        <v>295925</v>
      </c>
      <c r="I345" s="95" cm="1">
        <f t="array" ref="I345">IF($C345&gt;I$11,0,INDEX($F$341:$AD$341,I$11-$C345+1))*$D345</f>
        <v>236740</v>
      </c>
      <c r="J345" s="95" cm="1">
        <f t="array" ref="J345">IF($C345&gt;J$11,0,INDEX($F$341:$AD$341,J$11-$C345+1))*$D345</f>
        <v>177555</v>
      </c>
      <c r="K345" s="95" cm="1">
        <f t="array" ref="K345">IF($C345&gt;K$11,0,INDEX($F$341:$AD$341,K$11-$C345+1))*$D345</f>
        <v>118370</v>
      </c>
      <c r="L345" s="95" cm="1">
        <f t="array" ref="L345">IF($C345&gt;L$11,0,INDEX($F$341:$AD$341,L$11-$C345+1))*$D345</f>
        <v>59185</v>
      </c>
      <c r="M345" s="95" cm="1">
        <f t="array" ref="M345">IF($C345&gt;M$11,0,INDEX($F$341:$AD$341,M$11-$C345+1))*$D345</f>
        <v>0</v>
      </c>
      <c r="N345" s="95" cm="1">
        <f t="array" ref="N345">IF($C345&gt;N$11,0,INDEX($F$341:$AD$341,N$11-$C345+1))*$D345</f>
        <v>0</v>
      </c>
      <c r="O345" s="95" cm="1">
        <f t="array" ref="O345">IF($C345&gt;O$11,0,INDEX($F$341:$AD$341,O$11-$C345+1))*$D345</f>
        <v>0</v>
      </c>
      <c r="P345" s="95" cm="1">
        <f t="array" ref="P345">IF($C345&gt;P$11,0,INDEX($F$341:$AD$341,P$11-$C345+1))*$D345</f>
        <v>0</v>
      </c>
      <c r="Q345" s="95" cm="1">
        <f t="array" ref="Q345">IF($C345&gt;Q$11,0,INDEX($F$341:$AD$341,Q$11-$C345+1))*$D345</f>
        <v>0</v>
      </c>
      <c r="R345" s="95" cm="1">
        <f t="array" ref="R345">IF($C345&gt;R$11,0,INDEX($F$341:$AD$341,R$11-$C345+1))*$D345</f>
        <v>0</v>
      </c>
      <c r="S345" s="95" cm="1">
        <f t="array" ref="S345">IF($C345&gt;S$11,0,INDEX($F$341:$AD$341,S$11-$C345+1))*$D345</f>
        <v>0</v>
      </c>
      <c r="T345" s="95" cm="1">
        <f t="array" ref="T345">IF($C345&gt;T$11,0,INDEX($F$341:$AD$341,T$11-$C345+1))*$D345</f>
        <v>0</v>
      </c>
      <c r="U345" s="95" cm="1">
        <f t="array" ref="U345">IF($C345&gt;U$11,0,INDEX($F$341:$AD$341,U$11-$C345+1))*$D345</f>
        <v>0</v>
      </c>
      <c r="V345" s="95" cm="1">
        <f t="array" ref="V345">IF($C345&gt;V$11,0,INDEX($F$341:$AD$341,V$11-$C345+1))*$D345</f>
        <v>0</v>
      </c>
      <c r="W345" s="95" cm="1">
        <f t="array" ref="W345">IF($C345&gt;W$11,0,INDEX($F$341:$AD$341,W$11-$C345+1))*$D345</f>
        <v>0</v>
      </c>
      <c r="X345" s="95" cm="1">
        <f t="array" ref="X345">IF($C345&gt;X$11,0,INDEX($F$341:$AD$341,X$11-$C345+1))*$D345</f>
        <v>0</v>
      </c>
      <c r="Y345" s="95" cm="1">
        <f t="array" ref="Y345">IF($C345&gt;Y$11,0,INDEX($F$341:$AD$341,Y$11-$C345+1))*$D345</f>
        <v>0</v>
      </c>
      <c r="Z345" s="95" cm="1">
        <f t="array" ref="Z345">IF($C345&gt;Z$11,0,INDEX($F$341:$AD$341,Z$11-$C345+1))*$D345</f>
        <v>0</v>
      </c>
      <c r="AA345" s="95" cm="1">
        <f t="array" ref="AA345">IF($C345&gt;AA$11,0,INDEX($F$341:$AD$341,AA$11-$C345+1))*$D345</f>
        <v>0</v>
      </c>
      <c r="AB345" s="95" cm="1">
        <f t="array" ref="AB345">IF($C345&gt;AB$11,0,INDEX($F$341:$AD$341,AB$11-$C345+1))*$D345</f>
        <v>0</v>
      </c>
      <c r="AC345" s="95" cm="1">
        <f t="array" ref="AC345">IF($C345&gt;AC$11,0,INDEX($F$341:$AD$341,AC$11-$C345+1))*$D345</f>
        <v>0</v>
      </c>
      <c r="AD345" s="95" cm="1">
        <f t="array" ref="AD345">IF($C345&gt;AD$11,0,INDEX($F$341:$AD$341,AD$11-$C345+1))*$D345</f>
        <v>0</v>
      </c>
    </row>
    <row r="346" spans="1:30">
      <c r="A346" s="95"/>
      <c r="B346" s="118">
        <f t="shared" si="94"/>
        <v>1</v>
      </c>
      <c r="C346">
        <f t="shared" si="95"/>
        <v>2025</v>
      </c>
      <c r="D346" s="95" cm="1">
        <f t="array" ref="D346">INDEX($F$14:$AD$16,$B346,MATCH($C346,$F$11:$AD$11,0))*$G$342</f>
        <v>2408250</v>
      </c>
      <c r="E346" s="95"/>
      <c r="F346" s="95" cm="1">
        <f t="array" ref="F346">IF($C346&gt;F$11,0,INDEX($F$341:$AD$341,F$11-$C346+1))*$D346</f>
        <v>0</v>
      </c>
      <c r="G346" s="95" cm="1">
        <f t="array" ref="G346">IF($C346&gt;G$11,0,INDEX($F$341:$AD$341,G$11-$C346+1))*$D346</f>
        <v>0</v>
      </c>
      <c r="H346" s="95" cm="1">
        <f t="array" ref="H346">IF($C346&gt;H$11,0,INDEX($F$341:$AD$341,H$11-$C346+1))*$D346</f>
        <v>0</v>
      </c>
      <c r="I346" s="95" cm="1">
        <f t="array" ref="I346">IF($C346&gt;I$11,0,INDEX($F$341:$AD$341,I$11-$C346+1))*$D346</f>
        <v>802750</v>
      </c>
      <c r="J346" s="95" cm="1">
        <f t="array" ref="J346">IF($C346&gt;J$11,0,INDEX($F$341:$AD$341,J$11-$C346+1))*$D346</f>
        <v>642200</v>
      </c>
      <c r="K346" s="95" cm="1">
        <f t="array" ref="K346">IF($C346&gt;K$11,0,INDEX($F$341:$AD$341,K$11-$C346+1))*$D346</f>
        <v>481650</v>
      </c>
      <c r="L346" s="95" cm="1">
        <f t="array" ref="L346">IF($C346&gt;L$11,0,INDEX($F$341:$AD$341,L$11-$C346+1))*$D346</f>
        <v>321100</v>
      </c>
      <c r="M346" s="95" cm="1">
        <f t="array" ref="M346">IF($C346&gt;M$11,0,INDEX($F$341:$AD$341,M$11-$C346+1))*$D346</f>
        <v>160550</v>
      </c>
      <c r="N346" s="95" cm="1">
        <f t="array" ref="N346">IF($C346&gt;N$11,0,INDEX($F$341:$AD$341,N$11-$C346+1))*$D346</f>
        <v>0</v>
      </c>
      <c r="O346" s="95" cm="1">
        <f t="array" ref="O346">IF($C346&gt;O$11,0,INDEX($F$341:$AD$341,O$11-$C346+1))*$D346</f>
        <v>0</v>
      </c>
      <c r="P346" s="95" cm="1">
        <f t="array" ref="P346">IF($C346&gt;P$11,0,INDEX($F$341:$AD$341,P$11-$C346+1))*$D346</f>
        <v>0</v>
      </c>
      <c r="Q346" s="95" cm="1">
        <f t="array" ref="Q346">IF($C346&gt;Q$11,0,INDEX($F$341:$AD$341,Q$11-$C346+1))*$D346</f>
        <v>0</v>
      </c>
      <c r="R346" s="95" cm="1">
        <f t="array" ref="R346">IF($C346&gt;R$11,0,INDEX($F$341:$AD$341,R$11-$C346+1))*$D346</f>
        <v>0</v>
      </c>
      <c r="S346" s="95" cm="1">
        <f t="array" ref="S346">IF($C346&gt;S$11,0,INDEX($F$341:$AD$341,S$11-$C346+1))*$D346</f>
        <v>0</v>
      </c>
      <c r="T346" s="95" cm="1">
        <f t="array" ref="T346">IF($C346&gt;T$11,0,INDEX($F$341:$AD$341,T$11-$C346+1))*$D346</f>
        <v>0</v>
      </c>
      <c r="U346" s="95" cm="1">
        <f t="array" ref="U346">IF($C346&gt;U$11,0,INDEX($F$341:$AD$341,U$11-$C346+1))*$D346</f>
        <v>0</v>
      </c>
      <c r="V346" s="95" cm="1">
        <f t="array" ref="V346">IF($C346&gt;V$11,0,INDEX($F$341:$AD$341,V$11-$C346+1))*$D346</f>
        <v>0</v>
      </c>
      <c r="W346" s="95" cm="1">
        <f t="array" ref="W346">IF($C346&gt;W$11,0,INDEX($F$341:$AD$341,W$11-$C346+1))*$D346</f>
        <v>0</v>
      </c>
      <c r="X346" s="95" cm="1">
        <f t="array" ref="X346">IF($C346&gt;X$11,0,INDEX($F$341:$AD$341,X$11-$C346+1))*$D346</f>
        <v>0</v>
      </c>
      <c r="Y346" s="95" cm="1">
        <f t="array" ref="Y346">IF($C346&gt;Y$11,0,INDEX($F$341:$AD$341,Y$11-$C346+1))*$D346</f>
        <v>0</v>
      </c>
      <c r="Z346" s="95" cm="1">
        <f t="array" ref="Z346">IF($C346&gt;Z$11,0,INDEX($F$341:$AD$341,Z$11-$C346+1))*$D346</f>
        <v>0</v>
      </c>
      <c r="AA346" s="95" cm="1">
        <f t="array" ref="AA346">IF($C346&gt;AA$11,0,INDEX($F$341:$AD$341,AA$11-$C346+1))*$D346</f>
        <v>0</v>
      </c>
      <c r="AB346" s="95" cm="1">
        <f t="array" ref="AB346">IF($C346&gt;AB$11,0,INDEX($F$341:$AD$341,AB$11-$C346+1))*$D346</f>
        <v>0</v>
      </c>
      <c r="AC346" s="95" cm="1">
        <f t="array" ref="AC346">IF($C346&gt;AC$11,0,INDEX($F$341:$AD$341,AC$11-$C346+1))*$D346</f>
        <v>0</v>
      </c>
      <c r="AD346" s="95" cm="1">
        <f t="array" ref="AD346">IF($C346&gt;AD$11,0,INDEX($F$341:$AD$341,AD$11-$C346+1))*$D346</f>
        <v>0</v>
      </c>
    </row>
    <row r="347" spans="1:30">
      <c r="A347" s="95"/>
      <c r="B347" s="118">
        <f t="shared" si="94"/>
        <v>1</v>
      </c>
      <c r="C347">
        <f t="shared" si="95"/>
        <v>2026</v>
      </c>
      <c r="D347" s="95" cm="1">
        <f t="array" ref="D347">INDEX($F$14:$AD$16,$B347,MATCH($C347,$F$11:$AD$11,0))*$G$342</f>
        <v>1209825</v>
      </c>
      <c r="E347" s="95"/>
      <c r="F347" s="95" cm="1">
        <f t="array" ref="F347">IF($C347&gt;F$11,0,INDEX($F$341:$AD$341,F$11-$C347+1))*$D347</f>
        <v>0</v>
      </c>
      <c r="G347" s="95" cm="1">
        <f t="array" ref="G347">IF($C347&gt;G$11,0,INDEX($F$341:$AD$341,G$11-$C347+1))*$D347</f>
        <v>0</v>
      </c>
      <c r="H347" s="95" cm="1">
        <f t="array" ref="H347">IF($C347&gt;H$11,0,INDEX($F$341:$AD$341,H$11-$C347+1))*$D347</f>
        <v>0</v>
      </c>
      <c r="I347" s="95" cm="1">
        <f t="array" ref="I347">IF($C347&gt;I$11,0,INDEX($F$341:$AD$341,I$11-$C347+1))*$D347</f>
        <v>0</v>
      </c>
      <c r="J347" s="95" cm="1">
        <f t="array" ref="J347">IF($C347&gt;J$11,0,INDEX($F$341:$AD$341,J$11-$C347+1))*$D347</f>
        <v>403275</v>
      </c>
      <c r="K347" s="95" cm="1">
        <f t="array" ref="K347">IF($C347&gt;K$11,0,INDEX($F$341:$AD$341,K$11-$C347+1))*$D347</f>
        <v>322620</v>
      </c>
      <c r="L347" s="95" cm="1">
        <f t="array" ref="L347">IF($C347&gt;L$11,0,INDEX($F$341:$AD$341,L$11-$C347+1))*$D347</f>
        <v>241965</v>
      </c>
      <c r="M347" s="95" cm="1">
        <f t="array" ref="M347">IF($C347&gt;M$11,0,INDEX($F$341:$AD$341,M$11-$C347+1))*$D347</f>
        <v>161310</v>
      </c>
      <c r="N347" s="95" cm="1">
        <f t="array" ref="N347">IF($C347&gt;N$11,0,INDEX($F$341:$AD$341,N$11-$C347+1))*$D347</f>
        <v>80655</v>
      </c>
      <c r="O347" s="95" cm="1">
        <f t="array" ref="O347">IF($C347&gt;O$11,0,INDEX($F$341:$AD$341,O$11-$C347+1))*$D347</f>
        <v>0</v>
      </c>
      <c r="P347" s="95" cm="1">
        <f t="array" ref="P347">IF($C347&gt;P$11,0,INDEX($F$341:$AD$341,P$11-$C347+1))*$D347</f>
        <v>0</v>
      </c>
      <c r="Q347" s="95" cm="1">
        <f t="array" ref="Q347">IF($C347&gt;Q$11,0,INDEX($F$341:$AD$341,Q$11-$C347+1))*$D347</f>
        <v>0</v>
      </c>
      <c r="R347" s="95" cm="1">
        <f t="array" ref="R347">IF($C347&gt;R$11,0,INDEX($F$341:$AD$341,R$11-$C347+1))*$D347</f>
        <v>0</v>
      </c>
      <c r="S347" s="95" cm="1">
        <f t="array" ref="S347">IF($C347&gt;S$11,0,INDEX($F$341:$AD$341,S$11-$C347+1))*$D347</f>
        <v>0</v>
      </c>
      <c r="T347" s="95" cm="1">
        <f t="array" ref="T347">IF($C347&gt;T$11,0,INDEX($F$341:$AD$341,T$11-$C347+1))*$D347</f>
        <v>0</v>
      </c>
      <c r="U347" s="95" cm="1">
        <f t="array" ref="U347">IF($C347&gt;U$11,0,INDEX($F$341:$AD$341,U$11-$C347+1))*$D347</f>
        <v>0</v>
      </c>
      <c r="V347" s="95" cm="1">
        <f t="array" ref="V347">IF($C347&gt;V$11,0,INDEX($F$341:$AD$341,V$11-$C347+1))*$D347</f>
        <v>0</v>
      </c>
      <c r="W347" s="95" cm="1">
        <f t="array" ref="W347">IF($C347&gt;W$11,0,INDEX($F$341:$AD$341,W$11-$C347+1))*$D347</f>
        <v>0</v>
      </c>
      <c r="X347" s="95" cm="1">
        <f t="array" ref="X347">IF($C347&gt;X$11,0,INDEX($F$341:$AD$341,X$11-$C347+1))*$D347</f>
        <v>0</v>
      </c>
      <c r="Y347" s="95" cm="1">
        <f t="array" ref="Y347">IF($C347&gt;Y$11,0,INDEX($F$341:$AD$341,Y$11-$C347+1))*$D347</f>
        <v>0</v>
      </c>
      <c r="Z347" s="95" cm="1">
        <f t="array" ref="Z347">IF($C347&gt;Z$11,0,INDEX($F$341:$AD$341,Z$11-$C347+1))*$D347</f>
        <v>0</v>
      </c>
      <c r="AA347" s="95" cm="1">
        <f t="array" ref="AA347">IF($C347&gt;AA$11,0,INDEX($F$341:$AD$341,AA$11-$C347+1))*$D347</f>
        <v>0</v>
      </c>
      <c r="AB347" s="95" cm="1">
        <f t="array" ref="AB347">IF($C347&gt;AB$11,0,INDEX($F$341:$AD$341,AB$11-$C347+1))*$D347</f>
        <v>0</v>
      </c>
      <c r="AC347" s="95" cm="1">
        <f t="array" ref="AC347">IF($C347&gt;AC$11,0,INDEX($F$341:$AD$341,AC$11-$C347+1))*$D347</f>
        <v>0</v>
      </c>
      <c r="AD347" s="95" cm="1">
        <f t="array" ref="AD347">IF($C347&gt;AD$11,0,INDEX($F$341:$AD$341,AD$11-$C347+1))*$D347</f>
        <v>0</v>
      </c>
    </row>
    <row r="348" spans="1:30">
      <c r="A348" s="95"/>
      <c r="B348" s="118">
        <f t="shared" si="94"/>
        <v>1</v>
      </c>
      <c r="C348">
        <f t="shared" si="95"/>
        <v>2027</v>
      </c>
      <c r="D348" s="95" cm="1">
        <f t="array" ref="D348">INDEX($F$14:$AD$16,$B348,MATCH($C348,$F$11:$AD$11,0))*$G$342</f>
        <v>1654425</v>
      </c>
      <c r="E348" s="95"/>
      <c r="F348" s="95" cm="1">
        <f t="array" ref="F348">IF($C348&gt;F$11,0,INDEX($F$341:$AD$341,F$11-$C348+1))*$D348</f>
        <v>0</v>
      </c>
      <c r="G348" s="95" cm="1">
        <f t="array" ref="G348">IF($C348&gt;G$11,0,INDEX($F$341:$AD$341,G$11-$C348+1))*$D348</f>
        <v>0</v>
      </c>
      <c r="H348" s="95" cm="1">
        <f t="array" ref="H348">IF($C348&gt;H$11,0,INDEX($F$341:$AD$341,H$11-$C348+1))*$D348</f>
        <v>0</v>
      </c>
      <c r="I348" s="95" cm="1">
        <f t="array" ref="I348">IF($C348&gt;I$11,0,INDEX($F$341:$AD$341,I$11-$C348+1))*$D348</f>
        <v>0</v>
      </c>
      <c r="J348" s="95" cm="1">
        <f t="array" ref="J348">IF($C348&gt;J$11,0,INDEX($F$341:$AD$341,J$11-$C348+1))*$D348</f>
        <v>0</v>
      </c>
      <c r="K348" s="95" cm="1">
        <f t="array" ref="K348">IF($C348&gt;K$11,0,INDEX($F$341:$AD$341,K$11-$C348+1))*$D348</f>
        <v>551475</v>
      </c>
      <c r="L348" s="95" cm="1">
        <f t="array" ref="L348">IF($C348&gt;L$11,0,INDEX($F$341:$AD$341,L$11-$C348+1))*$D348</f>
        <v>441180</v>
      </c>
      <c r="M348" s="95" cm="1">
        <f t="array" ref="M348">IF($C348&gt;M$11,0,INDEX($F$341:$AD$341,M$11-$C348+1))*$D348</f>
        <v>330885</v>
      </c>
      <c r="N348" s="95" cm="1">
        <f t="array" ref="N348">IF($C348&gt;N$11,0,INDEX($F$341:$AD$341,N$11-$C348+1))*$D348</f>
        <v>220590</v>
      </c>
      <c r="O348" s="95" cm="1">
        <f t="array" ref="O348">IF($C348&gt;O$11,0,INDEX($F$341:$AD$341,O$11-$C348+1))*$D348</f>
        <v>110295</v>
      </c>
      <c r="P348" s="95" cm="1">
        <f t="array" ref="P348">IF($C348&gt;P$11,0,INDEX($F$341:$AD$341,P$11-$C348+1))*$D348</f>
        <v>0</v>
      </c>
      <c r="Q348" s="95" cm="1">
        <f t="array" ref="Q348">IF($C348&gt;Q$11,0,INDEX($F$341:$AD$341,Q$11-$C348+1))*$D348</f>
        <v>0</v>
      </c>
      <c r="R348" s="95" cm="1">
        <f t="array" ref="R348">IF($C348&gt;R$11,0,INDEX($F$341:$AD$341,R$11-$C348+1))*$D348</f>
        <v>0</v>
      </c>
      <c r="S348" s="95" cm="1">
        <f t="array" ref="S348">IF($C348&gt;S$11,0,INDEX($F$341:$AD$341,S$11-$C348+1))*$D348</f>
        <v>0</v>
      </c>
      <c r="T348" s="95" cm="1">
        <f t="array" ref="T348">IF($C348&gt;T$11,0,INDEX($F$341:$AD$341,T$11-$C348+1))*$D348</f>
        <v>0</v>
      </c>
      <c r="U348" s="95" cm="1">
        <f t="array" ref="U348">IF($C348&gt;U$11,0,INDEX($F$341:$AD$341,U$11-$C348+1))*$D348</f>
        <v>0</v>
      </c>
      <c r="V348" s="95" cm="1">
        <f t="array" ref="V348">IF($C348&gt;V$11,0,INDEX($F$341:$AD$341,V$11-$C348+1))*$D348</f>
        <v>0</v>
      </c>
      <c r="W348" s="95" cm="1">
        <f t="array" ref="W348">IF($C348&gt;W$11,0,INDEX($F$341:$AD$341,W$11-$C348+1))*$D348</f>
        <v>0</v>
      </c>
      <c r="X348" s="95" cm="1">
        <f t="array" ref="X348">IF($C348&gt;X$11,0,INDEX($F$341:$AD$341,X$11-$C348+1))*$D348</f>
        <v>0</v>
      </c>
      <c r="Y348" s="95" cm="1">
        <f t="array" ref="Y348">IF($C348&gt;Y$11,0,INDEX($F$341:$AD$341,Y$11-$C348+1))*$D348</f>
        <v>0</v>
      </c>
      <c r="Z348" s="95" cm="1">
        <f t="array" ref="Z348">IF($C348&gt;Z$11,0,INDEX($F$341:$AD$341,Z$11-$C348+1))*$D348</f>
        <v>0</v>
      </c>
      <c r="AA348" s="95" cm="1">
        <f t="array" ref="AA348">IF($C348&gt;AA$11,0,INDEX($F$341:$AD$341,AA$11-$C348+1))*$D348</f>
        <v>0</v>
      </c>
      <c r="AB348" s="95" cm="1">
        <f t="array" ref="AB348">IF($C348&gt;AB$11,0,INDEX($F$341:$AD$341,AB$11-$C348+1))*$D348</f>
        <v>0</v>
      </c>
      <c r="AC348" s="95" cm="1">
        <f t="array" ref="AC348">IF($C348&gt;AC$11,0,INDEX($F$341:$AD$341,AC$11-$C348+1))*$D348</f>
        <v>0</v>
      </c>
      <c r="AD348" s="95" cm="1">
        <f t="array" ref="AD348">IF($C348&gt;AD$11,0,INDEX($F$341:$AD$341,AD$11-$C348+1))*$D348</f>
        <v>0</v>
      </c>
    </row>
    <row r="349" spans="1:30">
      <c r="A349" s="95"/>
      <c r="B349" s="118">
        <f t="shared" si="94"/>
        <v>1</v>
      </c>
      <c r="C349">
        <f t="shared" si="95"/>
        <v>2028</v>
      </c>
      <c r="D349" s="95" cm="1">
        <f t="array" ref="D349">INDEX($F$14:$AD$16,$B349,MATCH($C349,$F$11:$AD$11,0))*$G$342</f>
        <v>1158525</v>
      </c>
      <c r="E349" s="95"/>
      <c r="F349" s="95" cm="1">
        <f t="array" ref="F349">IF($C349&gt;F$11,0,INDEX($F$341:$AD$341,F$11-$C349+1))*$D349</f>
        <v>0</v>
      </c>
      <c r="G349" s="95" cm="1">
        <f t="array" ref="G349">IF($C349&gt;G$11,0,INDEX($F$341:$AD$341,G$11-$C349+1))*$D349</f>
        <v>0</v>
      </c>
      <c r="H349" s="95" cm="1">
        <f t="array" ref="H349">IF($C349&gt;H$11,0,INDEX($F$341:$AD$341,H$11-$C349+1))*$D349</f>
        <v>0</v>
      </c>
      <c r="I349" s="95" cm="1">
        <f t="array" ref="I349">IF($C349&gt;I$11,0,INDEX($F$341:$AD$341,I$11-$C349+1))*$D349</f>
        <v>0</v>
      </c>
      <c r="J349" s="95" cm="1">
        <f t="array" ref="J349">IF($C349&gt;J$11,0,INDEX($F$341:$AD$341,J$11-$C349+1))*$D349</f>
        <v>0</v>
      </c>
      <c r="K349" s="95" cm="1">
        <f t="array" ref="K349">IF($C349&gt;K$11,0,INDEX($F$341:$AD$341,K$11-$C349+1))*$D349</f>
        <v>0</v>
      </c>
      <c r="L349" s="95" cm="1">
        <f t="array" ref="L349">IF($C349&gt;L$11,0,INDEX($F$341:$AD$341,L$11-$C349+1))*$D349</f>
        <v>386175</v>
      </c>
      <c r="M349" s="95" cm="1">
        <f t="array" ref="M349">IF($C349&gt;M$11,0,INDEX($F$341:$AD$341,M$11-$C349+1))*$D349</f>
        <v>308940</v>
      </c>
      <c r="N349" s="95" cm="1">
        <f t="array" ref="N349">IF($C349&gt;N$11,0,INDEX($F$341:$AD$341,N$11-$C349+1))*$D349</f>
        <v>231705</v>
      </c>
      <c r="O349" s="95" cm="1">
        <f t="array" ref="O349">IF($C349&gt;O$11,0,INDEX($F$341:$AD$341,O$11-$C349+1))*$D349</f>
        <v>154470</v>
      </c>
      <c r="P349" s="95" cm="1">
        <f t="array" ref="P349">IF($C349&gt;P$11,0,INDEX($F$341:$AD$341,P$11-$C349+1))*$D349</f>
        <v>77235</v>
      </c>
      <c r="Q349" s="95" cm="1">
        <f t="array" ref="Q349">IF($C349&gt;Q$11,0,INDEX($F$341:$AD$341,Q$11-$C349+1))*$D349</f>
        <v>0</v>
      </c>
      <c r="R349" s="95" cm="1">
        <f t="array" ref="R349">IF($C349&gt;R$11,0,INDEX($F$341:$AD$341,R$11-$C349+1))*$D349</f>
        <v>0</v>
      </c>
      <c r="S349" s="95" cm="1">
        <f t="array" ref="S349">IF($C349&gt;S$11,0,INDEX($F$341:$AD$341,S$11-$C349+1))*$D349</f>
        <v>0</v>
      </c>
      <c r="T349" s="95" cm="1">
        <f t="array" ref="T349">IF($C349&gt;T$11,0,INDEX($F$341:$AD$341,T$11-$C349+1))*$D349</f>
        <v>0</v>
      </c>
      <c r="U349" s="95" cm="1">
        <f t="array" ref="U349">IF($C349&gt;U$11,0,INDEX($F$341:$AD$341,U$11-$C349+1))*$D349</f>
        <v>0</v>
      </c>
      <c r="V349" s="95" cm="1">
        <f t="array" ref="V349">IF($C349&gt;V$11,0,INDEX($F$341:$AD$341,V$11-$C349+1))*$D349</f>
        <v>0</v>
      </c>
      <c r="W349" s="95" cm="1">
        <f t="array" ref="W349">IF($C349&gt;W$11,0,INDEX($F$341:$AD$341,W$11-$C349+1))*$D349</f>
        <v>0</v>
      </c>
      <c r="X349" s="95" cm="1">
        <f t="array" ref="X349">IF($C349&gt;X$11,0,INDEX($F$341:$AD$341,X$11-$C349+1))*$D349</f>
        <v>0</v>
      </c>
      <c r="Y349" s="95" cm="1">
        <f t="array" ref="Y349">IF($C349&gt;Y$11,0,INDEX($F$341:$AD$341,Y$11-$C349+1))*$D349</f>
        <v>0</v>
      </c>
      <c r="Z349" s="95" cm="1">
        <f t="array" ref="Z349">IF($C349&gt;Z$11,0,INDEX($F$341:$AD$341,Z$11-$C349+1))*$D349</f>
        <v>0</v>
      </c>
      <c r="AA349" s="95" cm="1">
        <f t="array" ref="AA349">IF($C349&gt;AA$11,0,INDEX($F$341:$AD$341,AA$11-$C349+1))*$D349</f>
        <v>0</v>
      </c>
      <c r="AB349" s="95" cm="1">
        <f t="array" ref="AB349">IF($C349&gt;AB$11,0,INDEX($F$341:$AD$341,AB$11-$C349+1))*$D349</f>
        <v>0</v>
      </c>
      <c r="AC349" s="95" cm="1">
        <f t="array" ref="AC349">IF($C349&gt;AC$11,0,INDEX($F$341:$AD$341,AC$11-$C349+1))*$D349</f>
        <v>0</v>
      </c>
      <c r="AD349" s="95" cm="1">
        <f t="array" ref="AD349">IF($C349&gt;AD$11,0,INDEX($F$341:$AD$341,AD$11-$C349+1))*$D349</f>
        <v>0</v>
      </c>
    </row>
    <row r="350" spans="1:30">
      <c r="A350" s="95"/>
      <c r="B350" s="118">
        <f t="shared" si="94"/>
        <v>1</v>
      </c>
      <c r="C350">
        <f t="shared" si="95"/>
        <v>2029</v>
      </c>
      <c r="D350" s="95" cm="1">
        <f t="array" ref="D350">INDEX($F$14:$AD$16,$B350,MATCH($C350,$F$11:$AD$11,0))*$G$342</f>
        <v>275025</v>
      </c>
      <c r="E350" s="95"/>
      <c r="F350" s="95" cm="1">
        <f t="array" ref="F350">IF($C350&gt;F$11,0,INDEX($F$341:$AD$341,F$11-$C350+1))*$D350</f>
        <v>0</v>
      </c>
      <c r="G350" s="95" cm="1">
        <f t="array" ref="G350">IF($C350&gt;G$11,0,INDEX($F$341:$AD$341,G$11-$C350+1))*$D350</f>
        <v>0</v>
      </c>
      <c r="H350" s="95" cm="1">
        <f t="array" ref="H350">IF($C350&gt;H$11,0,INDEX($F$341:$AD$341,H$11-$C350+1))*$D350</f>
        <v>0</v>
      </c>
      <c r="I350" s="95" cm="1">
        <f t="array" ref="I350">IF($C350&gt;I$11,0,INDEX($F$341:$AD$341,I$11-$C350+1))*$D350</f>
        <v>0</v>
      </c>
      <c r="J350" s="95" cm="1">
        <f t="array" ref="J350">IF($C350&gt;J$11,0,INDEX($F$341:$AD$341,J$11-$C350+1))*$D350</f>
        <v>0</v>
      </c>
      <c r="K350" s="95" cm="1">
        <f t="array" ref="K350">IF($C350&gt;K$11,0,INDEX($F$341:$AD$341,K$11-$C350+1))*$D350</f>
        <v>0</v>
      </c>
      <c r="L350" s="95" cm="1">
        <f t="array" ref="L350">IF($C350&gt;L$11,0,INDEX($F$341:$AD$341,L$11-$C350+1))*$D350</f>
        <v>0</v>
      </c>
      <c r="M350" s="95" cm="1">
        <f t="array" ref="M350">IF($C350&gt;M$11,0,INDEX($F$341:$AD$341,M$11-$C350+1))*$D350</f>
        <v>91675</v>
      </c>
      <c r="N350" s="95" cm="1">
        <f t="array" ref="N350">IF($C350&gt;N$11,0,INDEX($F$341:$AD$341,N$11-$C350+1))*$D350</f>
        <v>73340</v>
      </c>
      <c r="O350" s="95" cm="1">
        <f t="array" ref="O350">IF($C350&gt;O$11,0,INDEX($F$341:$AD$341,O$11-$C350+1))*$D350</f>
        <v>55005</v>
      </c>
      <c r="P350" s="95" cm="1">
        <f t="array" ref="P350">IF($C350&gt;P$11,0,INDEX($F$341:$AD$341,P$11-$C350+1))*$D350</f>
        <v>36670</v>
      </c>
      <c r="Q350" s="95" cm="1">
        <f t="array" ref="Q350">IF($C350&gt;Q$11,0,INDEX($F$341:$AD$341,Q$11-$C350+1))*$D350</f>
        <v>18335</v>
      </c>
      <c r="R350" s="95" cm="1">
        <f t="array" ref="R350">IF($C350&gt;R$11,0,INDEX($F$341:$AD$341,R$11-$C350+1))*$D350</f>
        <v>0</v>
      </c>
      <c r="S350" s="95" cm="1">
        <f t="array" ref="S350">IF($C350&gt;S$11,0,INDEX($F$341:$AD$341,S$11-$C350+1))*$D350</f>
        <v>0</v>
      </c>
      <c r="T350" s="95" cm="1">
        <f t="array" ref="T350">IF($C350&gt;T$11,0,INDEX($F$341:$AD$341,T$11-$C350+1))*$D350</f>
        <v>0</v>
      </c>
      <c r="U350" s="95" cm="1">
        <f t="array" ref="U350">IF($C350&gt;U$11,0,INDEX($F$341:$AD$341,U$11-$C350+1))*$D350</f>
        <v>0</v>
      </c>
      <c r="V350" s="95" cm="1">
        <f t="array" ref="V350">IF($C350&gt;V$11,0,INDEX($F$341:$AD$341,V$11-$C350+1))*$D350</f>
        <v>0</v>
      </c>
      <c r="W350" s="95" cm="1">
        <f t="array" ref="W350">IF($C350&gt;W$11,0,INDEX($F$341:$AD$341,W$11-$C350+1))*$D350</f>
        <v>0</v>
      </c>
      <c r="X350" s="95" cm="1">
        <f t="array" ref="X350">IF($C350&gt;X$11,0,INDEX($F$341:$AD$341,X$11-$C350+1))*$D350</f>
        <v>0</v>
      </c>
      <c r="Y350" s="95" cm="1">
        <f t="array" ref="Y350">IF($C350&gt;Y$11,0,INDEX($F$341:$AD$341,Y$11-$C350+1))*$D350</f>
        <v>0</v>
      </c>
      <c r="Z350" s="95" cm="1">
        <f t="array" ref="Z350">IF($C350&gt;Z$11,0,INDEX($F$341:$AD$341,Z$11-$C350+1))*$D350</f>
        <v>0</v>
      </c>
      <c r="AA350" s="95" cm="1">
        <f t="array" ref="AA350">IF($C350&gt;AA$11,0,INDEX($F$341:$AD$341,AA$11-$C350+1))*$D350</f>
        <v>0</v>
      </c>
      <c r="AB350" s="95" cm="1">
        <f t="array" ref="AB350">IF($C350&gt;AB$11,0,INDEX($F$341:$AD$341,AB$11-$C350+1))*$D350</f>
        <v>0</v>
      </c>
      <c r="AC350" s="95" cm="1">
        <f t="array" ref="AC350">IF($C350&gt;AC$11,0,INDEX($F$341:$AD$341,AC$11-$C350+1))*$D350</f>
        <v>0</v>
      </c>
      <c r="AD350" s="95" cm="1">
        <f t="array" ref="AD350">IF($C350&gt;AD$11,0,INDEX($F$341:$AD$341,AD$11-$C350+1))*$D350</f>
        <v>0</v>
      </c>
    </row>
    <row r="351" spans="1:30">
      <c r="A351" s="95"/>
      <c r="B351" s="118">
        <f t="shared" si="94"/>
        <v>1</v>
      </c>
      <c r="C351">
        <f t="shared" si="95"/>
        <v>2030</v>
      </c>
      <c r="D351" s="95" cm="1">
        <f t="array" ref="D351">INDEX($F$14:$AD$16,$B351,MATCH($C351,$F$11:$AD$11,0))*$G$342</f>
        <v>1054500</v>
      </c>
      <c r="E351" s="95"/>
      <c r="F351" s="95" cm="1">
        <f t="array" ref="F351">IF($C351&gt;F$11,0,INDEX($F$341:$AD$341,F$11-$C351+1))*$D351</f>
        <v>0</v>
      </c>
      <c r="G351" s="95" cm="1">
        <f t="array" ref="G351">IF($C351&gt;G$11,0,INDEX($F$341:$AD$341,G$11-$C351+1))*$D351</f>
        <v>0</v>
      </c>
      <c r="H351" s="95" cm="1">
        <f t="array" ref="H351">IF($C351&gt;H$11,0,INDEX($F$341:$AD$341,H$11-$C351+1))*$D351</f>
        <v>0</v>
      </c>
      <c r="I351" s="95" cm="1">
        <f t="array" ref="I351">IF($C351&gt;I$11,0,INDEX($F$341:$AD$341,I$11-$C351+1))*$D351</f>
        <v>0</v>
      </c>
      <c r="J351" s="95" cm="1">
        <f t="array" ref="J351">IF($C351&gt;J$11,0,INDEX($F$341:$AD$341,J$11-$C351+1))*$D351</f>
        <v>0</v>
      </c>
      <c r="K351" s="95" cm="1">
        <f t="array" ref="K351">IF($C351&gt;K$11,0,INDEX($F$341:$AD$341,K$11-$C351+1))*$D351</f>
        <v>0</v>
      </c>
      <c r="L351" s="95" cm="1">
        <f t="array" ref="L351">IF($C351&gt;L$11,0,INDEX($F$341:$AD$341,L$11-$C351+1))*$D351</f>
        <v>0</v>
      </c>
      <c r="M351" s="95" cm="1">
        <f t="array" ref="M351">IF($C351&gt;M$11,0,INDEX($F$341:$AD$341,M$11-$C351+1))*$D351</f>
        <v>0</v>
      </c>
      <c r="N351" s="95" cm="1">
        <f t="array" ref="N351">IF($C351&gt;N$11,0,INDEX($F$341:$AD$341,N$11-$C351+1))*$D351</f>
        <v>351500</v>
      </c>
      <c r="O351" s="95" cm="1">
        <f t="array" ref="O351">IF($C351&gt;O$11,0,INDEX($F$341:$AD$341,O$11-$C351+1))*$D351</f>
        <v>281200</v>
      </c>
      <c r="P351" s="95" cm="1">
        <f t="array" ref="P351">IF($C351&gt;P$11,0,INDEX($F$341:$AD$341,P$11-$C351+1))*$D351</f>
        <v>210900</v>
      </c>
      <c r="Q351" s="95" cm="1">
        <f t="array" ref="Q351">IF($C351&gt;Q$11,0,INDEX($F$341:$AD$341,Q$11-$C351+1))*$D351</f>
        <v>140600</v>
      </c>
      <c r="R351" s="95" cm="1">
        <f t="array" ref="R351">IF($C351&gt;R$11,0,INDEX($F$341:$AD$341,R$11-$C351+1))*$D351</f>
        <v>70300</v>
      </c>
      <c r="S351" s="95" cm="1">
        <f t="array" ref="S351">IF($C351&gt;S$11,0,INDEX($F$341:$AD$341,S$11-$C351+1))*$D351</f>
        <v>0</v>
      </c>
      <c r="T351" s="95" cm="1">
        <f t="array" ref="T351">IF($C351&gt;T$11,0,INDEX($F$341:$AD$341,T$11-$C351+1))*$D351</f>
        <v>0</v>
      </c>
      <c r="U351" s="95" cm="1">
        <f t="array" ref="U351">IF($C351&gt;U$11,0,INDEX($F$341:$AD$341,U$11-$C351+1))*$D351</f>
        <v>0</v>
      </c>
      <c r="V351" s="95" cm="1">
        <f t="array" ref="V351">IF($C351&gt;V$11,0,INDEX($F$341:$AD$341,V$11-$C351+1))*$D351</f>
        <v>0</v>
      </c>
      <c r="W351" s="95" cm="1">
        <f t="array" ref="W351">IF($C351&gt;W$11,0,INDEX($F$341:$AD$341,W$11-$C351+1))*$D351</f>
        <v>0</v>
      </c>
      <c r="X351" s="95" cm="1">
        <f t="array" ref="X351">IF($C351&gt;X$11,0,INDEX($F$341:$AD$341,X$11-$C351+1))*$D351</f>
        <v>0</v>
      </c>
      <c r="Y351" s="95" cm="1">
        <f t="array" ref="Y351">IF($C351&gt;Y$11,0,INDEX($F$341:$AD$341,Y$11-$C351+1))*$D351</f>
        <v>0</v>
      </c>
      <c r="Z351" s="95" cm="1">
        <f t="array" ref="Z351">IF($C351&gt;Z$11,0,INDEX($F$341:$AD$341,Z$11-$C351+1))*$D351</f>
        <v>0</v>
      </c>
      <c r="AA351" s="95" cm="1">
        <f t="array" ref="AA351">IF($C351&gt;AA$11,0,INDEX($F$341:$AD$341,AA$11-$C351+1))*$D351</f>
        <v>0</v>
      </c>
      <c r="AB351" s="95" cm="1">
        <f t="array" ref="AB351">IF($C351&gt;AB$11,0,INDEX($F$341:$AD$341,AB$11-$C351+1))*$D351</f>
        <v>0</v>
      </c>
      <c r="AC351" s="95" cm="1">
        <f t="array" ref="AC351">IF($C351&gt;AC$11,0,INDEX($F$341:$AD$341,AC$11-$C351+1))*$D351</f>
        <v>0</v>
      </c>
      <c r="AD351" s="95" cm="1">
        <f t="array" ref="AD351">IF($C351&gt;AD$11,0,INDEX($F$341:$AD$341,AD$11-$C351+1))*$D351</f>
        <v>0</v>
      </c>
    </row>
    <row r="352" spans="1:30">
      <c r="A352" s="95"/>
      <c r="B352" s="118">
        <f t="shared" si="94"/>
        <v>1</v>
      </c>
      <c r="C352">
        <f t="shared" si="95"/>
        <v>2031</v>
      </c>
      <c r="D352" s="95" cm="1">
        <f t="array" ref="D352">INDEX($F$14:$AD$16,$B352,MATCH($C352,$F$11:$AD$11,0))*$G$342</f>
        <v>2227275</v>
      </c>
      <c r="E352" s="95"/>
      <c r="F352" s="95" cm="1">
        <f t="array" ref="F352">IF($C352&gt;F$11,0,INDEX($F$341:$AD$341,F$11-$C352+1))*$D352</f>
        <v>0</v>
      </c>
      <c r="G352" s="95" cm="1">
        <f t="array" ref="G352">IF($C352&gt;G$11,0,INDEX($F$341:$AD$341,G$11-$C352+1))*$D352</f>
        <v>0</v>
      </c>
      <c r="H352" s="95" cm="1">
        <f t="array" ref="H352">IF($C352&gt;H$11,0,INDEX($F$341:$AD$341,H$11-$C352+1))*$D352</f>
        <v>0</v>
      </c>
      <c r="I352" s="95" cm="1">
        <f t="array" ref="I352">IF($C352&gt;I$11,0,INDEX($F$341:$AD$341,I$11-$C352+1))*$D352</f>
        <v>0</v>
      </c>
      <c r="J352" s="95" cm="1">
        <f t="array" ref="J352">IF($C352&gt;J$11,0,INDEX($F$341:$AD$341,J$11-$C352+1))*$D352</f>
        <v>0</v>
      </c>
      <c r="K352" s="95" cm="1">
        <f t="array" ref="K352">IF($C352&gt;K$11,0,INDEX($F$341:$AD$341,K$11-$C352+1))*$D352</f>
        <v>0</v>
      </c>
      <c r="L352" s="95" cm="1">
        <f t="array" ref="L352">IF($C352&gt;L$11,0,INDEX($F$341:$AD$341,L$11-$C352+1))*$D352</f>
        <v>0</v>
      </c>
      <c r="M352" s="95" cm="1">
        <f t="array" ref="M352">IF($C352&gt;M$11,0,INDEX($F$341:$AD$341,M$11-$C352+1))*$D352</f>
        <v>0</v>
      </c>
      <c r="N352" s="95" cm="1">
        <f t="array" ref="N352">IF($C352&gt;N$11,0,INDEX($F$341:$AD$341,N$11-$C352+1))*$D352</f>
        <v>0</v>
      </c>
      <c r="O352" s="95" cm="1">
        <f t="array" ref="O352">IF($C352&gt;O$11,0,INDEX($F$341:$AD$341,O$11-$C352+1))*$D352</f>
        <v>742425</v>
      </c>
      <c r="P352" s="95" cm="1">
        <f t="array" ref="P352">IF($C352&gt;P$11,0,INDEX($F$341:$AD$341,P$11-$C352+1))*$D352</f>
        <v>593940</v>
      </c>
      <c r="Q352" s="95" cm="1">
        <f t="array" ref="Q352">IF($C352&gt;Q$11,0,INDEX($F$341:$AD$341,Q$11-$C352+1))*$D352</f>
        <v>445455</v>
      </c>
      <c r="R352" s="95" cm="1">
        <f t="array" ref="R352">IF($C352&gt;R$11,0,INDEX($F$341:$AD$341,R$11-$C352+1))*$D352</f>
        <v>296970</v>
      </c>
      <c r="S352" s="95" cm="1">
        <f t="array" ref="S352">IF($C352&gt;S$11,0,INDEX($F$341:$AD$341,S$11-$C352+1))*$D352</f>
        <v>148485</v>
      </c>
      <c r="T352" s="95" cm="1">
        <f t="array" ref="T352">IF($C352&gt;T$11,0,INDEX($F$341:$AD$341,T$11-$C352+1))*$D352</f>
        <v>0</v>
      </c>
      <c r="U352" s="95" cm="1">
        <f t="array" ref="U352">IF($C352&gt;U$11,0,INDEX($F$341:$AD$341,U$11-$C352+1))*$D352</f>
        <v>0</v>
      </c>
      <c r="V352" s="95" cm="1">
        <f t="array" ref="V352">IF($C352&gt;V$11,0,INDEX($F$341:$AD$341,V$11-$C352+1))*$D352</f>
        <v>0</v>
      </c>
      <c r="W352" s="95" cm="1">
        <f t="array" ref="W352">IF($C352&gt;W$11,0,INDEX($F$341:$AD$341,W$11-$C352+1))*$D352</f>
        <v>0</v>
      </c>
      <c r="X352" s="95" cm="1">
        <f t="array" ref="X352">IF($C352&gt;X$11,0,INDEX($F$341:$AD$341,X$11-$C352+1))*$D352</f>
        <v>0</v>
      </c>
      <c r="Y352" s="95" cm="1">
        <f t="array" ref="Y352">IF($C352&gt;Y$11,0,INDEX($F$341:$AD$341,Y$11-$C352+1))*$D352</f>
        <v>0</v>
      </c>
      <c r="Z352" s="95" cm="1">
        <f t="array" ref="Z352">IF($C352&gt;Z$11,0,INDEX($F$341:$AD$341,Z$11-$C352+1))*$D352</f>
        <v>0</v>
      </c>
      <c r="AA352" s="95" cm="1">
        <f t="array" ref="AA352">IF($C352&gt;AA$11,0,INDEX($F$341:$AD$341,AA$11-$C352+1))*$D352</f>
        <v>0</v>
      </c>
      <c r="AB352" s="95" cm="1">
        <f t="array" ref="AB352">IF($C352&gt;AB$11,0,INDEX($F$341:$AD$341,AB$11-$C352+1))*$D352</f>
        <v>0</v>
      </c>
      <c r="AC352" s="95" cm="1">
        <f t="array" ref="AC352">IF($C352&gt;AC$11,0,INDEX($F$341:$AD$341,AC$11-$C352+1))*$D352</f>
        <v>0</v>
      </c>
      <c r="AD352" s="95" cm="1">
        <f t="array" ref="AD352">IF($C352&gt;AD$11,0,INDEX($F$341:$AD$341,AD$11-$C352+1))*$D352</f>
        <v>0</v>
      </c>
    </row>
    <row r="353" spans="1:30">
      <c r="A353" s="95"/>
      <c r="B353" s="118">
        <f t="shared" si="94"/>
        <v>1</v>
      </c>
      <c r="C353">
        <f t="shared" si="95"/>
        <v>2032</v>
      </c>
      <c r="D353" s="95" cm="1">
        <f t="array" ref="D353">INDEX($F$14:$AD$16,$B353,MATCH($C353,$F$11:$AD$11,0))*$G$342</f>
        <v>1416450</v>
      </c>
      <c r="E353" s="95"/>
      <c r="F353" s="95" cm="1">
        <f t="array" ref="F353">IF($C353&gt;F$11,0,INDEX($F$341:$AD$341,F$11-$C353+1))*$D353</f>
        <v>0</v>
      </c>
      <c r="G353" s="95" cm="1">
        <f t="array" ref="G353">IF($C353&gt;G$11,0,INDEX($F$341:$AD$341,G$11-$C353+1))*$D353</f>
        <v>0</v>
      </c>
      <c r="H353" s="95" cm="1">
        <f t="array" ref="H353">IF($C353&gt;H$11,0,INDEX($F$341:$AD$341,H$11-$C353+1))*$D353</f>
        <v>0</v>
      </c>
      <c r="I353" s="95" cm="1">
        <f t="array" ref="I353">IF($C353&gt;I$11,0,INDEX($F$341:$AD$341,I$11-$C353+1))*$D353</f>
        <v>0</v>
      </c>
      <c r="J353" s="95" cm="1">
        <f t="array" ref="J353">IF($C353&gt;J$11,0,INDEX($F$341:$AD$341,J$11-$C353+1))*$D353</f>
        <v>0</v>
      </c>
      <c r="K353" s="95" cm="1">
        <f t="array" ref="K353">IF($C353&gt;K$11,0,INDEX($F$341:$AD$341,K$11-$C353+1))*$D353</f>
        <v>0</v>
      </c>
      <c r="L353" s="95" cm="1">
        <f t="array" ref="L353">IF($C353&gt;L$11,0,INDEX($F$341:$AD$341,L$11-$C353+1))*$D353</f>
        <v>0</v>
      </c>
      <c r="M353" s="95" cm="1">
        <f t="array" ref="M353">IF($C353&gt;M$11,0,INDEX($F$341:$AD$341,M$11-$C353+1))*$D353</f>
        <v>0</v>
      </c>
      <c r="N353" s="95" cm="1">
        <f t="array" ref="N353">IF($C353&gt;N$11,0,INDEX($F$341:$AD$341,N$11-$C353+1))*$D353</f>
        <v>0</v>
      </c>
      <c r="O353" s="95" cm="1">
        <f t="array" ref="O353">IF($C353&gt;O$11,0,INDEX($F$341:$AD$341,O$11-$C353+1))*$D353</f>
        <v>0</v>
      </c>
      <c r="P353" s="95" cm="1">
        <f t="array" ref="P353">IF($C353&gt;P$11,0,INDEX($F$341:$AD$341,P$11-$C353+1))*$D353</f>
        <v>472150</v>
      </c>
      <c r="Q353" s="95" cm="1">
        <f t="array" ref="Q353">IF($C353&gt;Q$11,0,INDEX($F$341:$AD$341,Q$11-$C353+1))*$D353</f>
        <v>377720</v>
      </c>
      <c r="R353" s="95" cm="1">
        <f t="array" ref="R353">IF($C353&gt;R$11,0,INDEX($F$341:$AD$341,R$11-$C353+1))*$D353</f>
        <v>283290</v>
      </c>
      <c r="S353" s="95" cm="1">
        <f t="array" ref="S353">IF($C353&gt;S$11,0,INDEX($F$341:$AD$341,S$11-$C353+1))*$D353</f>
        <v>188860</v>
      </c>
      <c r="T353" s="95" cm="1">
        <f t="array" ref="T353">IF($C353&gt;T$11,0,INDEX($F$341:$AD$341,T$11-$C353+1))*$D353</f>
        <v>94430</v>
      </c>
      <c r="U353" s="95" cm="1">
        <f t="array" ref="U353">IF($C353&gt;U$11,0,INDEX($F$341:$AD$341,U$11-$C353+1))*$D353</f>
        <v>0</v>
      </c>
      <c r="V353" s="95" cm="1">
        <f t="array" ref="V353">IF($C353&gt;V$11,0,INDEX($F$341:$AD$341,V$11-$C353+1))*$D353</f>
        <v>0</v>
      </c>
      <c r="W353" s="95" cm="1">
        <f t="array" ref="W353">IF($C353&gt;W$11,0,INDEX($F$341:$AD$341,W$11-$C353+1))*$D353</f>
        <v>0</v>
      </c>
      <c r="X353" s="95" cm="1">
        <f t="array" ref="X353">IF($C353&gt;X$11,0,INDEX($F$341:$AD$341,X$11-$C353+1))*$D353</f>
        <v>0</v>
      </c>
      <c r="Y353" s="95" cm="1">
        <f t="array" ref="Y353">IF($C353&gt;Y$11,0,INDEX($F$341:$AD$341,Y$11-$C353+1))*$D353</f>
        <v>0</v>
      </c>
      <c r="Z353" s="95" cm="1">
        <f t="array" ref="Z353">IF($C353&gt;Z$11,0,INDEX($F$341:$AD$341,Z$11-$C353+1))*$D353</f>
        <v>0</v>
      </c>
      <c r="AA353" s="95" cm="1">
        <f t="array" ref="AA353">IF($C353&gt;AA$11,0,INDEX($F$341:$AD$341,AA$11-$C353+1))*$D353</f>
        <v>0</v>
      </c>
      <c r="AB353" s="95" cm="1">
        <f t="array" ref="AB353">IF($C353&gt;AB$11,0,INDEX($F$341:$AD$341,AB$11-$C353+1))*$D353</f>
        <v>0</v>
      </c>
      <c r="AC353" s="95" cm="1">
        <f t="array" ref="AC353">IF($C353&gt;AC$11,0,INDEX($F$341:$AD$341,AC$11-$C353+1))*$D353</f>
        <v>0</v>
      </c>
      <c r="AD353" s="95" cm="1">
        <f t="array" ref="AD353">IF($C353&gt;AD$11,0,INDEX($F$341:$AD$341,AD$11-$C353+1))*$D353</f>
        <v>0</v>
      </c>
    </row>
    <row r="354" spans="1:30">
      <c r="A354" s="95"/>
      <c r="B354" s="118">
        <f t="shared" si="94"/>
        <v>1</v>
      </c>
      <c r="C354">
        <f t="shared" si="95"/>
        <v>2033</v>
      </c>
      <c r="D354" s="95" cm="1">
        <f t="array" ref="D354">INDEX($F$14:$AD$16,$B354,MATCH($C354,$F$11:$AD$11,0))*$G$342</f>
        <v>2061975</v>
      </c>
      <c r="E354" s="95"/>
      <c r="F354" s="95" cm="1">
        <f t="array" ref="F354">IF($C354&gt;F$11,0,INDEX($F$341:$AD$341,F$11-$C354+1))*$D354</f>
        <v>0</v>
      </c>
      <c r="G354" s="95" cm="1">
        <f t="array" ref="G354">IF($C354&gt;G$11,0,INDEX($F$341:$AD$341,G$11-$C354+1))*$D354</f>
        <v>0</v>
      </c>
      <c r="H354" s="95" cm="1">
        <f t="array" ref="H354">IF($C354&gt;H$11,0,INDEX($F$341:$AD$341,H$11-$C354+1))*$D354</f>
        <v>0</v>
      </c>
      <c r="I354" s="95" cm="1">
        <f t="array" ref="I354">IF($C354&gt;I$11,0,INDEX($F$341:$AD$341,I$11-$C354+1))*$D354</f>
        <v>0</v>
      </c>
      <c r="J354" s="95" cm="1">
        <f t="array" ref="J354">IF($C354&gt;J$11,0,INDEX($F$341:$AD$341,J$11-$C354+1))*$D354</f>
        <v>0</v>
      </c>
      <c r="K354" s="95" cm="1">
        <f t="array" ref="K354">IF($C354&gt;K$11,0,INDEX($F$341:$AD$341,K$11-$C354+1))*$D354</f>
        <v>0</v>
      </c>
      <c r="L354" s="95" cm="1">
        <f t="array" ref="L354">IF($C354&gt;L$11,0,INDEX($F$341:$AD$341,L$11-$C354+1))*$D354</f>
        <v>0</v>
      </c>
      <c r="M354" s="95" cm="1">
        <f t="array" ref="M354">IF($C354&gt;M$11,0,INDEX($F$341:$AD$341,M$11-$C354+1))*$D354</f>
        <v>0</v>
      </c>
      <c r="N354" s="95" cm="1">
        <f t="array" ref="N354">IF($C354&gt;N$11,0,INDEX($F$341:$AD$341,N$11-$C354+1))*$D354</f>
        <v>0</v>
      </c>
      <c r="O354" s="95" cm="1">
        <f t="array" ref="O354">IF($C354&gt;O$11,0,INDEX($F$341:$AD$341,O$11-$C354+1))*$D354</f>
        <v>0</v>
      </c>
      <c r="P354" s="95" cm="1">
        <f t="array" ref="P354">IF($C354&gt;P$11,0,INDEX($F$341:$AD$341,P$11-$C354+1))*$D354</f>
        <v>0</v>
      </c>
      <c r="Q354" s="95" cm="1">
        <f t="array" ref="Q354">IF($C354&gt;Q$11,0,INDEX($F$341:$AD$341,Q$11-$C354+1))*$D354</f>
        <v>687325</v>
      </c>
      <c r="R354" s="95" cm="1">
        <f t="array" ref="R354">IF($C354&gt;R$11,0,INDEX($F$341:$AD$341,R$11-$C354+1))*$D354</f>
        <v>549860</v>
      </c>
      <c r="S354" s="95" cm="1">
        <f t="array" ref="S354">IF($C354&gt;S$11,0,INDEX($F$341:$AD$341,S$11-$C354+1))*$D354</f>
        <v>412395</v>
      </c>
      <c r="T354" s="95" cm="1">
        <f t="array" ref="T354">IF($C354&gt;T$11,0,INDEX($F$341:$AD$341,T$11-$C354+1))*$D354</f>
        <v>274930</v>
      </c>
      <c r="U354" s="95" cm="1">
        <f t="array" ref="U354">IF($C354&gt;U$11,0,INDEX($F$341:$AD$341,U$11-$C354+1))*$D354</f>
        <v>137465</v>
      </c>
      <c r="V354" s="95" cm="1">
        <f t="array" ref="V354">IF($C354&gt;V$11,0,INDEX($F$341:$AD$341,V$11-$C354+1))*$D354</f>
        <v>0</v>
      </c>
      <c r="W354" s="95" cm="1">
        <f t="array" ref="W354">IF($C354&gt;W$11,0,INDEX($F$341:$AD$341,W$11-$C354+1))*$D354</f>
        <v>0</v>
      </c>
      <c r="X354" s="95" cm="1">
        <f t="array" ref="X354">IF($C354&gt;X$11,0,INDEX($F$341:$AD$341,X$11-$C354+1))*$D354</f>
        <v>0</v>
      </c>
      <c r="Y354" s="95" cm="1">
        <f t="array" ref="Y354">IF($C354&gt;Y$11,0,INDEX($F$341:$AD$341,Y$11-$C354+1))*$D354</f>
        <v>0</v>
      </c>
      <c r="Z354" s="95" cm="1">
        <f t="array" ref="Z354">IF($C354&gt;Z$11,0,INDEX($F$341:$AD$341,Z$11-$C354+1))*$D354</f>
        <v>0</v>
      </c>
      <c r="AA354" s="95" cm="1">
        <f t="array" ref="AA354">IF($C354&gt;AA$11,0,INDEX($F$341:$AD$341,AA$11-$C354+1))*$D354</f>
        <v>0</v>
      </c>
      <c r="AB354" s="95" cm="1">
        <f t="array" ref="AB354">IF($C354&gt;AB$11,0,INDEX($F$341:$AD$341,AB$11-$C354+1))*$D354</f>
        <v>0</v>
      </c>
      <c r="AC354" s="95" cm="1">
        <f t="array" ref="AC354">IF($C354&gt;AC$11,0,INDEX($F$341:$AD$341,AC$11-$C354+1))*$D354</f>
        <v>0</v>
      </c>
      <c r="AD354" s="95" cm="1">
        <f t="array" ref="AD354">IF($C354&gt;AD$11,0,INDEX($F$341:$AD$341,AD$11-$C354+1))*$D354</f>
        <v>0</v>
      </c>
    </row>
    <row r="355" spans="1:30">
      <c r="A355" s="95"/>
      <c r="B355" s="118">
        <f t="shared" si="94"/>
        <v>1</v>
      </c>
      <c r="C355">
        <f t="shared" si="95"/>
        <v>2034</v>
      </c>
      <c r="D355" s="95" cm="1">
        <f t="array" ref="D355">INDEX($F$14:$AD$16,$B355,MATCH($C355,$F$11:$AD$11,0))*$G$342</f>
        <v>1031700</v>
      </c>
      <c r="E355" s="95"/>
      <c r="F355" s="95" cm="1">
        <f t="array" ref="F355">IF($C355&gt;F$11,0,INDEX($F$341:$AD$341,F$11-$C355+1))*$D355</f>
        <v>0</v>
      </c>
      <c r="G355" s="95" cm="1">
        <f t="array" ref="G355">IF($C355&gt;G$11,0,INDEX($F$341:$AD$341,G$11-$C355+1))*$D355</f>
        <v>0</v>
      </c>
      <c r="H355" s="95" cm="1">
        <f t="array" ref="H355">IF($C355&gt;H$11,0,INDEX($F$341:$AD$341,H$11-$C355+1))*$D355</f>
        <v>0</v>
      </c>
      <c r="I355" s="95" cm="1">
        <f t="array" ref="I355">IF($C355&gt;I$11,0,INDEX($F$341:$AD$341,I$11-$C355+1))*$D355</f>
        <v>0</v>
      </c>
      <c r="J355" s="95" cm="1">
        <f t="array" ref="J355">IF($C355&gt;J$11,0,INDEX($F$341:$AD$341,J$11-$C355+1))*$D355</f>
        <v>0</v>
      </c>
      <c r="K355" s="95" cm="1">
        <f t="array" ref="K355">IF($C355&gt;K$11,0,INDEX($F$341:$AD$341,K$11-$C355+1))*$D355</f>
        <v>0</v>
      </c>
      <c r="L355" s="95" cm="1">
        <f t="array" ref="L355">IF($C355&gt;L$11,0,INDEX($F$341:$AD$341,L$11-$C355+1))*$D355</f>
        <v>0</v>
      </c>
      <c r="M355" s="95" cm="1">
        <f t="array" ref="M355">IF($C355&gt;M$11,0,INDEX($F$341:$AD$341,M$11-$C355+1))*$D355</f>
        <v>0</v>
      </c>
      <c r="N355" s="95" cm="1">
        <f t="array" ref="N355">IF($C355&gt;N$11,0,INDEX($F$341:$AD$341,N$11-$C355+1))*$D355</f>
        <v>0</v>
      </c>
      <c r="O355" s="95" cm="1">
        <f t="array" ref="O355">IF($C355&gt;O$11,0,INDEX($F$341:$AD$341,O$11-$C355+1))*$D355</f>
        <v>0</v>
      </c>
      <c r="P355" s="95" cm="1">
        <f t="array" ref="P355">IF($C355&gt;P$11,0,INDEX($F$341:$AD$341,P$11-$C355+1))*$D355</f>
        <v>0</v>
      </c>
      <c r="Q355" s="95" cm="1">
        <f t="array" ref="Q355">IF($C355&gt;Q$11,0,INDEX($F$341:$AD$341,Q$11-$C355+1))*$D355</f>
        <v>0</v>
      </c>
      <c r="R355" s="95" cm="1">
        <f t="array" ref="R355">IF($C355&gt;R$11,0,INDEX($F$341:$AD$341,R$11-$C355+1))*$D355</f>
        <v>343900</v>
      </c>
      <c r="S355" s="95" cm="1">
        <f t="array" ref="S355">IF($C355&gt;S$11,0,INDEX($F$341:$AD$341,S$11-$C355+1))*$D355</f>
        <v>275120</v>
      </c>
      <c r="T355" s="95" cm="1">
        <f t="array" ref="T355">IF($C355&gt;T$11,0,INDEX($F$341:$AD$341,T$11-$C355+1))*$D355</f>
        <v>206340</v>
      </c>
      <c r="U355" s="95" cm="1">
        <f t="array" ref="U355">IF($C355&gt;U$11,0,INDEX($F$341:$AD$341,U$11-$C355+1))*$D355</f>
        <v>137560</v>
      </c>
      <c r="V355" s="95" cm="1">
        <f t="array" ref="V355">IF($C355&gt;V$11,0,INDEX($F$341:$AD$341,V$11-$C355+1))*$D355</f>
        <v>68780</v>
      </c>
      <c r="W355" s="95" cm="1">
        <f t="array" ref="W355">IF($C355&gt;W$11,0,INDEX($F$341:$AD$341,W$11-$C355+1))*$D355</f>
        <v>0</v>
      </c>
      <c r="X355" s="95" cm="1">
        <f t="array" ref="X355">IF($C355&gt;X$11,0,INDEX($F$341:$AD$341,X$11-$C355+1))*$D355</f>
        <v>0</v>
      </c>
      <c r="Y355" s="95" cm="1">
        <f t="array" ref="Y355">IF($C355&gt;Y$11,0,INDEX($F$341:$AD$341,Y$11-$C355+1))*$D355</f>
        <v>0</v>
      </c>
      <c r="Z355" s="95" cm="1">
        <f t="array" ref="Z355">IF($C355&gt;Z$11,0,INDEX($F$341:$AD$341,Z$11-$C355+1))*$D355</f>
        <v>0</v>
      </c>
      <c r="AA355" s="95" cm="1">
        <f t="array" ref="AA355">IF($C355&gt;AA$11,0,INDEX($F$341:$AD$341,AA$11-$C355+1))*$D355</f>
        <v>0</v>
      </c>
      <c r="AB355" s="95" cm="1">
        <f t="array" ref="AB355">IF($C355&gt;AB$11,0,INDEX($F$341:$AD$341,AB$11-$C355+1))*$D355</f>
        <v>0</v>
      </c>
      <c r="AC355" s="95" cm="1">
        <f t="array" ref="AC355">IF($C355&gt;AC$11,0,INDEX($F$341:$AD$341,AC$11-$C355+1))*$D355</f>
        <v>0</v>
      </c>
      <c r="AD355" s="95" cm="1">
        <f t="array" ref="AD355">IF($C355&gt;AD$11,0,INDEX($F$341:$AD$341,AD$11-$C355+1))*$D355</f>
        <v>0</v>
      </c>
    </row>
    <row r="356" spans="1:30">
      <c r="A356" s="95"/>
      <c r="B356" s="118">
        <f t="shared" si="94"/>
        <v>1</v>
      </c>
      <c r="C356">
        <f t="shared" si="95"/>
        <v>2035</v>
      </c>
      <c r="D356" s="95" cm="1">
        <f t="array" ref="D356">INDEX($F$14:$AD$16,$B356,MATCH($C356,$F$11:$AD$11,0))*$G$342</f>
        <v>1309575</v>
      </c>
      <c r="E356" s="95"/>
      <c r="F356" s="95" cm="1">
        <f t="array" ref="F356">IF($C356&gt;F$11,0,INDEX($F$341:$AD$341,F$11-$C356+1))*$D356</f>
        <v>0</v>
      </c>
      <c r="G356" s="95" cm="1">
        <f t="array" ref="G356">IF($C356&gt;G$11,0,INDEX($F$341:$AD$341,G$11-$C356+1))*$D356</f>
        <v>0</v>
      </c>
      <c r="H356" s="95" cm="1">
        <f t="array" ref="H356">IF($C356&gt;H$11,0,INDEX($F$341:$AD$341,H$11-$C356+1))*$D356</f>
        <v>0</v>
      </c>
      <c r="I356" s="95" cm="1">
        <f t="array" ref="I356">IF($C356&gt;I$11,0,INDEX($F$341:$AD$341,I$11-$C356+1))*$D356</f>
        <v>0</v>
      </c>
      <c r="J356" s="95" cm="1">
        <f t="array" ref="J356">IF($C356&gt;J$11,0,INDEX($F$341:$AD$341,J$11-$C356+1))*$D356</f>
        <v>0</v>
      </c>
      <c r="K356" s="95" cm="1">
        <f t="array" ref="K356">IF($C356&gt;K$11,0,INDEX($F$341:$AD$341,K$11-$C356+1))*$D356</f>
        <v>0</v>
      </c>
      <c r="L356" s="95" cm="1">
        <f t="array" ref="L356">IF($C356&gt;L$11,0,INDEX($F$341:$AD$341,L$11-$C356+1))*$D356</f>
        <v>0</v>
      </c>
      <c r="M356" s="95" cm="1">
        <f t="array" ref="M356">IF($C356&gt;M$11,0,INDEX($F$341:$AD$341,M$11-$C356+1))*$D356</f>
        <v>0</v>
      </c>
      <c r="N356" s="95" cm="1">
        <f t="array" ref="N356">IF($C356&gt;N$11,0,INDEX($F$341:$AD$341,N$11-$C356+1))*$D356</f>
        <v>0</v>
      </c>
      <c r="O356" s="95" cm="1">
        <f t="array" ref="O356">IF($C356&gt;O$11,0,INDEX($F$341:$AD$341,O$11-$C356+1))*$D356</f>
        <v>0</v>
      </c>
      <c r="P356" s="95" cm="1">
        <f t="array" ref="P356">IF($C356&gt;P$11,0,INDEX($F$341:$AD$341,P$11-$C356+1))*$D356</f>
        <v>0</v>
      </c>
      <c r="Q356" s="95" cm="1">
        <f t="array" ref="Q356">IF($C356&gt;Q$11,0,INDEX($F$341:$AD$341,Q$11-$C356+1))*$D356</f>
        <v>0</v>
      </c>
      <c r="R356" s="95" cm="1">
        <f t="array" ref="R356">IF($C356&gt;R$11,0,INDEX($F$341:$AD$341,R$11-$C356+1))*$D356</f>
        <v>0</v>
      </c>
      <c r="S356" s="95" cm="1">
        <f t="array" ref="S356">IF($C356&gt;S$11,0,INDEX($F$341:$AD$341,S$11-$C356+1))*$D356</f>
        <v>436525</v>
      </c>
      <c r="T356" s="95" cm="1">
        <f t="array" ref="T356">IF($C356&gt;T$11,0,INDEX($F$341:$AD$341,T$11-$C356+1))*$D356</f>
        <v>349220</v>
      </c>
      <c r="U356" s="95" cm="1">
        <f t="array" ref="U356">IF($C356&gt;U$11,0,INDEX($F$341:$AD$341,U$11-$C356+1))*$D356</f>
        <v>261915</v>
      </c>
      <c r="V356" s="95" cm="1">
        <f t="array" ref="V356">IF($C356&gt;V$11,0,INDEX($F$341:$AD$341,V$11-$C356+1))*$D356</f>
        <v>174610</v>
      </c>
      <c r="W356" s="95" cm="1">
        <f t="array" ref="W356">IF($C356&gt;W$11,0,INDEX($F$341:$AD$341,W$11-$C356+1))*$D356</f>
        <v>87305</v>
      </c>
      <c r="X356" s="95" cm="1">
        <f t="array" ref="X356">IF($C356&gt;X$11,0,INDEX($F$341:$AD$341,X$11-$C356+1))*$D356</f>
        <v>0</v>
      </c>
      <c r="Y356" s="95" cm="1">
        <f t="array" ref="Y356">IF($C356&gt;Y$11,0,INDEX($F$341:$AD$341,Y$11-$C356+1))*$D356</f>
        <v>0</v>
      </c>
      <c r="Z356" s="95" cm="1">
        <f t="array" ref="Z356">IF($C356&gt;Z$11,0,INDEX($F$341:$AD$341,Z$11-$C356+1))*$D356</f>
        <v>0</v>
      </c>
      <c r="AA356" s="95" cm="1">
        <f t="array" ref="AA356">IF($C356&gt;AA$11,0,INDEX($F$341:$AD$341,AA$11-$C356+1))*$D356</f>
        <v>0</v>
      </c>
      <c r="AB356" s="95" cm="1">
        <f t="array" ref="AB356">IF($C356&gt;AB$11,0,INDEX($F$341:$AD$341,AB$11-$C356+1))*$D356</f>
        <v>0</v>
      </c>
      <c r="AC356" s="95" cm="1">
        <f t="array" ref="AC356">IF($C356&gt;AC$11,0,INDEX($F$341:$AD$341,AC$11-$C356+1))*$D356</f>
        <v>0</v>
      </c>
      <c r="AD356" s="95" cm="1">
        <f t="array" ref="AD356">IF($C356&gt;AD$11,0,INDEX($F$341:$AD$341,AD$11-$C356+1))*$D356</f>
        <v>0</v>
      </c>
    </row>
    <row r="357" spans="1:30">
      <c r="A357" s="95"/>
      <c r="B357" s="118">
        <f t="shared" si="94"/>
        <v>1</v>
      </c>
      <c r="C357">
        <f t="shared" si="95"/>
        <v>2036</v>
      </c>
      <c r="D357" s="95" cm="1">
        <f t="array" ref="D357">INDEX($F$14:$AD$16,$B357,MATCH($C357,$F$11:$AD$11,0))*$G$342</f>
        <v>1674375</v>
      </c>
      <c r="E357" s="95"/>
      <c r="F357" s="95" cm="1">
        <f t="array" ref="F357">IF($C357&gt;F$11,0,INDEX($F$341:$AD$341,F$11-$C357+1))*$D357</f>
        <v>0</v>
      </c>
      <c r="G357" s="95" cm="1">
        <f t="array" ref="G357">IF($C357&gt;G$11,0,INDEX($F$341:$AD$341,G$11-$C357+1))*$D357</f>
        <v>0</v>
      </c>
      <c r="H357" s="95" cm="1">
        <f t="array" ref="H357">IF($C357&gt;H$11,0,INDEX($F$341:$AD$341,H$11-$C357+1))*$D357</f>
        <v>0</v>
      </c>
      <c r="I357" s="95" cm="1">
        <f t="array" ref="I357">IF($C357&gt;I$11,0,INDEX($F$341:$AD$341,I$11-$C357+1))*$D357</f>
        <v>0</v>
      </c>
      <c r="J357" s="95" cm="1">
        <f t="array" ref="J357">IF($C357&gt;J$11,0,INDEX($F$341:$AD$341,J$11-$C357+1))*$D357</f>
        <v>0</v>
      </c>
      <c r="K357" s="95" cm="1">
        <f t="array" ref="K357">IF($C357&gt;K$11,0,INDEX($F$341:$AD$341,K$11-$C357+1))*$D357</f>
        <v>0</v>
      </c>
      <c r="L357" s="95" cm="1">
        <f t="array" ref="L357">IF($C357&gt;L$11,0,INDEX($F$341:$AD$341,L$11-$C357+1))*$D357</f>
        <v>0</v>
      </c>
      <c r="M357" s="95" cm="1">
        <f t="array" ref="M357">IF($C357&gt;M$11,0,INDEX($F$341:$AD$341,M$11-$C357+1))*$D357</f>
        <v>0</v>
      </c>
      <c r="N357" s="95" cm="1">
        <f t="array" ref="N357">IF($C357&gt;N$11,0,INDEX($F$341:$AD$341,N$11-$C357+1))*$D357</f>
        <v>0</v>
      </c>
      <c r="O357" s="95" cm="1">
        <f t="array" ref="O357">IF($C357&gt;O$11,0,INDEX($F$341:$AD$341,O$11-$C357+1))*$D357</f>
        <v>0</v>
      </c>
      <c r="P357" s="95" cm="1">
        <f t="array" ref="P357">IF($C357&gt;P$11,0,INDEX($F$341:$AD$341,P$11-$C357+1))*$D357</f>
        <v>0</v>
      </c>
      <c r="Q357" s="95" cm="1">
        <f t="array" ref="Q357">IF($C357&gt;Q$11,0,INDEX($F$341:$AD$341,Q$11-$C357+1))*$D357</f>
        <v>0</v>
      </c>
      <c r="R357" s="95" cm="1">
        <f t="array" ref="R357">IF($C357&gt;R$11,0,INDEX($F$341:$AD$341,R$11-$C357+1))*$D357</f>
        <v>0</v>
      </c>
      <c r="S357" s="95" cm="1">
        <f t="array" ref="S357">IF($C357&gt;S$11,0,INDEX($F$341:$AD$341,S$11-$C357+1))*$D357</f>
        <v>0</v>
      </c>
      <c r="T357" s="95" cm="1">
        <f t="array" ref="T357">IF($C357&gt;T$11,0,INDEX($F$341:$AD$341,T$11-$C357+1))*$D357</f>
        <v>558125</v>
      </c>
      <c r="U357" s="95" cm="1">
        <f t="array" ref="U357">IF($C357&gt;U$11,0,INDEX($F$341:$AD$341,U$11-$C357+1))*$D357</f>
        <v>446500</v>
      </c>
      <c r="V357" s="95" cm="1">
        <f t="array" ref="V357">IF($C357&gt;V$11,0,INDEX($F$341:$AD$341,V$11-$C357+1))*$D357</f>
        <v>334875</v>
      </c>
      <c r="W357" s="95" cm="1">
        <f t="array" ref="W357">IF($C357&gt;W$11,0,INDEX($F$341:$AD$341,W$11-$C357+1))*$D357</f>
        <v>223250</v>
      </c>
      <c r="X357" s="95" cm="1">
        <f t="array" ref="X357">IF($C357&gt;X$11,0,INDEX($F$341:$AD$341,X$11-$C357+1))*$D357</f>
        <v>111625</v>
      </c>
      <c r="Y357" s="95" cm="1">
        <f t="array" ref="Y357">IF($C357&gt;Y$11,0,INDEX($F$341:$AD$341,Y$11-$C357+1))*$D357</f>
        <v>0</v>
      </c>
      <c r="Z357" s="95" cm="1">
        <f t="array" ref="Z357">IF($C357&gt;Z$11,0,INDEX($F$341:$AD$341,Z$11-$C357+1))*$D357</f>
        <v>0</v>
      </c>
      <c r="AA357" s="95" cm="1">
        <f t="array" ref="AA357">IF($C357&gt;AA$11,0,INDEX($F$341:$AD$341,AA$11-$C357+1))*$D357</f>
        <v>0</v>
      </c>
      <c r="AB357" s="95" cm="1">
        <f t="array" ref="AB357">IF($C357&gt;AB$11,0,INDEX($F$341:$AD$341,AB$11-$C357+1))*$D357</f>
        <v>0</v>
      </c>
      <c r="AC357" s="95" cm="1">
        <f t="array" ref="AC357">IF($C357&gt;AC$11,0,INDEX($F$341:$AD$341,AC$11-$C357+1))*$D357</f>
        <v>0</v>
      </c>
      <c r="AD357" s="95" cm="1">
        <f t="array" ref="AD357">IF($C357&gt;AD$11,0,INDEX($F$341:$AD$341,AD$11-$C357+1))*$D357</f>
        <v>0</v>
      </c>
    </row>
    <row r="358" spans="1:30">
      <c r="A358" s="95"/>
      <c r="B358" s="118">
        <f t="shared" si="94"/>
        <v>1</v>
      </c>
      <c r="C358">
        <f t="shared" si="95"/>
        <v>2037</v>
      </c>
      <c r="D358" s="95" cm="1">
        <f t="array" ref="D358">INDEX($F$14:$AD$16,$B358,MATCH($C358,$F$11:$AD$11,0))*$G$342</f>
        <v>498750</v>
      </c>
      <c r="E358" s="95"/>
      <c r="F358" s="95" cm="1">
        <f t="array" ref="F358">IF($C358&gt;F$11,0,INDEX($F$341:$AD$341,F$11-$C358+1))*$D358</f>
        <v>0</v>
      </c>
      <c r="G358" s="95" cm="1">
        <f t="array" ref="G358">IF($C358&gt;G$11,0,INDEX($F$341:$AD$341,G$11-$C358+1))*$D358</f>
        <v>0</v>
      </c>
      <c r="H358" s="95" cm="1">
        <f t="array" ref="H358">IF($C358&gt;H$11,0,INDEX($F$341:$AD$341,H$11-$C358+1))*$D358</f>
        <v>0</v>
      </c>
      <c r="I358" s="95" cm="1">
        <f t="array" ref="I358">IF($C358&gt;I$11,0,INDEX($F$341:$AD$341,I$11-$C358+1))*$D358</f>
        <v>0</v>
      </c>
      <c r="J358" s="95" cm="1">
        <f t="array" ref="J358">IF($C358&gt;J$11,0,INDEX($F$341:$AD$341,J$11-$C358+1))*$D358</f>
        <v>0</v>
      </c>
      <c r="K358" s="95" cm="1">
        <f t="array" ref="K358">IF($C358&gt;K$11,0,INDEX($F$341:$AD$341,K$11-$C358+1))*$D358</f>
        <v>0</v>
      </c>
      <c r="L358" s="95" cm="1">
        <f t="array" ref="L358">IF($C358&gt;L$11,0,INDEX($F$341:$AD$341,L$11-$C358+1))*$D358</f>
        <v>0</v>
      </c>
      <c r="M358" s="95" cm="1">
        <f t="array" ref="M358">IF($C358&gt;M$11,0,INDEX($F$341:$AD$341,M$11-$C358+1))*$D358</f>
        <v>0</v>
      </c>
      <c r="N358" s="95" cm="1">
        <f t="array" ref="N358">IF($C358&gt;N$11,0,INDEX($F$341:$AD$341,N$11-$C358+1))*$D358</f>
        <v>0</v>
      </c>
      <c r="O358" s="95" cm="1">
        <f t="array" ref="O358">IF($C358&gt;O$11,0,INDEX($F$341:$AD$341,O$11-$C358+1))*$D358</f>
        <v>0</v>
      </c>
      <c r="P358" s="95" cm="1">
        <f t="array" ref="P358">IF($C358&gt;P$11,0,INDEX($F$341:$AD$341,P$11-$C358+1))*$D358</f>
        <v>0</v>
      </c>
      <c r="Q358" s="95" cm="1">
        <f t="array" ref="Q358">IF($C358&gt;Q$11,0,INDEX($F$341:$AD$341,Q$11-$C358+1))*$D358</f>
        <v>0</v>
      </c>
      <c r="R358" s="95" cm="1">
        <f t="array" ref="R358">IF($C358&gt;R$11,0,INDEX($F$341:$AD$341,R$11-$C358+1))*$D358</f>
        <v>0</v>
      </c>
      <c r="S358" s="95" cm="1">
        <f t="array" ref="S358">IF($C358&gt;S$11,0,INDEX($F$341:$AD$341,S$11-$C358+1))*$D358</f>
        <v>0</v>
      </c>
      <c r="T358" s="95" cm="1">
        <f t="array" ref="T358">IF($C358&gt;T$11,0,INDEX($F$341:$AD$341,T$11-$C358+1))*$D358</f>
        <v>0</v>
      </c>
      <c r="U358" s="95" cm="1">
        <f t="array" ref="U358">IF($C358&gt;U$11,0,INDEX($F$341:$AD$341,U$11-$C358+1))*$D358</f>
        <v>166250</v>
      </c>
      <c r="V358" s="95" cm="1">
        <f t="array" ref="V358">IF($C358&gt;V$11,0,INDEX($F$341:$AD$341,V$11-$C358+1))*$D358</f>
        <v>133000</v>
      </c>
      <c r="W358" s="95" cm="1">
        <f t="array" ref="W358">IF($C358&gt;W$11,0,INDEX($F$341:$AD$341,W$11-$C358+1))*$D358</f>
        <v>99750</v>
      </c>
      <c r="X358" s="95" cm="1">
        <f t="array" ref="X358">IF($C358&gt;X$11,0,INDEX($F$341:$AD$341,X$11-$C358+1))*$D358</f>
        <v>66500</v>
      </c>
      <c r="Y358" s="95" cm="1">
        <f t="array" ref="Y358">IF($C358&gt;Y$11,0,INDEX($F$341:$AD$341,Y$11-$C358+1))*$D358</f>
        <v>33250</v>
      </c>
      <c r="Z358" s="95" cm="1">
        <f t="array" ref="Z358">IF($C358&gt;Z$11,0,INDEX($F$341:$AD$341,Z$11-$C358+1))*$D358</f>
        <v>0</v>
      </c>
      <c r="AA358" s="95" cm="1">
        <f t="array" ref="AA358">IF($C358&gt;AA$11,0,INDEX($F$341:$AD$341,AA$11-$C358+1))*$D358</f>
        <v>0</v>
      </c>
      <c r="AB358" s="95" cm="1">
        <f t="array" ref="AB358">IF($C358&gt;AB$11,0,INDEX($F$341:$AD$341,AB$11-$C358+1))*$D358</f>
        <v>0</v>
      </c>
      <c r="AC358" s="95" cm="1">
        <f t="array" ref="AC358">IF($C358&gt;AC$11,0,INDEX($F$341:$AD$341,AC$11-$C358+1))*$D358</f>
        <v>0</v>
      </c>
      <c r="AD358" s="95" cm="1">
        <f t="array" ref="AD358">IF($C358&gt;AD$11,0,INDEX($F$341:$AD$341,AD$11-$C358+1))*$D358</f>
        <v>0</v>
      </c>
    </row>
    <row r="359" spans="1:30">
      <c r="A359" s="95"/>
      <c r="B359" s="118">
        <f t="shared" si="94"/>
        <v>1</v>
      </c>
      <c r="C359">
        <f t="shared" si="95"/>
        <v>2038</v>
      </c>
      <c r="D359" s="95" cm="1">
        <f t="array" ref="D359">INDEX($F$14:$AD$16,$B359,MATCH($C359,$F$11:$AD$11,0))*$G$342</f>
        <v>2344125</v>
      </c>
      <c r="E359" s="95"/>
      <c r="F359" s="95" cm="1">
        <f t="array" ref="F359">IF($C359&gt;F$11,0,INDEX($F$341:$AD$341,F$11-$C359+1))*$D359</f>
        <v>0</v>
      </c>
      <c r="G359" s="95" cm="1">
        <f t="array" ref="G359">IF($C359&gt;G$11,0,INDEX($F$341:$AD$341,G$11-$C359+1))*$D359</f>
        <v>0</v>
      </c>
      <c r="H359" s="95" cm="1">
        <f t="array" ref="H359">IF($C359&gt;H$11,0,INDEX($F$341:$AD$341,H$11-$C359+1))*$D359</f>
        <v>0</v>
      </c>
      <c r="I359" s="95" cm="1">
        <f t="array" ref="I359">IF($C359&gt;I$11,0,INDEX($F$341:$AD$341,I$11-$C359+1))*$D359</f>
        <v>0</v>
      </c>
      <c r="J359" s="95" cm="1">
        <f t="array" ref="J359">IF($C359&gt;J$11,0,INDEX($F$341:$AD$341,J$11-$C359+1))*$D359</f>
        <v>0</v>
      </c>
      <c r="K359" s="95" cm="1">
        <f t="array" ref="K359">IF($C359&gt;K$11,0,INDEX($F$341:$AD$341,K$11-$C359+1))*$D359</f>
        <v>0</v>
      </c>
      <c r="L359" s="95" cm="1">
        <f t="array" ref="L359">IF($C359&gt;L$11,0,INDEX($F$341:$AD$341,L$11-$C359+1))*$D359</f>
        <v>0</v>
      </c>
      <c r="M359" s="95" cm="1">
        <f t="array" ref="M359">IF($C359&gt;M$11,0,INDEX($F$341:$AD$341,M$11-$C359+1))*$D359</f>
        <v>0</v>
      </c>
      <c r="N359" s="95" cm="1">
        <f t="array" ref="N359">IF($C359&gt;N$11,0,INDEX($F$341:$AD$341,N$11-$C359+1))*$D359</f>
        <v>0</v>
      </c>
      <c r="O359" s="95" cm="1">
        <f t="array" ref="O359">IF($C359&gt;O$11,0,INDEX($F$341:$AD$341,O$11-$C359+1))*$D359</f>
        <v>0</v>
      </c>
      <c r="P359" s="95" cm="1">
        <f t="array" ref="P359">IF($C359&gt;P$11,0,INDEX($F$341:$AD$341,P$11-$C359+1))*$D359</f>
        <v>0</v>
      </c>
      <c r="Q359" s="95" cm="1">
        <f t="array" ref="Q359">IF($C359&gt;Q$11,0,INDEX($F$341:$AD$341,Q$11-$C359+1))*$D359</f>
        <v>0</v>
      </c>
      <c r="R359" s="95" cm="1">
        <f t="array" ref="R359">IF($C359&gt;R$11,0,INDEX($F$341:$AD$341,R$11-$C359+1))*$D359</f>
        <v>0</v>
      </c>
      <c r="S359" s="95" cm="1">
        <f t="array" ref="S359">IF($C359&gt;S$11,0,INDEX($F$341:$AD$341,S$11-$C359+1))*$D359</f>
        <v>0</v>
      </c>
      <c r="T359" s="95" cm="1">
        <f t="array" ref="T359">IF($C359&gt;T$11,0,INDEX($F$341:$AD$341,T$11-$C359+1))*$D359</f>
        <v>0</v>
      </c>
      <c r="U359" s="95" cm="1">
        <f t="array" ref="U359">IF($C359&gt;U$11,0,INDEX($F$341:$AD$341,U$11-$C359+1))*$D359</f>
        <v>0</v>
      </c>
      <c r="V359" s="95" cm="1">
        <f t="array" ref="V359">IF($C359&gt;V$11,0,INDEX($F$341:$AD$341,V$11-$C359+1))*$D359</f>
        <v>781375</v>
      </c>
      <c r="W359" s="95" cm="1">
        <f t="array" ref="W359">IF($C359&gt;W$11,0,INDEX($F$341:$AD$341,W$11-$C359+1))*$D359</f>
        <v>625100</v>
      </c>
      <c r="X359" s="95" cm="1">
        <f t="array" ref="X359">IF($C359&gt;X$11,0,INDEX($F$341:$AD$341,X$11-$C359+1))*$D359</f>
        <v>468825</v>
      </c>
      <c r="Y359" s="95" cm="1">
        <f t="array" ref="Y359">IF($C359&gt;Y$11,0,INDEX($F$341:$AD$341,Y$11-$C359+1))*$D359</f>
        <v>312550</v>
      </c>
      <c r="Z359" s="95" cm="1">
        <f t="array" ref="Z359">IF($C359&gt;Z$11,0,INDEX($F$341:$AD$341,Z$11-$C359+1))*$D359</f>
        <v>156275</v>
      </c>
      <c r="AA359" s="95" cm="1">
        <f t="array" ref="AA359">IF($C359&gt;AA$11,0,INDEX($F$341:$AD$341,AA$11-$C359+1))*$D359</f>
        <v>0</v>
      </c>
      <c r="AB359" s="95" cm="1">
        <f t="array" ref="AB359">IF($C359&gt;AB$11,0,INDEX($F$341:$AD$341,AB$11-$C359+1))*$D359</f>
        <v>0</v>
      </c>
      <c r="AC359" s="95" cm="1">
        <f t="array" ref="AC359">IF($C359&gt;AC$11,0,INDEX($F$341:$AD$341,AC$11-$C359+1))*$D359</f>
        <v>0</v>
      </c>
      <c r="AD359" s="95" cm="1">
        <f t="array" ref="AD359">IF($C359&gt;AD$11,0,INDEX($F$341:$AD$341,AD$11-$C359+1))*$D359</f>
        <v>0</v>
      </c>
    </row>
    <row r="360" spans="1:30">
      <c r="A360" s="95"/>
      <c r="B360" s="118">
        <f t="shared" si="94"/>
        <v>1</v>
      </c>
      <c r="C360">
        <f t="shared" si="95"/>
        <v>2039</v>
      </c>
      <c r="D360" s="95" cm="1">
        <f t="array" ref="D360">INDEX($F$14:$AD$16,$B360,MATCH($C360,$F$11:$AD$11,0))*$G$342</f>
        <v>951900</v>
      </c>
      <c r="E360" s="95"/>
      <c r="F360" s="95" cm="1">
        <f t="array" ref="F360">IF($C360&gt;F$11,0,INDEX($F$341:$AD$341,F$11-$C360+1))*$D360</f>
        <v>0</v>
      </c>
      <c r="G360" s="95" cm="1">
        <f t="array" ref="G360">IF($C360&gt;G$11,0,INDEX($F$341:$AD$341,G$11-$C360+1))*$D360</f>
        <v>0</v>
      </c>
      <c r="H360" s="95" cm="1">
        <f t="array" ref="H360">IF($C360&gt;H$11,0,INDEX($F$341:$AD$341,H$11-$C360+1))*$D360</f>
        <v>0</v>
      </c>
      <c r="I360" s="95" cm="1">
        <f t="array" ref="I360">IF($C360&gt;I$11,0,INDEX($F$341:$AD$341,I$11-$C360+1))*$D360</f>
        <v>0</v>
      </c>
      <c r="J360" s="95" cm="1">
        <f t="array" ref="J360">IF($C360&gt;J$11,0,INDEX($F$341:$AD$341,J$11-$C360+1))*$D360</f>
        <v>0</v>
      </c>
      <c r="K360" s="95" cm="1">
        <f t="array" ref="K360">IF($C360&gt;K$11,0,INDEX($F$341:$AD$341,K$11-$C360+1))*$D360</f>
        <v>0</v>
      </c>
      <c r="L360" s="95" cm="1">
        <f t="array" ref="L360">IF($C360&gt;L$11,0,INDEX($F$341:$AD$341,L$11-$C360+1))*$D360</f>
        <v>0</v>
      </c>
      <c r="M360" s="95" cm="1">
        <f t="array" ref="M360">IF($C360&gt;M$11,0,INDEX($F$341:$AD$341,M$11-$C360+1))*$D360</f>
        <v>0</v>
      </c>
      <c r="N360" s="95" cm="1">
        <f t="array" ref="N360">IF($C360&gt;N$11,0,INDEX($F$341:$AD$341,N$11-$C360+1))*$D360</f>
        <v>0</v>
      </c>
      <c r="O360" s="95" cm="1">
        <f t="array" ref="O360">IF($C360&gt;O$11,0,INDEX($F$341:$AD$341,O$11-$C360+1))*$D360</f>
        <v>0</v>
      </c>
      <c r="P360" s="95" cm="1">
        <f t="array" ref="P360">IF($C360&gt;P$11,0,INDEX($F$341:$AD$341,P$11-$C360+1))*$D360</f>
        <v>0</v>
      </c>
      <c r="Q360" s="95" cm="1">
        <f t="array" ref="Q360">IF($C360&gt;Q$11,0,INDEX($F$341:$AD$341,Q$11-$C360+1))*$D360</f>
        <v>0</v>
      </c>
      <c r="R360" s="95" cm="1">
        <f t="array" ref="R360">IF($C360&gt;R$11,0,INDEX($F$341:$AD$341,R$11-$C360+1))*$D360</f>
        <v>0</v>
      </c>
      <c r="S360" s="95" cm="1">
        <f t="array" ref="S360">IF($C360&gt;S$11,0,INDEX($F$341:$AD$341,S$11-$C360+1))*$D360</f>
        <v>0</v>
      </c>
      <c r="T360" s="95" cm="1">
        <f t="array" ref="T360">IF($C360&gt;T$11,0,INDEX($F$341:$AD$341,T$11-$C360+1))*$D360</f>
        <v>0</v>
      </c>
      <c r="U360" s="95" cm="1">
        <f t="array" ref="U360">IF($C360&gt;U$11,0,INDEX($F$341:$AD$341,U$11-$C360+1))*$D360</f>
        <v>0</v>
      </c>
      <c r="V360" s="95" cm="1">
        <f t="array" ref="V360">IF($C360&gt;V$11,0,INDEX($F$341:$AD$341,V$11-$C360+1))*$D360</f>
        <v>0</v>
      </c>
      <c r="W360" s="95" cm="1">
        <f t="array" ref="W360">IF($C360&gt;W$11,0,INDEX($F$341:$AD$341,W$11-$C360+1))*$D360</f>
        <v>317300</v>
      </c>
      <c r="X360" s="95" cm="1">
        <f t="array" ref="X360">IF($C360&gt;X$11,0,INDEX($F$341:$AD$341,X$11-$C360+1))*$D360</f>
        <v>253840</v>
      </c>
      <c r="Y360" s="95" cm="1">
        <f t="array" ref="Y360">IF($C360&gt;Y$11,0,INDEX($F$341:$AD$341,Y$11-$C360+1))*$D360</f>
        <v>190380</v>
      </c>
      <c r="Z360" s="95" cm="1">
        <f t="array" ref="Z360">IF($C360&gt;Z$11,0,INDEX($F$341:$AD$341,Z$11-$C360+1))*$D360</f>
        <v>126920</v>
      </c>
      <c r="AA360" s="95" cm="1">
        <f t="array" ref="AA360">IF($C360&gt;AA$11,0,INDEX($F$341:$AD$341,AA$11-$C360+1))*$D360</f>
        <v>63460</v>
      </c>
      <c r="AB360" s="95" cm="1">
        <f t="array" ref="AB360">IF($C360&gt;AB$11,0,INDEX($F$341:$AD$341,AB$11-$C360+1))*$D360</f>
        <v>0</v>
      </c>
      <c r="AC360" s="95" cm="1">
        <f t="array" ref="AC360">IF($C360&gt;AC$11,0,INDEX($F$341:$AD$341,AC$11-$C360+1))*$D360</f>
        <v>0</v>
      </c>
      <c r="AD360" s="95" cm="1">
        <f t="array" ref="AD360">IF($C360&gt;AD$11,0,INDEX($F$341:$AD$341,AD$11-$C360+1))*$D360</f>
        <v>0</v>
      </c>
    </row>
    <row r="361" spans="1:30">
      <c r="A361" s="95"/>
      <c r="B361" s="118">
        <f t="shared" si="94"/>
        <v>1</v>
      </c>
      <c r="C361">
        <f t="shared" si="95"/>
        <v>2040</v>
      </c>
      <c r="D361" s="95" cm="1">
        <f t="array" ref="D361">INDEX($F$14:$AD$16,$B361,MATCH($C361,$F$11:$AD$11,0))*$G$342</f>
        <v>2143200</v>
      </c>
      <c r="E361" s="95"/>
      <c r="F361" s="95" cm="1">
        <f t="array" ref="F361">IF($C361&gt;F$11,0,INDEX($F$341:$AD$341,F$11-$C361+1))*$D361</f>
        <v>0</v>
      </c>
      <c r="G361" s="95" cm="1">
        <f t="array" ref="G361">IF($C361&gt;G$11,0,INDEX($F$341:$AD$341,G$11-$C361+1))*$D361</f>
        <v>0</v>
      </c>
      <c r="H361" s="95" cm="1">
        <f t="array" ref="H361">IF($C361&gt;H$11,0,INDEX($F$341:$AD$341,H$11-$C361+1))*$D361</f>
        <v>0</v>
      </c>
      <c r="I361" s="95" cm="1">
        <f t="array" ref="I361">IF($C361&gt;I$11,0,INDEX($F$341:$AD$341,I$11-$C361+1))*$D361</f>
        <v>0</v>
      </c>
      <c r="J361" s="95" cm="1">
        <f t="array" ref="J361">IF($C361&gt;J$11,0,INDEX($F$341:$AD$341,J$11-$C361+1))*$D361</f>
        <v>0</v>
      </c>
      <c r="K361" s="95" cm="1">
        <f t="array" ref="K361">IF($C361&gt;K$11,0,INDEX($F$341:$AD$341,K$11-$C361+1))*$D361</f>
        <v>0</v>
      </c>
      <c r="L361" s="95" cm="1">
        <f t="array" ref="L361">IF($C361&gt;L$11,0,INDEX($F$341:$AD$341,L$11-$C361+1))*$D361</f>
        <v>0</v>
      </c>
      <c r="M361" s="95" cm="1">
        <f t="array" ref="M361">IF($C361&gt;M$11,0,INDEX($F$341:$AD$341,M$11-$C361+1))*$D361</f>
        <v>0</v>
      </c>
      <c r="N361" s="95" cm="1">
        <f t="array" ref="N361">IF($C361&gt;N$11,0,INDEX($F$341:$AD$341,N$11-$C361+1))*$D361</f>
        <v>0</v>
      </c>
      <c r="O361" s="95" cm="1">
        <f t="array" ref="O361">IF($C361&gt;O$11,0,INDEX($F$341:$AD$341,O$11-$C361+1))*$D361</f>
        <v>0</v>
      </c>
      <c r="P361" s="95" cm="1">
        <f t="array" ref="P361">IF($C361&gt;P$11,0,INDEX($F$341:$AD$341,P$11-$C361+1))*$D361</f>
        <v>0</v>
      </c>
      <c r="Q361" s="95" cm="1">
        <f t="array" ref="Q361">IF($C361&gt;Q$11,0,INDEX($F$341:$AD$341,Q$11-$C361+1))*$D361</f>
        <v>0</v>
      </c>
      <c r="R361" s="95" cm="1">
        <f t="array" ref="R361">IF($C361&gt;R$11,0,INDEX($F$341:$AD$341,R$11-$C361+1))*$D361</f>
        <v>0</v>
      </c>
      <c r="S361" s="95" cm="1">
        <f t="array" ref="S361">IF($C361&gt;S$11,0,INDEX($F$341:$AD$341,S$11-$C361+1))*$D361</f>
        <v>0</v>
      </c>
      <c r="T361" s="95" cm="1">
        <f t="array" ref="T361">IF($C361&gt;T$11,0,INDEX($F$341:$AD$341,T$11-$C361+1))*$D361</f>
        <v>0</v>
      </c>
      <c r="U361" s="95" cm="1">
        <f t="array" ref="U361">IF($C361&gt;U$11,0,INDEX($F$341:$AD$341,U$11-$C361+1))*$D361</f>
        <v>0</v>
      </c>
      <c r="V361" s="95" cm="1">
        <f t="array" ref="V361">IF($C361&gt;V$11,0,INDEX($F$341:$AD$341,V$11-$C361+1))*$D361</f>
        <v>0</v>
      </c>
      <c r="W361" s="95" cm="1">
        <f t="array" ref="W361">IF($C361&gt;W$11,0,INDEX($F$341:$AD$341,W$11-$C361+1))*$D361</f>
        <v>0</v>
      </c>
      <c r="X361" s="95" cm="1">
        <f t="array" ref="X361">IF($C361&gt;X$11,0,INDEX($F$341:$AD$341,X$11-$C361+1))*$D361</f>
        <v>714400</v>
      </c>
      <c r="Y361" s="95" cm="1">
        <f t="array" ref="Y361">IF($C361&gt;Y$11,0,INDEX($F$341:$AD$341,Y$11-$C361+1))*$D361</f>
        <v>571520</v>
      </c>
      <c r="Z361" s="95" cm="1">
        <f t="array" ref="Z361">IF($C361&gt;Z$11,0,INDEX($F$341:$AD$341,Z$11-$C361+1))*$D361</f>
        <v>428640</v>
      </c>
      <c r="AA361" s="95" cm="1">
        <f t="array" ref="AA361">IF($C361&gt;AA$11,0,INDEX($F$341:$AD$341,AA$11-$C361+1))*$D361</f>
        <v>285760</v>
      </c>
      <c r="AB361" s="95" cm="1">
        <f t="array" ref="AB361">IF($C361&gt;AB$11,0,INDEX($F$341:$AD$341,AB$11-$C361+1))*$D361</f>
        <v>142880</v>
      </c>
      <c r="AC361" s="95" cm="1">
        <f t="array" ref="AC361">IF($C361&gt;AC$11,0,INDEX($F$341:$AD$341,AC$11-$C361+1))*$D361</f>
        <v>0</v>
      </c>
      <c r="AD361" s="95" cm="1">
        <f t="array" ref="AD361">IF($C361&gt;AD$11,0,INDEX($F$341:$AD$341,AD$11-$C361+1))*$D361</f>
        <v>0</v>
      </c>
    </row>
    <row r="362" spans="1:30">
      <c r="A362" s="95"/>
      <c r="B362" s="118">
        <f t="shared" si="94"/>
        <v>1</v>
      </c>
      <c r="C362">
        <f t="shared" si="95"/>
        <v>2041</v>
      </c>
      <c r="D362" s="95" cm="1">
        <f t="array" ref="D362">INDEX($F$14:$AD$16,$B362,MATCH($C362,$F$11:$AD$11,0))*$G$342</f>
        <v>1759875</v>
      </c>
      <c r="E362" s="95"/>
      <c r="F362" s="95" cm="1">
        <f t="array" ref="F362">IF($C362&gt;F$11,0,INDEX($F$341:$AD$341,F$11-$C362+1))*$D362</f>
        <v>0</v>
      </c>
      <c r="G362" s="95" cm="1">
        <f t="array" ref="G362">IF($C362&gt;G$11,0,INDEX($F$341:$AD$341,G$11-$C362+1))*$D362</f>
        <v>0</v>
      </c>
      <c r="H362" s="95" cm="1">
        <f t="array" ref="H362">IF($C362&gt;H$11,0,INDEX($F$341:$AD$341,H$11-$C362+1))*$D362</f>
        <v>0</v>
      </c>
      <c r="I362" s="95" cm="1">
        <f t="array" ref="I362">IF($C362&gt;I$11,0,INDEX($F$341:$AD$341,I$11-$C362+1))*$D362</f>
        <v>0</v>
      </c>
      <c r="J362" s="95" cm="1">
        <f t="array" ref="J362">IF($C362&gt;J$11,0,INDEX($F$341:$AD$341,J$11-$C362+1))*$D362</f>
        <v>0</v>
      </c>
      <c r="K362" s="95" cm="1">
        <f t="array" ref="K362">IF($C362&gt;K$11,0,INDEX($F$341:$AD$341,K$11-$C362+1))*$D362</f>
        <v>0</v>
      </c>
      <c r="L362" s="95" cm="1">
        <f t="array" ref="L362">IF($C362&gt;L$11,0,INDEX($F$341:$AD$341,L$11-$C362+1))*$D362</f>
        <v>0</v>
      </c>
      <c r="M362" s="95" cm="1">
        <f t="array" ref="M362">IF($C362&gt;M$11,0,INDEX($F$341:$AD$341,M$11-$C362+1))*$D362</f>
        <v>0</v>
      </c>
      <c r="N362" s="95" cm="1">
        <f t="array" ref="N362">IF($C362&gt;N$11,0,INDEX($F$341:$AD$341,N$11-$C362+1))*$D362</f>
        <v>0</v>
      </c>
      <c r="O362" s="95" cm="1">
        <f t="array" ref="O362">IF($C362&gt;O$11,0,INDEX($F$341:$AD$341,O$11-$C362+1))*$D362</f>
        <v>0</v>
      </c>
      <c r="P362" s="95" cm="1">
        <f t="array" ref="P362">IF($C362&gt;P$11,0,INDEX($F$341:$AD$341,P$11-$C362+1))*$D362</f>
        <v>0</v>
      </c>
      <c r="Q362" s="95" cm="1">
        <f t="array" ref="Q362">IF($C362&gt;Q$11,0,INDEX($F$341:$AD$341,Q$11-$C362+1))*$D362</f>
        <v>0</v>
      </c>
      <c r="R362" s="95" cm="1">
        <f t="array" ref="R362">IF($C362&gt;R$11,0,INDEX($F$341:$AD$341,R$11-$C362+1))*$D362</f>
        <v>0</v>
      </c>
      <c r="S362" s="95" cm="1">
        <f t="array" ref="S362">IF($C362&gt;S$11,0,INDEX($F$341:$AD$341,S$11-$C362+1))*$D362</f>
        <v>0</v>
      </c>
      <c r="T362" s="95" cm="1">
        <f t="array" ref="T362">IF($C362&gt;T$11,0,INDEX($F$341:$AD$341,T$11-$C362+1))*$D362</f>
        <v>0</v>
      </c>
      <c r="U362" s="95" cm="1">
        <f t="array" ref="U362">IF($C362&gt;U$11,0,INDEX($F$341:$AD$341,U$11-$C362+1))*$D362</f>
        <v>0</v>
      </c>
      <c r="V362" s="95" cm="1">
        <f t="array" ref="V362">IF($C362&gt;V$11,0,INDEX($F$341:$AD$341,V$11-$C362+1))*$D362</f>
        <v>0</v>
      </c>
      <c r="W362" s="95" cm="1">
        <f t="array" ref="W362">IF($C362&gt;W$11,0,INDEX($F$341:$AD$341,W$11-$C362+1))*$D362</f>
        <v>0</v>
      </c>
      <c r="X362" s="95" cm="1">
        <f t="array" ref="X362">IF($C362&gt;X$11,0,INDEX($F$341:$AD$341,X$11-$C362+1))*$D362</f>
        <v>0</v>
      </c>
      <c r="Y362" s="95" cm="1">
        <f t="array" ref="Y362">IF($C362&gt;Y$11,0,INDEX($F$341:$AD$341,Y$11-$C362+1))*$D362</f>
        <v>586625</v>
      </c>
      <c r="Z362" s="95" cm="1">
        <f t="array" ref="Z362">IF($C362&gt;Z$11,0,INDEX($F$341:$AD$341,Z$11-$C362+1))*$D362</f>
        <v>469300</v>
      </c>
      <c r="AA362" s="95" cm="1">
        <f t="array" ref="AA362">IF($C362&gt;AA$11,0,INDEX($F$341:$AD$341,AA$11-$C362+1))*$D362</f>
        <v>351975</v>
      </c>
      <c r="AB362" s="95" cm="1">
        <f t="array" ref="AB362">IF($C362&gt;AB$11,0,INDEX($F$341:$AD$341,AB$11-$C362+1))*$D362</f>
        <v>234650</v>
      </c>
      <c r="AC362" s="95" cm="1">
        <f t="array" ref="AC362">IF($C362&gt;AC$11,0,INDEX($F$341:$AD$341,AC$11-$C362+1))*$D362</f>
        <v>117325</v>
      </c>
      <c r="AD362" s="95" cm="1">
        <f t="array" ref="AD362">IF($C362&gt;AD$11,0,INDEX($F$341:$AD$341,AD$11-$C362+1))*$D362</f>
        <v>0</v>
      </c>
    </row>
    <row r="363" spans="1:30">
      <c r="A363" s="95"/>
      <c r="B363" s="118">
        <f t="shared" si="94"/>
        <v>1</v>
      </c>
      <c r="C363">
        <f t="shared" si="95"/>
        <v>2042</v>
      </c>
      <c r="D363" s="95" cm="1">
        <f t="array" ref="D363">INDEX($F$14:$AD$16,$B363,MATCH($C363,$F$11:$AD$11,0))*$G$342</f>
        <v>1322400</v>
      </c>
      <c r="E363" s="95"/>
      <c r="F363" s="95" cm="1">
        <f t="array" ref="F363">IF($C363&gt;F$11,0,INDEX($F$341:$AD$341,F$11-$C363+1))*$D363</f>
        <v>0</v>
      </c>
      <c r="G363" s="95" cm="1">
        <f t="array" ref="G363">IF($C363&gt;G$11,0,INDEX($F$341:$AD$341,G$11-$C363+1))*$D363</f>
        <v>0</v>
      </c>
      <c r="H363" s="95" cm="1">
        <f t="array" ref="H363">IF($C363&gt;H$11,0,INDEX($F$341:$AD$341,H$11-$C363+1))*$D363</f>
        <v>0</v>
      </c>
      <c r="I363" s="95" cm="1">
        <f t="array" ref="I363">IF($C363&gt;I$11,0,INDEX($F$341:$AD$341,I$11-$C363+1))*$D363</f>
        <v>0</v>
      </c>
      <c r="J363" s="95" cm="1">
        <f t="array" ref="J363">IF($C363&gt;J$11,0,INDEX($F$341:$AD$341,J$11-$C363+1))*$D363</f>
        <v>0</v>
      </c>
      <c r="K363" s="95" cm="1">
        <f t="array" ref="K363">IF($C363&gt;K$11,0,INDEX($F$341:$AD$341,K$11-$C363+1))*$D363</f>
        <v>0</v>
      </c>
      <c r="L363" s="95" cm="1">
        <f t="array" ref="L363">IF($C363&gt;L$11,0,INDEX($F$341:$AD$341,L$11-$C363+1))*$D363</f>
        <v>0</v>
      </c>
      <c r="M363" s="95" cm="1">
        <f t="array" ref="M363">IF($C363&gt;M$11,0,INDEX($F$341:$AD$341,M$11-$C363+1))*$D363</f>
        <v>0</v>
      </c>
      <c r="N363" s="95" cm="1">
        <f t="array" ref="N363">IF($C363&gt;N$11,0,INDEX($F$341:$AD$341,N$11-$C363+1))*$D363</f>
        <v>0</v>
      </c>
      <c r="O363" s="95" cm="1">
        <f t="array" ref="O363">IF($C363&gt;O$11,0,INDEX($F$341:$AD$341,O$11-$C363+1))*$D363</f>
        <v>0</v>
      </c>
      <c r="P363" s="95" cm="1">
        <f t="array" ref="P363">IF($C363&gt;P$11,0,INDEX($F$341:$AD$341,P$11-$C363+1))*$D363</f>
        <v>0</v>
      </c>
      <c r="Q363" s="95" cm="1">
        <f t="array" ref="Q363">IF($C363&gt;Q$11,0,INDEX($F$341:$AD$341,Q$11-$C363+1))*$D363</f>
        <v>0</v>
      </c>
      <c r="R363" s="95" cm="1">
        <f t="array" ref="R363">IF($C363&gt;R$11,0,INDEX($F$341:$AD$341,R$11-$C363+1))*$D363</f>
        <v>0</v>
      </c>
      <c r="S363" s="95" cm="1">
        <f t="array" ref="S363">IF($C363&gt;S$11,0,INDEX($F$341:$AD$341,S$11-$C363+1))*$D363</f>
        <v>0</v>
      </c>
      <c r="T363" s="95" cm="1">
        <f t="array" ref="T363">IF($C363&gt;T$11,0,INDEX($F$341:$AD$341,T$11-$C363+1))*$D363</f>
        <v>0</v>
      </c>
      <c r="U363" s="95" cm="1">
        <f t="array" ref="U363">IF($C363&gt;U$11,0,INDEX($F$341:$AD$341,U$11-$C363+1))*$D363</f>
        <v>0</v>
      </c>
      <c r="V363" s="95" cm="1">
        <f t="array" ref="V363">IF($C363&gt;V$11,0,INDEX($F$341:$AD$341,V$11-$C363+1))*$D363</f>
        <v>0</v>
      </c>
      <c r="W363" s="95" cm="1">
        <f t="array" ref="W363">IF($C363&gt;W$11,0,INDEX($F$341:$AD$341,W$11-$C363+1))*$D363</f>
        <v>0</v>
      </c>
      <c r="X363" s="95" cm="1">
        <f t="array" ref="X363">IF($C363&gt;X$11,0,INDEX($F$341:$AD$341,X$11-$C363+1))*$D363</f>
        <v>0</v>
      </c>
      <c r="Y363" s="95" cm="1">
        <f t="array" ref="Y363">IF($C363&gt;Y$11,0,INDEX($F$341:$AD$341,Y$11-$C363+1))*$D363</f>
        <v>0</v>
      </c>
      <c r="Z363" s="95" cm="1">
        <f t="array" ref="Z363">IF($C363&gt;Z$11,0,INDEX($F$341:$AD$341,Z$11-$C363+1))*$D363</f>
        <v>440800</v>
      </c>
      <c r="AA363" s="95" cm="1">
        <f t="array" ref="AA363">IF($C363&gt;AA$11,0,INDEX($F$341:$AD$341,AA$11-$C363+1))*$D363</f>
        <v>352640</v>
      </c>
      <c r="AB363" s="95" cm="1">
        <f t="array" ref="AB363">IF($C363&gt;AB$11,0,INDEX($F$341:$AD$341,AB$11-$C363+1))*$D363</f>
        <v>264480</v>
      </c>
      <c r="AC363" s="95" cm="1">
        <f t="array" ref="AC363">IF($C363&gt;AC$11,0,INDEX($F$341:$AD$341,AC$11-$C363+1))*$D363</f>
        <v>176320</v>
      </c>
      <c r="AD363" s="95" cm="1">
        <f t="array" ref="AD363">IF($C363&gt;AD$11,0,INDEX($F$341:$AD$341,AD$11-$C363+1))*$D363</f>
        <v>88160</v>
      </c>
    </row>
    <row r="364" spans="1:30">
      <c r="A364" s="95"/>
      <c r="B364" s="118">
        <f t="shared" si="94"/>
        <v>1</v>
      </c>
      <c r="C364">
        <f t="shared" si="95"/>
        <v>2043</v>
      </c>
      <c r="D364" s="95" cm="1">
        <f t="array" ref="D364">INDEX($F$14:$AD$16,$B364,MATCH($C364,$F$11:$AD$11,0))*$G$342</f>
        <v>1952250</v>
      </c>
      <c r="E364" s="95"/>
      <c r="F364" s="95" cm="1">
        <f t="array" ref="F364">IF($C364&gt;F$11,0,INDEX($F$341:$AD$341,F$11-$C364+1))*$D364</f>
        <v>0</v>
      </c>
      <c r="G364" s="95" cm="1">
        <f t="array" ref="G364">IF($C364&gt;G$11,0,INDEX($F$341:$AD$341,G$11-$C364+1))*$D364</f>
        <v>0</v>
      </c>
      <c r="H364" s="95" cm="1">
        <f t="array" ref="H364">IF($C364&gt;H$11,0,INDEX($F$341:$AD$341,H$11-$C364+1))*$D364</f>
        <v>0</v>
      </c>
      <c r="I364" s="95" cm="1">
        <f t="array" ref="I364">IF($C364&gt;I$11,0,INDEX($F$341:$AD$341,I$11-$C364+1))*$D364</f>
        <v>0</v>
      </c>
      <c r="J364" s="95" cm="1">
        <f t="array" ref="J364">IF($C364&gt;J$11,0,INDEX($F$341:$AD$341,J$11-$C364+1))*$D364</f>
        <v>0</v>
      </c>
      <c r="K364" s="95" cm="1">
        <f t="array" ref="K364">IF($C364&gt;K$11,0,INDEX($F$341:$AD$341,K$11-$C364+1))*$D364</f>
        <v>0</v>
      </c>
      <c r="L364" s="95" cm="1">
        <f t="array" ref="L364">IF($C364&gt;L$11,0,INDEX($F$341:$AD$341,L$11-$C364+1))*$D364</f>
        <v>0</v>
      </c>
      <c r="M364" s="95" cm="1">
        <f t="array" ref="M364">IF($C364&gt;M$11,0,INDEX($F$341:$AD$341,M$11-$C364+1))*$D364</f>
        <v>0</v>
      </c>
      <c r="N364" s="95" cm="1">
        <f t="array" ref="N364">IF($C364&gt;N$11,0,INDEX($F$341:$AD$341,N$11-$C364+1))*$D364</f>
        <v>0</v>
      </c>
      <c r="O364" s="95" cm="1">
        <f t="array" ref="O364">IF($C364&gt;O$11,0,INDEX($F$341:$AD$341,O$11-$C364+1))*$D364</f>
        <v>0</v>
      </c>
      <c r="P364" s="95" cm="1">
        <f t="array" ref="P364">IF($C364&gt;P$11,0,INDEX($F$341:$AD$341,P$11-$C364+1))*$D364</f>
        <v>0</v>
      </c>
      <c r="Q364" s="95" cm="1">
        <f t="array" ref="Q364">IF($C364&gt;Q$11,0,INDEX($F$341:$AD$341,Q$11-$C364+1))*$D364</f>
        <v>0</v>
      </c>
      <c r="R364" s="95" cm="1">
        <f t="array" ref="R364">IF($C364&gt;R$11,0,INDEX($F$341:$AD$341,R$11-$C364+1))*$D364</f>
        <v>0</v>
      </c>
      <c r="S364" s="95" cm="1">
        <f t="array" ref="S364">IF($C364&gt;S$11,0,INDEX($F$341:$AD$341,S$11-$C364+1))*$D364</f>
        <v>0</v>
      </c>
      <c r="T364" s="95" cm="1">
        <f t="array" ref="T364">IF($C364&gt;T$11,0,INDEX($F$341:$AD$341,T$11-$C364+1))*$D364</f>
        <v>0</v>
      </c>
      <c r="U364" s="95" cm="1">
        <f t="array" ref="U364">IF($C364&gt;U$11,0,INDEX($F$341:$AD$341,U$11-$C364+1))*$D364</f>
        <v>0</v>
      </c>
      <c r="V364" s="95" cm="1">
        <f t="array" ref="V364">IF($C364&gt;V$11,0,INDEX($F$341:$AD$341,V$11-$C364+1))*$D364</f>
        <v>0</v>
      </c>
      <c r="W364" s="95" cm="1">
        <f t="array" ref="W364">IF($C364&gt;W$11,0,INDEX($F$341:$AD$341,W$11-$C364+1))*$D364</f>
        <v>0</v>
      </c>
      <c r="X364" s="95" cm="1">
        <f t="array" ref="X364">IF($C364&gt;X$11,0,INDEX($F$341:$AD$341,X$11-$C364+1))*$D364</f>
        <v>0</v>
      </c>
      <c r="Y364" s="95" cm="1">
        <f t="array" ref="Y364">IF($C364&gt;Y$11,0,INDEX($F$341:$AD$341,Y$11-$C364+1))*$D364</f>
        <v>0</v>
      </c>
      <c r="Z364" s="95" cm="1">
        <f t="array" ref="Z364">IF($C364&gt;Z$11,0,INDEX($F$341:$AD$341,Z$11-$C364+1))*$D364</f>
        <v>0</v>
      </c>
      <c r="AA364" s="95" cm="1">
        <f t="array" ref="AA364">IF($C364&gt;AA$11,0,INDEX($F$341:$AD$341,AA$11-$C364+1))*$D364</f>
        <v>650750</v>
      </c>
      <c r="AB364" s="95" cm="1">
        <f t="array" ref="AB364">IF($C364&gt;AB$11,0,INDEX($F$341:$AD$341,AB$11-$C364+1))*$D364</f>
        <v>520600</v>
      </c>
      <c r="AC364" s="95" cm="1">
        <f t="array" ref="AC364">IF($C364&gt;AC$11,0,INDEX($F$341:$AD$341,AC$11-$C364+1))*$D364</f>
        <v>390450</v>
      </c>
      <c r="AD364" s="95" cm="1">
        <f t="array" ref="AD364">IF($C364&gt;AD$11,0,INDEX($F$341:$AD$341,AD$11-$C364+1))*$D364</f>
        <v>260300</v>
      </c>
    </row>
    <row r="365" spans="1:30">
      <c r="A365" s="95"/>
      <c r="B365" s="118">
        <f t="shared" si="94"/>
        <v>1</v>
      </c>
      <c r="C365">
        <f t="shared" si="95"/>
        <v>2044</v>
      </c>
      <c r="D365" s="95" cm="1">
        <f t="array" ref="D365">INDEX($F$14:$AD$16,$B365,MATCH($C365,$F$11:$AD$11,0))*$G$342</f>
        <v>1735650</v>
      </c>
      <c r="E365" s="95"/>
      <c r="F365" s="95" cm="1">
        <f t="array" ref="F365">IF($C365&gt;F$11,0,INDEX($F$341:$AD$341,F$11-$C365+1))*$D365</f>
        <v>0</v>
      </c>
      <c r="G365" s="95" cm="1">
        <f t="array" ref="G365">IF($C365&gt;G$11,0,INDEX($F$341:$AD$341,G$11-$C365+1))*$D365</f>
        <v>0</v>
      </c>
      <c r="H365" s="95" cm="1">
        <f t="array" ref="H365">IF($C365&gt;H$11,0,INDEX($F$341:$AD$341,H$11-$C365+1))*$D365</f>
        <v>0</v>
      </c>
      <c r="I365" s="95" cm="1">
        <f t="array" ref="I365">IF($C365&gt;I$11,0,INDEX($F$341:$AD$341,I$11-$C365+1))*$D365</f>
        <v>0</v>
      </c>
      <c r="J365" s="95" cm="1">
        <f t="array" ref="J365">IF($C365&gt;J$11,0,INDEX($F$341:$AD$341,J$11-$C365+1))*$D365</f>
        <v>0</v>
      </c>
      <c r="K365" s="95" cm="1">
        <f t="array" ref="K365">IF($C365&gt;K$11,0,INDEX($F$341:$AD$341,K$11-$C365+1))*$D365</f>
        <v>0</v>
      </c>
      <c r="L365" s="95" cm="1">
        <f t="array" ref="L365">IF($C365&gt;L$11,0,INDEX($F$341:$AD$341,L$11-$C365+1))*$D365</f>
        <v>0</v>
      </c>
      <c r="M365" s="95" cm="1">
        <f t="array" ref="M365">IF($C365&gt;M$11,0,INDEX($F$341:$AD$341,M$11-$C365+1))*$D365</f>
        <v>0</v>
      </c>
      <c r="N365" s="95" cm="1">
        <f t="array" ref="N365">IF($C365&gt;N$11,0,INDEX($F$341:$AD$341,N$11-$C365+1))*$D365</f>
        <v>0</v>
      </c>
      <c r="O365" s="95" cm="1">
        <f t="array" ref="O365">IF($C365&gt;O$11,0,INDEX($F$341:$AD$341,O$11-$C365+1))*$D365</f>
        <v>0</v>
      </c>
      <c r="P365" s="95" cm="1">
        <f t="array" ref="P365">IF($C365&gt;P$11,0,INDEX($F$341:$AD$341,P$11-$C365+1))*$D365</f>
        <v>0</v>
      </c>
      <c r="Q365" s="95" cm="1">
        <f t="array" ref="Q365">IF($C365&gt;Q$11,0,INDEX($F$341:$AD$341,Q$11-$C365+1))*$D365</f>
        <v>0</v>
      </c>
      <c r="R365" s="95" cm="1">
        <f t="array" ref="R365">IF($C365&gt;R$11,0,INDEX($F$341:$AD$341,R$11-$C365+1))*$D365</f>
        <v>0</v>
      </c>
      <c r="S365" s="95" cm="1">
        <f t="array" ref="S365">IF($C365&gt;S$11,0,INDEX($F$341:$AD$341,S$11-$C365+1))*$D365</f>
        <v>0</v>
      </c>
      <c r="T365" s="95" cm="1">
        <f t="array" ref="T365">IF($C365&gt;T$11,0,INDEX($F$341:$AD$341,T$11-$C365+1))*$D365</f>
        <v>0</v>
      </c>
      <c r="U365" s="95" cm="1">
        <f t="array" ref="U365">IF($C365&gt;U$11,0,INDEX($F$341:$AD$341,U$11-$C365+1))*$D365</f>
        <v>0</v>
      </c>
      <c r="V365" s="95" cm="1">
        <f t="array" ref="V365">IF($C365&gt;V$11,0,INDEX($F$341:$AD$341,V$11-$C365+1))*$D365</f>
        <v>0</v>
      </c>
      <c r="W365" s="95" cm="1">
        <f t="array" ref="W365">IF($C365&gt;W$11,0,INDEX($F$341:$AD$341,W$11-$C365+1))*$D365</f>
        <v>0</v>
      </c>
      <c r="X365" s="95" cm="1">
        <f t="array" ref="X365">IF($C365&gt;X$11,0,INDEX($F$341:$AD$341,X$11-$C365+1))*$D365</f>
        <v>0</v>
      </c>
      <c r="Y365" s="95" cm="1">
        <f t="array" ref="Y365">IF($C365&gt;Y$11,0,INDEX($F$341:$AD$341,Y$11-$C365+1))*$D365</f>
        <v>0</v>
      </c>
      <c r="Z365" s="95" cm="1">
        <f t="array" ref="Z365">IF($C365&gt;Z$11,0,INDEX($F$341:$AD$341,Z$11-$C365+1))*$D365</f>
        <v>0</v>
      </c>
      <c r="AA365" s="95" cm="1">
        <f t="array" ref="AA365">IF($C365&gt;AA$11,0,INDEX($F$341:$AD$341,AA$11-$C365+1))*$D365</f>
        <v>0</v>
      </c>
      <c r="AB365" s="95" cm="1">
        <f t="array" ref="AB365">IF($C365&gt;AB$11,0,INDEX($F$341:$AD$341,AB$11-$C365+1))*$D365</f>
        <v>578550</v>
      </c>
      <c r="AC365" s="95" cm="1">
        <f t="array" ref="AC365">IF($C365&gt;AC$11,0,INDEX($F$341:$AD$341,AC$11-$C365+1))*$D365</f>
        <v>462840</v>
      </c>
      <c r="AD365" s="95" cm="1">
        <f t="array" ref="AD365">IF($C365&gt;AD$11,0,INDEX($F$341:$AD$341,AD$11-$C365+1))*$D365</f>
        <v>347130</v>
      </c>
    </row>
    <row r="366" spans="1:30">
      <c r="A366" s="95"/>
      <c r="B366" s="118">
        <f t="shared" si="94"/>
        <v>1</v>
      </c>
      <c r="C366">
        <f t="shared" si="95"/>
        <v>2045</v>
      </c>
      <c r="D366" s="95" cm="1">
        <f t="array" ref="D366">INDEX($F$14:$AD$16,$B366,MATCH($C366,$F$11:$AD$11,0))*$G$342</f>
        <v>867825</v>
      </c>
      <c r="E366" s="95"/>
      <c r="F366" s="95" cm="1">
        <f t="array" ref="F366">IF($C366&gt;F$11,0,INDEX($F$341:$AD$341,F$11-$C366+1))*$D366</f>
        <v>0</v>
      </c>
      <c r="G366" s="95" cm="1">
        <f t="array" ref="G366">IF($C366&gt;G$11,0,INDEX($F$341:$AD$341,G$11-$C366+1))*$D366</f>
        <v>0</v>
      </c>
      <c r="H366" s="95" cm="1">
        <f t="array" ref="H366">IF($C366&gt;H$11,0,INDEX($F$341:$AD$341,H$11-$C366+1))*$D366</f>
        <v>0</v>
      </c>
      <c r="I366" s="95" cm="1">
        <f t="array" ref="I366">IF($C366&gt;I$11,0,INDEX($F$341:$AD$341,I$11-$C366+1))*$D366</f>
        <v>0</v>
      </c>
      <c r="J366" s="95" cm="1">
        <f t="array" ref="J366">IF($C366&gt;J$11,0,INDEX($F$341:$AD$341,J$11-$C366+1))*$D366</f>
        <v>0</v>
      </c>
      <c r="K366" s="95" cm="1">
        <f t="array" ref="K366">IF($C366&gt;K$11,0,INDEX($F$341:$AD$341,K$11-$C366+1))*$D366</f>
        <v>0</v>
      </c>
      <c r="L366" s="95" cm="1">
        <f t="array" ref="L366">IF($C366&gt;L$11,0,INDEX($F$341:$AD$341,L$11-$C366+1))*$D366</f>
        <v>0</v>
      </c>
      <c r="M366" s="95" cm="1">
        <f t="array" ref="M366">IF($C366&gt;M$11,0,INDEX($F$341:$AD$341,M$11-$C366+1))*$D366</f>
        <v>0</v>
      </c>
      <c r="N366" s="95" cm="1">
        <f t="array" ref="N366">IF($C366&gt;N$11,0,INDEX($F$341:$AD$341,N$11-$C366+1))*$D366</f>
        <v>0</v>
      </c>
      <c r="O366" s="95" cm="1">
        <f t="array" ref="O366">IF($C366&gt;O$11,0,INDEX($F$341:$AD$341,O$11-$C366+1))*$D366</f>
        <v>0</v>
      </c>
      <c r="P366" s="95" cm="1">
        <f t="array" ref="P366">IF($C366&gt;P$11,0,INDEX($F$341:$AD$341,P$11-$C366+1))*$D366</f>
        <v>0</v>
      </c>
      <c r="Q366" s="95" cm="1">
        <f t="array" ref="Q366">IF($C366&gt;Q$11,0,INDEX($F$341:$AD$341,Q$11-$C366+1))*$D366</f>
        <v>0</v>
      </c>
      <c r="R366" s="95" cm="1">
        <f t="array" ref="R366">IF($C366&gt;R$11,0,INDEX($F$341:$AD$341,R$11-$C366+1))*$D366</f>
        <v>0</v>
      </c>
      <c r="S366" s="95" cm="1">
        <f t="array" ref="S366">IF($C366&gt;S$11,0,INDEX($F$341:$AD$341,S$11-$C366+1))*$D366</f>
        <v>0</v>
      </c>
      <c r="T366" s="95" cm="1">
        <f t="array" ref="T366">IF($C366&gt;T$11,0,INDEX($F$341:$AD$341,T$11-$C366+1))*$D366</f>
        <v>0</v>
      </c>
      <c r="U366" s="95" cm="1">
        <f t="array" ref="U366">IF($C366&gt;U$11,0,INDEX($F$341:$AD$341,U$11-$C366+1))*$D366</f>
        <v>0</v>
      </c>
      <c r="V366" s="95" cm="1">
        <f t="array" ref="V366">IF($C366&gt;V$11,0,INDEX($F$341:$AD$341,V$11-$C366+1))*$D366</f>
        <v>0</v>
      </c>
      <c r="W366" s="95" cm="1">
        <f t="array" ref="W366">IF($C366&gt;W$11,0,INDEX($F$341:$AD$341,W$11-$C366+1))*$D366</f>
        <v>0</v>
      </c>
      <c r="X366" s="95" cm="1">
        <f t="array" ref="X366">IF($C366&gt;X$11,0,INDEX($F$341:$AD$341,X$11-$C366+1))*$D366</f>
        <v>0</v>
      </c>
      <c r="Y366" s="95" cm="1">
        <f t="array" ref="Y366">IF($C366&gt;Y$11,0,INDEX($F$341:$AD$341,Y$11-$C366+1))*$D366</f>
        <v>0</v>
      </c>
      <c r="Z366" s="95" cm="1">
        <f t="array" ref="Z366">IF($C366&gt;Z$11,0,INDEX($F$341:$AD$341,Z$11-$C366+1))*$D366</f>
        <v>0</v>
      </c>
      <c r="AA366" s="95" cm="1">
        <f t="array" ref="AA366">IF($C366&gt;AA$11,0,INDEX($F$341:$AD$341,AA$11-$C366+1))*$D366</f>
        <v>0</v>
      </c>
      <c r="AB366" s="95" cm="1">
        <f t="array" ref="AB366">IF($C366&gt;AB$11,0,INDEX($F$341:$AD$341,AB$11-$C366+1))*$D366</f>
        <v>0</v>
      </c>
      <c r="AC366" s="95" cm="1">
        <f t="array" ref="AC366">IF($C366&gt;AC$11,0,INDEX($F$341:$AD$341,AC$11-$C366+1))*$D366</f>
        <v>289275</v>
      </c>
      <c r="AD366" s="95" cm="1">
        <f t="array" ref="AD366">IF($C366&gt;AD$11,0,INDEX($F$341:$AD$341,AD$11-$C366+1))*$D366</f>
        <v>231420</v>
      </c>
    </row>
    <row r="367" spans="1:30">
      <c r="A367" s="95"/>
      <c r="B367" s="118">
        <f t="shared" si="94"/>
        <v>1</v>
      </c>
      <c r="C367">
        <f t="shared" si="95"/>
        <v>2046</v>
      </c>
      <c r="D367" s="95" cm="1">
        <f t="array" ref="D367">INDEX($F$14:$AD$16,$B367,MATCH($C367,$F$11:$AD$11,0))*$G$342</f>
        <v>1288200</v>
      </c>
      <c r="E367" s="95"/>
      <c r="F367" s="95" cm="1">
        <f t="array" ref="F367">IF($C367&gt;F$11,0,INDEX($F$341:$AD$341,F$11-$C367+1))*$D367</f>
        <v>0</v>
      </c>
      <c r="G367" s="95" cm="1">
        <f t="array" ref="G367">IF($C367&gt;G$11,0,INDEX($F$341:$AD$341,G$11-$C367+1))*$D367</f>
        <v>0</v>
      </c>
      <c r="H367" s="95" cm="1">
        <f t="array" ref="H367">IF($C367&gt;H$11,0,INDEX($F$341:$AD$341,H$11-$C367+1))*$D367</f>
        <v>0</v>
      </c>
      <c r="I367" s="95" cm="1">
        <f t="array" ref="I367">IF($C367&gt;I$11,0,INDEX($F$341:$AD$341,I$11-$C367+1))*$D367</f>
        <v>0</v>
      </c>
      <c r="J367" s="95" cm="1">
        <f t="array" ref="J367">IF($C367&gt;J$11,0,INDEX($F$341:$AD$341,J$11-$C367+1))*$D367</f>
        <v>0</v>
      </c>
      <c r="K367" s="95" cm="1">
        <f t="array" ref="K367">IF($C367&gt;K$11,0,INDEX($F$341:$AD$341,K$11-$C367+1))*$D367</f>
        <v>0</v>
      </c>
      <c r="L367" s="95" cm="1">
        <f t="array" ref="L367">IF($C367&gt;L$11,0,INDEX($F$341:$AD$341,L$11-$C367+1))*$D367</f>
        <v>0</v>
      </c>
      <c r="M367" s="95" cm="1">
        <f t="array" ref="M367">IF($C367&gt;M$11,0,INDEX($F$341:$AD$341,M$11-$C367+1))*$D367</f>
        <v>0</v>
      </c>
      <c r="N367" s="95" cm="1">
        <f t="array" ref="N367">IF($C367&gt;N$11,0,INDEX($F$341:$AD$341,N$11-$C367+1))*$D367</f>
        <v>0</v>
      </c>
      <c r="O367" s="95" cm="1">
        <f t="array" ref="O367">IF($C367&gt;O$11,0,INDEX($F$341:$AD$341,O$11-$C367+1))*$D367</f>
        <v>0</v>
      </c>
      <c r="P367" s="95" cm="1">
        <f t="array" ref="P367">IF($C367&gt;P$11,0,INDEX($F$341:$AD$341,P$11-$C367+1))*$D367</f>
        <v>0</v>
      </c>
      <c r="Q367" s="95" cm="1">
        <f t="array" ref="Q367">IF($C367&gt;Q$11,0,INDEX($F$341:$AD$341,Q$11-$C367+1))*$D367</f>
        <v>0</v>
      </c>
      <c r="R367" s="95" cm="1">
        <f t="array" ref="R367">IF($C367&gt;R$11,0,INDEX($F$341:$AD$341,R$11-$C367+1))*$D367</f>
        <v>0</v>
      </c>
      <c r="S367" s="95" cm="1">
        <f t="array" ref="S367">IF($C367&gt;S$11,0,INDEX($F$341:$AD$341,S$11-$C367+1))*$D367</f>
        <v>0</v>
      </c>
      <c r="T367" s="95" cm="1">
        <f t="array" ref="T367">IF($C367&gt;T$11,0,INDEX($F$341:$AD$341,T$11-$C367+1))*$D367</f>
        <v>0</v>
      </c>
      <c r="U367" s="95" cm="1">
        <f t="array" ref="U367">IF($C367&gt;U$11,0,INDEX($F$341:$AD$341,U$11-$C367+1))*$D367</f>
        <v>0</v>
      </c>
      <c r="V367" s="95" cm="1">
        <f t="array" ref="V367">IF($C367&gt;V$11,0,INDEX($F$341:$AD$341,V$11-$C367+1))*$D367</f>
        <v>0</v>
      </c>
      <c r="W367" s="95" cm="1">
        <f t="array" ref="W367">IF($C367&gt;W$11,0,INDEX($F$341:$AD$341,W$11-$C367+1))*$D367</f>
        <v>0</v>
      </c>
      <c r="X367" s="95" cm="1">
        <f t="array" ref="X367">IF($C367&gt;X$11,0,INDEX($F$341:$AD$341,X$11-$C367+1))*$D367</f>
        <v>0</v>
      </c>
      <c r="Y367" s="95" cm="1">
        <f t="array" ref="Y367">IF($C367&gt;Y$11,0,INDEX($F$341:$AD$341,Y$11-$C367+1))*$D367</f>
        <v>0</v>
      </c>
      <c r="Z367" s="95" cm="1">
        <f t="array" ref="Z367">IF($C367&gt;Z$11,0,INDEX($F$341:$AD$341,Z$11-$C367+1))*$D367</f>
        <v>0</v>
      </c>
      <c r="AA367" s="95" cm="1">
        <f t="array" ref="AA367">IF($C367&gt;AA$11,0,INDEX($F$341:$AD$341,AA$11-$C367+1))*$D367</f>
        <v>0</v>
      </c>
      <c r="AB367" s="95" cm="1">
        <f t="array" ref="AB367">IF($C367&gt;AB$11,0,INDEX($F$341:$AD$341,AB$11-$C367+1))*$D367</f>
        <v>0</v>
      </c>
      <c r="AC367" s="95" cm="1">
        <f t="array" ref="AC367">IF($C367&gt;AC$11,0,INDEX($F$341:$AD$341,AC$11-$C367+1))*$D367</f>
        <v>0</v>
      </c>
      <c r="AD367" s="95" cm="1">
        <f t="array" ref="AD367">IF($C367&gt;AD$11,0,INDEX($F$341:$AD$341,AD$11-$C367+1))*$D367</f>
        <v>429400</v>
      </c>
    </row>
    <row r="368" spans="1:30" ht="14.4">
      <c r="C368" s="108" t="str">
        <f>"Total "&amp;C339</f>
        <v>Total Short Term</v>
      </c>
      <c r="D368" s="108" t="s">
        <v>68</v>
      </c>
      <c r="E368" s="109"/>
      <c r="F368" s="110">
        <f>SUM(F343:F367)</f>
        <v>862600</v>
      </c>
      <c r="G368" s="110">
        <f t="shared" ref="G368:AD368" si="96">SUM(G343:G367)</f>
        <v>786980</v>
      </c>
      <c r="H368" s="110">
        <f t="shared" si="96"/>
        <v>891005</v>
      </c>
      <c r="I368" s="110">
        <f t="shared" si="96"/>
        <v>1442670</v>
      </c>
      <c r="J368" s="110">
        <f t="shared" si="96"/>
        <v>1434310</v>
      </c>
      <c r="K368" s="110">
        <f t="shared" si="96"/>
        <v>1493495</v>
      </c>
      <c r="L368" s="110">
        <f t="shared" si="96"/>
        <v>1449605</v>
      </c>
      <c r="M368" s="110">
        <f t="shared" si="96"/>
        <v>1053360</v>
      </c>
      <c r="N368" s="110">
        <f t="shared" si="96"/>
        <v>957790</v>
      </c>
      <c r="O368" s="110">
        <f t="shared" si="96"/>
        <v>1343395</v>
      </c>
      <c r="P368" s="110">
        <f t="shared" si="96"/>
        <v>1390895</v>
      </c>
      <c r="Q368" s="110">
        <f t="shared" si="96"/>
        <v>1669435</v>
      </c>
      <c r="R368" s="110">
        <f t="shared" si="96"/>
        <v>1544320</v>
      </c>
      <c r="S368" s="110">
        <f t="shared" si="96"/>
        <v>1461385</v>
      </c>
      <c r="T368" s="110">
        <f t="shared" si="96"/>
        <v>1483045</v>
      </c>
      <c r="U368" s="110">
        <f t="shared" si="96"/>
        <v>1149690</v>
      </c>
      <c r="V368" s="110">
        <f t="shared" si="96"/>
        <v>1492640</v>
      </c>
      <c r="W368" s="110">
        <f t="shared" si="96"/>
        <v>1352705</v>
      </c>
      <c r="X368" s="110">
        <f t="shared" si="96"/>
        <v>1615190</v>
      </c>
      <c r="Y368" s="110">
        <f t="shared" si="96"/>
        <v>1694325</v>
      </c>
      <c r="Z368" s="110">
        <f t="shared" si="96"/>
        <v>1621935</v>
      </c>
      <c r="AA368" s="110">
        <f t="shared" si="96"/>
        <v>1704585</v>
      </c>
      <c r="AB368" s="110">
        <f t="shared" si="96"/>
        <v>1741160</v>
      </c>
      <c r="AC368" s="110">
        <f t="shared" si="96"/>
        <v>1436210</v>
      </c>
      <c r="AD368" s="110">
        <f t="shared" si="96"/>
        <v>1356410</v>
      </c>
    </row>
    <row r="370" spans="1:30" ht="14.4">
      <c r="B370" s="94">
        <v>2</v>
      </c>
      <c r="C370" s="93" t="str" cm="1">
        <f t="array" ref="C370">INDEX(ListAssetClasses1,B370)</f>
        <v>Medium Term</v>
      </c>
      <c r="E370" t="s">
        <v>32</v>
      </c>
      <c r="F370" s="111" cm="1">
        <f t="array" ref="F370">INDEX($D$314:$D$316,B370)</f>
        <v>10</v>
      </c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</row>
    <row r="371" spans="1:30" ht="14.4">
      <c r="E371" t="s">
        <v>37</v>
      </c>
      <c r="F371" s="122">
        <v>1</v>
      </c>
      <c r="G371" s="111">
        <f>F371+1</f>
        <v>2</v>
      </c>
      <c r="H371" s="111">
        <f t="shared" ref="H371:Y371" si="97">G371+1</f>
        <v>3</v>
      </c>
      <c r="I371" s="111">
        <f t="shared" si="97"/>
        <v>4</v>
      </c>
      <c r="J371" s="111">
        <f t="shared" si="97"/>
        <v>5</v>
      </c>
      <c r="K371" s="111">
        <f t="shared" si="97"/>
        <v>6</v>
      </c>
      <c r="L371" s="111">
        <f t="shared" si="97"/>
        <v>7</v>
      </c>
      <c r="M371" s="111">
        <f t="shared" si="97"/>
        <v>8</v>
      </c>
      <c r="N371" s="111">
        <f t="shared" si="97"/>
        <v>9</v>
      </c>
      <c r="O371" s="111">
        <f t="shared" si="97"/>
        <v>10</v>
      </c>
      <c r="P371" s="111">
        <f t="shared" si="97"/>
        <v>11</v>
      </c>
      <c r="Q371" s="111">
        <f t="shared" si="97"/>
        <v>12</v>
      </c>
      <c r="R371" s="111">
        <f t="shared" si="97"/>
        <v>13</v>
      </c>
      <c r="S371" s="111">
        <f t="shared" si="97"/>
        <v>14</v>
      </c>
      <c r="T371" s="111">
        <f t="shared" si="97"/>
        <v>15</v>
      </c>
      <c r="U371" s="111">
        <f t="shared" si="97"/>
        <v>16</v>
      </c>
      <c r="V371" s="111">
        <f t="shared" si="97"/>
        <v>17</v>
      </c>
      <c r="W371" s="111">
        <f t="shared" si="97"/>
        <v>18</v>
      </c>
      <c r="X371" s="111">
        <f t="shared" si="97"/>
        <v>19</v>
      </c>
      <c r="Y371" s="111">
        <f t="shared" si="97"/>
        <v>20</v>
      </c>
      <c r="Z371" s="95"/>
      <c r="AA371" s="95"/>
      <c r="AB371" s="95"/>
      <c r="AC371" s="95"/>
      <c r="AD371" s="95"/>
    </row>
    <row r="372" spans="1:30" ht="14.4">
      <c r="E372" t="s">
        <v>83</v>
      </c>
      <c r="F372" s="125">
        <f>INDEX(CaseData!$D$65:$T$86,MATCH(F371,CaseData!$D$65:$D$86,0),MATCH($F370,CaseData!$D$65:$T$65,0))</f>
        <v>0.18181818181818182</v>
      </c>
      <c r="G372" s="125">
        <f>INDEX(CaseData!$D$65:$T$86,MATCH(G371,CaseData!$D$65:$D$86,0),MATCH($F370,CaseData!$D$65:$T$65,0))</f>
        <v>0.16363636363636364</v>
      </c>
      <c r="H372" s="125">
        <f>INDEX(CaseData!$D$65:$T$86,MATCH(H371,CaseData!$D$65:$D$86,0),MATCH($F370,CaseData!$D$65:$T$65,0))</f>
        <v>0.14545454545454545</v>
      </c>
      <c r="I372" s="125">
        <f>INDEX(CaseData!$D$65:$T$86,MATCH(I371,CaseData!$D$65:$D$86,0),MATCH($F370,CaseData!$D$65:$T$65,0))</f>
        <v>0.12727272727272726</v>
      </c>
      <c r="J372" s="125">
        <f>INDEX(CaseData!$D$65:$T$86,MATCH(J371,CaseData!$D$65:$D$86,0),MATCH($F370,CaseData!$D$65:$T$65,0))</f>
        <v>0.10909090909090909</v>
      </c>
      <c r="K372" s="125">
        <f>INDEX(CaseData!$D$65:$T$86,MATCH(K371,CaseData!$D$65:$D$86,0),MATCH($F370,CaseData!$D$65:$T$65,0))</f>
        <v>9.0909090909090912E-2</v>
      </c>
      <c r="L372" s="125">
        <f>INDEX(CaseData!$D$65:$T$86,MATCH(L371,CaseData!$D$65:$D$86,0),MATCH($F370,CaseData!$D$65:$T$65,0))</f>
        <v>7.2727272727272724E-2</v>
      </c>
      <c r="M372" s="125">
        <f>INDEX(CaseData!$D$65:$T$86,MATCH(M371,CaseData!$D$65:$D$86,0),MATCH($F370,CaseData!$D$65:$T$65,0))</f>
        <v>5.4545454545454543E-2</v>
      </c>
      <c r="N372" s="125">
        <f>INDEX(CaseData!$D$65:$T$86,MATCH(N371,CaseData!$D$65:$D$86,0),MATCH($F370,CaseData!$D$65:$T$65,0))</f>
        <v>3.6363636363636362E-2</v>
      </c>
      <c r="O372" s="125">
        <f>INDEX(CaseData!$D$65:$T$86,MATCH(O371,CaseData!$D$65:$D$86,0),MATCH($F370,CaseData!$D$65:$T$65,0))</f>
        <v>1.8181818181818181E-2</v>
      </c>
      <c r="P372" s="125">
        <f>INDEX(CaseData!$D$65:$T$86,MATCH(P371,CaseData!$D$65:$D$86,0),MATCH($F370,CaseData!$D$65:$T$65,0))</f>
        <v>0</v>
      </c>
      <c r="Q372" s="125">
        <f>INDEX(CaseData!$D$65:$T$86,MATCH(Q371,CaseData!$D$65:$D$86,0),MATCH($F370,CaseData!$D$65:$T$65,0))</f>
        <v>0</v>
      </c>
      <c r="R372" s="125">
        <f>INDEX(CaseData!$D$65:$T$86,MATCH(R371,CaseData!$D$65:$D$86,0),MATCH($F370,CaseData!$D$65:$T$65,0))</f>
        <v>0</v>
      </c>
      <c r="S372" s="125">
        <f>INDEX(CaseData!$D$65:$T$86,MATCH(S371,CaseData!$D$65:$D$86,0),MATCH($F370,CaseData!$D$65:$T$65,0))</f>
        <v>0</v>
      </c>
      <c r="T372" s="125">
        <f>INDEX(CaseData!$D$65:$T$86,MATCH(T371,CaseData!$D$65:$D$86,0),MATCH($F370,CaseData!$D$65:$T$65,0))</f>
        <v>0</v>
      </c>
      <c r="U372" s="125">
        <f>INDEX(CaseData!$D$65:$T$86,MATCH(U371,CaseData!$D$65:$D$86,0),MATCH($F370,CaseData!$D$65:$T$65,0))</f>
        <v>0</v>
      </c>
      <c r="V372" s="125">
        <f>INDEX(CaseData!$D$65:$T$86,MATCH(V371,CaseData!$D$65:$D$86,0),MATCH($F370,CaseData!$D$65:$T$65,0))</f>
        <v>0</v>
      </c>
      <c r="W372" s="125">
        <f>INDEX(CaseData!$D$65:$T$86,MATCH(W371,CaseData!$D$65:$D$86,0),MATCH($F370,CaseData!$D$65:$T$65,0))</f>
        <v>0</v>
      </c>
      <c r="X372" s="125">
        <f>INDEX(CaseData!$D$65:$T$86,MATCH(X371,CaseData!$D$65:$D$86,0),MATCH($F370,CaseData!$D$65:$T$65,0))</f>
        <v>0</v>
      </c>
      <c r="Y372" s="125">
        <f>INDEX(CaseData!$D$65:$T$86,MATCH(Y371,CaseData!$D$65:$D$86,0),MATCH($F370,CaseData!$D$65:$T$65,0))</f>
        <v>0</v>
      </c>
      <c r="Z372" s="95"/>
      <c r="AA372" s="95"/>
      <c r="AB372" s="95"/>
      <c r="AC372" s="95"/>
      <c r="AD372" s="95"/>
    </row>
    <row r="373" spans="1:30" ht="14.4">
      <c r="C373" s="114" t="s">
        <v>76</v>
      </c>
      <c r="D373" s="114" t="s">
        <v>77</v>
      </c>
      <c r="E373" s="115" t="s">
        <v>73</v>
      </c>
      <c r="F373" s="119"/>
      <c r="G373" s="117">
        <f>1-CaseData!$G$11</f>
        <v>0.95</v>
      </c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95"/>
      <c r="AA373" s="95"/>
      <c r="AB373" s="95"/>
      <c r="AC373" s="95"/>
      <c r="AD373" s="95"/>
    </row>
    <row r="374" spans="1:30">
      <c r="A374" s="95"/>
      <c r="B374" s="118">
        <f>B370</f>
        <v>2</v>
      </c>
      <c r="C374">
        <f>$F$11</f>
        <v>2022</v>
      </c>
      <c r="D374" s="95" cm="1">
        <f t="array" ref="D374">INDEX($F$14:$AD$16,$B374,MATCH($C374,$F$11:$AD$11,0))*$G$373</f>
        <v>2731725</v>
      </c>
      <c r="E374" s="95"/>
      <c r="F374" s="95" cm="1">
        <f t="array" ref="F374">IF($C374&gt;F$11,0,INDEX($F$372:$AD$372,F$11-$C374+1))*$D374</f>
        <v>496677.27272727276</v>
      </c>
      <c r="G374" s="95" cm="1">
        <f t="array" ref="G374">IF($C374&gt;G$11,0,INDEX($F$372:$AD$372,G$11-$C374+1))*$D374</f>
        <v>447009.54545454547</v>
      </c>
      <c r="H374" s="95" cm="1">
        <f t="array" ref="H374">IF($C374&gt;H$11,0,INDEX($F$372:$AD$372,H$11-$C374+1))*$D374</f>
        <v>397341.81818181818</v>
      </c>
      <c r="I374" s="95" cm="1">
        <f t="array" ref="I374">IF($C374&gt;I$11,0,INDEX($F$372:$AD$372,I$11-$C374+1))*$D374</f>
        <v>347674.09090909088</v>
      </c>
      <c r="J374" s="95" cm="1">
        <f t="array" ref="J374">IF($C374&gt;J$11,0,INDEX($F$372:$AD$372,J$11-$C374+1))*$D374</f>
        <v>298006.36363636365</v>
      </c>
      <c r="K374" s="95" cm="1">
        <f t="array" ref="K374">IF($C374&gt;K$11,0,INDEX($F$372:$AD$372,K$11-$C374+1))*$D374</f>
        <v>248338.63636363638</v>
      </c>
      <c r="L374" s="95" cm="1">
        <f t="array" ref="L374">IF($C374&gt;L$11,0,INDEX($F$372:$AD$372,L$11-$C374+1))*$D374</f>
        <v>198670.90909090909</v>
      </c>
      <c r="M374" s="95" cm="1">
        <f t="array" ref="M374">IF($C374&gt;M$11,0,INDEX($F$372:$AD$372,M$11-$C374+1))*$D374</f>
        <v>149003.18181818182</v>
      </c>
      <c r="N374" s="95" cm="1">
        <f t="array" ref="N374">IF($C374&gt;N$11,0,INDEX($F$372:$AD$372,N$11-$C374+1))*$D374</f>
        <v>99335.454545454544</v>
      </c>
      <c r="O374" s="95" cm="1">
        <f t="array" ref="O374">IF($C374&gt;O$11,0,INDEX($F$372:$AD$372,O$11-$C374+1))*$D374</f>
        <v>49667.727272727272</v>
      </c>
      <c r="P374" s="95" cm="1">
        <f t="array" ref="P374">IF($C374&gt;P$11,0,INDEX($F$372:$AD$372,P$11-$C374+1))*$D374</f>
        <v>0</v>
      </c>
      <c r="Q374" s="95" cm="1">
        <f t="array" ref="Q374">IF($C374&gt;Q$11,0,INDEX($F$372:$AD$372,Q$11-$C374+1))*$D374</f>
        <v>0</v>
      </c>
      <c r="R374" s="95" cm="1">
        <f t="array" ref="R374">IF($C374&gt;R$11,0,INDEX($F$372:$AD$372,R$11-$C374+1))*$D374</f>
        <v>0</v>
      </c>
      <c r="S374" s="95" cm="1">
        <f t="array" ref="S374">IF($C374&gt;S$11,0,INDEX($F$372:$AD$372,S$11-$C374+1))*$D374</f>
        <v>0</v>
      </c>
      <c r="T374" s="95" cm="1">
        <f t="array" ref="T374">IF($C374&gt;T$11,0,INDEX($F$372:$AD$372,T$11-$C374+1))*$D374</f>
        <v>0</v>
      </c>
      <c r="U374" s="95" cm="1">
        <f t="array" ref="U374">IF($C374&gt;U$11,0,INDEX($F$372:$AD$372,U$11-$C374+1))*$D374</f>
        <v>0</v>
      </c>
      <c r="V374" s="95" cm="1">
        <f t="array" ref="V374">IF($C374&gt;V$11,0,INDEX($F$372:$AD$372,V$11-$C374+1))*$D374</f>
        <v>0</v>
      </c>
      <c r="W374" s="95" cm="1">
        <f t="array" ref="W374">IF($C374&gt;W$11,0,INDEX($F$372:$AD$372,W$11-$C374+1))*$D374</f>
        <v>0</v>
      </c>
      <c r="X374" s="95" cm="1">
        <f t="array" ref="X374">IF($C374&gt;X$11,0,INDEX($F$372:$AD$372,X$11-$C374+1))*$D374</f>
        <v>0</v>
      </c>
      <c r="Y374" s="95" cm="1">
        <f t="array" ref="Y374">IF($C374&gt;Y$11,0,INDEX($F$372:$AD$372,Y$11-$C374+1))*$D374</f>
        <v>0</v>
      </c>
      <c r="Z374" s="95" cm="1">
        <f t="array" ref="Z374">IF($C374&gt;Z$11,0,INDEX($F$372:$AD$372,Z$11-$C374+1))*$D374</f>
        <v>0</v>
      </c>
      <c r="AA374" s="95" cm="1">
        <f t="array" ref="AA374">IF($C374&gt;AA$11,0,INDEX($F$372:$AD$372,AA$11-$C374+1))*$D374</f>
        <v>0</v>
      </c>
      <c r="AB374" s="95" cm="1">
        <f t="array" ref="AB374">IF($C374&gt;AB$11,0,INDEX($F$372:$AD$372,AB$11-$C374+1))*$D374</f>
        <v>0</v>
      </c>
      <c r="AC374" s="95" cm="1">
        <f t="array" ref="AC374">IF($C374&gt;AC$11,0,INDEX($F$372:$AD$372,AC$11-$C374+1))*$D374</f>
        <v>0</v>
      </c>
      <c r="AD374" s="95" cm="1">
        <f t="array" ref="AD374">IF($C374&gt;AD$11,0,INDEX($F$372:$AD$372,AD$11-$C374+1))*$D374</f>
        <v>0</v>
      </c>
    </row>
    <row r="375" spans="1:30">
      <c r="A375" s="95"/>
      <c r="B375" s="118">
        <f>B374</f>
        <v>2</v>
      </c>
      <c r="C375">
        <f>C374+1</f>
        <v>2023</v>
      </c>
      <c r="D375" s="95" cm="1">
        <f t="array" ref="D375">INDEX($F$14:$AD$16,$B375,MATCH($C375,$F$11:$AD$11,0))*$G$373</f>
        <v>793725</v>
      </c>
      <c r="E375" s="95"/>
      <c r="F375" s="95" cm="1">
        <f t="array" ref="F375">IF($C375&gt;F$11,0,INDEX($F$372:$AD$372,F$11-$C375+1))*$D375</f>
        <v>0</v>
      </c>
      <c r="G375" s="95" cm="1">
        <f t="array" ref="G375">IF($C375&gt;G$11,0,INDEX($F$372:$AD$372,G$11-$C375+1))*$D375</f>
        <v>144313.63636363638</v>
      </c>
      <c r="H375" s="95" cm="1">
        <f t="array" ref="H375">IF($C375&gt;H$11,0,INDEX($F$372:$AD$372,H$11-$C375+1))*$D375</f>
        <v>129882.27272727272</v>
      </c>
      <c r="I375" s="95" cm="1">
        <f t="array" ref="I375">IF($C375&gt;I$11,0,INDEX($F$372:$AD$372,I$11-$C375+1))*$D375</f>
        <v>115450.90909090909</v>
      </c>
      <c r="J375" s="95" cm="1">
        <f t="array" ref="J375">IF($C375&gt;J$11,0,INDEX($F$372:$AD$372,J$11-$C375+1))*$D375</f>
        <v>101019.54545454544</v>
      </c>
      <c r="K375" s="95" cm="1">
        <f t="array" ref="K375">IF($C375&gt;K$11,0,INDEX($F$372:$AD$372,K$11-$C375+1))*$D375</f>
        <v>86588.181818181809</v>
      </c>
      <c r="L375" s="95" cm="1">
        <f t="array" ref="L375">IF($C375&gt;L$11,0,INDEX($F$372:$AD$372,L$11-$C375+1))*$D375</f>
        <v>72156.818181818191</v>
      </c>
      <c r="M375" s="95" cm="1">
        <f t="array" ref="M375">IF($C375&gt;M$11,0,INDEX($F$372:$AD$372,M$11-$C375+1))*$D375</f>
        <v>57725.454545454544</v>
      </c>
      <c r="N375" s="95" cm="1">
        <f t="array" ref="N375">IF($C375&gt;N$11,0,INDEX($F$372:$AD$372,N$11-$C375+1))*$D375</f>
        <v>43294.090909090904</v>
      </c>
      <c r="O375" s="95" cm="1">
        <f t="array" ref="O375">IF($C375&gt;O$11,0,INDEX($F$372:$AD$372,O$11-$C375+1))*$D375</f>
        <v>28862.727272727272</v>
      </c>
      <c r="P375" s="95" cm="1">
        <f t="array" ref="P375">IF($C375&gt;P$11,0,INDEX($F$372:$AD$372,P$11-$C375+1))*$D375</f>
        <v>14431.363636363636</v>
      </c>
      <c r="Q375" s="95" cm="1">
        <f t="array" ref="Q375">IF($C375&gt;Q$11,0,INDEX($F$372:$AD$372,Q$11-$C375+1))*$D375</f>
        <v>0</v>
      </c>
      <c r="R375" s="95" cm="1">
        <f t="array" ref="R375">IF($C375&gt;R$11,0,INDEX($F$372:$AD$372,R$11-$C375+1))*$D375</f>
        <v>0</v>
      </c>
      <c r="S375" s="95" cm="1">
        <f t="array" ref="S375">IF($C375&gt;S$11,0,INDEX($F$372:$AD$372,S$11-$C375+1))*$D375</f>
        <v>0</v>
      </c>
      <c r="T375" s="95" cm="1">
        <f t="array" ref="T375">IF($C375&gt;T$11,0,INDEX($F$372:$AD$372,T$11-$C375+1))*$D375</f>
        <v>0</v>
      </c>
      <c r="U375" s="95" cm="1">
        <f t="array" ref="U375">IF($C375&gt;U$11,0,INDEX($F$372:$AD$372,U$11-$C375+1))*$D375</f>
        <v>0</v>
      </c>
      <c r="V375" s="95" cm="1">
        <f t="array" ref="V375">IF($C375&gt;V$11,0,INDEX($F$372:$AD$372,V$11-$C375+1))*$D375</f>
        <v>0</v>
      </c>
      <c r="W375" s="95" cm="1">
        <f t="array" ref="W375">IF($C375&gt;W$11,0,INDEX($F$372:$AD$372,W$11-$C375+1))*$D375</f>
        <v>0</v>
      </c>
      <c r="X375" s="95" cm="1">
        <f t="array" ref="X375">IF($C375&gt;X$11,0,INDEX($F$372:$AD$372,X$11-$C375+1))*$D375</f>
        <v>0</v>
      </c>
      <c r="Y375" s="95" cm="1">
        <f t="array" ref="Y375">IF($C375&gt;Y$11,0,INDEX($F$372:$AD$372,Y$11-$C375+1))*$D375</f>
        <v>0</v>
      </c>
      <c r="Z375" s="95" cm="1">
        <f t="array" ref="Z375">IF($C375&gt;Z$11,0,INDEX($F$372:$AD$372,Z$11-$C375+1))*$D375</f>
        <v>0</v>
      </c>
      <c r="AA375" s="95" cm="1">
        <f t="array" ref="AA375">IF($C375&gt;AA$11,0,INDEX($F$372:$AD$372,AA$11-$C375+1))*$D375</f>
        <v>0</v>
      </c>
      <c r="AB375" s="95" cm="1">
        <f t="array" ref="AB375">IF($C375&gt;AB$11,0,INDEX($F$372:$AD$372,AB$11-$C375+1))*$D375</f>
        <v>0</v>
      </c>
      <c r="AC375" s="95" cm="1">
        <f t="array" ref="AC375">IF($C375&gt;AC$11,0,INDEX($F$372:$AD$372,AC$11-$C375+1))*$D375</f>
        <v>0</v>
      </c>
      <c r="AD375" s="95" cm="1">
        <f t="array" ref="AD375">IF($C375&gt;AD$11,0,INDEX($F$372:$AD$372,AD$11-$C375+1))*$D375</f>
        <v>0</v>
      </c>
    </row>
    <row r="376" spans="1:30">
      <c r="A376" s="95"/>
      <c r="B376" s="118">
        <f t="shared" ref="B376:B398" si="98">B375</f>
        <v>2</v>
      </c>
      <c r="C376">
        <f t="shared" ref="C376:C398" si="99">C375+1</f>
        <v>2024</v>
      </c>
      <c r="D376" s="95" cm="1">
        <f t="array" ref="D376">INDEX($F$14:$AD$16,$B376,MATCH($C376,$F$11:$AD$11,0))*$G$373</f>
        <v>988950</v>
      </c>
      <c r="E376" s="95"/>
      <c r="F376" s="95" cm="1">
        <f t="array" ref="F376">IF($C376&gt;F$11,0,INDEX($F$372:$AD$372,F$11-$C376+1))*$D376</f>
        <v>0</v>
      </c>
      <c r="G376" s="95" cm="1">
        <f t="array" ref="G376">IF($C376&gt;G$11,0,INDEX($F$372:$AD$372,G$11-$C376+1))*$D376</f>
        <v>0</v>
      </c>
      <c r="H376" s="95" cm="1">
        <f t="array" ref="H376">IF($C376&gt;H$11,0,INDEX($F$372:$AD$372,H$11-$C376+1))*$D376</f>
        <v>179809.09090909091</v>
      </c>
      <c r="I376" s="95" cm="1">
        <f t="array" ref="I376">IF($C376&gt;I$11,0,INDEX($F$372:$AD$372,I$11-$C376+1))*$D376</f>
        <v>161828.18181818182</v>
      </c>
      <c r="J376" s="95" cm="1">
        <f t="array" ref="J376">IF($C376&gt;J$11,0,INDEX($F$372:$AD$372,J$11-$C376+1))*$D376</f>
        <v>143847.27272727271</v>
      </c>
      <c r="K376" s="95" cm="1">
        <f t="array" ref="K376">IF($C376&gt;K$11,0,INDEX($F$372:$AD$372,K$11-$C376+1))*$D376</f>
        <v>125866.36363636362</v>
      </c>
      <c r="L376" s="95" cm="1">
        <f t="array" ref="L376">IF($C376&gt;L$11,0,INDEX($F$372:$AD$372,L$11-$C376+1))*$D376</f>
        <v>107885.45454545454</v>
      </c>
      <c r="M376" s="95" cm="1">
        <f t="array" ref="M376">IF($C376&gt;M$11,0,INDEX($F$372:$AD$372,M$11-$C376+1))*$D376</f>
        <v>89904.545454545456</v>
      </c>
      <c r="N376" s="95" cm="1">
        <f t="array" ref="N376">IF($C376&gt;N$11,0,INDEX($F$372:$AD$372,N$11-$C376+1))*$D376</f>
        <v>71923.636363636353</v>
      </c>
      <c r="O376" s="95" cm="1">
        <f t="array" ref="O376">IF($C376&gt;O$11,0,INDEX($F$372:$AD$372,O$11-$C376+1))*$D376</f>
        <v>53942.727272727272</v>
      </c>
      <c r="P376" s="95" cm="1">
        <f t="array" ref="P376">IF($C376&gt;P$11,0,INDEX($F$372:$AD$372,P$11-$C376+1))*$D376</f>
        <v>35961.818181818177</v>
      </c>
      <c r="Q376" s="95" cm="1">
        <f t="array" ref="Q376">IF($C376&gt;Q$11,0,INDEX($F$372:$AD$372,Q$11-$C376+1))*$D376</f>
        <v>17980.909090909088</v>
      </c>
      <c r="R376" s="95" cm="1">
        <f t="array" ref="R376">IF($C376&gt;R$11,0,INDEX($F$372:$AD$372,R$11-$C376+1))*$D376</f>
        <v>0</v>
      </c>
      <c r="S376" s="95" cm="1">
        <f t="array" ref="S376">IF($C376&gt;S$11,0,INDEX($F$372:$AD$372,S$11-$C376+1))*$D376</f>
        <v>0</v>
      </c>
      <c r="T376" s="95" cm="1">
        <f t="array" ref="T376">IF($C376&gt;T$11,0,INDEX($F$372:$AD$372,T$11-$C376+1))*$D376</f>
        <v>0</v>
      </c>
      <c r="U376" s="95" cm="1">
        <f t="array" ref="U376">IF($C376&gt;U$11,0,INDEX($F$372:$AD$372,U$11-$C376+1))*$D376</f>
        <v>0</v>
      </c>
      <c r="V376" s="95" cm="1">
        <f t="array" ref="V376">IF($C376&gt;V$11,0,INDEX($F$372:$AD$372,V$11-$C376+1))*$D376</f>
        <v>0</v>
      </c>
      <c r="W376" s="95" cm="1">
        <f t="array" ref="W376">IF($C376&gt;W$11,0,INDEX($F$372:$AD$372,W$11-$C376+1))*$D376</f>
        <v>0</v>
      </c>
      <c r="X376" s="95" cm="1">
        <f t="array" ref="X376">IF($C376&gt;X$11,0,INDEX($F$372:$AD$372,X$11-$C376+1))*$D376</f>
        <v>0</v>
      </c>
      <c r="Y376" s="95" cm="1">
        <f t="array" ref="Y376">IF($C376&gt;Y$11,0,INDEX($F$372:$AD$372,Y$11-$C376+1))*$D376</f>
        <v>0</v>
      </c>
      <c r="Z376" s="95" cm="1">
        <f t="array" ref="Z376">IF($C376&gt;Z$11,0,INDEX($F$372:$AD$372,Z$11-$C376+1))*$D376</f>
        <v>0</v>
      </c>
      <c r="AA376" s="95" cm="1">
        <f t="array" ref="AA376">IF($C376&gt;AA$11,0,INDEX($F$372:$AD$372,AA$11-$C376+1))*$D376</f>
        <v>0</v>
      </c>
      <c r="AB376" s="95" cm="1">
        <f t="array" ref="AB376">IF($C376&gt;AB$11,0,INDEX($F$372:$AD$372,AB$11-$C376+1))*$D376</f>
        <v>0</v>
      </c>
      <c r="AC376" s="95" cm="1">
        <f t="array" ref="AC376">IF($C376&gt;AC$11,0,INDEX($F$372:$AD$372,AC$11-$C376+1))*$D376</f>
        <v>0</v>
      </c>
      <c r="AD376" s="95" cm="1">
        <f t="array" ref="AD376">IF($C376&gt;AD$11,0,INDEX($F$372:$AD$372,AD$11-$C376+1))*$D376</f>
        <v>0</v>
      </c>
    </row>
    <row r="377" spans="1:30">
      <c r="A377" s="95"/>
      <c r="B377" s="118">
        <f t="shared" si="98"/>
        <v>2</v>
      </c>
      <c r="C377">
        <f t="shared" si="99"/>
        <v>2025</v>
      </c>
      <c r="D377" s="95" cm="1">
        <f t="array" ref="D377">INDEX($F$14:$AD$16,$B377,MATCH($C377,$F$11:$AD$11,0))*$G$373</f>
        <v>860700</v>
      </c>
      <c r="E377" s="95"/>
      <c r="F377" s="95" cm="1">
        <f t="array" ref="F377">IF($C377&gt;F$11,0,INDEX($F$372:$AD$372,F$11-$C377+1))*$D377</f>
        <v>0</v>
      </c>
      <c r="G377" s="95" cm="1">
        <f t="array" ref="G377">IF($C377&gt;G$11,0,INDEX($F$372:$AD$372,G$11-$C377+1))*$D377</f>
        <v>0</v>
      </c>
      <c r="H377" s="95" cm="1">
        <f t="array" ref="H377">IF($C377&gt;H$11,0,INDEX($F$372:$AD$372,H$11-$C377+1))*$D377</f>
        <v>0</v>
      </c>
      <c r="I377" s="95" cm="1">
        <f t="array" ref="I377">IF($C377&gt;I$11,0,INDEX($F$372:$AD$372,I$11-$C377+1))*$D377</f>
        <v>156490.90909090909</v>
      </c>
      <c r="J377" s="95" cm="1">
        <f t="array" ref="J377">IF($C377&gt;J$11,0,INDEX($F$372:$AD$372,J$11-$C377+1))*$D377</f>
        <v>140841.81818181818</v>
      </c>
      <c r="K377" s="95" cm="1">
        <f t="array" ref="K377">IF($C377&gt;K$11,0,INDEX($F$372:$AD$372,K$11-$C377+1))*$D377</f>
        <v>125192.72727272726</v>
      </c>
      <c r="L377" s="95" cm="1">
        <f t="array" ref="L377">IF($C377&gt;L$11,0,INDEX($F$372:$AD$372,L$11-$C377+1))*$D377</f>
        <v>109543.63636363635</v>
      </c>
      <c r="M377" s="95" cm="1">
        <f t="array" ref="M377">IF($C377&gt;M$11,0,INDEX($F$372:$AD$372,M$11-$C377+1))*$D377</f>
        <v>93894.545454545456</v>
      </c>
      <c r="N377" s="95" cm="1">
        <f t="array" ref="N377">IF($C377&gt;N$11,0,INDEX($F$372:$AD$372,N$11-$C377+1))*$D377</f>
        <v>78245.454545454544</v>
      </c>
      <c r="O377" s="95" cm="1">
        <f t="array" ref="O377">IF($C377&gt;O$11,0,INDEX($F$372:$AD$372,O$11-$C377+1))*$D377</f>
        <v>62596.363636363632</v>
      </c>
      <c r="P377" s="95" cm="1">
        <f t="array" ref="P377">IF($C377&gt;P$11,0,INDEX($F$372:$AD$372,P$11-$C377+1))*$D377</f>
        <v>46947.272727272728</v>
      </c>
      <c r="Q377" s="95" cm="1">
        <f t="array" ref="Q377">IF($C377&gt;Q$11,0,INDEX($F$372:$AD$372,Q$11-$C377+1))*$D377</f>
        <v>31298.181818181816</v>
      </c>
      <c r="R377" s="95" cm="1">
        <f t="array" ref="R377">IF($C377&gt;R$11,0,INDEX($F$372:$AD$372,R$11-$C377+1))*$D377</f>
        <v>15649.090909090908</v>
      </c>
      <c r="S377" s="95" cm="1">
        <f t="array" ref="S377">IF($C377&gt;S$11,0,INDEX($F$372:$AD$372,S$11-$C377+1))*$D377</f>
        <v>0</v>
      </c>
      <c r="T377" s="95" cm="1">
        <f t="array" ref="T377">IF($C377&gt;T$11,0,INDEX($F$372:$AD$372,T$11-$C377+1))*$D377</f>
        <v>0</v>
      </c>
      <c r="U377" s="95" cm="1">
        <f t="array" ref="U377">IF($C377&gt;U$11,0,INDEX($F$372:$AD$372,U$11-$C377+1))*$D377</f>
        <v>0</v>
      </c>
      <c r="V377" s="95" cm="1">
        <f t="array" ref="V377">IF($C377&gt;V$11,0,INDEX($F$372:$AD$372,V$11-$C377+1))*$D377</f>
        <v>0</v>
      </c>
      <c r="W377" s="95" cm="1">
        <f t="array" ref="W377">IF($C377&gt;W$11,0,INDEX($F$372:$AD$372,W$11-$C377+1))*$D377</f>
        <v>0</v>
      </c>
      <c r="X377" s="95" cm="1">
        <f t="array" ref="X377">IF($C377&gt;X$11,0,INDEX($F$372:$AD$372,X$11-$C377+1))*$D377</f>
        <v>0</v>
      </c>
      <c r="Y377" s="95" cm="1">
        <f t="array" ref="Y377">IF($C377&gt;Y$11,0,INDEX($F$372:$AD$372,Y$11-$C377+1))*$D377</f>
        <v>0</v>
      </c>
      <c r="Z377" s="95" cm="1">
        <f t="array" ref="Z377">IF($C377&gt;Z$11,0,INDEX($F$372:$AD$372,Z$11-$C377+1))*$D377</f>
        <v>0</v>
      </c>
      <c r="AA377" s="95" cm="1">
        <f t="array" ref="AA377">IF($C377&gt;AA$11,0,INDEX($F$372:$AD$372,AA$11-$C377+1))*$D377</f>
        <v>0</v>
      </c>
      <c r="AB377" s="95" cm="1">
        <f t="array" ref="AB377">IF($C377&gt;AB$11,0,INDEX($F$372:$AD$372,AB$11-$C377+1))*$D377</f>
        <v>0</v>
      </c>
      <c r="AC377" s="95" cm="1">
        <f t="array" ref="AC377">IF($C377&gt;AC$11,0,INDEX($F$372:$AD$372,AC$11-$C377+1))*$D377</f>
        <v>0</v>
      </c>
      <c r="AD377" s="95" cm="1">
        <f t="array" ref="AD377">IF($C377&gt;AD$11,0,INDEX($F$372:$AD$372,AD$11-$C377+1))*$D377</f>
        <v>0</v>
      </c>
    </row>
    <row r="378" spans="1:30">
      <c r="A378" s="95"/>
      <c r="B378" s="118">
        <f t="shared" si="98"/>
        <v>2</v>
      </c>
      <c r="C378">
        <f t="shared" si="99"/>
        <v>2026</v>
      </c>
      <c r="D378" s="95" cm="1">
        <f t="array" ref="D378">INDEX($F$14:$AD$16,$B378,MATCH($C378,$F$11:$AD$11,0))*$G$373</f>
        <v>859275</v>
      </c>
      <c r="E378" s="95"/>
      <c r="F378" s="95" cm="1">
        <f t="array" ref="F378">IF($C378&gt;F$11,0,INDEX($F$372:$AD$372,F$11-$C378+1))*$D378</f>
        <v>0</v>
      </c>
      <c r="G378" s="95" cm="1">
        <f t="array" ref="G378">IF($C378&gt;G$11,0,INDEX($F$372:$AD$372,G$11-$C378+1))*$D378</f>
        <v>0</v>
      </c>
      <c r="H378" s="95" cm="1">
        <f t="array" ref="H378">IF($C378&gt;H$11,0,INDEX($F$372:$AD$372,H$11-$C378+1))*$D378</f>
        <v>0</v>
      </c>
      <c r="I378" s="95" cm="1">
        <f t="array" ref="I378">IF($C378&gt;I$11,0,INDEX($F$372:$AD$372,I$11-$C378+1))*$D378</f>
        <v>0</v>
      </c>
      <c r="J378" s="95" cm="1">
        <f t="array" ref="J378">IF($C378&gt;J$11,0,INDEX($F$372:$AD$372,J$11-$C378+1))*$D378</f>
        <v>156231.81818181818</v>
      </c>
      <c r="K378" s="95" cm="1">
        <f t="array" ref="K378">IF($C378&gt;K$11,0,INDEX($F$372:$AD$372,K$11-$C378+1))*$D378</f>
        <v>140608.63636363635</v>
      </c>
      <c r="L378" s="95" cm="1">
        <f t="array" ref="L378">IF($C378&gt;L$11,0,INDEX($F$372:$AD$372,L$11-$C378+1))*$D378</f>
        <v>124985.45454545454</v>
      </c>
      <c r="M378" s="95" cm="1">
        <f t="array" ref="M378">IF($C378&gt;M$11,0,INDEX($F$372:$AD$372,M$11-$C378+1))*$D378</f>
        <v>109362.27272727272</v>
      </c>
      <c r="N378" s="95" cm="1">
        <f t="array" ref="N378">IF($C378&gt;N$11,0,INDEX($F$372:$AD$372,N$11-$C378+1))*$D378</f>
        <v>93739.090909090912</v>
      </c>
      <c r="O378" s="95" cm="1">
        <f t="array" ref="O378">IF($C378&gt;O$11,0,INDEX($F$372:$AD$372,O$11-$C378+1))*$D378</f>
        <v>78115.909090909088</v>
      </c>
      <c r="P378" s="95" cm="1">
        <f t="array" ref="P378">IF($C378&gt;P$11,0,INDEX($F$372:$AD$372,P$11-$C378+1))*$D378</f>
        <v>62492.727272727272</v>
      </c>
      <c r="Q378" s="95" cm="1">
        <f t="array" ref="Q378">IF($C378&gt;Q$11,0,INDEX($F$372:$AD$372,Q$11-$C378+1))*$D378</f>
        <v>46869.545454545456</v>
      </c>
      <c r="R378" s="95" cm="1">
        <f t="array" ref="R378">IF($C378&gt;R$11,0,INDEX($F$372:$AD$372,R$11-$C378+1))*$D378</f>
        <v>31246.363636363636</v>
      </c>
      <c r="S378" s="95" cm="1">
        <f t="array" ref="S378">IF($C378&gt;S$11,0,INDEX($F$372:$AD$372,S$11-$C378+1))*$D378</f>
        <v>15623.181818181818</v>
      </c>
      <c r="T378" s="95" cm="1">
        <f t="array" ref="T378">IF($C378&gt;T$11,0,INDEX($F$372:$AD$372,T$11-$C378+1))*$D378</f>
        <v>0</v>
      </c>
      <c r="U378" s="95" cm="1">
        <f t="array" ref="U378">IF($C378&gt;U$11,0,INDEX($F$372:$AD$372,U$11-$C378+1))*$D378</f>
        <v>0</v>
      </c>
      <c r="V378" s="95" cm="1">
        <f t="array" ref="V378">IF($C378&gt;V$11,0,INDEX($F$372:$AD$372,V$11-$C378+1))*$D378</f>
        <v>0</v>
      </c>
      <c r="W378" s="95" cm="1">
        <f t="array" ref="W378">IF($C378&gt;W$11,0,INDEX($F$372:$AD$372,W$11-$C378+1))*$D378</f>
        <v>0</v>
      </c>
      <c r="X378" s="95" cm="1">
        <f t="array" ref="X378">IF($C378&gt;X$11,0,INDEX($F$372:$AD$372,X$11-$C378+1))*$D378</f>
        <v>0</v>
      </c>
      <c r="Y378" s="95" cm="1">
        <f t="array" ref="Y378">IF($C378&gt;Y$11,0,INDEX($F$372:$AD$372,Y$11-$C378+1))*$D378</f>
        <v>0</v>
      </c>
      <c r="Z378" s="95" cm="1">
        <f t="array" ref="Z378">IF($C378&gt;Z$11,0,INDEX($F$372:$AD$372,Z$11-$C378+1))*$D378</f>
        <v>0</v>
      </c>
      <c r="AA378" s="95" cm="1">
        <f t="array" ref="AA378">IF($C378&gt;AA$11,0,INDEX($F$372:$AD$372,AA$11-$C378+1))*$D378</f>
        <v>0</v>
      </c>
      <c r="AB378" s="95" cm="1">
        <f t="array" ref="AB378">IF($C378&gt;AB$11,0,INDEX($F$372:$AD$372,AB$11-$C378+1))*$D378</f>
        <v>0</v>
      </c>
      <c r="AC378" s="95" cm="1">
        <f t="array" ref="AC378">IF($C378&gt;AC$11,0,INDEX($F$372:$AD$372,AC$11-$C378+1))*$D378</f>
        <v>0</v>
      </c>
      <c r="AD378" s="95" cm="1">
        <f t="array" ref="AD378">IF($C378&gt;AD$11,0,INDEX($F$372:$AD$372,AD$11-$C378+1))*$D378</f>
        <v>0</v>
      </c>
    </row>
    <row r="379" spans="1:30">
      <c r="A379" s="95"/>
      <c r="B379" s="118">
        <f t="shared" si="98"/>
        <v>2</v>
      </c>
      <c r="C379">
        <f t="shared" si="99"/>
        <v>2027</v>
      </c>
      <c r="D379" s="95" cm="1">
        <f t="array" ref="D379">INDEX($F$14:$AD$16,$B379,MATCH($C379,$F$11:$AD$11,0))*$G$373</f>
        <v>2546475</v>
      </c>
      <c r="E379" s="95"/>
      <c r="F379" s="95" cm="1">
        <f t="array" ref="F379">IF($C379&gt;F$11,0,INDEX($F$372:$AD$372,F$11-$C379+1))*$D379</f>
        <v>0</v>
      </c>
      <c r="G379" s="95" cm="1">
        <f t="array" ref="G379">IF($C379&gt;G$11,0,INDEX($F$372:$AD$372,G$11-$C379+1))*$D379</f>
        <v>0</v>
      </c>
      <c r="H379" s="95" cm="1">
        <f t="array" ref="H379">IF($C379&gt;H$11,0,INDEX($F$372:$AD$372,H$11-$C379+1))*$D379</f>
        <v>0</v>
      </c>
      <c r="I379" s="95" cm="1">
        <f t="array" ref="I379">IF($C379&gt;I$11,0,INDEX($F$372:$AD$372,I$11-$C379+1))*$D379</f>
        <v>0</v>
      </c>
      <c r="J379" s="95" cm="1">
        <f t="array" ref="J379">IF($C379&gt;J$11,0,INDEX($F$372:$AD$372,J$11-$C379+1))*$D379</f>
        <v>0</v>
      </c>
      <c r="K379" s="95" cm="1">
        <f t="array" ref="K379">IF($C379&gt;K$11,0,INDEX($F$372:$AD$372,K$11-$C379+1))*$D379</f>
        <v>462995.45454545453</v>
      </c>
      <c r="L379" s="95" cm="1">
        <f t="array" ref="L379">IF($C379&gt;L$11,0,INDEX($F$372:$AD$372,L$11-$C379+1))*$D379</f>
        <v>416695.90909090912</v>
      </c>
      <c r="M379" s="95" cm="1">
        <f t="array" ref="M379">IF($C379&gt;M$11,0,INDEX($F$372:$AD$372,M$11-$C379+1))*$D379</f>
        <v>370396.36363636365</v>
      </c>
      <c r="N379" s="95" cm="1">
        <f t="array" ref="N379">IF($C379&gt;N$11,0,INDEX($F$372:$AD$372,N$11-$C379+1))*$D379</f>
        <v>324096.81818181818</v>
      </c>
      <c r="O379" s="95" cm="1">
        <f t="array" ref="O379">IF($C379&gt;O$11,0,INDEX($F$372:$AD$372,O$11-$C379+1))*$D379</f>
        <v>277797.27272727271</v>
      </c>
      <c r="P379" s="95" cm="1">
        <f t="array" ref="P379">IF($C379&gt;P$11,0,INDEX($F$372:$AD$372,P$11-$C379+1))*$D379</f>
        <v>231497.72727272726</v>
      </c>
      <c r="Q379" s="95" cm="1">
        <f t="array" ref="Q379">IF($C379&gt;Q$11,0,INDEX($F$372:$AD$372,Q$11-$C379+1))*$D379</f>
        <v>185198.18181818182</v>
      </c>
      <c r="R379" s="95" cm="1">
        <f t="array" ref="R379">IF($C379&gt;R$11,0,INDEX($F$372:$AD$372,R$11-$C379+1))*$D379</f>
        <v>138898.63636363635</v>
      </c>
      <c r="S379" s="95" cm="1">
        <f t="array" ref="S379">IF($C379&gt;S$11,0,INDEX($F$372:$AD$372,S$11-$C379+1))*$D379</f>
        <v>92599.090909090912</v>
      </c>
      <c r="T379" s="95" cm="1">
        <f t="array" ref="T379">IF($C379&gt;T$11,0,INDEX($F$372:$AD$372,T$11-$C379+1))*$D379</f>
        <v>46299.545454545456</v>
      </c>
      <c r="U379" s="95" cm="1">
        <f t="array" ref="U379">IF($C379&gt;U$11,0,INDEX($F$372:$AD$372,U$11-$C379+1))*$D379</f>
        <v>0</v>
      </c>
      <c r="V379" s="95" cm="1">
        <f t="array" ref="V379">IF($C379&gt;V$11,0,INDEX($F$372:$AD$372,V$11-$C379+1))*$D379</f>
        <v>0</v>
      </c>
      <c r="W379" s="95" cm="1">
        <f t="array" ref="W379">IF($C379&gt;W$11,0,INDEX($F$372:$AD$372,W$11-$C379+1))*$D379</f>
        <v>0</v>
      </c>
      <c r="X379" s="95" cm="1">
        <f t="array" ref="X379">IF($C379&gt;X$11,0,INDEX($F$372:$AD$372,X$11-$C379+1))*$D379</f>
        <v>0</v>
      </c>
      <c r="Y379" s="95" cm="1">
        <f t="array" ref="Y379">IF($C379&gt;Y$11,0,INDEX($F$372:$AD$372,Y$11-$C379+1))*$D379</f>
        <v>0</v>
      </c>
      <c r="Z379" s="95" cm="1">
        <f t="array" ref="Z379">IF($C379&gt;Z$11,0,INDEX($F$372:$AD$372,Z$11-$C379+1))*$D379</f>
        <v>0</v>
      </c>
      <c r="AA379" s="95" cm="1">
        <f t="array" ref="AA379">IF($C379&gt;AA$11,0,INDEX($F$372:$AD$372,AA$11-$C379+1))*$D379</f>
        <v>0</v>
      </c>
      <c r="AB379" s="95" cm="1">
        <f t="array" ref="AB379">IF($C379&gt;AB$11,0,INDEX($F$372:$AD$372,AB$11-$C379+1))*$D379</f>
        <v>0</v>
      </c>
      <c r="AC379" s="95" cm="1">
        <f t="array" ref="AC379">IF($C379&gt;AC$11,0,INDEX($F$372:$AD$372,AC$11-$C379+1))*$D379</f>
        <v>0</v>
      </c>
      <c r="AD379" s="95" cm="1">
        <f t="array" ref="AD379">IF($C379&gt;AD$11,0,INDEX($F$372:$AD$372,AD$11-$C379+1))*$D379</f>
        <v>0</v>
      </c>
    </row>
    <row r="380" spans="1:30">
      <c r="A380" s="95"/>
      <c r="B380" s="118">
        <f t="shared" si="98"/>
        <v>2</v>
      </c>
      <c r="C380">
        <f t="shared" si="99"/>
        <v>2028</v>
      </c>
      <c r="D380" s="95" cm="1">
        <f t="array" ref="D380">INDEX($F$14:$AD$16,$B380,MATCH($C380,$F$11:$AD$11,0))*$G$373</f>
        <v>192375</v>
      </c>
      <c r="E380" s="95"/>
      <c r="F380" s="95" cm="1">
        <f t="array" ref="F380">IF($C380&gt;F$11,0,INDEX($F$372:$AD$372,F$11-$C380+1))*$D380</f>
        <v>0</v>
      </c>
      <c r="G380" s="95" cm="1">
        <f t="array" ref="G380">IF($C380&gt;G$11,0,INDEX($F$372:$AD$372,G$11-$C380+1))*$D380</f>
        <v>0</v>
      </c>
      <c r="H380" s="95" cm="1">
        <f t="array" ref="H380">IF($C380&gt;H$11,0,INDEX($F$372:$AD$372,H$11-$C380+1))*$D380</f>
        <v>0</v>
      </c>
      <c r="I380" s="95" cm="1">
        <f t="array" ref="I380">IF($C380&gt;I$11,0,INDEX($F$372:$AD$372,I$11-$C380+1))*$D380</f>
        <v>0</v>
      </c>
      <c r="J380" s="95" cm="1">
        <f t="array" ref="J380">IF($C380&gt;J$11,0,INDEX($F$372:$AD$372,J$11-$C380+1))*$D380</f>
        <v>0</v>
      </c>
      <c r="K380" s="95" cm="1">
        <f t="array" ref="K380">IF($C380&gt;K$11,0,INDEX($F$372:$AD$372,K$11-$C380+1))*$D380</f>
        <v>0</v>
      </c>
      <c r="L380" s="95" cm="1">
        <f t="array" ref="L380">IF($C380&gt;L$11,0,INDEX($F$372:$AD$372,L$11-$C380+1))*$D380</f>
        <v>34977.272727272728</v>
      </c>
      <c r="M380" s="95" cm="1">
        <f t="array" ref="M380">IF($C380&gt;M$11,0,INDEX($F$372:$AD$372,M$11-$C380+1))*$D380</f>
        <v>31479.545454545456</v>
      </c>
      <c r="N380" s="95" cm="1">
        <f t="array" ref="N380">IF($C380&gt;N$11,0,INDEX($F$372:$AD$372,N$11-$C380+1))*$D380</f>
        <v>27981.81818181818</v>
      </c>
      <c r="O380" s="95" cm="1">
        <f t="array" ref="O380">IF($C380&gt;O$11,0,INDEX($F$372:$AD$372,O$11-$C380+1))*$D380</f>
        <v>24484.090909090908</v>
      </c>
      <c r="P380" s="95" cm="1">
        <f t="array" ref="P380">IF($C380&gt;P$11,0,INDEX($F$372:$AD$372,P$11-$C380+1))*$D380</f>
        <v>20986.363636363636</v>
      </c>
      <c r="Q380" s="95" cm="1">
        <f t="array" ref="Q380">IF($C380&gt;Q$11,0,INDEX($F$372:$AD$372,Q$11-$C380+1))*$D380</f>
        <v>17488.636363636364</v>
      </c>
      <c r="R380" s="95" cm="1">
        <f t="array" ref="R380">IF($C380&gt;R$11,0,INDEX($F$372:$AD$372,R$11-$C380+1))*$D380</f>
        <v>13990.90909090909</v>
      </c>
      <c r="S380" s="95" cm="1">
        <f t="array" ref="S380">IF($C380&gt;S$11,0,INDEX($F$372:$AD$372,S$11-$C380+1))*$D380</f>
        <v>10493.181818181818</v>
      </c>
      <c r="T380" s="95" cm="1">
        <f t="array" ref="T380">IF($C380&gt;T$11,0,INDEX($F$372:$AD$372,T$11-$C380+1))*$D380</f>
        <v>6995.454545454545</v>
      </c>
      <c r="U380" s="95" cm="1">
        <f t="array" ref="U380">IF($C380&gt;U$11,0,INDEX($F$372:$AD$372,U$11-$C380+1))*$D380</f>
        <v>3497.7272727272725</v>
      </c>
      <c r="V380" s="95" cm="1">
        <f t="array" ref="V380">IF($C380&gt;V$11,0,INDEX($F$372:$AD$372,V$11-$C380+1))*$D380</f>
        <v>0</v>
      </c>
      <c r="W380" s="95" cm="1">
        <f t="array" ref="W380">IF($C380&gt;W$11,0,INDEX($F$372:$AD$372,W$11-$C380+1))*$D380</f>
        <v>0</v>
      </c>
      <c r="X380" s="95" cm="1">
        <f t="array" ref="X380">IF($C380&gt;X$11,0,INDEX($F$372:$AD$372,X$11-$C380+1))*$D380</f>
        <v>0</v>
      </c>
      <c r="Y380" s="95" cm="1">
        <f t="array" ref="Y380">IF($C380&gt;Y$11,0,INDEX($F$372:$AD$372,Y$11-$C380+1))*$D380</f>
        <v>0</v>
      </c>
      <c r="Z380" s="95" cm="1">
        <f t="array" ref="Z380">IF($C380&gt;Z$11,0,INDEX($F$372:$AD$372,Z$11-$C380+1))*$D380</f>
        <v>0</v>
      </c>
      <c r="AA380" s="95" cm="1">
        <f t="array" ref="AA380">IF($C380&gt;AA$11,0,INDEX($F$372:$AD$372,AA$11-$C380+1))*$D380</f>
        <v>0</v>
      </c>
      <c r="AB380" s="95" cm="1">
        <f t="array" ref="AB380">IF($C380&gt;AB$11,0,INDEX($F$372:$AD$372,AB$11-$C380+1))*$D380</f>
        <v>0</v>
      </c>
      <c r="AC380" s="95" cm="1">
        <f t="array" ref="AC380">IF($C380&gt;AC$11,0,INDEX($F$372:$AD$372,AC$11-$C380+1))*$D380</f>
        <v>0</v>
      </c>
      <c r="AD380" s="95" cm="1">
        <f t="array" ref="AD380">IF($C380&gt;AD$11,0,INDEX($F$372:$AD$372,AD$11-$C380+1))*$D380</f>
        <v>0</v>
      </c>
    </row>
    <row r="381" spans="1:30">
      <c r="A381" s="95"/>
      <c r="B381" s="118">
        <f t="shared" si="98"/>
        <v>2</v>
      </c>
      <c r="C381">
        <f t="shared" si="99"/>
        <v>2029</v>
      </c>
      <c r="D381" s="95" cm="1">
        <f t="array" ref="D381">INDEX($F$14:$AD$16,$B381,MATCH($C381,$F$11:$AD$11,0))*$G$373</f>
        <v>1530450</v>
      </c>
      <c r="E381" s="95"/>
      <c r="F381" s="95" cm="1">
        <f t="array" ref="F381">IF($C381&gt;F$11,0,INDEX($F$372:$AD$372,F$11-$C381+1))*$D381</f>
        <v>0</v>
      </c>
      <c r="G381" s="95" cm="1">
        <f t="array" ref="G381">IF($C381&gt;G$11,0,INDEX($F$372:$AD$372,G$11-$C381+1))*$D381</f>
        <v>0</v>
      </c>
      <c r="H381" s="95" cm="1">
        <f t="array" ref="H381">IF($C381&gt;H$11,0,INDEX($F$372:$AD$372,H$11-$C381+1))*$D381</f>
        <v>0</v>
      </c>
      <c r="I381" s="95" cm="1">
        <f t="array" ref="I381">IF($C381&gt;I$11,0,INDEX($F$372:$AD$372,I$11-$C381+1))*$D381</f>
        <v>0</v>
      </c>
      <c r="J381" s="95" cm="1">
        <f t="array" ref="J381">IF($C381&gt;J$11,0,INDEX($F$372:$AD$372,J$11-$C381+1))*$D381</f>
        <v>0</v>
      </c>
      <c r="K381" s="95" cm="1">
        <f t="array" ref="K381">IF($C381&gt;K$11,0,INDEX($F$372:$AD$372,K$11-$C381+1))*$D381</f>
        <v>0</v>
      </c>
      <c r="L381" s="95" cm="1">
        <f t="array" ref="L381">IF($C381&gt;L$11,0,INDEX($F$372:$AD$372,L$11-$C381+1))*$D381</f>
        <v>0</v>
      </c>
      <c r="M381" s="95" cm="1">
        <f t="array" ref="M381">IF($C381&gt;M$11,0,INDEX($F$372:$AD$372,M$11-$C381+1))*$D381</f>
        <v>278263.63636363635</v>
      </c>
      <c r="N381" s="95" cm="1">
        <f t="array" ref="N381">IF($C381&gt;N$11,0,INDEX($F$372:$AD$372,N$11-$C381+1))*$D381</f>
        <v>250437.27272727274</v>
      </c>
      <c r="O381" s="95" cm="1">
        <f t="array" ref="O381">IF($C381&gt;O$11,0,INDEX($F$372:$AD$372,O$11-$C381+1))*$D381</f>
        <v>222610.90909090909</v>
      </c>
      <c r="P381" s="95" cm="1">
        <f t="array" ref="P381">IF($C381&gt;P$11,0,INDEX($F$372:$AD$372,P$11-$C381+1))*$D381</f>
        <v>194784.54545454544</v>
      </c>
      <c r="Q381" s="95" cm="1">
        <f t="array" ref="Q381">IF($C381&gt;Q$11,0,INDEX($F$372:$AD$372,Q$11-$C381+1))*$D381</f>
        <v>166958.18181818182</v>
      </c>
      <c r="R381" s="95" cm="1">
        <f t="array" ref="R381">IF($C381&gt;R$11,0,INDEX($F$372:$AD$372,R$11-$C381+1))*$D381</f>
        <v>139131.81818181818</v>
      </c>
      <c r="S381" s="95" cm="1">
        <f t="array" ref="S381">IF($C381&gt;S$11,0,INDEX($F$372:$AD$372,S$11-$C381+1))*$D381</f>
        <v>111305.45454545454</v>
      </c>
      <c r="T381" s="95" cm="1">
        <f t="array" ref="T381">IF($C381&gt;T$11,0,INDEX($F$372:$AD$372,T$11-$C381+1))*$D381</f>
        <v>83479.090909090912</v>
      </c>
      <c r="U381" s="95" cm="1">
        <f t="array" ref="U381">IF($C381&gt;U$11,0,INDEX($F$372:$AD$372,U$11-$C381+1))*$D381</f>
        <v>55652.727272727272</v>
      </c>
      <c r="V381" s="95" cm="1">
        <f t="array" ref="V381">IF($C381&gt;V$11,0,INDEX($F$372:$AD$372,V$11-$C381+1))*$D381</f>
        <v>27826.363636363636</v>
      </c>
      <c r="W381" s="95" cm="1">
        <f t="array" ref="W381">IF($C381&gt;W$11,0,INDEX($F$372:$AD$372,W$11-$C381+1))*$D381</f>
        <v>0</v>
      </c>
      <c r="X381" s="95" cm="1">
        <f t="array" ref="X381">IF($C381&gt;X$11,0,INDEX($F$372:$AD$372,X$11-$C381+1))*$D381</f>
        <v>0</v>
      </c>
      <c r="Y381" s="95" cm="1">
        <f t="array" ref="Y381">IF($C381&gt;Y$11,0,INDEX($F$372:$AD$372,Y$11-$C381+1))*$D381</f>
        <v>0</v>
      </c>
      <c r="Z381" s="95" cm="1">
        <f t="array" ref="Z381">IF($C381&gt;Z$11,0,INDEX($F$372:$AD$372,Z$11-$C381+1))*$D381</f>
        <v>0</v>
      </c>
      <c r="AA381" s="95" cm="1">
        <f t="array" ref="AA381">IF($C381&gt;AA$11,0,INDEX($F$372:$AD$372,AA$11-$C381+1))*$D381</f>
        <v>0</v>
      </c>
      <c r="AB381" s="95" cm="1">
        <f t="array" ref="AB381">IF($C381&gt;AB$11,0,INDEX($F$372:$AD$372,AB$11-$C381+1))*$D381</f>
        <v>0</v>
      </c>
      <c r="AC381" s="95" cm="1">
        <f t="array" ref="AC381">IF($C381&gt;AC$11,0,INDEX($F$372:$AD$372,AC$11-$C381+1))*$D381</f>
        <v>0</v>
      </c>
      <c r="AD381" s="95" cm="1">
        <f t="array" ref="AD381">IF($C381&gt;AD$11,0,INDEX($F$372:$AD$372,AD$11-$C381+1))*$D381</f>
        <v>0</v>
      </c>
    </row>
    <row r="382" spans="1:30">
      <c r="A382" s="95"/>
      <c r="B382" s="118">
        <f t="shared" si="98"/>
        <v>2</v>
      </c>
      <c r="C382">
        <f t="shared" si="99"/>
        <v>2030</v>
      </c>
      <c r="D382" s="95" cm="1">
        <f t="array" ref="D382">INDEX($F$14:$AD$16,$B382,MATCH($C382,$F$11:$AD$11,0))*$G$373</f>
        <v>1873875</v>
      </c>
      <c r="E382" s="95"/>
      <c r="F382" s="95" cm="1">
        <f t="array" ref="F382">IF($C382&gt;F$11,0,INDEX($F$372:$AD$372,F$11-$C382+1))*$D382</f>
        <v>0</v>
      </c>
      <c r="G382" s="95" cm="1">
        <f t="array" ref="G382">IF($C382&gt;G$11,0,INDEX($F$372:$AD$372,G$11-$C382+1))*$D382</f>
        <v>0</v>
      </c>
      <c r="H382" s="95" cm="1">
        <f t="array" ref="H382">IF($C382&gt;H$11,0,INDEX($F$372:$AD$372,H$11-$C382+1))*$D382</f>
        <v>0</v>
      </c>
      <c r="I382" s="95" cm="1">
        <f t="array" ref="I382">IF($C382&gt;I$11,0,INDEX($F$372:$AD$372,I$11-$C382+1))*$D382</f>
        <v>0</v>
      </c>
      <c r="J382" s="95" cm="1">
        <f t="array" ref="J382">IF($C382&gt;J$11,0,INDEX($F$372:$AD$372,J$11-$C382+1))*$D382</f>
        <v>0</v>
      </c>
      <c r="K382" s="95" cm="1">
        <f t="array" ref="K382">IF($C382&gt;K$11,0,INDEX($F$372:$AD$372,K$11-$C382+1))*$D382</f>
        <v>0</v>
      </c>
      <c r="L382" s="95" cm="1">
        <f t="array" ref="L382">IF($C382&gt;L$11,0,INDEX($F$372:$AD$372,L$11-$C382+1))*$D382</f>
        <v>0</v>
      </c>
      <c r="M382" s="95" cm="1">
        <f t="array" ref="M382">IF($C382&gt;M$11,0,INDEX($F$372:$AD$372,M$11-$C382+1))*$D382</f>
        <v>0</v>
      </c>
      <c r="N382" s="95" cm="1">
        <f t="array" ref="N382">IF($C382&gt;N$11,0,INDEX($F$372:$AD$372,N$11-$C382+1))*$D382</f>
        <v>340704.54545454547</v>
      </c>
      <c r="O382" s="95" cm="1">
        <f t="array" ref="O382">IF($C382&gt;O$11,0,INDEX($F$372:$AD$372,O$11-$C382+1))*$D382</f>
        <v>306634.09090909088</v>
      </c>
      <c r="P382" s="95" cm="1">
        <f t="array" ref="P382">IF($C382&gt;P$11,0,INDEX($F$372:$AD$372,P$11-$C382+1))*$D382</f>
        <v>272563.63636363635</v>
      </c>
      <c r="Q382" s="95" cm="1">
        <f t="array" ref="Q382">IF($C382&gt;Q$11,0,INDEX($F$372:$AD$372,Q$11-$C382+1))*$D382</f>
        <v>238493.18181818179</v>
      </c>
      <c r="R382" s="95" cm="1">
        <f t="array" ref="R382">IF($C382&gt;R$11,0,INDEX($F$372:$AD$372,R$11-$C382+1))*$D382</f>
        <v>204422.72727272726</v>
      </c>
      <c r="S382" s="95" cm="1">
        <f t="array" ref="S382">IF($C382&gt;S$11,0,INDEX($F$372:$AD$372,S$11-$C382+1))*$D382</f>
        <v>170352.27272727274</v>
      </c>
      <c r="T382" s="95" cm="1">
        <f t="array" ref="T382">IF($C382&gt;T$11,0,INDEX($F$372:$AD$372,T$11-$C382+1))*$D382</f>
        <v>136281.81818181818</v>
      </c>
      <c r="U382" s="95" cm="1">
        <f t="array" ref="U382">IF($C382&gt;U$11,0,INDEX($F$372:$AD$372,U$11-$C382+1))*$D382</f>
        <v>102211.36363636363</v>
      </c>
      <c r="V382" s="95" cm="1">
        <f t="array" ref="V382">IF($C382&gt;V$11,0,INDEX($F$372:$AD$372,V$11-$C382+1))*$D382</f>
        <v>68140.909090909088</v>
      </c>
      <c r="W382" s="95" cm="1">
        <f t="array" ref="W382">IF($C382&gt;W$11,0,INDEX($F$372:$AD$372,W$11-$C382+1))*$D382</f>
        <v>34070.454545454544</v>
      </c>
      <c r="X382" s="95" cm="1">
        <f t="array" ref="X382">IF($C382&gt;X$11,0,INDEX($F$372:$AD$372,X$11-$C382+1))*$D382</f>
        <v>0</v>
      </c>
      <c r="Y382" s="95" cm="1">
        <f t="array" ref="Y382">IF($C382&gt;Y$11,0,INDEX($F$372:$AD$372,Y$11-$C382+1))*$D382</f>
        <v>0</v>
      </c>
      <c r="Z382" s="95" cm="1">
        <f t="array" ref="Z382">IF($C382&gt;Z$11,0,INDEX($F$372:$AD$372,Z$11-$C382+1))*$D382</f>
        <v>0</v>
      </c>
      <c r="AA382" s="95" cm="1">
        <f t="array" ref="AA382">IF($C382&gt;AA$11,0,INDEX($F$372:$AD$372,AA$11-$C382+1))*$D382</f>
        <v>0</v>
      </c>
      <c r="AB382" s="95" cm="1">
        <f t="array" ref="AB382">IF($C382&gt;AB$11,0,INDEX($F$372:$AD$372,AB$11-$C382+1))*$D382</f>
        <v>0</v>
      </c>
      <c r="AC382" s="95" cm="1">
        <f t="array" ref="AC382">IF($C382&gt;AC$11,0,INDEX($F$372:$AD$372,AC$11-$C382+1))*$D382</f>
        <v>0</v>
      </c>
      <c r="AD382" s="95" cm="1">
        <f t="array" ref="AD382">IF($C382&gt;AD$11,0,INDEX($F$372:$AD$372,AD$11-$C382+1))*$D382</f>
        <v>0</v>
      </c>
    </row>
    <row r="383" spans="1:30">
      <c r="A383" s="95"/>
      <c r="B383" s="118">
        <f t="shared" si="98"/>
        <v>2</v>
      </c>
      <c r="C383">
        <f t="shared" si="99"/>
        <v>2031</v>
      </c>
      <c r="D383" s="95" cm="1">
        <f t="array" ref="D383">INDEX($F$14:$AD$16,$B383,MATCH($C383,$F$11:$AD$11,0))*$G$373</f>
        <v>1658700</v>
      </c>
      <c r="E383" s="95"/>
      <c r="F383" s="95" cm="1">
        <f t="array" ref="F383">IF($C383&gt;F$11,0,INDEX($F$372:$AD$372,F$11-$C383+1))*$D383</f>
        <v>0</v>
      </c>
      <c r="G383" s="95" cm="1">
        <f t="array" ref="G383">IF($C383&gt;G$11,0,INDEX($F$372:$AD$372,G$11-$C383+1))*$D383</f>
        <v>0</v>
      </c>
      <c r="H383" s="95" cm="1">
        <f t="array" ref="H383">IF($C383&gt;H$11,0,INDEX($F$372:$AD$372,H$11-$C383+1))*$D383</f>
        <v>0</v>
      </c>
      <c r="I383" s="95" cm="1">
        <f t="array" ref="I383">IF($C383&gt;I$11,0,INDEX($F$372:$AD$372,I$11-$C383+1))*$D383</f>
        <v>0</v>
      </c>
      <c r="J383" s="95" cm="1">
        <f t="array" ref="J383">IF($C383&gt;J$11,0,INDEX($F$372:$AD$372,J$11-$C383+1))*$D383</f>
        <v>0</v>
      </c>
      <c r="K383" s="95" cm="1">
        <f t="array" ref="K383">IF($C383&gt;K$11,0,INDEX($F$372:$AD$372,K$11-$C383+1))*$D383</f>
        <v>0</v>
      </c>
      <c r="L383" s="95" cm="1">
        <f t="array" ref="L383">IF($C383&gt;L$11,0,INDEX($F$372:$AD$372,L$11-$C383+1))*$D383</f>
        <v>0</v>
      </c>
      <c r="M383" s="95" cm="1">
        <f t="array" ref="M383">IF($C383&gt;M$11,0,INDEX($F$372:$AD$372,M$11-$C383+1))*$D383</f>
        <v>0</v>
      </c>
      <c r="N383" s="95" cm="1">
        <f t="array" ref="N383">IF($C383&gt;N$11,0,INDEX($F$372:$AD$372,N$11-$C383+1))*$D383</f>
        <v>0</v>
      </c>
      <c r="O383" s="95" cm="1">
        <f t="array" ref="O383">IF($C383&gt;O$11,0,INDEX($F$372:$AD$372,O$11-$C383+1))*$D383</f>
        <v>301581.81818181818</v>
      </c>
      <c r="P383" s="95" cm="1">
        <f t="array" ref="P383">IF($C383&gt;P$11,0,INDEX($F$372:$AD$372,P$11-$C383+1))*$D383</f>
        <v>271423.63636363635</v>
      </c>
      <c r="Q383" s="95" cm="1">
        <f t="array" ref="Q383">IF($C383&gt;Q$11,0,INDEX($F$372:$AD$372,Q$11-$C383+1))*$D383</f>
        <v>241265.45454545453</v>
      </c>
      <c r="R383" s="95" cm="1">
        <f t="array" ref="R383">IF($C383&gt;R$11,0,INDEX($F$372:$AD$372,R$11-$C383+1))*$D383</f>
        <v>211107.27272727271</v>
      </c>
      <c r="S383" s="95" cm="1">
        <f t="array" ref="S383">IF($C383&gt;S$11,0,INDEX($F$372:$AD$372,S$11-$C383+1))*$D383</f>
        <v>180949.09090909091</v>
      </c>
      <c r="T383" s="95" cm="1">
        <f t="array" ref="T383">IF($C383&gt;T$11,0,INDEX($F$372:$AD$372,T$11-$C383+1))*$D383</f>
        <v>150790.90909090909</v>
      </c>
      <c r="U383" s="95" cm="1">
        <f t="array" ref="U383">IF($C383&gt;U$11,0,INDEX($F$372:$AD$372,U$11-$C383+1))*$D383</f>
        <v>120632.72727272726</v>
      </c>
      <c r="V383" s="95" cm="1">
        <f t="array" ref="V383">IF($C383&gt;V$11,0,INDEX($F$372:$AD$372,V$11-$C383+1))*$D383</f>
        <v>90474.545454545456</v>
      </c>
      <c r="W383" s="95" cm="1">
        <f t="array" ref="W383">IF($C383&gt;W$11,0,INDEX($F$372:$AD$372,W$11-$C383+1))*$D383</f>
        <v>60316.363636363632</v>
      </c>
      <c r="X383" s="95" cm="1">
        <f t="array" ref="X383">IF($C383&gt;X$11,0,INDEX($F$372:$AD$372,X$11-$C383+1))*$D383</f>
        <v>30158.181818181816</v>
      </c>
      <c r="Y383" s="95" cm="1">
        <f t="array" ref="Y383">IF($C383&gt;Y$11,0,INDEX($F$372:$AD$372,Y$11-$C383+1))*$D383</f>
        <v>0</v>
      </c>
      <c r="Z383" s="95" cm="1">
        <f t="array" ref="Z383">IF($C383&gt;Z$11,0,INDEX($F$372:$AD$372,Z$11-$C383+1))*$D383</f>
        <v>0</v>
      </c>
      <c r="AA383" s="95" cm="1">
        <f t="array" ref="AA383">IF($C383&gt;AA$11,0,INDEX($F$372:$AD$372,AA$11-$C383+1))*$D383</f>
        <v>0</v>
      </c>
      <c r="AB383" s="95" cm="1">
        <f t="array" ref="AB383">IF($C383&gt;AB$11,0,INDEX($F$372:$AD$372,AB$11-$C383+1))*$D383</f>
        <v>0</v>
      </c>
      <c r="AC383" s="95" cm="1">
        <f t="array" ref="AC383">IF($C383&gt;AC$11,0,INDEX($F$372:$AD$372,AC$11-$C383+1))*$D383</f>
        <v>0</v>
      </c>
      <c r="AD383" s="95" cm="1">
        <f t="array" ref="AD383">IF($C383&gt;AD$11,0,INDEX($F$372:$AD$372,AD$11-$C383+1))*$D383</f>
        <v>0</v>
      </c>
    </row>
    <row r="384" spans="1:30">
      <c r="A384" s="95"/>
      <c r="B384" s="118">
        <f t="shared" si="98"/>
        <v>2</v>
      </c>
      <c r="C384">
        <f t="shared" si="99"/>
        <v>2032</v>
      </c>
      <c r="D384" s="95" cm="1">
        <f t="array" ref="D384">INDEX($F$14:$AD$16,$B384,MATCH($C384,$F$11:$AD$11,0))*$G$373</f>
        <v>3243300</v>
      </c>
      <c r="E384" s="95"/>
      <c r="F384" s="95" cm="1">
        <f t="array" ref="F384">IF($C384&gt;F$11,0,INDEX($F$372:$AD$372,F$11-$C384+1))*$D384</f>
        <v>0</v>
      </c>
      <c r="G384" s="95" cm="1">
        <f t="array" ref="G384">IF($C384&gt;G$11,0,INDEX($F$372:$AD$372,G$11-$C384+1))*$D384</f>
        <v>0</v>
      </c>
      <c r="H384" s="95" cm="1">
        <f t="array" ref="H384">IF($C384&gt;H$11,0,INDEX($F$372:$AD$372,H$11-$C384+1))*$D384</f>
        <v>0</v>
      </c>
      <c r="I384" s="95" cm="1">
        <f t="array" ref="I384">IF($C384&gt;I$11,0,INDEX($F$372:$AD$372,I$11-$C384+1))*$D384</f>
        <v>0</v>
      </c>
      <c r="J384" s="95" cm="1">
        <f t="array" ref="J384">IF($C384&gt;J$11,0,INDEX($F$372:$AD$372,J$11-$C384+1))*$D384</f>
        <v>0</v>
      </c>
      <c r="K384" s="95" cm="1">
        <f t="array" ref="K384">IF($C384&gt;K$11,0,INDEX($F$372:$AD$372,K$11-$C384+1))*$D384</f>
        <v>0</v>
      </c>
      <c r="L384" s="95" cm="1">
        <f t="array" ref="L384">IF($C384&gt;L$11,0,INDEX($F$372:$AD$372,L$11-$C384+1))*$D384</f>
        <v>0</v>
      </c>
      <c r="M384" s="95" cm="1">
        <f t="array" ref="M384">IF($C384&gt;M$11,0,INDEX($F$372:$AD$372,M$11-$C384+1))*$D384</f>
        <v>0</v>
      </c>
      <c r="N384" s="95" cm="1">
        <f t="array" ref="N384">IF($C384&gt;N$11,0,INDEX($F$372:$AD$372,N$11-$C384+1))*$D384</f>
        <v>0</v>
      </c>
      <c r="O384" s="95" cm="1">
        <f t="array" ref="O384">IF($C384&gt;O$11,0,INDEX($F$372:$AD$372,O$11-$C384+1))*$D384</f>
        <v>0</v>
      </c>
      <c r="P384" s="95" cm="1">
        <f t="array" ref="P384">IF($C384&gt;P$11,0,INDEX($F$372:$AD$372,P$11-$C384+1))*$D384</f>
        <v>589690.90909090906</v>
      </c>
      <c r="Q384" s="95" cm="1">
        <f t="array" ref="Q384">IF($C384&gt;Q$11,0,INDEX($F$372:$AD$372,Q$11-$C384+1))*$D384</f>
        <v>530721.81818181823</v>
      </c>
      <c r="R384" s="95" cm="1">
        <f t="array" ref="R384">IF($C384&gt;R$11,0,INDEX($F$372:$AD$372,R$11-$C384+1))*$D384</f>
        <v>471752.72727272724</v>
      </c>
      <c r="S384" s="95" cm="1">
        <f t="array" ref="S384">IF($C384&gt;S$11,0,INDEX($F$372:$AD$372,S$11-$C384+1))*$D384</f>
        <v>412783.63636363629</v>
      </c>
      <c r="T384" s="95" cm="1">
        <f t="array" ref="T384">IF($C384&gt;T$11,0,INDEX($F$372:$AD$372,T$11-$C384+1))*$D384</f>
        <v>353814.54545454541</v>
      </c>
      <c r="U384" s="95" cm="1">
        <f t="array" ref="U384">IF($C384&gt;U$11,0,INDEX($F$372:$AD$372,U$11-$C384+1))*$D384</f>
        <v>294845.45454545453</v>
      </c>
      <c r="V384" s="95" cm="1">
        <f t="array" ref="V384">IF($C384&gt;V$11,0,INDEX($F$372:$AD$372,V$11-$C384+1))*$D384</f>
        <v>235876.36363636362</v>
      </c>
      <c r="W384" s="95" cm="1">
        <f t="array" ref="W384">IF($C384&gt;W$11,0,INDEX($F$372:$AD$372,W$11-$C384+1))*$D384</f>
        <v>176907.27272727271</v>
      </c>
      <c r="X384" s="95" cm="1">
        <f t="array" ref="X384">IF($C384&gt;X$11,0,INDEX($F$372:$AD$372,X$11-$C384+1))*$D384</f>
        <v>117938.18181818181</v>
      </c>
      <c r="Y384" s="95" cm="1">
        <f t="array" ref="Y384">IF($C384&gt;Y$11,0,INDEX($F$372:$AD$372,Y$11-$C384+1))*$D384</f>
        <v>58969.090909090904</v>
      </c>
      <c r="Z384" s="95" cm="1">
        <f t="array" ref="Z384">IF($C384&gt;Z$11,0,INDEX($F$372:$AD$372,Z$11-$C384+1))*$D384</f>
        <v>0</v>
      </c>
      <c r="AA384" s="95" cm="1">
        <f t="array" ref="AA384">IF($C384&gt;AA$11,0,INDEX($F$372:$AD$372,AA$11-$C384+1))*$D384</f>
        <v>0</v>
      </c>
      <c r="AB384" s="95" cm="1">
        <f t="array" ref="AB384">IF($C384&gt;AB$11,0,INDEX($F$372:$AD$372,AB$11-$C384+1))*$D384</f>
        <v>0</v>
      </c>
      <c r="AC384" s="95" cm="1">
        <f t="array" ref="AC384">IF($C384&gt;AC$11,0,INDEX($F$372:$AD$372,AC$11-$C384+1))*$D384</f>
        <v>0</v>
      </c>
      <c r="AD384" s="95" cm="1">
        <f t="array" ref="AD384">IF($C384&gt;AD$11,0,INDEX($F$372:$AD$372,AD$11-$C384+1))*$D384</f>
        <v>0</v>
      </c>
    </row>
    <row r="385" spans="1:30">
      <c r="A385" s="95"/>
      <c r="B385" s="118">
        <f t="shared" si="98"/>
        <v>2</v>
      </c>
      <c r="C385">
        <f t="shared" si="99"/>
        <v>2033</v>
      </c>
      <c r="D385" s="95" cm="1">
        <f t="array" ref="D385">INDEX($F$14:$AD$16,$B385,MATCH($C385,$F$11:$AD$11,0))*$G$373</f>
        <v>551475</v>
      </c>
      <c r="E385" s="95"/>
      <c r="F385" s="95" cm="1">
        <f t="array" ref="F385">IF($C385&gt;F$11,0,INDEX($F$372:$AD$372,F$11-$C385+1))*$D385</f>
        <v>0</v>
      </c>
      <c r="G385" s="95" cm="1">
        <f t="array" ref="G385">IF($C385&gt;G$11,0,INDEX($F$372:$AD$372,G$11-$C385+1))*$D385</f>
        <v>0</v>
      </c>
      <c r="H385" s="95" cm="1">
        <f t="array" ref="H385">IF($C385&gt;H$11,0,INDEX($F$372:$AD$372,H$11-$C385+1))*$D385</f>
        <v>0</v>
      </c>
      <c r="I385" s="95" cm="1">
        <f t="array" ref="I385">IF($C385&gt;I$11,0,INDEX($F$372:$AD$372,I$11-$C385+1))*$D385</f>
        <v>0</v>
      </c>
      <c r="J385" s="95" cm="1">
        <f t="array" ref="J385">IF($C385&gt;J$11,0,INDEX($F$372:$AD$372,J$11-$C385+1))*$D385</f>
        <v>0</v>
      </c>
      <c r="K385" s="95" cm="1">
        <f t="array" ref="K385">IF($C385&gt;K$11,0,INDEX($F$372:$AD$372,K$11-$C385+1))*$D385</f>
        <v>0</v>
      </c>
      <c r="L385" s="95" cm="1">
        <f t="array" ref="L385">IF($C385&gt;L$11,0,INDEX($F$372:$AD$372,L$11-$C385+1))*$D385</f>
        <v>0</v>
      </c>
      <c r="M385" s="95" cm="1">
        <f t="array" ref="M385">IF($C385&gt;M$11,0,INDEX($F$372:$AD$372,M$11-$C385+1))*$D385</f>
        <v>0</v>
      </c>
      <c r="N385" s="95" cm="1">
        <f t="array" ref="N385">IF($C385&gt;N$11,0,INDEX($F$372:$AD$372,N$11-$C385+1))*$D385</f>
        <v>0</v>
      </c>
      <c r="O385" s="95" cm="1">
        <f t="array" ref="O385">IF($C385&gt;O$11,0,INDEX($F$372:$AD$372,O$11-$C385+1))*$D385</f>
        <v>0</v>
      </c>
      <c r="P385" s="95" cm="1">
        <f t="array" ref="P385">IF($C385&gt;P$11,0,INDEX($F$372:$AD$372,P$11-$C385+1))*$D385</f>
        <v>0</v>
      </c>
      <c r="Q385" s="95" cm="1">
        <f t="array" ref="Q385">IF($C385&gt;Q$11,0,INDEX($F$372:$AD$372,Q$11-$C385+1))*$D385</f>
        <v>100268.18181818182</v>
      </c>
      <c r="R385" s="95" cm="1">
        <f t="array" ref="R385">IF($C385&gt;R$11,0,INDEX($F$372:$AD$372,R$11-$C385+1))*$D385</f>
        <v>90241.363636363632</v>
      </c>
      <c r="S385" s="95" cm="1">
        <f t="array" ref="S385">IF($C385&gt;S$11,0,INDEX($F$372:$AD$372,S$11-$C385+1))*$D385</f>
        <v>80214.545454545456</v>
      </c>
      <c r="T385" s="95" cm="1">
        <f t="array" ref="T385">IF($C385&gt;T$11,0,INDEX($F$372:$AD$372,T$11-$C385+1))*$D385</f>
        <v>70187.727272727265</v>
      </c>
      <c r="U385" s="95" cm="1">
        <f t="array" ref="U385">IF($C385&gt;U$11,0,INDEX($F$372:$AD$372,U$11-$C385+1))*$D385</f>
        <v>60160.909090909088</v>
      </c>
      <c r="V385" s="95" cm="1">
        <f t="array" ref="V385">IF($C385&gt;V$11,0,INDEX($F$372:$AD$372,V$11-$C385+1))*$D385</f>
        <v>50134.090909090912</v>
      </c>
      <c r="W385" s="95" cm="1">
        <f t="array" ref="W385">IF($C385&gt;W$11,0,INDEX($F$372:$AD$372,W$11-$C385+1))*$D385</f>
        <v>40107.272727272728</v>
      </c>
      <c r="X385" s="95" cm="1">
        <f t="array" ref="X385">IF($C385&gt;X$11,0,INDEX($F$372:$AD$372,X$11-$C385+1))*$D385</f>
        <v>30080.454545454544</v>
      </c>
      <c r="Y385" s="95" cm="1">
        <f t="array" ref="Y385">IF($C385&gt;Y$11,0,INDEX($F$372:$AD$372,Y$11-$C385+1))*$D385</f>
        <v>20053.636363636364</v>
      </c>
      <c r="Z385" s="95" cm="1">
        <f t="array" ref="Z385">IF($C385&gt;Z$11,0,INDEX($F$372:$AD$372,Z$11-$C385+1))*$D385</f>
        <v>10026.818181818182</v>
      </c>
      <c r="AA385" s="95" cm="1">
        <f t="array" ref="AA385">IF($C385&gt;AA$11,0,INDEX($F$372:$AD$372,AA$11-$C385+1))*$D385</f>
        <v>0</v>
      </c>
      <c r="AB385" s="95" cm="1">
        <f t="array" ref="AB385">IF($C385&gt;AB$11,0,INDEX($F$372:$AD$372,AB$11-$C385+1))*$D385</f>
        <v>0</v>
      </c>
      <c r="AC385" s="95" cm="1">
        <f t="array" ref="AC385">IF($C385&gt;AC$11,0,INDEX($F$372:$AD$372,AC$11-$C385+1))*$D385</f>
        <v>0</v>
      </c>
      <c r="AD385" s="95" cm="1">
        <f t="array" ref="AD385">IF($C385&gt;AD$11,0,INDEX($F$372:$AD$372,AD$11-$C385+1))*$D385</f>
        <v>0</v>
      </c>
    </row>
    <row r="386" spans="1:30">
      <c r="A386" s="95"/>
      <c r="B386" s="118">
        <f t="shared" si="98"/>
        <v>2</v>
      </c>
      <c r="C386">
        <f t="shared" si="99"/>
        <v>2034</v>
      </c>
      <c r="D386" s="95" cm="1">
        <f t="array" ref="D386">INDEX($F$14:$AD$16,$B386,MATCH($C386,$F$11:$AD$11,0))*$G$373</f>
        <v>1338075</v>
      </c>
      <c r="E386" s="95"/>
      <c r="F386" s="95" cm="1">
        <f t="array" ref="F386">IF($C386&gt;F$11,0,INDEX($F$372:$AD$372,F$11-$C386+1))*$D386</f>
        <v>0</v>
      </c>
      <c r="G386" s="95" cm="1">
        <f t="array" ref="G386">IF($C386&gt;G$11,0,INDEX($F$372:$AD$372,G$11-$C386+1))*$D386</f>
        <v>0</v>
      </c>
      <c r="H386" s="95" cm="1">
        <f t="array" ref="H386">IF($C386&gt;H$11,0,INDEX($F$372:$AD$372,H$11-$C386+1))*$D386</f>
        <v>0</v>
      </c>
      <c r="I386" s="95" cm="1">
        <f t="array" ref="I386">IF($C386&gt;I$11,0,INDEX($F$372:$AD$372,I$11-$C386+1))*$D386</f>
        <v>0</v>
      </c>
      <c r="J386" s="95" cm="1">
        <f t="array" ref="J386">IF($C386&gt;J$11,0,INDEX($F$372:$AD$372,J$11-$C386+1))*$D386</f>
        <v>0</v>
      </c>
      <c r="K386" s="95" cm="1">
        <f t="array" ref="K386">IF($C386&gt;K$11,0,INDEX($F$372:$AD$372,K$11-$C386+1))*$D386</f>
        <v>0</v>
      </c>
      <c r="L386" s="95" cm="1">
        <f t="array" ref="L386">IF($C386&gt;L$11,0,INDEX($F$372:$AD$372,L$11-$C386+1))*$D386</f>
        <v>0</v>
      </c>
      <c r="M386" s="95" cm="1">
        <f t="array" ref="M386">IF($C386&gt;M$11,0,INDEX($F$372:$AD$372,M$11-$C386+1))*$D386</f>
        <v>0</v>
      </c>
      <c r="N386" s="95" cm="1">
        <f t="array" ref="N386">IF($C386&gt;N$11,0,INDEX($F$372:$AD$372,N$11-$C386+1))*$D386</f>
        <v>0</v>
      </c>
      <c r="O386" s="95" cm="1">
        <f t="array" ref="O386">IF($C386&gt;O$11,0,INDEX($F$372:$AD$372,O$11-$C386+1))*$D386</f>
        <v>0</v>
      </c>
      <c r="P386" s="95" cm="1">
        <f t="array" ref="P386">IF($C386&gt;P$11,0,INDEX($F$372:$AD$372,P$11-$C386+1))*$D386</f>
        <v>0</v>
      </c>
      <c r="Q386" s="95" cm="1">
        <f t="array" ref="Q386">IF($C386&gt;Q$11,0,INDEX($F$372:$AD$372,Q$11-$C386+1))*$D386</f>
        <v>0</v>
      </c>
      <c r="R386" s="95" cm="1">
        <f t="array" ref="R386">IF($C386&gt;R$11,0,INDEX($F$372:$AD$372,R$11-$C386+1))*$D386</f>
        <v>243286.36363636365</v>
      </c>
      <c r="S386" s="95" cm="1">
        <f t="array" ref="S386">IF($C386&gt;S$11,0,INDEX($F$372:$AD$372,S$11-$C386+1))*$D386</f>
        <v>218957.72727272726</v>
      </c>
      <c r="T386" s="95" cm="1">
        <f t="array" ref="T386">IF($C386&gt;T$11,0,INDEX($F$372:$AD$372,T$11-$C386+1))*$D386</f>
        <v>194629.09090909091</v>
      </c>
      <c r="U386" s="95" cm="1">
        <f t="array" ref="U386">IF($C386&gt;U$11,0,INDEX($F$372:$AD$372,U$11-$C386+1))*$D386</f>
        <v>170300.45454545453</v>
      </c>
      <c r="V386" s="95" cm="1">
        <f t="array" ref="V386">IF($C386&gt;V$11,0,INDEX($F$372:$AD$372,V$11-$C386+1))*$D386</f>
        <v>145971.81818181818</v>
      </c>
      <c r="W386" s="95" cm="1">
        <f t="array" ref="W386">IF($C386&gt;W$11,0,INDEX($F$372:$AD$372,W$11-$C386+1))*$D386</f>
        <v>121643.18181818182</v>
      </c>
      <c r="X386" s="95" cm="1">
        <f t="array" ref="X386">IF($C386&gt;X$11,0,INDEX($F$372:$AD$372,X$11-$C386+1))*$D386</f>
        <v>97314.545454545456</v>
      </c>
      <c r="Y386" s="95" cm="1">
        <f t="array" ref="Y386">IF($C386&gt;Y$11,0,INDEX($F$372:$AD$372,Y$11-$C386+1))*$D386</f>
        <v>72985.909090909088</v>
      </c>
      <c r="Z386" s="95" cm="1">
        <f t="array" ref="Z386">IF($C386&gt;Z$11,0,INDEX($F$372:$AD$372,Z$11-$C386+1))*$D386</f>
        <v>48657.272727272728</v>
      </c>
      <c r="AA386" s="95" cm="1">
        <f t="array" ref="AA386">IF($C386&gt;AA$11,0,INDEX($F$372:$AD$372,AA$11-$C386+1))*$D386</f>
        <v>24328.636363636364</v>
      </c>
      <c r="AB386" s="95" cm="1">
        <f t="array" ref="AB386">IF($C386&gt;AB$11,0,INDEX($F$372:$AD$372,AB$11-$C386+1))*$D386</f>
        <v>0</v>
      </c>
      <c r="AC386" s="95" cm="1">
        <f t="array" ref="AC386">IF($C386&gt;AC$11,0,INDEX($F$372:$AD$372,AC$11-$C386+1))*$D386</f>
        <v>0</v>
      </c>
      <c r="AD386" s="95" cm="1">
        <f t="array" ref="AD386">IF($C386&gt;AD$11,0,INDEX($F$372:$AD$372,AD$11-$C386+1))*$D386</f>
        <v>0</v>
      </c>
    </row>
    <row r="387" spans="1:30">
      <c r="A387" s="95"/>
      <c r="B387" s="118">
        <f t="shared" si="98"/>
        <v>2</v>
      </c>
      <c r="C387">
        <f t="shared" si="99"/>
        <v>2035</v>
      </c>
      <c r="D387" s="95" cm="1">
        <f t="array" ref="D387">INDEX($F$14:$AD$16,$B387,MATCH($C387,$F$11:$AD$11,0))*$G$373</f>
        <v>1479150</v>
      </c>
      <c r="E387" s="95"/>
      <c r="F387" s="95" cm="1">
        <f t="array" ref="F387">IF($C387&gt;F$11,0,INDEX($F$372:$AD$372,F$11-$C387+1))*$D387</f>
        <v>0</v>
      </c>
      <c r="G387" s="95" cm="1">
        <f t="array" ref="G387">IF($C387&gt;G$11,0,INDEX($F$372:$AD$372,G$11-$C387+1))*$D387</f>
        <v>0</v>
      </c>
      <c r="H387" s="95" cm="1">
        <f t="array" ref="H387">IF($C387&gt;H$11,0,INDEX($F$372:$AD$372,H$11-$C387+1))*$D387</f>
        <v>0</v>
      </c>
      <c r="I387" s="95" cm="1">
        <f t="array" ref="I387">IF($C387&gt;I$11,0,INDEX($F$372:$AD$372,I$11-$C387+1))*$D387</f>
        <v>0</v>
      </c>
      <c r="J387" s="95" cm="1">
        <f t="array" ref="J387">IF($C387&gt;J$11,0,INDEX($F$372:$AD$372,J$11-$C387+1))*$D387</f>
        <v>0</v>
      </c>
      <c r="K387" s="95" cm="1">
        <f t="array" ref="K387">IF($C387&gt;K$11,0,INDEX($F$372:$AD$372,K$11-$C387+1))*$D387</f>
        <v>0</v>
      </c>
      <c r="L387" s="95" cm="1">
        <f t="array" ref="L387">IF($C387&gt;L$11,0,INDEX($F$372:$AD$372,L$11-$C387+1))*$D387</f>
        <v>0</v>
      </c>
      <c r="M387" s="95" cm="1">
        <f t="array" ref="M387">IF($C387&gt;M$11,0,INDEX($F$372:$AD$372,M$11-$C387+1))*$D387</f>
        <v>0</v>
      </c>
      <c r="N387" s="95" cm="1">
        <f t="array" ref="N387">IF($C387&gt;N$11,0,INDEX($F$372:$AD$372,N$11-$C387+1))*$D387</f>
        <v>0</v>
      </c>
      <c r="O387" s="95" cm="1">
        <f t="array" ref="O387">IF($C387&gt;O$11,0,INDEX($F$372:$AD$372,O$11-$C387+1))*$D387</f>
        <v>0</v>
      </c>
      <c r="P387" s="95" cm="1">
        <f t="array" ref="P387">IF($C387&gt;P$11,0,INDEX($F$372:$AD$372,P$11-$C387+1))*$D387</f>
        <v>0</v>
      </c>
      <c r="Q387" s="95" cm="1">
        <f t="array" ref="Q387">IF($C387&gt;Q$11,0,INDEX($F$372:$AD$372,Q$11-$C387+1))*$D387</f>
        <v>0</v>
      </c>
      <c r="R387" s="95" cm="1">
        <f t="array" ref="R387">IF($C387&gt;R$11,0,INDEX($F$372:$AD$372,R$11-$C387+1))*$D387</f>
        <v>0</v>
      </c>
      <c r="S387" s="95" cm="1">
        <f t="array" ref="S387">IF($C387&gt;S$11,0,INDEX($F$372:$AD$372,S$11-$C387+1))*$D387</f>
        <v>268936.36363636365</v>
      </c>
      <c r="T387" s="95" cm="1">
        <f t="array" ref="T387">IF($C387&gt;T$11,0,INDEX($F$372:$AD$372,T$11-$C387+1))*$D387</f>
        <v>242042.72727272726</v>
      </c>
      <c r="U387" s="95" cm="1">
        <f t="array" ref="U387">IF($C387&gt;U$11,0,INDEX($F$372:$AD$372,U$11-$C387+1))*$D387</f>
        <v>215149.09090909091</v>
      </c>
      <c r="V387" s="95" cm="1">
        <f t="array" ref="V387">IF($C387&gt;V$11,0,INDEX($F$372:$AD$372,V$11-$C387+1))*$D387</f>
        <v>188255.45454545453</v>
      </c>
      <c r="W387" s="95" cm="1">
        <f t="array" ref="W387">IF($C387&gt;W$11,0,INDEX($F$372:$AD$372,W$11-$C387+1))*$D387</f>
        <v>161361.81818181818</v>
      </c>
      <c r="X387" s="95" cm="1">
        <f t="array" ref="X387">IF($C387&gt;X$11,0,INDEX($F$372:$AD$372,X$11-$C387+1))*$D387</f>
        <v>134468.18181818182</v>
      </c>
      <c r="Y387" s="95" cm="1">
        <f t="array" ref="Y387">IF($C387&gt;Y$11,0,INDEX($F$372:$AD$372,Y$11-$C387+1))*$D387</f>
        <v>107574.54545454546</v>
      </c>
      <c r="Z387" s="95" cm="1">
        <f t="array" ref="Z387">IF($C387&gt;Z$11,0,INDEX($F$372:$AD$372,Z$11-$C387+1))*$D387</f>
        <v>80680.909090909088</v>
      </c>
      <c r="AA387" s="95" cm="1">
        <f t="array" ref="AA387">IF($C387&gt;AA$11,0,INDEX($F$372:$AD$372,AA$11-$C387+1))*$D387</f>
        <v>53787.272727272728</v>
      </c>
      <c r="AB387" s="95" cm="1">
        <f t="array" ref="AB387">IF($C387&gt;AB$11,0,INDEX($F$372:$AD$372,AB$11-$C387+1))*$D387</f>
        <v>26893.636363636364</v>
      </c>
      <c r="AC387" s="95" cm="1">
        <f t="array" ref="AC387">IF($C387&gt;AC$11,0,INDEX($F$372:$AD$372,AC$11-$C387+1))*$D387</f>
        <v>0</v>
      </c>
      <c r="AD387" s="95" cm="1">
        <f t="array" ref="AD387">IF($C387&gt;AD$11,0,INDEX($F$372:$AD$372,AD$11-$C387+1))*$D387</f>
        <v>0</v>
      </c>
    </row>
    <row r="388" spans="1:30">
      <c r="A388" s="95"/>
      <c r="B388" s="118">
        <f t="shared" si="98"/>
        <v>2</v>
      </c>
      <c r="C388">
        <f t="shared" si="99"/>
        <v>2036</v>
      </c>
      <c r="D388" s="95" cm="1">
        <f t="array" ref="D388">INDEX($F$14:$AD$16,$B388,MATCH($C388,$F$11:$AD$11,0))*$G$373</f>
        <v>2463825</v>
      </c>
      <c r="E388" s="95"/>
      <c r="F388" s="95" cm="1">
        <f t="array" ref="F388">IF($C388&gt;F$11,0,INDEX($F$372:$AD$372,F$11-$C388+1))*$D388</f>
        <v>0</v>
      </c>
      <c r="G388" s="95" cm="1">
        <f t="array" ref="G388">IF($C388&gt;G$11,0,INDEX($F$372:$AD$372,G$11-$C388+1))*$D388</f>
        <v>0</v>
      </c>
      <c r="H388" s="95" cm="1">
        <f t="array" ref="H388">IF($C388&gt;H$11,0,INDEX($F$372:$AD$372,H$11-$C388+1))*$D388</f>
        <v>0</v>
      </c>
      <c r="I388" s="95" cm="1">
        <f t="array" ref="I388">IF($C388&gt;I$11,0,INDEX($F$372:$AD$372,I$11-$C388+1))*$D388</f>
        <v>0</v>
      </c>
      <c r="J388" s="95" cm="1">
        <f t="array" ref="J388">IF($C388&gt;J$11,0,INDEX($F$372:$AD$372,J$11-$C388+1))*$D388</f>
        <v>0</v>
      </c>
      <c r="K388" s="95" cm="1">
        <f t="array" ref="K388">IF($C388&gt;K$11,0,INDEX($F$372:$AD$372,K$11-$C388+1))*$D388</f>
        <v>0</v>
      </c>
      <c r="L388" s="95" cm="1">
        <f t="array" ref="L388">IF($C388&gt;L$11,0,INDEX($F$372:$AD$372,L$11-$C388+1))*$D388</f>
        <v>0</v>
      </c>
      <c r="M388" s="95" cm="1">
        <f t="array" ref="M388">IF($C388&gt;M$11,0,INDEX($F$372:$AD$372,M$11-$C388+1))*$D388</f>
        <v>0</v>
      </c>
      <c r="N388" s="95" cm="1">
        <f t="array" ref="N388">IF($C388&gt;N$11,0,INDEX($F$372:$AD$372,N$11-$C388+1))*$D388</f>
        <v>0</v>
      </c>
      <c r="O388" s="95" cm="1">
        <f t="array" ref="O388">IF($C388&gt;O$11,0,INDEX($F$372:$AD$372,O$11-$C388+1))*$D388</f>
        <v>0</v>
      </c>
      <c r="P388" s="95" cm="1">
        <f t="array" ref="P388">IF($C388&gt;P$11,0,INDEX($F$372:$AD$372,P$11-$C388+1))*$D388</f>
        <v>0</v>
      </c>
      <c r="Q388" s="95" cm="1">
        <f t="array" ref="Q388">IF($C388&gt;Q$11,0,INDEX($F$372:$AD$372,Q$11-$C388+1))*$D388</f>
        <v>0</v>
      </c>
      <c r="R388" s="95" cm="1">
        <f t="array" ref="R388">IF($C388&gt;R$11,0,INDEX($F$372:$AD$372,R$11-$C388+1))*$D388</f>
        <v>0</v>
      </c>
      <c r="S388" s="95" cm="1">
        <f t="array" ref="S388">IF($C388&gt;S$11,0,INDEX($F$372:$AD$372,S$11-$C388+1))*$D388</f>
        <v>0</v>
      </c>
      <c r="T388" s="95" cm="1">
        <f t="array" ref="T388">IF($C388&gt;T$11,0,INDEX($F$372:$AD$372,T$11-$C388+1))*$D388</f>
        <v>447968.18181818182</v>
      </c>
      <c r="U388" s="95" cm="1">
        <f t="array" ref="U388">IF($C388&gt;U$11,0,INDEX($F$372:$AD$372,U$11-$C388+1))*$D388</f>
        <v>403171.36363636365</v>
      </c>
      <c r="V388" s="95" cm="1">
        <f t="array" ref="V388">IF($C388&gt;V$11,0,INDEX($F$372:$AD$372,V$11-$C388+1))*$D388</f>
        <v>358374.54545454541</v>
      </c>
      <c r="W388" s="95" cm="1">
        <f t="array" ref="W388">IF($C388&gt;W$11,0,INDEX($F$372:$AD$372,W$11-$C388+1))*$D388</f>
        <v>313577.72727272724</v>
      </c>
      <c r="X388" s="95" cm="1">
        <f t="array" ref="X388">IF($C388&gt;X$11,0,INDEX($F$372:$AD$372,X$11-$C388+1))*$D388</f>
        <v>268780.90909090906</v>
      </c>
      <c r="Y388" s="95" cm="1">
        <f t="array" ref="Y388">IF($C388&gt;Y$11,0,INDEX($F$372:$AD$372,Y$11-$C388+1))*$D388</f>
        <v>223984.09090909091</v>
      </c>
      <c r="Z388" s="95" cm="1">
        <f t="array" ref="Z388">IF($C388&gt;Z$11,0,INDEX($F$372:$AD$372,Z$11-$C388+1))*$D388</f>
        <v>179187.27272727271</v>
      </c>
      <c r="AA388" s="95" cm="1">
        <f t="array" ref="AA388">IF($C388&gt;AA$11,0,INDEX($F$372:$AD$372,AA$11-$C388+1))*$D388</f>
        <v>134390.45454545453</v>
      </c>
      <c r="AB388" s="95" cm="1">
        <f t="array" ref="AB388">IF($C388&gt;AB$11,0,INDEX($F$372:$AD$372,AB$11-$C388+1))*$D388</f>
        <v>89593.636363636353</v>
      </c>
      <c r="AC388" s="95" cm="1">
        <f t="array" ref="AC388">IF($C388&gt;AC$11,0,INDEX($F$372:$AD$372,AC$11-$C388+1))*$D388</f>
        <v>44796.818181818177</v>
      </c>
      <c r="AD388" s="95" cm="1">
        <f t="array" ref="AD388">IF($C388&gt;AD$11,0,INDEX($F$372:$AD$372,AD$11-$C388+1))*$D388</f>
        <v>0</v>
      </c>
    </row>
    <row r="389" spans="1:30">
      <c r="A389" s="95"/>
      <c r="B389" s="118">
        <f t="shared" si="98"/>
        <v>2</v>
      </c>
      <c r="C389">
        <f t="shared" si="99"/>
        <v>2037</v>
      </c>
      <c r="D389" s="95" cm="1">
        <f t="array" ref="D389">INDEX($F$14:$AD$16,$B389,MATCH($C389,$F$11:$AD$11,0))*$G$373</f>
        <v>324900</v>
      </c>
      <c r="E389" s="95"/>
      <c r="F389" s="95" cm="1">
        <f t="array" ref="F389">IF($C389&gt;F$11,0,INDEX($F$372:$AD$372,F$11-$C389+1))*$D389</f>
        <v>0</v>
      </c>
      <c r="G389" s="95" cm="1">
        <f t="array" ref="G389">IF($C389&gt;G$11,0,INDEX($F$372:$AD$372,G$11-$C389+1))*$D389</f>
        <v>0</v>
      </c>
      <c r="H389" s="95" cm="1">
        <f t="array" ref="H389">IF($C389&gt;H$11,0,INDEX($F$372:$AD$372,H$11-$C389+1))*$D389</f>
        <v>0</v>
      </c>
      <c r="I389" s="95" cm="1">
        <f t="array" ref="I389">IF($C389&gt;I$11,0,INDEX($F$372:$AD$372,I$11-$C389+1))*$D389</f>
        <v>0</v>
      </c>
      <c r="J389" s="95" cm="1">
        <f t="array" ref="J389">IF($C389&gt;J$11,0,INDEX($F$372:$AD$372,J$11-$C389+1))*$D389</f>
        <v>0</v>
      </c>
      <c r="K389" s="95" cm="1">
        <f t="array" ref="K389">IF($C389&gt;K$11,0,INDEX($F$372:$AD$372,K$11-$C389+1))*$D389</f>
        <v>0</v>
      </c>
      <c r="L389" s="95" cm="1">
        <f t="array" ref="L389">IF($C389&gt;L$11,0,INDEX($F$372:$AD$372,L$11-$C389+1))*$D389</f>
        <v>0</v>
      </c>
      <c r="M389" s="95" cm="1">
        <f t="array" ref="M389">IF($C389&gt;M$11,0,INDEX($F$372:$AD$372,M$11-$C389+1))*$D389</f>
        <v>0</v>
      </c>
      <c r="N389" s="95" cm="1">
        <f t="array" ref="N389">IF($C389&gt;N$11,0,INDEX($F$372:$AD$372,N$11-$C389+1))*$D389</f>
        <v>0</v>
      </c>
      <c r="O389" s="95" cm="1">
        <f t="array" ref="O389">IF($C389&gt;O$11,0,INDEX($F$372:$AD$372,O$11-$C389+1))*$D389</f>
        <v>0</v>
      </c>
      <c r="P389" s="95" cm="1">
        <f t="array" ref="P389">IF($C389&gt;P$11,0,INDEX($F$372:$AD$372,P$11-$C389+1))*$D389</f>
        <v>0</v>
      </c>
      <c r="Q389" s="95" cm="1">
        <f t="array" ref="Q389">IF($C389&gt;Q$11,0,INDEX($F$372:$AD$372,Q$11-$C389+1))*$D389</f>
        <v>0</v>
      </c>
      <c r="R389" s="95" cm="1">
        <f t="array" ref="R389">IF($C389&gt;R$11,0,INDEX($F$372:$AD$372,R$11-$C389+1))*$D389</f>
        <v>0</v>
      </c>
      <c r="S389" s="95" cm="1">
        <f t="array" ref="S389">IF($C389&gt;S$11,0,INDEX($F$372:$AD$372,S$11-$C389+1))*$D389</f>
        <v>0</v>
      </c>
      <c r="T389" s="95" cm="1">
        <f t="array" ref="T389">IF($C389&gt;T$11,0,INDEX($F$372:$AD$372,T$11-$C389+1))*$D389</f>
        <v>0</v>
      </c>
      <c r="U389" s="95" cm="1">
        <f t="array" ref="U389">IF($C389&gt;U$11,0,INDEX($F$372:$AD$372,U$11-$C389+1))*$D389</f>
        <v>59072.727272727272</v>
      </c>
      <c r="V389" s="95" cm="1">
        <f t="array" ref="V389">IF($C389&gt;V$11,0,INDEX($F$372:$AD$372,V$11-$C389+1))*$D389</f>
        <v>53165.454545454544</v>
      </c>
      <c r="W389" s="95" cm="1">
        <f t="array" ref="W389">IF($C389&gt;W$11,0,INDEX($F$372:$AD$372,W$11-$C389+1))*$D389</f>
        <v>47258.181818181816</v>
      </c>
      <c r="X389" s="95" cm="1">
        <f t="array" ref="X389">IF($C389&gt;X$11,0,INDEX($F$372:$AD$372,X$11-$C389+1))*$D389</f>
        <v>41350.909090909088</v>
      </c>
      <c r="Y389" s="95" cm="1">
        <f t="array" ref="Y389">IF($C389&gt;Y$11,0,INDEX($F$372:$AD$372,Y$11-$C389+1))*$D389</f>
        <v>35443.63636363636</v>
      </c>
      <c r="Z389" s="95" cm="1">
        <f t="array" ref="Z389">IF($C389&gt;Z$11,0,INDEX($F$372:$AD$372,Z$11-$C389+1))*$D389</f>
        <v>29536.363636363636</v>
      </c>
      <c r="AA389" s="95" cm="1">
        <f t="array" ref="AA389">IF($C389&gt;AA$11,0,INDEX($F$372:$AD$372,AA$11-$C389+1))*$D389</f>
        <v>23629.090909090908</v>
      </c>
      <c r="AB389" s="95" cm="1">
        <f t="array" ref="AB389">IF($C389&gt;AB$11,0,INDEX($F$372:$AD$372,AB$11-$C389+1))*$D389</f>
        <v>17721.81818181818</v>
      </c>
      <c r="AC389" s="95" cm="1">
        <f t="array" ref="AC389">IF($C389&gt;AC$11,0,INDEX($F$372:$AD$372,AC$11-$C389+1))*$D389</f>
        <v>11814.545454545454</v>
      </c>
      <c r="AD389" s="95" cm="1">
        <f t="array" ref="AD389">IF($C389&gt;AD$11,0,INDEX($F$372:$AD$372,AD$11-$C389+1))*$D389</f>
        <v>5907.272727272727</v>
      </c>
    </row>
    <row r="390" spans="1:30">
      <c r="A390" s="95"/>
      <c r="B390" s="118">
        <f t="shared" si="98"/>
        <v>2</v>
      </c>
      <c r="C390">
        <f t="shared" si="99"/>
        <v>2038</v>
      </c>
      <c r="D390" s="95" cm="1">
        <f t="array" ref="D390">INDEX($F$14:$AD$16,$B390,MATCH($C390,$F$11:$AD$11,0))*$G$373</f>
        <v>3166350</v>
      </c>
      <c r="E390" s="95"/>
      <c r="F390" s="95" cm="1">
        <f t="array" ref="F390">IF($C390&gt;F$11,0,INDEX($F$372:$AD$372,F$11-$C390+1))*$D390</f>
        <v>0</v>
      </c>
      <c r="G390" s="95" cm="1">
        <f t="array" ref="G390">IF($C390&gt;G$11,0,INDEX($F$372:$AD$372,G$11-$C390+1))*$D390</f>
        <v>0</v>
      </c>
      <c r="H390" s="95" cm="1">
        <f t="array" ref="H390">IF($C390&gt;H$11,0,INDEX($F$372:$AD$372,H$11-$C390+1))*$D390</f>
        <v>0</v>
      </c>
      <c r="I390" s="95" cm="1">
        <f t="array" ref="I390">IF($C390&gt;I$11,0,INDEX($F$372:$AD$372,I$11-$C390+1))*$D390</f>
        <v>0</v>
      </c>
      <c r="J390" s="95" cm="1">
        <f t="array" ref="J390">IF($C390&gt;J$11,0,INDEX($F$372:$AD$372,J$11-$C390+1))*$D390</f>
        <v>0</v>
      </c>
      <c r="K390" s="95" cm="1">
        <f t="array" ref="K390">IF($C390&gt;K$11,0,INDEX($F$372:$AD$372,K$11-$C390+1))*$D390</f>
        <v>0</v>
      </c>
      <c r="L390" s="95" cm="1">
        <f t="array" ref="L390">IF($C390&gt;L$11,0,INDEX($F$372:$AD$372,L$11-$C390+1))*$D390</f>
        <v>0</v>
      </c>
      <c r="M390" s="95" cm="1">
        <f t="array" ref="M390">IF($C390&gt;M$11,0,INDEX($F$372:$AD$372,M$11-$C390+1))*$D390</f>
        <v>0</v>
      </c>
      <c r="N390" s="95" cm="1">
        <f t="array" ref="N390">IF($C390&gt;N$11,0,INDEX($F$372:$AD$372,N$11-$C390+1))*$D390</f>
        <v>0</v>
      </c>
      <c r="O390" s="95" cm="1">
        <f t="array" ref="O390">IF($C390&gt;O$11,0,INDEX($F$372:$AD$372,O$11-$C390+1))*$D390</f>
        <v>0</v>
      </c>
      <c r="P390" s="95" cm="1">
        <f t="array" ref="P390">IF($C390&gt;P$11,0,INDEX($F$372:$AD$372,P$11-$C390+1))*$D390</f>
        <v>0</v>
      </c>
      <c r="Q390" s="95" cm="1">
        <f t="array" ref="Q390">IF($C390&gt;Q$11,0,INDEX($F$372:$AD$372,Q$11-$C390+1))*$D390</f>
        <v>0</v>
      </c>
      <c r="R390" s="95" cm="1">
        <f t="array" ref="R390">IF($C390&gt;R$11,0,INDEX($F$372:$AD$372,R$11-$C390+1))*$D390</f>
        <v>0</v>
      </c>
      <c r="S390" s="95" cm="1">
        <f t="array" ref="S390">IF($C390&gt;S$11,0,INDEX($F$372:$AD$372,S$11-$C390+1))*$D390</f>
        <v>0</v>
      </c>
      <c r="T390" s="95" cm="1">
        <f t="array" ref="T390">IF($C390&gt;T$11,0,INDEX($F$372:$AD$372,T$11-$C390+1))*$D390</f>
        <v>0</v>
      </c>
      <c r="U390" s="95" cm="1">
        <f t="array" ref="U390">IF($C390&gt;U$11,0,INDEX($F$372:$AD$372,U$11-$C390+1))*$D390</f>
        <v>0</v>
      </c>
      <c r="V390" s="95" cm="1">
        <f t="array" ref="V390">IF($C390&gt;V$11,0,INDEX($F$372:$AD$372,V$11-$C390+1))*$D390</f>
        <v>575700</v>
      </c>
      <c r="W390" s="95" cm="1">
        <f t="array" ref="W390">IF($C390&gt;W$11,0,INDEX($F$372:$AD$372,W$11-$C390+1))*$D390</f>
        <v>518130</v>
      </c>
      <c r="X390" s="95" cm="1">
        <f t="array" ref="X390">IF($C390&gt;X$11,0,INDEX($F$372:$AD$372,X$11-$C390+1))*$D390</f>
        <v>460560</v>
      </c>
      <c r="Y390" s="95" cm="1">
        <f t="array" ref="Y390">IF($C390&gt;Y$11,0,INDEX($F$372:$AD$372,Y$11-$C390+1))*$D390</f>
        <v>402989.99999999994</v>
      </c>
      <c r="Z390" s="95" cm="1">
        <f t="array" ref="Z390">IF($C390&gt;Z$11,0,INDEX($F$372:$AD$372,Z$11-$C390+1))*$D390</f>
        <v>345420</v>
      </c>
      <c r="AA390" s="95" cm="1">
        <f t="array" ref="AA390">IF($C390&gt;AA$11,0,INDEX($F$372:$AD$372,AA$11-$C390+1))*$D390</f>
        <v>287850</v>
      </c>
      <c r="AB390" s="95" cm="1">
        <f t="array" ref="AB390">IF($C390&gt;AB$11,0,INDEX($F$372:$AD$372,AB$11-$C390+1))*$D390</f>
        <v>230280</v>
      </c>
      <c r="AC390" s="95" cm="1">
        <f t="array" ref="AC390">IF($C390&gt;AC$11,0,INDEX($F$372:$AD$372,AC$11-$C390+1))*$D390</f>
        <v>172710</v>
      </c>
      <c r="AD390" s="95" cm="1">
        <f t="array" ref="AD390">IF($C390&gt;AD$11,0,INDEX($F$372:$AD$372,AD$11-$C390+1))*$D390</f>
        <v>115140</v>
      </c>
    </row>
    <row r="391" spans="1:30">
      <c r="A391" s="95"/>
      <c r="B391" s="118">
        <f t="shared" si="98"/>
        <v>2</v>
      </c>
      <c r="C391">
        <f t="shared" si="99"/>
        <v>2039</v>
      </c>
      <c r="D391" s="95" cm="1">
        <f t="array" ref="D391">INDEX($F$14:$AD$16,$B391,MATCH($C391,$F$11:$AD$11,0))*$G$373</f>
        <v>579975</v>
      </c>
      <c r="E391" s="95"/>
      <c r="F391" s="95" cm="1">
        <f t="array" ref="F391">IF($C391&gt;F$11,0,INDEX($F$372:$AD$372,F$11-$C391+1))*$D391</f>
        <v>0</v>
      </c>
      <c r="G391" s="95" cm="1">
        <f t="array" ref="G391">IF($C391&gt;G$11,0,INDEX($F$372:$AD$372,G$11-$C391+1))*$D391</f>
        <v>0</v>
      </c>
      <c r="H391" s="95" cm="1">
        <f t="array" ref="H391">IF($C391&gt;H$11,0,INDEX($F$372:$AD$372,H$11-$C391+1))*$D391</f>
        <v>0</v>
      </c>
      <c r="I391" s="95" cm="1">
        <f t="array" ref="I391">IF($C391&gt;I$11,0,INDEX($F$372:$AD$372,I$11-$C391+1))*$D391</f>
        <v>0</v>
      </c>
      <c r="J391" s="95" cm="1">
        <f t="array" ref="J391">IF($C391&gt;J$11,0,INDEX($F$372:$AD$372,J$11-$C391+1))*$D391</f>
        <v>0</v>
      </c>
      <c r="K391" s="95" cm="1">
        <f t="array" ref="K391">IF($C391&gt;K$11,0,INDEX($F$372:$AD$372,K$11-$C391+1))*$D391</f>
        <v>0</v>
      </c>
      <c r="L391" s="95" cm="1">
        <f t="array" ref="L391">IF($C391&gt;L$11,0,INDEX($F$372:$AD$372,L$11-$C391+1))*$D391</f>
        <v>0</v>
      </c>
      <c r="M391" s="95" cm="1">
        <f t="array" ref="M391">IF($C391&gt;M$11,0,INDEX($F$372:$AD$372,M$11-$C391+1))*$D391</f>
        <v>0</v>
      </c>
      <c r="N391" s="95" cm="1">
        <f t="array" ref="N391">IF($C391&gt;N$11,0,INDEX($F$372:$AD$372,N$11-$C391+1))*$D391</f>
        <v>0</v>
      </c>
      <c r="O391" s="95" cm="1">
        <f t="array" ref="O391">IF($C391&gt;O$11,0,INDEX($F$372:$AD$372,O$11-$C391+1))*$D391</f>
        <v>0</v>
      </c>
      <c r="P391" s="95" cm="1">
        <f t="array" ref="P391">IF($C391&gt;P$11,0,INDEX($F$372:$AD$372,P$11-$C391+1))*$D391</f>
        <v>0</v>
      </c>
      <c r="Q391" s="95" cm="1">
        <f t="array" ref="Q391">IF($C391&gt;Q$11,0,INDEX($F$372:$AD$372,Q$11-$C391+1))*$D391</f>
        <v>0</v>
      </c>
      <c r="R391" s="95" cm="1">
        <f t="array" ref="R391">IF($C391&gt;R$11,0,INDEX($F$372:$AD$372,R$11-$C391+1))*$D391</f>
        <v>0</v>
      </c>
      <c r="S391" s="95" cm="1">
        <f t="array" ref="S391">IF($C391&gt;S$11,0,INDEX($F$372:$AD$372,S$11-$C391+1))*$D391</f>
        <v>0</v>
      </c>
      <c r="T391" s="95" cm="1">
        <f t="array" ref="T391">IF($C391&gt;T$11,0,INDEX($F$372:$AD$372,T$11-$C391+1))*$D391</f>
        <v>0</v>
      </c>
      <c r="U391" s="95" cm="1">
        <f t="array" ref="U391">IF($C391&gt;U$11,0,INDEX($F$372:$AD$372,U$11-$C391+1))*$D391</f>
        <v>0</v>
      </c>
      <c r="V391" s="95" cm="1">
        <f t="array" ref="V391">IF($C391&gt;V$11,0,INDEX($F$372:$AD$372,V$11-$C391+1))*$D391</f>
        <v>0</v>
      </c>
      <c r="W391" s="95" cm="1">
        <f t="array" ref="W391">IF($C391&gt;W$11,0,INDEX($F$372:$AD$372,W$11-$C391+1))*$D391</f>
        <v>105450</v>
      </c>
      <c r="X391" s="95" cm="1">
        <f t="array" ref="X391">IF($C391&gt;X$11,0,INDEX($F$372:$AD$372,X$11-$C391+1))*$D391</f>
        <v>94905</v>
      </c>
      <c r="Y391" s="95" cm="1">
        <f t="array" ref="Y391">IF($C391&gt;Y$11,0,INDEX($F$372:$AD$372,Y$11-$C391+1))*$D391</f>
        <v>84360</v>
      </c>
      <c r="Z391" s="95" cm="1">
        <f t="array" ref="Z391">IF($C391&gt;Z$11,0,INDEX($F$372:$AD$372,Z$11-$C391+1))*$D391</f>
        <v>73814.999999999985</v>
      </c>
      <c r="AA391" s="95" cm="1">
        <f t="array" ref="AA391">IF($C391&gt;AA$11,0,INDEX($F$372:$AD$372,AA$11-$C391+1))*$D391</f>
        <v>63270</v>
      </c>
      <c r="AB391" s="95" cm="1">
        <f t="array" ref="AB391">IF($C391&gt;AB$11,0,INDEX($F$372:$AD$372,AB$11-$C391+1))*$D391</f>
        <v>52725</v>
      </c>
      <c r="AC391" s="95" cm="1">
        <f t="array" ref="AC391">IF($C391&gt;AC$11,0,INDEX($F$372:$AD$372,AC$11-$C391+1))*$D391</f>
        <v>42180</v>
      </c>
      <c r="AD391" s="95" cm="1">
        <f t="array" ref="AD391">IF($C391&gt;AD$11,0,INDEX($F$372:$AD$372,AD$11-$C391+1))*$D391</f>
        <v>31635</v>
      </c>
    </row>
    <row r="392" spans="1:30">
      <c r="A392" s="95"/>
      <c r="B392" s="118">
        <f t="shared" si="98"/>
        <v>2</v>
      </c>
      <c r="C392">
        <f t="shared" si="99"/>
        <v>2040</v>
      </c>
      <c r="D392" s="95" cm="1">
        <f t="array" ref="D392">INDEX($F$14:$AD$16,$B392,MATCH($C392,$F$11:$AD$11,0))*$G$373</f>
        <v>846450</v>
      </c>
      <c r="E392" s="95"/>
      <c r="F392" s="95" cm="1">
        <f t="array" ref="F392">IF($C392&gt;F$11,0,INDEX($F$372:$AD$372,F$11-$C392+1))*$D392</f>
        <v>0</v>
      </c>
      <c r="G392" s="95" cm="1">
        <f t="array" ref="G392">IF($C392&gt;G$11,0,INDEX($F$372:$AD$372,G$11-$C392+1))*$D392</f>
        <v>0</v>
      </c>
      <c r="H392" s="95" cm="1">
        <f t="array" ref="H392">IF($C392&gt;H$11,0,INDEX($F$372:$AD$372,H$11-$C392+1))*$D392</f>
        <v>0</v>
      </c>
      <c r="I392" s="95" cm="1">
        <f t="array" ref="I392">IF($C392&gt;I$11,0,INDEX($F$372:$AD$372,I$11-$C392+1))*$D392</f>
        <v>0</v>
      </c>
      <c r="J392" s="95" cm="1">
        <f t="array" ref="J392">IF($C392&gt;J$11,0,INDEX($F$372:$AD$372,J$11-$C392+1))*$D392</f>
        <v>0</v>
      </c>
      <c r="K392" s="95" cm="1">
        <f t="array" ref="K392">IF($C392&gt;K$11,0,INDEX($F$372:$AD$372,K$11-$C392+1))*$D392</f>
        <v>0</v>
      </c>
      <c r="L392" s="95" cm="1">
        <f t="array" ref="L392">IF($C392&gt;L$11,0,INDEX($F$372:$AD$372,L$11-$C392+1))*$D392</f>
        <v>0</v>
      </c>
      <c r="M392" s="95" cm="1">
        <f t="array" ref="M392">IF($C392&gt;M$11,0,INDEX($F$372:$AD$372,M$11-$C392+1))*$D392</f>
        <v>0</v>
      </c>
      <c r="N392" s="95" cm="1">
        <f t="array" ref="N392">IF($C392&gt;N$11,0,INDEX($F$372:$AD$372,N$11-$C392+1))*$D392</f>
        <v>0</v>
      </c>
      <c r="O392" s="95" cm="1">
        <f t="array" ref="O392">IF($C392&gt;O$11,0,INDEX($F$372:$AD$372,O$11-$C392+1))*$D392</f>
        <v>0</v>
      </c>
      <c r="P392" s="95" cm="1">
        <f t="array" ref="P392">IF($C392&gt;P$11,0,INDEX($F$372:$AD$372,P$11-$C392+1))*$D392</f>
        <v>0</v>
      </c>
      <c r="Q392" s="95" cm="1">
        <f t="array" ref="Q392">IF($C392&gt;Q$11,0,INDEX($F$372:$AD$372,Q$11-$C392+1))*$D392</f>
        <v>0</v>
      </c>
      <c r="R392" s="95" cm="1">
        <f t="array" ref="R392">IF($C392&gt;R$11,0,INDEX($F$372:$AD$372,R$11-$C392+1))*$D392</f>
        <v>0</v>
      </c>
      <c r="S392" s="95" cm="1">
        <f t="array" ref="S392">IF($C392&gt;S$11,0,INDEX($F$372:$AD$372,S$11-$C392+1))*$D392</f>
        <v>0</v>
      </c>
      <c r="T392" s="95" cm="1">
        <f t="array" ref="T392">IF($C392&gt;T$11,0,INDEX($F$372:$AD$372,T$11-$C392+1))*$D392</f>
        <v>0</v>
      </c>
      <c r="U392" s="95" cm="1">
        <f t="array" ref="U392">IF($C392&gt;U$11,0,INDEX($F$372:$AD$372,U$11-$C392+1))*$D392</f>
        <v>0</v>
      </c>
      <c r="V392" s="95" cm="1">
        <f t="array" ref="V392">IF($C392&gt;V$11,0,INDEX($F$372:$AD$372,V$11-$C392+1))*$D392</f>
        <v>0</v>
      </c>
      <c r="W392" s="95" cm="1">
        <f t="array" ref="W392">IF($C392&gt;W$11,0,INDEX($F$372:$AD$372,W$11-$C392+1))*$D392</f>
        <v>0</v>
      </c>
      <c r="X392" s="95" cm="1">
        <f t="array" ref="X392">IF($C392&gt;X$11,0,INDEX($F$372:$AD$372,X$11-$C392+1))*$D392</f>
        <v>153900</v>
      </c>
      <c r="Y392" s="95" cm="1">
        <f t="array" ref="Y392">IF($C392&gt;Y$11,0,INDEX($F$372:$AD$372,Y$11-$C392+1))*$D392</f>
        <v>138510</v>
      </c>
      <c r="Z392" s="95" cm="1">
        <f t="array" ref="Z392">IF($C392&gt;Z$11,0,INDEX($F$372:$AD$372,Z$11-$C392+1))*$D392</f>
        <v>123120</v>
      </c>
      <c r="AA392" s="95" cm="1">
        <f t="array" ref="AA392">IF($C392&gt;AA$11,0,INDEX($F$372:$AD$372,AA$11-$C392+1))*$D392</f>
        <v>107729.99999999999</v>
      </c>
      <c r="AB392" s="95" cm="1">
        <f t="array" ref="AB392">IF($C392&gt;AB$11,0,INDEX($F$372:$AD$372,AB$11-$C392+1))*$D392</f>
        <v>92340</v>
      </c>
      <c r="AC392" s="95" cm="1">
        <f t="array" ref="AC392">IF($C392&gt;AC$11,0,INDEX($F$372:$AD$372,AC$11-$C392+1))*$D392</f>
        <v>76950</v>
      </c>
      <c r="AD392" s="95" cm="1">
        <f t="array" ref="AD392">IF($C392&gt;AD$11,0,INDEX($F$372:$AD$372,AD$11-$C392+1))*$D392</f>
        <v>61560</v>
      </c>
    </row>
    <row r="393" spans="1:30">
      <c r="A393" s="95"/>
      <c r="B393" s="118">
        <f t="shared" si="98"/>
        <v>2</v>
      </c>
      <c r="C393">
        <f t="shared" si="99"/>
        <v>2041</v>
      </c>
      <c r="D393" s="95" cm="1">
        <f t="array" ref="D393">INDEX($F$14:$AD$16,$B393,MATCH($C393,$F$11:$AD$11,0))*$G$373</f>
        <v>2080500</v>
      </c>
      <c r="E393" s="95"/>
      <c r="F393" s="95" cm="1">
        <f t="array" ref="F393">IF($C393&gt;F$11,0,INDEX($F$372:$AD$372,F$11-$C393+1))*$D393</f>
        <v>0</v>
      </c>
      <c r="G393" s="95" cm="1">
        <f t="array" ref="G393">IF($C393&gt;G$11,0,INDEX($F$372:$AD$372,G$11-$C393+1))*$D393</f>
        <v>0</v>
      </c>
      <c r="H393" s="95" cm="1">
        <f t="array" ref="H393">IF($C393&gt;H$11,0,INDEX($F$372:$AD$372,H$11-$C393+1))*$D393</f>
        <v>0</v>
      </c>
      <c r="I393" s="95" cm="1">
        <f t="array" ref="I393">IF($C393&gt;I$11,0,INDEX($F$372:$AD$372,I$11-$C393+1))*$D393</f>
        <v>0</v>
      </c>
      <c r="J393" s="95" cm="1">
        <f t="array" ref="J393">IF($C393&gt;J$11,0,INDEX($F$372:$AD$372,J$11-$C393+1))*$D393</f>
        <v>0</v>
      </c>
      <c r="K393" s="95" cm="1">
        <f t="array" ref="K393">IF($C393&gt;K$11,0,INDEX($F$372:$AD$372,K$11-$C393+1))*$D393</f>
        <v>0</v>
      </c>
      <c r="L393" s="95" cm="1">
        <f t="array" ref="L393">IF($C393&gt;L$11,0,INDEX($F$372:$AD$372,L$11-$C393+1))*$D393</f>
        <v>0</v>
      </c>
      <c r="M393" s="95" cm="1">
        <f t="array" ref="M393">IF($C393&gt;M$11,0,INDEX($F$372:$AD$372,M$11-$C393+1))*$D393</f>
        <v>0</v>
      </c>
      <c r="N393" s="95" cm="1">
        <f t="array" ref="N393">IF($C393&gt;N$11,0,INDEX($F$372:$AD$372,N$11-$C393+1))*$D393</f>
        <v>0</v>
      </c>
      <c r="O393" s="95" cm="1">
        <f t="array" ref="O393">IF($C393&gt;O$11,0,INDEX($F$372:$AD$372,O$11-$C393+1))*$D393</f>
        <v>0</v>
      </c>
      <c r="P393" s="95" cm="1">
        <f t="array" ref="P393">IF($C393&gt;P$11,0,INDEX($F$372:$AD$372,P$11-$C393+1))*$D393</f>
        <v>0</v>
      </c>
      <c r="Q393" s="95" cm="1">
        <f t="array" ref="Q393">IF($C393&gt;Q$11,0,INDEX($F$372:$AD$372,Q$11-$C393+1))*$D393</f>
        <v>0</v>
      </c>
      <c r="R393" s="95" cm="1">
        <f t="array" ref="R393">IF($C393&gt;R$11,0,INDEX($F$372:$AD$372,R$11-$C393+1))*$D393</f>
        <v>0</v>
      </c>
      <c r="S393" s="95" cm="1">
        <f t="array" ref="S393">IF($C393&gt;S$11,0,INDEX($F$372:$AD$372,S$11-$C393+1))*$D393</f>
        <v>0</v>
      </c>
      <c r="T393" s="95" cm="1">
        <f t="array" ref="T393">IF($C393&gt;T$11,0,INDEX($F$372:$AD$372,T$11-$C393+1))*$D393</f>
        <v>0</v>
      </c>
      <c r="U393" s="95" cm="1">
        <f t="array" ref="U393">IF($C393&gt;U$11,0,INDEX($F$372:$AD$372,U$11-$C393+1))*$D393</f>
        <v>0</v>
      </c>
      <c r="V393" s="95" cm="1">
        <f t="array" ref="V393">IF($C393&gt;V$11,0,INDEX($F$372:$AD$372,V$11-$C393+1))*$D393</f>
        <v>0</v>
      </c>
      <c r="W393" s="95" cm="1">
        <f t="array" ref="W393">IF($C393&gt;W$11,0,INDEX($F$372:$AD$372,W$11-$C393+1))*$D393</f>
        <v>0</v>
      </c>
      <c r="X393" s="95" cm="1">
        <f t="array" ref="X393">IF($C393&gt;X$11,0,INDEX($F$372:$AD$372,X$11-$C393+1))*$D393</f>
        <v>0</v>
      </c>
      <c r="Y393" s="95" cm="1">
        <f t="array" ref="Y393">IF($C393&gt;Y$11,0,INDEX($F$372:$AD$372,Y$11-$C393+1))*$D393</f>
        <v>378272.72727272729</v>
      </c>
      <c r="Z393" s="95" cm="1">
        <f t="array" ref="Z393">IF($C393&gt;Z$11,0,INDEX($F$372:$AD$372,Z$11-$C393+1))*$D393</f>
        <v>340445.45454545453</v>
      </c>
      <c r="AA393" s="95" cm="1">
        <f t="array" ref="AA393">IF($C393&gt;AA$11,0,INDEX($F$372:$AD$372,AA$11-$C393+1))*$D393</f>
        <v>302618.18181818182</v>
      </c>
      <c r="AB393" s="95" cm="1">
        <f t="array" ref="AB393">IF($C393&gt;AB$11,0,INDEX($F$372:$AD$372,AB$11-$C393+1))*$D393</f>
        <v>264790.90909090906</v>
      </c>
      <c r="AC393" s="95" cm="1">
        <f t="array" ref="AC393">IF($C393&gt;AC$11,0,INDEX($F$372:$AD$372,AC$11-$C393+1))*$D393</f>
        <v>226963.63636363635</v>
      </c>
      <c r="AD393" s="95" cm="1">
        <f t="array" ref="AD393">IF($C393&gt;AD$11,0,INDEX($F$372:$AD$372,AD$11-$C393+1))*$D393</f>
        <v>189136.36363636365</v>
      </c>
    </row>
    <row r="394" spans="1:30">
      <c r="A394" s="95"/>
      <c r="B394" s="118">
        <f t="shared" si="98"/>
        <v>2</v>
      </c>
      <c r="C394">
        <f t="shared" si="99"/>
        <v>2042</v>
      </c>
      <c r="D394" s="95" cm="1">
        <f t="array" ref="D394">INDEX($F$14:$AD$16,$B394,MATCH($C394,$F$11:$AD$11,0))*$G$373</f>
        <v>1898100</v>
      </c>
      <c r="E394" s="95"/>
      <c r="F394" s="95" cm="1">
        <f t="array" ref="F394">IF($C394&gt;F$11,0,INDEX($F$372:$AD$372,F$11-$C394+1))*$D394</f>
        <v>0</v>
      </c>
      <c r="G394" s="95" cm="1">
        <f t="array" ref="G394">IF($C394&gt;G$11,0,INDEX($F$372:$AD$372,G$11-$C394+1))*$D394</f>
        <v>0</v>
      </c>
      <c r="H394" s="95" cm="1">
        <f t="array" ref="H394">IF($C394&gt;H$11,0,INDEX($F$372:$AD$372,H$11-$C394+1))*$D394</f>
        <v>0</v>
      </c>
      <c r="I394" s="95" cm="1">
        <f t="array" ref="I394">IF($C394&gt;I$11,0,INDEX($F$372:$AD$372,I$11-$C394+1))*$D394</f>
        <v>0</v>
      </c>
      <c r="J394" s="95" cm="1">
        <f t="array" ref="J394">IF($C394&gt;J$11,0,INDEX($F$372:$AD$372,J$11-$C394+1))*$D394</f>
        <v>0</v>
      </c>
      <c r="K394" s="95" cm="1">
        <f t="array" ref="K394">IF($C394&gt;K$11,0,INDEX($F$372:$AD$372,K$11-$C394+1))*$D394</f>
        <v>0</v>
      </c>
      <c r="L394" s="95" cm="1">
        <f t="array" ref="L394">IF($C394&gt;L$11,0,INDEX($F$372:$AD$372,L$11-$C394+1))*$D394</f>
        <v>0</v>
      </c>
      <c r="M394" s="95" cm="1">
        <f t="array" ref="M394">IF($C394&gt;M$11,0,INDEX($F$372:$AD$372,M$11-$C394+1))*$D394</f>
        <v>0</v>
      </c>
      <c r="N394" s="95" cm="1">
        <f t="array" ref="N394">IF($C394&gt;N$11,0,INDEX($F$372:$AD$372,N$11-$C394+1))*$D394</f>
        <v>0</v>
      </c>
      <c r="O394" s="95" cm="1">
        <f t="array" ref="O394">IF($C394&gt;O$11,0,INDEX($F$372:$AD$372,O$11-$C394+1))*$D394</f>
        <v>0</v>
      </c>
      <c r="P394" s="95" cm="1">
        <f t="array" ref="P394">IF($C394&gt;P$11,0,INDEX($F$372:$AD$372,P$11-$C394+1))*$D394</f>
        <v>0</v>
      </c>
      <c r="Q394" s="95" cm="1">
        <f t="array" ref="Q394">IF($C394&gt;Q$11,0,INDEX($F$372:$AD$372,Q$11-$C394+1))*$D394</f>
        <v>0</v>
      </c>
      <c r="R394" s="95" cm="1">
        <f t="array" ref="R394">IF($C394&gt;R$11,0,INDEX($F$372:$AD$372,R$11-$C394+1))*$D394</f>
        <v>0</v>
      </c>
      <c r="S394" s="95" cm="1">
        <f t="array" ref="S394">IF($C394&gt;S$11,0,INDEX($F$372:$AD$372,S$11-$C394+1))*$D394</f>
        <v>0</v>
      </c>
      <c r="T394" s="95" cm="1">
        <f t="array" ref="T394">IF($C394&gt;T$11,0,INDEX($F$372:$AD$372,T$11-$C394+1))*$D394</f>
        <v>0</v>
      </c>
      <c r="U394" s="95" cm="1">
        <f t="array" ref="U394">IF($C394&gt;U$11,0,INDEX($F$372:$AD$372,U$11-$C394+1))*$D394</f>
        <v>0</v>
      </c>
      <c r="V394" s="95" cm="1">
        <f t="array" ref="V394">IF($C394&gt;V$11,0,INDEX($F$372:$AD$372,V$11-$C394+1))*$D394</f>
        <v>0</v>
      </c>
      <c r="W394" s="95" cm="1">
        <f t="array" ref="W394">IF($C394&gt;W$11,0,INDEX($F$372:$AD$372,W$11-$C394+1))*$D394</f>
        <v>0</v>
      </c>
      <c r="X394" s="95" cm="1">
        <f t="array" ref="X394">IF($C394&gt;X$11,0,INDEX($F$372:$AD$372,X$11-$C394+1))*$D394</f>
        <v>0</v>
      </c>
      <c r="Y394" s="95" cm="1">
        <f t="array" ref="Y394">IF($C394&gt;Y$11,0,INDEX($F$372:$AD$372,Y$11-$C394+1))*$D394</f>
        <v>0</v>
      </c>
      <c r="Z394" s="95" cm="1">
        <f t="array" ref="Z394">IF($C394&gt;Z$11,0,INDEX($F$372:$AD$372,Z$11-$C394+1))*$D394</f>
        <v>345109.09090909094</v>
      </c>
      <c r="AA394" s="95" cm="1">
        <f t="array" ref="AA394">IF($C394&gt;AA$11,0,INDEX($F$372:$AD$372,AA$11-$C394+1))*$D394</f>
        <v>310598.18181818182</v>
      </c>
      <c r="AB394" s="95" cm="1">
        <f t="array" ref="AB394">IF($C394&gt;AB$11,0,INDEX($F$372:$AD$372,AB$11-$C394+1))*$D394</f>
        <v>276087.27272727271</v>
      </c>
      <c r="AC394" s="95" cm="1">
        <f t="array" ref="AC394">IF($C394&gt;AC$11,0,INDEX($F$372:$AD$372,AC$11-$C394+1))*$D394</f>
        <v>241576.36363636362</v>
      </c>
      <c r="AD394" s="95" cm="1">
        <f t="array" ref="AD394">IF($C394&gt;AD$11,0,INDEX($F$372:$AD$372,AD$11-$C394+1))*$D394</f>
        <v>207065.45454545453</v>
      </c>
    </row>
    <row r="395" spans="1:30">
      <c r="A395" s="95"/>
      <c r="B395" s="118">
        <f t="shared" si="98"/>
        <v>2</v>
      </c>
      <c r="C395">
        <f t="shared" si="99"/>
        <v>2043</v>
      </c>
      <c r="D395" s="95" cm="1">
        <f t="array" ref="D395">INDEX($F$14:$AD$16,$B395,MATCH($C395,$F$11:$AD$11,0))*$G$373</f>
        <v>1949400</v>
      </c>
      <c r="E395" s="95"/>
      <c r="F395" s="95" cm="1">
        <f t="array" ref="F395">IF($C395&gt;F$11,0,INDEX($F$372:$AD$372,F$11-$C395+1))*$D395</f>
        <v>0</v>
      </c>
      <c r="G395" s="95" cm="1">
        <f t="array" ref="G395">IF($C395&gt;G$11,0,INDEX($F$372:$AD$372,G$11-$C395+1))*$D395</f>
        <v>0</v>
      </c>
      <c r="H395" s="95" cm="1">
        <f t="array" ref="H395">IF($C395&gt;H$11,0,INDEX($F$372:$AD$372,H$11-$C395+1))*$D395</f>
        <v>0</v>
      </c>
      <c r="I395" s="95" cm="1">
        <f t="array" ref="I395">IF($C395&gt;I$11,0,INDEX($F$372:$AD$372,I$11-$C395+1))*$D395</f>
        <v>0</v>
      </c>
      <c r="J395" s="95" cm="1">
        <f t="array" ref="J395">IF($C395&gt;J$11,0,INDEX($F$372:$AD$372,J$11-$C395+1))*$D395</f>
        <v>0</v>
      </c>
      <c r="K395" s="95" cm="1">
        <f t="array" ref="K395">IF($C395&gt;K$11,0,INDEX($F$372:$AD$372,K$11-$C395+1))*$D395</f>
        <v>0</v>
      </c>
      <c r="L395" s="95" cm="1">
        <f t="array" ref="L395">IF($C395&gt;L$11,0,INDEX($F$372:$AD$372,L$11-$C395+1))*$D395</f>
        <v>0</v>
      </c>
      <c r="M395" s="95" cm="1">
        <f t="array" ref="M395">IF($C395&gt;M$11,0,INDEX($F$372:$AD$372,M$11-$C395+1))*$D395</f>
        <v>0</v>
      </c>
      <c r="N395" s="95" cm="1">
        <f t="array" ref="N395">IF($C395&gt;N$11,0,INDEX($F$372:$AD$372,N$11-$C395+1))*$D395</f>
        <v>0</v>
      </c>
      <c r="O395" s="95" cm="1">
        <f t="array" ref="O395">IF($C395&gt;O$11,0,INDEX($F$372:$AD$372,O$11-$C395+1))*$D395</f>
        <v>0</v>
      </c>
      <c r="P395" s="95" cm="1">
        <f t="array" ref="P395">IF($C395&gt;P$11,0,INDEX($F$372:$AD$372,P$11-$C395+1))*$D395</f>
        <v>0</v>
      </c>
      <c r="Q395" s="95" cm="1">
        <f t="array" ref="Q395">IF($C395&gt;Q$11,0,INDEX($F$372:$AD$372,Q$11-$C395+1))*$D395</f>
        <v>0</v>
      </c>
      <c r="R395" s="95" cm="1">
        <f t="array" ref="R395">IF($C395&gt;R$11,0,INDEX($F$372:$AD$372,R$11-$C395+1))*$D395</f>
        <v>0</v>
      </c>
      <c r="S395" s="95" cm="1">
        <f t="array" ref="S395">IF($C395&gt;S$11,0,INDEX($F$372:$AD$372,S$11-$C395+1))*$D395</f>
        <v>0</v>
      </c>
      <c r="T395" s="95" cm="1">
        <f t="array" ref="T395">IF($C395&gt;T$11,0,INDEX($F$372:$AD$372,T$11-$C395+1))*$D395</f>
        <v>0</v>
      </c>
      <c r="U395" s="95" cm="1">
        <f t="array" ref="U395">IF($C395&gt;U$11,0,INDEX($F$372:$AD$372,U$11-$C395+1))*$D395</f>
        <v>0</v>
      </c>
      <c r="V395" s="95" cm="1">
        <f t="array" ref="V395">IF($C395&gt;V$11,0,INDEX($F$372:$AD$372,V$11-$C395+1))*$D395</f>
        <v>0</v>
      </c>
      <c r="W395" s="95" cm="1">
        <f t="array" ref="W395">IF($C395&gt;W$11,0,INDEX($F$372:$AD$372,W$11-$C395+1))*$D395</f>
        <v>0</v>
      </c>
      <c r="X395" s="95" cm="1">
        <f t="array" ref="X395">IF($C395&gt;X$11,0,INDEX($F$372:$AD$372,X$11-$C395+1))*$D395</f>
        <v>0</v>
      </c>
      <c r="Y395" s="95" cm="1">
        <f t="array" ref="Y395">IF($C395&gt;Y$11,0,INDEX($F$372:$AD$372,Y$11-$C395+1))*$D395</f>
        <v>0</v>
      </c>
      <c r="Z395" s="95" cm="1">
        <f t="array" ref="Z395">IF($C395&gt;Z$11,0,INDEX($F$372:$AD$372,Z$11-$C395+1))*$D395</f>
        <v>0</v>
      </c>
      <c r="AA395" s="95" cm="1">
        <f t="array" ref="AA395">IF($C395&gt;AA$11,0,INDEX($F$372:$AD$372,AA$11-$C395+1))*$D395</f>
        <v>354436.36363636365</v>
      </c>
      <c r="AB395" s="95" cm="1">
        <f t="array" ref="AB395">IF($C395&gt;AB$11,0,INDEX($F$372:$AD$372,AB$11-$C395+1))*$D395</f>
        <v>318992.72727272729</v>
      </c>
      <c r="AC395" s="95" cm="1">
        <f t="array" ref="AC395">IF($C395&gt;AC$11,0,INDEX($F$372:$AD$372,AC$11-$C395+1))*$D395</f>
        <v>283549.09090909088</v>
      </c>
      <c r="AD395" s="95" cm="1">
        <f t="array" ref="AD395">IF($C395&gt;AD$11,0,INDEX($F$372:$AD$372,AD$11-$C395+1))*$D395</f>
        <v>248105.45454545453</v>
      </c>
    </row>
    <row r="396" spans="1:30">
      <c r="A396" s="95"/>
      <c r="B396" s="118">
        <f t="shared" si="98"/>
        <v>2</v>
      </c>
      <c r="C396">
        <f t="shared" si="99"/>
        <v>2044</v>
      </c>
      <c r="D396" s="95" cm="1">
        <f t="array" ref="D396">INDEX($F$14:$AD$16,$B396,MATCH($C396,$F$11:$AD$11,0))*$G$373</f>
        <v>2116125</v>
      </c>
      <c r="E396" s="95"/>
      <c r="F396" s="95" cm="1">
        <f t="array" ref="F396">IF($C396&gt;F$11,0,INDEX($F$372:$AD$372,F$11-$C396+1))*$D396</f>
        <v>0</v>
      </c>
      <c r="G396" s="95" cm="1">
        <f t="array" ref="G396">IF($C396&gt;G$11,0,INDEX($F$372:$AD$372,G$11-$C396+1))*$D396</f>
        <v>0</v>
      </c>
      <c r="H396" s="95" cm="1">
        <f t="array" ref="H396">IF($C396&gt;H$11,0,INDEX($F$372:$AD$372,H$11-$C396+1))*$D396</f>
        <v>0</v>
      </c>
      <c r="I396" s="95" cm="1">
        <f t="array" ref="I396">IF($C396&gt;I$11,0,INDEX($F$372:$AD$372,I$11-$C396+1))*$D396</f>
        <v>0</v>
      </c>
      <c r="J396" s="95" cm="1">
        <f t="array" ref="J396">IF($C396&gt;J$11,0,INDEX($F$372:$AD$372,J$11-$C396+1))*$D396</f>
        <v>0</v>
      </c>
      <c r="K396" s="95" cm="1">
        <f t="array" ref="K396">IF($C396&gt;K$11,0,INDEX($F$372:$AD$372,K$11-$C396+1))*$D396</f>
        <v>0</v>
      </c>
      <c r="L396" s="95" cm="1">
        <f t="array" ref="L396">IF($C396&gt;L$11,0,INDEX($F$372:$AD$372,L$11-$C396+1))*$D396</f>
        <v>0</v>
      </c>
      <c r="M396" s="95" cm="1">
        <f t="array" ref="M396">IF($C396&gt;M$11,0,INDEX($F$372:$AD$372,M$11-$C396+1))*$D396</f>
        <v>0</v>
      </c>
      <c r="N396" s="95" cm="1">
        <f t="array" ref="N396">IF($C396&gt;N$11,0,INDEX($F$372:$AD$372,N$11-$C396+1))*$D396</f>
        <v>0</v>
      </c>
      <c r="O396" s="95" cm="1">
        <f t="array" ref="O396">IF($C396&gt;O$11,0,INDEX($F$372:$AD$372,O$11-$C396+1))*$D396</f>
        <v>0</v>
      </c>
      <c r="P396" s="95" cm="1">
        <f t="array" ref="P396">IF($C396&gt;P$11,0,INDEX($F$372:$AD$372,P$11-$C396+1))*$D396</f>
        <v>0</v>
      </c>
      <c r="Q396" s="95" cm="1">
        <f t="array" ref="Q396">IF($C396&gt;Q$11,0,INDEX($F$372:$AD$372,Q$11-$C396+1))*$D396</f>
        <v>0</v>
      </c>
      <c r="R396" s="95" cm="1">
        <f t="array" ref="R396">IF($C396&gt;R$11,0,INDEX($F$372:$AD$372,R$11-$C396+1))*$D396</f>
        <v>0</v>
      </c>
      <c r="S396" s="95" cm="1">
        <f t="array" ref="S396">IF($C396&gt;S$11,0,INDEX($F$372:$AD$372,S$11-$C396+1))*$D396</f>
        <v>0</v>
      </c>
      <c r="T396" s="95" cm="1">
        <f t="array" ref="T396">IF($C396&gt;T$11,0,INDEX($F$372:$AD$372,T$11-$C396+1))*$D396</f>
        <v>0</v>
      </c>
      <c r="U396" s="95" cm="1">
        <f t="array" ref="U396">IF($C396&gt;U$11,0,INDEX($F$372:$AD$372,U$11-$C396+1))*$D396</f>
        <v>0</v>
      </c>
      <c r="V396" s="95" cm="1">
        <f t="array" ref="V396">IF($C396&gt;V$11,0,INDEX($F$372:$AD$372,V$11-$C396+1))*$D396</f>
        <v>0</v>
      </c>
      <c r="W396" s="95" cm="1">
        <f t="array" ref="W396">IF($C396&gt;W$11,0,INDEX($F$372:$AD$372,W$11-$C396+1))*$D396</f>
        <v>0</v>
      </c>
      <c r="X396" s="95" cm="1">
        <f t="array" ref="X396">IF($C396&gt;X$11,0,INDEX($F$372:$AD$372,X$11-$C396+1))*$D396</f>
        <v>0</v>
      </c>
      <c r="Y396" s="95" cm="1">
        <f t="array" ref="Y396">IF($C396&gt;Y$11,0,INDEX($F$372:$AD$372,Y$11-$C396+1))*$D396</f>
        <v>0</v>
      </c>
      <c r="Z396" s="95" cm="1">
        <f t="array" ref="Z396">IF($C396&gt;Z$11,0,INDEX($F$372:$AD$372,Z$11-$C396+1))*$D396</f>
        <v>0</v>
      </c>
      <c r="AA396" s="95" cm="1">
        <f t="array" ref="AA396">IF($C396&gt;AA$11,0,INDEX($F$372:$AD$372,AA$11-$C396+1))*$D396</f>
        <v>0</v>
      </c>
      <c r="AB396" s="95" cm="1">
        <f t="array" ref="AB396">IF($C396&gt;AB$11,0,INDEX($F$372:$AD$372,AB$11-$C396+1))*$D396</f>
        <v>384750</v>
      </c>
      <c r="AC396" s="95" cm="1">
        <f t="array" ref="AC396">IF($C396&gt;AC$11,0,INDEX($F$372:$AD$372,AC$11-$C396+1))*$D396</f>
        <v>346275</v>
      </c>
      <c r="AD396" s="95" cm="1">
        <f t="array" ref="AD396">IF($C396&gt;AD$11,0,INDEX($F$372:$AD$372,AD$11-$C396+1))*$D396</f>
        <v>307800</v>
      </c>
    </row>
    <row r="397" spans="1:30">
      <c r="A397" s="95"/>
      <c r="B397" s="118">
        <f t="shared" si="98"/>
        <v>2</v>
      </c>
      <c r="C397">
        <f t="shared" si="99"/>
        <v>2045</v>
      </c>
      <c r="D397" s="95" cm="1">
        <f t="array" ref="D397">INDEX($F$14:$AD$16,$B397,MATCH($C397,$F$11:$AD$11,0))*$G$373</f>
        <v>1246875</v>
      </c>
      <c r="E397" s="95"/>
      <c r="F397" s="95" cm="1">
        <f t="array" ref="F397">IF($C397&gt;F$11,0,INDEX($F$372:$AD$372,F$11-$C397+1))*$D397</f>
        <v>0</v>
      </c>
      <c r="G397" s="95" cm="1">
        <f t="array" ref="G397">IF($C397&gt;G$11,0,INDEX($F$372:$AD$372,G$11-$C397+1))*$D397</f>
        <v>0</v>
      </c>
      <c r="H397" s="95" cm="1">
        <f t="array" ref="H397">IF($C397&gt;H$11,0,INDEX($F$372:$AD$372,H$11-$C397+1))*$D397</f>
        <v>0</v>
      </c>
      <c r="I397" s="95" cm="1">
        <f t="array" ref="I397">IF($C397&gt;I$11,0,INDEX($F$372:$AD$372,I$11-$C397+1))*$D397</f>
        <v>0</v>
      </c>
      <c r="J397" s="95" cm="1">
        <f t="array" ref="J397">IF($C397&gt;J$11,0,INDEX($F$372:$AD$372,J$11-$C397+1))*$D397</f>
        <v>0</v>
      </c>
      <c r="K397" s="95" cm="1">
        <f t="array" ref="K397">IF($C397&gt;K$11,0,INDEX($F$372:$AD$372,K$11-$C397+1))*$D397</f>
        <v>0</v>
      </c>
      <c r="L397" s="95" cm="1">
        <f t="array" ref="L397">IF($C397&gt;L$11,0,INDEX($F$372:$AD$372,L$11-$C397+1))*$D397</f>
        <v>0</v>
      </c>
      <c r="M397" s="95" cm="1">
        <f t="array" ref="M397">IF($C397&gt;M$11,0,INDEX($F$372:$AD$372,M$11-$C397+1))*$D397</f>
        <v>0</v>
      </c>
      <c r="N397" s="95" cm="1">
        <f t="array" ref="N397">IF($C397&gt;N$11,0,INDEX($F$372:$AD$372,N$11-$C397+1))*$D397</f>
        <v>0</v>
      </c>
      <c r="O397" s="95" cm="1">
        <f t="array" ref="O397">IF($C397&gt;O$11,0,INDEX($F$372:$AD$372,O$11-$C397+1))*$D397</f>
        <v>0</v>
      </c>
      <c r="P397" s="95" cm="1">
        <f t="array" ref="P397">IF($C397&gt;P$11,0,INDEX($F$372:$AD$372,P$11-$C397+1))*$D397</f>
        <v>0</v>
      </c>
      <c r="Q397" s="95" cm="1">
        <f t="array" ref="Q397">IF($C397&gt;Q$11,0,INDEX($F$372:$AD$372,Q$11-$C397+1))*$D397</f>
        <v>0</v>
      </c>
      <c r="R397" s="95" cm="1">
        <f t="array" ref="R397">IF($C397&gt;R$11,0,INDEX($F$372:$AD$372,R$11-$C397+1))*$D397</f>
        <v>0</v>
      </c>
      <c r="S397" s="95" cm="1">
        <f t="array" ref="S397">IF($C397&gt;S$11,0,INDEX($F$372:$AD$372,S$11-$C397+1))*$D397</f>
        <v>0</v>
      </c>
      <c r="T397" s="95" cm="1">
        <f t="array" ref="T397">IF($C397&gt;T$11,0,INDEX($F$372:$AD$372,T$11-$C397+1))*$D397</f>
        <v>0</v>
      </c>
      <c r="U397" s="95" cm="1">
        <f t="array" ref="U397">IF($C397&gt;U$11,0,INDEX($F$372:$AD$372,U$11-$C397+1))*$D397</f>
        <v>0</v>
      </c>
      <c r="V397" s="95" cm="1">
        <f t="array" ref="V397">IF($C397&gt;V$11,0,INDEX($F$372:$AD$372,V$11-$C397+1))*$D397</f>
        <v>0</v>
      </c>
      <c r="W397" s="95" cm="1">
        <f t="array" ref="W397">IF($C397&gt;W$11,0,INDEX($F$372:$AD$372,W$11-$C397+1))*$D397</f>
        <v>0</v>
      </c>
      <c r="X397" s="95" cm="1">
        <f t="array" ref="X397">IF($C397&gt;X$11,0,INDEX($F$372:$AD$372,X$11-$C397+1))*$D397</f>
        <v>0</v>
      </c>
      <c r="Y397" s="95" cm="1">
        <f t="array" ref="Y397">IF($C397&gt;Y$11,0,INDEX($F$372:$AD$372,Y$11-$C397+1))*$D397</f>
        <v>0</v>
      </c>
      <c r="Z397" s="95" cm="1">
        <f t="array" ref="Z397">IF($C397&gt;Z$11,0,INDEX($F$372:$AD$372,Z$11-$C397+1))*$D397</f>
        <v>0</v>
      </c>
      <c r="AA397" s="95" cm="1">
        <f t="array" ref="AA397">IF($C397&gt;AA$11,0,INDEX($F$372:$AD$372,AA$11-$C397+1))*$D397</f>
        <v>0</v>
      </c>
      <c r="AB397" s="95" cm="1">
        <f t="array" ref="AB397">IF($C397&gt;AB$11,0,INDEX($F$372:$AD$372,AB$11-$C397+1))*$D397</f>
        <v>0</v>
      </c>
      <c r="AC397" s="95" cm="1">
        <f t="array" ref="AC397">IF($C397&gt;AC$11,0,INDEX($F$372:$AD$372,AC$11-$C397+1))*$D397</f>
        <v>226704.54545454547</v>
      </c>
      <c r="AD397" s="95" cm="1">
        <f t="array" ref="AD397">IF($C397&gt;AD$11,0,INDEX($F$372:$AD$372,AD$11-$C397+1))*$D397</f>
        <v>204034.09090909091</v>
      </c>
    </row>
    <row r="398" spans="1:30">
      <c r="A398" s="95"/>
      <c r="B398" s="118">
        <f t="shared" si="98"/>
        <v>2</v>
      </c>
      <c r="C398">
        <f t="shared" si="99"/>
        <v>2046</v>
      </c>
      <c r="D398" s="95" cm="1">
        <f t="array" ref="D398">INDEX($F$14:$AD$16,$B398,MATCH($C398,$F$11:$AD$11,0))*$G$373</f>
        <v>2337000</v>
      </c>
      <c r="E398" s="95"/>
      <c r="F398" s="95" cm="1">
        <f t="array" ref="F398">IF($C398&gt;F$11,0,INDEX($F$372:$AD$372,F$11-$C398+1))*$D398</f>
        <v>0</v>
      </c>
      <c r="G398" s="95" cm="1">
        <f t="array" ref="G398">IF($C398&gt;G$11,0,INDEX($F$372:$AD$372,G$11-$C398+1))*$D398</f>
        <v>0</v>
      </c>
      <c r="H398" s="95" cm="1">
        <f t="array" ref="H398">IF($C398&gt;H$11,0,INDEX($F$372:$AD$372,H$11-$C398+1))*$D398</f>
        <v>0</v>
      </c>
      <c r="I398" s="95" cm="1">
        <f t="array" ref="I398">IF($C398&gt;I$11,0,INDEX($F$372:$AD$372,I$11-$C398+1))*$D398</f>
        <v>0</v>
      </c>
      <c r="J398" s="95" cm="1">
        <f t="array" ref="J398">IF($C398&gt;J$11,0,INDEX($F$372:$AD$372,J$11-$C398+1))*$D398</f>
        <v>0</v>
      </c>
      <c r="K398" s="95" cm="1">
        <f t="array" ref="K398">IF($C398&gt;K$11,0,INDEX($F$372:$AD$372,K$11-$C398+1))*$D398</f>
        <v>0</v>
      </c>
      <c r="L398" s="95" cm="1">
        <f t="array" ref="L398">IF($C398&gt;L$11,0,INDEX($F$372:$AD$372,L$11-$C398+1))*$D398</f>
        <v>0</v>
      </c>
      <c r="M398" s="95" cm="1">
        <f t="array" ref="M398">IF($C398&gt;M$11,0,INDEX($F$372:$AD$372,M$11-$C398+1))*$D398</f>
        <v>0</v>
      </c>
      <c r="N398" s="95" cm="1">
        <f t="array" ref="N398">IF($C398&gt;N$11,0,INDEX($F$372:$AD$372,N$11-$C398+1))*$D398</f>
        <v>0</v>
      </c>
      <c r="O398" s="95" cm="1">
        <f t="array" ref="O398">IF($C398&gt;O$11,0,INDEX($F$372:$AD$372,O$11-$C398+1))*$D398</f>
        <v>0</v>
      </c>
      <c r="P398" s="95" cm="1">
        <f t="array" ref="P398">IF($C398&gt;P$11,0,INDEX($F$372:$AD$372,P$11-$C398+1))*$D398</f>
        <v>0</v>
      </c>
      <c r="Q398" s="95" cm="1">
        <f t="array" ref="Q398">IF($C398&gt;Q$11,0,INDEX($F$372:$AD$372,Q$11-$C398+1))*$D398</f>
        <v>0</v>
      </c>
      <c r="R398" s="95" cm="1">
        <f t="array" ref="R398">IF($C398&gt;R$11,0,INDEX($F$372:$AD$372,R$11-$C398+1))*$D398</f>
        <v>0</v>
      </c>
      <c r="S398" s="95" cm="1">
        <f t="array" ref="S398">IF($C398&gt;S$11,0,INDEX($F$372:$AD$372,S$11-$C398+1))*$D398</f>
        <v>0</v>
      </c>
      <c r="T398" s="95" cm="1">
        <f t="array" ref="T398">IF($C398&gt;T$11,0,INDEX($F$372:$AD$372,T$11-$C398+1))*$D398</f>
        <v>0</v>
      </c>
      <c r="U398" s="95" cm="1">
        <f t="array" ref="U398">IF($C398&gt;U$11,0,INDEX($F$372:$AD$372,U$11-$C398+1))*$D398</f>
        <v>0</v>
      </c>
      <c r="V398" s="95" cm="1">
        <f t="array" ref="V398">IF($C398&gt;V$11,0,INDEX($F$372:$AD$372,V$11-$C398+1))*$D398</f>
        <v>0</v>
      </c>
      <c r="W398" s="95" cm="1">
        <f t="array" ref="W398">IF($C398&gt;W$11,0,INDEX($F$372:$AD$372,W$11-$C398+1))*$D398</f>
        <v>0</v>
      </c>
      <c r="X398" s="95" cm="1">
        <f t="array" ref="X398">IF($C398&gt;X$11,0,INDEX($F$372:$AD$372,X$11-$C398+1))*$D398</f>
        <v>0</v>
      </c>
      <c r="Y398" s="95" cm="1">
        <f t="array" ref="Y398">IF($C398&gt;Y$11,0,INDEX($F$372:$AD$372,Y$11-$C398+1))*$D398</f>
        <v>0</v>
      </c>
      <c r="Z398" s="95" cm="1">
        <f t="array" ref="Z398">IF($C398&gt;Z$11,0,INDEX($F$372:$AD$372,Z$11-$C398+1))*$D398</f>
        <v>0</v>
      </c>
      <c r="AA398" s="95" cm="1">
        <f t="array" ref="AA398">IF($C398&gt;AA$11,0,INDEX($F$372:$AD$372,AA$11-$C398+1))*$D398</f>
        <v>0</v>
      </c>
      <c r="AB398" s="95" cm="1">
        <f t="array" ref="AB398">IF($C398&gt;AB$11,0,INDEX($F$372:$AD$372,AB$11-$C398+1))*$D398</f>
        <v>0</v>
      </c>
      <c r="AC398" s="95" cm="1">
        <f t="array" ref="AC398">IF($C398&gt;AC$11,0,INDEX($F$372:$AD$372,AC$11-$C398+1))*$D398</f>
        <v>0</v>
      </c>
      <c r="AD398" s="95" cm="1">
        <f t="array" ref="AD398">IF($C398&gt;AD$11,0,INDEX($F$372:$AD$372,AD$11-$C398+1))*$D398</f>
        <v>424909.09090909094</v>
      </c>
    </row>
    <row r="399" spans="1:30" ht="14.4">
      <c r="C399" s="108" t="str">
        <f>"Total "&amp;C370</f>
        <v>Total Medium Term</v>
      </c>
      <c r="D399" s="108" t="s">
        <v>68</v>
      </c>
      <c r="E399" s="109"/>
      <c r="F399" s="110">
        <f>SUM(F374:F398)</f>
        <v>496677.27272727276</v>
      </c>
      <c r="G399" s="110">
        <f t="shared" ref="G399:AD399" si="100">SUM(G374:G398)</f>
        <v>591323.18181818188</v>
      </c>
      <c r="H399" s="110">
        <f t="shared" si="100"/>
        <v>707033.18181818188</v>
      </c>
      <c r="I399" s="110">
        <f t="shared" si="100"/>
        <v>781444.09090909094</v>
      </c>
      <c r="J399" s="110">
        <f t="shared" si="100"/>
        <v>839946.81818181812</v>
      </c>
      <c r="K399" s="110">
        <f t="shared" si="100"/>
        <v>1189590</v>
      </c>
      <c r="L399" s="110">
        <f t="shared" si="100"/>
        <v>1064915.4545454546</v>
      </c>
      <c r="M399" s="110">
        <f t="shared" si="100"/>
        <v>1180029.5454545454</v>
      </c>
      <c r="N399" s="110">
        <f t="shared" si="100"/>
        <v>1329758.1818181819</v>
      </c>
      <c r="O399" s="110">
        <f t="shared" si="100"/>
        <v>1406293.6363636362</v>
      </c>
      <c r="P399" s="110">
        <f t="shared" si="100"/>
        <v>1740780</v>
      </c>
      <c r="Q399" s="110">
        <f t="shared" si="100"/>
        <v>1576542.2727272727</v>
      </c>
      <c r="R399" s="110">
        <f t="shared" si="100"/>
        <v>1559727.2727272725</v>
      </c>
      <c r="S399" s="110">
        <f t="shared" si="100"/>
        <v>1562214.5454545454</v>
      </c>
      <c r="T399" s="110">
        <f t="shared" si="100"/>
        <v>1732489.0909090908</v>
      </c>
      <c r="U399" s="110">
        <f t="shared" si="100"/>
        <v>1484694.5454545454</v>
      </c>
      <c r="V399" s="110">
        <f t="shared" si="100"/>
        <v>1793919.5454545454</v>
      </c>
      <c r="W399" s="110">
        <f t="shared" si="100"/>
        <v>1578822.2727272725</v>
      </c>
      <c r="X399" s="110">
        <f t="shared" si="100"/>
        <v>1429456.3636363638</v>
      </c>
      <c r="Y399" s="110">
        <f t="shared" si="100"/>
        <v>1523143.6363636362</v>
      </c>
      <c r="Z399" s="110">
        <f t="shared" si="100"/>
        <v>1575998.1818181816</v>
      </c>
      <c r="AA399" s="110">
        <f t="shared" si="100"/>
        <v>1662638.1818181821</v>
      </c>
      <c r="AB399" s="110">
        <f t="shared" si="100"/>
        <v>1754175</v>
      </c>
      <c r="AC399" s="110">
        <f t="shared" si="100"/>
        <v>1673520</v>
      </c>
      <c r="AD399" s="110">
        <f t="shared" si="100"/>
        <v>1795292.7272727271</v>
      </c>
    </row>
    <row r="401" spans="1:30" ht="14.4">
      <c r="B401" s="94">
        <v>3</v>
      </c>
      <c r="C401" s="93" t="str" cm="1">
        <f t="array" ref="C401">INDEX(ListAssetClasses1,B401)</f>
        <v>Long Term</v>
      </c>
      <c r="E401" t="s">
        <v>32</v>
      </c>
      <c r="F401" s="111" cm="1">
        <f t="array" ref="F401">INDEX($D$314:$D$316,B401)</f>
        <v>15</v>
      </c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</row>
    <row r="402" spans="1:30" ht="14.4">
      <c r="E402" t="s">
        <v>37</v>
      </c>
      <c r="F402" s="122">
        <v>1</v>
      </c>
      <c r="G402" s="111">
        <f>F402+1</f>
        <v>2</v>
      </c>
      <c r="H402" s="111">
        <f t="shared" ref="H402:Y402" si="101">G402+1</f>
        <v>3</v>
      </c>
      <c r="I402" s="111">
        <f t="shared" si="101"/>
        <v>4</v>
      </c>
      <c r="J402" s="111">
        <f t="shared" si="101"/>
        <v>5</v>
      </c>
      <c r="K402" s="111">
        <f t="shared" si="101"/>
        <v>6</v>
      </c>
      <c r="L402" s="111">
        <f t="shared" si="101"/>
        <v>7</v>
      </c>
      <c r="M402" s="111">
        <f t="shared" si="101"/>
        <v>8</v>
      </c>
      <c r="N402" s="111">
        <f t="shared" si="101"/>
        <v>9</v>
      </c>
      <c r="O402" s="111">
        <f t="shared" si="101"/>
        <v>10</v>
      </c>
      <c r="P402" s="111">
        <f t="shared" si="101"/>
        <v>11</v>
      </c>
      <c r="Q402" s="111">
        <f t="shared" si="101"/>
        <v>12</v>
      </c>
      <c r="R402" s="111">
        <f t="shared" si="101"/>
        <v>13</v>
      </c>
      <c r="S402" s="111">
        <f t="shared" si="101"/>
        <v>14</v>
      </c>
      <c r="T402" s="111">
        <f t="shared" si="101"/>
        <v>15</v>
      </c>
      <c r="U402" s="111">
        <f t="shared" si="101"/>
        <v>16</v>
      </c>
      <c r="V402" s="111">
        <f t="shared" si="101"/>
        <v>17</v>
      </c>
      <c r="W402" s="111">
        <f t="shared" si="101"/>
        <v>18</v>
      </c>
      <c r="X402" s="111">
        <f t="shared" si="101"/>
        <v>19</v>
      </c>
      <c r="Y402" s="111">
        <f t="shared" si="101"/>
        <v>20</v>
      </c>
      <c r="Z402" s="95"/>
      <c r="AA402" s="95"/>
      <c r="AB402" s="95"/>
      <c r="AC402" s="95"/>
      <c r="AD402" s="95"/>
    </row>
    <row r="403" spans="1:30" ht="14.4">
      <c r="E403" t="s">
        <v>83</v>
      </c>
      <c r="F403" s="125">
        <f>INDEX(CaseData!$D$65:$T$86,MATCH(F402,CaseData!$D$65:$D$86,0),MATCH($F401,CaseData!$D$65:$T$65,0))</f>
        <v>0.125</v>
      </c>
      <c r="G403" s="125">
        <f>INDEX(CaseData!$D$65:$T$86,MATCH(G402,CaseData!$D$65:$D$86,0),MATCH($F401,CaseData!$D$65:$T$65,0))</f>
        <v>0.11666666666666667</v>
      </c>
      <c r="H403" s="125">
        <f>INDEX(CaseData!$D$65:$T$86,MATCH(H402,CaseData!$D$65:$D$86,0),MATCH($F401,CaseData!$D$65:$T$65,0))</f>
        <v>0.10833333333333334</v>
      </c>
      <c r="I403" s="125">
        <f>INDEX(CaseData!$D$65:$T$86,MATCH(I402,CaseData!$D$65:$D$86,0),MATCH($F401,CaseData!$D$65:$T$65,0))</f>
        <v>0.1</v>
      </c>
      <c r="J403" s="125">
        <f>INDEX(CaseData!$D$65:$T$86,MATCH(J402,CaseData!$D$65:$D$86,0),MATCH($F401,CaseData!$D$65:$T$65,0))</f>
        <v>9.166666666666666E-2</v>
      </c>
      <c r="K403" s="125">
        <f>INDEX(CaseData!$D$65:$T$86,MATCH(K402,CaseData!$D$65:$D$86,0),MATCH($F401,CaseData!$D$65:$T$65,0))</f>
        <v>8.3333333333333329E-2</v>
      </c>
      <c r="L403" s="125">
        <f>INDEX(CaseData!$D$65:$T$86,MATCH(L402,CaseData!$D$65:$D$86,0),MATCH($F401,CaseData!$D$65:$T$65,0))</f>
        <v>7.4999999999999997E-2</v>
      </c>
      <c r="M403" s="125">
        <f>INDEX(CaseData!$D$65:$T$86,MATCH(M402,CaseData!$D$65:$D$86,0),MATCH($F401,CaseData!$D$65:$T$65,0))</f>
        <v>6.6666666666666666E-2</v>
      </c>
      <c r="N403" s="125">
        <f>INDEX(CaseData!$D$65:$T$86,MATCH(N402,CaseData!$D$65:$D$86,0),MATCH($F401,CaseData!$D$65:$T$65,0))</f>
        <v>5.8333333333333334E-2</v>
      </c>
      <c r="O403" s="125">
        <f>INDEX(CaseData!$D$65:$T$86,MATCH(O402,CaseData!$D$65:$D$86,0),MATCH($F401,CaseData!$D$65:$T$65,0))</f>
        <v>0.05</v>
      </c>
      <c r="P403" s="125">
        <f>INDEX(CaseData!$D$65:$T$86,MATCH(P402,CaseData!$D$65:$D$86,0),MATCH($F401,CaseData!$D$65:$T$65,0))</f>
        <v>4.1666666666666664E-2</v>
      </c>
      <c r="Q403" s="125">
        <f>INDEX(CaseData!$D$65:$T$86,MATCH(Q402,CaseData!$D$65:$D$86,0),MATCH($F401,CaseData!$D$65:$T$65,0))</f>
        <v>3.3333333333333333E-2</v>
      </c>
      <c r="R403" s="125">
        <f>INDEX(CaseData!$D$65:$T$86,MATCH(R402,CaseData!$D$65:$D$86,0),MATCH($F401,CaseData!$D$65:$T$65,0))</f>
        <v>2.5000000000000001E-2</v>
      </c>
      <c r="S403" s="125">
        <f>INDEX(CaseData!$D$65:$T$86,MATCH(S402,CaseData!$D$65:$D$86,0),MATCH($F401,CaseData!$D$65:$T$65,0))</f>
        <v>1.6666666666666666E-2</v>
      </c>
      <c r="T403" s="125">
        <f>INDEX(CaseData!$D$65:$T$86,MATCH(T402,CaseData!$D$65:$D$86,0),MATCH($F401,CaseData!$D$65:$T$65,0))</f>
        <v>8.3333333333333332E-3</v>
      </c>
      <c r="U403" s="125">
        <f>INDEX(CaseData!$D$65:$T$86,MATCH(U402,CaseData!$D$65:$D$86,0),MATCH($F401,CaseData!$D$65:$T$65,0))</f>
        <v>0</v>
      </c>
      <c r="V403" s="125">
        <f>INDEX(CaseData!$D$65:$T$86,MATCH(V402,CaseData!$D$65:$D$86,0),MATCH($F401,CaseData!$D$65:$T$65,0))</f>
        <v>0</v>
      </c>
      <c r="W403" s="125">
        <f>INDEX(CaseData!$D$65:$T$86,MATCH(W402,CaseData!$D$65:$D$86,0),MATCH($F401,CaseData!$D$65:$T$65,0))</f>
        <v>0</v>
      </c>
      <c r="X403" s="125">
        <f>INDEX(CaseData!$D$65:$T$86,MATCH(X402,CaseData!$D$65:$D$86,0),MATCH($F401,CaseData!$D$65:$T$65,0))</f>
        <v>0</v>
      </c>
      <c r="Y403" s="125">
        <f>INDEX(CaseData!$D$65:$T$86,MATCH(Y402,CaseData!$D$65:$D$86,0),MATCH($F401,CaseData!$D$65:$T$65,0))</f>
        <v>0</v>
      </c>
      <c r="Z403" s="95"/>
      <c r="AA403" s="95"/>
      <c r="AB403" s="95"/>
      <c r="AC403" s="95"/>
      <c r="AD403" s="95"/>
    </row>
    <row r="404" spans="1:30" ht="14.4">
      <c r="C404" s="114" t="s">
        <v>76</v>
      </c>
      <c r="D404" s="114" t="s">
        <v>77</v>
      </c>
      <c r="E404" s="115" t="s">
        <v>73</v>
      </c>
      <c r="F404" s="119"/>
      <c r="G404" s="117">
        <f>1-CaseData!$G$11</f>
        <v>0.95</v>
      </c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95"/>
      <c r="AA404" s="95"/>
      <c r="AB404" s="95"/>
      <c r="AC404" s="95"/>
      <c r="AD404" s="95"/>
    </row>
    <row r="405" spans="1:30">
      <c r="A405" s="95"/>
      <c r="B405" s="118">
        <f>B401</f>
        <v>3</v>
      </c>
      <c r="C405">
        <f>$F$11</f>
        <v>2022</v>
      </c>
      <c r="D405" s="95" cm="1">
        <f t="array" ref="D405">INDEX($F$14:$AD$16,$B405,MATCH($C405,$F$11:$AD$11,0))*$G$404</f>
        <v>3223350</v>
      </c>
      <c r="E405" s="95"/>
      <c r="F405" s="95" cm="1">
        <f t="array" ref="F405">IF($C405&gt;F$11,0,INDEX($F$403:$AD$403,F$11-$C405+1))*$D405</f>
        <v>402918.75</v>
      </c>
      <c r="G405" s="95" cm="1">
        <f t="array" ref="G405">IF($C405&gt;G$11,0,INDEX($F$403:$AD$403,G$11-$C405+1))*$D405</f>
        <v>376057.5</v>
      </c>
      <c r="H405" s="95" cm="1">
        <f t="array" ref="H405">IF($C405&gt;H$11,0,INDEX($F$403:$AD$403,H$11-$C405+1))*$D405</f>
        <v>349196.25</v>
      </c>
      <c r="I405" s="95" cm="1">
        <f t="array" ref="I405">IF($C405&gt;I$11,0,INDEX($F$403:$AD$403,I$11-$C405+1))*$D405</f>
        <v>322335</v>
      </c>
      <c r="J405" s="95" cm="1">
        <f t="array" ref="J405">IF($C405&gt;J$11,0,INDEX($F$403:$AD$403,J$11-$C405+1))*$D405</f>
        <v>295473.75</v>
      </c>
      <c r="K405" s="95" cm="1">
        <f t="array" ref="K405">IF($C405&gt;K$11,0,INDEX($F$403:$AD$403,K$11-$C405+1))*$D405</f>
        <v>268612.5</v>
      </c>
      <c r="L405" s="95" cm="1">
        <f t="array" ref="L405">IF($C405&gt;L$11,0,INDEX($F$403:$AD$403,L$11-$C405+1))*$D405</f>
        <v>241751.25</v>
      </c>
      <c r="M405" s="95" cm="1">
        <f t="array" ref="M405">IF($C405&gt;M$11,0,INDEX($F$403:$AD$403,M$11-$C405+1))*$D405</f>
        <v>214890</v>
      </c>
      <c r="N405" s="95" cm="1">
        <f t="array" ref="N405">IF($C405&gt;N$11,0,INDEX($F$403:$AD$403,N$11-$C405+1))*$D405</f>
        <v>188028.75</v>
      </c>
      <c r="O405" s="95" cm="1">
        <f t="array" ref="O405">IF($C405&gt;O$11,0,INDEX($F$403:$AD$403,O$11-$C405+1))*$D405</f>
        <v>161167.5</v>
      </c>
      <c r="P405" s="95" cm="1">
        <f t="array" ref="P405">IF($C405&gt;P$11,0,INDEX($F$403:$AD$403,P$11-$C405+1))*$D405</f>
        <v>134306.25</v>
      </c>
      <c r="Q405" s="95" cm="1">
        <f t="array" ref="Q405">IF($C405&gt;Q$11,0,INDEX($F$403:$AD$403,Q$11-$C405+1))*$D405</f>
        <v>107445</v>
      </c>
      <c r="R405" s="95" cm="1">
        <f t="array" ref="R405">IF($C405&gt;R$11,0,INDEX($F$403:$AD$403,R$11-$C405+1))*$D405</f>
        <v>80583.75</v>
      </c>
      <c r="S405" s="95" cm="1">
        <f t="array" ref="S405">IF($C405&gt;S$11,0,INDEX($F$403:$AD$403,S$11-$C405+1))*$D405</f>
        <v>53722.5</v>
      </c>
      <c r="T405" s="95" cm="1">
        <f t="array" ref="T405">IF($C405&gt;T$11,0,INDEX($F$403:$AD$403,T$11-$C405+1))*$D405</f>
        <v>26861.25</v>
      </c>
      <c r="U405" s="95" cm="1">
        <f t="array" ref="U405">IF($C405&gt;U$11,0,INDEX($F$403:$AD$403,U$11-$C405+1))*$D405</f>
        <v>0</v>
      </c>
      <c r="V405" s="95" cm="1">
        <f t="array" ref="V405">IF($C405&gt;V$11,0,INDEX($F$403:$AD$403,V$11-$C405+1))*$D405</f>
        <v>0</v>
      </c>
      <c r="W405" s="95" cm="1">
        <f t="array" ref="W405">IF($C405&gt;W$11,0,INDEX($F$403:$AD$403,W$11-$C405+1))*$D405</f>
        <v>0</v>
      </c>
      <c r="X405" s="95" cm="1">
        <f t="array" ref="X405">IF($C405&gt;X$11,0,INDEX($F$403:$AD$403,X$11-$C405+1))*$D405</f>
        <v>0</v>
      </c>
      <c r="Y405" s="95" cm="1">
        <f t="array" ref="Y405">IF($C405&gt;Y$11,0,INDEX($F$403:$AD$403,Y$11-$C405+1))*$D405</f>
        <v>0</v>
      </c>
      <c r="Z405" s="95" cm="1">
        <f t="array" ref="Z405">IF($C405&gt;Z$11,0,INDEX($F$403:$AD$403,Z$11-$C405+1))*$D405</f>
        <v>0</v>
      </c>
      <c r="AA405" s="95" cm="1">
        <f t="array" ref="AA405">IF($C405&gt;AA$11,0,INDEX($F$403:$AD$403,AA$11-$C405+1))*$D405</f>
        <v>0</v>
      </c>
      <c r="AB405" s="95" cm="1">
        <f t="array" ref="AB405">IF($C405&gt;AB$11,0,INDEX($F$403:$AD$403,AB$11-$C405+1))*$D405</f>
        <v>0</v>
      </c>
      <c r="AC405" s="95" cm="1">
        <f t="array" ref="AC405">IF($C405&gt;AC$11,0,INDEX($F$403:$AD$403,AC$11-$C405+1))*$D405</f>
        <v>0</v>
      </c>
      <c r="AD405" s="95" cm="1">
        <f t="array" ref="AD405">IF($C405&gt;AD$11,0,INDEX($F$403:$AD$403,AD$11-$C405+1))*$D405</f>
        <v>0</v>
      </c>
    </row>
    <row r="406" spans="1:30">
      <c r="A406" s="95"/>
      <c r="B406" s="118">
        <f>B405</f>
        <v>3</v>
      </c>
      <c r="C406">
        <f>C405+1</f>
        <v>2023</v>
      </c>
      <c r="D406" s="95" cm="1">
        <f t="array" ref="D406">INDEX($F$14:$AD$16,$B406,MATCH($C406,$F$11:$AD$11,0))*$G$404</f>
        <v>638400</v>
      </c>
      <c r="E406" s="95"/>
      <c r="F406" s="95" cm="1">
        <f t="array" ref="F406">IF($C406&gt;F$11,0,INDEX($F$403:$AD$403,F$11-$C406+1))*$D406</f>
        <v>0</v>
      </c>
      <c r="G406" s="95" cm="1">
        <f t="array" ref="G406">IF($C406&gt;G$11,0,INDEX($F$403:$AD$403,G$11-$C406+1))*$D406</f>
        <v>79800</v>
      </c>
      <c r="H406" s="95" cm="1">
        <f t="array" ref="H406">IF($C406&gt;H$11,0,INDEX($F$403:$AD$403,H$11-$C406+1))*$D406</f>
        <v>74480</v>
      </c>
      <c r="I406" s="95" cm="1">
        <f t="array" ref="I406">IF($C406&gt;I$11,0,INDEX($F$403:$AD$403,I$11-$C406+1))*$D406</f>
        <v>69160</v>
      </c>
      <c r="J406" s="95" cm="1">
        <f t="array" ref="J406">IF($C406&gt;J$11,0,INDEX($F$403:$AD$403,J$11-$C406+1))*$D406</f>
        <v>63840</v>
      </c>
      <c r="K406" s="95" cm="1">
        <f t="array" ref="K406">IF($C406&gt;K$11,0,INDEX($F$403:$AD$403,K$11-$C406+1))*$D406</f>
        <v>58519.999999999993</v>
      </c>
      <c r="L406" s="95" cm="1">
        <f t="array" ref="L406">IF($C406&gt;L$11,0,INDEX($F$403:$AD$403,L$11-$C406+1))*$D406</f>
        <v>53200</v>
      </c>
      <c r="M406" s="95" cm="1">
        <f t="array" ref="M406">IF($C406&gt;M$11,0,INDEX($F$403:$AD$403,M$11-$C406+1))*$D406</f>
        <v>47880</v>
      </c>
      <c r="N406" s="95" cm="1">
        <f t="array" ref="N406">IF($C406&gt;N$11,0,INDEX($F$403:$AD$403,N$11-$C406+1))*$D406</f>
        <v>42560</v>
      </c>
      <c r="O406" s="95" cm="1">
        <f t="array" ref="O406">IF($C406&gt;O$11,0,INDEX($F$403:$AD$403,O$11-$C406+1))*$D406</f>
        <v>37240</v>
      </c>
      <c r="P406" s="95" cm="1">
        <f t="array" ref="P406">IF($C406&gt;P$11,0,INDEX($F$403:$AD$403,P$11-$C406+1))*$D406</f>
        <v>31920</v>
      </c>
      <c r="Q406" s="95" cm="1">
        <f t="array" ref="Q406">IF($C406&gt;Q$11,0,INDEX($F$403:$AD$403,Q$11-$C406+1))*$D406</f>
        <v>26600</v>
      </c>
      <c r="R406" s="95" cm="1">
        <f t="array" ref="R406">IF($C406&gt;R$11,0,INDEX($F$403:$AD$403,R$11-$C406+1))*$D406</f>
        <v>21280</v>
      </c>
      <c r="S406" s="95" cm="1">
        <f t="array" ref="S406">IF($C406&gt;S$11,0,INDEX($F$403:$AD$403,S$11-$C406+1))*$D406</f>
        <v>15960</v>
      </c>
      <c r="T406" s="95" cm="1">
        <f t="array" ref="T406">IF($C406&gt;T$11,0,INDEX($F$403:$AD$403,T$11-$C406+1))*$D406</f>
        <v>10640</v>
      </c>
      <c r="U406" s="95" cm="1">
        <f t="array" ref="U406">IF($C406&gt;U$11,0,INDEX($F$403:$AD$403,U$11-$C406+1))*$D406</f>
        <v>5320</v>
      </c>
      <c r="V406" s="95" cm="1">
        <f t="array" ref="V406">IF($C406&gt;V$11,0,INDEX($F$403:$AD$403,V$11-$C406+1))*$D406</f>
        <v>0</v>
      </c>
      <c r="W406" s="95" cm="1">
        <f t="array" ref="W406">IF($C406&gt;W$11,0,INDEX($F$403:$AD$403,W$11-$C406+1))*$D406</f>
        <v>0</v>
      </c>
      <c r="X406" s="95" cm="1">
        <f t="array" ref="X406">IF($C406&gt;X$11,0,INDEX($F$403:$AD$403,X$11-$C406+1))*$D406</f>
        <v>0</v>
      </c>
      <c r="Y406" s="95" cm="1">
        <f t="array" ref="Y406">IF($C406&gt;Y$11,0,INDEX($F$403:$AD$403,Y$11-$C406+1))*$D406</f>
        <v>0</v>
      </c>
      <c r="Z406" s="95" cm="1">
        <f t="array" ref="Z406">IF($C406&gt;Z$11,0,INDEX($F$403:$AD$403,Z$11-$C406+1))*$D406</f>
        <v>0</v>
      </c>
      <c r="AA406" s="95" cm="1">
        <f t="array" ref="AA406">IF($C406&gt;AA$11,0,INDEX($F$403:$AD$403,AA$11-$C406+1))*$D406</f>
        <v>0</v>
      </c>
      <c r="AB406" s="95" cm="1">
        <f t="array" ref="AB406">IF($C406&gt;AB$11,0,INDEX($F$403:$AD$403,AB$11-$C406+1))*$D406</f>
        <v>0</v>
      </c>
      <c r="AC406" s="95" cm="1">
        <f t="array" ref="AC406">IF($C406&gt;AC$11,0,INDEX($F$403:$AD$403,AC$11-$C406+1))*$D406</f>
        <v>0</v>
      </c>
      <c r="AD406" s="95" cm="1">
        <f t="array" ref="AD406">IF($C406&gt;AD$11,0,INDEX($F$403:$AD$403,AD$11-$C406+1))*$D406</f>
        <v>0</v>
      </c>
    </row>
    <row r="407" spans="1:30">
      <c r="A407" s="95"/>
      <c r="B407" s="118">
        <f t="shared" ref="B407:B429" si="102">B406</f>
        <v>3</v>
      </c>
      <c r="C407">
        <f t="shared" ref="C407:C429" si="103">C406+1</f>
        <v>2024</v>
      </c>
      <c r="D407" s="95" cm="1">
        <f t="array" ref="D407">INDEX($F$14:$AD$16,$B407,MATCH($C407,$F$11:$AD$11,0))*$G$404</f>
        <v>2213025</v>
      </c>
      <c r="E407" s="95"/>
      <c r="F407" s="95" cm="1">
        <f t="array" ref="F407">IF($C407&gt;F$11,0,INDEX($F$403:$AD$403,F$11-$C407+1))*$D407</f>
        <v>0</v>
      </c>
      <c r="G407" s="95" cm="1">
        <f t="array" ref="G407">IF($C407&gt;G$11,0,INDEX($F$403:$AD$403,G$11-$C407+1))*$D407</f>
        <v>0</v>
      </c>
      <c r="H407" s="95" cm="1">
        <f t="array" ref="H407">IF($C407&gt;H$11,0,INDEX($F$403:$AD$403,H$11-$C407+1))*$D407</f>
        <v>276628.125</v>
      </c>
      <c r="I407" s="95" cm="1">
        <f t="array" ref="I407">IF($C407&gt;I$11,0,INDEX($F$403:$AD$403,I$11-$C407+1))*$D407</f>
        <v>258186.25</v>
      </c>
      <c r="J407" s="95" cm="1">
        <f t="array" ref="J407">IF($C407&gt;J$11,0,INDEX($F$403:$AD$403,J$11-$C407+1))*$D407</f>
        <v>239744.375</v>
      </c>
      <c r="K407" s="95" cm="1">
        <f t="array" ref="K407">IF($C407&gt;K$11,0,INDEX($F$403:$AD$403,K$11-$C407+1))*$D407</f>
        <v>221302.5</v>
      </c>
      <c r="L407" s="95" cm="1">
        <f t="array" ref="L407">IF($C407&gt;L$11,0,INDEX($F$403:$AD$403,L$11-$C407+1))*$D407</f>
        <v>202860.625</v>
      </c>
      <c r="M407" s="95" cm="1">
        <f t="array" ref="M407">IF($C407&gt;M$11,0,INDEX($F$403:$AD$403,M$11-$C407+1))*$D407</f>
        <v>184418.75</v>
      </c>
      <c r="N407" s="95" cm="1">
        <f t="array" ref="N407">IF($C407&gt;N$11,0,INDEX($F$403:$AD$403,N$11-$C407+1))*$D407</f>
        <v>165976.875</v>
      </c>
      <c r="O407" s="95" cm="1">
        <f t="array" ref="O407">IF($C407&gt;O$11,0,INDEX($F$403:$AD$403,O$11-$C407+1))*$D407</f>
        <v>147535</v>
      </c>
      <c r="P407" s="95" cm="1">
        <f t="array" ref="P407">IF($C407&gt;P$11,0,INDEX($F$403:$AD$403,P$11-$C407+1))*$D407</f>
        <v>129093.125</v>
      </c>
      <c r="Q407" s="95" cm="1">
        <f t="array" ref="Q407">IF($C407&gt;Q$11,0,INDEX($F$403:$AD$403,Q$11-$C407+1))*$D407</f>
        <v>110651.25</v>
      </c>
      <c r="R407" s="95" cm="1">
        <f t="array" ref="R407">IF($C407&gt;R$11,0,INDEX($F$403:$AD$403,R$11-$C407+1))*$D407</f>
        <v>92209.375</v>
      </c>
      <c r="S407" s="95" cm="1">
        <f t="array" ref="S407">IF($C407&gt;S$11,0,INDEX($F$403:$AD$403,S$11-$C407+1))*$D407</f>
        <v>73767.5</v>
      </c>
      <c r="T407" s="95" cm="1">
        <f t="array" ref="T407">IF($C407&gt;T$11,0,INDEX($F$403:$AD$403,T$11-$C407+1))*$D407</f>
        <v>55325.625</v>
      </c>
      <c r="U407" s="95" cm="1">
        <f t="array" ref="U407">IF($C407&gt;U$11,0,INDEX($F$403:$AD$403,U$11-$C407+1))*$D407</f>
        <v>36883.75</v>
      </c>
      <c r="V407" s="95" cm="1">
        <f t="array" ref="V407">IF($C407&gt;V$11,0,INDEX($F$403:$AD$403,V$11-$C407+1))*$D407</f>
        <v>18441.875</v>
      </c>
      <c r="W407" s="95" cm="1">
        <f t="array" ref="W407">IF($C407&gt;W$11,0,INDEX($F$403:$AD$403,W$11-$C407+1))*$D407</f>
        <v>0</v>
      </c>
      <c r="X407" s="95" cm="1">
        <f t="array" ref="X407">IF($C407&gt;X$11,0,INDEX($F$403:$AD$403,X$11-$C407+1))*$D407</f>
        <v>0</v>
      </c>
      <c r="Y407" s="95" cm="1">
        <f t="array" ref="Y407">IF($C407&gt;Y$11,0,INDEX($F$403:$AD$403,Y$11-$C407+1))*$D407</f>
        <v>0</v>
      </c>
      <c r="Z407" s="95" cm="1">
        <f t="array" ref="Z407">IF($C407&gt;Z$11,0,INDEX($F$403:$AD$403,Z$11-$C407+1))*$D407</f>
        <v>0</v>
      </c>
      <c r="AA407" s="95" cm="1">
        <f t="array" ref="AA407">IF($C407&gt;AA$11,0,INDEX($F$403:$AD$403,AA$11-$C407+1))*$D407</f>
        <v>0</v>
      </c>
      <c r="AB407" s="95" cm="1">
        <f t="array" ref="AB407">IF($C407&gt;AB$11,0,INDEX($F$403:$AD$403,AB$11-$C407+1))*$D407</f>
        <v>0</v>
      </c>
      <c r="AC407" s="95" cm="1">
        <f t="array" ref="AC407">IF($C407&gt;AC$11,0,INDEX($F$403:$AD$403,AC$11-$C407+1))*$D407</f>
        <v>0</v>
      </c>
      <c r="AD407" s="95" cm="1">
        <f t="array" ref="AD407">IF($C407&gt;AD$11,0,INDEX($F$403:$AD$403,AD$11-$C407+1))*$D407</f>
        <v>0</v>
      </c>
    </row>
    <row r="408" spans="1:30">
      <c r="A408" s="95"/>
      <c r="B408" s="118">
        <f t="shared" si="102"/>
        <v>3</v>
      </c>
      <c r="C408">
        <f t="shared" si="103"/>
        <v>2025</v>
      </c>
      <c r="D408" s="95" cm="1">
        <f t="array" ref="D408">INDEX($F$14:$AD$16,$B408,MATCH($C408,$F$11:$AD$11,0))*$G$404</f>
        <v>538650</v>
      </c>
      <c r="E408" s="95"/>
      <c r="F408" s="95" cm="1">
        <f t="array" ref="F408">IF($C408&gt;F$11,0,INDEX($F$403:$AD$403,F$11-$C408+1))*$D408</f>
        <v>0</v>
      </c>
      <c r="G408" s="95" cm="1">
        <f t="array" ref="G408">IF($C408&gt;G$11,0,INDEX($F$403:$AD$403,G$11-$C408+1))*$D408</f>
        <v>0</v>
      </c>
      <c r="H408" s="95" cm="1">
        <f t="array" ref="H408">IF($C408&gt;H$11,0,INDEX($F$403:$AD$403,H$11-$C408+1))*$D408</f>
        <v>0</v>
      </c>
      <c r="I408" s="95" cm="1">
        <f t="array" ref="I408">IF($C408&gt;I$11,0,INDEX($F$403:$AD$403,I$11-$C408+1))*$D408</f>
        <v>67331.25</v>
      </c>
      <c r="J408" s="95" cm="1">
        <f t="array" ref="J408">IF($C408&gt;J$11,0,INDEX($F$403:$AD$403,J$11-$C408+1))*$D408</f>
        <v>62842.5</v>
      </c>
      <c r="K408" s="95" cm="1">
        <f t="array" ref="K408">IF($C408&gt;K$11,0,INDEX($F$403:$AD$403,K$11-$C408+1))*$D408</f>
        <v>58353.75</v>
      </c>
      <c r="L408" s="95" cm="1">
        <f t="array" ref="L408">IF($C408&gt;L$11,0,INDEX($F$403:$AD$403,L$11-$C408+1))*$D408</f>
        <v>53865</v>
      </c>
      <c r="M408" s="95" cm="1">
        <f t="array" ref="M408">IF($C408&gt;M$11,0,INDEX($F$403:$AD$403,M$11-$C408+1))*$D408</f>
        <v>49376.25</v>
      </c>
      <c r="N408" s="95" cm="1">
        <f t="array" ref="N408">IF($C408&gt;N$11,0,INDEX($F$403:$AD$403,N$11-$C408+1))*$D408</f>
        <v>44887.5</v>
      </c>
      <c r="O408" s="95" cm="1">
        <f t="array" ref="O408">IF($C408&gt;O$11,0,INDEX($F$403:$AD$403,O$11-$C408+1))*$D408</f>
        <v>40398.75</v>
      </c>
      <c r="P408" s="95" cm="1">
        <f t="array" ref="P408">IF($C408&gt;P$11,0,INDEX($F$403:$AD$403,P$11-$C408+1))*$D408</f>
        <v>35910</v>
      </c>
      <c r="Q408" s="95" cm="1">
        <f t="array" ref="Q408">IF($C408&gt;Q$11,0,INDEX($F$403:$AD$403,Q$11-$C408+1))*$D408</f>
        <v>31421.25</v>
      </c>
      <c r="R408" s="95" cm="1">
        <f t="array" ref="R408">IF($C408&gt;R$11,0,INDEX($F$403:$AD$403,R$11-$C408+1))*$D408</f>
        <v>26932.5</v>
      </c>
      <c r="S408" s="95" cm="1">
        <f t="array" ref="S408">IF($C408&gt;S$11,0,INDEX($F$403:$AD$403,S$11-$C408+1))*$D408</f>
        <v>22443.75</v>
      </c>
      <c r="T408" s="95" cm="1">
        <f t="array" ref="T408">IF($C408&gt;T$11,0,INDEX($F$403:$AD$403,T$11-$C408+1))*$D408</f>
        <v>17955</v>
      </c>
      <c r="U408" s="95" cm="1">
        <f t="array" ref="U408">IF($C408&gt;U$11,0,INDEX($F$403:$AD$403,U$11-$C408+1))*$D408</f>
        <v>13466.25</v>
      </c>
      <c r="V408" s="95" cm="1">
        <f t="array" ref="V408">IF($C408&gt;V$11,0,INDEX($F$403:$AD$403,V$11-$C408+1))*$D408</f>
        <v>8977.5</v>
      </c>
      <c r="W408" s="95" cm="1">
        <f t="array" ref="W408">IF($C408&gt;W$11,0,INDEX($F$403:$AD$403,W$11-$C408+1))*$D408</f>
        <v>4488.75</v>
      </c>
      <c r="X408" s="95" cm="1">
        <f t="array" ref="X408">IF($C408&gt;X$11,0,INDEX($F$403:$AD$403,X$11-$C408+1))*$D408</f>
        <v>0</v>
      </c>
      <c r="Y408" s="95" cm="1">
        <f t="array" ref="Y408">IF($C408&gt;Y$11,0,INDEX($F$403:$AD$403,Y$11-$C408+1))*$D408</f>
        <v>0</v>
      </c>
      <c r="Z408" s="95" cm="1">
        <f t="array" ref="Z408">IF($C408&gt;Z$11,0,INDEX($F$403:$AD$403,Z$11-$C408+1))*$D408</f>
        <v>0</v>
      </c>
      <c r="AA408" s="95" cm="1">
        <f t="array" ref="AA408">IF($C408&gt;AA$11,0,INDEX($F$403:$AD$403,AA$11-$C408+1))*$D408</f>
        <v>0</v>
      </c>
      <c r="AB408" s="95" cm="1">
        <f t="array" ref="AB408">IF($C408&gt;AB$11,0,INDEX($F$403:$AD$403,AB$11-$C408+1))*$D408</f>
        <v>0</v>
      </c>
      <c r="AC408" s="95" cm="1">
        <f t="array" ref="AC408">IF($C408&gt;AC$11,0,INDEX($F$403:$AD$403,AC$11-$C408+1))*$D408</f>
        <v>0</v>
      </c>
      <c r="AD408" s="95" cm="1">
        <f t="array" ref="AD408">IF($C408&gt;AD$11,0,INDEX($F$403:$AD$403,AD$11-$C408+1))*$D408</f>
        <v>0</v>
      </c>
    </row>
    <row r="409" spans="1:30">
      <c r="A409" s="95"/>
      <c r="B409" s="118">
        <f t="shared" si="102"/>
        <v>3</v>
      </c>
      <c r="C409">
        <f t="shared" si="103"/>
        <v>2026</v>
      </c>
      <c r="D409" s="95" cm="1">
        <f t="array" ref="D409">INDEX($F$14:$AD$16,$B409,MATCH($C409,$F$11:$AD$11,0))*$G$404</f>
        <v>2288550</v>
      </c>
      <c r="E409" s="95"/>
      <c r="F409" s="95" cm="1">
        <f t="array" ref="F409">IF($C409&gt;F$11,0,INDEX($F$403:$AD$403,F$11-$C409+1))*$D409</f>
        <v>0</v>
      </c>
      <c r="G409" s="95" cm="1">
        <f t="array" ref="G409">IF($C409&gt;G$11,0,INDEX($F$403:$AD$403,G$11-$C409+1))*$D409</f>
        <v>0</v>
      </c>
      <c r="H409" s="95" cm="1">
        <f t="array" ref="H409">IF($C409&gt;H$11,0,INDEX($F$403:$AD$403,H$11-$C409+1))*$D409</f>
        <v>0</v>
      </c>
      <c r="I409" s="95" cm="1">
        <f t="array" ref="I409">IF($C409&gt;I$11,0,INDEX($F$403:$AD$403,I$11-$C409+1))*$D409</f>
        <v>0</v>
      </c>
      <c r="J409" s="95" cm="1">
        <f t="array" ref="J409">IF($C409&gt;J$11,0,INDEX($F$403:$AD$403,J$11-$C409+1))*$D409</f>
        <v>286068.75</v>
      </c>
      <c r="K409" s="95" cm="1">
        <f t="array" ref="K409">IF($C409&gt;K$11,0,INDEX($F$403:$AD$403,K$11-$C409+1))*$D409</f>
        <v>266997.5</v>
      </c>
      <c r="L409" s="95" cm="1">
        <f t="array" ref="L409">IF($C409&gt;L$11,0,INDEX($F$403:$AD$403,L$11-$C409+1))*$D409</f>
        <v>247926.25</v>
      </c>
      <c r="M409" s="95" cm="1">
        <f t="array" ref="M409">IF($C409&gt;M$11,0,INDEX($F$403:$AD$403,M$11-$C409+1))*$D409</f>
        <v>228855</v>
      </c>
      <c r="N409" s="95" cm="1">
        <f t="array" ref="N409">IF($C409&gt;N$11,0,INDEX($F$403:$AD$403,N$11-$C409+1))*$D409</f>
        <v>209783.74999999997</v>
      </c>
      <c r="O409" s="95" cm="1">
        <f t="array" ref="O409">IF($C409&gt;O$11,0,INDEX($F$403:$AD$403,O$11-$C409+1))*$D409</f>
        <v>190712.5</v>
      </c>
      <c r="P409" s="95" cm="1">
        <f t="array" ref="P409">IF($C409&gt;P$11,0,INDEX($F$403:$AD$403,P$11-$C409+1))*$D409</f>
        <v>171641.25</v>
      </c>
      <c r="Q409" s="95" cm="1">
        <f t="array" ref="Q409">IF($C409&gt;Q$11,0,INDEX($F$403:$AD$403,Q$11-$C409+1))*$D409</f>
        <v>152570</v>
      </c>
      <c r="R409" s="95" cm="1">
        <f t="array" ref="R409">IF($C409&gt;R$11,0,INDEX($F$403:$AD$403,R$11-$C409+1))*$D409</f>
        <v>133498.75</v>
      </c>
      <c r="S409" s="95" cm="1">
        <f t="array" ref="S409">IF($C409&gt;S$11,0,INDEX($F$403:$AD$403,S$11-$C409+1))*$D409</f>
        <v>114427.5</v>
      </c>
      <c r="T409" s="95" cm="1">
        <f t="array" ref="T409">IF($C409&gt;T$11,0,INDEX($F$403:$AD$403,T$11-$C409+1))*$D409</f>
        <v>95356.25</v>
      </c>
      <c r="U409" s="95" cm="1">
        <f t="array" ref="U409">IF($C409&gt;U$11,0,INDEX($F$403:$AD$403,U$11-$C409+1))*$D409</f>
        <v>76285</v>
      </c>
      <c r="V409" s="95" cm="1">
        <f t="array" ref="V409">IF($C409&gt;V$11,0,INDEX($F$403:$AD$403,V$11-$C409+1))*$D409</f>
        <v>57213.75</v>
      </c>
      <c r="W409" s="95" cm="1">
        <f t="array" ref="W409">IF($C409&gt;W$11,0,INDEX($F$403:$AD$403,W$11-$C409+1))*$D409</f>
        <v>38142.5</v>
      </c>
      <c r="X409" s="95" cm="1">
        <f t="array" ref="X409">IF($C409&gt;X$11,0,INDEX($F$403:$AD$403,X$11-$C409+1))*$D409</f>
        <v>19071.25</v>
      </c>
      <c r="Y409" s="95" cm="1">
        <f t="array" ref="Y409">IF($C409&gt;Y$11,0,INDEX($F$403:$AD$403,Y$11-$C409+1))*$D409</f>
        <v>0</v>
      </c>
      <c r="Z409" s="95" cm="1">
        <f t="array" ref="Z409">IF($C409&gt;Z$11,0,INDEX($F$403:$AD$403,Z$11-$C409+1))*$D409</f>
        <v>0</v>
      </c>
      <c r="AA409" s="95" cm="1">
        <f t="array" ref="AA409">IF($C409&gt;AA$11,0,INDEX($F$403:$AD$403,AA$11-$C409+1))*$D409</f>
        <v>0</v>
      </c>
      <c r="AB409" s="95" cm="1">
        <f t="array" ref="AB409">IF($C409&gt;AB$11,0,INDEX($F$403:$AD$403,AB$11-$C409+1))*$D409</f>
        <v>0</v>
      </c>
      <c r="AC409" s="95" cm="1">
        <f t="array" ref="AC409">IF($C409&gt;AC$11,0,INDEX($F$403:$AD$403,AC$11-$C409+1))*$D409</f>
        <v>0</v>
      </c>
      <c r="AD409" s="95" cm="1">
        <f t="array" ref="AD409">IF($C409&gt;AD$11,0,INDEX($F$403:$AD$403,AD$11-$C409+1))*$D409</f>
        <v>0</v>
      </c>
    </row>
    <row r="410" spans="1:30">
      <c r="A410" s="95"/>
      <c r="B410" s="118">
        <f t="shared" si="102"/>
        <v>3</v>
      </c>
      <c r="C410">
        <f t="shared" si="103"/>
        <v>2027</v>
      </c>
      <c r="D410" s="95" cm="1">
        <f t="array" ref="D410">INDEX($F$14:$AD$16,$B410,MATCH($C410,$F$11:$AD$11,0))*$G$404</f>
        <v>2392575</v>
      </c>
      <c r="E410" s="95"/>
      <c r="F410" s="95" cm="1">
        <f t="array" ref="F410">IF($C410&gt;F$11,0,INDEX($F$403:$AD$403,F$11-$C410+1))*$D410</f>
        <v>0</v>
      </c>
      <c r="G410" s="95" cm="1">
        <f t="array" ref="G410">IF($C410&gt;G$11,0,INDEX($F$403:$AD$403,G$11-$C410+1))*$D410</f>
        <v>0</v>
      </c>
      <c r="H410" s="95" cm="1">
        <f t="array" ref="H410">IF($C410&gt;H$11,0,INDEX($F$403:$AD$403,H$11-$C410+1))*$D410</f>
        <v>0</v>
      </c>
      <c r="I410" s="95" cm="1">
        <f t="array" ref="I410">IF($C410&gt;I$11,0,INDEX($F$403:$AD$403,I$11-$C410+1))*$D410</f>
        <v>0</v>
      </c>
      <c r="J410" s="95" cm="1">
        <f t="array" ref="J410">IF($C410&gt;J$11,0,INDEX($F$403:$AD$403,J$11-$C410+1))*$D410</f>
        <v>0</v>
      </c>
      <c r="K410" s="95" cm="1">
        <f t="array" ref="K410">IF($C410&gt;K$11,0,INDEX($F$403:$AD$403,K$11-$C410+1))*$D410</f>
        <v>299071.875</v>
      </c>
      <c r="L410" s="95" cm="1">
        <f t="array" ref="L410">IF($C410&gt;L$11,0,INDEX($F$403:$AD$403,L$11-$C410+1))*$D410</f>
        <v>279133.75</v>
      </c>
      <c r="M410" s="95" cm="1">
        <f t="array" ref="M410">IF($C410&gt;M$11,0,INDEX($F$403:$AD$403,M$11-$C410+1))*$D410</f>
        <v>259195.625</v>
      </c>
      <c r="N410" s="95" cm="1">
        <f t="array" ref="N410">IF($C410&gt;N$11,0,INDEX($F$403:$AD$403,N$11-$C410+1))*$D410</f>
        <v>239257.5</v>
      </c>
      <c r="O410" s="95" cm="1">
        <f t="array" ref="O410">IF($C410&gt;O$11,0,INDEX($F$403:$AD$403,O$11-$C410+1))*$D410</f>
        <v>219319.37499999997</v>
      </c>
      <c r="P410" s="95" cm="1">
        <f t="array" ref="P410">IF($C410&gt;P$11,0,INDEX($F$403:$AD$403,P$11-$C410+1))*$D410</f>
        <v>199381.25</v>
      </c>
      <c r="Q410" s="95" cm="1">
        <f t="array" ref="Q410">IF($C410&gt;Q$11,0,INDEX($F$403:$AD$403,Q$11-$C410+1))*$D410</f>
        <v>179443.125</v>
      </c>
      <c r="R410" s="95" cm="1">
        <f t="array" ref="R410">IF($C410&gt;R$11,0,INDEX($F$403:$AD$403,R$11-$C410+1))*$D410</f>
        <v>159505</v>
      </c>
      <c r="S410" s="95" cm="1">
        <f t="array" ref="S410">IF($C410&gt;S$11,0,INDEX($F$403:$AD$403,S$11-$C410+1))*$D410</f>
        <v>139566.875</v>
      </c>
      <c r="T410" s="95" cm="1">
        <f t="array" ref="T410">IF($C410&gt;T$11,0,INDEX($F$403:$AD$403,T$11-$C410+1))*$D410</f>
        <v>119628.75</v>
      </c>
      <c r="U410" s="95" cm="1">
        <f t="array" ref="U410">IF($C410&gt;U$11,0,INDEX($F$403:$AD$403,U$11-$C410+1))*$D410</f>
        <v>99690.625</v>
      </c>
      <c r="V410" s="95" cm="1">
        <f t="array" ref="V410">IF($C410&gt;V$11,0,INDEX($F$403:$AD$403,V$11-$C410+1))*$D410</f>
        <v>79752.5</v>
      </c>
      <c r="W410" s="95" cm="1">
        <f t="array" ref="W410">IF($C410&gt;W$11,0,INDEX($F$403:$AD$403,W$11-$C410+1))*$D410</f>
        <v>59814.375</v>
      </c>
      <c r="X410" s="95" cm="1">
        <f t="array" ref="X410">IF($C410&gt;X$11,0,INDEX($F$403:$AD$403,X$11-$C410+1))*$D410</f>
        <v>39876.25</v>
      </c>
      <c r="Y410" s="95" cm="1">
        <f t="array" ref="Y410">IF($C410&gt;Y$11,0,INDEX($F$403:$AD$403,Y$11-$C410+1))*$D410</f>
        <v>19938.125</v>
      </c>
      <c r="Z410" s="95" cm="1">
        <f t="array" ref="Z410">IF($C410&gt;Z$11,0,INDEX($F$403:$AD$403,Z$11-$C410+1))*$D410</f>
        <v>0</v>
      </c>
      <c r="AA410" s="95" cm="1">
        <f t="array" ref="AA410">IF($C410&gt;AA$11,0,INDEX($F$403:$AD$403,AA$11-$C410+1))*$D410</f>
        <v>0</v>
      </c>
      <c r="AB410" s="95" cm="1">
        <f t="array" ref="AB410">IF($C410&gt;AB$11,0,INDEX($F$403:$AD$403,AB$11-$C410+1))*$D410</f>
        <v>0</v>
      </c>
      <c r="AC410" s="95" cm="1">
        <f t="array" ref="AC410">IF($C410&gt;AC$11,0,INDEX($F$403:$AD$403,AC$11-$C410+1))*$D410</f>
        <v>0</v>
      </c>
      <c r="AD410" s="95" cm="1">
        <f t="array" ref="AD410">IF($C410&gt;AD$11,0,INDEX($F$403:$AD$403,AD$11-$C410+1))*$D410</f>
        <v>0</v>
      </c>
    </row>
    <row r="411" spans="1:30">
      <c r="A411" s="95"/>
      <c r="B411" s="118">
        <f t="shared" si="102"/>
        <v>3</v>
      </c>
      <c r="C411">
        <f t="shared" si="103"/>
        <v>2028</v>
      </c>
      <c r="D411" s="95" cm="1">
        <f t="array" ref="D411">INDEX($F$14:$AD$16,$B411,MATCH($C411,$F$11:$AD$11,0))*$G$404</f>
        <v>1987875</v>
      </c>
      <c r="E411" s="95"/>
      <c r="F411" s="95" cm="1">
        <f t="array" ref="F411">IF($C411&gt;F$11,0,INDEX($F$403:$AD$403,F$11-$C411+1))*$D411</f>
        <v>0</v>
      </c>
      <c r="G411" s="95" cm="1">
        <f t="array" ref="G411">IF($C411&gt;G$11,0,INDEX($F$403:$AD$403,G$11-$C411+1))*$D411</f>
        <v>0</v>
      </c>
      <c r="H411" s="95" cm="1">
        <f t="array" ref="H411">IF($C411&gt;H$11,0,INDEX($F$403:$AD$403,H$11-$C411+1))*$D411</f>
        <v>0</v>
      </c>
      <c r="I411" s="95" cm="1">
        <f t="array" ref="I411">IF($C411&gt;I$11,0,INDEX($F$403:$AD$403,I$11-$C411+1))*$D411</f>
        <v>0</v>
      </c>
      <c r="J411" s="95" cm="1">
        <f t="array" ref="J411">IF($C411&gt;J$11,0,INDEX($F$403:$AD$403,J$11-$C411+1))*$D411</f>
        <v>0</v>
      </c>
      <c r="K411" s="95" cm="1">
        <f t="array" ref="K411">IF($C411&gt;K$11,0,INDEX($F$403:$AD$403,K$11-$C411+1))*$D411</f>
        <v>0</v>
      </c>
      <c r="L411" s="95" cm="1">
        <f t="array" ref="L411">IF($C411&gt;L$11,0,INDEX($F$403:$AD$403,L$11-$C411+1))*$D411</f>
        <v>248484.375</v>
      </c>
      <c r="M411" s="95" cm="1">
        <f t="array" ref="M411">IF($C411&gt;M$11,0,INDEX($F$403:$AD$403,M$11-$C411+1))*$D411</f>
        <v>231918.75</v>
      </c>
      <c r="N411" s="95" cm="1">
        <f t="array" ref="N411">IF($C411&gt;N$11,0,INDEX($F$403:$AD$403,N$11-$C411+1))*$D411</f>
        <v>215353.125</v>
      </c>
      <c r="O411" s="95" cm="1">
        <f t="array" ref="O411">IF($C411&gt;O$11,0,INDEX($F$403:$AD$403,O$11-$C411+1))*$D411</f>
        <v>198787.5</v>
      </c>
      <c r="P411" s="95" cm="1">
        <f t="array" ref="P411">IF($C411&gt;P$11,0,INDEX($F$403:$AD$403,P$11-$C411+1))*$D411</f>
        <v>182221.875</v>
      </c>
      <c r="Q411" s="95" cm="1">
        <f t="array" ref="Q411">IF($C411&gt;Q$11,0,INDEX($F$403:$AD$403,Q$11-$C411+1))*$D411</f>
        <v>165656.25</v>
      </c>
      <c r="R411" s="95" cm="1">
        <f t="array" ref="R411">IF($C411&gt;R$11,0,INDEX($F$403:$AD$403,R$11-$C411+1))*$D411</f>
        <v>149090.625</v>
      </c>
      <c r="S411" s="95" cm="1">
        <f t="array" ref="S411">IF($C411&gt;S$11,0,INDEX($F$403:$AD$403,S$11-$C411+1))*$D411</f>
        <v>132525</v>
      </c>
      <c r="T411" s="95" cm="1">
        <f t="array" ref="T411">IF($C411&gt;T$11,0,INDEX($F$403:$AD$403,T$11-$C411+1))*$D411</f>
        <v>115959.375</v>
      </c>
      <c r="U411" s="95" cm="1">
        <f t="array" ref="U411">IF($C411&gt;U$11,0,INDEX($F$403:$AD$403,U$11-$C411+1))*$D411</f>
        <v>99393.75</v>
      </c>
      <c r="V411" s="95" cm="1">
        <f t="array" ref="V411">IF($C411&gt;V$11,0,INDEX($F$403:$AD$403,V$11-$C411+1))*$D411</f>
        <v>82828.125</v>
      </c>
      <c r="W411" s="95" cm="1">
        <f t="array" ref="W411">IF($C411&gt;W$11,0,INDEX($F$403:$AD$403,W$11-$C411+1))*$D411</f>
        <v>66262.5</v>
      </c>
      <c r="X411" s="95" cm="1">
        <f t="array" ref="X411">IF($C411&gt;X$11,0,INDEX($F$403:$AD$403,X$11-$C411+1))*$D411</f>
        <v>49696.875</v>
      </c>
      <c r="Y411" s="95" cm="1">
        <f t="array" ref="Y411">IF($C411&gt;Y$11,0,INDEX($F$403:$AD$403,Y$11-$C411+1))*$D411</f>
        <v>33131.25</v>
      </c>
      <c r="Z411" s="95" cm="1">
        <f t="array" ref="Z411">IF($C411&gt;Z$11,0,INDEX($F$403:$AD$403,Z$11-$C411+1))*$D411</f>
        <v>16565.625</v>
      </c>
      <c r="AA411" s="95" cm="1">
        <f t="array" ref="AA411">IF($C411&gt;AA$11,0,INDEX($F$403:$AD$403,AA$11-$C411+1))*$D411</f>
        <v>0</v>
      </c>
      <c r="AB411" s="95" cm="1">
        <f t="array" ref="AB411">IF($C411&gt;AB$11,0,INDEX($F$403:$AD$403,AB$11-$C411+1))*$D411</f>
        <v>0</v>
      </c>
      <c r="AC411" s="95" cm="1">
        <f t="array" ref="AC411">IF($C411&gt;AC$11,0,INDEX($F$403:$AD$403,AC$11-$C411+1))*$D411</f>
        <v>0</v>
      </c>
      <c r="AD411" s="95" cm="1">
        <f t="array" ref="AD411">IF($C411&gt;AD$11,0,INDEX($F$403:$AD$403,AD$11-$C411+1))*$D411</f>
        <v>0</v>
      </c>
    </row>
    <row r="412" spans="1:30">
      <c r="A412" s="95"/>
      <c r="B412" s="118">
        <f t="shared" si="102"/>
        <v>3</v>
      </c>
      <c r="C412">
        <f t="shared" si="103"/>
        <v>2029</v>
      </c>
      <c r="D412" s="95" cm="1">
        <f t="array" ref="D412">INDEX($F$14:$AD$16,$B412,MATCH($C412,$F$11:$AD$11,0))*$G$404</f>
        <v>121125</v>
      </c>
      <c r="E412" s="95"/>
      <c r="F412" s="95" cm="1">
        <f t="array" ref="F412">IF($C412&gt;F$11,0,INDEX($F$403:$AD$403,F$11-$C412+1))*$D412</f>
        <v>0</v>
      </c>
      <c r="G412" s="95" cm="1">
        <f t="array" ref="G412">IF($C412&gt;G$11,0,INDEX($F$403:$AD$403,G$11-$C412+1))*$D412</f>
        <v>0</v>
      </c>
      <c r="H412" s="95" cm="1">
        <f t="array" ref="H412">IF($C412&gt;H$11,0,INDEX($F$403:$AD$403,H$11-$C412+1))*$D412</f>
        <v>0</v>
      </c>
      <c r="I412" s="95" cm="1">
        <f t="array" ref="I412">IF($C412&gt;I$11,0,INDEX($F$403:$AD$403,I$11-$C412+1))*$D412</f>
        <v>0</v>
      </c>
      <c r="J412" s="95" cm="1">
        <f t="array" ref="J412">IF($C412&gt;J$11,0,INDEX($F$403:$AD$403,J$11-$C412+1))*$D412</f>
        <v>0</v>
      </c>
      <c r="K412" s="95" cm="1">
        <f t="array" ref="K412">IF($C412&gt;K$11,0,INDEX($F$403:$AD$403,K$11-$C412+1))*$D412</f>
        <v>0</v>
      </c>
      <c r="L412" s="95" cm="1">
        <f t="array" ref="L412">IF($C412&gt;L$11,0,INDEX($F$403:$AD$403,L$11-$C412+1))*$D412</f>
        <v>0</v>
      </c>
      <c r="M412" s="95" cm="1">
        <f t="array" ref="M412">IF($C412&gt;M$11,0,INDEX($F$403:$AD$403,M$11-$C412+1))*$D412</f>
        <v>15140.625</v>
      </c>
      <c r="N412" s="95" cm="1">
        <f t="array" ref="N412">IF($C412&gt;N$11,0,INDEX($F$403:$AD$403,N$11-$C412+1))*$D412</f>
        <v>14131.25</v>
      </c>
      <c r="O412" s="95" cm="1">
        <f t="array" ref="O412">IF($C412&gt;O$11,0,INDEX($F$403:$AD$403,O$11-$C412+1))*$D412</f>
        <v>13121.875</v>
      </c>
      <c r="P412" s="95" cm="1">
        <f t="array" ref="P412">IF($C412&gt;P$11,0,INDEX($F$403:$AD$403,P$11-$C412+1))*$D412</f>
        <v>12112.5</v>
      </c>
      <c r="Q412" s="95" cm="1">
        <f t="array" ref="Q412">IF($C412&gt;Q$11,0,INDEX($F$403:$AD$403,Q$11-$C412+1))*$D412</f>
        <v>11103.125</v>
      </c>
      <c r="R412" s="95" cm="1">
        <f t="array" ref="R412">IF($C412&gt;R$11,0,INDEX($F$403:$AD$403,R$11-$C412+1))*$D412</f>
        <v>10093.75</v>
      </c>
      <c r="S412" s="95" cm="1">
        <f t="array" ref="S412">IF($C412&gt;S$11,0,INDEX($F$403:$AD$403,S$11-$C412+1))*$D412</f>
        <v>9084.375</v>
      </c>
      <c r="T412" s="95" cm="1">
        <f t="array" ref="T412">IF($C412&gt;T$11,0,INDEX($F$403:$AD$403,T$11-$C412+1))*$D412</f>
        <v>8075</v>
      </c>
      <c r="U412" s="95" cm="1">
        <f t="array" ref="U412">IF($C412&gt;U$11,0,INDEX($F$403:$AD$403,U$11-$C412+1))*$D412</f>
        <v>7065.625</v>
      </c>
      <c r="V412" s="95" cm="1">
        <f t="array" ref="V412">IF($C412&gt;V$11,0,INDEX($F$403:$AD$403,V$11-$C412+1))*$D412</f>
        <v>6056.25</v>
      </c>
      <c r="W412" s="95" cm="1">
        <f t="array" ref="W412">IF($C412&gt;W$11,0,INDEX($F$403:$AD$403,W$11-$C412+1))*$D412</f>
        <v>5046.875</v>
      </c>
      <c r="X412" s="95" cm="1">
        <f t="array" ref="X412">IF($C412&gt;X$11,0,INDEX($F$403:$AD$403,X$11-$C412+1))*$D412</f>
        <v>4037.5</v>
      </c>
      <c r="Y412" s="95" cm="1">
        <f t="array" ref="Y412">IF($C412&gt;Y$11,0,INDEX($F$403:$AD$403,Y$11-$C412+1))*$D412</f>
        <v>3028.125</v>
      </c>
      <c r="Z412" s="95" cm="1">
        <f t="array" ref="Z412">IF($C412&gt;Z$11,0,INDEX($F$403:$AD$403,Z$11-$C412+1))*$D412</f>
        <v>2018.75</v>
      </c>
      <c r="AA412" s="95" cm="1">
        <f t="array" ref="AA412">IF($C412&gt;AA$11,0,INDEX($F$403:$AD$403,AA$11-$C412+1))*$D412</f>
        <v>1009.375</v>
      </c>
      <c r="AB412" s="95" cm="1">
        <f t="array" ref="AB412">IF($C412&gt;AB$11,0,INDEX($F$403:$AD$403,AB$11-$C412+1))*$D412</f>
        <v>0</v>
      </c>
      <c r="AC412" s="95" cm="1">
        <f t="array" ref="AC412">IF($C412&gt;AC$11,0,INDEX($F$403:$AD$403,AC$11-$C412+1))*$D412</f>
        <v>0</v>
      </c>
      <c r="AD412" s="95" cm="1">
        <f t="array" ref="AD412">IF($C412&gt;AD$11,0,INDEX($F$403:$AD$403,AD$11-$C412+1))*$D412</f>
        <v>0</v>
      </c>
    </row>
    <row r="413" spans="1:30">
      <c r="A413" s="95"/>
      <c r="B413" s="118">
        <f t="shared" si="102"/>
        <v>3</v>
      </c>
      <c r="C413">
        <f t="shared" si="103"/>
        <v>2030</v>
      </c>
      <c r="D413" s="95" cm="1">
        <f t="array" ref="D413">INDEX($F$14:$AD$16,$B413,MATCH($C413,$F$11:$AD$11,0))*$G$404</f>
        <v>0</v>
      </c>
      <c r="E413" s="95"/>
      <c r="F413" s="95" cm="1">
        <f t="array" ref="F413">IF($C413&gt;F$11,0,INDEX($F$403:$AD$403,F$11-$C413+1))*$D413</f>
        <v>0</v>
      </c>
      <c r="G413" s="95" cm="1">
        <f t="array" ref="G413">IF($C413&gt;G$11,0,INDEX($F$403:$AD$403,G$11-$C413+1))*$D413</f>
        <v>0</v>
      </c>
      <c r="H413" s="95" cm="1">
        <f t="array" ref="H413">IF($C413&gt;H$11,0,INDEX($F$403:$AD$403,H$11-$C413+1))*$D413</f>
        <v>0</v>
      </c>
      <c r="I413" s="95" cm="1">
        <f t="array" ref="I413">IF($C413&gt;I$11,0,INDEX($F$403:$AD$403,I$11-$C413+1))*$D413</f>
        <v>0</v>
      </c>
      <c r="J413" s="95" cm="1">
        <f t="array" ref="J413">IF($C413&gt;J$11,0,INDEX($F$403:$AD$403,J$11-$C413+1))*$D413</f>
        <v>0</v>
      </c>
      <c r="K413" s="95" cm="1">
        <f t="array" ref="K413">IF($C413&gt;K$11,0,INDEX($F$403:$AD$403,K$11-$C413+1))*$D413</f>
        <v>0</v>
      </c>
      <c r="L413" s="95" cm="1">
        <f t="array" ref="L413">IF($C413&gt;L$11,0,INDEX($F$403:$AD$403,L$11-$C413+1))*$D413</f>
        <v>0</v>
      </c>
      <c r="M413" s="95" cm="1">
        <f t="array" ref="M413">IF($C413&gt;M$11,0,INDEX($F$403:$AD$403,M$11-$C413+1))*$D413</f>
        <v>0</v>
      </c>
      <c r="N413" s="95" cm="1">
        <f t="array" ref="N413">IF($C413&gt;N$11,0,INDEX($F$403:$AD$403,N$11-$C413+1))*$D413</f>
        <v>0</v>
      </c>
      <c r="O413" s="95" cm="1">
        <f t="array" ref="O413">IF($C413&gt;O$11,0,INDEX($F$403:$AD$403,O$11-$C413+1))*$D413</f>
        <v>0</v>
      </c>
      <c r="P413" s="95" cm="1">
        <f t="array" ref="P413">IF($C413&gt;P$11,0,INDEX($F$403:$AD$403,P$11-$C413+1))*$D413</f>
        <v>0</v>
      </c>
      <c r="Q413" s="95" cm="1">
        <f t="array" ref="Q413">IF($C413&gt;Q$11,0,INDEX($F$403:$AD$403,Q$11-$C413+1))*$D413</f>
        <v>0</v>
      </c>
      <c r="R413" s="95" cm="1">
        <f t="array" ref="R413">IF($C413&gt;R$11,0,INDEX($F$403:$AD$403,R$11-$C413+1))*$D413</f>
        <v>0</v>
      </c>
      <c r="S413" s="95" cm="1">
        <f t="array" ref="S413">IF($C413&gt;S$11,0,INDEX($F$403:$AD$403,S$11-$C413+1))*$D413</f>
        <v>0</v>
      </c>
      <c r="T413" s="95" cm="1">
        <f t="array" ref="T413">IF($C413&gt;T$11,0,INDEX($F$403:$AD$403,T$11-$C413+1))*$D413</f>
        <v>0</v>
      </c>
      <c r="U413" s="95" cm="1">
        <f t="array" ref="U413">IF($C413&gt;U$11,0,INDEX($F$403:$AD$403,U$11-$C413+1))*$D413</f>
        <v>0</v>
      </c>
      <c r="V413" s="95" cm="1">
        <f t="array" ref="V413">IF($C413&gt;V$11,0,INDEX($F$403:$AD$403,V$11-$C413+1))*$D413</f>
        <v>0</v>
      </c>
      <c r="W413" s="95" cm="1">
        <f t="array" ref="W413">IF($C413&gt;W$11,0,INDEX($F$403:$AD$403,W$11-$C413+1))*$D413</f>
        <v>0</v>
      </c>
      <c r="X413" s="95" cm="1">
        <f t="array" ref="X413">IF($C413&gt;X$11,0,INDEX($F$403:$AD$403,X$11-$C413+1))*$D413</f>
        <v>0</v>
      </c>
      <c r="Y413" s="95" cm="1">
        <f t="array" ref="Y413">IF($C413&gt;Y$11,0,INDEX($F$403:$AD$403,Y$11-$C413+1))*$D413</f>
        <v>0</v>
      </c>
      <c r="Z413" s="95" cm="1">
        <f t="array" ref="Z413">IF($C413&gt;Z$11,0,INDEX($F$403:$AD$403,Z$11-$C413+1))*$D413</f>
        <v>0</v>
      </c>
      <c r="AA413" s="95" cm="1">
        <f t="array" ref="AA413">IF($C413&gt;AA$11,0,INDEX($F$403:$AD$403,AA$11-$C413+1))*$D413</f>
        <v>0</v>
      </c>
      <c r="AB413" s="95" cm="1">
        <f t="array" ref="AB413">IF($C413&gt;AB$11,0,INDEX($F$403:$AD$403,AB$11-$C413+1))*$D413</f>
        <v>0</v>
      </c>
      <c r="AC413" s="95" cm="1">
        <f t="array" ref="AC413">IF($C413&gt;AC$11,0,INDEX($F$403:$AD$403,AC$11-$C413+1))*$D413</f>
        <v>0</v>
      </c>
      <c r="AD413" s="95" cm="1">
        <f t="array" ref="AD413">IF($C413&gt;AD$11,0,INDEX($F$403:$AD$403,AD$11-$C413+1))*$D413</f>
        <v>0</v>
      </c>
    </row>
    <row r="414" spans="1:30">
      <c r="A414" s="95"/>
      <c r="B414" s="118">
        <f t="shared" si="102"/>
        <v>3</v>
      </c>
      <c r="C414">
        <f t="shared" si="103"/>
        <v>2031</v>
      </c>
      <c r="D414" s="95" cm="1">
        <f t="array" ref="D414">INDEX($F$14:$AD$16,$B414,MATCH($C414,$F$11:$AD$11,0))*$G$404</f>
        <v>813675</v>
      </c>
      <c r="E414" s="95"/>
      <c r="F414" s="95" cm="1">
        <f t="array" ref="F414">IF($C414&gt;F$11,0,INDEX($F$403:$AD$403,F$11-$C414+1))*$D414</f>
        <v>0</v>
      </c>
      <c r="G414" s="95" cm="1">
        <f t="array" ref="G414">IF($C414&gt;G$11,0,INDEX($F$403:$AD$403,G$11-$C414+1))*$D414</f>
        <v>0</v>
      </c>
      <c r="H414" s="95" cm="1">
        <f t="array" ref="H414">IF($C414&gt;H$11,0,INDEX($F$403:$AD$403,H$11-$C414+1))*$D414</f>
        <v>0</v>
      </c>
      <c r="I414" s="95" cm="1">
        <f t="array" ref="I414">IF($C414&gt;I$11,0,INDEX($F$403:$AD$403,I$11-$C414+1))*$D414</f>
        <v>0</v>
      </c>
      <c r="J414" s="95" cm="1">
        <f t="array" ref="J414">IF($C414&gt;J$11,0,INDEX($F$403:$AD$403,J$11-$C414+1))*$D414</f>
        <v>0</v>
      </c>
      <c r="K414" s="95" cm="1">
        <f t="array" ref="K414">IF($C414&gt;K$11,0,INDEX($F$403:$AD$403,K$11-$C414+1))*$D414</f>
        <v>0</v>
      </c>
      <c r="L414" s="95" cm="1">
        <f t="array" ref="L414">IF($C414&gt;L$11,0,INDEX($F$403:$AD$403,L$11-$C414+1))*$D414</f>
        <v>0</v>
      </c>
      <c r="M414" s="95" cm="1">
        <f t="array" ref="M414">IF($C414&gt;M$11,0,INDEX($F$403:$AD$403,M$11-$C414+1))*$D414</f>
        <v>0</v>
      </c>
      <c r="N414" s="95" cm="1">
        <f t="array" ref="N414">IF($C414&gt;N$11,0,INDEX($F$403:$AD$403,N$11-$C414+1))*$D414</f>
        <v>0</v>
      </c>
      <c r="O414" s="95" cm="1">
        <f t="array" ref="O414">IF($C414&gt;O$11,0,INDEX($F$403:$AD$403,O$11-$C414+1))*$D414</f>
        <v>101709.375</v>
      </c>
      <c r="P414" s="95" cm="1">
        <f t="array" ref="P414">IF($C414&gt;P$11,0,INDEX($F$403:$AD$403,P$11-$C414+1))*$D414</f>
        <v>94928.75</v>
      </c>
      <c r="Q414" s="95" cm="1">
        <f t="array" ref="Q414">IF($C414&gt;Q$11,0,INDEX($F$403:$AD$403,Q$11-$C414+1))*$D414</f>
        <v>88148.125</v>
      </c>
      <c r="R414" s="95" cm="1">
        <f t="array" ref="R414">IF($C414&gt;R$11,0,INDEX($F$403:$AD$403,R$11-$C414+1))*$D414</f>
        <v>81367.5</v>
      </c>
      <c r="S414" s="95" cm="1">
        <f t="array" ref="S414">IF($C414&gt;S$11,0,INDEX($F$403:$AD$403,S$11-$C414+1))*$D414</f>
        <v>74586.875</v>
      </c>
      <c r="T414" s="95" cm="1">
        <f t="array" ref="T414">IF($C414&gt;T$11,0,INDEX($F$403:$AD$403,T$11-$C414+1))*$D414</f>
        <v>67806.25</v>
      </c>
      <c r="U414" s="95" cm="1">
        <f t="array" ref="U414">IF($C414&gt;U$11,0,INDEX($F$403:$AD$403,U$11-$C414+1))*$D414</f>
        <v>61025.625</v>
      </c>
      <c r="V414" s="95" cm="1">
        <f t="array" ref="V414">IF($C414&gt;V$11,0,INDEX($F$403:$AD$403,V$11-$C414+1))*$D414</f>
        <v>54245</v>
      </c>
      <c r="W414" s="95" cm="1">
        <f t="array" ref="W414">IF($C414&gt;W$11,0,INDEX($F$403:$AD$403,W$11-$C414+1))*$D414</f>
        <v>47464.375</v>
      </c>
      <c r="X414" s="95" cm="1">
        <f t="array" ref="X414">IF($C414&gt;X$11,0,INDEX($F$403:$AD$403,X$11-$C414+1))*$D414</f>
        <v>40683.75</v>
      </c>
      <c r="Y414" s="95" cm="1">
        <f t="array" ref="Y414">IF($C414&gt;Y$11,0,INDEX($F$403:$AD$403,Y$11-$C414+1))*$D414</f>
        <v>33903.125</v>
      </c>
      <c r="Z414" s="95" cm="1">
        <f t="array" ref="Z414">IF($C414&gt;Z$11,0,INDEX($F$403:$AD$403,Z$11-$C414+1))*$D414</f>
        <v>27122.5</v>
      </c>
      <c r="AA414" s="95" cm="1">
        <f t="array" ref="AA414">IF($C414&gt;AA$11,0,INDEX($F$403:$AD$403,AA$11-$C414+1))*$D414</f>
        <v>20341.875</v>
      </c>
      <c r="AB414" s="95" cm="1">
        <f t="array" ref="AB414">IF($C414&gt;AB$11,0,INDEX($F$403:$AD$403,AB$11-$C414+1))*$D414</f>
        <v>13561.25</v>
      </c>
      <c r="AC414" s="95" cm="1">
        <f t="array" ref="AC414">IF($C414&gt;AC$11,0,INDEX($F$403:$AD$403,AC$11-$C414+1))*$D414</f>
        <v>6780.625</v>
      </c>
      <c r="AD414" s="95" cm="1">
        <f t="array" ref="AD414">IF($C414&gt;AD$11,0,INDEX($F$403:$AD$403,AD$11-$C414+1))*$D414</f>
        <v>0</v>
      </c>
    </row>
    <row r="415" spans="1:30">
      <c r="A415" s="95"/>
      <c r="B415" s="118">
        <f t="shared" si="102"/>
        <v>3</v>
      </c>
      <c r="C415">
        <f t="shared" si="103"/>
        <v>2032</v>
      </c>
      <c r="D415" s="95" cm="1">
        <f t="array" ref="D415">INDEX($F$14:$AD$16,$B415,MATCH($C415,$F$11:$AD$11,0))*$G$404</f>
        <v>1187025</v>
      </c>
      <c r="E415" s="95"/>
      <c r="F415" s="95" cm="1">
        <f t="array" ref="F415">IF($C415&gt;F$11,0,INDEX($F$403:$AD$403,F$11-$C415+1))*$D415</f>
        <v>0</v>
      </c>
      <c r="G415" s="95" cm="1">
        <f t="array" ref="G415">IF($C415&gt;G$11,0,INDEX($F$403:$AD$403,G$11-$C415+1))*$D415</f>
        <v>0</v>
      </c>
      <c r="H415" s="95" cm="1">
        <f t="array" ref="H415">IF($C415&gt;H$11,0,INDEX($F$403:$AD$403,H$11-$C415+1))*$D415</f>
        <v>0</v>
      </c>
      <c r="I415" s="95" cm="1">
        <f t="array" ref="I415">IF($C415&gt;I$11,0,INDEX($F$403:$AD$403,I$11-$C415+1))*$D415</f>
        <v>0</v>
      </c>
      <c r="J415" s="95" cm="1">
        <f t="array" ref="J415">IF($C415&gt;J$11,0,INDEX($F$403:$AD$403,J$11-$C415+1))*$D415</f>
        <v>0</v>
      </c>
      <c r="K415" s="95" cm="1">
        <f t="array" ref="K415">IF($C415&gt;K$11,0,INDEX($F$403:$AD$403,K$11-$C415+1))*$D415</f>
        <v>0</v>
      </c>
      <c r="L415" s="95" cm="1">
        <f t="array" ref="L415">IF($C415&gt;L$11,0,INDEX($F$403:$AD$403,L$11-$C415+1))*$D415</f>
        <v>0</v>
      </c>
      <c r="M415" s="95" cm="1">
        <f t="array" ref="M415">IF($C415&gt;M$11,0,INDEX($F$403:$AD$403,M$11-$C415+1))*$D415</f>
        <v>0</v>
      </c>
      <c r="N415" s="95" cm="1">
        <f t="array" ref="N415">IF($C415&gt;N$11,0,INDEX($F$403:$AD$403,N$11-$C415+1))*$D415</f>
        <v>0</v>
      </c>
      <c r="O415" s="95" cm="1">
        <f t="array" ref="O415">IF($C415&gt;O$11,0,INDEX($F$403:$AD$403,O$11-$C415+1))*$D415</f>
        <v>0</v>
      </c>
      <c r="P415" s="95" cm="1">
        <f t="array" ref="P415">IF($C415&gt;P$11,0,INDEX($F$403:$AD$403,P$11-$C415+1))*$D415</f>
        <v>148378.125</v>
      </c>
      <c r="Q415" s="95" cm="1">
        <f t="array" ref="Q415">IF($C415&gt;Q$11,0,INDEX($F$403:$AD$403,Q$11-$C415+1))*$D415</f>
        <v>138486.25</v>
      </c>
      <c r="R415" s="95" cm="1">
        <f t="array" ref="R415">IF($C415&gt;R$11,0,INDEX($F$403:$AD$403,R$11-$C415+1))*$D415</f>
        <v>128594.375</v>
      </c>
      <c r="S415" s="95" cm="1">
        <f t="array" ref="S415">IF($C415&gt;S$11,0,INDEX($F$403:$AD$403,S$11-$C415+1))*$D415</f>
        <v>118702.5</v>
      </c>
      <c r="T415" s="95" cm="1">
        <f t="array" ref="T415">IF($C415&gt;T$11,0,INDEX($F$403:$AD$403,T$11-$C415+1))*$D415</f>
        <v>108810.62499999999</v>
      </c>
      <c r="U415" s="95" cm="1">
        <f t="array" ref="U415">IF($C415&gt;U$11,0,INDEX($F$403:$AD$403,U$11-$C415+1))*$D415</f>
        <v>98918.75</v>
      </c>
      <c r="V415" s="95" cm="1">
        <f t="array" ref="V415">IF($C415&gt;V$11,0,INDEX($F$403:$AD$403,V$11-$C415+1))*$D415</f>
        <v>89026.875</v>
      </c>
      <c r="W415" s="95" cm="1">
        <f t="array" ref="W415">IF($C415&gt;W$11,0,INDEX($F$403:$AD$403,W$11-$C415+1))*$D415</f>
        <v>79135</v>
      </c>
      <c r="X415" s="95" cm="1">
        <f t="array" ref="X415">IF($C415&gt;X$11,0,INDEX($F$403:$AD$403,X$11-$C415+1))*$D415</f>
        <v>69243.125</v>
      </c>
      <c r="Y415" s="95" cm="1">
        <f t="array" ref="Y415">IF($C415&gt;Y$11,0,INDEX($F$403:$AD$403,Y$11-$C415+1))*$D415</f>
        <v>59351.25</v>
      </c>
      <c r="Z415" s="95" cm="1">
        <f t="array" ref="Z415">IF($C415&gt;Z$11,0,INDEX($F$403:$AD$403,Z$11-$C415+1))*$D415</f>
        <v>49459.375</v>
      </c>
      <c r="AA415" s="95" cm="1">
        <f t="array" ref="AA415">IF($C415&gt;AA$11,0,INDEX($F$403:$AD$403,AA$11-$C415+1))*$D415</f>
        <v>39567.5</v>
      </c>
      <c r="AB415" s="95" cm="1">
        <f t="array" ref="AB415">IF($C415&gt;AB$11,0,INDEX($F$403:$AD$403,AB$11-$C415+1))*$D415</f>
        <v>29675.625</v>
      </c>
      <c r="AC415" s="95" cm="1">
        <f t="array" ref="AC415">IF($C415&gt;AC$11,0,INDEX($F$403:$AD$403,AC$11-$C415+1))*$D415</f>
        <v>19783.75</v>
      </c>
      <c r="AD415" s="95" cm="1">
        <f t="array" ref="AD415">IF($C415&gt;AD$11,0,INDEX($F$403:$AD$403,AD$11-$C415+1))*$D415</f>
        <v>9891.875</v>
      </c>
    </row>
    <row r="416" spans="1:30">
      <c r="A416" s="95"/>
      <c r="B416" s="118">
        <f t="shared" si="102"/>
        <v>3</v>
      </c>
      <c r="C416">
        <f t="shared" si="103"/>
        <v>2033</v>
      </c>
      <c r="D416" s="95" cm="1">
        <f t="array" ref="D416">INDEX($F$14:$AD$16,$B416,MATCH($C416,$F$11:$AD$11,0))*$G$404</f>
        <v>1373700</v>
      </c>
      <c r="E416" s="95"/>
      <c r="F416" s="95" cm="1">
        <f t="array" ref="F416">IF($C416&gt;F$11,0,INDEX($F$403:$AD$403,F$11-$C416+1))*$D416</f>
        <v>0</v>
      </c>
      <c r="G416" s="95" cm="1">
        <f t="array" ref="G416">IF($C416&gt;G$11,0,INDEX($F$403:$AD$403,G$11-$C416+1))*$D416</f>
        <v>0</v>
      </c>
      <c r="H416" s="95" cm="1">
        <f t="array" ref="H416">IF($C416&gt;H$11,0,INDEX($F$403:$AD$403,H$11-$C416+1))*$D416</f>
        <v>0</v>
      </c>
      <c r="I416" s="95" cm="1">
        <f t="array" ref="I416">IF($C416&gt;I$11,0,INDEX($F$403:$AD$403,I$11-$C416+1))*$D416</f>
        <v>0</v>
      </c>
      <c r="J416" s="95" cm="1">
        <f t="array" ref="J416">IF($C416&gt;J$11,0,INDEX($F$403:$AD$403,J$11-$C416+1))*$D416</f>
        <v>0</v>
      </c>
      <c r="K416" s="95" cm="1">
        <f t="array" ref="K416">IF($C416&gt;K$11,0,INDEX($F$403:$AD$403,K$11-$C416+1))*$D416</f>
        <v>0</v>
      </c>
      <c r="L416" s="95" cm="1">
        <f t="array" ref="L416">IF($C416&gt;L$11,0,INDEX($F$403:$AD$403,L$11-$C416+1))*$D416</f>
        <v>0</v>
      </c>
      <c r="M416" s="95" cm="1">
        <f t="array" ref="M416">IF($C416&gt;M$11,0,INDEX($F$403:$AD$403,M$11-$C416+1))*$D416</f>
        <v>0</v>
      </c>
      <c r="N416" s="95" cm="1">
        <f t="array" ref="N416">IF($C416&gt;N$11,0,INDEX($F$403:$AD$403,N$11-$C416+1))*$D416</f>
        <v>0</v>
      </c>
      <c r="O416" s="95" cm="1">
        <f t="array" ref="O416">IF($C416&gt;O$11,0,INDEX($F$403:$AD$403,O$11-$C416+1))*$D416</f>
        <v>0</v>
      </c>
      <c r="P416" s="95" cm="1">
        <f t="array" ref="P416">IF($C416&gt;P$11,0,INDEX($F$403:$AD$403,P$11-$C416+1))*$D416</f>
        <v>0</v>
      </c>
      <c r="Q416" s="95" cm="1">
        <f t="array" ref="Q416">IF($C416&gt;Q$11,0,INDEX($F$403:$AD$403,Q$11-$C416+1))*$D416</f>
        <v>171712.5</v>
      </c>
      <c r="R416" s="95" cm="1">
        <f t="array" ref="R416">IF($C416&gt;R$11,0,INDEX($F$403:$AD$403,R$11-$C416+1))*$D416</f>
        <v>160265</v>
      </c>
      <c r="S416" s="95" cm="1">
        <f t="array" ref="S416">IF($C416&gt;S$11,0,INDEX($F$403:$AD$403,S$11-$C416+1))*$D416</f>
        <v>148817.5</v>
      </c>
      <c r="T416" s="95" cm="1">
        <f t="array" ref="T416">IF($C416&gt;T$11,0,INDEX($F$403:$AD$403,T$11-$C416+1))*$D416</f>
        <v>137370</v>
      </c>
      <c r="U416" s="95" cm="1">
        <f t="array" ref="U416">IF($C416&gt;U$11,0,INDEX($F$403:$AD$403,U$11-$C416+1))*$D416</f>
        <v>125922.49999999999</v>
      </c>
      <c r="V416" s="95" cm="1">
        <f t="array" ref="V416">IF($C416&gt;V$11,0,INDEX($F$403:$AD$403,V$11-$C416+1))*$D416</f>
        <v>114475</v>
      </c>
      <c r="W416" s="95" cm="1">
        <f t="array" ref="W416">IF($C416&gt;W$11,0,INDEX($F$403:$AD$403,W$11-$C416+1))*$D416</f>
        <v>103027.5</v>
      </c>
      <c r="X416" s="95" cm="1">
        <f t="array" ref="X416">IF($C416&gt;X$11,0,INDEX($F$403:$AD$403,X$11-$C416+1))*$D416</f>
        <v>91580</v>
      </c>
      <c r="Y416" s="95" cm="1">
        <f t="array" ref="Y416">IF($C416&gt;Y$11,0,INDEX($F$403:$AD$403,Y$11-$C416+1))*$D416</f>
        <v>80132.5</v>
      </c>
      <c r="Z416" s="95" cm="1">
        <f t="array" ref="Z416">IF($C416&gt;Z$11,0,INDEX($F$403:$AD$403,Z$11-$C416+1))*$D416</f>
        <v>68685</v>
      </c>
      <c r="AA416" s="95" cm="1">
        <f t="array" ref="AA416">IF($C416&gt;AA$11,0,INDEX($F$403:$AD$403,AA$11-$C416+1))*$D416</f>
        <v>57237.5</v>
      </c>
      <c r="AB416" s="95" cm="1">
        <f t="array" ref="AB416">IF($C416&gt;AB$11,0,INDEX($F$403:$AD$403,AB$11-$C416+1))*$D416</f>
        <v>45790</v>
      </c>
      <c r="AC416" s="95" cm="1">
        <f t="array" ref="AC416">IF($C416&gt;AC$11,0,INDEX($F$403:$AD$403,AC$11-$C416+1))*$D416</f>
        <v>34342.5</v>
      </c>
      <c r="AD416" s="95" cm="1">
        <f t="array" ref="AD416">IF($C416&gt;AD$11,0,INDEX($F$403:$AD$403,AD$11-$C416+1))*$D416</f>
        <v>22895</v>
      </c>
    </row>
    <row r="417" spans="1:30">
      <c r="A417" s="95"/>
      <c r="B417" s="118">
        <f t="shared" si="102"/>
        <v>3</v>
      </c>
      <c r="C417">
        <f t="shared" si="103"/>
        <v>2034</v>
      </c>
      <c r="D417" s="95" cm="1">
        <f t="array" ref="D417">INDEX($F$14:$AD$16,$B417,MATCH($C417,$F$11:$AD$11,0))*$G$404</f>
        <v>555750</v>
      </c>
      <c r="E417" s="95"/>
      <c r="F417" s="95" cm="1">
        <f t="array" ref="F417">IF($C417&gt;F$11,0,INDEX($F$403:$AD$403,F$11-$C417+1))*$D417</f>
        <v>0</v>
      </c>
      <c r="G417" s="95" cm="1">
        <f t="array" ref="G417">IF($C417&gt;G$11,0,INDEX($F$403:$AD$403,G$11-$C417+1))*$D417</f>
        <v>0</v>
      </c>
      <c r="H417" s="95" cm="1">
        <f t="array" ref="H417">IF($C417&gt;H$11,0,INDEX($F$403:$AD$403,H$11-$C417+1))*$D417</f>
        <v>0</v>
      </c>
      <c r="I417" s="95" cm="1">
        <f t="array" ref="I417">IF($C417&gt;I$11,0,INDEX($F$403:$AD$403,I$11-$C417+1))*$D417</f>
        <v>0</v>
      </c>
      <c r="J417" s="95" cm="1">
        <f t="array" ref="J417">IF($C417&gt;J$11,0,INDEX($F$403:$AD$403,J$11-$C417+1))*$D417</f>
        <v>0</v>
      </c>
      <c r="K417" s="95" cm="1">
        <f t="array" ref="K417">IF($C417&gt;K$11,0,INDEX($F$403:$AD$403,K$11-$C417+1))*$D417</f>
        <v>0</v>
      </c>
      <c r="L417" s="95" cm="1">
        <f t="array" ref="L417">IF($C417&gt;L$11,0,INDEX($F$403:$AD$403,L$11-$C417+1))*$D417</f>
        <v>0</v>
      </c>
      <c r="M417" s="95" cm="1">
        <f t="array" ref="M417">IF($C417&gt;M$11,0,INDEX($F$403:$AD$403,M$11-$C417+1))*$D417</f>
        <v>0</v>
      </c>
      <c r="N417" s="95" cm="1">
        <f t="array" ref="N417">IF($C417&gt;N$11,0,INDEX($F$403:$AD$403,N$11-$C417+1))*$D417</f>
        <v>0</v>
      </c>
      <c r="O417" s="95" cm="1">
        <f t="array" ref="O417">IF($C417&gt;O$11,0,INDEX($F$403:$AD$403,O$11-$C417+1))*$D417</f>
        <v>0</v>
      </c>
      <c r="P417" s="95" cm="1">
        <f t="array" ref="P417">IF($C417&gt;P$11,0,INDEX($F$403:$AD$403,P$11-$C417+1))*$D417</f>
        <v>0</v>
      </c>
      <c r="Q417" s="95" cm="1">
        <f t="array" ref="Q417">IF($C417&gt;Q$11,0,INDEX($F$403:$AD$403,Q$11-$C417+1))*$D417</f>
        <v>0</v>
      </c>
      <c r="R417" s="95" cm="1">
        <f t="array" ref="R417">IF($C417&gt;R$11,0,INDEX($F$403:$AD$403,R$11-$C417+1))*$D417</f>
        <v>69468.75</v>
      </c>
      <c r="S417" s="95" cm="1">
        <f t="array" ref="S417">IF($C417&gt;S$11,0,INDEX($F$403:$AD$403,S$11-$C417+1))*$D417</f>
        <v>64837.5</v>
      </c>
      <c r="T417" s="95" cm="1">
        <f t="array" ref="T417">IF($C417&gt;T$11,0,INDEX($F$403:$AD$403,T$11-$C417+1))*$D417</f>
        <v>60206.25</v>
      </c>
      <c r="U417" s="95" cm="1">
        <f t="array" ref="U417">IF($C417&gt;U$11,0,INDEX($F$403:$AD$403,U$11-$C417+1))*$D417</f>
        <v>55575</v>
      </c>
      <c r="V417" s="95" cm="1">
        <f t="array" ref="V417">IF($C417&gt;V$11,0,INDEX($F$403:$AD$403,V$11-$C417+1))*$D417</f>
        <v>50943.75</v>
      </c>
      <c r="W417" s="95" cm="1">
        <f t="array" ref="W417">IF($C417&gt;W$11,0,INDEX($F$403:$AD$403,W$11-$C417+1))*$D417</f>
        <v>46312.5</v>
      </c>
      <c r="X417" s="95" cm="1">
        <f t="array" ref="X417">IF($C417&gt;X$11,0,INDEX($F$403:$AD$403,X$11-$C417+1))*$D417</f>
        <v>41681.25</v>
      </c>
      <c r="Y417" s="95" cm="1">
        <f t="array" ref="Y417">IF($C417&gt;Y$11,0,INDEX($F$403:$AD$403,Y$11-$C417+1))*$D417</f>
        <v>37050</v>
      </c>
      <c r="Z417" s="95" cm="1">
        <f t="array" ref="Z417">IF($C417&gt;Z$11,0,INDEX($F$403:$AD$403,Z$11-$C417+1))*$D417</f>
        <v>32418.75</v>
      </c>
      <c r="AA417" s="95" cm="1">
        <f t="array" ref="AA417">IF($C417&gt;AA$11,0,INDEX($F$403:$AD$403,AA$11-$C417+1))*$D417</f>
        <v>27787.5</v>
      </c>
      <c r="AB417" s="95" cm="1">
        <f t="array" ref="AB417">IF($C417&gt;AB$11,0,INDEX($F$403:$AD$403,AB$11-$C417+1))*$D417</f>
        <v>23156.25</v>
      </c>
      <c r="AC417" s="95" cm="1">
        <f t="array" ref="AC417">IF($C417&gt;AC$11,0,INDEX($F$403:$AD$403,AC$11-$C417+1))*$D417</f>
        <v>18525</v>
      </c>
      <c r="AD417" s="95" cm="1">
        <f t="array" ref="AD417">IF($C417&gt;AD$11,0,INDEX($F$403:$AD$403,AD$11-$C417+1))*$D417</f>
        <v>13893.75</v>
      </c>
    </row>
    <row r="418" spans="1:30">
      <c r="A418" s="95"/>
      <c r="B418" s="118">
        <f t="shared" si="102"/>
        <v>3</v>
      </c>
      <c r="C418">
        <f t="shared" si="103"/>
        <v>2035</v>
      </c>
      <c r="D418" s="95" cm="1">
        <f t="array" ref="D418">INDEX($F$14:$AD$16,$B418,MATCH($C418,$F$11:$AD$11,0))*$G$404</f>
        <v>2542200</v>
      </c>
      <c r="E418" s="95"/>
      <c r="F418" s="95" cm="1">
        <f t="array" ref="F418">IF($C418&gt;F$11,0,INDEX($F$403:$AD$403,F$11-$C418+1))*$D418</f>
        <v>0</v>
      </c>
      <c r="G418" s="95" cm="1">
        <f t="array" ref="G418">IF($C418&gt;G$11,0,INDEX($F$403:$AD$403,G$11-$C418+1))*$D418</f>
        <v>0</v>
      </c>
      <c r="H418" s="95" cm="1">
        <f t="array" ref="H418">IF($C418&gt;H$11,0,INDEX($F$403:$AD$403,H$11-$C418+1))*$D418</f>
        <v>0</v>
      </c>
      <c r="I418" s="95" cm="1">
        <f t="array" ref="I418">IF($C418&gt;I$11,0,INDEX($F$403:$AD$403,I$11-$C418+1))*$D418</f>
        <v>0</v>
      </c>
      <c r="J418" s="95" cm="1">
        <f t="array" ref="J418">IF($C418&gt;J$11,0,INDEX($F$403:$AD$403,J$11-$C418+1))*$D418</f>
        <v>0</v>
      </c>
      <c r="K418" s="95" cm="1">
        <f t="array" ref="K418">IF($C418&gt;K$11,0,INDEX($F$403:$AD$403,K$11-$C418+1))*$D418</f>
        <v>0</v>
      </c>
      <c r="L418" s="95" cm="1">
        <f t="array" ref="L418">IF($C418&gt;L$11,0,INDEX($F$403:$AD$403,L$11-$C418+1))*$D418</f>
        <v>0</v>
      </c>
      <c r="M418" s="95" cm="1">
        <f t="array" ref="M418">IF($C418&gt;M$11,0,INDEX($F$403:$AD$403,M$11-$C418+1))*$D418</f>
        <v>0</v>
      </c>
      <c r="N418" s="95" cm="1">
        <f t="array" ref="N418">IF($C418&gt;N$11,0,INDEX($F$403:$AD$403,N$11-$C418+1))*$D418</f>
        <v>0</v>
      </c>
      <c r="O418" s="95" cm="1">
        <f t="array" ref="O418">IF($C418&gt;O$11,0,INDEX($F$403:$AD$403,O$11-$C418+1))*$D418</f>
        <v>0</v>
      </c>
      <c r="P418" s="95" cm="1">
        <f t="array" ref="P418">IF($C418&gt;P$11,0,INDEX($F$403:$AD$403,P$11-$C418+1))*$D418</f>
        <v>0</v>
      </c>
      <c r="Q418" s="95" cm="1">
        <f t="array" ref="Q418">IF($C418&gt;Q$11,0,INDEX($F$403:$AD$403,Q$11-$C418+1))*$D418</f>
        <v>0</v>
      </c>
      <c r="R418" s="95" cm="1">
        <f t="array" ref="R418">IF($C418&gt;R$11,0,INDEX($F$403:$AD$403,R$11-$C418+1))*$D418</f>
        <v>0</v>
      </c>
      <c r="S418" s="95" cm="1">
        <f t="array" ref="S418">IF($C418&gt;S$11,0,INDEX($F$403:$AD$403,S$11-$C418+1))*$D418</f>
        <v>317775</v>
      </c>
      <c r="T418" s="95" cm="1">
        <f t="array" ref="T418">IF($C418&gt;T$11,0,INDEX($F$403:$AD$403,T$11-$C418+1))*$D418</f>
        <v>296590</v>
      </c>
      <c r="U418" s="95" cm="1">
        <f t="array" ref="U418">IF($C418&gt;U$11,0,INDEX($F$403:$AD$403,U$11-$C418+1))*$D418</f>
        <v>275405</v>
      </c>
      <c r="V418" s="95" cm="1">
        <f t="array" ref="V418">IF($C418&gt;V$11,0,INDEX($F$403:$AD$403,V$11-$C418+1))*$D418</f>
        <v>254220</v>
      </c>
      <c r="W418" s="95" cm="1">
        <f t="array" ref="W418">IF($C418&gt;W$11,0,INDEX($F$403:$AD$403,W$11-$C418+1))*$D418</f>
        <v>233034.99999999997</v>
      </c>
      <c r="X418" s="95" cm="1">
        <f t="array" ref="X418">IF($C418&gt;X$11,0,INDEX($F$403:$AD$403,X$11-$C418+1))*$D418</f>
        <v>211850</v>
      </c>
      <c r="Y418" s="95" cm="1">
        <f t="array" ref="Y418">IF($C418&gt;Y$11,0,INDEX($F$403:$AD$403,Y$11-$C418+1))*$D418</f>
        <v>190665</v>
      </c>
      <c r="Z418" s="95" cm="1">
        <f t="array" ref="Z418">IF($C418&gt;Z$11,0,INDEX($F$403:$AD$403,Z$11-$C418+1))*$D418</f>
        <v>169480</v>
      </c>
      <c r="AA418" s="95" cm="1">
        <f t="array" ref="AA418">IF($C418&gt;AA$11,0,INDEX($F$403:$AD$403,AA$11-$C418+1))*$D418</f>
        <v>148295</v>
      </c>
      <c r="AB418" s="95" cm="1">
        <f t="array" ref="AB418">IF($C418&gt;AB$11,0,INDEX($F$403:$AD$403,AB$11-$C418+1))*$D418</f>
        <v>127110</v>
      </c>
      <c r="AC418" s="95" cm="1">
        <f t="array" ref="AC418">IF($C418&gt;AC$11,0,INDEX($F$403:$AD$403,AC$11-$C418+1))*$D418</f>
        <v>105925</v>
      </c>
      <c r="AD418" s="95" cm="1">
        <f t="array" ref="AD418">IF($C418&gt;AD$11,0,INDEX($F$403:$AD$403,AD$11-$C418+1))*$D418</f>
        <v>84740</v>
      </c>
    </row>
    <row r="419" spans="1:30">
      <c r="A419" s="95"/>
      <c r="B419" s="118">
        <f t="shared" si="102"/>
        <v>3</v>
      </c>
      <c r="C419">
        <f t="shared" si="103"/>
        <v>2036</v>
      </c>
      <c r="D419" s="95" cm="1">
        <f t="array" ref="D419">INDEX($F$14:$AD$16,$B419,MATCH($C419,$F$11:$AD$11,0))*$G$404</f>
        <v>1708575</v>
      </c>
      <c r="E419" s="95"/>
      <c r="F419" s="95" cm="1">
        <f t="array" ref="F419">IF($C419&gt;F$11,0,INDEX($F$403:$AD$403,F$11-$C419+1))*$D419</f>
        <v>0</v>
      </c>
      <c r="G419" s="95" cm="1">
        <f t="array" ref="G419">IF($C419&gt;G$11,0,INDEX($F$403:$AD$403,G$11-$C419+1))*$D419</f>
        <v>0</v>
      </c>
      <c r="H419" s="95" cm="1">
        <f t="array" ref="H419">IF($C419&gt;H$11,0,INDEX($F$403:$AD$403,H$11-$C419+1))*$D419</f>
        <v>0</v>
      </c>
      <c r="I419" s="95" cm="1">
        <f t="array" ref="I419">IF($C419&gt;I$11,0,INDEX($F$403:$AD$403,I$11-$C419+1))*$D419</f>
        <v>0</v>
      </c>
      <c r="J419" s="95" cm="1">
        <f t="array" ref="J419">IF($C419&gt;J$11,0,INDEX($F$403:$AD$403,J$11-$C419+1))*$D419</f>
        <v>0</v>
      </c>
      <c r="K419" s="95" cm="1">
        <f t="array" ref="K419">IF($C419&gt;K$11,0,INDEX($F$403:$AD$403,K$11-$C419+1))*$D419</f>
        <v>0</v>
      </c>
      <c r="L419" s="95" cm="1">
        <f t="array" ref="L419">IF($C419&gt;L$11,0,INDEX($F$403:$AD$403,L$11-$C419+1))*$D419</f>
        <v>0</v>
      </c>
      <c r="M419" s="95" cm="1">
        <f t="array" ref="M419">IF($C419&gt;M$11,0,INDEX($F$403:$AD$403,M$11-$C419+1))*$D419</f>
        <v>0</v>
      </c>
      <c r="N419" s="95" cm="1">
        <f t="array" ref="N419">IF($C419&gt;N$11,0,INDEX($F$403:$AD$403,N$11-$C419+1))*$D419</f>
        <v>0</v>
      </c>
      <c r="O419" s="95" cm="1">
        <f t="array" ref="O419">IF($C419&gt;O$11,0,INDEX($F$403:$AD$403,O$11-$C419+1))*$D419</f>
        <v>0</v>
      </c>
      <c r="P419" s="95" cm="1">
        <f t="array" ref="P419">IF($C419&gt;P$11,0,INDEX($F$403:$AD$403,P$11-$C419+1))*$D419</f>
        <v>0</v>
      </c>
      <c r="Q419" s="95" cm="1">
        <f t="array" ref="Q419">IF($C419&gt;Q$11,0,INDEX($F$403:$AD$403,Q$11-$C419+1))*$D419</f>
        <v>0</v>
      </c>
      <c r="R419" s="95" cm="1">
        <f t="array" ref="R419">IF($C419&gt;R$11,0,INDEX($F$403:$AD$403,R$11-$C419+1))*$D419</f>
        <v>0</v>
      </c>
      <c r="S419" s="95" cm="1">
        <f t="array" ref="S419">IF($C419&gt;S$11,0,INDEX($F$403:$AD$403,S$11-$C419+1))*$D419</f>
        <v>0</v>
      </c>
      <c r="T419" s="95" cm="1">
        <f t="array" ref="T419">IF($C419&gt;T$11,0,INDEX($F$403:$AD$403,T$11-$C419+1))*$D419</f>
        <v>213571.875</v>
      </c>
      <c r="U419" s="95" cm="1">
        <f t="array" ref="U419">IF($C419&gt;U$11,0,INDEX($F$403:$AD$403,U$11-$C419+1))*$D419</f>
        <v>199333.75</v>
      </c>
      <c r="V419" s="95" cm="1">
        <f t="array" ref="V419">IF($C419&gt;V$11,0,INDEX($F$403:$AD$403,V$11-$C419+1))*$D419</f>
        <v>185095.625</v>
      </c>
      <c r="W419" s="95" cm="1">
        <f t="array" ref="W419">IF($C419&gt;W$11,0,INDEX($F$403:$AD$403,W$11-$C419+1))*$D419</f>
        <v>170857.5</v>
      </c>
      <c r="X419" s="95" cm="1">
        <f t="array" ref="X419">IF($C419&gt;X$11,0,INDEX($F$403:$AD$403,X$11-$C419+1))*$D419</f>
        <v>156619.375</v>
      </c>
      <c r="Y419" s="95" cm="1">
        <f t="array" ref="Y419">IF($C419&gt;Y$11,0,INDEX($F$403:$AD$403,Y$11-$C419+1))*$D419</f>
        <v>142381.25</v>
      </c>
      <c r="Z419" s="95" cm="1">
        <f t="array" ref="Z419">IF($C419&gt;Z$11,0,INDEX($F$403:$AD$403,Z$11-$C419+1))*$D419</f>
        <v>128143.125</v>
      </c>
      <c r="AA419" s="95" cm="1">
        <f t="array" ref="AA419">IF($C419&gt;AA$11,0,INDEX($F$403:$AD$403,AA$11-$C419+1))*$D419</f>
        <v>113905</v>
      </c>
      <c r="AB419" s="95" cm="1">
        <f t="array" ref="AB419">IF($C419&gt;AB$11,0,INDEX($F$403:$AD$403,AB$11-$C419+1))*$D419</f>
        <v>99666.875</v>
      </c>
      <c r="AC419" s="95" cm="1">
        <f t="array" ref="AC419">IF($C419&gt;AC$11,0,INDEX($F$403:$AD$403,AC$11-$C419+1))*$D419</f>
        <v>85428.75</v>
      </c>
      <c r="AD419" s="95" cm="1">
        <f t="array" ref="AD419">IF($C419&gt;AD$11,0,INDEX($F$403:$AD$403,AD$11-$C419+1))*$D419</f>
        <v>71190.625</v>
      </c>
    </row>
    <row r="420" spans="1:30">
      <c r="A420" s="95"/>
      <c r="B420" s="118">
        <f t="shared" si="102"/>
        <v>3</v>
      </c>
      <c r="C420">
        <f t="shared" si="103"/>
        <v>2037</v>
      </c>
      <c r="D420" s="95" cm="1">
        <f t="array" ref="D420">INDEX($F$14:$AD$16,$B420,MATCH($C420,$F$11:$AD$11,0))*$G$404</f>
        <v>1765575</v>
      </c>
      <c r="E420" s="95"/>
      <c r="F420" s="95" cm="1">
        <f t="array" ref="F420">IF($C420&gt;F$11,0,INDEX($F$403:$AD$403,F$11-$C420+1))*$D420</f>
        <v>0</v>
      </c>
      <c r="G420" s="95" cm="1">
        <f t="array" ref="G420">IF($C420&gt;G$11,0,INDEX($F$403:$AD$403,G$11-$C420+1))*$D420</f>
        <v>0</v>
      </c>
      <c r="H420" s="95" cm="1">
        <f t="array" ref="H420">IF($C420&gt;H$11,0,INDEX($F$403:$AD$403,H$11-$C420+1))*$D420</f>
        <v>0</v>
      </c>
      <c r="I420" s="95" cm="1">
        <f t="array" ref="I420">IF($C420&gt;I$11,0,INDEX($F$403:$AD$403,I$11-$C420+1))*$D420</f>
        <v>0</v>
      </c>
      <c r="J420" s="95" cm="1">
        <f t="array" ref="J420">IF($C420&gt;J$11,0,INDEX($F$403:$AD$403,J$11-$C420+1))*$D420</f>
        <v>0</v>
      </c>
      <c r="K420" s="95" cm="1">
        <f t="array" ref="K420">IF($C420&gt;K$11,0,INDEX($F$403:$AD$403,K$11-$C420+1))*$D420</f>
        <v>0</v>
      </c>
      <c r="L420" s="95" cm="1">
        <f t="array" ref="L420">IF($C420&gt;L$11,0,INDEX($F$403:$AD$403,L$11-$C420+1))*$D420</f>
        <v>0</v>
      </c>
      <c r="M420" s="95" cm="1">
        <f t="array" ref="M420">IF($C420&gt;M$11,0,INDEX($F$403:$AD$403,M$11-$C420+1))*$D420</f>
        <v>0</v>
      </c>
      <c r="N420" s="95" cm="1">
        <f t="array" ref="N420">IF($C420&gt;N$11,0,INDEX($F$403:$AD$403,N$11-$C420+1))*$D420</f>
        <v>0</v>
      </c>
      <c r="O420" s="95" cm="1">
        <f t="array" ref="O420">IF($C420&gt;O$11,0,INDEX($F$403:$AD$403,O$11-$C420+1))*$D420</f>
        <v>0</v>
      </c>
      <c r="P420" s="95" cm="1">
        <f t="array" ref="P420">IF($C420&gt;P$11,0,INDEX($F$403:$AD$403,P$11-$C420+1))*$D420</f>
        <v>0</v>
      </c>
      <c r="Q420" s="95" cm="1">
        <f t="array" ref="Q420">IF($C420&gt;Q$11,0,INDEX($F$403:$AD$403,Q$11-$C420+1))*$D420</f>
        <v>0</v>
      </c>
      <c r="R420" s="95" cm="1">
        <f t="array" ref="R420">IF($C420&gt;R$11,0,INDEX($F$403:$AD$403,R$11-$C420+1))*$D420</f>
        <v>0</v>
      </c>
      <c r="S420" s="95" cm="1">
        <f t="array" ref="S420">IF($C420&gt;S$11,0,INDEX($F$403:$AD$403,S$11-$C420+1))*$D420</f>
        <v>0</v>
      </c>
      <c r="T420" s="95" cm="1">
        <f t="array" ref="T420">IF($C420&gt;T$11,0,INDEX($F$403:$AD$403,T$11-$C420+1))*$D420</f>
        <v>0</v>
      </c>
      <c r="U420" s="95" cm="1">
        <f t="array" ref="U420">IF($C420&gt;U$11,0,INDEX($F$403:$AD$403,U$11-$C420+1))*$D420</f>
        <v>220696.875</v>
      </c>
      <c r="V420" s="95" cm="1">
        <f t="array" ref="V420">IF($C420&gt;V$11,0,INDEX($F$403:$AD$403,V$11-$C420+1))*$D420</f>
        <v>205983.75</v>
      </c>
      <c r="W420" s="95" cm="1">
        <f t="array" ref="W420">IF($C420&gt;W$11,0,INDEX($F$403:$AD$403,W$11-$C420+1))*$D420</f>
        <v>191270.625</v>
      </c>
      <c r="X420" s="95" cm="1">
        <f t="array" ref="X420">IF($C420&gt;X$11,0,INDEX($F$403:$AD$403,X$11-$C420+1))*$D420</f>
        <v>176557.5</v>
      </c>
      <c r="Y420" s="95" cm="1">
        <f t="array" ref="Y420">IF($C420&gt;Y$11,0,INDEX($F$403:$AD$403,Y$11-$C420+1))*$D420</f>
        <v>161844.375</v>
      </c>
      <c r="Z420" s="95" cm="1">
        <f t="array" ref="Z420">IF($C420&gt;Z$11,0,INDEX($F$403:$AD$403,Z$11-$C420+1))*$D420</f>
        <v>147131.25</v>
      </c>
      <c r="AA420" s="95" cm="1">
        <f t="array" ref="AA420">IF($C420&gt;AA$11,0,INDEX($F$403:$AD$403,AA$11-$C420+1))*$D420</f>
        <v>132418.125</v>
      </c>
      <c r="AB420" s="95" cm="1">
        <f t="array" ref="AB420">IF($C420&gt;AB$11,0,INDEX($F$403:$AD$403,AB$11-$C420+1))*$D420</f>
        <v>117705</v>
      </c>
      <c r="AC420" s="95" cm="1">
        <f t="array" ref="AC420">IF($C420&gt;AC$11,0,INDEX($F$403:$AD$403,AC$11-$C420+1))*$D420</f>
        <v>102991.875</v>
      </c>
      <c r="AD420" s="95" cm="1">
        <f t="array" ref="AD420">IF($C420&gt;AD$11,0,INDEX($F$403:$AD$403,AD$11-$C420+1))*$D420</f>
        <v>88278.75</v>
      </c>
    </row>
    <row r="421" spans="1:30">
      <c r="A421" s="95"/>
      <c r="B421" s="118">
        <f t="shared" si="102"/>
        <v>3</v>
      </c>
      <c r="C421">
        <f t="shared" si="103"/>
        <v>2038</v>
      </c>
      <c r="D421" s="95" cm="1">
        <f t="array" ref="D421">INDEX($F$14:$AD$16,$B421,MATCH($C421,$F$11:$AD$11,0))*$G$404</f>
        <v>1487700</v>
      </c>
      <c r="E421" s="95"/>
      <c r="F421" s="95" cm="1">
        <f t="array" ref="F421">IF($C421&gt;F$11,0,INDEX($F$403:$AD$403,F$11-$C421+1))*$D421</f>
        <v>0</v>
      </c>
      <c r="G421" s="95" cm="1">
        <f t="array" ref="G421">IF($C421&gt;G$11,0,INDEX($F$403:$AD$403,G$11-$C421+1))*$D421</f>
        <v>0</v>
      </c>
      <c r="H421" s="95" cm="1">
        <f t="array" ref="H421">IF($C421&gt;H$11,0,INDEX($F$403:$AD$403,H$11-$C421+1))*$D421</f>
        <v>0</v>
      </c>
      <c r="I421" s="95" cm="1">
        <f t="array" ref="I421">IF($C421&gt;I$11,0,INDEX($F$403:$AD$403,I$11-$C421+1))*$D421</f>
        <v>0</v>
      </c>
      <c r="J421" s="95" cm="1">
        <f t="array" ref="J421">IF($C421&gt;J$11,0,INDEX($F$403:$AD$403,J$11-$C421+1))*$D421</f>
        <v>0</v>
      </c>
      <c r="K421" s="95" cm="1">
        <f t="array" ref="K421">IF($C421&gt;K$11,0,INDEX($F$403:$AD$403,K$11-$C421+1))*$D421</f>
        <v>0</v>
      </c>
      <c r="L421" s="95" cm="1">
        <f t="array" ref="L421">IF($C421&gt;L$11,0,INDEX($F$403:$AD$403,L$11-$C421+1))*$D421</f>
        <v>0</v>
      </c>
      <c r="M421" s="95" cm="1">
        <f t="array" ref="M421">IF($C421&gt;M$11,0,INDEX($F$403:$AD$403,M$11-$C421+1))*$D421</f>
        <v>0</v>
      </c>
      <c r="N421" s="95" cm="1">
        <f t="array" ref="N421">IF($C421&gt;N$11,0,INDEX($F$403:$AD$403,N$11-$C421+1))*$D421</f>
        <v>0</v>
      </c>
      <c r="O421" s="95" cm="1">
        <f t="array" ref="O421">IF($C421&gt;O$11,0,INDEX($F$403:$AD$403,O$11-$C421+1))*$D421</f>
        <v>0</v>
      </c>
      <c r="P421" s="95" cm="1">
        <f t="array" ref="P421">IF($C421&gt;P$11,0,INDEX($F$403:$AD$403,P$11-$C421+1))*$D421</f>
        <v>0</v>
      </c>
      <c r="Q421" s="95" cm="1">
        <f t="array" ref="Q421">IF($C421&gt;Q$11,0,INDEX($F$403:$AD$403,Q$11-$C421+1))*$D421</f>
        <v>0</v>
      </c>
      <c r="R421" s="95" cm="1">
        <f t="array" ref="R421">IF($C421&gt;R$11,0,INDEX($F$403:$AD$403,R$11-$C421+1))*$D421</f>
        <v>0</v>
      </c>
      <c r="S421" s="95" cm="1">
        <f t="array" ref="S421">IF($C421&gt;S$11,0,INDEX($F$403:$AD$403,S$11-$C421+1))*$D421</f>
        <v>0</v>
      </c>
      <c r="T421" s="95" cm="1">
        <f t="array" ref="T421">IF($C421&gt;T$11,0,INDEX($F$403:$AD$403,T$11-$C421+1))*$D421</f>
        <v>0</v>
      </c>
      <c r="U421" s="95" cm="1">
        <f t="array" ref="U421">IF($C421&gt;U$11,0,INDEX($F$403:$AD$403,U$11-$C421+1))*$D421</f>
        <v>0</v>
      </c>
      <c r="V421" s="95" cm="1">
        <f t="array" ref="V421">IF($C421&gt;V$11,0,INDEX($F$403:$AD$403,V$11-$C421+1))*$D421</f>
        <v>185962.5</v>
      </c>
      <c r="W421" s="95" cm="1">
        <f t="array" ref="W421">IF($C421&gt;W$11,0,INDEX($F$403:$AD$403,W$11-$C421+1))*$D421</f>
        <v>173565</v>
      </c>
      <c r="X421" s="95" cm="1">
        <f t="array" ref="X421">IF($C421&gt;X$11,0,INDEX($F$403:$AD$403,X$11-$C421+1))*$D421</f>
        <v>161167.5</v>
      </c>
      <c r="Y421" s="95" cm="1">
        <f t="array" ref="Y421">IF($C421&gt;Y$11,0,INDEX($F$403:$AD$403,Y$11-$C421+1))*$D421</f>
        <v>148770</v>
      </c>
      <c r="Z421" s="95" cm="1">
        <f t="array" ref="Z421">IF($C421&gt;Z$11,0,INDEX($F$403:$AD$403,Z$11-$C421+1))*$D421</f>
        <v>136372.5</v>
      </c>
      <c r="AA421" s="95" cm="1">
        <f t="array" ref="AA421">IF($C421&gt;AA$11,0,INDEX($F$403:$AD$403,AA$11-$C421+1))*$D421</f>
        <v>123975</v>
      </c>
      <c r="AB421" s="95" cm="1">
        <f t="array" ref="AB421">IF($C421&gt;AB$11,0,INDEX($F$403:$AD$403,AB$11-$C421+1))*$D421</f>
        <v>111577.5</v>
      </c>
      <c r="AC421" s="95" cm="1">
        <f t="array" ref="AC421">IF($C421&gt;AC$11,0,INDEX($F$403:$AD$403,AC$11-$C421+1))*$D421</f>
        <v>99180</v>
      </c>
      <c r="AD421" s="95" cm="1">
        <f t="array" ref="AD421">IF($C421&gt;AD$11,0,INDEX($F$403:$AD$403,AD$11-$C421+1))*$D421</f>
        <v>86782.5</v>
      </c>
    </row>
    <row r="422" spans="1:30">
      <c r="A422" s="95"/>
      <c r="B422" s="118">
        <f t="shared" si="102"/>
        <v>3</v>
      </c>
      <c r="C422">
        <f t="shared" si="103"/>
        <v>2039</v>
      </c>
      <c r="D422" s="95" cm="1">
        <f t="array" ref="D422">INDEX($F$14:$AD$16,$B422,MATCH($C422,$F$11:$AD$11,0))*$G$404</f>
        <v>1442100</v>
      </c>
      <c r="E422" s="95"/>
      <c r="F422" s="95" cm="1">
        <f t="array" ref="F422">IF($C422&gt;F$11,0,INDEX($F$403:$AD$403,F$11-$C422+1))*$D422</f>
        <v>0</v>
      </c>
      <c r="G422" s="95" cm="1">
        <f t="array" ref="G422">IF($C422&gt;G$11,0,INDEX($F$403:$AD$403,G$11-$C422+1))*$D422</f>
        <v>0</v>
      </c>
      <c r="H422" s="95" cm="1">
        <f t="array" ref="H422">IF($C422&gt;H$11,0,INDEX($F$403:$AD$403,H$11-$C422+1))*$D422</f>
        <v>0</v>
      </c>
      <c r="I422" s="95" cm="1">
        <f t="array" ref="I422">IF($C422&gt;I$11,0,INDEX($F$403:$AD$403,I$11-$C422+1))*$D422</f>
        <v>0</v>
      </c>
      <c r="J422" s="95" cm="1">
        <f t="array" ref="J422">IF($C422&gt;J$11,0,INDEX($F$403:$AD$403,J$11-$C422+1))*$D422</f>
        <v>0</v>
      </c>
      <c r="K422" s="95" cm="1">
        <f t="array" ref="K422">IF($C422&gt;K$11,0,INDEX($F$403:$AD$403,K$11-$C422+1))*$D422</f>
        <v>0</v>
      </c>
      <c r="L422" s="95" cm="1">
        <f t="array" ref="L422">IF($C422&gt;L$11,0,INDEX($F$403:$AD$403,L$11-$C422+1))*$D422</f>
        <v>0</v>
      </c>
      <c r="M422" s="95" cm="1">
        <f t="array" ref="M422">IF($C422&gt;M$11,0,INDEX($F$403:$AD$403,M$11-$C422+1))*$D422</f>
        <v>0</v>
      </c>
      <c r="N422" s="95" cm="1">
        <f t="array" ref="N422">IF($C422&gt;N$11,0,INDEX($F$403:$AD$403,N$11-$C422+1))*$D422</f>
        <v>0</v>
      </c>
      <c r="O422" s="95" cm="1">
        <f t="array" ref="O422">IF($C422&gt;O$11,0,INDEX($F$403:$AD$403,O$11-$C422+1))*$D422</f>
        <v>0</v>
      </c>
      <c r="P422" s="95" cm="1">
        <f t="array" ref="P422">IF($C422&gt;P$11,0,INDEX($F$403:$AD$403,P$11-$C422+1))*$D422</f>
        <v>0</v>
      </c>
      <c r="Q422" s="95" cm="1">
        <f t="array" ref="Q422">IF($C422&gt;Q$11,0,INDEX($F$403:$AD$403,Q$11-$C422+1))*$D422</f>
        <v>0</v>
      </c>
      <c r="R422" s="95" cm="1">
        <f t="array" ref="R422">IF($C422&gt;R$11,0,INDEX($F$403:$AD$403,R$11-$C422+1))*$D422</f>
        <v>0</v>
      </c>
      <c r="S422" s="95" cm="1">
        <f t="array" ref="S422">IF($C422&gt;S$11,0,INDEX($F$403:$AD$403,S$11-$C422+1))*$D422</f>
        <v>0</v>
      </c>
      <c r="T422" s="95" cm="1">
        <f t="array" ref="T422">IF($C422&gt;T$11,0,INDEX($F$403:$AD$403,T$11-$C422+1))*$D422</f>
        <v>0</v>
      </c>
      <c r="U422" s="95" cm="1">
        <f t="array" ref="U422">IF($C422&gt;U$11,0,INDEX($F$403:$AD$403,U$11-$C422+1))*$D422</f>
        <v>0</v>
      </c>
      <c r="V422" s="95" cm="1">
        <f t="array" ref="V422">IF($C422&gt;V$11,0,INDEX($F$403:$AD$403,V$11-$C422+1))*$D422</f>
        <v>0</v>
      </c>
      <c r="W422" s="95" cm="1">
        <f t="array" ref="W422">IF($C422&gt;W$11,0,INDEX($F$403:$AD$403,W$11-$C422+1))*$D422</f>
        <v>180262.5</v>
      </c>
      <c r="X422" s="95" cm="1">
        <f t="array" ref="X422">IF($C422&gt;X$11,0,INDEX($F$403:$AD$403,X$11-$C422+1))*$D422</f>
        <v>168245</v>
      </c>
      <c r="Y422" s="95" cm="1">
        <f t="array" ref="Y422">IF($C422&gt;Y$11,0,INDEX($F$403:$AD$403,Y$11-$C422+1))*$D422</f>
        <v>156227.5</v>
      </c>
      <c r="Z422" s="95" cm="1">
        <f t="array" ref="Z422">IF($C422&gt;Z$11,0,INDEX($F$403:$AD$403,Z$11-$C422+1))*$D422</f>
        <v>144210</v>
      </c>
      <c r="AA422" s="95" cm="1">
        <f t="array" ref="AA422">IF($C422&gt;AA$11,0,INDEX($F$403:$AD$403,AA$11-$C422+1))*$D422</f>
        <v>132192.5</v>
      </c>
      <c r="AB422" s="95" cm="1">
        <f t="array" ref="AB422">IF($C422&gt;AB$11,0,INDEX($F$403:$AD$403,AB$11-$C422+1))*$D422</f>
        <v>120175</v>
      </c>
      <c r="AC422" s="95" cm="1">
        <f t="array" ref="AC422">IF($C422&gt;AC$11,0,INDEX($F$403:$AD$403,AC$11-$C422+1))*$D422</f>
        <v>108157.5</v>
      </c>
      <c r="AD422" s="95" cm="1">
        <f t="array" ref="AD422">IF($C422&gt;AD$11,0,INDEX($F$403:$AD$403,AD$11-$C422+1))*$D422</f>
        <v>96140</v>
      </c>
    </row>
    <row r="423" spans="1:30">
      <c r="A423" s="95"/>
      <c r="B423" s="118">
        <f t="shared" si="102"/>
        <v>3</v>
      </c>
      <c r="C423">
        <f t="shared" si="103"/>
        <v>2040</v>
      </c>
      <c r="D423" s="95" cm="1">
        <f t="array" ref="D423">INDEX($F$14:$AD$16,$B423,MATCH($C423,$F$11:$AD$11,0))*$G$404</f>
        <v>471675</v>
      </c>
      <c r="E423" s="95"/>
      <c r="F423" s="95" cm="1">
        <f t="array" ref="F423">IF($C423&gt;F$11,0,INDEX($F$403:$AD$403,F$11-$C423+1))*$D423</f>
        <v>0</v>
      </c>
      <c r="G423" s="95" cm="1">
        <f t="array" ref="G423">IF($C423&gt;G$11,0,INDEX($F$403:$AD$403,G$11-$C423+1))*$D423</f>
        <v>0</v>
      </c>
      <c r="H423" s="95" cm="1">
        <f t="array" ref="H423">IF($C423&gt;H$11,0,INDEX($F$403:$AD$403,H$11-$C423+1))*$D423</f>
        <v>0</v>
      </c>
      <c r="I423" s="95" cm="1">
        <f t="array" ref="I423">IF($C423&gt;I$11,0,INDEX($F$403:$AD$403,I$11-$C423+1))*$D423</f>
        <v>0</v>
      </c>
      <c r="J423" s="95" cm="1">
        <f t="array" ref="J423">IF($C423&gt;J$11,0,INDEX($F$403:$AD$403,J$11-$C423+1))*$D423</f>
        <v>0</v>
      </c>
      <c r="K423" s="95" cm="1">
        <f t="array" ref="K423">IF($C423&gt;K$11,0,INDEX($F$403:$AD$403,K$11-$C423+1))*$D423</f>
        <v>0</v>
      </c>
      <c r="L423" s="95" cm="1">
        <f t="array" ref="L423">IF($C423&gt;L$11,0,INDEX($F$403:$AD$403,L$11-$C423+1))*$D423</f>
        <v>0</v>
      </c>
      <c r="M423" s="95" cm="1">
        <f t="array" ref="M423">IF($C423&gt;M$11,0,INDEX($F$403:$AD$403,M$11-$C423+1))*$D423</f>
        <v>0</v>
      </c>
      <c r="N423" s="95" cm="1">
        <f t="array" ref="N423">IF($C423&gt;N$11,0,INDEX($F$403:$AD$403,N$11-$C423+1))*$D423</f>
        <v>0</v>
      </c>
      <c r="O423" s="95" cm="1">
        <f t="array" ref="O423">IF($C423&gt;O$11,0,INDEX($F$403:$AD$403,O$11-$C423+1))*$D423</f>
        <v>0</v>
      </c>
      <c r="P423" s="95" cm="1">
        <f t="array" ref="P423">IF($C423&gt;P$11,0,INDEX($F$403:$AD$403,P$11-$C423+1))*$D423</f>
        <v>0</v>
      </c>
      <c r="Q423" s="95" cm="1">
        <f t="array" ref="Q423">IF($C423&gt;Q$11,0,INDEX($F$403:$AD$403,Q$11-$C423+1))*$D423</f>
        <v>0</v>
      </c>
      <c r="R423" s="95" cm="1">
        <f t="array" ref="R423">IF($C423&gt;R$11,0,INDEX($F$403:$AD$403,R$11-$C423+1))*$D423</f>
        <v>0</v>
      </c>
      <c r="S423" s="95" cm="1">
        <f t="array" ref="S423">IF($C423&gt;S$11,0,INDEX($F$403:$AD$403,S$11-$C423+1))*$D423</f>
        <v>0</v>
      </c>
      <c r="T423" s="95" cm="1">
        <f t="array" ref="T423">IF($C423&gt;T$11,0,INDEX($F$403:$AD$403,T$11-$C423+1))*$D423</f>
        <v>0</v>
      </c>
      <c r="U423" s="95" cm="1">
        <f t="array" ref="U423">IF($C423&gt;U$11,0,INDEX($F$403:$AD$403,U$11-$C423+1))*$D423</f>
        <v>0</v>
      </c>
      <c r="V423" s="95" cm="1">
        <f t="array" ref="V423">IF($C423&gt;V$11,0,INDEX($F$403:$AD$403,V$11-$C423+1))*$D423</f>
        <v>0</v>
      </c>
      <c r="W423" s="95" cm="1">
        <f t="array" ref="W423">IF($C423&gt;W$11,0,INDEX($F$403:$AD$403,W$11-$C423+1))*$D423</f>
        <v>0</v>
      </c>
      <c r="X423" s="95" cm="1">
        <f t="array" ref="X423">IF($C423&gt;X$11,0,INDEX($F$403:$AD$403,X$11-$C423+1))*$D423</f>
        <v>58959.375</v>
      </c>
      <c r="Y423" s="95" cm="1">
        <f t="array" ref="Y423">IF($C423&gt;Y$11,0,INDEX($F$403:$AD$403,Y$11-$C423+1))*$D423</f>
        <v>55028.75</v>
      </c>
      <c r="Z423" s="95" cm="1">
        <f t="array" ref="Z423">IF($C423&gt;Z$11,0,INDEX($F$403:$AD$403,Z$11-$C423+1))*$D423</f>
        <v>51098.125</v>
      </c>
      <c r="AA423" s="95" cm="1">
        <f t="array" ref="AA423">IF($C423&gt;AA$11,0,INDEX($F$403:$AD$403,AA$11-$C423+1))*$D423</f>
        <v>47167.5</v>
      </c>
      <c r="AB423" s="95" cm="1">
        <f t="array" ref="AB423">IF($C423&gt;AB$11,0,INDEX($F$403:$AD$403,AB$11-$C423+1))*$D423</f>
        <v>43236.875</v>
      </c>
      <c r="AC423" s="95" cm="1">
        <f t="array" ref="AC423">IF($C423&gt;AC$11,0,INDEX($F$403:$AD$403,AC$11-$C423+1))*$D423</f>
        <v>39306.25</v>
      </c>
      <c r="AD423" s="95" cm="1">
        <f t="array" ref="AD423">IF($C423&gt;AD$11,0,INDEX($F$403:$AD$403,AD$11-$C423+1))*$D423</f>
        <v>35375.625</v>
      </c>
    </row>
    <row r="424" spans="1:30">
      <c r="A424" s="95"/>
      <c r="B424" s="118">
        <f t="shared" si="102"/>
        <v>3</v>
      </c>
      <c r="C424">
        <f t="shared" si="103"/>
        <v>2041</v>
      </c>
      <c r="D424" s="95" cm="1">
        <f t="array" ref="D424">INDEX($F$14:$AD$16,$B424,MATCH($C424,$F$11:$AD$11,0))*$G$404</f>
        <v>548625</v>
      </c>
      <c r="E424" s="95"/>
      <c r="F424" s="95" cm="1">
        <f t="array" ref="F424">IF($C424&gt;F$11,0,INDEX($F$403:$AD$403,F$11-$C424+1))*$D424</f>
        <v>0</v>
      </c>
      <c r="G424" s="95" cm="1">
        <f t="array" ref="G424">IF($C424&gt;G$11,0,INDEX($F$403:$AD$403,G$11-$C424+1))*$D424</f>
        <v>0</v>
      </c>
      <c r="H424" s="95" cm="1">
        <f t="array" ref="H424">IF($C424&gt;H$11,0,INDEX($F$403:$AD$403,H$11-$C424+1))*$D424</f>
        <v>0</v>
      </c>
      <c r="I424" s="95" cm="1">
        <f t="array" ref="I424">IF($C424&gt;I$11,0,INDEX($F$403:$AD$403,I$11-$C424+1))*$D424</f>
        <v>0</v>
      </c>
      <c r="J424" s="95" cm="1">
        <f t="array" ref="J424">IF($C424&gt;J$11,0,INDEX($F$403:$AD$403,J$11-$C424+1))*$D424</f>
        <v>0</v>
      </c>
      <c r="K424" s="95" cm="1">
        <f t="array" ref="K424">IF($C424&gt;K$11,0,INDEX($F$403:$AD$403,K$11-$C424+1))*$D424</f>
        <v>0</v>
      </c>
      <c r="L424" s="95" cm="1">
        <f t="array" ref="L424">IF($C424&gt;L$11,0,INDEX($F$403:$AD$403,L$11-$C424+1))*$D424</f>
        <v>0</v>
      </c>
      <c r="M424" s="95" cm="1">
        <f t="array" ref="M424">IF($C424&gt;M$11,0,INDEX($F$403:$AD$403,M$11-$C424+1))*$D424</f>
        <v>0</v>
      </c>
      <c r="N424" s="95" cm="1">
        <f t="array" ref="N424">IF($C424&gt;N$11,0,INDEX($F$403:$AD$403,N$11-$C424+1))*$D424</f>
        <v>0</v>
      </c>
      <c r="O424" s="95" cm="1">
        <f t="array" ref="O424">IF($C424&gt;O$11,0,INDEX($F$403:$AD$403,O$11-$C424+1))*$D424</f>
        <v>0</v>
      </c>
      <c r="P424" s="95" cm="1">
        <f t="array" ref="P424">IF($C424&gt;P$11,0,INDEX($F$403:$AD$403,P$11-$C424+1))*$D424</f>
        <v>0</v>
      </c>
      <c r="Q424" s="95" cm="1">
        <f t="array" ref="Q424">IF($C424&gt;Q$11,0,INDEX($F$403:$AD$403,Q$11-$C424+1))*$D424</f>
        <v>0</v>
      </c>
      <c r="R424" s="95" cm="1">
        <f t="array" ref="R424">IF($C424&gt;R$11,0,INDEX($F$403:$AD$403,R$11-$C424+1))*$D424</f>
        <v>0</v>
      </c>
      <c r="S424" s="95" cm="1">
        <f t="array" ref="S424">IF($C424&gt;S$11,0,INDEX($F$403:$AD$403,S$11-$C424+1))*$D424</f>
        <v>0</v>
      </c>
      <c r="T424" s="95" cm="1">
        <f t="array" ref="T424">IF($C424&gt;T$11,0,INDEX($F$403:$AD$403,T$11-$C424+1))*$D424</f>
        <v>0</v>
      </c>
      <c r="U424" s="95" cm="1">
        <f t="array" ref="U424">IF($C424&gt;U$11,0,INDEX($F$403:$AD$403,U$11-$C424+1))*$D424</f>
        <v>0</v>
      </c>
      <c r="V424" s="95" cm="1">
        <f t="array" ref="V424">IF($C424&gt;V$11,0,INDEX($F$403:$AD$403,V$11-$C424+1))*$D424</f>
        <v>0</v>
      </c>
      <c r="W424" s="95" cm="1">
        <f t="array" ref="W424">IF($C424&gt;W$11,0,INDEX($F$403:$AD$403,W$11-$C424+1))*$D424</f>
        <v>0</v>
      </c>
      <c r="X424" s="95" cm="1">
        <f t="array" ref="X424">IF($C424&gt;X$11,0,INDEX($F$403:$AD$403,X$11-$C424+1))*$D424</f>
        <v>0</v>
      </c>
      <c r="Y424" s="95" cm="1">
        <f t="array" ref="Y424">IF($C424&gt;Y$11,0,INDEX($F$403:$AD$403,Y$11-$C424+1))*$D424</f>
        <v>68578.125</v>
      </c>
      <c r="Z424" s="95" cm="1">
        <f t="array" ref="Z424">IF($C424&gt;Z$11,0,INDEX($F$403:$AD$403,Z$11-$C424+1))*$D424</f>
        <v>64006.25</v>
      </c>
      <c r="AA424" s="95" cm="1">
        <f t="array" ref="AA424">IF($C424&gt;AA$11,0,INDEX($F$403:$AD$403,AA$11-$C424+1))*$D424</f>
        <v>59434.375</v>
      </c>
      <c r="AB424" s="95" cm="1">
        <f t="array" ref="AB424">IF($C424&gt;AB$11,0,INDEX($F$403:$AD$403,AB$11-$C424+1))*$D424</f>
        <v>54862.5</v>
      </c>
      <c r="AC424" s="95" cm="1">
        <f t="array" ref="AC424">IF($C424&gt;AC$11,0,INDEX($F$403:$AD$403,AC$11-$C424+1))*$D424</f>
        <v>50290.625</v>
      </c>
      <c r="AD424" s="95" cm="1">
        <f t="array" ref="AD424">IF($C424&gt;AD$11,0,INDEX($F$403:$AD$403,AD$11-$C424+1))*$D424</f>
        <v>45718.75</v>
      </c>
    </row>
    <row r="425" spans="1:30">
      <c r="A425" s="95"/>
      <c r="B425" s="118">
        <f t="shared" si="102"/>
        <v>3</v>
      </c>
      <c r="C425">
        <f t="shared" si="103"/>
        <v>2042</v>
      </c>
      <c r="D425" s="95" cm="1">
        <f t="array" ref="D425">INDEX($F$14:$AD$16,$B425,MATCH($C425,$F$11:$AD$11,0))*$G$404</f>
        <v>1660125</v>
      </c>
      <c r="E425" s="95"/>
      <c r="F425" s="95" cm="1">
        <f t="array" ref="F425">IF($C425&gt;F$11,0,INDEX($F$403:$AD$403,F$11-$C425+1))*$D425</f>
        <v>0</v>
      </c>
      <c r="G425" s="95" cm="1">
        <f t="array" ref="G425">IF($C425&gt;G$11,0,INDEX($F$403:$AD$403,G$11-$C425+1))*$D425</f>
        <v>0</v>
      </c>
      <c r="H425" s="95" cm="1">
        <f t="array" ref="H425">IF($C425&gt;H$11,0,INDEX($F$403:$AD$403,H$11-$C425+1))*$D425</f>
        <v>0</v>
      </c>
      <c r="I425" s="95" cm="1">
        <f t="array" ref="I425">IF($C425&gt;I$11,0,INDEX($F$403:$AD$403,I$11-$C425+1))*$D425</f>
        <v>0</v>
      </c>
      <c r="J425" s="95" cm="1">
        <f t="array" ref="J425">IF($C425&gt;J$11,0,INDEX($F$403:$AD$403,J$11-$C425+1))*$D425</f>
        <v>0</v>
      </c>
      <c r="K425" s="95" cm="1">
        <f t="array" ref="K425">IF($C425&gt;K$11,0,INDEX($F$403:$AD$403,K$11-$C425+1))*$D425</f>
        <v>0</v>
      </c>
      <c r="L425" s="95" cm="1">
        <f t="array" ref="L425">IF($C425&gt;L$11,0,INDEX($F$403:$AD$403,L$11-$C425+1))*$D425</f>
        <v>0</v>
      </c>
      <c r="M425" s="95" cm="1">
        <f t="array" ref="M425">IF($C425&gt;M$11,0,INDEX($F$403:$AD$403,M$11-$C425+1))*$D425</f>
        <v>0</v>
      </c>
      <c r="N425" s="95" cm="1">
        <f t="array" ref="N425">IF($C425&gt;N$11,0,INDEX($F$403:$AD$403,N$11-$C425+1))*$D425</f>
        <v>0</v>
      </c>
      <c r="O425" s="95" cm="1">
        <f t="array" ref="O425">IF($C425&gt;O$11,0,INDEX($F$403:$AD$403,O$11-$C425+1))*$D425</f>
        <v>0</v>
      </c>
      <c r="P425" s="95" cm="1">
        <f t="array" ref="P425">IF($C425&gt;P$11,0,INDEX($F$403:$AD$403,P$11-$C425+1))*$D425</f>
        <v>0</v>
      </c>
      <c r="Q425" s="95" cm="1">
        <f t="array" ref="Q425">IF($C425&gt;Q$11,0,INDEX($F$403:$AD$403,Q$11-$C425+1))*$D425</f>
        <v>0</v>
      </c>
      <c r="R425" s="95" cm="1">
        <f t="array" ref="R425">IF($C425&gt;R$11,0,INDEX($F$403:$AD$403,R$11-$C425+1))*$D425</f>
        <v>0</v>
      </c>
      <c r="S425" s="95" cm="1">
        <f t="array" ref="S425">IF($C425&gt;S$11,0,INDEX($F$403:$AD$403,S$11-$C425+1))*$D425</f>
        <v>0</v>
      </c>
      <c r="T425" s="95" cm="1">
        <f t="array" ref="T425">IF($C425&gt;T$11,0,INDEX($F$403:$AD$403,T$11-$C425+1))*$D425</f>
        <v>0</v>
      </c>
      <c r="U425" s="95" cm="1">
        <f t="array" ref="U425">IF($C425&gt;U$11,0,INDEX($F$403:$AD$403,U$11-$C425+1))*$D425</f>
        <v>0</v>
      </c>
      <c r="V425" s="95" cm="1">
        <f t="array" ref="V425">IF($C425&gt;V$11,0,INDEX($F$403:$AD$403,V$11-$C425+1))*$D425</f>
        <v>0</v>
      </c>
      <c r="W425" s="95" cm="1">
        <f t="array" ref="W425">IF($C425&gt;W$11,0,INDEX($F$403:$AD$403,W$11-$C425+1))*$D425</f>
        <v>0</v>
      </c>
      <c r="X425" s="95" cm="1">
        <f t="array" ref="X425">IF($C425&gt;X$11,0,INDEX($F$403:$AD$403,X$11-$C425+1))*$D425</f>
        <v>0</v>
      </c>
      <c r="Y425" s="95" cm="1">
        <f t="array" ref="Y425">IF($C425&gt;Y$11,0,INDEX($F$403:$AD$403,Y$11-$C425+1))*$D425</f>
        <v>0</v>
      </c>
      <c r="Z425" s="95" cm="1">
        <f t="array" ref="Z425">IF($C425&gt;Z$11,0,INDEX($F$403:$AD$403,Z$11-$C425+1))*$D425</f>
        <v>207515.625</v>
      </c>
      <c r="AA425" s="95" cm="1">
        <f t="array" ref="AA425">IF($C425&gt;AA$11,0,INDEX($F$403:$AD$403,AA$11-$C425+1))*$D425</f>
        <v>193681.25</v>
      </c>
      <c r="AB425" s="95" cm="1">
        <f t="array" ref="AB425">IF($C425&gt;AB$11,0,INDEX($F$403:$AD$403,AB$11-$C425+1))*$D425</f>
        <v>179846.875</v>
      </c>
      <c r="AC425" s="95" cm="1">
        <f t="array" ref="AC425">IF($C425&gt;AC$11,0,INDEX($F$403:$AD$403,AC$11-$C425+1))*$D425</f>
        <v>166012.5</v>
      </c>
      <c r="AD425" s="95" cm="1">
        <f t="array" ref="AD425">IF($C425&gt;AD$11,0,INDEX($F$403:$AD$403,AD$11-$C425+1))*$D425</f>
        <v>152178.125</v>
      </c>
    </row>
    <row r="426" spans="1:30">
      <c r="A426" s="95"/>
      <c r="B426" s="118">
        <f t="shared" si="102"/>
        <v>3</v>
      </c>
      <c r="C426">
        <f t="shared" si="103"/>
        <v>2043</v>
      </c>
      <c r="D426" s="95" cm="1">
        <f t="array" ref="D426">INDEX($F$14:$AD$16,$B426,MATCH($C426,$F$11:$AD$11,0))*$G$404</f>
        <v>1376550</v>
      </c>
      <c r="E426" s="95"/>
      <c r="F426" s="95" cm="1">
        <f t="array" ref="F426">IF($C426&gt;F$11,0,INDEX($F$403:$AD$403,F$11-$C426+1))*$D426</f>
        <v>0</v>
      </c>
      <c r="G426" s="95" cm="1">
        <f t="array" ref="G426">IF($C426&gt;G$11,0,INDEX($F$403:$AD$403,G$11-$C426+1))*$D426</f>
        <v>0</v>
      </c>
      <c r="H426" s="95" cm="1">
        <f t="array" ref="H426">IF($C426&gt;H$11,0,INDEX($F$403:$AD$403,H$11-$C426+1))*$D426</f>
        <v>0</v>
      </c>
      <c r="I426" s="95" cm="1">
        <f t="array" ref="I426">IF($C426&gt;I$11,0,INDEX($F$403:$AD$403,I$11-$C426+1))*$D426</f>
        <v>0</v>
      </c>
      <c r="J426" s="95" cm="1">
        <f t="array" ref="J426">IF($C426&gt;J$11,0,INDEX($F$403:$AD$403,J$11-$C426+1))*$D426</f>
        <v>0</v>
      </c>
      <c r="K426" s="95" cm="1">
        <f t="array" ref="K426">IF($C426&gt;K$11,0,INDEX($F$403:$AD$403,K$11-$C426+1))*$D426</f>
        <v>0</v>
      </c>
      <c r="L426" s="95" cm="1">
        <f t="array" ref="L426">IF($C426&gt;L$11,0,INDEX($F$403:$AD$403,L$11-$C426+1))*$D426</f>
        <v>0</v>
      </c>
      <c r="M426" s="95" cm="1">
        <f t="array" ref="M426">IF($C426&gt;M$11,0,INDEX($F$403:$AD$403,M$11-$C426+1))*$D426</f>
        <v>0</v>
      </c>
      <c r="N426" s="95" cm="1">
        <f t="array" ref="N426">IF($C426&gt;N$11,0,INDEX($F$403:$AD$403,N$11-$C426+1))*$D426</f>
        <v>0</v>
      </c>
      <c r="O426" s="95" cm="1">
        <f t="array" ref="O426">IF($C426&gt;O$11,0,INDEX($F$403:$AD$403,O$11-$C426+1))*$D426</f>
        <v>0</v>
      </c>
      <c r="P426" s="95" cm="1">
        <f t="array" ref="P426">IF($C426&gt;P$11,0,INDEX($F$403:$AD$403,P$11-$C426+1))*$D426</f>
        <v>0</v>
      </c>
      <c r="Q426" s="95" cm="1">
        <f t="array" ref="Q426">IF($C426&gt;Q$11,0,INDEX($F$403:$AD$403,Q$11-$C426+1))*$D426</f>
        <v>0</v>
      </c>
      <c r="R426" s="95" cm="1">
        <f t="array" ref="R426">IF($C426&gt;R$11,0,INDEX($F$403:$AD$403,R$11-$C426+1))*$D426</f>
        <v>0</v>
      </c>
      <c r="S426" s="95" cm="1">
        <f t="array" ref="S426">IF($C426&gt;S$11,0,INDEX($F$403:$AD$403,S$11-$C426+1))*$D426</f>
        <v>0</v>
      </c>
      <c r="T426" s="95" cm="1">
        <f t="array" ref="T426">IF($C426&gt;T$11,0,INDEX($F$403:$AD$403,T$11-$C426+1))*$D426</f>
        <v>0</v>
      </c>
      <c r="U426" s="95" cm="1">
        <f t="array" ref="U426">IF($C426&gt;U$11,0,INDEX($F$403:$AD$403,U$11-$C426+1))*$D426</f>
        <v>0</v>
      </c>
      <c r="V426" s="95" cm="1">
        <f t="array" ref="V426">IF($C426&gt;V$11,0,INDEX($F$403:$AD$403,V$11-$C426+1))*$D426</f>
        <v>0</v>
      </c>
      <c r="W426" s="95" cm="1">
        <f t="array" ref="W426">IF($C426&gt;W$11,0,INDEX($F$403:$AD$403,W$11-$C426+1))*$D426</f>
        <v>0</v>
      </c>
      <c r="X426" s="95" cm="1">
        <f t="array" ref="X426">IF($C426&gt;X$11,0,INDEX($F$403:$AD$403,X$11-$C426+1))*$D426</f>
        <v>0</v>
      </c>
      <c r="Y426" s="95" cm="1">
        <f t="array" ref="Y426">IF($C426&gt;Y$11,0,INDEX($F$403:$AD$403,Y$11-$C426+1))*$D426</f>
        <v>0</v>
      </c>
      <c r="Z426" s="95" cm="1">
        <f t="array" ref="Z426">IF($C426&gt;Z$11,0,INDEX($F$403:$AD$403,Z$11-$C426+1))*$D426</f>
        <v>0</v>
      </c>
      <c r="AA426" s="95" cm="1">
        <f t="array" ref="AA426">IF($C426&gt;AA$11,0,INDEX($F$403:$AD$403,AA$11-$C426+1))*$D426</f>
        <v>172068.75</v>
      </c>
      <c r="AB426" s="95" cm="1">
        <f t="array" ref="AB426">IF($C426&gt;AB$11,0,INDEX($F$403:$AD$403,AB$11-$C426+1))*$D426</f>
        <v>160597.5</v>
      </c>
      <c r="AC426" s="95" cm="1">
        <f t="array" ref="AC426">IF($C426&gt;AC$11,0,INDEX($F$403:$AD$403,AC$11-$C426+1))*$D426</f>
        <v>149126.25</v>
      </c>
      <c r="AD426" s="95" cm="1">
        <f t="array" ref="AD426">IF($C426&gt;AD$11,0,INDEX($F$403:$AD$403,AD$11-$C426+1))*$D426</f>
        <v>137655</v>
      </c>
    </row>
    <row r="427" spans="1:30">
      <c r="A427" s="95"/>
      <c r="B427" s="118">
        <f t="shared" si="102"/>
        <v>3</v>
      </c>
      <c r="C427">
        <f t="shared" si="103"/>
        <v>2044</v>
      </c>
      <c r="D427" s="95" cm="1">
        <f t="array" ref="D427">INDEX($F$14:$AD$16,$B427,MATCH($C427,$F$11:$AD$11,0))*$G$404</f>
        <v>676875</v>
      </c>
      <c r="E427" s="95"/>
      <c r="F427" s="95" cm="1">
        <f t="array" ref="F427">IF($C427&gt;F$11,0,INDEX($F$403:$AD$403,F$11-$C427+1))*$D427</f>
        <v>0</v>
      </c>
      <c r="G427" s="95" cm="1">
        <f t="array" ref="G427">IF($C427&gt;G$11,0,INDEX($F$403:$AD$403,G$11-$C427+1))*$D427</f>
        <v>0</v>
      </c>
      <c r="H427" s="95" cm="1">
        <f t="array" ref="H427">IF($C427&gt;H$11,0,INDEX($F$403:$AD$403,H$11-$C427+1))*$D427</f>
        <v>0</v>
      </c>
      <c r="I427" s="95" cm="1">
        <f t="array" ref="I427">IF($C427&gt;I$11,0,INDEX($F$403:$AD$403,I$11-$C427+1))*$D427</f>
        <v>0</v>
      </c>
      <c r="J427" s="95" cm="1">
        <f t="array" ref="J427">IF($C427&gt;J$11,0,INDEX($F$403:$AD$403,J$11-$C427+1))*$D427</f>
        <v>0</v>
      </c>
      <c r="K427" s="95" cm="1">
        <f t="array" ref="K427">IF($C427&gt;K$11,0,INDEX($F$403:$AD$403,K$11-$C427+1))*$D427</f>
        <v>0</v>
      </c>
      <c r="L427" s="95" cm="1">
        <f t="array" ref="L427">IF($C427&gt;L$11,0,INDEX($F$403:$AD$403,L$11-$C427+1))*$D427</f>
        <v>0</v>
      </c>
      <c r="M427" s="95" cm="1">
        <f t="array" ref="M427">IF($C427&gt;M$11,0,INDEX($F$403:$AD$403,M$11-$C427+1))*$D427</f>
        <v>0</v>
      </c>
      <c r="N427" s="95" cm="1">
        <f t="array" ref="N427">IF($C427&gt;N$11,0,INDEX($F$403:$AD$403,N$11-$C427+1))*$D427</f>
        <v>0</v>
      </c>
      <c r="O427" s="95" cm="1">
        <f t="array" ref="O427">IF($C427&gt;O$11,0,INDEX($F$403:$AD$403,O$11-$C427+1))*$D427</f>
        <v>0</v>
      </c>
      <c r="P427" s="95" cm="1">
        <f t="array" ref="P427">IF($C427&gt;P$11,0,INDEX($F$403:$AD$403,P$11-$C427+1))*$D427</f>
        <v>0</v>
      </c>
      <c r="Q427" s="95" cm="1">
        <f t="array" ref="Q427">IF($C427&gt;Q$11,0,INDEX($F$403:$AD$403,Q$11-$C427+1))*$D427</f>
        <v>0</v>
      </c>
      <c r="R427" s="95" cm="1">
        <f t="array" ref="R427">IF($C427&gt;R$11,0,INDEX($F$403:$AD$403,R$11-$C427+1))*$D427</f>
        <v>0</v>
      </c>
      <c r="S427" s="95" cm="1">
        <f t="array" ref="S427">IF($C427&gt;S$11,0,INDEX($F$403:$AD$403,S$11-$C427+1))*$D427</f>
        <v>0</v>
      </c>
      <c r="T427" s="95" cm="1">
        <f t="array" ref="T427">IF($C427&gt;T$11,0,INDEX($F$403:$AD$403,T$11-$C427+1))*$D427</f>
        <v>0</v>
      </c>
      <c r="U427" s="95" cm="1">
        <f t="array" ref="U427">IF($C427&gt;U$11,0,INDEX($F$403:$AD$403,U$11-$C427+1))*$D427</f>
        <v>0</v>
      </c>
      <c r="V427" s="95" cm="1">
        <f t="array" ref="V427">IF($C427&gt;V$11,0,INDEX($F$403:$AD$403,V$11-$C427+1))*$D427</f>
        <v>0</v>
      </c>
      <c r="W427" s="95" cm="1">
        <f t="array" ref="W427">IF($C427&gt;W$11,0,INDEX($F$403:$AD$403,W$11-$C427+1))*$D427</f>
        <v>0</v>
      </c>
      <c r="X427" s="95" cm="1">
        <f t="array" ref="X427">IF($C427&gt;X$11,0,INDEX($F$403:$AD$403,X$11-$C427+1))*$D427</f>
        <v>0</v>
      </c>
      <c r="Y427" s="95" cm="1">
        <f t="array" ref="Y427">IF($C427&gt;Y$11,0,INDEX($F$403:$AD$403,Y$11-$C427+1))*$D427</f>
        <v>0</v>
      </c>
      <c r="Z427" s="95" cm="1">
        <f t="array" ref="Z427">IF($C427&gt;Z$11,0,INDEX($F$403:$AD$403,Z$11-$C427+1))*$D427</f>
        <v>0</v>
      </c>
      <c r="AA427" s="95" cm="1">
        <f t="array" ref="AA427">IF($C427&gt;AA$11,0,INDEX($F$403:$AD$403,AA$11-$C427+1))*$D427</f>
        <v>0</v>
      </c>
      <c r="AB427" s="95" cm="1">
        <f t="array" ref="AB427">IF($C427&gt;AB$11,0,INDEX($F$403:$AD$403,AB$11-$C427+1))*$D427</f>
        <v>84609.375</v>
      </c>
      <c r="AC427" s="95" cm="1">
        <f t="array" ref="AC427">IF($C427&gt;AC$11,0,INDEX($F$403:$AD$403,AC$11-$C427+1))*$D427</f>
        <v>78968.75</v>
      </c>
      <c r="AD427" s="95" cm="1">
        <f t="array" ref="AD427">IF($C427&gt;AD$11,0,INDEX($F$403:$AD$403,AD$11-$C427+1))*$D427</f>
        <v>73328.125</v>
      </c>
    </row>
    <row r="428" spans="1:30">
      <c r="A428" s="95"/>
      <c r="B428" s="118">
        <f t="shared" si="102"/>
        <v>3</v>
      </c>
      <c r="C428">
        <f t="shared" si="103"/>
        <v>2045</v>
      </c>
      <c r="D428" s="95" cm="1">
        <f t="array" ref="D428">INDEX($F$14:$AD$16,$B428,MATCH($C428,$F$11:$AD$11,0))*$G$404</f>
        <v>1768425</v>
      </c>
      <c r="E428" s="95"/>
      <c r="F428" s="95" cm="1">
        <f t="array" ref="F428">IF($C428&gt;F$11,0,INDEX($F$403:$AD$403,F$11-$C428+1))*$D428</f>
        <v>0</v>
      </c>
      <c r="G428" s="95" cm="1">
        <f t="array" ref="G428">IF($C428&gt;G$11,0,INDEX($F$403:$AD$403,G$11-$C428+1))*$D428</f>
        <v>0</v>
      </c>
      <c r="H428" s="95" cm="1">
        <f t="array" ref="H428">IF($C428&gt;H$11,0,INDEX($F$403:$AD$403,H$11-$C428+1))*$D428</f>
        <v>0</v>
      </c>
      <c r="I428" s="95" cm="1">
        <f t="array" ref="I428">IF($C428&gt;I$11,0,INDEX($F$403:$AD$403,I$11-$C428+1))*$D428</f>
        <v>0</v>
      </c>
      <c r="J428" s="95" cm="1">
        <f t="array" ref="J428">IF($C428&gt;J$11,0,INDEX($F$403:$AD$403,J$11-$C428+1))*$D428</f>
        <v>0</v>
      </c>
      <c r="K428" s="95" cm="1">
        <f t="array" ref="K428">IF($C428&gt;K$11,0,INDEX($F$403:$AD$403,K$11-$C428+1))*$D428</f>
        <v>0</v>
      </c>
      <c r="L428" s="95" cm="1">
        <f t="array" ref="L428">IF($C428&gt;L$11,0,INDEX($F$403:$AD$403,L$11-$C428+1))*$D428</f>
        <v>0</v>
      </c>
      <c r="M428" s="95" cm="1">
        <f t="array" ref="M428">IF($C428&gt;M$11,0,INDEX($F$403:$AD$403,M$11-$C428+1))*$D428</f>
        <v>0</v>
      </c>
      <c r="N428" s="95" cm="1">
        <f t="array" ref="N428">IF($C428&gt;N$11,0,INDEX($F$403:$AD$403,N$11-$C428+1))*$D428</f>
        <v>0</v>
      </c>
      <c r="O428" s="95" cm="1">
        <f t="array" ref="O428">IF($C428&gt;O$11,0,INDEX($F$403:$AD$403,O$11-$C428+1))*$D428</f>
        <v>0</v>
      </c>
      <c r="P428" s="95" cm="1">
        <f t="array" ref="P428">IF($C428&gt;P$11,0,INDEX($F$403:$AD$403,P$11-$C428+1))*$D428</f>
        <v>0</v>
      </c>
      <c r="Q428" s="95" cm="1">
        <f t="array" ref="Q428">IF($C428&gt;Q$11,0,INDEX($F$403:$AD$403,Q$11-$C428+1))*$D428</f>
        <v>0</v>
      </c>
      <c r="R428" s="95" cm="1">
        <f t="array" ref="R428">IF($C428&gt;R$11,0,INDEX($F$403:$AD$403,R$11-$C428+1))*$D428</f>
        <v>0</v>
      </c>
      <c r="S428" s="95" cm="1">
        <f t="array" ref="S428">IF($C428&gt;S$11,0,INDEX($F$403:$AD$403,S$11-$C428+1))*$D428</f>
        <v>0</v>
      </c>
      <c r="T428" s="95" cm="1">
        <f t="array" ref="T428">IF($C428&gt;T$11,0,INDEX($F$403:$AD$403,T$11-$C428+1))*$D428</f>
        <v>0</v>
      </c>
      <c r="U428" s="95" cm="1">
        <f t="array" ref="U428">IF($C428&gt;U$11,0,INDEX($F$403:$AD$403,U$11-$C428+1))*$D428</f>
        <v>0</v>
      </c>
      <c r="V428" s="95" cm="1">
        <f t="array" ref="V428">IF($C428&gt;V$11,0,INDEX($F$403:$AD$403,V$11-$C428+1))*$D428</f>
        <v>0</v>
      </c>
      <c r="W428" s="95" cm="1">
        <f t="array" ref="W428">IF($C428&gt;W$11,0,INDEX($F$403:$AD$403,W$11-$C428+1))*$D428</f>
        <v>0</v>
      </c>
      <c r="X428" s="95" cm="1">
        <f t="array" ref="X428">IF($C428&gt;X$11,0,INDEX($F$403:$AD$403,X$11-$C428+1))*$D428</f>
        <v>0</v>
      </c>
      <c r="Y428" s="95" cm="1">
        <f t="array" ref="Y428">IF($C428&gt;Y$11,0,INDEX($F$403:$AD$403,Y$11-$C428+1))*$D428</f>
        <v>0</v>
      </c>
      <c r="Z428" s="95" cm="1">
        <f t="array" ref="Z428">IF($C428&gt;Z$11,0,INDEX($F$403:$AD$403,Z$11-$C428+1))*$D428</f>
        <v>0</v>
      </c>
      <c r="AA428" s="95" cm="1">
        <f t="array" ref="AA428">IF($C428&gt;AA$11,0,INDEX($F$403:$AD$403,AA$11-$C428+1))*$D428</f>
        <v>0</v>
      </c>
      <c r="AB428" s="95" cm="1">
        <f t="array" ref="AB428">IF($C428&gt;AB$11,0,INDEX($F$403:$AD$403,AB$11-$C428+1))*$D428</f>
        <v>0</v>
      </c>
      <c r="AC428" s="95" cm="1">
        <f t="array" ref="AC428">IF($C428&gt;AC$11,0,INDEX($F$403:$AD$403,AC$11-$C428+1))*$D428</f>
        <v>221053.125</v>
      </c>
      <c r="AD428" s="95" cm="1">
        <f t="array" ref="AD428">IF($C428&gt;AD$11,0,INDEX($F$403:$AD$403,AD$11-$C428+1))*$D428</f>
        <v>206316.25</v>
      </c>
    </row>
    <row r="429" spans="1:30">
      <c r="A429" s="95"/>
      <c r="B429" s="118">
        <f t="shared" si="102"/>
        <v>3</v>
      </c>
      <c r="C429">
        <f t="shared" si="103"/>
        <v>2046</v>
      </c>
      <c r="D429" s="95" cm="1">
        <f t="array" ref="D429">INDEX($F$14:$AD$16,$B429,MATCH($C429,$F$11:$AD$11,0))*$G$404</f>
        <v>2140350</v>
      </c>
      <c r="E429" s="95"/>
      <c r="F429" s="95" cm="1">
        <f t="array" ref="F429">IF($C429&gt;F$11,0,INDEX($F$403:$AD$403,F$11-$C429+1))*$D429</f>
        <v>0</v>
      </c>
      <c r="G429" s="95" cm="1">
        <f t="array" ref="G429">IF($C429&gt;G$11,0,INDEX($F$403:$AD$403,G$11-$C429+1))*$D429</f>
        <v>0</v>
      </c>
      <c r="H429" s="95" cm="1">
        <f t="array" ref="H429">IF($C429&gt;H$11,0,INDEX($F$403:$AD$403,H$11-$C429+1))*$D429</f>
        <v>0</v>
      </c>
      <c r="I429" s="95" cm="1">
        <f t="array" ref="I429">IF($C429&gt;I$11,0,INDEX($F$403:$AD$403,I$11-$C429+1))*$D429</f>
        <v>0</v>
      </c>
      <c r="J429" s="95" cm="1">
        <f t="array" ref="J429">IF($C429&gt;J$11,0,INDEX($F$403:$AD$403,J$11-$C429+1))*$D429</f>
        <v>0</v>
      </c>
      <c r="K429" s="95" cm="1">
        <f t="array" ref="K429">IF($C429&gt;K$11,0,INDEX($F$403:$AD$403,K$11-$C429+1))*$D429</f>
        <v>0</v>
      </c>
      <c r="L429" s="95" cm="1">
        <f t="array" ref="L429">IF($C429&gt;L$11,0,INDEX($F$403:$AD$403,L$11-$C429+1))*$D429</f>
        <v>0</v>
      </c>
      <c r="M429" s="95" cm="1">
        <f t="array" ref="M429">IF($C429&gt;M$11,0,INDEX($F$403:$AD$403,M$11-$C429+1))*$D429</f>
        <v>0</v>
      </c>
      <c r="N429" s="95" cm="1">
        <f t="array" ref="N429">IF($C429&gt;N$11,0,INDEX($F$403:$AD$403,N$11-$C429+1))*$D429</f>
        <v>0</v>
      </c>
      <c r="O429" s="95" cm="1">
        <f t="array" ref="O429">IF($C429&gt;O$11,0,INDEX($F$403:$AD$403,O$11-$C429+1))*$D429</f>
        <v>0</v>
      </c>
      <c r="P429" s="95" cm="1">
        <f t="array" ref="P429">IF($C429&gt;P$11,0,INDEX($F$403:$AD$403,P$11-$C429+1))*$D429</f>
        <v>0</v>
      </c>
      <c r="Q429" s="95" cm="1">
        <f t="array" ref="Q429">IF($C429&gt;Q$11,0,INDEX($F$403:$AD$403,Q$11-$C429+1))*$D429</f>
        <v>0</v>
      </c>
      <c r="R429" s="95" cm="1">
        <f t="array" ref="R429">IF($C429&gt;R$11,0,INDEX($F$403:$AD$403,R$11-$C429+1))*$D429</f>
        <v>0</v>
      </c>
      <c r="S429" s="95" cm="1">
        <f t="array" ref="S429">IF($C429&gt;S$11,0,INDEX($F$403:$AD$403,S$11-$C429+1))*$D429</f>
        <v>0</v>
      </c>
      <c r="T429" s="95" cm="1">
        <f t="array" ref="T429">IF($C429&gt;T$11,0,INDEX($F$403:$AD$403,T$11-$C429+1))*$D429</f>
        <v>0</v>
      </c>
      <c r="U429" s="95" cm="1">
        <f t="array" ref="U429">IF($C429&gt;U$11,0,INDEX($F$403:$AD$403,U$11-$C429+1))*$D429</f>
        <v>0</v>
      </c>
      <c r="V429" s="95" cm="1">
        <f t="array" ref="V429">IF($C429&gt;V$11,0,INDEX($F$403:$AD$403,V$11-$C429+1))*$D429</f>
        <v>0</v>
      </c>
      <c r="W429" s="95" cm="1">
        <f t="array" ref="W429">IF($C429&gt;W$11,0,INDEX($F$403:$AD$403,W$11-$C429+1))*$D429</f>
        <v>0</v>
      </c>
      <c r="X429" s="95" cm="1">
        <f t="array" ref="X429">IF($C429&gt;X$11,0,INDEX($F$403:$AD$403,X$11-$C429+1))*$D429</f>
        <v>0</v>
      </c>
      <c r="Y429" s="95" cm="1">
        <f t="array" ref="Y429">IF($C429&gt;Y$11,0,INDEX($F$403:$AD$403,Y$11-$C429+1))*$D429</f>
        <v>0</v>
      </c>
      <c r="Z429" s="95" cm="1">
        <f t="array" ref="Z429">IF($C429&gt;Z$11,0,INDEX($F$403:$AD$403,Z$11-$C429+1))*$D429</f>
        <v>0</v>
      </c>
      <c r="AA429" s="95" cm="1">
        <f t="array" ref="AA429">IF($C429&gt;AA$11,0,INDEX($F$403:$AD$403,AA$11-$C429+1))*$D429</f>
        <v>0</v>
      </c>
      <c r="AB429" s="95" cm="1">
        <f t="array" ref="AB429">IF($C429&gt;AB$11,0,INDEX($F$403:$AD$403,AB$11-$C429+1))*$D429</f>
        <v>0</v>
      </c>
      <c r="AC429" s="95" cm="1">
        <f t="array" ref="AC429">IF($C429&gt;AC$11,0,INDEX($F$403:$AD$403,AC$11-$C429+1))*$D429</f>
        <v>0</v>
      </c>
      <c r="AD429" s="95" cm="1">
        <f t="array" ref="AD429">IF($C429&gt;AD$11,0,INDEX($F$403:$AD$403,AD$11-$C429+1))*$D429</f>
        <v>267543.75</v>
      </c>
    </row>
    <row r="430" spans="1:30" ht="14.4">
      <c r="C430" s="108" t="str">
        <f>"Total "&amp;C401</f>
        <v>Total Long Term</v>
      </c>
      <c r="D430" s="108" t="s">
        <v>68</v>
      </c>
      <c r="E430" s="109"/>
      <c r="F430" s="110">
        <f>SUM(F405:F429)</f>
        <v>402918.75</v>
      </c>
      <c r="G430" s="110">
        <f t="shared" ref="G430:AD430" si="104">SUM(G405:G429)</f>
        <v>455857.5</v>
      </c>
      <c r="H430" s="110">
        <f t="shared" si="104"/>
        <v>700304.375</v>
      </c>
      <c r="I430" s="110">
        <f t="shared" si="104"/>
        <v>717012.5</v>
      </c>
      <c r="J430" s="110">
        <f t="shared" si="104"/>
        <v>947969.375</v>
      </c>
      <c r="K430" s="110">
        <f t="shared" si="104"/>
        <v>1172858.125</v>
      </c>
      <c r="L430" s="110">
        <f t="shared" si="104"/>
        <v>1327221.25</v>
      </c>
      <c r="M430" s="110">
        <f t="shared" si="104"/>
        <v>1231675</v>
      </c>
      <c r="N430" s="110">
        <f t="shared" si="104"/>
        <v>1119978.75</v>
      </c>
      <c r="O430" s="110">
        <f t="shared" si="104"/>
        <v>1109991.875</v>
      </c>
      <c r="P430" s="110">
        <f t="shared" si="104"/>
        <v>1139893.125</v>
      </c>
      <c r="Q430" s="110">
        <f t="shared" si="104"/>
        <v>1183236.875</v>
      </c>
      <c r="R430" s="110">
        <f t="shared" si="104"/>
        <v>1112889.375</v>
      </c>
      <c r="S430" s="110">
        <f t="shared" si="104"/>
        <v>1286216.875</v>
      </c>
      <c r="T430" s="110">
        <f t="shared" si="104"/>
        <v>1334156.25</v>
      </c>
      <c r="U430" s="110">
        <f t="shared" si="104"/>
        <v>1374982.5</v>
      </c>
      <c r="V430" s="110">
        <f t="shared" si="104"/>
        <v>1393222.5</v>
      </c>
      <c r="W430" s="110">
        <f t="shared" si="104"/>
        <v>1398685</v>
      </c>
      <c r="X430" s="110">
        <f t="shared" si="104"/>
        <v>1289268.75</v>
      </c>
      <c r="Y430" s="110">
        <f t="shared" si="104"/>
        <v>1190029.375</v>
      </c>
      <c r="Z430" s="110">
        <f t="shared" si="104"/>
        <v>1244226.875</v>
      </c>
      <c r="AA430" s="110">
        <f t="shared" si="104"/>
        <v>1269081.25</v>
      </c>
      <c r="AB430" s="110">
        <f t="shared" si="104"/>
        <v>1211570.625</v>
      </c>
      <c r="AC430" s="110">
        <f t="shared" si="104"/>
        <v>1285872.5</v>
      </c>
      <c r="AD430" s="110">
        <f t="shared" si="104"/>
        <v>1391928.125</v>
      </c>
    </row>
  </sheetData>
  <dataValidations count="1">
    <dataValidation type="list" allowBlank="1" showInputMessage="1" showErrorMessage="1" sqref="E26" xr:uid="{352361C1-4C0A-43BF-B471-00EDE9866CF4}">
      <formula1>ListDepMethods1</formula1>
    </dataValidation>
  </dataValidations>
  <pageMargins left="0.25" right="0.25" top="0.75" bottom="0.75" header="0.3" footer="0.3"/>
  <pageSetup scale="36" orientation="landscape" horizontalDpi="1200" verticalDpi="1200" r:id="rId1"/>
  <rowBreaks count="7" manualBreakCount="7">
    <brk id="45" max="16383" man="1"/>
    <brk id="76" max="16383" man="1"/>
    <brk id="101" max="16383" man="1"/>
    <brk id="189" max="16383" man="1"/>
    <brk id="216" max="16383" man="1"/>
    <brk id="309" max="16383" man="1"/>
    <brk id="33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Answers</vt:lpstr>
      <vt:lpstr>Calculations</vt:lpstr>
      <vt:lpstr>CaseData</vt:lpstr>
      <vt:lpstr>CaseSolution</vt:lpstr>
      <vt:lpstr>company</vt:lpstr>
      <vt:lpstr>ListAssetClasses1</vt:lpstr>
      <vt:lpstr>ListDepMethods1</vt:lpstr>
      <vt:lpstr>periods</vt:lpstr>
      <vt:lpstr>Answers!Print_Titles</vt:lpstr>
      <vt:lpstr>Calculations!Print_Titles</vt:lpstr>
      <vt:lpstr>selector</vt:lpstr>
      <vt:lpstr>start_date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2019-10-07T17:07:36Z</dcterms:created>
  <dcterms:modified xsi:type="dcterms:W3CDTF">2026-07-26T21:02:51Z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5a5f50-0881-436f-9c49-8a41d790817e_Enabled">
    <vt:lpwstr>true</vt:lpwstr>
  </property>
  <property fmtid="{D5CDD505-2E9C-101B-9397-08002B2CF9AE}" pid="3" name="MSIP_Label_da5a5f50-0881-436f-9c49-8a41d790817e_SetDate">
    <vt:lpwstr>2026-07-14T12:37:44Z</vt:lpwstr>
  </property>
  <property fmtid="{D5CDD505-2E9C-101B-9397-08002B2CF9AE}" pid="4" name="MSIP_Label_da5a5f50-0881-436f-9c49-8a41d790817e_Method">
    <vt:lpwstr>Privileged</vt:lpwstr>
  </property>
  <property fmtid="{D5CDD505-2E9C-101B-9397-08002B2CF9AE}" pid="5" name="MSIP_Label_da5a5f50-0881-436f-9c49-8a41d790817e_Name">
    <vt:lpwstr>L1</vt:lpwstr>
  </property>
  <property fmtid="{D5CDD505-2E9C-101B-9397-08002B2CF9AE}" pid="6" name="MSIP_Label_da5a5f50-0881-436f-9c49-8a41d790817e_SiteId">
    <vt:lpwstr>02e3c4d5-27fd-43fe-8203-97710d02fae4</vt:lpwstr>
  </property>
  <property fmtid="{D5CDD505-2E9C-101B-9397-08002B2CF9AE}" pid="7" name="MSIP_Label_da5a5f50-0881-436f-9c49-8a41d790817e_ActionId">
    <vt:lpwstr>9324fe2a-e041-42b1-aa5c-fc92cd0912c2</vt:lpwstr>
  </property>
  <property fmtid="{D5CDD505-2E9C-101B-9397-08002B2CF9AE}" pid="8" name="MSIP_Label_da5a5f50-0881-436f-9c49-8a41d790817e_ContentBits">
    <vt:lpwstr>0</vt:lpwstr>
  </property>
  <property fmtid="{D5CDD505-2E9C-101B-9397-08002B2CF9AE}" pid="9" name="MSIP_Label_da5a5f50-0881-436f-9c49-8a41d790817e_Tag">
    <vt:lpwstr>10, 0, 1, 1</vt:lpwstr>
  </property>
</Properties>
</file>