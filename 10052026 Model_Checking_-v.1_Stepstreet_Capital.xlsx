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trlProps/ctrlProp1.xml" ContentType="application/vnd.ms-excel.controlpropertie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drawings/drawing2.xml" ContentType="application/vnd.openxmlformats-officedocument.drawing+xml"/>
  <Override PartName="/xl/ctrlProps/ctrlProp2.xml" ContentType="application/vnd.ms-excel.controlproperties+xml"/>
  <Override PartName="/xl/comments2.xml" ContentType="application/vnd.openxmlformats-officedocument.spreadsheetml.comment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527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754f703795456207/Modeling/CFM/0. Topics/11. Model Checking/11.1 Stepstreet Capital/"/>
    </mc:Choice>
  </mc:AlternateContent>
  <xr:revisionPtr revIDLastSave="186" documentId="8_{20254021-2182-4A97-9430-9C3FC80B5BAE}" xr6:coauthVersionLast="47" xr6:coauthVersionMax="47" xr10:uidLastSave="{FA146C75-0CAF-464C-8F40-7D321826077A}"/>
  <bookViews>
    <workbookView xWindow="28692" yWindow="-108" windowWidth="29016" windowHeight="16416" xr2:uid="{00000000-000D-0000-FFFF-FFFF00000000}"/>
  </bookViews>
  <sheets>
    <sheet name="CaseData" sheetId="9" r:id="rId1"/>
    <sheet name="CaseKey" sheetId="10" r:id="rId2"/>
  </sheets>
  <calcPr calcId="191029" calcOnSave="0" concurrentCalc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O817" i="9" l="1"/>
  <c r="N817" i="9"/>
  <c r="M817" i="9"/>
  <c r="L817" i="9"/>
  <c r="K817" i="9"/>
  <c r="O816" i="9"/>
  <c r="N816" i="9"/>
  <c r="M816" i="9"/>
  <c r="L816" i="9"/>
  <c r="K816" i="9"/>
  <c r="O624" i="9"/>
  <c r="N624" i="9"/>
  <c r="M624" i="9"/>
  <c r="L624" i="9"/>
  <c r="K624" i="9"/>
  <c r="O582" i="9"/>
  <c r="N582" i="9"/>
  <c r="M582" i="9"/>
  <c r="E503" i="9"/>
  <c r="E502" i="9"/>
  <c r="E501" i="9"/>
  <c r="E500" i="9"/>
  <c r="E499" i="9"/>
  <c r="K499" i="9"/>
  <c r="L499" i="9"/>
  <c r="M499" i="9"/>
  <c r="N499" i="9"/>
  <c r="O499" i="9"/>
  <c r="L500" i="9"/>
  <c r="M500" i="9"/>
  <c r="N500" i="9"/>
  <c r="O500" i="9"/>
  <c r="M501" i="9"/>
  <c r="N501" i="9"/>
  <c r="O501" i="9"/>
  <c r="N502" i="9"/>
  <c r="O502" i="9"/>
  <c r="O503" i="9"/>
  <c r="O505" i="9"/>
  <c r="N505" i="9"/>
  <c r="M505" i="9"/>
  <c r="L505" i="9"/>
  <c r="K505" i="9"/>
  <c r="K369" i="9"/>
  <c r="K370" i="9"/>
  <c r="K376" i="9"/>
  <c r="K518" i="9"/>
  <c r="K520" i="9"/>
  <c r="K522" i="9"/>
  <c r="K526" i="9"/>
  <c r="K527" i="9"/>
  <c r="K530" i="9"/>
  <c r="K536" i="9"/>
  <c r="K541" i="9"/>
  <c r="K378" i="9"/>
  <c r="K538" i="9"/>
  <c r="K542" i="9"/>
  <c r="K379" i="9"/>
  <c r="K380" i="9"/>
  <c r="K382" i="9"/>
  <c r="K404" i="9"/>
  <c r="K405" i="9"/>
  <c r="K407" i="9"/>
  <c r="K409" i="9"/>
  <c r="K417" i="9"/>
  <c r="K683" i="9"/>
  <c r="K385" i="9"/>
  <c r="K741" i="9"/>
  <c r="K742" i="9"/>
  <c r="K685" i="9"/>
  <c r="K684" i="9"/>
  <c r="K686" i="9"/>
  <c r="K689" i="9"/>
  <c r="K690" i="9"/>
  <c r="L688" i="9"/>
  <c r="K420" i="9"/>
  <c r="K427" i="9"/>
  <c r="K421" i="9"/>
  <c r="K428" i="9"/>
  <c r="K431" i="9"/>
  <c r="K600" i="9"/>
  <c r="K601" i="9"/>
  <c r="L599" i="9"/>
  <c r="L369" i="9"/>
  <c r="L370" i="9"/>
  <c r="K625" i="9"/>
  <c r="K596" i="9"/>
  <c r="L660" i="9"/>
  <c r="L664" i="9"/>
  <c r="L712" i="9"/>
  <c r="L372" i="9"/>
  <c r="K702" i="9"/>
  <c r="K704" i="9"/>
  <c r="L707" i="9"/>
  <c r="L661" i="9"/>
  <c r="L665" i="9"/>
  <c r="L615" i="9"/>
  <c r="L627" i="9"/>
  <c r="L628" i="9"/>
  <c r="L629" i="9"/>
  <c r="L616" i="9"/>
  <c r="L617" i="9"/>
  <c r="L605" i="9"/>
  <c r="L711" i="9"/>
  <c r="L373" i="9"/>
  <c r="L374" i="9"/>
  <c r="L376" i="9"/>
  <c r="L518" i="9"/>
  <c r="L520" i="9"/>
  <c r="L522" i="9"/>
  <c r="L525" i="9"/>
  <c r="L526" i="9"/>
  <c r="L527" i="9"/>
  <c r="K531" i="9"/>
  <c r="L529" i="9"/>
  <c r="L530" i="9"/>
  <c r="L536" i="9"/>
  <c r="L541" i="9"/>
  <c r="L378" i="9"/>
  <c r="L538" i="9"/>
  <c r="L542" i="9"/>
  <c r="L379" i="9"/>
  <c r="L380" i="9"/>
  <c r="L382" i="9"/>
  <c r="L404" i="9"/>
  <c r="L405" i="9"/>
  <c r="L406" i="9"/>
  <c r="L407" i="9"/>
  <c r="L408" i="9"/>
  <c r="L409" i="9"/>
  <c r="L417" i="9"/>
  <c r="L683" i="9"/>
  <c r="L385" i="9"/>
  <c r="L741" i="9"/>
  <c r="L742" i="9"/>
  <c r="L685" i="9"/>
  <c r="L623" i="9"/>
  <c r="L684" i="9"/>
  <c r="L686" i="9"/>
  <c r="L689" i="9"/>
  <c r="L690" i="9"/>
  <c r="M688" i="9"/>
  <c r="L420" i="9"/>
  <c r="L427" i="9"/>
  <c r="L421" i="9"/>
  <c r="L428" i="9"/>
  <c r="L431" i="9"/>
  <c r="L600" i="9"/>
  <c r="L601" i="9"/>
  <c r="M599" i="9"/>
  <c r="M369" i="9"/>
  <c r="M370" i="9"/>
  <c r="L657" i="9"/>
  <c r="L658" i="9"/>
  <c r="L625" i="9"/>
  <c r="L596" i="9"/>
  <c r="M660" i="9"/>
  <c r="M664" i="9"/>
  <c r="M712" i="9"/>
  <c r="M372" i="9"/>
  <c r="L701" i="9"/>
  <c r="L702" i="9"/>
  <c r="L704" i="9"/>
  <c r="M707" i="9"/>
  <c r="M661" i="9"/>
  <c r="M665" i="9"/>
  <c r="M615" i="9"/>
  <c r="M627" i="9"/>
  <c r="M628" i="9"/>
  <c r="M629" i="9"/>
  <c r="M616" i="9"/>
  <c r="M617" i="9"/>
  <c r="M605" i="9"/>
  <c r="M711" i="9"/>
  <c r="M373" i="9"/>
  <c r="M374" i="9"/>
  <c r="M376" i="9"/>
  <c r="M518" i="9"/>
  <c r="M520" i="9"/>
  <c r="M522" i="9"/>
  <c r="M525" i="9"/>
  <c r="M526" i="9"/>
  <c r="M527" i="9"/>
  <c r="L531" i="9"/>
  <c r="M529" i="9"/>
  <c r="M530" i="9"/>
  <c r="M536" i="9"/>
  <c r="M541" i="9"/>
  <c r="M378" i="9"/>
  <c r="M538" i="9"/>
  <c r="M542" i="9"/>
  <c r="M379" i="9"/>
  <c r="M380" i="9"/>
  <c r="M382" i="9"/>
  <c r="M404" i="9"/>
  <c r="M405" i="9"/>
  <c r="M406" i="9"/>
  <c r="M407" i="9"/>
  <c r="M408" i="9"/>
  <c r="M409" i="9"/>
  <c r="M417" i="9"/>
  <c r="M683" i="9"/>
  <c r="M385" i="9"/>
  <c r="M741" i="9"/>
  <c r="M742" i="9"/>
  <c r="M685" i="9"/>
  <c r="M623" i="9"/>
  <c r="M684" i="9"/>
  <c r="M686" i="9"/>
  <c r="M689" i="9"/>
  <c r="M690" i="9"/>
  <c r="N688" i="9"/>
  <c r="M420" i="9"/>
  <c r="M427" i="9"/>
  <c r="M421" i="9"/>
  <c r="M428" i="9"/>
  <c r="M431" i="9"/>
  <c r="M600" i="9"/>
  <c r="M601" i="9"/>
  <c r="N599" i="9"/>
  <c r="N369" i="9"/>
  <c r="N370" i="9"/>
  <c r="M655" i="9"/>
  <c r="M657" i="9"/>
  <c r="M658" i="9"/>
  <c r="M625" i="9"/>
  <c r="M596" i="9"/>
  <c r="N660" i="9"/>
  <c r="N664" i="9"/>
  <c r="N712" i="9"/>
  <c r="N372" i="9"/>
  <c r="M701" i="9"/>
  <c r="M702" i="9"/>
  <c r="M704" i="9"/>
  <c r="N707" i="9"/>
  <c r="N661" i="9"/>
  <c r="N665" i="9"/>
  <c r="N615" i="9"/>
  <c r="N627" i="9"/>
  <c r="N628" i="9"/>
  <c r="N629" i="9"/>
  <c r="N616" i="9"/>
  <c r="N617" i="9"/>
  <c r="N605" i="9"/>
  <c r="N711" i="9"/>
  <c r="N373" i="9"/>
  <c r="N374" i="9"/>
  <c r="N376" i="9"/>
  <c r="N518" i="9"/>
  <c r="N520" i="9"/>
  <c r="N522" i="9"/>
  <c r="N525" i="9"/>
  <c r="N526" i="9"/>
  <c r="N527" i="9"/>
  <c r="M531" i="9"/>
  <c r="N529" i="9"/>
  <c r="N530" i="9"/>
  <c r="N536" i="9"/>
  <c r="N541" i="9"/>
  <c r="N378" i="9"/>
  <c r="N538" i="9"/>
  <c r="N542" i="9"/>
  <c r="N379" i="9"/>
  <c r="N380" i="9"/>
  <c r="N382" i="9"/>
  <c r="N404" i="9"/>
  <c r="N405" i="9"/>
  <c r="N406" i="9"/>
  <c r="N407" i="9"/>
  <c r="N408" i="9"/>
  <c r="N409" i="9"/>
  <c r="N417" i="9"/>
  <c r="N683" i="9"/>
  <c r="N385" i="9"/>
  <c r="N741" i="9"/>
  <c r="N742" i="9"/>
  <c r="N685" i="9"/>
  <c r="N623" i="9"/>
  <c r="N684" i="9"/>
  <c r="N686" i="9"/>
  <c r="N689" i="9"/>
  <c r="N690" i="9"/>
  <c r="O688" i="9"/>
  <c r="N420" i="9"/>
  <c r="N427" i="9"/>
  <c r="N421" i="9"/>
  <c r="N428" i="9"/>
  <c r="N431" i="9"/>
  <c r="N600" i="9"/>
  <c r="N601" i="9"/>
  <c r="O599" i="9"/>
  <c r="O369" i="9"/>
  <c r="O370" i="9"/>
  <c r="N655" i="9"/>
  <c r="N657" i="9"/>
  <c r="N658" i="9"/>
  <c r="N625" i="9"/>
  <c r="N596" i="9"/>
  <c r="O660" i="9"/>
  <c r="O664" i="9"/>
  <c r="O712" i="9"/>
  <c r="O372" i="9"/>
  <c r="N701" i="9"/>
  <c r="N702" i="9"/>
  <c r="N704" i="9"/>
  <c r="O707" i="9"/>
  <c r="O661" i="9"/>
  <c r="O665" i="9"/>
  <c r="O615" i="9"/>
  <c r="O627" i="9"/>
  <c r="O628" i="9"/>
  <c r="O629" i="9"/>
  <c r="O616" i="9"/>
  <c r="O617" i="9"/>
  <c r="O605" i="9"/>
  <c r="O711" i="9"/>
  <c r="O373" i="9"/>
  <c r="O374" i="9"/>
  <c r="O376" i="9"/>
  <c r="O518" i="9"/>
  <c r="O520" i="9"/>
  <c r="O522" i="9"/>
  <c r="O525" i="9"/>
  <c r="O526" i="9"/>
  <c r="O527" i="9"/>
  <c r="N531" i="9"/>
  <c r="O529" i="9"/>
  <c r="O530" i="9"/>
  <c r="O536" i="9"/>
  <c r="O541" i="9"/>
  <c r="O378" i="9"/>
  <c r="O538" i="9"/>
  <c r="O542" i="9"/>
  <c r="O379" i="9"/>
  <c r="O380" i="9"/>
  <c r="O382" i="9"/>
  <c r="O404" i="9"/>
  <c r="O405" i="9"/>
  <c r="O406" i="9"/>
  <c r="O407" i="9"/>
  <c r="O408" i="9"/>
  <c r="O409" i="9"/>
  <c r="O417" i="9"/>
  <c r="O683" i="9"/>
  <c r="O385" i="9"/>
  <c r="O741" i="9"/>
  <c r="O742" i="9"/>
  <c r="O685" i="9"/>
  <c r="O623" i="9"/>
  <c r="O684" i="9"/>
  <c r="O686" i="9"/>
  <c r="O689" i="9"/>
  <c r="O690" i="9"/>
  <c r="O460" i="9"/>
  <c r="O765" i="9"/>
  <c r="O625" i="9"/>
  <c r="O467" i="9"/>
  <c r="O766" i="9"/>
  <c r="O784" i="9"/>
  <c r="N460" i="9"/>
  <c r="N765" i="9"/>
  <c r="N467" i="9"/>
  <c r="N766" i="9"/>
  <c r="N784" i="9"/>
  <c r="M460" i="9"/>
  <c r="M765" i="9"/>
  <c r="M467" i="9"/>
  <c r="M766" i="9"/>
  <c r="M784" i="9"/>
  <c r="L460" i="9"/>
  <c r="L765" i="9"/>
  <c r="L467" i="9"/>
  <c r="L766" i="9"/>
  <c r="L784" i="9"/>
  <c r="K460" i="9"/>
  <c r="K765" i="9"/>
  <c r="K467" i="9"/>
  <c r="K766" i="9"/>
  <c r="K784" i="9"/>
  <c r="O655" i="9"/>
  <c r="O657" i="9"/>
  <c r="O658" i="9"/>
  <c r="O469" i="9"/>
  <c r="O768" i="9"/>
  <c r="N469" i="9"/>
  <c r="N768" i="9"/>
  <c r="M469" i="9"/>
  <c r="M768" i="9"/>
  <c r="L469" i="9"/>
  <c r="L768" i="9"/>
  <c r="K768" i="9"/>
  <c r="J768" i="9"/>
  <c r="O713" i="9"/>
  <c r="N713" i="9"/>
  <c r="M713" i="9"/>
  <c r="L713" i="9"/>
  <c r="K713" i="9"/>
  <c r="K372" i="9"/>
  <c r="K374" i="9"/>
  <c r="K712" i="9"/>
  <c r="I212" i="9"/>
  <c r="K264" i="9"/>
  <c r="K491" i="9"/>
  <c r="D499" i="9"/>
  <c r="K402" i="9"/>
  <c r="G122" i="9"/>
  <c r="K413" i="9"/>
  <c r="F494" i="9"/>
  <c r="I453" i="9"/>
  <c r="J453" i="9"/>
  <c r="F493" i="9"/>
  <c r="K496" i="9"/>
  <c r="I224" i="9"/>
  <c r="K281" i="9"/>
  <c r="K282" i="9"/>
  <c r="I218" i="9"/>
  <c r="K267" i="9"/>
  <c r="K288" i="9"/>
  <c r="K270" i="9"/>
  <c r="K271" i="9"/>
  <c r="K289" i="9"/>
  <c r="K290" i="9"/>
  <c r="K360" i="9"/>
  <c r="K335" i="9"/>
  <c r="K336" i="9"/>
  <c r="K337" i="9"/>
  <c r="K338" i="9"/>
  <c r="K339" i="9"/>
  <c r="K340" i="9"/>
  <c r="I245" i="9"/>
  <c r="K309" i="9"/>
  <c r="I239" i="9"/>
  <c r="K303" i="9"/>
  <c r="K311" i="9"/>
  <c r="K304" i="9"/>
  <c r="K329" i="9"/>
  <c r="K312" i="9"/>
  <c r="K330" i="9"/>
  <c r="K313" i="9"/>
  <c r="K331" i="9"/>
  <c r="K332" i="9"/>
  <c r="K342" i="9"/>
  <c r="K362" i="9"/>
  <c r="K363" i="9"/>
  <c r="K364" i="9"/>
  <c r="G133" i="9"/>
  <c r="K366" i="9"/>
  <c r="K367" i="9"/>
  <c r="J288" i="9"/>
  <c r="J289" i="9"/>
  <c r="J290" i="9"/>
  <c r="J360" i="9"/>
  <c r="J340" i="9"/>
  <c r="J311" i="9"/>
  <c r="J304" i="9"/>
  <c r="J329" i="9"/>
  <c r="J330" i="9"/>
  <c r="J331" i="9"/>
  <c r="J332" i="9"/>
  <c r="J342" i="9"/>
  <c r="J362" i="9"/>
  <c r="J364" i="9"/>
  <c r="F133" i="9"/>
  <c r="J366" i="9"/>
  <c r="J367" i="9"/>
  <c r="G32" i="9"/>
  <c r="F45" i="9"/>
  <c r="J613" i="9"/>
  <c r="F46" i="9"/>
  <c r="J625" i="9"/>
  <c r="F47" i="9"/>
  <c r="I468" i="9"/>
  <c r="J468" i="9"/>
  <c r="J648" i="9"/>
  <c r="F48" i="9"/>
  <c r="I469" i="9"/>
  <c r="J469" i="9"/>
  <c r="J658" i="9"/>
  <c r="F44" i="9"/>
  <c r="I460" i="9"/>
  <c r="J460" i="9"/>
  <c r="J690" i="9"/>
  <c r="J596" i="9"/>
  <c r="K615" i="9"/>
  <c r="K627" i="9"/>
  <c r="K595" i="9"/>
  <c r="K628" i="9"/>
  <c r="K629" i="9"/>
  <c r="K616" i="9"/>
  <c r="K617" i="9"/>
  <c r="K706" i="9"/>
  <c r="I170" i="9"/>
  <c r="J699" i="9"/>
  <c r="J704" i="9"/>
  <c r="K707" i="9"/>
  <c r="K662" i="9"/>
  <c r="K660" i="9"/>
  <c r="K661" i="9"/>
  <c r="K665" i="9"/>
  <c r="K650" i="9"/>
  <c r="K651" i="9"/>
  <c r="F43" i="9"/>
  <c r="I447" i="9"/>
  <c r="J447" i="9"/>
  <c r="J601" i="9"/>
  <c r="K603" i="9"/>
  <c r="K604" i="9"/>
  <c r="K605" i="9"/>
  <c r="K711" i="9"/>
  <c r="K373" i="9"/>
  <c r="K664" i="9"/>
  <c r="K549" i="9"/>
  <c r="K550" i="9"/>
  <c r="K548" i="9"/>
  <c r="K551" i="9"/>
  <c r="F546" i="9"/>
  <c r="K552" i="9"/>
  <c r="K521" i="9"/>
  <c r="K525" i="9"/>
  <c r="K529" i="9"/>
  <c r="E516" i="9"/>
  <c r="K406" i="9"/>
  <c r="J448" i="9"/>
  <c r="J577" i="9"/>
  <c r="J449" i="9"/>
  <c r="J578" i="9"/>
  <c r="J461" i="9"/>
  <c r="J579" i="9"/>
  <c r="J580" i="9"/>
  <c r="K568" i="9"/>
  <c r="K563" i="9"/>
  <c r="J264" i="9"/>
  <c r="J563" i="9"/>
  <c r="K565" i="9"/>
  <c r="K572" i="9"/>
  <c r="K577" i="9"/>
  <c r="K569" i="9"/>
  <c r="K573" i="9"/>
  <c r="K578" i="9"/>
  <c r="K574" i="9"/>
  <c r="K579" i="9"/>
  <c r="K580" i="9"/>
  <c r="K582" i="9"/>
  <c r="K408" i="9"/>
  <c r="K414" i="9"/>
  <c r="K415" i="9"/>
  <c r="K731" i="9"/>
  <c r="I474" i="9"/>
  <c r="J474" i="9"/>
  <c r="J729" i="9"/>
  <c r="K727" i="9"/>
  <c r="K728" i="9"/>
  <c r="K729" i="9"/>
  <c r="K732" i="9"/>
  <c r="K384" i="9"/>
  <c r="K740" i="9"/>
  <c r="K656" i="9"/>
  <c r="K647" i="9"/>
  <c r="K621" i="9"/>
  <c r="K623" i="9"/>
  <c r="K609" i="9"/>
  <c r="K611" i="9"/>
  <c r="K612" i="9"/>
  <c r="K599" i="9"/>
  <c r="K688" i="9"/>
  <c r="K613" i="9"/>
  <c r="K646" i="9"/>
  <c r="K648" i="9"/>
  <c r="K655" i="9"/>
  <c r="K657" i="9"/>
  <c r="K658" i="9"/>
  <c r="L662" i="9"/>
  <c r="L655" i="9"/>
  <c r="L656" i="9"/>
  <c r="K422" i="9"/>
  <c r="K423" i="9"/>
  <c r="K424" i="9"/>
  <c r="K737" i="9"/>
  <c r="K426" i="9"/>
  <c r="K425" i="9"/>
  <c r="J212" i="9"/>
  <c r="L264" i="9"/>
  <c r="L491" i="9"/>
  <c r="D500" i="9"/>
  <c r="L402" i="9"/>
  <c r="H122" i="9"/>
  <c r="L413" i="9"/>
  <c r="L496" i="9"/>
  <c r="J224" i="9"/>
  <c r="L281" i="9"/>
  <c r="L282" i="9"/>
  <c r="J218" i="9"/>
  <c r="L267" i="9"/>
  <c r="L288" i="9"/>
  <c r="L270" i="9"/>
  <c r="L271" i="9"/>
  <c r="L289" i="9"/>
  <c r="L290" i="9"/>
  <c r="L360" i="9"/>
  <c r="J233" i="9"/>
  <c r="L302" i="9"/>
  <c r="L335" i="9"/>
  <c r="L336" i="9"/>
  <c r="L337" i="9"/>
  <c r="L338" i="9"/>
  <c r="L339" i="9"/>
  <c r="L340" i="9"/>
  <c r="J245" i="9"/>
  <c r="L309" i="9"/>
  <c r="J239" i="9"/>
  <c r="L303" i="9"/>
  <c r="L311" i="9"/>
  <c r="L304" i="9"/>
  <c r="L329" i="9"/>
  <c r="L312" i="9"/>
  <c r="L330" i="9"/>
  <c r="L313" i="9"/>
  <c r="L331" i="9"/>
  <c r="L332" i="9"/>
  <c r="L342" i="9"/>
  <c r="L362" i="9"/>
  <c r="L355" i="9"/>
  <c r="L363" i="9"/>
  <c r="L364" i="9"/>
  <c r="H133" i="9"/>
  <c r="L366" i="9"/>
  <c r="L367" i="9"/>
  <c r="K701" i="9"/>
  <c r="J698" i="9"/>
  <c r="K699" i="9"/>
  <c r="K703" i="9"/>
  <c r="L706" i="9"/>
  <c r="L595" i="9"/>
  <c r="L603" i="9"/>
  <c r="L604" i="9"/>
  <c r="L650" i="9"/>
  <c r="L651" i="9"/>
  <c r="L549" i="9"/>
  <c r="L550" i="9"/>
  <c r="K553" i="9"/>
  <c r="L548" i="9"/>
  <c r="L551" i="9"/>
  <c r="L552" i="9"/>
  <c r="L521" i="9"/>
  <c r="L568" i="9"/>
  <c r="L563" i="9"/>
  <c r="L565" i="9"/>
  <c r="L572" i="9"/>
  <c r="L577" i="9"/>
  <c r="L569" i="9"/>
  <c r="L573" i="9"/>
  <c r="L578" i="9"/>
  <c r="L574" i="9"/>
  <c r="L579" i="9"/>
  <c r="L580" i="9"/>
  <c r="L582" i="9"/>
  <c r="L414" i="9"/>
  <c r="L415" i="9"/>
  <c r="L731" i="9"/>
  <c r="L727" i="9"/>
  <c r="L728" i="9"/>
  <c r="L729" i="9"/>
  <c r="L732" i="9"/>
  <c r="L384" i="9"/>
  <c r="L740" i="9"/>
  <c r="L647" i="9"/>
  <c r="L621" i="9"/>
  <c r="L609" i="9"/>
  <c r="L611" i="9"/>
  <c r="L612" i="9"/>
  <c r="L613" i="9"/>
  <c r="L646" i="9"/>
  <c r="L648" i="9"/>
  <c r="M662" i="9"/>
  <c r="M656" i="9"/>
  <c r="L422" i="9"/>
  <c r="L423" i="9"/>
  <c r="L424" i="9"/>
  <c r="L737" i="9"/>
  <c r="L426" i="9"/>
  <c r="L425" i="9"/>
  <c r="K212" i="9"/>
  <c r="M264" i="9"/>
  <c r="M491" i="9"/>
  <c r="D501" i="9"/>
  <c r="M402" i="9"/>
  <c r="K233" i="9"/>
  <c r="I119" i="9"/>
  <c r="I122" i="9"/>
  <c r="M413" i="9"/>
  <c r="M496" i="9"/>
  <c r="K224" i="9"/>
  <c r="M281" i="9"/>
  <c r="M282" i="9"/>
  <c r="K218" i="9"/>
  <c r="M267" i="9"/>
  <c r="M288" i="9"/>
  <c r="M270" i="9"/>
  <c r="M271" i="9"/>
  <c r="M289" i="9"/>
  <c r="M290" i="9"/>
  <c r="M360" i="9"/>
  <c r="M335" i="9"/>
  <c r="M336" i="9"/>
  <c r="M337" i="9"/>
  <c r="M338" i="9"/>
  <c r="M339" i="9"/>
  <c r="M340" i="9"/>
  <c r="K245" i="9"/>
  <c r="M309" i="9"/>
  <c r="K239" i="9"/>
  <c r="M303" i="9"/>
  <c r="M311" i="9"/>
  <c r="M304" i="9"/>
  <c r="M329" i="9"/>
  <c r="M302" i="9"/>
  <c r="M312" i="9"/>
  <c r="M330" i="9"/>
  <c r="M313" i="9"/>
  <c r="M331" i="9"/>
  <c r="M332" i="9"/>
  <c r="M342" i="9"/>
  <c r="M362" i="9"/>
  <c r="M355" i="9"/>
  <c r="M363" i="9"/>
  <c r="M364" i="9"/>
  <c r="I133" i="9"/>
  <c r="M366" i="9"/>
  <c r="M367" i="9"/>
  <c r="K698" i="9"/>
  <c r="L699" i="9"/>
  <c r="L703" i="9"/>
  <c r="M706" i="9"/>
  <c r="M595" i="9"/>
  <c r="M603" i="9"/>
  <c r="M604" i="9"/>
  <c r="M650" i="9"/>
  <c r="M651" i="9"/>
  <c r="M549" i="9"/>
  <c r="M550" i="9"/>
  <c r="L553" i="9"/>
  <c r="M548" i="9"/>
  <c r="M551" i="9"/>
  <c r="M552" i="9"/>
  <c r="M521" i="9"/>
  <c r="M568" i="9"/>
  <c r="M563" i="9"/>
  <c r="M565" i="9"/>
  <c r="M572" i="9"/>
  <c r="M577" i="9"/>
  <c r="M569" i="9"/>
  <c r="M573" i="9"/>
  <c r="M578" i="9"/>
  <c r="M574" i="9"/>
  <c r="M579" i="9"/>
  <c r="M580" i="9"/>
  <c r="M414" i="9"/>
  <c r="M415" i="9"/>
  <c r="M731" i="9"/>
  <c r="M727" i="9"/>
  <c r="M728" i="9"/>
  <c r="M729" i="9"/>
  <c r="M732" i="9"/>
  <c r="M384" i="9"/>
  <c r="M740" i="9"/>
  <c r="M647" i="9"/>
  <c r="M621" i="9"/>
  <c r="M609" i="9"/>
  <c r="M611" i="9"/>
  <c r="M612" i="9"/>
  <c r="M613" i="9"/>
  <c r="M646" i="9"/>
  <c r="M648" i="9"/>
  <c r="N662" i="9"/>
  <c r="N656" i="9"/>
  <c r="M422" i="9"/>
  <c r="M423" i="9"/>
  <c r="M424" i="9"/>
  <c r="M737" i="9"/>
  <c r="M426" i="9"/>
  <c r="M425" i="9"/>
  <c r="L212" i="9"/>
  <c r="N264" i="9"/>
  <c r="N491" i="9"/>
  <c r="D502" i="9"/>
  <c r="N402" i="9"/>
  <c r="L233" i="9"/>
  <c r="J119" i="9"/>
  <c r="J122" i="9"/>
  <c r="N413" i="9"/>
  <c r="N496" i="9"/>
  <c r="L224" i="9"/>
  <c r="N281" i="9"/>
  <c r="N282" i="9"/>
  <c r="L218" i="9"/>
  <c r="N267" i="9"/>
  <c r="N288" i="9"/>
  <c r="N270" i="9"/>
  <c r="N271" i="9"/>
  <c r="N289" i="9"/>
  <c r="N290" i="9"/>
  <c r="N360" i="9"/>
  <c r="N335" i="9"/>
  <c r="N336" i="9"/>
  <c r="N337" i="9"/>
  <c r="N338" i="9"/>
  <c r="N339" i="9"/>
  <c r="N340" i="9"/>
  <c r="L245" i="9"/>
  <c r="N309" i="9"/>
  <c r="L239" i="9"/>
  <c r="N303" i="9"/>
  <c r="N311" i="9"/>
  <c r="N304" i="9"/>
  <c r="N329" i="9"/>
  <c r="N302" i="9"/>
  <c r="N312" i="9"/>
  <c r="N330" i="9"/>
  <c r="N313" i="9"/>
  <c r="N331" i="9"/>
  <c r="N332" i="9"/>
  <c r="N342" i="9"/>
  <c r="N362" i="9"/>
  <c r="N355" i="9"/>
  <c r="N363" i="9"/>
  <c r="N364" i="9"/>
  <c r="J133" i="9"/>
  <c r="N366" i="9"/>
  <c r="N367" i="9"/>
  <c r="L698" i="9"/>
  <c r="M699" i="9"/>
  <c r="M703" i="9"/>
  <c r="N706" i="9"/>
  <c r="N595" i="9"/>
  <c r="N603" i="9"/>
  <c r="N604" i="9"/>
  <c r="N650" i="9"/>
  <c r="N651" i="9"/>
  <c r="N549" i="9"/>
  <c r="N550" i="9"/>
  <c r="M553" i="9"/>
  <c r="N548" i="9"/>
  <c r="N551" i="9"/>
  <c r="N552" i="9"/>
  <c r="N521" i="9"/>
  <c r="N568" i="9"/>
  <c r="N563" i="9"/>
  <c r="N565" i="9"/>
  <c r="N572" i="9"/>
  <c r="N577" i="9"/>
  <c r="N569" i="9"/>
  <c r="N573" i="9"/>
  <c r="N578" i="9"/>
  <c r="N574" i="9"/>
  <c r="N579" i="9"/>
  <c r="N580" i="9"/>
  <c r="N414" i="9"/>
  <c r="N415" i="9"/>
  <c r="N731" i="9"/>
  <c r="N727" i="9"/>
  <c r="N728" i="9"/>
  <c r="N729" i="9"/>
  <c r="N732" i="9"/>
  <c r="N384" i="9"/>
  <c r="N740" i="9"/>
  <c r="N647" i="9"/>
  <c r="N621" i="9"/>
  <c r="N609" i="9"/>
  <c r="N611" i="9"/>
  <c r="N612" i="9"/>
  <c r="N613" i="9"/>
  <c r="N646" i="9"/>
  <c r="N648" i="9"/>
  <c r="M212" i="9"/>
  <c r="O264" i="9"/>
  <c r="O491" i="9"/>
  <c r="O496" i="9"/>
  <c r="M224" i="9"/>
  <c r="O281" i="9"/>
  <c r="O282" i="9"/>
  <c r="M218" i="9"/>
  <c r="O267" i="9"/>
  <c r="O288" i="9"/>
  <c r="O270" i="9"/>
  <c r="O271" i="9"/>
  <c r="O289" i="9"/>
  <c r="O290" i="9"/>
  <c r="O360" i="9"/>
  <c r="O335" i="9"/>
  <c r="O336" i="9"/>
  <c r="O337" i="9"/>
  <c r="O338" i="9"/>
  <c r="O339" i="9"/>
  <c r="O340" i="9"/>
  <c r="M245" i="9"/>
  <c r="O309" i="9"/>
  <c r="M239" i="9"/>
  <c r="O303" i="9"/>
  <c r="O311" i="9"/>
  <c r="O304" i="9"/>
  <c r="O329" i="9"/>
  <c r="M233" i="9"/>
  <c r="O302" i="9"/>
  <c r="O312" i="9"/>
  <c r="O330" i="9"/>
  <c r="O313" i="9"/>
  <c r="O331" i="9"/>
  <c r="O332" i="9"/>
  <c r="O342" i="9"/>
  <c r="O362" i="9"/>
  <c r="O355" i="9"/>
  <c r="O363" i="9"/>
  <c r="O364" i="9"/>
  <c r="K133" i="9"/>
  <c r="O366" i="9"/>
  <c r="O367" i="9"/>
  <c r="I288" i="9"/>
  <c r="I289" i="9"/>
  <c r="I290" i="9"/>
  <c r="H288" i="9"/>
  <c r="H289" i="9"/>
  <c r="H290" i="9"/>
  <c r="M698" i="9"/>
  <c r="N699" i="9"/>
  <c r="N703" i="9"/>
  <c r="O650" i="9"/>
  <c r="O651" i="9"/>
  <c r="K119" i="9"/>
  <c r="K122" i="9"/>
  <c r="O413" i="9"/>
  <c r="O549" i="9"/>
  <c r="O550" i="9"/>
  <c r="N553" i="9"/>
  <c r="O548" i="9"/>
  <c r="O551" i="9"/>
  <c r="O552" i="9"/>
  <c r="O521" i="9"/>
  <c r="O568" i="9"/>
  <c r="O563" i="9"/>
  <c r="O565" i="9"/>
  <c r="O572" i="9"/>
  <c r="O577" i="9"/>
  <c r="O569" i="9"/>
  <c r="O573" i="9"/>
  <c r="O578" i="9"/>
  <c r="O574" i="9"/>
  <c r="O579" i="9"/>
  <c r="O580" i="9"/>
  <c r="O414" i="9"/>
  <c r="O415" i="9"/>
  <c r="O621" i="9"/>
  <c r="O611" i="9"/>
  <c r="I185" i="9"/>
  <c r="O609" i="9"/>
  <c r="O612" i="9"/>
  <c r="O656" i="9"/>
  <c r="O647" i="9"/>
  <c r="C4" i="9"/>
  <c r="C5" i="9"/>
  <c r="C6" i="9"/>
  <c r="C7" i="9"/>
  <c r="C8" i="9"/>
  <c r="C9" i="9"/>
  <c r="C10" i="9"/>
  <c r="C11" i="9"/>
  <c r="C12" i="9"/>
  <c r="C13" i="9"/>
  <c r="C14" i="9"/>
  <c r="C15" i="9"/>
  <c r="C16" i="9"/>
  <c r="C17" i="9"/>
  <c r="C18" i="9"/>
  <c r="C19" i="9"/>
  <c r="C20" i="9"/>
  <c r="C21" i="9"/>
  <c r="C22" i="9"/>
  <c r="I233" i="9"/>
  <c r="P64" i="9"/>
  <c r="I360" i="9"/>
  <c r="I340" i="9"/>
  <c r="I311" i="9"/>
  <c r="I304" i="9"/>
  <c r="I329" i="9"/>
  <c r="I330" i="9"/>
  <c r="I331" i="9"/>
  <c r="I332" i="9"/>
  <c r="I342" i="9"/>
  <c r="I362" i="9"/>
  <c r="I364" i="9"/>
  <c r="I367" i="9"/>
  <c r="G34" i="9"/>
  <c r="P63" i="9"/>
  <c r="P65" i="9"/>
  <c r="F66" i="9"/>
  <c r="F67" i="9"/>
  <c r="P43" i="9"/>
  <c r="P44" i="9"/>
  <c r="P45" i="9"/>
  <c r="P46" i="9"/>
  <c r="P47" i="9"/>
  <c r="P52" i="9"/>
  <c r="F68" i="9"/>
  <c r="F69" i="9"/>
  <c r="F57" i="9"/>
  <c r="F49" i="9"/>
  <c r="G49" i="9"/>
  <c r="F54" i="9"/>
  <c r="F55" i="9"/>
  <c r="G55" i="9"/>
  <c r="G57" i="9"/>
  <c r="E478" i="10"/>
  <c r="E477" i="10"/>
  <c r="E476" i="10"/>
  <c r="E475" i="10"/>
  <c r="E474" i="10"/>
  <c r="J699" i="10"/>
  <c r="J652" i="10"/>
  <c r="J615" i="10"/>
  <c r="J568" i="10"/>
  <c r="J538" i="10"/>
  <c r="J466" i="10"/>
  <c r="J379" i="10"/>
  <c r="J329" i="10"/>
  <c r="J277" i="10"/>
  <c r="D9" i="10"/>
  <c r="J505" i="9"/>
  <c r="J369" i="9"/>
  <c r="P19" i="10"/>
  <c r="F20" i="10"/>
  <c r="I424" i="10"/>
  <c r="L20" i="10"/>
  <c r="P20" i="10"/>
  <c r="L22" i="10"/>
  <c r="L23" i="10"/>
  <c r="E26" i="10"/>
  <c r="E31" i="10"/>
  <c r="P41" i="10"/>
  <c r="F42" i="10"/>
  <c r="F44" i="10"/>
  <c r="B52" i="10"/>
  <c r="D58" i="10"/>
  <c r="E70" i="10"/>
  <c r="J75" i="10"/>
  <c r="J76" i="10"/>
  <c r="B85" i="10"/>
  <c r="G94" i="10"/>
  <c r="H94" i="10"/>
  <c r="I94" i="10"/>
  <c r="J94" i="10"/>
  <c r="K94" i="10"/>
  <c r="G99" i="10"/>
  <c r="K390" i="10"/>
  <c r="K752" i="10"/>
  <c r="H99" i="10"/>
  <c r="L390" i="10"/>
  <c r="F110" i="10"/>
  <c r="J343" i="10"/>
  <c r="G110" i="10"/>
  <c r="K343" i="10"/>
  <c r="H110" i="10"/>
  <c r="L343" i="10"/>
  <c r="I110" i="10"/>
  <c r="M343" i="10"/>
  <c r="J110" i="10"/>
  <c r="N343" i="10"/>
  <c r="K110" i="10"/>
  <c r="O343" i="10"/>
  <c r="B136" i="10"/>
  <c r="I143" i="10"/>
  <c r="J756" i="10"/>
  <c r="K756" i="10"/>
  <c r="L756" i="10"/>
  <c r="M756" i="10"/>
  <c r="N756" i="10"/>
  <c r="O756" i="10"/>
  <c r="I147" i="10"/>
  <c r="J674" i="10"/>
  <c r="I157" i="10"/>
  <c r="I162" i="10"/>
  <c r="O584" i="10"/>
  <c r="I166" i="10"/>
  <c r="I171" i="10"/>
  <c r="B184" i="10"/>
  <c r="I189" i="10"/>
  <c r="J189" i="10"/>
  <c r="I195" i="10"/>
  <c r="K244" i="10"/>
  <c r="J195" i="10"/>
  <c r="L244" i="10"/>
  <c r="K195" i="10"/>
  <c r="M244" i="10"/>
  <c r="L195" i="10"/>
  <c r="N244" i="10"/>
  <c r="M195" i="10"/>
  <c r="O244" i="10"/>
  <c r="C197" i="10"/>
  <c r="C198" i="10"/>
  <c r="I198" i="10"/>
  <c r="J198" i="10"/>
  <c r="K198" i="10"/>
  <c r="L198" i="10"/>
  <c r="M198" i="10"/>
  <c r="C199" i="10"/>
  <c r="I199" i="10"/>
  <c r="J199" i="10"/>
  <c r="K199" i="10"/>
  <c r="L199" i="10"/>
  <c r="M199" i="10"/>
  <c r="I201" i="10"/>
  <c r="K258" i="10"/>
  <c r="J201" i="10"/>
  <c r="L258" i="10"/>
  <c r="K201" i="10"/>
  <c r="M258" i="10"/>
  <c r="L201" i="10"/>
  <c r="N258" i="10"/>
  <c r="M201" i="10"/>
  <c r="O258" i="10"/>
  <c r="C203" i="10"/>
  <c r="C229" i="10"/>
  <c r="C204" i="10"/>
  <c r="C205" i="10"/>
  <c r="I210" i="10"/>
  <c r="K279" i="10"/>
  <c r="J210" i="10"/>
  <c r="L279" i="10"/>
  <c r="K210" i="10"/>
  <c r="I96" i="10"/>
  <c r="L210" i="10"/>
  <c r="N332" i="10"/>
  <c r="M210" i="10"/>
  <c r="O279" i="10"/>
  <c r="C213" i="10"/>
  <c r="C214" i="10"/>
  <c r="I216" i="10"/>
  <c r="K280" i="10"/>
  <c r="J216" i="10"/>
  <c r="L280" i="10"/>
  <c r="K216" i="10"/>
  <c r="M280" i="10"/>
  <c r="L216" i="10"/>
  <c r="N280" i="10"/>
  <c r="M216" i="10"/>
  <c r="O280" i="10"/>
  <c r="C219" i="10"/>
  <c r="C220" i="10"/>
  <c r="I222" i="10"/>
  <c r="K286" i="10"/>
  <c r="J222" i="10"/>
  <c r="L286" i="10"/>
  <c r="K222" i="10"/>
  <c r="M286" i="10"/>
  <c r="L222" i="10"/>
  <c r="N286" i="10"/>
  <c r="M222" i="10"/>
  <c r="O286" i="10"/>
  <c r="C225" i="10"/>
  <c r="C226" i="10"/>
  <c r="B236" i="10"/>
  <c r="B731" i="10"/>
  <c r="B780" i="10"/>
  <c r="I245" i="10"/>
  <c r="J245" i="10"/>
  <c r="H247" i="10"/>
  <c r="I247" i="10"/>
  <c r="J247" i="10"/>
  <c r="K247" i="10"/>
  <c r="L247" i="10"/>
  <c r="H249" i="10"/>
  <c r="I249" i="10"/>
  <c r="J249" i="10"/>
  <c r="K253" i="10"/>
  <c r="L253" i="10"/>
  <c r="M253" i="10"/>
  <c r="K254" i="10"/>
  <c r="L254" i="10"/>
  <c r="H255" i="10"/>
  <c r="H261" i="10"/>
  <c r="I255" i="10"/>
  <c r="I261" i="10"/>
  <c r="J255" i="10"/>
  <c r="J261" i="10"/>
  <c r="I258" i="10"/>
  <c r="J258" i="10"/>
  <c r="H265" i="10"/>
  <c r="I265" i="10"/>
  <c r="J265" i="10"/>
  <c r="H266" i="10"/>
  <c r="H336" i="10"/>
  <c r="I266" i="10"/>
  <c r="I336" i="10"/>
  <c r="J266" i="10"/>
  <c r="J336" i="10"/>
  <c r="B272" i="10"/>
  <c r="H281" i="10"/>
  <c r="H296" i="10"/>
  <c r="I281" i="10"/>
  <c r="I294" i="10"/>
  <c r="J281" i="10"/>
  <c r="J296" i="10"/>
  <c r="H288" i="10"/>
  <c r="I288" i="10"/>
  <c r="I291" i="10"/>
  <c r="J288" i="10"/>
  <c r="J291" i="10"/>
  <c r="F289" i="10"/>
  <c r="K289" i="10"/>
  <c r="F290" i="10"/>
  <c r="K290" i="10"/>
  <c r="F291" i="10"/>
  <c r="F294" i="10"/>
  <c r="F295" i="10"/>
  <c r="F296" i="10"/>
  <c r="F297" i="10"/>
  <c r="F298" i="10"/>
  <c r="F299" i="10"/>
  <c r="F301" i="10"/>
  <c r="D306" i="10"/>
  <c r="D307" i="10"/>
  <c r="F307" i="10"/>
  <c r="D308" i="10"/>
  <c r="F308" i="10"/>
  <c r="F309" i="10"/>
  <c r="D312" i="10"/>
  <c r="F312" i="10"/>
  <c r="K312" i="10"/>
  <c r="D313" i="10"/>
  <c r="F313" i="10"/>
  <c r="K313" i="10"/>
  <c r="D314" i="10"/>
  <c r="F314" i="10"/>
  <c r="K314" i="10"/>
  <c r="D315" i="10"/>
  <c r="F315" i="10"/>
  <c r="K315" i="10"/>
  <c r="D316" i="10"/>
  <c r="F316" i="10"/>
  <c r="K316" i="10"/>
  <c r="F317" i="10"/>
  <c r="H317" i="10"/>
  <c r="I317" i="10"/>
  <c r="J317" i="10"/>
  <c r="F319" i="10"/>
  <c r="B324" i="10"/>
  <c r="H331" i="10"/>
  <c r="I331" i="10"/>
  <c r="J331" i="10"/>
  <c r="K340" i="10"/>
  <c r="B374" i="10"/>
  <c r="K391" i="10"/>
  <c r="L391" i="10"/>
  <c r="M391" i="10"/>
  <c r="N391" i="10"/>
  <c r="O391" i="10"/>
  <c r="B416" i="10"/>
  <c r="J425" i="10"/>
  <c r="J552" i="10"/>
  <c r="J426" i="10"/>
  <c r="J553" i="10"/>
  <c r="J427" i="10"/>
  <c r="H428" i="10"/>
  <c r="H433" i="10"/>
  <c r="I430" i="10"/>
  <c r="J430" i="10"/>
  <c r="J432" i="10"/>
  <c r="K432" i="10"/>
  <c r="L432" i="10"/>
  <c r="M432" i="10"/>
  <c r="N432" i="10"/>
  <c r="O432" i="10"/>
  <c r="J438" i="10"/>
  <c r="J554" i="10"/>
  <c r="J439" i="10"/>
  <c r="K439" i="10"/>
  <c r="L439" i="10"/>
  <c r="M439" i="10"/>
  <c r="N439" i="10"/>
  <c r="O439" i="10"/>
  <c r="H440" i="10"/>
  <c r="J442" i="10"/>
  <c r="H447" i="10"/>
  <c r="I451" i="10"/>
  <c r="H454" i="10"/>
  <c r="P44" i="10"/>
  <c r="B461" i="10"/>
  <c r="F468" i="10"/>
  <c r="F469" i="10"/>
  <c r="H480" i="10"/>
  <c r="H346" i="10"/>
  <c r="I480" i="10"/>
  <c r="I346" i="10"/>
  <c r="J480" i="10"/>
  <c r="J346" i="10"/>
  <c r="B486" i="10"/>
  <c r="E491" i="10"/>
  <c r="D513" i="10"/>
  <c r="K500" i="10"/>
  <c r="K504" i="10"/>
  <c r="F521" i="10"/>
  <c r="K523" i="10"/>
  <c r="B533" i="10"/>
  <c r="K547" i="10"/>
  <c r="L547" i="10"/>
  <c r="M547" i="10"/>
  <c r="N547" i="10"/>
  <c r="O547" i="10"/>
  <c r="K548" i="10"/>
  <c r="L548" i="10"/>
  <c r="M548" i="10"/>
  <c r="N548" i="10"/>
  <c r="O548" i="10"/>
  <c r="K549" i="10"/>
  <c r="L549" i="10"/>
  <c r="M549" i="10"/>
  <c r="N549" i="10"/>
  <c r="O549" i="10"/>
  <c r="B563" i="10"/>
  <c r="B694" i="10"/>
  <c r="K570" i="10"/>
  <c r="K617" i="10"/>
  <c r="K654" i="10"/>
  <c r="L570" i="10"/>
  <c r="L617" i="10"/>
  <c r="L654" i="10"/>
  <c r="M570" i="10"/>
  <c r="M617" i="10"/>
  <c r="M654" i="10"/>
  <c r="N570" i="10"/>
  <c r="N617" i="10"/>
  <c r="N654" i="10"/>
  <c r="O570" i="10"/>
  <c r="O617" i="10"/>
  <c r="O654" i="10"/>
  <c r="K578" i="10"/>
  <c r="L578" i="10"/>
  <c r="M578" i="10"/>
  <c r="N578" i="10"/>
  <c r="O578" i="10"/>
  <c r="D579" i="10"/>
  <c r="K584" i="10"/>
  <c r="L584" i="10"/>
  <c r="M584" i="10"/>
  <c r="N584" i="10"/>
  <c r="K596" i="10"/>
  <c r="L596" i="10"/>
  <c r="M596" i="10"/>
  <c r="N596" i="10"/>
  <c r="O596" i="10"/>
  <c r="B610" i="10"/>
  <c r="K622" i="10"/>
  <c r="K399" i="10"/>
  <c r="K625" i="10"/>
  <c r="K631" i="10"/>
  <c r="K400" i="10"/>
  <c r="K637" i="10"/>
  <c r="B647" i="10"/>
  <c r="K681" i="10"/>
  <c r="L681" i="10"/>
  <c r="M681" i="10"/>
  <c r="K703" i="10"/>
  <c r="K401" i="10"/>
  <c r="L703" i="10"/>
  <c r="L401" i="10"/>
  <c r="M703" i="10"/>
  <c r="M401" i="10"/>
  <c r="N703" i="10"/>
  <c r="N401" i="10"/>
  <c r="O703" i="10"/>
  <c r="O401" i="10"/>
  <c r="K706" i="10"/>
  <c r="K712" i="10"/>
  <c r="K403" i="10"/>
  <c r="L712" i="10"/>
  <c r="L403" i="10"/>
  <c r="M712" i="10"/>
  <c r="M403" i="10"/>
  <c r="N712" i="10"/>
  <c r="N403" i="10"/>
  <c r="O712" i="10"/>
  <c r="O403" i="10"/>
  <c r="K715" i="10"/>
  <c r="L715" i="10"/>
  <c r="M715" i="10"/>
  <c r="N715" i="10"/>
  <c r="O715" i="10"/>
  <c r="J761" i="10"/>
  <c r="K761" i="10"/>
  <c r="L761" i="10"/>
  <c r="M761" i="10"/>
  <c r="N761" i="10"/>
  <c r="O761" i="10"/>
  <c r="K788" i="10"/>
  <c r="L788" i="10"/>
  <c r="M788" i="10"/>
  <c r="N788" i="10"/>
  <c r="O788" i="10"/>
  <c r="P42" i="9"/>
  <c r="L43" i="9"/>
  <c r="L45" i="9"/>
  <c r="L46" i="9"/>
  <c r="E49" i="9"/>
  <c r="E54" i="9"/>
  <c r="F65" i="9"/>
  <c r="B75" i="9"/>
  <c r="D81" i="9"/>
  <c r="E93" i="9"/>
  <c r="J98" i="9"/>
  <c r="J99" i="9"/>
  <c r="B108" i="9"/>
  <c r="G117" i="9"/>
  <c r="H117" i="9"/>
  <c r="K777" i="9"/>
  <c r="L777" i="9"/>
  <c r="B159" i="9"/>
  <c r="I166" i="9"/>
  <c r="J781" i="9"/>
  <c r="K781" i="9"/>
  <c r="L781" i="9"/>
  <c r="M781" i="9"/>
  <c r="N781" i="9"/>
  <c r="O781" i="9"/>
  <c r="I180" i="9"/>
  <c r="I189" i="9"/>
  <c r="I194" i="9"/>
  <c r="B207" i="9"/>
  <c r="I222" i="9"/>
  <c r="J222" i="9"/>
  <c r="K222" i="9"/>
  <c r="L222" i="9"/>
  <c r="M222" i="9"/>
  <c r="C220" i="9"/>
  <c r="C221" i="9"/>
  <c r="I221" i="9"/>
  <c r="J221" i="9"/>
  <c r="K221" i="9"/>
  <c r="L221" i="9"/>
  <c r="M221" i="9"/>
  <c r="C222" i="9"/>
  <c r="C226" i="9"/>
  <c r="C247" i="9"/>
  <c r="C227" i="9"/>
  <c r="C228" i="9"/>
  <c r="K355" i="9"/>
  <c r="C236" i="9"/>
  <c r="C237" i="9"/>
  <c r="C242" i="9"/>
  <c r="C243" i="9"/>
  <c r="C248" i="9"/>
  <c r="C249" i="9"/>
  <c r="B259" i="9"/>
  <c r="B756" i="9"/>
  <c r="B805" i="9"/>
  <c r="I268" i="9"/>
  <c r="J268" i="9"/>
  <c r="H270" i="9"/>
  <c r="I270" i="9"/>
  <c r="J270" i="9"/>
  <c r="H272" i="9"/>
  <c r="I272" i="9"/>
  <c r="J272" i="9"/>
  <c r="K276" i="9"/>
  <c r="K277" i="9"/>
  <c r="L277" i="9"/>
  <c r="M277" i="9"/>
  <c r="N277" i="9"/>
  <c r="O277" i="9"/>
  <c r="H278" i="9"/>
  <c r="H284" i="9"/>
  <c r="I278" i="9"/>
  <c r="I284" i="9"/>
  <c r="J278" i="9"/>
  <c r="J284" i="9"/>
  <c r="I281" i="9"/>
  <c r="J281" i="9"/>
  <c r="I358" i="9"/>
  <c r="J358" i="9"/>
  <c r="H359" i="9"/>
  <c r="I359" i="9"/>
  <c r="J359" i="9"/>
  <c r="B295" i="9"/>
  <c r="H304" i="9"/>
  <c r="H321" i="9"/>
  <c r="I318" i="9"/>
  <c r="J317" i="9"/>
  <c r="H311" i="9"/>
  <c r="H314" i="9"/>
  <c r="J314" i="9"/>
  <c r="F312" i="9"/>
  <c r="F313" i="9"/>
  <c r="F314" i="9"/>
  <c r="F317" i="9"/>
  <c r="F318" i="9"/>
  <c r="F319" i="9"/>
  <c r="F320" i="9"/>
  <c r="F321" i="9"/>
  <c r="F322" i="9"/>
  <c r="F324" i="9"/>
  <c r="D329" i="9"/>
  <c r="D330" i="9"/>
  <c r="F330" i="9"/>
  <c r="D331" i="9"/>
  <c r="F331" i="9"/>
  <c r="F332" i="9"/>
  <c r="D335" i="9"/>
  <c r="F335" i="9"/>
  <c r="D336" i="9"/>
  <c r="F336" i="9"/>
  <c r="D337" i="9"/>
  <c r="F337" i="9"/>
  <c r="D338" i="9"/>
  <c r="F338" i="9"/>
  <c r="D339" i="9"/>
  <c r="F339" i="9"/>
  <c r="F340" i="9"/>
  <c r="H340" i="9"/>
  <c r="F342" i="9"/>
  <c r="B347" i="9"/>
  <c r="H354" i="9"/>
  <c r="I354" i="9"/>
  <c r="J354" i="9"/>
  <c r="B397" i="9"/>
  <c r="B439" i="9"/>
  <c r="J450" i="9"/>
  <c r="K450" i="9"/>
  <c r="L450" i="9"/>
  <c r="M450" i="9"/>
  <c r="N450" i="9"/>
  <c r="O450" i="9"/>
  <c r="H451" i="9"/>
  <c r="H456" i="9"/>
  <c r="J455" i="9"/>
  <c r="K455" i="9"/>
  <c r="L455" i="9"/>
  <c r="M455" i="9"/>
  <c r="N455" i="9"/>
  <c r="O455" i="9"/>
  <c r="J462" i="9"/>
  <c r="K462" i="9"/>
  <c r="L462" i="9"/>
  <c r="M462" i="9"/>
  <c r="N462" i="9"/>
  <c r="O462" i="9"/>
  <c r="H463" i="9"/>
  <c r="J465" i="9"/>
  <c r="H470" i="9"/>
  <c r="H477" i="9"/>
  <c r="P67" i="9"/>
  <c r="B486" i="9"/>
  <c r="H505" i="9"/>
  <c r="H369" i="9"/>
  <c r="I505" i="9"/>
  <c r="I369" i="9"/>
  <c r="B511" i="9"/>
  <c r="D538" i="9"/>
  <c r="B558" i="9"/>
  <c r="B588" i="9"/>
  <c r="B719" i="9"/>
  <c r="K642" i="9"/>
  <c r="K679" i="9"/>
  <c r="N642" i="9"/>
  <c r="N679" i="9"/>
  <c r="O595" i="9"/>
  <c r="O642" i="9"/>
  <c r="O679" i="9"/>
  <c r="O603" i="9"/>
  <c r="D604" i="9"/>
  <c r="B635" i="9"/>
  <c r="B672" i="9"/>
  <c r="N424" i="9"/>
  <c r="O728" i="9"/>
  <c r="O424" i="9"/>
  <c r="N737" i="9"/>
  <c r="N426" i="9"/>
  <c r="O737" i="9"/>
  <c r="O426" i="9"/>
  <c r="O740" i="9"/>
  <c r="J786" i="9"/>
  <c r="K786" i="9"/>
  <c r="L786" i="9"/>
  <c r="M786" i="9"/>
  <c r="N786" i="9"/>
  <c r="O786" i="9"/>
  <c r="K813" i="9"/>
  <c r="L813" i="9"/>
  <c r="M813" i="9"/>
  <c r="N813" i="9"/>
  <c r="O813" i="9"/>
  <c r="H330" i="9"/>
  <c r="M245" i="10"/>
  <c r="K302" i="9"/>
  <c r="K332" i="10"/>
  <c r="N279" i="10"/>
  <c r="G128" i="9"/>
  <c r="H128" i="9"/>
  <c r="I128" i="9"/>
  <c r="J128" i="9"/>
  <c r="K128" i="9"/>
  <c r="D541" i="9"/>
  <c r="L314" i="10"/>
  <c r="K471" i="10"/>
  <c r="L471" i="10"/>
  <c r="L290" i="10"/>
  <c r="C218" i="10"/>
  <c r="I295" i="10"/>
  <c r="H319" i="9"/>
  <c r="C224" i="10"/>
  <c r="C212" i="10"/>
  <c r="O235" i="10"/>
  <c r="O373" i="10"/>
  <c r="L579" i="10"/>
  <c r="L642" i="9"/>
  <c r="L679" i="9"/>
  <c r="I308" i="10"/>
  <c r="K314" i="9"/>
  <c r="J294" i="10"/>
  <c r="J307" i="10"/>
  <c r="G105" i="10"/>
  <c r="H105" i="10"/>
  <c r="I105" i="10"/>
  <c r="J105" i="10"/>
  <c r="K105" i="10"/>
  <c r="M579" i="10"/>
  <c r="K474" i="9"/>
  <c r="H318" i="9"/>
  <c r="L288" i="10"/>
  <c r="N288" i="10"/>
  <c r="H472" i="9"/>
  <c r="H479" i="9"/>
  <c r="H481" i="9"/>
  <c r="C241" i="9"/>
  <c r="M352" i="9"/>
  <c r="J318" i="9"/>
  <c r="C235" i="9"/>
  <c r="O258" i="9"/>
  <c r="O485" i="9"/>
  <c r="O288" i="10"/>
  <c r="C252" i="9"/>
  <c r="L315" i="10"/>
  <c r="H360" i="9"/>
  <c r="H358" i="9"/>
  <c r="K288" i="10"/>
  <c r="K291" i="10"/>
  <c r="J568" i="9"/>
  <c r="M268" i="9"/>
  <c r="H449" i="10"/>
  <c r="H456" i="10"/>
  <c r="H458" i="10"/>
  <c r="J298" i="10"/>
  <c r="I307" i="10"/>
  <c r="K255" i="10"/>
  <c r="K259" i="10"/>
  <c r="L637" i="10"/>
  <c r="M637" i="10"/>
  <c r="K241" i="10"/>
  <c r="K329" i="10"/>
  <c r="L625" i="10"/>
  <c r="M625" i="10"/>
  <c r="N625" i="10"/>
  <c r="J267" i="10"/>
  <c r="J337" i="10"/>
  <c r="J543" i="10"/>
  <c r="N579" i="10"/>
  <c r="L752" i="10"/>
  <c r="L524" i="10"/>
  <c r="L525" i="10"/>
  <c r="K245" i="10"/>
  <c r="K268" i="9"/>
  <c r="K272" i="9"/>
  <c r="L268" i="9"/>
  <c r="J96" i="10"/>
  <c r="K96" i="10"/>
  <c r="K99" i="10"/>
  <c r="O390" i="10"/>
  <c r="I99" i="10"/>
  <c r="M390" i="10"/>
  <c r="M392" i="10"/>
  <c r="J424" i="10"/>
  <c r="J428" i="10"/>
  <c r="I428" i="10"/>
  <c r="L289" i="10"/>
  <c r="L313" i="10"/>
  <c r="L255" i="10"/>
  <c r="M254" i="10"/>
  <c r="N254" i="10"/>
  <c r="O254" i="10"/>
  <c r="H320" i="9"/>
  <c r="J335" i="10"/>
  <c r="H307" i="10"/>
  <c r="I298" i="10"/>
  <c r="J295" i="10"/>
  <c r="O332" i="10"/>
  <c r="J308" i="10"/>
  <c r="M642" i="9"/>
  <c r="M679" i="9"/>
  <c r="H331" i="9"/>
  <c r="H329" i="9"/>
  <c r="I319" i="9"/>
  <c r="H317" i="9"/>
  <c r="H295" i="10"/>
  <c r="L272" i="9"/>
  <c r="L622" i="10"/>
  <c r="M622" i="10"/>
  <c r="M332" i="10"/>
  <c r="J306" i="10"/>
  <c r="J297" i="10"/>
  <c r="M279" i="10"/>
  <c r="K248" i="10"/>
  <c r="L332" i="10"/>
  <c r="L340" i="10"/>
  <c r="D516" i="10"/>
  <c r="O604" i="9"/>
  <c r="J555" i="10"/>
  <c r="J673" i="10"/>
  <c r="K674" i="10"/>
  <c r="K678" i="10"/>
  <c r="L706" i="10"/>
  <c r="N681" i="10"/>
  <c r="K427" i="10"/>
  <c r="L427" i="10"/>
  <c r="M427" i="10"/>
  <c r="N427" i="10"/>
  <c r="O427" i="10"/>
  <c r="K189" i="10"/>
  <c r="L241" i="10"/>
  <c r="I267" i="10"/>
  <c r="I337" i="10"/>
  <c r="I335" i="10"/>
  <c r="J451" i="10"/>
  <c r="O579" i="10"/>
  <c r="K579" i="10"/>
  <c r="K392" i="10"/>
  <c r="K524" i="10"/>
  <c r="K525" i="10"/>
  <c r="K526" i="10"/>
  <c r="K527" i="10"/>
  <c r="K496" i="10"/>
  <c r="L392" i="10"/>
  <c r="L631" i="10"/>
  <c r="N253" i="10"/>
  <c r="H267" i="10"/>
  <c r="H337" i="10"/>
  <c r="H335" i="10"/>
  <c r="M247" i="10"/>
  <c r="L248" i="10"/>
  <c r="L245" i="10"/>
  <c r="L316" i="10"/>
  <c r="L312" i="10"/>
  <c r="K317" i="10"/>
  <c r="N245" i="10"/>
  <c r="O245" i="10"/>
  <c r="H291" i="10"/>
  <c r="H306" i="10"/>
  <c r="I297" i="10"/>
  <c r="I306" i="10"/>
  <c r="I296" i="10"/>
  <c r="M288" i="10"/>
  <c r="D90" i="10"/>
  <c r="H294" i="10"/>
  <c r="H298" i="10"/>
  <c r="H297" i="10"/>
  <c r="H308" i="10"/>
  <c r="O662" i="9"/>
  <c r="O731" i="9"/>
  <c r="K321" i="9"/>
  <c r="K354" i="9"/>
  <c r="I451" i="9"/>
  <c r="D113" i="9"/>
  <c r="I117" i="9"/>
  <c r="J117" i="9"/>
  <c r="K117" i="9"/>
  <c r="I314" i="9"/>
  <c r="O268" i="9"/>
  <c r="N268" i="9"/>
  <c r="L276" i="9"/>
  <c r="K278" i="9"/>
  <c r="K284" i="9"/>
  <c r="M272" i="9"/>
  <c r="J319" i="9"/>
  <c r="J320" i="9"/>
  <c r="J321" i="9"/>
  <c r="I320" i="9"/>
  <c r="I317" i="9"/>
  <c r="I321" i="9"/>
  <c r="G139" i="9"/>
  <c r="H139" i="9"/>
  <c r="F128" i="9"/>
  <c r="O532" i="10"/>
  <c r="O646" i="10"/>
  <c r="L399" i="10"/>
  <c r="O415" i="10"/>
  <c r="K277" i="10"/>
  <c r="O485" i="10"/>
  <c r="J241" i="10"/>
  <c r="O693" i="10"/>
  <c r="K318" i="9"/>
  <c r="O346" i="9"/>
  <c r="K319" i="9"/>
  <c r="O779" i="10"/>
  <c r="O460" i="10"/>
  <c r="K317" i="9"/>
  <c r="O730" i="10"/>
  <c r="O271" i="10"/>
  <c r="K320" i="9"/>
  <c r="J299" i="10"/>
  <c r="J301" i="10"/>
  <c r="O609" i="10"/>
  <c r="O323" i="10"/>
  <c r="L352" i="9"/>
  <c r="L546" i="9"/>
  <c r="L34" i="9"/>
  <c r="L474" i="9"/>
  <c r="O587" i="9"/>
  <c r="F105" i="10"/>
  <c r="O562" i="10"/>
  <c r="L291" i="10"/>
  <c r="L593" i="9"/>
  <c r="L10" i="10"/>
  <c r="G116" i="10"/>
  <c r="H116" i="10"/>
  <c r="I116" i="10"/>
  <c r="I126" i="10"/>
  <c r="H322" i="9"/>
  <c r="H324" i="9"/>
  <c r="L300" i="9"/>
  <c r="M255" i="10"/>
  <c r="L259" i="10"/>
  <c r="L261" i="10"/>
  <c r="K265" i="10"/>
  <c r="K335" i="10"/>
  <c r="K281" i="10"/>
  <c r="K297" i="10"/>
  <c r="J322" i="9"/>
  <c r="J324" i="9"/>
  <c r="M315" i="10"/>
  <c r="N315" i="10"/>
  <c r="O315" i="10"/>
  <c r="O294" i="9"/>
  <c r="O438" i="9"/>
  <c r="O557" i="9"/>
  <c r="O671" i="9"/>
  <c r="O804" i="9"/>
  <c r="O510" i="9"/>
  <c r="O718" i="9"/>
  <c r="K359" i="9"/>
  <c r="O634" i="9"/>
  <c r="O755" i="9"/>
  <c r="M300" i="9"/>
  <c r="M761" i="9"/>
  <c r="M593" i="9"/>
  <c r="M516" i="9"/>
  <c r="M724" i="9"/>
  <c r="M640" i="9"/>
  <c r="M827" i="9"/>
  <c r="C830" i="9"/>
  <c r="M677" i="9"/>
  <c r="M444" i="9"/>
  <c r="M810" i="9"/>
  <c r="M546" i="9"/>
  <c r="O396" i="9"/>
  <c r="I309" i="10"/>
  <c r="I319" i="10"/>
  <c r="I339" i="10"/>
  <c r="I341" i="10"/>
  <c r="I344" i="10"/>
  <c r="L724" i="9"/>
  <c r="L444" i="9"/>
  <c r="L810" i="9"/>
  <c r="L640" i="9"/>
  <c r="L827" i="9"/>
  <c r="C829" i="9"/>
  <c r="L761" i="9"/>
  <c r="L677" i="9"/>
  <c r="L516" i="9"/>
  <c r="K266" i="10"/>
  <c r="K379" i="10"/>
  <c r="K538" i="10"/>
  <c r="K699" i="10"/>
  <c r="K785" i="10"/>
  <c r="K421" i="10"/>
  <c r="K466" i="10"/>
  <c r="D474" i="10"/>
  <c r="K491" i="10"/>
  <c r="K802" i="10"/>
  <c r="C803" i="10"/>
  <c r="K568" i="10"/>
  <c r="K615" i="10"/>
  <c r="K521" i="10"/>
  <c r="K652" i="10"/>
  <c r="K736" i="10"/>
  <c r="J99" i="10"/>
  <c r="N390" i="10"/>
  <c r="N392" i="10"/>
  <c r="M340" i="10"/>
  <c r="N340" i="10"/>
  <c r="O340" i="10"/>
  <c r="K331" i="10"/>
  <c r="K261" i="10"/>
  <c r="H332" i="9"/>
  <c r="H342" i="9"/>
  <c r="H362" i="9"/>
  <c r="H364" i="9"/>
  <c r="H367" i="9"/>
  <c r="M289" i="10"/>
  <c r="N289" i="10"/>
  <c r="O289" i="10"/>
  <c r="M313" i="10"/>
  <c r="N313" i="10"/>
  <c r="O313" i="10"/>
  <c r="I389" i="9"/>
  <c r="J576" i="10"/>
  <c r="J739" i="10"/>
  <c r="K409" i="10"/>
  <c r="I299" i="10"/>
  <c r="I301" i="10"/>
  <c r="M290" i="10"/>
  <c r="N290" i="10"/>
  <c r="J309" i="10"/>
  <c r="J319" i="10"/>
  <c r="J339" i="10"/>
  <c r="M752" i="10"/>
  <c r="M524" i="10"/>
  <c r="M525" i="10"/>
  <c r="K249" i="10"/>
  <c r="M314" i="10"/>
  <c r="N314" i="10"/>
  <c r="H299" i="10"/>
  <c r="H301" i="10"/>
  <c r="N637" i="10"/>
  <c r="N247" i="10"/>
  <c r="M248" i="10"/>
  <c r="M249" i="10"/>
  <c r="O253" i="10"/>
  <c r="O255" i="10"/>
  <c r="N255" i="10"/>
  <c r="L400" i="10"/>
  <c r="M631" i="10"/>
  <c r="M399" i="10"/>
  <c r="N622" i="10"/>
  <c r="O681" i="10"/>
  <c r="M316" i="10"/>
  <c r="L249" i="10"/>
  <c r="L277" i="10"/>
  <c r="L329" i="10"/>
  <c r="L379" i="10"/>
  <c r="L421" i="10"/>
  <c r="L11" i="10"/>
  <c r="L521" i="10"/>
  <c r="L736" i="10"/>
  <c r="L785" i="10"/>
  <c r="L615" i="10"/>
  <c r="L491" i="10"/>
  <c r="L538" i="10"/>
  <c r="L652" i="10"/>
  <c r="L802" i="10"/>
  <c r="C804" i="10"/>
  <c r="L568" i="10"/>
  <c r="L699" i="10"/>
  <c r="L466" i="10"/>
  <c r="M471" i="10"/>
  <c r="K528" i="10"/>
  <c r="L523" i="10"/>
  <c r="O625" i="10"/>
  <c r="H309" i="10"/>
  <c r="H319" i="10"/>
  <c r="H339" i="10"/>
  <c r="H341" i="10"/>
  <c r="H344" i="10"/>
  <c r="O524" i="10"/>
  <c r="O525" i="10"/>
  <c r="O392" i="10"/>
  <c r="O752" i="10"/>
  <c r="M312" i="10"/>
  <c r="L317" i="10"/>
  <c r="J704" i="10"/>
  <c r="K702" i="10"/>
  <c r="K704" i="10"/>
  <c r="L189" i="10"/>
  <c r="M241" i="10"/>
  <c r="M706" i="10"/>
  <c r="L33" i="9"/>
  <c r="K300" i="9"/>
  <c r="K352" i="9"/>
  <c r="K444" i="9"/>
  <c r="K546" i="9"/>
  <c r="K593" i="9"/>
  <c r="K761" i="9"/>
  <c r="K810" i="9"/>
  <c r="K827" i="9"/>
  <c r="C828" i="9"/>
  <c r="K640" i="9"/>
  <c r="K516" i="9"/>
  <c r="K677" i="9"/>
  <c r="K724" i="9"/>
  <c r="M777" i="9"/>
  <c r="K432" i="9"/>
  <c r="J451" i="9"/>
  <c r="J764" i="9"/>
  <c r="I322" i="9"/>
  <c r="I324" i="9"/>
  <c r="M276" i="9"/>
  <c r="L278" i="9"/>
  <c r="L284" i="9"/>
  <c r="N300" i="9"/>
  <c r="N352" i="9"/>
  <c r="N444" i="9"/>
  <c r="N516" i="9"/>
  <c r="N761" i="9"/>
  <c r="N810" i="9"/>
  <c r="N546" i="9"/>
  <c r="N827" i="9"/>
  <c r="C831" i="9"/>
  <c r="N640" i="9"/>
  <c r="N724" i="9"/>
  <c r="N593" i="9"/>
  <c r="N677" i="9"/>
  <c r="L359" i="9"/>
  <c r="L317" i="9"/>
  <c r="L354" i="9"/>
  <c r="O272" i="9"/>
  <c r="N272" i="9"/>
  <c r="L314" i="9"/>
  <c r="K358" i="9"/>
  <c r="E87" i="9"/>
  <c r="G149" i="9"/>
  <c r="E184" i="9"/>
  <c r="F184" i="9"/>
  <c r="G184" i="9"/>
  <c r="H184" i="9"/>
  <c r="I184" i="9"/>
  <c r="K540" i="10"/>
  <c r="I241" i="10"/>
  <c r="I466" i="10"/>
  <c r="K322" i="9"/>
  <c r="K324" i="9"/>
  <c r="K748" i="9"/>
  <c r="J569" i="9"/>
  <c r="M474" i="9"/>
  <c r="J116" i="10"/>
  <c r="K116" i="10"/>
  <c r="K126" i="10"/>
  <c r="N524" i="10"/>
  <c r="N525" i="10"/>
  <c r="L281" i="10"/>
  <c r="L296" i="10"/>
  <c r="N752" i="10"/>
  <c r="L331" i="10"/>
  <c r="G126" i="10"/>
  <c r="K295" i="10"/>
  <c r="L266" i="10"/>
  <c r="L336" i="10"/>
  <c r="H126" i="10"/>
  <c r="M259" i="10"/>
  <c r="M331" i="10"/>
  <c r="L265" i="10"/>
  <c r="L335" i="10"/>
  <c r="E161" i="10"/>
  <c r="F161" i="10"/>
  <c r="G161" i="10"/>
  <c r="H161" i="10"/>
  <c r="I161" i="10"/>
  <c r="K308" i="10"/>
  <c r="K306" i="10"/>
  <c r="I370" i="9"/>
  <c r="I390" i="9"/>
  <c r="K307" i="10"/>
  <c r="K298" i="10"/>
  <c r="K294" i="10"/>
  <c r="K296" i="10"/>
  <c r="K336" i="10"/>
  <c r="K267" i="10"/>
  <c r="K337" i="10"/>
  <c r="K543" i="10"/>
  <c r="L540" i="10"/>
  <c r="K574" i="10"/>
  <c r="K580" i="10"/>
  <c r="D475" i="10"/>
  <c r="D476" i="10"/>
  <c r="D477" i="10"/>
  <c r="D478" i="10"/>
  <c r="K474" i="10"/>
  <c r="K480" i="10"/>
  <c r="K346" i="10"/>
  <c r="H389" i="9"/>
  <c r="H370" i="9"/>
  <c r="H390" i="9"/>
  <c r="L320" i="9"/>
  <c r="M291" i="10"/>
  <c r="J341" i="10"/>
  <c r="J344" i="10"/>
  <c r="J544" i="10"/>
  <c r="I347" i="10"/>
  <c r="I367" i="10"/>
  <c r="I366" i="10"/>
  <c r="O637" i="10"/>
  <c r="N706" i="10"/>
  <c r="H366" i="10"/>
  <c r="H347" i="10"/>
  <c r="H367" i="10"/>
  <c r="O290" i="10"/>
  <c r="N291" i="10"/>
  <c r="M277" i="10"/>
  <c r="M329" i="10"/>
  <c r="M379" i="10"/>
  <c r="M421" i="10"/>
  <c r="M521" i="10"/>
  <c r="M568" i="10"/>
  <c r="M736" i="10"/>
  <c r="M785" i="10"/>
  <c r="M466" i="10"/>
  <c r="M699" i="10"/>
  <c r="M802" i="10"/>
  <c r="C805" i="10"/>
  <c r="M491" i="10"/>
  <c r="M538" i="10"/>
  <c r="M540" i="10"/>
  <c r="M652" i="10"/>
  <c r="M615" i="10"/>
  <c r="K451" i="10"/>
  <c r="K792" i="10"/>
  <c r="L702" i="10"/>
  <c r="L704" i="10"/>
  <c r="K707" i="10"/>
  <c r="O314" i="10"/>
  <c r="L526" i="10"/>
  <c r="L527" i="10"/>
  <c r="L496" i="10"/>
  <c r="N399" i="10"/>
  <c r="O622" i="10"/>
  <c r="O399" i="10"/>
  <c r="N248" i="10"/>
  <c r="N249" i="10"/>
  <c r="O247" i="10"/>
  <c r="O248" i="10"/>
  <c r="O249" i="10"/>
  <c r="N316" i="10"/>
  <c r="M189" i="10"/>
  <c r="N241" i="10"/>
  <c r="N312" i="10"/>
  <c r="M317" i="10"/>
  <c r="N471" i="10"/>
  <c r="M400" i="10"/>
  <c r="N631" i="10"/>
  <c r="D32" i="9"/>
  <c r="J300" i="9"/>
  <c r="J352" i="9"/>
  <c r="I264" i="9"/>
  <c r="J491" i="9"/>
  <c r="J402" i="9"/>
  <c r="J593" i="9"/>
  <c r="J640" i="9"/>
  <c r="J677" i="9"/>
  <c r="J724" i="9"/>
  <c r="O777" i="9"/>
  <c r="O352" i="9"/>
  <c r="O300" i="9"/>
  <c r="O444" i="9"/>
  <c r="O402" i="9"/>
  <c r="O593" i="9"/>
  <c r="O761" i="9"/>
  <c r="O810" i="9"/>
  <c r="O724" i="9"/>
  <c r="O640" i="9"/>
  <c r="O827" i="9"/>
  <c r="C832" i="9"/>
  <c r="O516" i="9"/>
  <c r="O546" i="9"/>
  <c r="O677" i="9"/>
  <c r="L318" i="9"/>
  <c r="M314" i="9"/>
  <c r="M278" i="9"/>
  <c r="M284" i="9"/>
  <c r="N276" i="9"/>
  <c r="L358" i="9"/>
  <c r="J370" i="9"/>
  <c r="J390" i="9"/>
  <c r="J389" i="9"/>
  <c r="J775" i="9"/>
  <c r="N777" i="9"/>
  <c r="N423" i="9"/>
  <c r="M354" i="9"/>
  <c r="M359" i="9"/>
  <c r="I139" i="9"/>
  <c r="H149" i="9"/>
  <c r="L319" i="9"/>
  <c r="L321" i="9"/>
  <c r="I277" i="10"/>
  <c r="H241" i="10"/>
  <c r="H277" i="10"/>
  <c r="K552" i="10"/>
  <c r="K425" i="10"/>
  <c r="L748" i="9"/>
  <c r="I379" i="10"/>
  <c r="N474" i="9"/>
  <c r="I329" i="10"/>
  <c r="I538" i="10"/>
  <c r="J540" i="10"/>
  <c r="J548" i="10"/>
  <c r="L308" i="10"/>
  <c r="I467" i="9"/>
  <c r="J467" i="9"/>
  <c r="L307" i="10"/>
  <c r="L295" i="10"/>
  <c r="L298" i="10"/>
  <c r="J126" i="10"/>
  <c r="N259" i="10"/>
  <c r="O259" i="10"/>
  <c r="O266" i="10"/>
  <c r="O336" i="10"/>
  <c r="L297" i="10"/>
  <c r="M476" i="10"/>
  <c r="M281" i="10"/>
  <c r="M265" i="10"/>
  <c r="M335" i="10"/>
  <c r="L267" i="10"/>
  <c r="L337" i="10"/>
  <c r="L543" i="10"/>
  <c r="L552" i="10"/>
  <c r="L425" i="10"/>
  <c r="M261" i="10"/>
  <c r="M266" i="10"/>
  <c r="M336" i="10"/>
  <c r="I67" i="9"/>
  <c r="L475" i="10"/>
  <c r="L306" i="10"/>
  <c r="L294" i="10"/>
  <c r="K309" i="10"/>
  <c r="K319" i="10"/>
  <c r="K339" i="10"/>
  <c r="K341" i="10"/>
  <c r="K344" i="10"/>
  <c r="L474" i="10"/>
  <c r="K299" i="10"/>
  <c r="K301" i="10"/>
  <c r="M321" i="9"/>
  <c r="K382" i="10"/>
  <c r="K430" i="10"/>
  <c r="K495" i="10"/>
  <c r="J750" i="10"/>
  <c r="J366" i="10"/>
  <c r="G9" i="10"/>
  <c r="J347" i="10"/>
  <c r="J367" i="10"/>
  <c r="L322" i="9"/>
  <c r="L324" i="9"/>
  <c r="N317" i="10"/>
  <c r="O312" i="10"/>
  <c r="O316" i="10"/>
  <c r="M702" i="10"/>
  <c r="M704" i="10"/>
  <c r="L792" i="10"/>
  <c r="L451" i="10"/>
  <c r="L707" i="10"/>
  <c r="O291" i="10"/>
  <c r="O241" i="10"/>
  <c r="E64" i="10"/>
  <c r="L528" i="10"/>
  <c r="M523" i="10"/>
  <c r="O706" i="10"/>
  <c r="N277" i="10"/>
  <c r="N329" i="10"/>
  <c r="N521" i="10"/>
  <c r="N568" i="10"/>
  <c r="N466" i="10"/>
  <c r="N491" i="10"/>
  <c r="N538" i="10"/>
  <c r="N540" i="10"/>
  <c r="N615" i="10"/>
  <c r="N652" i="10"/>
  <c r="N699" i="10"/>
  <c r="N421" i="10"/>
  <c r="N736" i="10"/>
  <c r="N379" i="10"/>
  <c r="N785" i="10"/>
  <c r="N802" i="10"/>
  <c r="C806" i="10"/>
  <c r="O631" i="10"/>
  <c r="N400" i="10"/>
  <c r="O471" i="10"/>
  <c r="K361" i="10"/>
  <c r="K402" i="10"/>
  <c r="K723" i="10"/>
  <c r="N422" i="9"/>
  <c r="O422" i="9"/>
  <c r="O706" i="9"/>
  <c r="J139" i="9"/>
  <c r="I149" i="9"/>
  <c r="M319" i="9"/>
  <c r="I300" i="9"/>
  <c r="H264" i="9"/>
  <c r="I352" i="9"/>
  <c r="I491" i="9"/>
  <c r="I563" i="9"/>
  <c r="J565" i="9"/>
  <c r="I402" i="9"/>
  <c r="M358" i="9"/>
  <c r="M318" i="9"/>
  <c r="O423" i="9"/>
  <c r="O276" i="9"/>
  <c r="O278" i="9"/>
  <c r="N278" i="9"/>
  <c r="N284" i="9"/>
  <c r="N314" i="9"/>
  <c r="M317" i="9"/>
  <c r="N354" i="9"/>
  <c r="N359" i="9"/>
  <c r="N320" i="9"/>
  <c r="M320" i="9"/>
  <c r="H329" i="10"/>
  <c r="H466" i="10"/>
  <c r="H379" i="10"/>
  <c r="O727" i="9"/>
  <c r="O729" i="9"/>
  <c r="O474" i="9"/>
  <c r="I466" i="9"/>
  <c r="I470" i="9"/>
  <c r="J547" i="10"/>
  <c r="J549" i="10"/>
  <c r="M748" i="9"/>
  <c r="O265" i="10"/>
  <c r="O335" i="10"/>
  <c r="O261" i="10"/>
  <c r="L309" i="10"/>
  <c r="L319" i="10"/>
  <c r="L339" i="10"/>
  <c r="L341" i="10"/>
  <c r="L344" i="10"/>
  <c r="N266" i="10"/>
  <c r="N336" i="10"/>
  <c r="L299" i="10"/>
  <c r="L301" i="10"/>
  <c r="N265" i="10"/>
  <c r="N335" i="10"/>
  <c r="P69" i="9"/>
  <c r="I454" i="9"/>
  <c r="N281" i="10"/>
  <c r="N297" i="10"/>
  <c r="N261" i="10"/>
  <c r="O331" i="10"/>
  <c r="N331" i="10"/>
  <c r="O281" i="10"/>
  <c r="O296" i="10"/>
  <c r="L480" i="10"/>
  <c r="L346" i="10"/>
  <c r="L382" i="10"/>
  <c r="L430" i="10"/>
  <c r="K544" i="10"/>
  <c r="M267" i="10"/>
  <c r="M337" i="10"/>
  <c r="M543" i="10"/>
  <c r="M552" i="10"/>
  <c r="K750" i="10"/>
  <c r="K787" i="10"/>
  <c r="K789" i="10"/>
  <c r="K347" i="10"/>
  <c r="K367" i="10"/>
  <c r="M475" i="10"/>
  <c r="N475" i="10"/>
  <c r="M474" i="10"/>
  <c r="N474" i="10"/>
  <c r="M306" i="10"/>
  <c r="M294" i="10"/>
  <c r="M296" i="10"/>
  <c r="M308" i="10"/>
  <c r="M298" i="10"/>
  <c r="M295" i="10"/>
  <c r="M307" i="10"/>
  <c r="M297" i="10"/>
  <c r="N321" i="9"/>
  <c r="M322" i="9"/>
  <c r="M324" i="9"/>
  <c r="K366" i="10"/>
  <c r="N10" i="10"/>
  <c r="I44" i="10"/>
  <c r="F21" i="10"/>
  <c r="F23" i="10"/>
  <c r="F22" i="10"/>
  <c r="G11" i="10"/>
  <c r="F24" i="10"/>
  <c r="F25" i="10"/>
  <c r="M526" i="10"/>
  <c r="M527" i="10"/>
  <c r="M496" i="10"/>
  <c r="N702" i="10"/>
  <c r="N704" i="10"/>
  <c r="M792" i="10"/>
  <c r="M451" i="10"/>
  <c r="M707" i="10"/>
  <c r="L361" i="10"/>
  <c r="L402" i="10"/>
  <c r="L723" i="10"/>
  <c r="O400" i="10"/>
  <c r="O277" i="10"/>
  <c r="O466" i="10"/>
  <c r="O491" i="10"/>
  <c r="O538" i="10"/>
  <c r="O540" i="10"/>
  <c r="O615" i="10"/>
  <c r="O379" i="10"/>
  <c r="O521" i="10"/>
  <c r="O652" i="10"/>
  <c r="O699" i="10"/>
  <c r="O802" i="10"/>
  <c r="C807" i="10"/>
  <c r="O329" i="10"/>
  <c r="O421" i="10"/>
  <c r="O736" i="10"/>
  <c r="O785" i="10"/>
  <c r="O568" i="10"/>
  <c r="N476" i="10"/>
  <c r="N477" i="10"/>
  <c r="O317" i="10"/>
  <c r="J572" i="9"/>
  <c r="J573" i="9"/>
  <c r="J574" i="9"/>
  <c r="O284" i="9"/>
  <c r="O359" i="9"/>
  <c r="O320" i="9"/>
  <c r="O354" i="9"/>
  <c r="O314" i="9"/>
  <c r="J794" i="9"/>
  <c r="K461" i="9"/>
  <c r="K449" i="9"/>
  <c r="K389" i="9"/>
  <c r="N33" i="9"/>
  <c r="O33" i="9"/>
  <c r="K775" i="9"/>
  <c r="K812" i="9"/>
  <c r="K814" i="9"/>
  <c r="L448" i="9"/>
  <c r="K139" i="9"/>
  <c r="K149" i="9"/>
  <c r="J149" i="9"/>
  <c r="N358" i="9"/>
  <c r="J767" i="9"/>
  <c r="K448" i="9"/>
  <c r="N318" i="9"/>
  <c r="N319" i="9"/>
  <c r="H402" i="9"/>
  <c r="H300" i="9"/>
  <c r="H352" i="9"/>
  <c r="H491" i="9"/>
  <c r="N317" i="9"/>
  <c r="J466" i="9"/>
  <c r="O732" i="9"/>
  <c r="O425" i="9"/>
  <c r="N748" i="9"/>
  <c r="N425" i="9"/>
  <c r="O267" i="10"/>
  <c r="O337" i="10"/>
  <c r="O543" i="10"/>
  <c r="O552" i="10"/>
  <c r="L544" i="10"/>
  <c r="L554" i="10"/>
  <c r="L438" i="10"/>
  <c r="I66" i="9"/>
  <c r="L347" i="10"/>
  <c r="L367" i="10"/>
  <c r="L495" i="10"/>
  <c r="O294" i="10"/>
  <c r="O298" i="10"/>
  <c r="N267" i="10"/>
  <c r="N337" i="10"/>
  <c r="N543" i="10"/>
  <c r="N552" i="10"/>
  <c r="O307" i="10"/>
  <c r="O297" i="10"/>
  <c r="O306" i="10"/>
  <c r="O295" i="10"/>
  <c r="L787" i="10"/>
  <c r="L789" i="10"/>
  <c r="L366" i="10"/>
  <c r="N11" i="10"/>
  <c r="O11" i="10"/>
  <c r="L750" i="10"/>
  <c r="N298" i="10"/>
  <c r="N308" i="10"/>
  <c r="N307" i="10"/>
  <c r="N296" i="10"/>
  <c r="N295" i="10"/>
  <c r="N294" i="10"/>
  <c r="N306" i="10"/>
  <c r="O308" i="10"/>
  <c r="M480" i="10"/>
  <c r="M346" i="10"/>
  <c r="M382" i="10"/>
  <c r="M430" i="10"/>
  <c r="K553" i="10"/>
  <c r="K554" i="10"/>
  <c r="K438" i="10"/>
  <c r="M299" i="10"/>
  <c r="M301" i="10"/>
  <c r="M309" i="10"/>
  <c r="M319" i="10"/>
  <c r="M339" i="10"/>
  <c r="I463" i="9"/>
  <c r="I472" i="9"/>
  <c r="M812" i="9"/>
  <c r="M814" i="9"/>
  <c r="I446" i="10"/>
  <c r="J446" i="10"/>
  <c r="P23" i="10"/>
  <c r="P40" i="10"/>
  <c r="P42" i="10"/>
  <c r="O10" i="10"/>
  <c r="P24" i="10"/>
  <c r="I443" i="10"/>
  <c r="P21" i="10"/>
  <c r="J588" i="10"/>
  <c r="L587" i="10"/>
  <c r="P22" i="10"/>
  <c r="I445" i="10"/>
  <c r="J445" i="10"/>
  <c r="J600" i="10"/>
  <c r="I444" i="10"/>
  <c r="J444" i="10"/>
  <c r="I437" i="10"/>
  <c r="F26" i="10"/>
  <c r="N480" i="10"/>
  <c r="N346" i="10"/>
  <c r="N382" i="10"/>
  <c r="M402" i="10"/>
  <c r="M361" i="10"/>
  <c r="M723" i="10"/>
  <c r="N451" i="10"/>
  <c r="N792" i="10"/>
  <c r="O702" i="10"/>
  <c r="O704" i="10"/>
  <c r="N707" i="10"/>
  <c r="O475" i="10"/>
  <c r="O478" i="10"/>
  <c r="O474" i="10"/>
  <c r="O476" i="10"/>
  <c r="O477" i="10"/>
  <c r="M425" i="10"/>
  <c r="M528" i="10"/>
  <c r="N523" i="10"/>
  <c r="L389" i="9"/>
  <c r="N34" i="9"/>
  <c r="O34" i="9"/>
  <c r="L775" i="9"/>
  <c r="L812" i="9"/>
  <c r="L814" i="9"/>
  <c r="J766" i="9"/>
  <c r="J470" i="9"/>
  <c r="K794" i="9"/>
  <c r="O318" i="9"/>
  <c r="N322" i="9"/>
  <c r="N324" i="9"/>
  <c r="J463" i="9"/>
  <c r="J765" i="9"/>
  <c r="O319" i="9"/>
  <c r="O317" i="9"/>
  <c r="J454" i="9"/>
  <c r="I456" i="9"/>
  <c r="M449" i="9"/>
  <c r="M461" i="9"/>
  <c r="L461" i="9"/>
  <c r="M448" i="9"/>
  <c r="O321" i="9"/>
  <c r="O358" i="9"/>
  <c r="O384" i="9"/>
  <c r="O748" i="9"/>
  <c r="L553" i="10"/>
  <c r="L426" i="10"/>
  <c r="G67" i="9"/>
  <c r="I476" i="9"/>
  <c r="J476" i="9"/>
  <c r="J750" i="9"/>
  <c r="K746" i="9"/>
  <c r="O299" i="10"/>
  <c r="O301" i="10"/>
  <c r="O309" i="10"/>
  <c r="O319" i="10"/>
  <c r="O339" i="10"/>
  <c r="O341" i="10"/>
  <c r="O344" i="10"/>
  <c r="N299" i="10"/>
  <c r="N301" i="10"/>
  <c r="M495" i="10"/>
  <c r="N309" i="10"/>
  <c r="N319" i="10"/>
  <c r="N339" i="10"/>
  <c r="M389" i="9"/>
  <c r="M775" i="9"/>
  <c r="K673" i="10"/>
  <c r="L674" i="10"/>
  <c r="L678" i="10"/>
  <c r="K426" i="10"/>
  <c r="K555" i="10"/>
  <c r="K557" i="10"/>
  <c r="K385" i="10"/>
  <c r="M544" i="10"/>
  <c r="M341" i="10"/>
  <c r="M344" i="10"/>
  <c r="N389" i="9"/>
  <c r="J783" i="9"/>
  <c r="K466" i="9"/>
  <c r="N495" i="10"/>
  <c r="N430" i="10"/>
  <c r="J742" i="10"/>
  <c r="J623" i="10"/>
  <c r="K626" i="10"/>
  <c r="P46" i="10"/>
  <c r="I431" i="10"/>
  <c r="F43" i="10"/>
  <c r="O480" i="10"/>
  <c r="O346" i="10"/>
  <c r="O382" i="10"/>
  <c r="L599" i="10"/>
  <c r="L398" i="10"/>
  <c r="K599" i="10"/>
  <c r="N599" i="10"/>
  <c r="O599" i="10"/>
  <c r="K598" i="10"/>
  <c r="M599" i="10"/>
  <c r="K587" i="10"/>
  <c r="O587" i="10"/>
  <c r="K586" i="10"/>
  <c r="M587" i="10"/>
  <c r="N587" i="10"/>
  <c r="P29" i="10"/>
  <c r="I453" i="10"/>
  <c r="J633" i="10"/>
  <c r="K630" i="10"/>
  <c r="J743" i="10"/>
  <c r="J769" i="10"/>
  <c r="O322" i="9"/>
  <c r="O324" i="9"/>
  <c r="J437" i="10"/>
  <c r="I440" i="10"/>
  <c r="I447" i="10"/>
  <c r="J443" i="10"/>
  <c r="O425" i="10"/>
  <c r="N526" i="10"/>
  <c r="N527" i="10"/>
  <c r="N496" i="10"/>
  <c r="N402" i="10"/>
  <c r="N723" i="10"/>
  <c r="N361" i="10"/>
  <c r="N425" i="10"/>
  <c r="O451" i="10"/>
  <c r="O792" i="10"/>
  <c r="O707" i="10"/>
  <c r="K468" i="9"/>
  <c r="K767" i="9"/>
  <c r="N449" i="9"/>
  <c r="N461" i="9"/>
  <c r="O553" i="9"/>
  <c r="D503" i="9"/>
  <c r="K454" i="9"/>
  <c r="L454" i="9"/>
  <c r="M454" i="9"/>
  <c r="N454" i="9"/>
  <c r="O454" i="9"/>
  <c r="J456" i="9"/>
  <c r="K453" i="9"/>
  <c r="L449" i="9"/>
  <c r="N448" i="9"/>
  <c r="I68" i="9"/>
  <c r="I69" i="9"/>
  <c r="J769" i="9"/>
  <c r="J472" i="9"/>
  <c r="L673" i="10"/>
  <c r="M674" i="10"/>
  <c r="M678" i="10"/>
  <c r="L555" i="10"/>
  <c r="L557" i="10"/>
  <c r="L385" i="10"/>
  <c r="G68" i="9"/>
  <c r="G66" i="9"/>
  <c r="O544" i="10"/>
  <c r="O553" i="10"/>
  <c r="N698" i="9"/>
  <c r="O699" i="9"/>
  <c r="O703" i="9"/>
  <c r="N341" i="10"/>
  <c r="N344" i="10"/>
  <c r="N544" i="10"/>
  <c r="N812" i="9"/>
  <c r="N814" i="9"/>
  <c r="N775" i="9"/>
  <c r="O461" i="9"/>
  <c r="O430" i="10"/>
  <c r="K600" i="10"/>
  <c r="K444" i="10"/>
  <c r="M366" i="10"/>
  <c r="M750" i="10"/>
  <c r="M347" i="10"/>
  <c r="M367" i="10"/>
  <c r="M787" i="10"/>
  <c r="M789" i="10"/>
  <c r="O659" i="10"/>
  <c r="M554" i="10"/>
  <c r="M438" i="10"/>
  <c r="M553" i="10"/>
  <c r="M398" i="10"/>
  <c r="K398" i="10"/>
  <c r="L453" i="9"/>
  <c r="L390" i="9"/>
  <c r="O495" i="10"/>
  <c r="N398" i="10"/>
  <c r="K588" i="10"/>
  <c r="L586" i="10"/>
  <c r="L588" i="10"/>
  <c r="J440" i="10"/>
  <c r="J665" i="10"/>
  <c r="J571" i="10"/>
  <c r="J740" i="10"/>
  <c r="M659" i="10"/>
  <c r="J431" i="10"/>
  <c r="I433" i="10"/>
  <c r="I43" i="10"/>
  <c r="O398" i="10"/>
  <c r="N659" i="10"/>
  <c r="K621" i="10"/>
  <c r="K623" i="10"/>
  <c r="F45" i="10"/>
  <c r="F46" i="10"/>
  <c r="J453" i="10"/>
  <c r="J725" i="10"/>
  <c r="K721" i="10"/>
  <c r="K659" i="10"/>
  <c r="J741" i="10"/>
  <c r="J447" i="10"/>
  <c r="L659" i="10"/>
  <c r="I449" i="10"/>
  <c r="N528" i="10"/>
  <c r="O523" i="10"/>
  <c r="O366" i="10"/>
  <c r="O787" i="10"/>
  <c r="O789" i="10"/>
  <c r="O347" i="10"/>
  <c r="O750" i="10"/>
  <c r="O361" i="10"/>
  <c r="O723" i="10"/>
  <c r="O402" i="10"/>
  <c r="J643" i="9"/>
  <c r="J680" i="9"/>
  <c r="J796" i="9"/>
  <c r="J770" i="9"/>
  <c r="O389" i="9"/>
  <c r="O775" i="9"/>
  <c r="O812" i="9"/>
  <c r="O814" i="9"/>
  <c r="K390" i="9"/>
  <c r="L468" i="9"/>
  <c r="L767" i="9"/>
  <c r="O448" i="9"/>
  <c r="G43" i="9"/>
  <c r="O554" i="10"/>
  <c r="O438" i="10"/>
  <c r="G52" i="9"/>
  <c r="G53" i="9"/>
  <c r="G44" i="9"/>
  <c r="G48" i="9"/>
  <c r="G47" i="9"/>
  <c r="G46" i="9"/>
  <c r="G45" i="9"/>
  <c r="G69" i="9"/>
  <c r="O449" i="9"/>
  <c r="N553" i="10"/>
  <c r="N554" i="10"/>
  <c r="N438" i="10"/>
  <c r="N366" i="10"/>
  <c r="N750" i="10"/>
  <c r="N787" i="10"/>
  <c r="N789" i="10"/>
  <c r="N347" i="10"/>
  <c r="N367" i="10"/>
  <c r="L598" i="10"/>
  <c r="L600" i="10"/>
  <c r="L444" i="10"/>
  <c r="M390" i="9"/>
  <c r="M426" i="10"/>
  <c r="M555" i="10"/>
  <c r="M673" i="10"/>
  <c r="N674" i="10"/>
  <c r="N678" i="10"/>
  <c r="J449" i="10"/>
  <c r="N390" i="9"/>
  <c r="J758" i="10"/>
  <c r="K443" i="10"/>
  <c r="K741" i="10"/>
  <c r="G44" i="10"/>
  <c r="F34" i="10"/>
  <c r="G43" i="10"/>
  <c r="K445" i="10"/>
  <c r="K742" i="10"/>
  <c r="L621" i="10"/>
  <c r="L623" i="10"/>
  <c r="L626" i="10"/>
  <c r="K431" i="10"/>
  <c r="L431" i="10"/>
  <c r="M431" i="10"/>
  <c r="N431" i="10"/>
  <c r="O431" i="10"/>
  <c r="J433" i="10"/>
  <c r="M586" i="10"/>
  <c r="M588" i="10"/>
  <c r="L443" i="10"/>
  <c r="K635" i="10"/>
  <c r="K639" i="10"/>
  <c r="K632" i="10"/>
  <c r="J618" i="10"/>
  <c r="J655" i="10"/>
  <c r="K590" i="10"/>
  <c r="J744" i="10"/>
  <c r="K663" i="10"/>
  <c r="J679" i="10"/>
  <c r="K676" i="10"/>
  <c r="I45" i="10"/>
  <c r="I46" i="10"/>
  <c r="G45" i="10"/>
  <c r="O426" i="10"/>
  <c r="O673" i="10"/>
  <c r="O367" i="10"/>
  <c r="O526" i="10"/>
  <c r="O527" i="10"/>
  <c r="O496" i="10"/>
  <c r="I53" i="9"/>
  <c r="I54" i="9"/>
  <c r="K820" i="9"/>
  <c r="G54" i="9"/>
  <c r="J828" i="9"/>
  <c r="I475" i="9"/>
  <c r="M453" i="9"/>
  <c r="N453" i="9"/>
  <c r="M468" i="9"/>
  <c r="M767" i="9"/>
  <c r="O555" i="10"/>
  <c r="O698" i="9"/>
  <c r="O453" i="9"/>
  <c r="M598" i="10"/>
  <c r="M600" i="10"/>
  <c r="N598" i="10"/>
  <c r="N600" i="10"/>
  <c r="N426" i="10"/>
  <c r="N673" i="10"/>
  <c r="O674" i="10"/>
  <c r="O678" i="10"/>
  <c r="N555" i="10"/>
  <c r="L741" i="10"/>
  <c r="M557" i="10"/>
  <c r="M385" i="10"/>
  <c r="K667" i="10"/>
  <c r="K668" i="10"/>
  <c r="K669" i="10"/>
  <c r="K602" i="10"/>
  <c r="K603" i="10"/>
  <c r="K604" i="10"/>
  <c r="K591" i="10"/>
  <c r="K592" i="10"/>
  <c r="K636" i="10"/>
  <c r="K640" i="10"/>
  <c r="G46" i="10"/>
  <c r="J745" i="10"/>
  <c r="J771" i="10"/>
  <c r="K682" i="10"/>
  <c r="G23" i="10"/>
  <c r="F31" i="10"/>
  <c r="G26" i="10"/>
  <c r="G21" i="10"/>
  <c r="G29" i="10"/>
  <c r="G20" i="10"/>
  <c r="G22" i="10"/>
  <c r="G25" i="10"/>
  <c r="G30" i="10"/>
  <c r="G24" i="10"/>
  <c r="N586" i="10"/>
  <c r="N588" i="10"/>
  <c r="M443" i="10"/>
  <c r="M626" i="10"/>
  <c r="L445" i="10"/>
  <c r="L742" i="10"/>
  <c r="M621" i="10"/>
  <c r="M623" i="10"/>
  <c r="O528" i="10"/>
  <c r="L466" i="9"/>
  <c r="L820" i="9"/>
  <c r="N468" i="9"/>
  <c r="N767" i="9"/>
  <c r="O646" i="9"/>
  <c r="O648" i="9"/>
  <c r="O468" i="9"/>
  <c r="O767" i="9"/>
  <c r="J829" i="9"/>
  <c r="I55" i="9"/>
  <c r="O390" i="9"/>
  <c r="K666" i="9"/>
  <c r="J475" i="9"/>
  <c r="I477" i="9"/>
  <c r="I479" i="9"/>
  <c r="I481" i="9"/>
  <c r="O557" i="10"/>
  <c r="O385" i="10"/>
  <c r="M444" i="10"/>
  <c r="M741" i="10"/>
  <c r="N557" i="10"/>
  <c r="N385" i="10"/>
  <c r="K686" i="10"/>
  <c r="N443" i="10"/>
  <c r="O586" i="10"/>
  <c r="O588" i="10"/>
  <c r="O443" i="10"/>
  <c r="G31" i="10"/>
  <c r="I30" i="10"/>
  <c r="F32" i="10"/>
  <c r="G32" i="10"/>
  <c r="G34" i="10"/>
  <c r="I452" i="10"/>
  <c r="J803" i="10"/>
  <c r="J804" i="10"/>
  <c r="J805" i="10"/>
  <c r="I31" i="10"/>
  <c r="K795" i="10"/>
  <c r="L795" i="10"/>
  <c r="M795" i="10"/>
  <c r="N444" i="10"/>
  <c r="O598" i="10"/>
  <c r="O600" i="10"/>
  <c r="O444" i="10"/>
  <c r="M445" i="10"/>
  <c r="M742" i="10"/>
  <c r="N621" i="10"/>
  <c r="N623" i="10"/>
  <c r="N626" i="10"/>
  <c r="K633" i="10"/>
  <c r="K641" i="10"/>
  <c r="K687" i="10"/>
  <c r="K350" i="10"/>
  <c r="K383" i="10"/>
  <c r="M820" i="9"/>
  <c r="J830" i="9"/>
  <c r="K469" i="9"/>
  <c r="L794" i="9"/>
  <c r="J738" i="9"/>
  <c r="K736" i="9"/>
  <c r="K738" i="9"/>
  <c r="J477" i="9"/>
  <c r="M466" i="9"/>
  <c r="K688" i="10"/>
  <c r="I32" i="10"/>
  <c r="K349" i="10"/>
  <c r="K351" i="10"/>
  <c r="K353" i="10"/>
  <c r="K493" i="10"/>
  <c r="K497" i="10"/>
  <c r="O741" i="10"/>
  <c r="K446" i="10"/>
  <c r="K743" i="10"/>
  <c r="K769" i="10"/>
  <c r="L630" i="10"/>
  <c r="N741" i="10"/>
  <c r="J452" i="10"/>
  <c r="I454" i="10"/>
  <c r="I456" i="10"/>
  <c r="I458" i="10"/>
  <c r="O621" i="10"/>
  <c r="O623" i="10"/>
  <c r="O445" i="10"/>
  <c r="O742" i="10"/>
  <c r="N445" i="10"/>
  <c r="N742" i="10"/>
  <c r="O626" i="10"/>
  <c r="J806" i="10"/>
  <c r="N795" i="10"/>
  <c r="J831" i="9"/>
  <c r="K475" i="9"/>
  <c r="L736" i="9"/>
  <c r="L738" i="9"/>
  <c r="N820" i="9"/>
  <c r="J771" i="9"/>
  <c r="J772" i="9"/>
  <c r="J479" i="9"/>
  <c r="J481" i="9"/>
  <c r="K751" i="10"/>
  <c r="K763" i="10"/>
  <c r="K513" i="10"/>
  <c r="J713" i="10"/>
  <c r="K711" i="10"/>
  <c r="K713" i="10"/>
  <c r="J454" i="10"/>
  <c r="O795" i="10"/>
  <c r="J807" i="10"/>
  <c r="K501" i="10"/>
  <c r="L475" i="9"/>
  <c r="M736" i="9"/>
  <c r="M738" i="9"/>
  <c r="O820" i="9"/>
  <c r="J832" i="9"/>
  <c r="K775" i="10"/>
  <c r="K764" i="10"/>
  <c r="J746" i="10"/>
  <c r="J747" i="10"/>
  <c r="J456" i="10"/>
  <c r="J458" i="10"/>
  <c r="K452" i="10"/>
  <c r="L711" i="10"/>
  <c r="L713" i="10"/>
  <c r="K508" i="10"/>
  <c r="L500" i="10"/>
  <c r="K502" i="10"/>
  <c r="M475" i="9"/>
  <c r="N736" i="9"/>
  <c r="N738" i="9"/>
  <c r="L452" i="10"/>
  <c r="M711" i="10"/>
  <c r="M713" i="10"/>
  <c r="K505" i="10"/>
  <c r="K506" i="10"/>
  <c r="L504" i="10"/>
  <c r="N475" i="9"/>
  <c r="O736" i="9"/>
  <c r="O738" i="9"/>
  <c r="O475" i="9"/>
  <c r="N466" i="9"/>
  <c r="K511" i="10"/>
  <c r="K516" i="10"/>
  <c r="K355" i="10"/>
  <c r="M452" i="10"/>
  <c r="N711" i="10"/>
  <c r="N713" i="10"/>
  <c r="K509" i="10"/>
  <c r="O421" i="9"/>
  <c r="O613" i="9"/>
  <c r="O466" i="9"/>
  <c r="K517" i="10"/>
  <c r="K442" i="10"/>
  <c r="O711" i="10"/>
  <c r="O713" i="10"/>
  <c r="O452" i="10"/>
  <c r="N452" i="10"/>
  <c r="K518" i="10"/>
  <c r="K356" i="10"/>
  <c r="K384" i="10"/>
  <c r="K447" i="10"/>
  <c r="K357" i="10"/>
  <c r="K359" i="10"/>
  <c r="K362" i="10"/>
  <c r="K716" i="10"/>
  <c r="K717" i="10"/>
  <c r="K722" i="10"/>
  <c r="K381" i="10"/>
  <c r="K386" i="10"/>
  <c r="K394" i="10"/>
  <c r="K658" i="10"/>
  <c r="K404" i="10"/>
  <c r="K724" i="10"/>
  <c r="K660" i="10"/>
  <c r="K725" i="10"/>
  <c r="L721" i="10"/>
  <c r="K661" i="10"/>
  <c r="K664" i="10"/>
  <c r="K397" i="10"/>
  <c r="K405" i="10"/>
  <c r="K408" i="10"/>
  <c r="K453" i="10"/>
  <c r="K454" i="10"/>
  <c r="K746" i="10"/>
  <c r="K665" i="10"/>
  <c r="K437" i="10"/>
  <c r="K677" i="10"/>
  <c r="K679" i="10"/>
  <c r="L676" i="10"/>
  <c r="K575" i="10"/>
  <c r="K576" i="10"/>
  <c r="L580" i="10"/>
  <c r="K410" i="10"/>
  <c r="K571" i="10"/>
  <c r="L635" i="10"/>
  <c r="L663" i="10"/>
  <c r="L682" i="10"/>
  <c r="K440" i="10"/>
  <c r="K449" i="10"/>
  <c r="K456" i="10"/>
  <c r="K740" i="10"/>
  <c r="L409" i="10"/>
  <c r="K424" i="10"/>
  <c r="L574" i="10"/>
  <c r="K618" i="10"/>
  <c r="K655" i="10"/>
  <c r="L590" i="10"/>
  <c r="L591" i="10"/>
  <c r="L592" i="10"/>
  <c r="K428" i="10"/>
  <c r="K433" i="10"/>
  <c r="K458" i="10"/>
  <c r="K739" i="10"/>
  <c r="K744" i="10"/>
  <c r="K759" i="10"/>
  <c r="K758" i="10"/>
  <c r="L636" i="10"/>
  <c r="L640" i="10"/>
  <c r="L639" i="10"/>
  <c r="L667" i="10"/>
  <c r="L668" i="10"/>
  <c r="L669" i="10"/>
  <c r="L602" i="10"/>
  <c r="L603" i="10"/>
  <c r="L604" i="10"/>
  <c r="L641" i="10"/>
  <c r="L687" i="10"/>
  <c r="L350" i="10"/>
  <c r="L383" i="10"/>
  <c r="L632" i="10"/>
  <c r="L633" i="10"/>
  <c r="K745" i="10"/>
  <c r="K771" i="10"/>
  <c r="L686" i="10"/>
  <c r="L349" i="10"/>
  <c r="L351" i="10"/>
  <c r="M630" i="10"/>
  <c r="L446" i="10"/>
  <c r="L743" i="10"/>
  <c r="L769" i="10"/>
  <c r="K791" i="10"/>
  <c r="K793" i="10"/>
  <c r="K796" i="10"/>
  <c r="K803" i="10"/>
  <c r="K747" i="10"/>
  <c r="K368" i="10"/>
  <c r="L688" i="10"/>
  <c r="K773" i="10"/>
  <c r="L751" i="10"/>
  <c r="L353" i="10"/>
  <c r="F803" i="10"/>
  <c r="G803" i="10"/>
  <c r="L493" i="10"/>
  <c r="L775" i="10"/>
  <c r="L764" i="10"/>
  <c r="L763" i="10"/>
  <c r="L513" i="10"/>
  <c r="L497" i="10"/>
  <c r="L501" i="10"/>
  <c r="L502" i="10"/>
  <c r="L508" i="10"/>
  <c r="M500" i="10"/>
  <c r="L505" i="10"/>
  <c r="L506" i="10"/>
  <c r="M504" i="10"/>
  <c r="L509" i="10"/>
  <c r="L511" i="10"/>
  <c r="L516" i="10"/>
  <c r="L355" i="10"/>
  <c r="L517" i="10"/>
  <c r="L356" i="10"/>
  <c r="L384" i="10"/>
  <c r="L442" i="10"/>
  <c r="L518" i="10"/>
  <c r="L357" i="10"/>
  <c r="L359" i="10"/>
  <c r="L447" i="10"/>
  <c r="L381" i="10"/>
  <c r="L386" i="10"/>
  <c r="L394" i="10"/>
  <c r="L658" i="10"/>
  <c r="L362" i="10"/>
  <c r="L716" i="10"/>
  <c r="L717" i="10"/>
  <c r="L722" i="10"/>
  <c r="L404" i="10"/>
  <c r="L724" i="10"/>
  <c r="L725" i="10"/>
  <c r="L660" i="10"/>
  <c r="L661" i="10"/>
  <c r="L664" i="10"/>
  <c r="L397" i="10"/>
  <c r="L405" i="10"/>
  <c r="L408" i="10"/>
  <c r="L677" i="10"/>
  <c r="L679" i="10"/>
  <c r="L665" i="10"/>
  <c r="L453" i="10"/>
  <c r="L454" i="10"/>
  <c r="M721" i="10"/>
  <c r="L437" i="10"/>
  <c r="M663" i="10"/>
  <c r="L571" i="10"/>
  <c r="M635" i="10"/>
  <c r="M676" i="10"/>
  <c r="M682" i="10"/>
  <c r="L746" i="10"/>
  <c r="L575" i="10"/>
  <c r="L576" i="10"/>
  <c r="L410" i="10"/>
  <c r="M590" i="10"/>
  <c r="L618" i="10"/>
  <c r="L655" i="10"/>
  <c r="M409" i="10"/>
  <c r="L424" i="10"/>
  <c r="M574" i="10"/>
  <c r="M580" i="10"/>
  <c r="L440" i="10"/>
  <c r="L449" i="10"/>
  <c r="L456" i="10"/>
  <c r="L740" i="10"/>
  <c r="L428" i="10"/>
  <c r="L433" i="10"/>
  <c r="L458" i="10"/>
  <c r="L739" i="10"/>
  <c r="M602" i="10"/>
  <c r="M603" i="10"/>
  <c r="M604" i="10"/>
  <c r="M667" i="10"/>
  <c r="M668" i="10"/>
  <c r="M669" i="10"/>
  <c r="M591" i="10"/>
  <c r="M592" i="10"/>
  <c r="L744" i="10"/>
  <c r="L759" i="10"/>
  <c r="L758" i="10"/>
  <c r="M636" i="10"/>
  <c r="M640" i="10"/>
  <c r="M639" i="10"/>
  <c r="M686" i="10"/>
  <c r="M349" i="10"/>
  <c r="M641" i="10"/>
  <c r="M687" i="10"/>
  <c r="M350" i="10"/>
  <c r="M383" i="10"/>
  <c r="M632" i="10"/>
  <c r="M633" i="10"/>
  <c r="L771" i="10"/>
  <c r="L745" i="10"/>
  <c r="M446" i="10"/>
  <c r="M743" i="10"/>
  <c r="M769" i="10"/>
  <c r="N630" i="10"/>
  <c r="M351" i="10"/>
  <c r="L791" i="10"/>
  <c r="L793" i="10"/>
  <c r="L796" i="10"/>
  <c r="L804" i="10"/>
  <c r="L747" i="10"/>
  <c r="L368" i="10"/>
  <c r="M688" i="10"/>
  <c r="L773" i="10"/>
  <c r="F804" i="10"/>
  <c r="G804" i="10"/>
  <c r="M751" i="10"/>
  <c r="M353" i="10"/>
  <c r="M493" i="10"/>
  <c r="M763" i="10"/>
  <c r="M775" i="10"/>
  <c r="M764" i="10"/>
  <c r="M497" i="10"/>
  <c r="M513" i="10"/>
  <c r="M501" i="10"/>
  <c r="M508" i="10"/>
  <c r="N500" i="10"/>
  <c r="M502" i="10"/>
  <c r="M505" i="10"/>
  <c r="M506" i="10"/>
  <c r="N504" i="10"/>
  <c r="M509" i="10"/>
  <c r="M511" i="10"/>
  <c r="M516" i="10"/>
  <c r="M355" i="10"/>
  <c r="M517" i="10"/>
  <c r="M356" i="10"/>
  <c r="M384" i="10"/>
  <c r="M518" i="10"/>
  <c r="M442" i="10"/>
  <c r="M447" i="10"/>
  <c r="M357" i="10"/>
  <c r="M359" i="10"/>
  <c r="M381" i="10"/>
  <c r="M386" i="10"/>
  <c r="M394" i="10"/>
  <c r="M658" i="10"/>
  <c r="M722" i="10"/>
  <c r="M362" i="10"/>
  <c r="M716" i="10"/>
  <c r="M717" i="10"/>
  <c r="M404" i="10"/>
  <c r="M660" i="10"/>
  <c r="M661" i="10"/>
  <c r="M664" i="10"/>
  <c r="M677" i="10"/>
  <c r="M679" i="10"/>
  <c r="M724" i="10"/>
  <c r="M725" i="10"/>
  <c r="M453" i="10"/>
  <c r="M454" i="10"/>
  <c r="N721" i="10"/>
  <c r="M397" i="10"/>
  <c r="M405" i="10"/>
  <c r="M408" i="10"/>
  <c r="M575" i="10"/>
  <c r="M576" i="10"/>
  <c r="M665" i="10"/>
  <c r="M437" i="10"/>
  <c r="M746" i="10"/>
  <c r="N676" i="10"/>
  <c r="N682" i="10"/>
  <c r="M571" i="10"/>
  <c r="N635" i="10"/>
  <c r="M410" i="10"/>
  <c r="M424" i="10"/>
  <c r="N663" i="10"/>
  <c r="M440" i="10"/>
  <c r="M449" i="10"/>
  <c r="M456" i="10"/>
  <c r="M740" i="10"/>
  <c r="N574" i="10"/>
  <c r="N580" i="10"/>
  <c r="M618" i="10"/>
  <c r="M655" i="10"/>
  <c r="N590" i="10"/>
  <c r="N602" i="10"/>
  <c r="N603" i="10"/>
  <c r="N604" i="10"/>
  <c r="N409" i="10"/>
  <c r="M744" i="10"/>
  <c r="M759" i="10"/>
  <c r="M758" i="10"/>
  <c r="N636" i="10"/>
  <c r="N640" i="10"/>
  <c r="N639" i="10"/>
  <c r="M428" i="10"/>
  <c r="M433" i="10"/>
  <c r="M458" i="10"/>
  <c r="M739" i="10"/>
  <c r="N591" i="10"/>
  <c r="N592" i="10"/>
  <c r="N667" i="10"/>
  <c r="N668" i="10"/>
  <c r="N669" i="10"/>
  <c r="N632" i="10"/>
  <c r="N633" i="10"/>
  <c r="N641" i="10"/>
  <c r="N687" i="10"/>
  <c r="N350" i="10"/>
  <c r="N383" i="10"/>
  <c r="M771" i="10"/>
  <c r="M745" i="10"/>
  <c r="N686" i="10"/>
  <c r="N349" i="10"/>
  <c r="N351" i="10"/>
  <c r="M791" i="10"/>
  <c r="M793" i="10"/>
  <c r="M796" i="10"/>
  <c r="M805" i="10"/>
  <c r="M747" i="10"/>
  <c r="M368" i="10"/>
  <c r="N446" i="10"/>
  <c r="N743" i="10"/>
  <c r="N769" i="10"/>
  <c r="O630" i="10"/>
  <c r="N688" i="10"/>
  <c r="G805" i="10"/>
  <c r="F805" i="10"/>
  <c r="M773" i="10"/>
  <c r="N751" i="10"/>
  <c r="N353" i="10"/>
  <c r="N493" i="10"/>
  <c r="N764" i="10"/>
  <c r="N775" i="10"/>
  <c r="N763" i="10"/>
  <c r="N497" i="10"/>
  <c r="N513" i="10"/>
  <c r="N501" i="10"/>
  <c r="N502" i="10"/>
  <c r="N505" i="10"/>
  <c r="N506" i="10"/>
  <c r="O504" i="10"/>
  <c r="N508" i="10"/>
  <c r="O500" i="10"/>
  <c r="N509" i="10"/>
  <c r="N511" i="10"/>
  <c r="N516" i="10"/>
  <c r="N355" i="10"/>
  <c r="N517" i="10"/>
  <c r="N356" i="10"/>
  <c r="N384" i="10"/>
  <c r="N518" i="10"/>
  <c r="N442" i="10"/>
  <c r="N447" i="10"/>
  <c r="N357" i="10"/>
  <c r="N359" i="10"/>
  <c r="N362" i="10"/>
  <c r="N716" i="10"/>
  <c r="N717" i="10"/>
  <c r="N381" i="10"/>
  <c r="N386" i="10"/>
  <c r="N394" i="10"/>
  <c r="N658" i="10"/>
  <c r="N722" i="10"/>
  <c r="N404" i="10"/>
  <c r="N724" i="10"/>
  <c r="N725" i="10"/>
  <c r="N660" i="10"/>
  <c r="N661" i="10"/>
  <c r="N664" i="10"/>
  <c r="N397" i="10"/>
  <c r="N405" i="10"/>
  <c r="N408" i="10"/>
  <c r="N677" i="10"/>
  <c r="N679" i="10"/>
  <c r="N665" i="10"/>
  <c r="N453" i="10"/>
  <c r="N454" i="10"/>
  <c r="O721" i="10"/>
  <c r="N746" i="10"/>
  <c r="N437" i="10"/>
  <c r="O663" i="10"/>
  <c r="N571" i="10"/>
  <c r="O676" i="10"/>
  <c r="O682" i="10"/>
  <c r="N575" i="10"/>
  <c r="N576" i="10"/>
  <c r="N410" i="10"/>
  <c r="O635" i="10"/>
  <c r="O590" i="10"/>
  <c r="N618" i="10"/>
  <c r="N655" i="10"/>
  <c r="N740" i="10"/>
  <c r="N440" i="10"/>
  <c r="N449" i="10"/>
  <c r="N456" i="10"/>
  <c r="N424" i="10"/>
  <c r="O409" i="10"/>
  <c r="O580" i="10"/>
  <c r="O574" i="10"/>
  <c r="N744" i="10"/>
  <c r="N759" i="10"/>
  <c r="N758" i="10"/>
  <c r="O591" i="10"/>
  <c r="O592" i="10"/>
  <c r="O602" i="10"/>
  <c r="O603" i="10"/>
  <c r="O604" i="10"/>
  <c r="O667" i="10"/>
  <c r="O668" i="10"/>
  <c r="O669" i="10"/>
  <c r="O636" i="10"/>
  <c r="O640" i="10"/>
  <c r="O639" i="10"/>
  <c r="N739" i="10"/>
  <c r="N428" i="10"/>
  <c r="N433" i="10"/>
  <c r="N458" i="10"/>
  <c r="O686" i="10"/>
  <c r="O632" i="10"/>
  <c r="O633" i="10"/>
  <c r="O641" i="10"/>
  <c r="O687" i="10"/>
  <c r="O350" i="10"/>
  <c r="O383" i="10"/>
  <c r="N745" i="10"/>
  <c r="N771" i="10"/>
  <c r="O688" i="10"/>
  <c r="O349" i="10"/>
  <c r="O351" i="10"/>
  <c r="N791" i="10"/>
  <c r="N793" i="10"/>
  <c r="N796" i="10"/>
  <c r="N806" i="10"/>
  <c r="G806" i="10"/>
  <c r="N747" i="10"/>
  <c r="N368" i="10"/>
  <c r="O446" i="10"/>
  <c r="O743" i="10"/>
  <c r="O769" i="10"/>
  <c r="N773" i="10"/>
  <c r="O751" i="10"/>
  <c r="O353" i="10"/>
  <c r="F806" i="10"/>
  <c r="O493" i="10"/>
  <c r="O763" i="10"/>
  <c r="O764" i="10"/>
  <c r="O775" i="10"/>
  <c r="O497" i="10"/>
  <c r="O513" i="10"/>
  <c r="O501" i="10"/>
  <c r="O508" i="10"/>
  <c r="O502" i="10"/>
  <c r="O505" i="10"/>
  <c r="O506" i="10"/>
  <c r="O509" i="10"/>
  <c r="O511" i="10"/>
  <c r="O516" i="10"/>
  <c r="O355" i="10"/>
  <c r="O517" i="10"/>
  <c r="O356" i="10"/>
  <c r="O384" i="10"/>
  <c r="O442" i="10"/>
  <c r="O447" i="10"/>
  <c r="O518" i="10"/>
  <c r="O357" i="10"/>
  <c r="O359" i="10"/>
  <c r="O362" i="10"/>
  <c r="O716" i="10"/>
  <c r="O717" i="10"/>
  <c r="O381" i="10"/>
  <c r="O386" i="10"/>
  <c r="O394" i="10"/>
  <c r="O658" i="10"/>
  <c r="O722" i="10"/>
  <c r="O404" i="10"/>
  <c r="O724" i="10"/>
  <c r="O725" i="10"/>
  <c r="O453" i="10"/>
  <c r="O454" i="10"/>
  <c r="O660" i="10"/>
  <c r="O661" i="10"/>
  <c r="O664" i="10"/>
  <c r="O397" i="10"/>
  <c r="O405" i="10"/>
  <c r="O408" i="10"/>
  <c r="O677" i="10"/>
  <c r="O679" i="10"/>
  <c r="O665" i="10"/>
  <c r="O746" i="10"/>
  <c r="O437" i="10"/>
  <c r="O571" i="10"/>
  <c r="O618" i="10"/>
  <c r="O655" i="10"/>
  <c r="O575" i="10"/>
  <c r="O576" i="10"/>
  <c r="O410" i="10"/>
  <c r="O424" i="10"/>
  <c r="O428" i="10"/>
  <c r="O433" i="10"/>
  <c r="O739" i="10"/>
  <c r="O440" i="10"/>
  <c r="O449" i="10"/>
  <c r="O456" i="10"/>
  <c r="O740" i="10"/>
  <c r="O744" i="10"/>
  <c r="O759" i="10"/>
  <c r="O758" i="10"/>
  <c r="O458" i="10"/>
  <c r="O745" i="10"/>
  <c r="O771" i="10"/>
  <c r="O791" i="10"/>
  <c r="O793" i="10"/>
  <c r="O796" i="10"/>
  <c r="O807" i="10"/>
  <c r="O747" i="10"/>
  <c r="O368" i="10"/>
  <c r="O773" i="10"/>
  <c r="F807" i="10"/>
  <c r="G807" i="10"/>
  <c r="K692" i="9"/>
  <c r="K693" i="9"/>
  <c r="K694" i="9"/>
  <c r="K776" i="9"/>
  <c r="K800" i="9"/>
  <c r="K788" i="9"/>
  <c r="K789" i="9"/>
  <c r="K533" i="9"/>
  <c r="K534" i="9"/>
  <c r="K543" i="9"/>
  <c r="K465" i="9"/>
  <c r="K470" i="9"/>
  <c r="K747" i="9"/>
  <c r="K749" i="9"/>
  <c r="K750" i="9"/>
  <c r="L746" i="9"/>
  <c r="K476" i="9"/>
  <c r="K477" i="9"/>
  <c r="K771" i="9"/>
  <c r="K433" i="9"/>
  <c r="K447" i="9"/>
  <c r="L432" i="9"/>
  <c r="K463" i="9"/>
  <c r="K472" i="9"/>
  <c r="K479" i="9"/>
  <c r="K643" i="9"/>
  <c r="K680" i="9"/>
  <c r="L692" i="9"/>
  <c r="L693" i="9"/>
  <c r="L694" i="9"/>
  <c r="K769" i="9"/>
  <c r="K783" i="9"/>
  <c r="K451" i="9"/>
  <c r="K456" i="9"/>
  <c r="K481" i="9"/>
  <c r="K764" i="9"/>
  <c r="L666" i="9"/>
  <c r="K796" i="9"/>
  <c r="K770" i="9"/>
  <c r="K818" i="9"/>
  <c r="K821" i="9"/>
  <c r="K828" i="9"/>
  <c r="K772" i="9"/>
  <c r="K391" i="9"/>
  <c r="M794" i="9"/>
  <c r="F828" i="9"/>
  <c r="G828" i="9"/>
  <c r="L776" i="9"/>
  <c r="K798" i="9"/>
  <c r="L789" i="9"/>
  <c r="L788" i="9"/>
  <c r="L800" i="9"/>
  <c r="L533" i="9"/>
  <c r="L534" i="9"/>
  <c r="L543" i="9"/>
  <c r="L465" i="9"/>
  <c r="L470" i="9"/>
  <c r="L747" i="9"/>
  <c r="L749" i="9"/>
  <c r="L750" i="9"/>
  <c r="L476" i="9"/>
  <c r="L477" i="9"/>
  <c r="L433" i="9"/>
  <c r="M746" i="9"/>
  <c r="L771" i="9"/>
  <c r="L463" i="9"/>
  <c r="L472" i="9"/>
  <c r="L479" i="9"/>
  <c r="L447" i="9"/>
  <c r="M432" i="9"/>
  <c r="L643" i="9"/>
  <c r="L680" i="9"/>
  <c r="L769" i="9"/>
  <c r="L783" i="9"/>
  <c r="M692" i="9"/>
  <c r="M693" i="9"/>
  <c r="M694" i="9"/>
  <c r="L451" i="9"/>
  <c r="L456" i="9"/>
  <c r="L481" i="9"/>
  <c r="L764" i="9"/>
  <c r="M666" i="9"/>
  <c r="L770" i="9"/>
  <c r="L796" i="9"/>
  <c r="L818" i="9"/>
  <c r="L821" i="9"/>
  <c r="L829" i="9"/>
  <c r="L772" i="9"/>
  <c r="L391" i="9"/>
  <c r="N794" i="9"/>
  <c r="L798" i="9"/>
  <c r="M776" i="9"/>
  <c r="G829" i="9"/>
  <c r="F829" i="9"/>
  <c r="M788" i="9"/>
  <c r="M800" i="9"/>
  <c r="M789" i="9"/>
  <c r="M533" i="9"/>
  <c r="M534" i="9"/>
  <c r="M465" i="9"/>
  <c r="M543" i="9"/>
  <c r="M470" i="9"/>
  <c r="M747" i="9"/>
  <c r="M749" i="9"/>
  <c r="M750" i="9"/>
  <c r="N746" i="9"/>
  <c r="M476" i="9"/>
  <c r="M477" i="9"/>
  <c r="M433" i="9"/>
  <c r="M771" i="9"/>
  <c r="N432" i="9"/>
  <c r="M447" i="9"/>
  <c r="M643" i="9"/>
  <c r="M680" i="9"/>
  <c r="M463" i="9"/>
  <c r="M472" i="9"/>
  <c r="M479" i="9"/>
  <c r="M769" i="9"/>
  <c r="M783" i="9"/>
  <c r="M451" i="9"/>
  <c r="M456" i="9"/>
  <c r="M481" i="9"/>
  <c r="M764" i="9"/>
  <c r="N692" i="9"/>
  <c r="N693" i="9"/>
  <c r="N694" i="9"/>
  <c r="M770" i="9"/>
  <c r="M796" i="9"/>
  <c r="N666" i="9"/>
  <c r="O794" i="9"/>
  <c r="M818" i="9"/>
  <c r="M821" i="9"/>
  <c r="M830" i="9"/>
  <c r="M772" i="9"/>
  <c r="M391" i="9"/>
  <c r="M798" i="9"/>
  <c r="N776" i="9"/>
  <c r="F830" i="9"/>
  <c r="G830" i="9"/>
  <c r="N788" i="9"/>
  <c r="N789" i="9"/>
  <c r="N800" i="9"/>
  <c r="N533" i="9"/>
  <c r="N534" i="9"/>
  <c r="N465" i="9"/>
  <c r="N543" i="9"/>
  <c r="N470" i="9"/>
  <c r="N747" i="9"/>
  <c r="N749" i="9"/>
  <c r="N750" i="9"/>
  <c r="O746" i="9"/>
  <c r="N476" i="9"/>
  <c r="N477" i="9"/>
  <c r="N771" i="9"/>
  <c r="O701" i="9"/>
  <c r="N433" i="9"/>
  <c r="N643" i="9"/>
  <c r="N680" i="9"/>
  <c r="N463" i="9"/>
  <c r="N472" i="9"/>
  <c r="N479" i="9"/>
  <c r="O432" i="9"/>
  <c r="N447" i="9"/>
  <c r="N451" i="9"/>
  <c r="N456" i="9"/>
  <c r="N481" i="9"/>
  <c r="N764" i="9"/>
  <c r="N769" i="9"/>
  <c r="N783" i="9"/>
  <c r="O692" i="9"/>
  <c r="O693" i="9"/>
  <c r="O694" i="9"/>
  <c r="N770" i="9"/>
  <c r="N796" i="9"/>
  <c r="O666" i="9"/>
  <c r="N818" i="9"/>
  <c r="N821" i="9"/>
  <c r="N831" i="9"/>
  <c r="N772" i="9"/>
  <c r="N391" i="9"/>
  <c r="O776" i="9"/>
  <c r="N798" i="9"/>
  <c r="G831" i="9"/>
  <c r="F831" i="9"/>
  <c r="O789" i="9"/>
  <c r="O788" i="9"/>
  <c r="O800" i="9"/>
  <c r="O533" i="9"/>
  <c r="O531" i="9"/>
  <c r="O534" i="9"/>
  <c r="O465" i="9"/>
  <c r="O470" i="9"/>
  <c r="O543" i="9"/>
  <c r="O747" i="9"/>
  <c r="O427" i="9"/>
  <c r="O749" i="9"/>
  <c r="O750" i="9"/>
  <c r="O476" i="9"/>
  <c r="O477" i="9"/>
  <c r="O771" i="9"/>
  <c r="O420" i="9"/>
  <c r="O428" i="9"/>
  <c r="O431" i="9"/>
  <c r="O702" i="9"/>
  <c r="O704" i="9"/>
  <c r="O600" i="9"/>
  <c r="O601" i="9"/>
  <c r="O433" i="9"/>
  <c r="O447" i="9"/>
  <c r="O596" i="9"/>
  <c r="O643" i="9"/>
  <c r="O680" i="9"/>
  <c r="O463" i="9"/>
  <c r="O472" i="9"/>
  <c r="O479" i="9"/>
  <c r="O451" i="9"/>
  <c r="O456" i="9"/>
  <c r="O764" i="9"/>
  <c r="O481" i="9"/>
  <c r="O769" i="9"/>
  <c r="O783" i="9"/>
  <c r="O796" i="9"/>
  <c r="O770" i="9"/>
  <c r="O818" i="9"/>
  <c r="O821" i="9"/>
  <c r="O832" i="9"/>
  <c r="O772" i="9"/>
  <c r="O391" i="9"/>
  <c r="O798" i="9"/>
  <c r="F832" i="9"/>
  <c r="G832" i="9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tc={DFAB9172-5970-4320-B61C-61FB837AEA78}</author>
    <author>tc={8D2DE716-9016-4EA6-A39B-FF156B24F4DD}</author>
    <author>tc={1FD5A748-3534-41B0-80B8-764B6ABB175D}</author>
    <author>tc={DEE306B2-378A-4218-AE8E-0B4AE4CD9734}</author>
    <author>Ian Schnoor</author>
    <author>tc={02ED26AC-278E-489E-879F-AE07BB95D48A}</author>
    <author>tc={1AECCD19-BDEB-430F-AC34-D228DDED6EE8}</author>
    <author>tc={2CD46EE1-21D8-4F40-A909-26E778BAA509}</author>
    <author>tc={75CBE49F-0118-4C02-8F6C-7BAC86C78735}</author>
    <author>tc={5FFE1E69-4166-4222-BEA0-86E45486F447}</author>
    <author>tc={870444ED-936E-409D-A024-9CECBC44630F}</author>
    <author>tc={154F5F75-4DD3-41E0-9727-E6178A442D3A}</author>
  </authors>
  <commentList>
    <comment ref="G32" authorId="0" shapeId="0" xr:uid="{DFAB9172-5970-4320-B61C-61FB837AEA78}">
      <text>
        <t>[Threaded comment]
Your version of Excel allows you to read this threaded comment; however, any edits to it will get removed if the file is opened in a newer version of Excel. Learn more: https://go.microsoft.com/fwlink/?linkid=870924
Comment:
    Linked to 2017 instead of 2018</t>
      </text>
    </comment>
    <comment ref="G57" authorId="1" shapeId="0" xr:uid="{8D2DE716-9016-4EA6-A39B-FF156B24F4DD}">
      <text>
        <t>[Threaded comment]
Your version of Excel allows you to read this threaded comment; however, any edits to it will get removed if the file is opened in a newer version of Excel. Learn more: https://go.microsoft.com/fwlink/?linkid=870924
Comment:
    The formula refers to itself, instead of being a sum of debt plus equity</t>
      </text>
    </comment>
    <comment ref="P64" authorId="2" shapeId="0" xr:uid="{1FD5A748-3534-41B0-80B8-764B6ABB175D}">
      <text>
        <t>[Threaded comment]
Your version of Excel allows you to read this threaded comment; however, any edits to it will get removed if the file is opened in a newer version of Excel. Learn more: https://go.microsoft.com/fwlink/?linkid=870924
Comment:
    The formula should sum all the debts and deduct the cash</t>
      </text>
    </comment>
    <comment ref="K119" authorId="3" shapeId="0" xr:uid="{DEE306B2-378A-4218-AE8E-0B4AE4CD9734}">
      <text>
        <t>[Threaded comment]
Your version of Excel allows you to read this threaded comment; however, any edits to it will get removed if the file is opened in a newer version of Excel. Learn more: https://go.microsoft.com/fwlink/?linkid=870924
Comment:
    The reference to the percentage indentation is fixed to the first year, it must be relative ($m$ to m$)</t>
      </text>
    </comment>
    <comment ref="D130" authorId="4" shapeId="0" xr:uid="{00000000-0006-0000-0400-000001000000}">
      <text>
        <r>
          <rPr>
            <sz val="9"/>
            <color indexed="81"/>
            <rFont val="Tahoma"/>
            <family val="2"/>
          </rPr>
          <t xml:space="preserve">If entering adjustments, replace the current label with the specific name of the adjustment (ie. Headcount reductions)
</t>
        </r>
      </text>
    </comment>
    <comment ref="D131" authorId="4" shapeId="0" xr:uid="{00000000-0006-0000-0400-000002000000}">
      <text>
        <r>
          <rPr>
            <sz val="9"/>
            <color indexed="81"/>
            <rFont val="Tahoma"/>
            <family val="2"/>
          </rPr>
          <t xml:space="preserve">If entering adjustments, replace the current label with the specific name of the adjustment (ie. Headcount reductions)
</t>
        </r>
      </text>
    </comment>
    <comment ref="D132" authorId="4" shapeId="0" xr:uid="{00000000-0006-0000-0400-000003000000}">
      <text>
        <r>
          <rPr>
            <sz val="9"/>
            <color indexed="81"/>
            <rFont val="Tahoma"/>
            <family val="2"/>
          </rPr>
          <t xml:space="preserve">If entering adjustments, replace the current label with the specific name of the adjustment (ie. Headcount reductions)
</t>
        </r>
      </text>
    </comment>
    <comment ref="M233" authorId="5" shapeId="0" xr:uid="{02ED26AC-278E-489E-879F-AE07BB95D48A}">
      <text>
        <t>[Threaded comment]
Your version of Excel allows you to read this threaded comment; however, any edits to it will get removed if the file is opened in a newer version of Excel. Learn more: https://go.microsoft.com/fwlink/?linkid=870924
Comment:
    Corrected the CHOOSE references to catch the Worst Case scenario</t>
      </text>
    </comment>
    <comment ref="O290" authorId="6" shapeId="0" xr:uid="{1AECCD19-BDEB-430F-AC34-D228DDED6EE8}">
      <text>
        <t>[Threaded comment]
Your version of Excel allows you to read this threaded comment; however, any edits to it will get removed if the file is opened in a newer version of Excel. Learn more: https://go.microsoft.com/fwlink/?linkid=870924
Comment:
    Sales Discounts should be substracted not summed to the Gross Revenue</t>
      </text>
    </comment>
    <comment ref="O578" authorId="7" shapeId="0" xr:uid="{2CD46EE1-21D8-4F40-A909-26E778BAA509}">
      <text>
        <t>[Threaded comment]
Your version of Excel allows you to read this threaded comment; however, any edits to it will get removed if the file is opened in a newer version of Excel. Learn more: https://go.microsoft.com/fwlink/?linkid=870924
Comment:
    Inventories is calculated based on the wrong days count, i.e. accounts receivable instead of inventories.</t>
      </text>
    </comment>
    <comment ref="O615" authorId="8" shapeId="0" xr:uid="{75CBE49F-0118-4C02-8F6C-7BAC86C78735}">
      <text>
        <t>[Threaded comment]
Your version of Excel allows you to read this threaded comment; however, any edits to it will get removed if the file is opened in a newer version of Excel. Learn more: https://go.microsoft.com/fwlink/?linkid=870924
Comment:
    Used XLOOKUP with -1 to catch the correct rate</t>
      </text>
    </comment>
    <comment ref="O685" authorId="9" shapeId="0" xr:uid="{5FFE1E69-4166-4222-BEA0-86E45486F447}">
      <text>
        <t>[Threaded comment]
Your version of Excel allows you to read this threaded comment; however, any edits to it will get removed if the file is opened in a newer version of Excel. Learn more: https://go.microsoft.com/fwlink/?linkid=870924
Comment:
    Inverted the sign</t>
      </text>
    </comment>
    <comment ref="O689" authorId="10" shapeId="0" xr:uid="{870444ED-936E-409D-A024-9CECBC44630F}">
      <text>
        <t>[Threaded comment]
Your version of Excel allows you to read this threaded comment; however, any edits to it will get removed if the file is opened in a newer version of Excel. Learn more: https://go.microsoft.com/fwlink/?linkid=870924
Comment:
    Corrected the formula for drawing down or repayming the revolver, as the - min of the sum of cash and FCF or the beginning balance of the revolver</t>
      </text>
    </comment>
    <comment ref="O711" authorId="11" shapeId="0" xr:uid="{154F5F75-4DD3-41E0-9727-E6178A442D3A}">
      <text>
        <t>[Threaded comment]
Your version of Excel allows you to read this threaded comment; however, any edits to it will get removed if the file is opened in a newer version of Excel. Learn more: https://go.microsoft.com/fwlink/?linkid=870924
Comment:
    Deduced from interest expenses the income from interest on cash</t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Paul Smith</author>
    <author>Ian Schnoor</author>
  </authors>
  <commentList>
    <comment ref="D9" authorId="0" shapeId="0" xr:uid="{7B666BA6-1F11-42C5-9A34-84BCFA283B49}">
      <text>
        <r>
          <rPr>
            <sz val="9"/>
            <color indexed="81"/>
            <rFont val="Tahoma"/>
            <family val="2"/>
          </rPr>
          <t>Corrected to show for the Actuals, A, instead of F as this is not a forecast year.</t>
        </r>
      </text>
    </comment>
    <comment ref="G9" authorId="0" shapeId="0" xr:uid="{A40F2E63-2947-4D55-9224-FE40B37F2B8C}">
      <text>
        <r>
          <rPr>
            <sz val="9"/>
            <color indexed="81"/>
            <rFont val="Tahoma"/>
            <family val="2"/>
          </rPr>
          <t>Corrected for the 2018 instead of the 2017 figure</t>
        </r>
      </text>
    </comment>
    <comment ref="G34" authorId="0" shapeId="0" xr:uid="{FB12BB7B-0070-4510-ADB1-1ED0FC7200AA}">
      <text>
        <r>
          <rPr>
            <sz val="9"/>
            <color indexed="81"/>
            <rFont val="Tahoma"/>
            <family val="2"/>
          </rPr>
          <t>Corrected the formula which otherwise would always show as 100%</t>
        </r>
      </text>
    </comment>
    <comment ref="P41" authorId="0" shapeId="0" xr:uid="{E03B4950-521A-49AA-9823-4648DBAE134B}">
      <text>
        <r>
          <rPr>
            <sz val="9"/>
            <color indexed="81"/>
            <rFont val="Tahoma"/>
            <family val="2"/>
          </rPr>
          <t>Corrected to include Cash (which is reduced from the Debt amount)</t>
        </r>
      </text>
    </comment>
    <comment ref="I96" authorId="0" shapeId="0" xr:uid="{59BF6C53-7C8E-41A1-946D-8DA480741DD0}">
      <text>
        <r>
          <rPr>
            <sz val="9"/>
            <color indexed="81"/>
            <rFont val="Tahoma"/>
            <family val="2"/>
          </rPr>
          <t>Corrected to use the specific yearly growth rate instead of the first forecast year for all the years.</t>
        </r>
      </text>
    </comment>
    <comment ref="F105" authorId="0" shapeId="0" xr:uid="{78C0719D-1A0B-4F66-855E-0B8B8D5643AF}">
      <text>
        <r>
          <rPr>
            <sz val="9"/>
            <color indexed="81"/>
            <rFont val="Tahoma"/>
            <family val="2"/>
          </rPr>
          <t>Corrected to show for the Actuals, A, instead of F as this is not a forecast year.</t>
        </r>
      </text>
    </comment>
    <comment ref="D107" authorId="1" shapeId="0" xr:uid="{00000000-0006-0000-0500-000001000000}">
      <text>
        <r>
          <rPr>
            <sz val="9"/>
            <color indexed="81"/>
            <rFont val="Tahoma"/>
            <family val="2"/>
          </rPr>
          <t xml:space="preserve">If entering adjustments, replace the current label with the specific name of the adjustment (ie. Headcount reductions)
</t>
        </r>
      </text>
    </comment>
    <comment ref="D108" authorId="1" shapeId="0" xr:uid="{00000000-0006-0000-0500-000002000000}">
      <text>
        <r>
          <rPr>
            <sz val="9"/>
            <color indexed="81"/>
            <rFont val="Tahoma"/>
            <family val="2"/>
          </rPr>
          <t xml:space="preserve">If entering adjustments, replace the current label with the specific name of the adjustment (ie. Headcount reductions)
</t>
        </r>
      </text>
    </comment>
    <comment ref="D109" authorId="1" shapeId="0" xr:uid="{00000000-0006-0000-0500-000003000000}">
      <text>
        <r>
          <rPr>
            <sz val="9"/>
            <color indexed="81"/>
            <rFont val="Tahoma"/>
            <family val="2"/>
          </rPr>
          <t xml:space="preserve">If entering adjustments, replace the current label with the specific name of the adjustment (ie. Headcount reductions)
</t>
        </r>
      </text>
    </comment>
    <comment ref="I210" authorId="0" shapeId="0" xr:uid="{A7497FF4-944C-4FF9-85B0-11B60BC7A74F}">
      <text>
        <r>
          <rPr>
            <sz val="9"/>
            <color indexed="81"/>
            <rFont val="Tahoma"/>
            <family val="2"/>
          </rPr>
          <t xml:space="preserve">Corrected to include the Worse Case scenario (which otherwise would result in an error when selected)
</t>
        </r>
      </text>
    </comment>
    <comment ref="J241" authorId="0" shapeId="0" xr:uid="{2AFE02CA-EDE2-44D0-BE1D-B0B93A0AB07B}">
      <text>
        <r>
          <rPr>
            <sz val="9"/>
            <color indexed="81"/>
            <rFont val="Tahoma"/>
            <family val="2"/>
          </rPr>
          <t>Corrected to show as A rather than F as these are Actuals</t>
        </r>
      </text>
    </comment>
    <comment ref="K259" authorId="0" shapeId="0" xr:uid="{E206C30A-76A1-4B9E-8F98-E04F3A618174}">
      <text>
        <r>
          <rPr>
            <sz val="9"/>
            <color indexed="81"/>
            <rFont val="Tahoma"/>
            <family val="2"/>
          </rPr>
          <t xml:space="preserve">Corrected to apply the Annual Mfg. Capacity constraint which serves as the upper limit
</t>
        </r>
      </text>
    </comment>
    <comment ref="H267" authorId="0" shapeId="0" xr:uid="{95C2ECA1-FEB7-4932-A168-01F2D16709DB}">
      <text>
        <r>
          <rPr>
            <sz val="9"/>
            <color indexed="81"/>
            <rFont val="Tahoma"/>
            <family val="2"/>
          </rPr>
          <t xml:space="preserve">Corrected to deduct the Sales Discounts rather than add them
</t>
        </r>
      </text>
    </comment>
    <comment ref="J277" authorId="0" shapeId="0" xr:uid="{283BB1FA-F6C8-469A-9FC4-8BFA2F08EBD0}">
      <text>
        <r>
          <rPr>
            <sz val="9"/>
            <color indexed="81"/>
            <rFont val="Tahoma"/>
            <family val="2"/>
          </rPr>
          <t>Corrected to show as A rather than F as these are Actuals</t>
        </r>
      </text>
    </comment>
    <comment ref="L312" authorId="0" shapeId="0" xr:uid="{62B389A3-6CF9-4B0F-847E-98442646FD45}">
      <text>
        <r>
          <rPr>
            <sz val="9"/>
            <color indexed="81"/>
            <rFont val="Tahoma"/>
            <family val="2"/>
          </rPr>
          <t xml:space="preserve">Corrected to apply the approriate yearly growth rate
</t>
        </r>
      </text>
    </comment>
    <comment ref="J329" authorId="0" shapeId="0" xr:uid="{3DA5FD9A-2098-43A9-AD7D-977D01D48DA0}">
      <text>
        <r>
          <rPr>
            <sz val="9"/>
            <color indexed="81"/>
            <rFont val="Tahoma"/>
            <family val="2"/>
          </rPr>
          <t>Corrected to show as A rather than F as these are Actuals</t>
        </r>
      </text>
    </comment>
    <comment ref="J379" authorId="0" shapeId="0" xr:uid="{B0843070-63CB-4EDE-B9B2-41BBFC371E99}">
      <text>
        <r>
          <rPr>
            <sz val="9"/>
            <color indexed="81"/>
            <rFont val="Tahoma"/>
            <family val="2"/>
          </rPr>
          <t>Corrected to show as A rather than F as these are Actuals</t>
        </r>
      </text>
    </comment>
    <comment ref="K402" authorId="0" shapeId="0" xr:uid="{021142DF-862C-45B7-A587-CB7AE2F28D2A}">
      <text>
        <r>
          <rPr>
            <sz val="9"/>
            <color indexed="81"/>
            <rFont val="Tahoma"/>
            <family val="2"/>
          </rPr>
          <t xml:space="preserve">Corrected the sign to become negative as Dividends are a Cash outflow so reduce the Cash balance
</t>
        </r>
      </text>
    </comment>
    <comment ref="I431" authorId="0" shapeId="0" xr:uid="{56DC6AAF-E7D0-48A7-A2BA-261EEB55370A}">
      <text>
        <r>
          <rPr>
            <sz val="9"/>
            <color indexed="81"/>
            <rFont val="Tahoma"/>
            <family val="2"/>
          </rPr>
          <t>Corrects to deduct the starting balance from the Adjustment</t>
        </r>
      </text>
    </comment>
    <comment ref="I443" authorId="0" shapeId="0" xr:uid="{9B9E8C23-2BD8-46F3-90AC-EFC99FBC6375}">
      <text>
        <r>
          <rPr>
            <sz val="9"/>
            <color indexed="81"/>
            <rFont val="Tahoma"/>
            <family val="2"/>
          </rPr>
          <t xml:space="preserve">Like for Goodwill above, this corrects to deduct the starting balance from the Adjustment.
</t>
        </r>
      </text>
    </comment>
    <comment ref="I452" authorId="0" shapeId="0" xr:uid="{4A03EE5B-DCC5-4BDA-AD18-F25BEBF2C1D3}">
      <text>
        <r>
          <rPr>
            <sz val="9"/>
            <color indexed="81"/>
            <rFont val="Tahoma"/>
            <family val="2"/>
          </rPr>
          <t xml:space="preserve">Corrected to remove the starting balance from the Adjustment.
</t>
        </r>
      </text>
    </comment>
    <comment ref="J466" authorId="0" shapeId="0" xr:uid="{5B5A9F33-B207-4DA1-AB68-D6CB27578231}">
      <text>
        <r>
          <rPr>
            <sz val="9"/>
            <color indexed="81"/>
            <rFont val="Tahoma"/>
            <family val="2"/>
          </rPr>
          <t>Corrected to show as A rather than F as these are Actuals</t>
        </r>
      </text>
    </comment>
    <comment ref="E474" authorId="0" shapeId="0" xr:uid="{59A5D975-CAA3-4407-A2BF-7B580392FAAA}">
      <text>
        <r>
          <rPr>
            <sz val="9"/>
            <color indexed="81"/>
            <rFont val="Tahoma"/>
            <family val="2"/>
          </rPr>
          <t xml:space="preserve">Improvement to make the Lookup dynamic in case the number of rows changed the formula will still work instead of being hardcoded to a fixed value which will not respond dynamically.
</t>
        </r>
      </text>
    </comment>
    <comment ref="K480" authorId="0" shapeId="0" xr:uid="{20412BD5-8A67-4009-8FF4-B960A7CB8580}">
      <text>
        <r>
          <rPr>
            <sz val="9"/>
            <color indexed="81"/>
            <rFont val="Tahoma"/>
            <family val="2"/>
          </rPr>
          <t xml:space="preserve">Corrected to include the full range for the Sum as it was not including the Depreciation for the final forecast year before.
</t>
        </r>
      </text>
    </comment>
    <comment ref="J538" authorId="0" shapeId="0" xr:uid="{82D31983-B83B-4CA0-ABE3-F508B52D1ED8}">
      <text>
        <r>
          <rPr>
            <sz val="9"/>
            <color indexed="81"/>
            <rFont val="Tahoma"/>
            <family val="2"/>
          </rPr>
          <t>Corrected to show as A rather than F as these are Actuals</t>
        </r>
      </text>
    </comment>
    <comment ref="K553" authorId="0" shapeId="0" xr:uid="{D8DE7F2A-61E8-4DC3-8712-64D796CBE9B3}">
      <text>
        <r>
          <rPr>
            <sz val="9"/>
            <color indexed="81"/>
            <rFont val="Tahoma"/>
            <family val="2"/>
          </rPr>
          <t xml:space="preserve">Corrected to use the Inventories days rather than the AR days
</t>
        </r>
      </text>
    </comment>
    <comment ref="M557" authorId="0" shapeId="0" xr:uid="{3C20F8C7-2483-437F-9B98-1FA929B26353}">
      <text>
        <r>
          <rPr>
            <sz val="9"/>
            <color indexed="81"/>
            <rFont val="Tahoma"/>
            <family val="2"/>
          </rPr>
          <t xml:space="preserve">Corrected to calculate the change the right way around so it's the prior year minus the current year not vice versa.
</t>
        </r>
      </text>
    </comment>
    <comment ref="J568" authorId="0" shapeId="0" xr:uid="{D21A3CFF-E2ED-4A78-9C94-635B896B87C5}">
      <text>
        <r>
          <rPr>
            <sz val="9"/>
            <color indexed="81"/>
            <rFont val="Tahoma"/>
            <family val="2"/>
          </rPr>
          <t>Corrected to show as A rather than F as these are Actuals</t>
        </r>
      </text>
    </comment>
    <comment ref="K587" authorId="0" shapeId="0" xr:uid="{49D7D4BC-8E7F-4A2A-8758-9C79FA691F7F}">
      <text>
        <r>
          <rPr>
            <sz val="9"/>
            <color indexed="81"/>
            <rFont val="Tahoma"/>
            <family val="2"/>
          </rPr>
          <t xml:space="preserve">Corrected only use the Opening Loan balance instead of the rolling Opening balance (as the repayment schedule applies specifically to the Opening Balance only)
</t>
        </r>
      </text>
    </comment>
    <comment ref="K590" authorId="0" shapeId="0" xr:uid="{429BB45B-C216-48BE-BE7B-063F1F535BD7}">
      <text>
        <r>
          <rPr>
            <sz val="9"/>
            <color indexed="81"/>
            <rFont val="Tahoma"/>
            <family val="2"/>
          </rPr>
          <t xml:space="preserve">Corrected for the right number of columns so the values pull through correctly and will dynamically adjust if the columns change so the values still pull through
</t>
        </r>
      </text>
    </comment>
    <comment ref="K599" authorId="0" shapeId="0" xr:uid="{CFA0784A-ADAF-4D86-A1EE-3620CDD41A38}">
      <text>
        <r>
          <rPr>
            <sz val="9"/>
            <color indexed="81"/>
            <rFont val="Tahoma"/>
            <family val="2"/>
          </rPr>
          <t xml:space="preserve">Corrected like for the Term Loan A to fix the repayment schedule to apply to only the initial Opening Balance.
</t>
        </r>
      </text>
    </comment>
    <comment ref="J615" authorId="0" shapeId="0" xr:uid="{9FA10BAF-7CCE-4D43-83F7-D09667583D0F}">
      <text>
        <r>
          <rPr>
            <sz val="9"/>
            <color indexed="81"/>
            <rFont val="Tahoma"/>
            <family val="2"/>
          </rPr>
          <t>Corrected to show as A rather than F as these are Actuals</t>
        </r>
      </text>
    </comment>
    <comment ref="J652" authorId="0" shapeId="0" xr:uid="{154D528D-3C64-48E8-B22A-3B7FFDCCFD08}">
      <text>
        <r>
          <rPr>
            <sz val="9"/>
            <color indexed="81"/>
            <rFont val="Tahoma"/>
            <family val="2"/>
          </rPr>
          <t>Corrected to show as A rather than F as these are Actuals</t>
        </r>
      </text>
    </comment>
    <comment ref="K660" authorId="0" shapeId="0" xr:uid="{33D66D48-EB1E-45DB-BEC0-C261FB78FB5C}">
      <text>
        <r>
          <rPr>
            <sz val="9"/>
            <color indexed="81"/>
            <rFont val="Tahoma"/>
            <family val="2"/>
          </rPr>
          <t xml:space="preserve">Corrected for the right sign
</t>
        </r>
      </text>
    </comment>
    <comment ref="K664" authorId="0" shapeId="0" xr:uid="{5EB75EFA-E46D-4A60-8A13-B6CF69D63FE6}">
      <text>
        <r>
          <rPr>
            <sz val="9"/>
            <color indexed="81"/>
            <rFont val="Tahoma"/>
            <family val="2"/>
          </rPr>
          <t xml:space="preserve">Corrected to apply an upper limit for the amount which can be repaid (as only so much cash available to repay the Revolver as needed)
</t>
        </r>
      </text>
    </comment>
    <comment ref="K686" authorId="0" shapeId="0" xr:uid="{2A08B3D4-0046-4BF8-A5FB-A14D34565581}">
      <text>
        <r>
          <rPr>
            <sz val="9"/>
            <color indexed="81"/>
            <rFont val="Tahoma"/>
            <family val="2"/>
          </rPr>
          <t xml:space="preserve">Corrected to include the relevant Cash Interest lines and reduce the Expense by the Interest Received
</t>
        </r>
      </text>
    </comment>
    <comment ref="K687" authorId="0" shapeId="0" xr:uid="{7DC687D1-9851-416B-9570-227BFDD27DB9}">
      <text>
        <r>
          <rPr>
            <sz val="9"/>
            <color indexed="81"/>
            <rFont val="Tahoma"/>
            <family val="2"/>
          </rPr>
          <t xml:space="preserve">Corrected to only include the PIK interest
</t>
        </r>
      </text>
    </comment>
    <comment ref="J699" authorId="0" shapeId="0" xr:uid="{6B0A0384-2408-454D-B658-33992EACF040}">
      <text>
        <r>
          <rPr>
            <sz val="9"/>
            <color indexed="81"/>
            <rFont val="Tahoma"/>
            <family val="2"/>
          </rPr>
          <t>Corrected to show as A rather than F as these are Actuals</t>
        </r>
      </text>
    </comment>
    <comment ref="J743" authorId="0" shapeId="0" xr:uid="{B3D4E3D4-1DE9-4DE8-A175-3D9F9692DE2C}">
      <text>
        <r>
          <rPr>
            <sz val="9"/>
            <color indexed="81"/>
            <rFont val="Tahoma"/>
            <family val="2"/>
          </rPr>
          <t xml:space="preserve">Corrected to align to the right columns (as previously had misaligned years)
</t>
        </r>
      </text>
    </comment>
    <comment ref="K759" authorId="0" shapeId="0" xr:uid="{B4166201-D596-4D7E-857B-1ABCA2BC1C97}">
      <text>
        <r>
          <rPr>
            <sz val="9"/>
            <color indexed="81"/>
            <rFont val="Tahoma"/>
            <family val="2"/>
          </rPr>
          <t xml:space="preserve">Corrected to scale the cushion to the Covenant multiple
</t>
        </r>
      </text>
    </comment>
    <comment ref="K791" authorId="0" shapeId="0" xr:uid="{126F054A-4029-4139-A332-D1D56BC55AAB}">
      <text>
        <r>
          <rPr>
            <sz val="9"/>
            <color indexed="81"/>
            <rFont val="Tahoma"/>
            <family val="2"/>
          </rPr>
          <t xml:space="preserve">Corrected the sign (alternatively could change the Equity Value formula and leave the sign the same here)
</t>
        </r>
      </text>
    </comment>
    <comment ref="K792" authorId="0" shapeId="0" xr:uid="{EA00FEC1-583C-4B53-8F6A-E4D356A0F651}">
      <text>
        <r>
          <rPr>
            <sz val="9"/>
            <color indexed="81"/>
            <rFont val="Tahoma"/>
            <family val="2"/>
          </rPr>
          <t>Corrected the sign (alternatively could change the Equity Value formula and leave the sign the same here)</t>
        </r>
      </text>
    </comment>
    <comment ref="K804" authorId="0" shapeId="0" xr:uid="{9DD075EE-A7BF-46B3-A57F-6D708A9E78ED}">
      <text>
        <r>
          <rPr>
            <sz val="9"/>
            <color indexed="81"/>
            <rFont val="Tahoma"/>
            <family val="2"/>
          </rPr>
          <t>Corrected to add these values so the IRR formula still works (as otherwise it ignores these cells)</t>
        </r>
      </text>
    </comment>
  </commentList>
</comments>
</file>

<file path=xl/sharedStrings.xml><?xml version="1.0" encoding="utf-8"?>
<sst xmlns="http://schemas.openxmlformats.org/spreadsheetml/2006/main" count="1255" uniqueCount="402">
  <si>
    <t>LIBOR</t>
  </si>
  <si>
    <t>Total Debt</t>
  </si>
  <si>
    <t>Total Debt / EBITDA</t>
  </si>
  <si>
    <t>Revolver</t>
  </si>
  <si>
    <t>Interest Expense</t>
  </si>
  <si>
    <t>Cash Interest Expense</t>
  </si>
  <si>
    <t>Cash Interest</t>
  </si>
  <si>
    <t>Total Interest Expense</t>
  </si>
  <si>
    <t>EBITDA Cushion</t>
  </si>
  <si>
    <t>Total</t>
  </si>
  <si>
    <t>Tax Rate</t>
  </si>
  <si>
    <t>Investment</t>
  </si>
  <si>
    <t>Added</t>
  </si>
  <si>
    <t>IRR</t>
  </si>
  <si>
    <t>Exit Value in:</t>
  </si>
  <si>
    <t>SSC</t>
  </si>
  <si>
    <t>Value</t>
  </si>
  <si>
    <t>SSC Fully Diluted Equity</t>
  </si>
  <si>
    <t>Equity Value</t>
  </si>
  <si>
    <t>Less: Preferred Shares</t>
  </si>
  <si>
    <t>Less: Net Debt</t>
  </si>
  <si>
    <t>Enterprise Value</t>
  </si>
  <si>
    <t>Assumed Exit Multiple</t>
  </si>
  <si>
    <t>EBITDA</t>
  </si>
  <si>
    <t>Projected</t>
  </si>
  <si>
    <t>($ Millions)</t>
  </si>
  <si>
    <t>IRR Calculations (Based on a Sale as Exit)</t>
  </si>
  <si>
    <t>Interest Coverage ((EBITDA - CAPEX) / Interest)</t>
  </si>
  <si>
    <t>Net Debt / Total Capitalization</t>
  </si>
  <si>
    <t>Mezzanine Debt / EBITDA</t>
  </si>
  <si>
    <t>Other Ratios</t>
  </si>
  <si>
    <t>EBITDA / Interest</t>
  </si>
  <si>
    <t>Covenant</t>
  </si>
  <si>
    <t>Interest Coverage</t>
  </si>
  <si>
    <t>Senior Secured Debt / EBITDA</t>
  </si>
  <si>
    <t>Capital Expenditures</t>
  </si>
  <si>
    <t>Earnings and Cash Flow Items</t>
  </si>
  <si>
    <t>Net Book Capitalization (D+E)</t>
  </si>
  <si>
    <t>Shareholder's Equity</t>
  </si>
  <si>
    <t>Net Debt</t>
  </si>
  <si>
    <t>Mezzanine Debt</t>
  </si>
  <si>
    <t>Senior Unsecured Notes</t>
  </si>
  <si>
    <t>Senior Secured Term Loans</t>
  </si>
  <si>
    <t>Cash</t>
  </si>
  <si>
    <t>Balance Sheet Items</t>
  </si>
  <si>
    <t>At Closing</t>
  </si>
  <si>
    <t>Credit Statistics and Covenants</t>
  </si>
  <si>
    <t>Amount Outstanding - Ending</t>
  </si>
  <si>
    <t>Common Dividend</t>
  </si>
  <si>
    <t>Preferred Dividend</t>
  </si>
  <si>
    <t>Net Income</t>
  </si>
  <si>
    <t>Amount Outstanding - Beginning</t>
  </si>
  <si>
    <t>Retained Earnings</t>
  </si>
  <si>
    <t>Net Income to Common</t>
  </si>
  <si>
    <t>Dividend Payout Rate</t>
  </si>
  <si>
    <t>New Issuance / (Buy-Back)</t>
  </si>
  <si>
    <t>Common Shares</t>
  </si>
  <si>
    <t>Dividend Rate</t>
  </si>
  <si>
    <t>New Issuance / (Redemption)</t>
  </si>
  <si>
    <t>Preferred Shares</t>
  </si>
  <si>
    <t>Shareholders' Equity Schedule</t>
  </si>
  <si>
    <t>Net Interest Expense</t>
  </si>
  <si>
    <t>PIK Interest</t>
  </si>
  <si>
    <t>Interest Expense (Stand-By Fee) on Undrawn Amount</t>
  </si>
  <si>
    <t>Interest Rate on Undrawn Amount</t>
  </si>
  <si>
    <t>Amount Available - Ending</t>
  </si>
  <si>
    <t>Less: Reduction in Maximum Amount Available</t>
  </si>
  <si>
    <t>Repayments / (Drawings)</t>
  </si>
  <si>
    <t>Undrawn Amount at Beginning</t>
  </si>
  <si>
    <t>Maximum Revolver Amount Available</t>
  </si>
  <si>
    <t>Margining of Assets Formula Amount</t>
  </si>
  <si>
    <t>Revolver (Undrawn Amount)</t>
  </si>
  <si>
    <t>Annual Interest Expense</t>
  </si>
  <si>
    <t>Interest Rate (LIBOR + Spread)</t>
  </si>
  <si>
    <t>Spread to LIBOR</t>
  </si>
  <si>
    <t>Revolver Outstanding - Ending</t>
  </si>
  <si>
    <t>Additions / (Repayments)</t>
  </si>
  <si>
    <t>Revolver Outstanding - Beginning</t>
  </si>
  <si>
    <t>FCF After Scheduled Debt Repayment and Dividends</t>
  </si>
  <si>
    <t>Dividends</t>
  </si>
  <si>
    <t>Scheduled Debt Repayments</t>
  </si>
  <si>
    <t>FCF Before Debt Issuance / (Repayment)</t>
  </si>
  <si>
    <t>Revolver (Drawn Amount)</t>
  </si>
  <si>
    <t>LIBOR Forecast</t>
  </si>
  <si>
    <t>Debt and Interest Schedule (Part 3)</t>
  </si>
  <si>
    <t>PIK Interest Expense</t>
  </si>
  <si>
    <t>Interest Rate</t>
  </si>
  <si>
    <t>Cash Interest Percentage</t>
  </si>
  <si>
    <t>PIK Interest Percentage</t>
  </si>
  <si>
    <t>PIK Amount</t>
  </si>
  <si>
    <t>Scheduled Repayments</t>
  </si>
  <si>
    <t>Coupon Rate</t>
  </si>
  <si>
    <t>Debt and Interest Schedule (Part 2)</t>
  </si>
  <si>
    <t>Repayment Schedule</t>
  </si>
  <si>
    <t>Term Loan B</t>
  </si>
  <si>
    <t>Term Loan A</t>
  </si>
  <si>
    <t>Annual Interest Income</t>
  </si>
  <si>
    <t>Change in Cash</t>
  </si>
  <si>
    <t>Debt and Interest Schedule (Part 1)</t>
  </si>
  <si>
    <t>($ MM)</t>
  </si>
  <si>
    <t>Change in Working Capital</t>
  </si>
  <si>
    <t>Net Working Capital</t>
  </si>
  <si>
    <t>Accounts Payable</t>
  </si>
  <si>
    <t>Inventories</t>
  </si>
  <si>
    <t>Accounts Receivable</t>
  </si>
  <si>
    <t>Account Balances</t>
  </si>
  <si>
    <t>(days)</t>
  </si>
  <si>
    <t>Days In</t>
  </si>
  <si>
    <t>Cost of Sales</t>
  </si>
  <si>
    <t>Net Revenue</t>
  </si>
  <si>
    <t>Income Statement Items</t>
  </si>
  <si>
    <t>Days per Year</t>
  </si>
  <si>
    <t>Working Capital Schedule</t>
  </si>
  <si>
    <t>Tax Basis Ending (C + D - E)</t>
  </si>
  <si>
    <t>E</t>
  </si>
  <si>
    <t>Less: Tax Dep'n Available and Used</t>
  </si>
  <si>
    <t>Tax Basis After New Capex (1/2 Year)</t>
  </si>
  <si>
    <t>1/2 of New Capex</t>
  </si>
  <si>
    <t>D</t>
  </si>
  <si>
    <t>Plus: New Capex</t>
  </si>
  <si>
    <t>C</t>
  </si>
  <si>
    <t xml:space="preserve">Tax Basis Beginning </t>
  </si>
  <si>
    <t>Blended Tax Dep'n Rate</t>
  </si>
  <si>
    <t>Tax Depreciation Schedule</t>
  </si>
  <si>
    <t>Total Income Taxes (Same as Accounting Taxes Above)</t>
  </si>
  <si>
    <t>Increase (Decrease) in Deferred Income Taxes</t>
  </si>
  <si>
    <t>Taxes as Appearing on Income Statement</t>
  </si>
  <si>
    <t>B</t>
  </si>
  <si>
    <t>EBT After NOL</t>
  </si>
  <si>
    <t>Total NOL Available</t>
  </si>
  <si>
    <t>Remaining Existing NOL</t>
  </si>
  <si>
    <t>Newly Created NOL - Ending</t>
  </si>
  <si>
    <t>Newly Created NOL Used (Added)</t>
  </si>
  <si>
    <t>Newly Created NOL - Beginning</t>
  </si>
  <si>
    <t>Earnings after use of Existing NOL</t>
  </si>
  <si>
    <t>Existing NOL Used</t>
  </si>
  <si>
    <t>Existing NOL (Initial Balance)</t>
  </si>
  <si>
    <t>Net Operating Loss Schedule</t>
  </si>
  <si>
    <t>Earnings Before NOL after Tax Dep'n</t>
  </si>
  <si>
    <t>Deduct Tax Depreciation</t>
  </si>
  <si>
    <t>Add Back GAAP Depreciation</t>
  </si>
  <si>
    <t>A</t>
  </si>
  <si>
    <t xml:space="preserve">Earnings Before Taxes (as is on I/S)   </t>
  </si>
  <si>
    <t>Income Tax Schedule</t>
  </si>
  <si>
    <t>Total Depreciation</t>
  </si>
  <si>
    <t>CAPEX</t>
  </si>
  <si>
    <t>Depreciation to Existing Assets</t>
  </si>
  <si>
    <t>Depreciation Years on New Assets:</t>
  </si>
  <si>
    <t>Years Remaining on Existing Assets:</t>
  </si>
  <si>
    <t>Depreciation Schedule</t>
  </si>
  <si>
    <t>Check</t>
  </si>
  <si>
    <t>Total Liabilities and Equity</t>
  </si>
  <si>
    <t>Total Liabilities</t>
  </si>
  <si>
    <t>Total Long Term Liabilities</t>
  </si>
  <si>
    <t>Senior Notes</t>
  </si>
  <si>
    <t>Deferred Income Taxes</t>
  </si>
  <si>
    <t>Total Current Liabilities</t>
  </si>
  <si>
    <t>Other</t>
  </si>
  <si>
    <t>Bank Debt - Revolver</t>
  </si>
  <si>
    <t>LIABILITIES AND EQUITY</t>
  </si>
  <si>
    <t>Total Assets</t>
  </si>
  <si>
    <t>Goodwill</t>
  </si>
  <si>
    <t>Net PP&amp;E</t>
  </si>
  <si>
    <t>Total Current Assets</t>
  </si>
  <si>
    <t>Inventory</t>
  </si>
  <si>
    <t>ASSETS</t>
  </si>
  <si>
    <t>Closing</t>
  </si>
  <si>
    <t>Adjust.</t>
  </si>
  <si>
    <t>to Closing</t>
  </si>
  <si>
    <t>BS at</t>
  </si>
  <si>
    <t>BS prior</t>
  </si>
  <si>
    <t>Balance Sheet</t>
  </si>
  <si>
    <t>Ending Cash</t>
  </si>
  <si>
    <t>Beginning Cash</t>
  </si>
  <si>
    <t>Change in the Cash Position</t>
  </si>
  <si>
    <t>Financing Cash Flow</t>
  </si>
  <si>
    <t>Common Dividends</t>
  </si>
  <si>
    <t>Common Shares Issuance/ (Buy-Back)</t>
  </si>
  <si>
    <t>Preferred  Dividends</t>
  </si>
  <si>
    <t>Preferred Shares Issuance/ (Buy-Back)</t>
  </si>
  <si>
    <t>Mezzanine Debt Issuance / (Repayment)</t>
  </si>
  <si>
    <t>Senior Notes Issuance / (Repayment)</t>
  </si>
  <si>
    <t>Term Loan Issuance / (Repayment)</t>
  </si>
  <si>
    <t>Revolver Issuance / (Repayment)</t>
  </si>
  <si>
    <t>Financing Activities</t>
  </si>
  <si>
    <t>Investing Cash Flow</t>
  </si>
  <si>
    <t>Investing Activities</t>
  </si>
  <si>
    <t>Operating Cash Flow</t>
  </si>
  <si>
    <t>Changes in working capital</t>
  </si>
  <si>
    <t>Depreciation &amp; Amortization</t>
  </si>
  <si>
    <t>Operating Activities</t>
  </si>
  <si>
    <t>Cash Flow Statement</t>
  </si>
  <si>
    <r>
      <t>(1)</t>
    </r>
    <r>
      <rPr>
        <sz val="8"/>
        <rFont val="Times New Roman"/>
        <family val="1"/>
      </rPr>
      <t xml:space="preserve"> Defined as EBITDA divided by average Total Capital</t>
    </r>
  </si>
  <si>
    <r>
      <t xml:space="preserve">Return on Capital </t>
    </r>
    <r>
      <rPr>
        <vertAlign val="superscript"/>
        <sz val="8"/>
        <rFont val="Times New Roman"/>
        <family val="1"/>
      </rPr>
      <t>(1)</t>
    </r>
  </si>
  <si>
    <t>EBIT Margin</t>
  </si>
  <si>
    <t>EBITDA Margin</t>
  </si>
  <si>
    <t>Margins</t>
  </si>
  <si>
    <t>Preferred Dividends</t>
  </si>
  <si>
    <t>Total Income Taxes</t>
  </si>
  <si>
    <t>Current Income Taxes</t>
  </si>
  <si>
    <t>EBT</t>
  </si>
  <si>
    <t>EBIT</t>
  </si>
  <si>
    <t>Depreciation</t>
  </si>
  <si>
    <t>Plus: Synergies (Net)</t>
  </si>
  <si>
    <t>Total Costs</t>
  </si>
  <si>
    <t>S,G &amp; A</t>
  </si>
  <si>
    <t>Sales Discounts</t>
  </si>
  <si>
    <t>Gross Revenue</t>
  </si>
  <si>
    <t>Revenue</t>
  </si>
  <si>
    <t>(%)</t>
  </si>
  <si>
    <t>Cost Inflation</t>
  </si>
  <si>
    <t>(MM's cases)</t>
  </si>
  <si>
    <t>Sales Volume</t>
  </si>
  <si>
    <t>Income Statement</t>
  </si>
  <si>
    <t>Total Manufacturing Costs</t>
  </si>
  <si>
    <t>Total Fixed Costs</t>
  </si>
  <si>
    <t>Fixed Costs</t>
  </si>
  <si>
    <t>Total Variable Costs</t>
  </si>
  <si>
    <t>Variable Costs</t>
  </si>
  <si>
    <t>COSTS IN MILLIONS</t>
  </si>
  <si>
    <t>Salaries &amp; Benefits</t>
  </si>
  <si>
    <t>Operating Labour</t>
  </si>
  <si>
    <t>Supplies</t>
  </si>
  <si>
    <t>Energy</t>
  </si>
  <si>
    <t>Packaging</t>
  </si>
  <si>
    <t>Sugars</t>
  </si>
  <si>
    <t>($/case)</t>
  </si>
  <si>
    <t>Cacao</t>
  </si>
  <si>
    <t>(Peso /case)</t>
  </si>
  <si>
    <t>COSTS PER UNIT</t>
  </si>
  <si>
    <t>(Peso / US$)</t>
  </si>
  <si>
    <t>Exchange Rate</t>
  </si>
  <si>
    <t>Costs of Production</t>
  </si>
  <si>
    <t>Capacity Utilization</t>
  </si>
  <si>
    <t>Annual Sales Volume</t>
  </si>
  <si>
    <t>Sales Volume Growth</t>
  </si>
  <si>
    <t>Annual Mfg. Capacity</t>
  </si>
  <si>
    <t>(000's cases / day)</t>
  </si>
  <si>
    <t>Maximum Units per Day</t>
  </si>
  <si>
    <t>(Days)</t>
  </si>
  <si>
    <t>Operating Days</t>
  </si>
  <si>
    <t>Capacity</t>
  </si>
  <si>
    <t>Net Sales Price per Case</t>
  </si>
  <si>
    <t>Sales Price Growth</t>
  </si>
  <si>
    <t>Gross Sales Price per Case</t>
  </si>
  <si>
    <t>Pricing</t>
  </si>
  <si>
    <t>Revenue Schedule</t>
  </si>
  <si>
    <t>Cacao Cost - Peso / Case</t>
  </si>
  <si>
    <t>FX Rate - Peso / US$</t>
  </si>
  <si>
    <t>ECONOMIC SCENARIOS</t>
  </si>
  <si>
    <t>Sales Price - $/Case</t>
  </si>
  <si>
    <t>SALES SCENARIOS</t>
  </si>
  <si>
    <t>SCENARIO SWITCH:</t>
  </si>
  <si>
    <t>Economic and Pricing Scenarios</t>
  </si>
  <si>
    <t>- EBITDA / Interest Covenant</t>
  </si>
  <si>
    <t>Bullet payment due at the end of 10-year term</t>
  </si>
  <si>
    <t>-</t>
  </si>
  <si>
    <t xml:space="preserve">       If Total Debt / EBITDA in the previous year is:</t>
  </si>
  <si>
    <t>PIK Interest Percentage:</t>
  </si>
  <si>
    <t>Scheduled Principal Repayments</t>
  </si>
  <si>
    <t>Mezzanine Debt / EBITDA at Close</t>
  </si>
  <si>
    <t>Bullet payment due at the end of 8-year term</t>
  </si>
  <si>
    <t>Senior Notes / EBITDA at Close</t>
  </si>
  <si>
    <t>Principal Rpmt:</t>
  </si>
  <si>
    <t>Term Loan B has a 7-year term</t>
  </si>
  <si>
    <t>Term Loan A has a 5-year term</t>
  </si>
  <si>
    <t>Sr. Secured Term Debt / EBITDA at Close:</t>
  </si>
  <si>
    <t>Cash sweep of FCF After Scheduled Debt Repayments and Dividends</t>
  </si>
  <si>
    <t>Interest on Undrawn Amounts (Stand-by Fee):</t>
  </si>
  <si>
    <t xml:space="preserve">      - Inventory Percentage</t>
  </si>
  <si>
    <t xml:space="preserve">      - Accounts Receivable Percentage</t>
  </si>
  <si>
    <t>on Accounts Receivable and Inventory:</t>
  </si>
  <si>
    <t xml:space="preserve">Revolver outstanding can't exceed the following Margining Formula </t>
  </si>
  <si>
    <t>Maximum Amount Available ($ MM):</t>
  </si>
  <si>
    <t>Covenant tightens annually by:</t>
  </si>
  <si>
    <t>Senior Secured Debt / EBITDA at Close</t>
  </si>
  <si>
    <t>If Total Debt / EBITDA &gt;=</t>
  </si>
  <si>
    <t>Total Senior Secured Debt (Revolver and Term Debt)</t>
  </si>
  <si>
    <t>PRICING GRID FOR SR. SEC. DEBT</t>
  </si>
  <si>
    <t>DEBT COVENANTS AND REPAYMENT TERMS</t>
  </si>
  <si>
    <t>Inputs and Assumptions</t>
  </si>
  <si>
    <t>Common Sh. ($MM)</t>
  </si>
  <si>
    <t>Preferred Sh. ($MM)</t>
  </si>
  <si>
    <t>($ millions)</t>
  </si>
  <si>
    <t>EQUITY ISSUANCE / (REDEMPTION)</t>
  </si>
  <si>
    <t>WORKING CAPITAL DAYS</t>
  </si>
  <si>
    <t>Adjustment 3</t>
  </si>
  <si>
    <t>Restructuring</t>
  </si>
  <si>
    <t>Synergies</t>
  </si>
  <si>
    <t>EARNINGS ADJUSTMENTS (PRE-EBITDA)</t>
  </si>
  <si>
    <t>Strategic</t>
  </si>
  <si>
    <t>Environmental</t>
  </si>
  <si>
    <t>Maintenance</t>
  </si>
  <si>
    <t>will need to be incorporated</t>
  </si>
  <si>
    <t xml:space="preserve">When productivity enhancing (strategic) capex is added, corresponding changes to the model's capacity and/or cost structure </t>
  </si>
  <si>
    <t>CAPITAL EXPENDITURES (CAPEX)</t>
  </si>
  <si>
    <t>Inflation on a $ basis</t>
  </si>
  <si>
    <t>MM</t>
  </si>
  <si>
    <t>SG&amp;A</t>
  </si>
  <si>
    <t>PRE-TRANSACTION EQUITY</t>
  </si>
  <si>
    <t>- Years used for depreciation of new assets:</t>
  </si>
  <si>
    <t>Inflation on a unit basis</t>
  </si>
  <si>
    <t>per Case</t>
  </si>
  <si>
    <t>- Years remaining for depreciation of existing assets:</t>
  </si>
  <si>
    <t>Straight Line</t>
  </si>
  <si>
    <t>- Depreciation Methodology Used:</t>
  </si>
  <si>
    <t>Increases</t>
  </si>
  <si>
    <t>Cost Item</t>
  </si>
  <si>
    <t>DEPRECIATION</t>
  </si>
  <si>
    <t>COSTS (excl. Cocoa)</t>
  </si>
  <si>
    <t>- Opening Tax Basis balance ($MM):</t>
  </si>
  <si>
    <t>Implied Growth of Yr. 5</t>
  </si>
  <si>
    <t>Worst Case</t>
  </si>
  <si>
    <t>- Opening NOL balance ($MM):</t>
  </si>
  <si>
    <t>Best Case</t>
  </si>
  <si>
    <t>- Blended Tax Dep'n Rate assumed in the model:</t>
  </si>
  <si>
    <t>Research Forecast</t>
  </si>
  <si>
    <t>Base Case</t>
  </si>
  <si>
    <t>- Tax rate assumed in the model:</t>
  </si>
  <si>
    <t>Terminal Year</t>
  </si>
  <si>
    <t>Pricing Case</t>
  </si>
  <si>
    <t>- Values are calculated assuming a share purchase</t>
  </si>
  <si>
    <t>The product pricing cases used in the model are as follows:</t>
  </si>
  <si>
    <t>TAXES</t>
  </si>
  <si>
    <t>PRODUCT PRICING</t>
  </si>
  <si>
    <t>Sales Volume Growth and Cacao Prices</t>
  </si>
  <si>
    <t>Three scenarios have been used for Inflation, FX, Product Pricing,</t>
  </si>
  <si>
    <t>- Maximum Production (000's Cases per day)</t>
  </si>
  <si>
    <t>- Operating Days per Year:</t>
  </si>
  <si>
    <t>First year of forecast in financial model:</t>
  </si>
  <si>
    <t>OPERATIONS</t>
  </si>
  <si>
    <t>GENERAL</t>
  </si>
  <si>
    <t>Goodwill Created</t>
  </si>
  <si>
    <t>Total Uses of Capital</t>
  </si>
  <si>
    <t>Write-up / (Write-down) of Assets</t>
  </si>
  <si>
    <t>Transaction Fees</t>
  </si>
  <si>
    <t>Tangible Equity on B/S Prior to Close</t>
  </si>
  <si>
    <t>Target Debt Refinanced</t>
  </si>
  <si>
    <t>Purchase of Equity</t>
  </si>
  <si>
    <t>Implied Equity Purchase Value</t>
  </si>
  <si>
    <t>Less: Net Debt prior to Close</t>
  </si>
  <si>
    <t>Multiple</t>
  </si>
  <si>
    <t>Amount</t>
  </si>
  <si>
    <t>Capital Use</t>
  </si>
  <si>
    <t>Adj. EBITDA</t>
  </si>
  <si>
    <t>% of</t>
  </si>
  <si>
    <t>PURCHASE PRICE ALLOCATION</t>
  </si>
  <si>
    <t>USES OF CAPITAL - AT CLOSING</t>
  </si>
  <si>
    <t>Total Sources of Capital</t>
  </si>
  <si>
    <t>Total Equity</t>
  </si>
  <si>
    <t>Management</t>
  </si>
  <si>
    <t>Total Fees</t>
  </si>
  <si>
    <t>% of Common</t>
  </si>
  <si>
    <t>% of Cap.</t>
  </si>
  <si>
    <t>Div. Rate</t>
  </si>
  <si>
    <t>Equity Source</t>
  </si>
  <si>
    <t>Consultants</t>
  </si>
  <si>
    <t>Legal</t>
  </si>
  <si>
    <t>Due Diligence</t>
  </si>
  <si>
    <t>Mezzanine</t>
  </si>
  <si>
    <t>M&amp;A</t>
  </si>
  <si>
    <t>LBR + Spread</t>
  </si>
  <si>
    <t>Term Loans</t>
  </si>
  <si>
    <t>Cash on Hand</t>
  </si>
  <si>
    <t>Max Size</t>
  </si>
  <si>
    <t>($MM)</t>
  </si>
  <si>
    <t>Fees</t>
  </si>
  <si>
    <t>Fees %</t>
  </si>
  <si>
    <t>Category</t>
  </si>
  <si>
    <t>Capital</t>
  </si>
  <si>
    <t>Debt Source</t>
  </si>
  <si>
    <t xml:space="preserve">% of </t>
  </si>
  <si>
    <t>Multiple of</t>
  </si>
  <si>
    <t>TRANSACTION FEES</t>
  </si>
  <si>
    <t>SOURCES OF CAPITAL - AT CLOSING</t>
  </si>
  <si>
    <t>Purchase Price (Enterprise Value)</t>
  </si>
  <si>
    <t>Purchase Multiple of EBITDA</t>
  </si>
  <si>
    <t>IMPLIED PURCHASE MULTIPLES</t>
  </si>
  <si>
    <t>PURCHASE PRICE - $MM</t>
  </si>
  <si>
    <t>Sources and Uses of Capital</t>
  </si>
  <si>
    <t>Lingoren Corp.</t>
  </si>
  <si>
    <t>Errors</t>
  </si>
  <si>
    <t>P45: the net debt prior to close needs to deduct cash</t>
  </si>
  <si>
    <t>G34: the % calculation is wrong, it should be sum of equity and debt</t>
  </si>
  <si>
    <t>H108 and following: the reference to the inflation rate should be relative not absolute to the first year</t>
  </si>
  <si>
    <t>F117 and following: changed format from 2018F to 2018A</t>
  </si>
  <si>
    <t>F222: CHOOSE is missing the worst case array data in the formal</t>
  </si>
  <si>
    <t>H290: Sales Discounts should be deducted from Gross Revenue</t>
  </si>
  <si>
    <t>K578: Inventory balance is calculated using the wrong number of days outstanding</t>
  </si>
  <si>
    <t>K685: Inverted the sign of the dividend, shown in positive, when it should be negative as an outflow</t>
  </si>
  <si>
    <t>G32: 2018A Adjusted EBIDTA linked to 2017 value instead of 2018</t>
  </si>
  <si>
    <t>K615: converted the formula to XLOOKUP with -1 as the third parameter to capture the correct spread</t>
  </si>
  <si>
    <t>K611: deduct the interest income from cash</t>
  </si>
  <si>
    <t>K612: calculate only PIK</t>
  </si>
  <si>
    <t>J768: Misaligned mezzanine debt at closing</t>
  </si>
  <si>
    <t>K505: corrected the sum range of the depreciation calculation to include depreciation on existing assets</t>
  </si>
  <si>
    <t>E499: used XLOOKUP to include further rows</t>
  </si>
  <si>
    <t>M582: corrected the formula for the last three years of the forecast</t>
  </si>
  <si>
    <t>K624: corrected to calculate interest on opening balance only</t>
  </si>
  <si>
    <t>K816: changed the sign into positive</t>
  </si>
  <si>
    <t>K817: changed the sign into positive</t>
  </si>
  <si>
    <t>K829: included 0s in order to make the IRR formula works, becuase otherwise the values are ignored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</si>
</sst>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8">
    <numFmt numFmtId="164" formatCode="&quot;$&quot;#,##0_);\(&quot;$&quot;#,##0\)"/>
    <numFmt numFmtId="165" formatCode="&quot;$&quot;#,##0_);[Red]\(&quot;$&quot;#,##0\)"/>
    <numFmt numFmtId="166" formatCode="&quot;$&quot;#,##0.00_);\(&quot;$&quot;#,##0.00\)"/>
    <numFmt numFmtId="167" formatCode="&quot;$&quot;#,##0.00_);[Red]\(&quot;$&quot;#,##0.00\)"/>
    <numFmt numFmtId="168" formatCode="_(* #,##0.00_);_(* \(#,##0.00\);_(* &quot;-&quot;??_);_(@_)"/>
    <numFmt numFmtId="169" formatCode="0.0\ \x"/>
    <numFmt numFmtId="170" formatCode="0.0%"/>
    <numFmt numFmtId="171" formatCode="0.00\ \x"/>
    <numFmt numFmtId="172" formatCode="&quot;$&quot;#,##0.0_);\(&quot;$&quot;#,##0.0\)"/>
    <numFmt numFmtId="173" formatCode="0.0%\ ;\(0.0%\)"/>
    <numFmt numFmtId="174" formatCode="#,##0.0_);\(#,##0.0\)"/>
    <numFmt numFmtId="175" formatCode="0\A"/>
    <numFmt numFmtId="176" formatCode="0.00\ \x\ "/>
    <numFmt numFmtId="177" formatCode="0.0\ \x\ "/>
    <numFmt numFmtId="178" formatCode="0\F"/>
    <numFmt numFmtId="179" formatCode="0.00%\ ;\(0.00%\)"/>
    <numFmt numFmtId="180" formatCode="_(* #,##0.0_);_(* \(#,##0.0\);_(* &quot;-&quot;??_);_(@_)"/>
    <numFmt numFmtId="181" formatCode="0_);\(0\)"/>
    <numFmt numFmtId="182" formatCode="0.0_);\(0.0\)"/>
    <numFmt numFmtId="183" formatCode="&quot;$&quot;#,##0.000000_);\(&quot;$&quot;#,##0.000000\)"/>
    <numFmt numFmtId="184" formatCode="#,##0.0000_);\(#,##0.0000\)"/>
    <numFmt numFmtId="185" formatCode="0.000_);\(0.000\)"/>
    <numFmt numFmtId="186" formatCode="#,##0.000_);\(#,##0.000\)"/>
    <numFmt numFmtId="187" formatCode="&quot;$&quot;#,##0.000_);\(&quot;$&quot;#,##0.000\)"/>
    <numFmt numFmtId="188" formatCode="_(* #,##0_);_(* \(#,##0\);_(* &quot;-&quot;??_);_(@_)"/>
    <numFmt numFmtId="189" formatCode="0%;\(0%\)"/>
    <numFmt numFmtId="190" formatCode="0.0%;\(0.0%\)"/>
    <numFmt numFmtId="191" formatCode="_(* #,##0.0_);_(* \(#,##0.0\);_(* &quot;-&quot;?_);_(@_)"/>
    <numFmt numFmtId="192" formatCode="0%\ ;\(0%\)"/>
    <numFmt numFmtId="193" formatCode="0.0000"/>
    <numFmt numFmtId="194" formatCode="0.00_);\(0.00\)"/>
    <numFmt numFmtId="195" formatCode="&quot;- EBITDA margin of &quot;0.0%"/>
    <numFmt numFmtId="196" formatCode="\&gt;\ 0.00\ \x\ "/>
    <numFmt numFmtId="197" formatCode="\&lt;\ 0.00\ \x\ "/>
    <numFmt numFmtId="198" formatCode="&quot;$&quot;#,##0.0"/>
    <numFmt numFmtId="199" formatCode="0\ &quot;years&quot;"/>
    <numFmt numFmtId="200" formatCode="&quot;- Opening UCC pool of &quot;&quot;$&quot;#,###.0&quot; million as of January 1, 1999&quot;"/>
    <numFmt numFmtId="201" formatCode="\+0%;\(0%\)"/>
    <numFmt numFmtId="202" formatCode="&quot;LIBOR +&quot;0.0%"/>
    <numFmt numFmtId="203" formatCode="&quot;LBR - &quot;0.0%"/>
    <numFmt numFmtId="204" formatCode="_-* #,##0_-;\-* #,##0_-;_-* &quot;-&quot;??_-;_-@_-"/>
    <numFmt numFmtId="206" formatCode="#,##0_);\(#,##0\);&quot;-  &quot;;&quot; &quot;@"/>
    <numFmt numFmtId="207" formatCode="0.00%\ ;\-0.00%\ _);&quot;-  &quot;;&quot; &quot;@&quot; &quot;"/>
    <numFmt numFmtId="208" formatCode="#,##0.0000_);\(#,##0.0000\);&quot;-  &quot;;&quot; &quot;@&quot; &quot;"/>
    <numFmt numFmtId="209" formatCode="dd\ mmm\ yyyy_);\(###0\);&quot;-  &quot;;&quot; &quot;@&quot; &quot;"/>
    <numFmt numFmtId="210" formatCode="dd\ mmm\ yy_);\(###0\);&quot;-  &quot;;&quot; &quot;@&quot; &quot;"/>
    <numFmt numFmtId="211" formatCode="###0_);\(###0\);&quot;-  &quot;;&quot; &quot;@&quot; &quot;"/>
    <numFmt numFmtId="212" formatCode="#,##0.0_);\(#,##0.0\);&quot;-  &quot;;&quot; &quot;@"/>
  </numFmts>
  <fonts count="58"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name val="Times New Roman"/>
      <family val="1"/>
    </font>
    <font>
      <sz val="9"/>
      <name val="Times New Roman"/>
      <family val="1"/>
    </font>
    <font>
      <b/>
      <sz val="10"/>
      <name val="Times New Roman"/>
      <family val="1"/>
    </font>
    <font>
      <sz val="10"/>
      <color rgb="FF993366"/>
      <name val="Times New Roman"/>
      <family val="1"/>
    </font>
    <font>
      <b/>
      <u/>
      <sz val="10"/>
      <name val="Times New Roman"/>
      <family val="1"/>
    </font>
    <font>
      <b/>
      <i/>
      <sz val="10"/>
      <name val="Times New Roman"/>
      <family val="1"/>
    </font>
    <font>
      <sz val="8"/>
      <name val="Times New Roman"/>
      <family val="1"/>
    </font>
    <font>
      <i/>
      <sz val="10"/>
      <name val="Times New Roman"/>
      <family val="1"/>
    </font>
    <font>
      <b/>
      <i/>
      <sz val="14"/>
      <color indexed="10"/>
      <name val="Times New Roman"/>
      <family val="1"/>
    </font>
    <font>
      <b/>
      <sz val="14"/>
      <name val="Times New Roman"/>
      <family val="1"/>
    </font>
    <font>
      <b/>
      <sz val="18"/>
      <name val="Times New Roman"/>
      <family val="1"/>
    </font>
    <font>
      <b/>
      <sz val="8"/>
      <name val="Times New Roman"/>
      <family val="1"/>
    </font>
    <font>
      <b/>
      <sz val="9"/>
      <name val="Times New Roman"/>
      <family val="1"/>
    </font>
    <font>
      <sz val="10"/>
      <name val="Aldine401 BT"/>
    </font>
    <font>
      <sz val="10"/>
      <color indexed="12"/>
      <name val="Times New Roman"/>
      <family val="1"/>
    </font>
    <font>
      <sz val="10"/>
      <color indexed="8"/>
      <name val="Times New Roman"/>
      <family val="1"/>
    </font>
    <font>
      <sz val="9"/>
      <color indexed="12"/>
      <name val="Times New Roman"/>
      <family val="1"/>
    </font>
    <font>
      <b/>
      <sz val="10"/>
      <color indexed="10"/>
      <name val="Times New Roman"/>
      <family val="1"/>
    </font>
    <font>
      <b/>
      <sz val="9"/>
      <color indexed="12"/>
      <name val="Times New Roman"/>
      <family val="1"/>
    </font>
    <font>
      <b/>
      <sz val="10"/>
      <color indexed="8"/>
      <name val="Times New Roman"/>
      <family val="1"/>
    </font>
    <font>
      <b/>
      <sz val="9"/>
      <color indexed="8"/>
      <name val="Times New Roman"/>
      <family val="1"/>
    </font>
    <font>
      <b/>
      <i/>
      <sz val="10"/>
      <color indexed="8"/>
      <name val="Times New Roman"/>
      <family val="1"/>
    </font>
    <font>
      <b/>
      <sz val="10"/>
      <color indexed="12"/>
      <name val="Times New Roman"/>
      <family val="1"/>
    </font>
    <font>
      <sz val="10"/>
      <color indexed="61"/>
      <name val="Times New Roman"/>
      <family val="1"/>
    </font>
    <font>
      <b/>
      <u/>
      <sz val="9"/>
      <name val="Times New Roman"/>
      <family val="1"/>
    </font>
    <font>
      <b/>
      <sz val="20"/>
      <name val="Times New Roman"/>
      <family val="1"/>
    </font>
    <font>
      <b/>
      <sz val="16"/>
      <color indexed="8"/>
      <name val="Times New Roman"/>
      <family val="1"/>
    </font>
    <font>
      <b/>
      <sz val="18"/>
      <color indexed="8"/>
      <name val="Times New Roman"/>
      <family val="1"/>
    </font>
    <font>
      <u/>
      <sz val="10"/>
      <name val="Times New Roman"/>
      <family val="1"/>
    </font>
    <font>
      <vertAlign val="superscript"/>
      <sz val="7"/>
      <name val="Times New Roman"/>
      <family val="1"/>
    </font>
    <font>
      <vertAlign val="superscript"/>
      <sz val="8"/>
      <name val="Times New Roman"/>
      <family val="1"/>
    </font>
    <font>
      <b/>
      <i/>
      <sz val="14"/>
      <name val="Times New Roman"/>
      <family val="1"/>
    </font>
    <font>
      <b/>
      <i/>
      <sz val="9"/>
      <color indexed="10"/>
      <name val="Times New Roman"/>
      <family val="1"/>
    </font>
    <font>
      <sz val="10"/>
      <color rgb="FF0000FF"/>
      <name val="Times New Roman"/>
      <family val="1"/>
    </font>
    <font>
      <b/>
      <i/>
      <sz val="8"/>
      <color indexed="10"/>
      <name val="Times New Roman"/>
      <family val="1"/>
    </font>
    <font>
      <i/>
      <sz val="9"/>
      <name val="Times New Roman"/>
      <family val="1"/>
    </font>
    <font>
      <b/>
      <sz val="10"/>
      <color indexed="9"/>
      <name val="Times New Roman"/>
      <family val="1"/>
    </font>
    <font>
      <sz val="10"/>
      <color indexed="9"/>
      <name val="Times New Roman"/>
      <family val="1"/>
    </font>
    <font>
      <b/>
      <sz val="18"/>
      <color indexed="12"/>
      <name val="Times New Roman"/>
      <family val="1"/>
    </font>
    <font>
      <b/>
      <sz val="11"/>
      <name val="Times New Roman"/>
      <family val="1"/>
    </font>
    <font>
      <b/>
      <sz val="16"/>
      <name val="Times New Roman"/>
      <family val="1"/>
    </font>
    <font>
      <sz val="10"/>
      <color indexed="10"/>
      <name val="Times New Roman"/>
      <family val="1"/>
    </font>
    <font>
      <sz val="10"/>
      <color theme="1"/>
      <name val="Times New Roman"/>
      <family val="1"/>
    </font>
    <font>
      <b/>
      <sz val="14"/>
      <color indexed="8"/>
      <name val="Times New Roman"/>
      <family val="1"/>
    </font>
    <font>
      <sz val="12"/>
      <name val="Times New Roman"/>
      <family val="1"/>
    </font>
    <font>
      <b/>
      <sz val="12"/>
      <name val="Times New Roman"/>
      <family val="1"/>
    </font>
    <font>
      <sz val="12"/>
      <color indexed="9"/>
      <name val="Times New Roman"/>
      <family val="1"/>
    </font>
    <font>
      <i/>
      <sz val="8"/>
      <name val="Times New Roman"/>
      <family val="1"/>
    </font>
    <font>
      <b/>
      <u/>
      <sz val="8"/>
      <name val="Times New Roman"/>
      <family val="1"/>
    </font>
    <font>
      <b/>
      <sz val="18"/>
      <color rgb="FF0000FF"/>
      <name val="Times New Roman"/>
      <family val="1"/>
    </font>
    <font>
      <sz val="9"/>
      <color indexed="81"/>
      <name val="Tahoma"/>
      <family val="2"/>
    </font>
    <font>
      <sz val="10"/>
      <name val="Book Antiqua"/>
      <family val="1"/>
    </font>
    <font>
      <sz val="11"/>
      <color indexed="12"/>
      <name val="Book Antiqua"/>
      <family val="1"/>
    </font>
    <font>
      <sz val="8"/>
      <name val="Arial"/>
      <family val="2"/>
    </font>
    <font>
      <sz val="11"/>
      <color theme="1"/>
      <name val="Calibri"/>
      <family val="2"/>
      <scheme val="minor"/>
    </font>
    <font>
      <u/>
      <sz val="10"/>
      <name val="Arial"/>
      <family val="2"/>
    </font>
  </fonts>
  <fills count="8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99CCFF"/>
        <bgColor indexed="64"/>
      </patternFill>
    </fill>
    <fill>
      <patternFill patternType="solid">
        <fgColor rgb="FFCCFFFF"/>
        <bgColor indexed="64"/>
      </patternFill>
    </fill>
  </fills>
  <borders count="3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/>
      <bottom style="hair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/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/>
      <top/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/>
      <diagonal/>
    </border>
    <border>
      <left/>
      <right/>
      <top style="hair">
        <color indexed="64"/>
      </top>
      <bottom/>
      <diagonal/>
    </border>
    <border>
      <left style="hair">
        <color indexed="64"/>
      </left>
      <right/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 style="double">
        <color indexed="64"/>
      </bottom>
      <diagonal/>
    </border>
    <border>
      <left/>
      <right style="hair">
        <color indexed="64"/>
      </right>
      <top/>
      <bottom/>
      <diagonal/>
    </border>
    <border>
      <left style="hair">
        <color indexed="64"/>
      </left>
      <right/>
      <top/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/>
      <right/>
      <top/>
      <bottom style="double">
        <color indexed="64"/>
      </bottom>
      <diagonal/>
    </border>
  </borders>
  <cellStyleXfs count="18">
    <xf numFmtId="206" fontId="0" fillId="0" borderId="0" applyFont="0" applyFill="0" applyBorder="0" applyProtection="0">
      <alignment vertical="top"/>
    </xf>
    <xf numFmtId="0" fontId="1" fillId="0" borderId="0"/>
    <xf numFmtId="168" fontId="15" fillId="0" borderId="0" applyFont="0" applyFill="0" applyBorder="0" applyAlignment="0" applyProtection="0"/>
    <xf numFmtId="0" fontId="1" fillId="0" borderId="0"/>
    <xf numFmtId="0" fontId="2" fillId="0" borderId="0"/>
    <xf numFmtId="0" fontId="53" fillId="0" borderId="0" applyNumberFormat="0" applyFont="0" applyFill="0" applyBorder="0" applyProtection="0">
      <alignment horizontal="centerContinuous"/>
    </xf>
    <xf numFmtId="0" fontId="53" fillId="0" borderId="1" applyNumberFormat="0" applyFont="0" applyFill="0" applyAlignment="0" applyProtection="0"/>
    <xf numFmtId="0" fontId="53" fillId="0" borderId="0" applyNumberFormat="0" applyFont="0" applyFill="0" applyBorder="0" applyProtection="0">
      <alignment horizontal="center"/>
    </xf>
    <xf numFmtId="167" fontId="54" fillId="0" borderId="31">
      <protection locked="0"/>
    </xf>
    <xf numFmtId="0" fontId="53" fillId="0" borderId="32" applyNumberFormat="0" applyFont="0" applyFill="0" applyAlignment="0" applyProtection="0"/>
    <xf numFmtId="0" fontId="55" fillId="0" borderId="0" applyNumberFormat="0" applyFill="0" applyBorder="0" applyAlignment="0" applyProtection="0"/>
    <xf numFmtId="204" fontId="15" fillId="0" borderId="0" applyNumberFormat="0" applyFill="0" applyBorder="0" applyAlignment="0" applyProtection="0"/>
    <xf numFmtId="0" fontId="53" fillId="0" borderId="26" applyNumberFormat="0" applyFont="0" applyFill="0" applyAlignment="0" applyProtection="0"/>
    <xf numFmtId="207" fontId="56" fillId="0" borderId="0" applyFont="0" applyFill="0" applyBorder="0" applyProtection="0">
      <alignment vertical="top"/>
    </xf>
    <xf numFmtId="208" fontId="56" fillId="0" borderId="0" applyFont="0" applyFill="0" applyBorder="0" applyProtection="0">
      <alignment vertical="top"/>
    </xf>
    <xf numFmtId="209" fontId="56" fillId="0" borderId="0" applyFont="0" applyFill="0" applyBorder="0" applyProtection="0">
      <alignment vertical="top"/>
    </xf>
    <xf numFmtId="210" fontId="56" fillId="0" borderId="0" applyFont="0" applyFill="0" applyBorder="0" applyProtection="0">
      <alignment vertical="top"/>
    </xf>
    <xf numFmtId="211" fontId="56" fillId="0" borderId="0" applyFont="0" applyFill="0" applyBorder="0" applyProtection="0">
      <alignment vertical="top"/>
    </xf>
  </cellStyleXfs>
  <cellXfs count="706">
    <xf numFmtId="206" fontId="0" fillId="0" borderId="0" xfId="0">
      <alignment vertical="top"/>
    </xf>
    <xf numFmtId="0" fontId="1" fillId="0" borderId="0" xfId="1"/>
    <xf numFmtId="0" fontId="2" fillId="0" borderId="1" xfId="1" applyFont="1" applyBorder="1"/>
    <xf numFmtId="0" fontId="3" fillId="0" borderId="1" xfId="1" applyFont="1" applyBorder="1"/>
    <xf numFmtId="0" fontId="2" fillId="0" borderId="0" xfId="1" applyFont="1"/>
    <xf numFmtId="172" fontId="2" fillId="0" borderId="0" xfId="1" applyNumberFormat="1" applyFont="1" applyAlignment="1">
      <alignment horizontal="right"/>
    </xf>
    <xf numFmtId="172" fontId="2" fillId="0" borderId="0" xfId="1" applyNumberFormat="1" applyFont="1" applyAlignment="1">
      <alignment horizontal="center"/>
    </xf>
    <xf numFmtId="173" fontId="4" fillId="0" borderId="15" xfId="1" applyNumberFormat="1" applyFont="1" applyBorder="1" applyAlignment="1">
      <alignment horizontal="center" vertical="center"/>
    </xf>
    <xf numFmtId="173" fontId="4" fillId="0" borderId="16" xfId="1" applyNumberFormat="1" applyFont="1" applyBorder="1" applyAlignment="1">
      <alignment horizontal="center" vertical="center"/>
    </xf>
    <xf numFmtId="172" fontId="5" fillId="0" borderId="0" xfId="1" applyNumberFormat="1" applyFont="1" applyAlignment="1">
      <alignment horizontal="center"/>
    </xf>
    <xf numFmtId="0" fontId="6" fillId="0" borderId="0" xfId="1" applyFont="1" applyAlignment="1">
      <alignment horizontal="right"/>
    </xf>
    <xf numFmtId="165" fontId="6" fillId="0" borderId="0" xfId="1" applyNumberFormat="1" applyFont="1" applyAlignment="1">
      <alignment horizontal="center"/>
    </xf>
    <xf numFmtId="165" fontId="6" fillId="0" borderId="17" xfId="1" applyNumberFormat="1" applyFont="1" applyBorder="1" applyAlignment="1">
      <alignment horizontal="center"/>
    </xf>
    <xf numFmtId="0" fontId="2" fillId="0" borderId="1" xfId="1" applyFont="1" applyBorder="1" applyAlignment="1">
      <alignment horizontal="centerContinuous"/>
    </xf>
    <xf numFmtId="0" fontId="7" fillId="0" borderId="1" xfId="1" applyFont="1" applyBorder="1" applyAlignment="1">
      <alignment horizontal="centerContinuous"/>
    </xf>
    <xf numFmtId="165" fontId="4" fillId="0" borderId="0" xfId="1" applyNumberFormat="1" applyFont="1" applyAlignment="1">
      <alignment horizontal="center"/>
    </xf>
    <xf numFmtId="0" fontId="3" fillId="0" borderId="0" xfId="1" applyFont="1"/>
    <xf numFmtId="0" fontId="2" fillId="0" borderId="18" xfId="1" applyFont="1" applyBorder="1"/>
    <xf numFmtId="0" fontId="3" fillId="0" borderId="18" xfId="1" applyFont="1" applyBorder="1"/>
    <xf numFmtId="174" fontId="4" fillId="0" borderId="3" xfId="1" applyNumberFormat="1" applyFont="1" applyBorder="1"/>
    <xf numFmtId="0" fontId="2" fillId="0" borderId="0" xfId="1" applyFont="1" applyAlignment="1">
      <alignment horizontal="centerContinuous"/>
    </xf>
    <xf numFmtId="165" fontId="4" fillId="0" borderId="0" xfId="1" applyNumberFormat="1" applyFont="1" applyAlignment="1">
      <alignment horizontal="left"/>
    </xf>
    <xf numFmtId="173" fontId="2" fillId="0" borderId="0" xfId="1" applyNumberFormat="1" applyFont="1" applyAlignment="1">
      <alignment vertical="center"/>
    </xf>
    <xf numFmtId="0" fontId="2" fillId="0" borderId="0" xfId="1" applyFont="1" applyAlignment="1">
      <alignment vertical="center"/>
    </xf>
    <xf numFmtId="174" fontId="2" fillId="0" borderId="0" xfId="1" applyNumberFormat="1" applyFont="1"/>
    <xf numFmtId="0" fontId="8" fillId="0" borderId="0" xfId="1" applyFont="1" applyAlignment="1">
      <alignment vertical="center"/>
    </xf>
    <xf numFmtId="171" fontId="2" fillId="0" borderId="18" xfId="1" applyNumberFormat="1" applyFont="1" applyBorder="1"/>
    <xf numFmtId="172" fontId="2" fillId="0" borderId="0" xfId="1" applyNumberFormat="1" applyFont="1"/>
    <xf numFmtId="175" fontId="6" fillId="0" borderId="0" xfId="1" quotePrefix="1" applyNumberFormat="1" applyFont="1" applyAlignment="1">
      <alignment horizontal="right"/>
    </xf>
    <xf numFmtId="175" fontId="6" fillId="0" borderId="0" xfId="1" applyNumberFormat="1" applyFont="1" applyAlignment="1">
      <alignment horizontal="right"/>
    </xf>
    <xf numFmtId="0" fontId="2" fillId="0" borderId="0" xfId="1" applyFont="1" applyAlignment="1">
      <alignment horizontal="left"/>
    </xf>
    <xf numFmtId="0" fontId="9" fillId="0" borderId="0" xfId="1" quotePrefix="1" applyFont="1"/>
    <xf numFmtId="0" fontId="2" fillId="0" borderId="19" xfId="1" applyFont="1" applyBorder="1" applyAlignment="1">
      <alignment horizontal="centerContinuous"/>
    </xf>
    <xf numFmtId="0" fontId="10" fillId="0" borderId="19" xfId="1" applyFont="1" applyBorder="1" applyAlignment="1">
      <alignment horizontal="centerContinuous"/>
    </xf>
    <xf numFmtId="0" fontId="11" fillId="0" borderId="0" xfId="1" applyFont="1" applyAlignment="1">
      <alignment horizontal="centerContinuous"/>
    </xf>
    <xf numFmtId="0" fontId="12" fillId="0" borderId="0" xfId="1" applyFont="1" applyAlignment="1">
      <alignment horizontal="centerContinuous"/>
    </xf>
    <xf numFmtId="0" fontId="13" fillId="0" borderId="0" xfId="1" applyFont="1" applyAlignment="1">
      <alignment horizontal="right" vertical="center"/>
    </xf>
    <xf numFmtId="176" fontId="2" fillId="0" borderId="0" xfId="1" applyNumberFormat="1" applyFont="1" applyAlignment="1">
      <alignment vertical="center"/>
    </xf>
    <xf numFmtId="0" fontId="4" fillId="0" borderId="0" xfId="1" applyFont="1" applyAlignment="1">
      <alignment vertical="center"/>
    </xf>
    <xf numFmtId="177" fontId="2" fillId="0" borderId="0" xfId="1" applyNumberFormat="1" applyFont="1" applyAlignment="1">
      <alignment vertical="center"/>
    </xf>
    <xf numFmtId="170" fontId="2" fillId="0" borderId="0" xfId="1" applyNumberFormat="1" applyFont="1" applyAlignment="1">
      <alignment vertical="center"/>
    </xf>
    <xf numFmtId="0" fontId="3" fillId="0" borderId="0" xfId="1" applyFont="1" applyAlignment="1">
      <alignment vertical="center"/>
    </xf>
    <xf numFmtId="172" fontId="9" fillId="0" borderId="0" xfId="1" applyNumberFormat="1" applyFont="1" applyAlignment="1">
      <alignment vertical="center"/>
    </xf>
    <xf numFmtId="0" fontId="9" fillId="0" borderId="0" xfId="1" applyFont="1" applyAlignment="1">
      <alignment vertical="center"/>
    </xf>
    <xf numFmtId="176" fontId="2" fillId="0" borderId="4" xfId="1" applyNumberFormat="1" applyFont="1" applyBorder="1" applyAlignment="1">
      <alignment vertical="center"/>
    </xf>
    <xf numFmtId="176" fontId="2" fillId="0" borderId="3" xfId="1" applyNumberFormat="1" applyFont="1" applyBorder="1" applyAlignment="1">
      <alignment vertical="center"/>
    </xf>
    <xf numFmtId="0" fontId="2" fillId="0" borderId="3" xfId="1" applyFont="1" applyBorder="1"/>
    <xf numFmtId="0" fontId="4" fillId="0" borderId="2" xfId="1" applyFont="1" applyBorder="1" applyAlignment="1">
      <alignment vertical="center"/>
    </xf>
    <xf numFmtId="174" fontId="2" fillId="0" borderId="11" xfId="1" applyNumberFormat="1" applyFont="1" applyBorder="1"/>
    <xf numFmtId="174" fontId="2" fillId="0" borderId="1" xfId="1" applyNumberFormat="1" applyFont="1" applyBorder="1"/>
    <xf numFmtId="0" fontId="8" fillId="0" borderId="1" xfId="1" applyFont="1" applyBorder="1" applyAlignment="1">
      <alignment vertical="center"/>
    </xf>
    <xf numFmtId="0" fontId="2" fillId="0" borderId="1" xfId="1" applyFont="1" applyBorder="1" applyAlignment="1">
      <alignment vertical="center"/>
    </xf>
    <xf numFmtId="0" fontId="2" fillId="0" borderId="10" xfId="1" applyFont="1" applyBorder="1" applyAlignment="1">
      <alignment vertical="center"/>
    </xf>
    <xf numFmtId="174" fontId="2" fillId="0" borderId="9" xfId="1" applyNumberFormat="1" applyFont="1" applyBorder="1"/>
    <xf numFmtId="0" fontId="2" fillId="0" borderId="8" xfId="1" applyFont="1" applyBorder="1" applyAlignment="1">
      <alignment vertical="center"/>
    </xf>
    <xf numFmtId="0" fontId="2" fillId="0" borderId="9" xfId="1" applyFont="1" applyBorder="1"/>
    <xf numFmtId="0" fontId="4" fillId="0" borderId="8" xfId="1" applyFont="1" applyBorder="1" applyAlignment="1">
      <alignment vertical="center"/>
    </xf>
    <xf numFmtId="172" fontId="2" fillId="0" borderId="9" xfId="1" applyNumberFormat="1" applyFont="1" applyBorder="1"/>
    <xf numFmtId="0" fontId="2" fillId="0" borderId="7" xfId="1" applyFont="1" applyBorder="1"/>
    <xf numFmtId="0" fontId="2" fillId="0" borderId="6" xfId="1" applyFont="1" applyBorder="1"/>
    <xf numFmtId="0" fontId="3" fillId="0" borderId="6" xfId="1" applyFont="1" applyBorder="1" applyAlignment="1">
      <alignment vertical="center"/>
    </xf>
    <xf numFmtId="0" fontId="2" fillId="0" borderId="6" xfId="1" applyFont="1" applyBorder="1" applyAlignment="1">
      <alignment vertical="center"/>
    </xf>
    <xf numFmtId="0" fontId="4" fillId="0" borderId="5" xfId="1" applyFont="1" applyBorder="1" applyAlignment="1">
      <alignment vertical="center"/>
    </xf>
    <xf numFmtId="0" fontId="6" fillId="0" borderId="0" xfId="1" applyFont="1" applyAlignment="1">
      <alignment horizontal="center"/>
    </xf>
    <xf numFmtId="172" fontId="4" fillId="0" borderId="0" xfId="1" applyNumberFormat="1" applyFont="1"/>
    <xf numFmtId="0" fontId="4" fillId="0" borderId="0" xfId="1" applyFont="1"/>
    <xf numFmtId="0" fontId="14" fillId="0" borderId="0" xfId="1" applyFont="1"/>
    <xf numFmtId="172" fontId="4" fillId="0" borderId="3" xfId="1" applyNumberFormat="1" applyFont="1" applyBorder="1"/>
    <xf numFmtId="173" fontId="2" fillId="0" borderId="0" xfId="1" applyNumberFormat="1" applyFont="1"/>
    <xf numFmtId="0" fontId="8" fillId="0" borderId="0" xfId="1" applyFont="1"/>
    <xf numFmtId="178" fontId="6" fillId="0" borderId="0" xfId="1" quotePrefix="1" applyNumberFormat="1" applyFont="1" applyAlignment="1">
      <alignment horizontal="right"/>
    </xf>
    <xf numFmtId="0" fontId="2" fillId="0" borderId="1" xfId="1" quotePrefix="1" applyFont="1" applyBorder="1"/>
    <xf numFmtId="172" fontId="4" fillId="0" borderId="20" xfId="1" applyNumberFormat="1" applyFont="1" applyBorder="1"/>
    <xf numFmtId="174" fontId="2" fillId="0" borderId="0" xfId="2" applyNumberFormat="1" applyFont="1" applyFill="1" applyProtection="1"/>
    <xf numFmtId="164" fontId="4" fillId="0" borderId="0" xfId="1" applyNumberFormat="1" applyFont="1"/>
    <xf numFmtId="179" fontId="2" fillId="0" borderId="0" xfId="1" applyNumberFormat="1" applyFont="1"/>
    <xf numFmtId="164" fontId="2" fillId="0" borderId="0" xfId="1" applyNumberFormat="1" applyFont="1"/>
    <xf numFmtId="174" fontId="2" fillId="0" borderId="1" xfId="2" applyNumberFormat="1" applyFont="1" applyFill="1" applyBorder="1" applyProtection="1"/>
    <xf numFmtId="171" fontId="2" fillId="0" borderId="21" xfId="1" applyNumberFormat="1" applyFont="1" applyBorder="1"/>
    <xf numFmtId="0" fontId="2" fillId="0" borderId="22" xfId="1" applyFont="1" applyBorder="1"/>
    <xf numFmtId="179" fontId="2" fillId="0" borderId="23" xfId="1" applyNumberFormat="1" applyFont="1" applyBorder="1"/>
    <xf numFmtId="179" fontId="2" fillId="0" borderId="24" xfId="1" applyNumberFormat="1" applyFont="1" applyBorder="1"/>
    <xf numFmtId="0" fontId="2" fillId="0" borderId="24" xfId="1" applyFont="1" applyBorder="1"/>
    <xf numFmtId="0" fontId="3" fillId="0" borderId="24" xfId="1" applyFont="1" applyBorder="1"/>
    <xf numFmtId="0" fontId="2" fillId="0" borderId="25" xfId="1" applyFont="1" applyBorder="1"/>
    <xf numFmtId="179" fontId="2" fillId="0" borderId="1" xfId="1" applyNumberFormat="1" applyFont="1" applyBorder="1"/>
    <xf numFmtId="180" fontId="2" fillId="0" borderId="1" xfId="2" applyNumberFormat="1" applyFont="1" applyBorder="1" applyProtection="1"/>
    <xf numFmtId="180" fontId="2" fillId="0" borderId="0" xfId="2" applyNumberFormat="1" applyFont="1" applyBorder="1" applyProtection="1"/>
    <xf numFmtId="172" fontId="4" fillId="0" borderId="20" xfId="2" applyNumberFormat="1" applyFont="1" applyBorder="1" applyProtection="1"/>
    <xf numFmtId="172" fontId="4" fillId="0" borderId="0" xfId="2" applyNumberFormat="1" applyFont="1" applyBorder="1" applyProtection="1"/>
    <xf numFmtId="181" fontId="2" fillId="0" borderId="0" xfId="1" applyNumberFormat="1" applyFont="1"/>
    <xf numFmtId="0" fontId="13" fillId="0" borderId="0" xfId="1" applyFont="1"/>
    <xf numFmtId="4" fontId="2" fillId="0" borderId="0" xfId="1" applyNumberFormat="1" applyFont="1"/>
    <xf numFmtId="4" fontId="4" fillId="0" borderId="0" xfId="2" applyNumberFormat="1" applyFont="1" applyBorder="1" applyProtection="1"/>
    <xf numFmtId="4" fontId="2" fillId="0" borderId="0" xfId="2" applyNumberFormat="1" applyFont="1" applyBorder="1" applyProtection="1"/>
    <xf numFmtId="182" fontId="4" fillId="0" borderId="0" xfId="1" applyNumberFormat="1" applyFont="1"/>
    <xf numFmtId="182" fontId="2" fillId="0" borderId="1" xfId="2" applyNumberFormat="1" applyFont="1" applyBorder="1" applyProtection="1"/>
    <xf numFmtId="181" fontId="2" fillId="0" borderId="0" xfId="2" applyNumberFormat="1" applyFont="1" applyBorder="1" applyProtection="1"/>
    <xf numFmtId="182" fontId="2" fillId="0" borderId="0" xfId="2" applyNumberFormat="1" applyFont="1" applyProtection="1"/>
    <xf numFmtId="181" fontId="2" fillId="0" borderId="0" xfId="2" applyNumberFormat="1" applyFont="1" applyProtection="1"/>
    <xf numFmtId="4" fontId="2" fillId="0" borderId="0" xfId="2" applyNumberFormat="1" applyFont="1" applyBorder="1" applyAlignment="1" applyProtection="1">
      <alignment horizontal="left"/>
    </xf>
    <xf numFmtId="4" fontId="4" fillId="0" borderId="0" xfId="1" applyNumberFormat="1" applyFont="1"/>
    <xf numFmtId="181" fontId="16" fillId="0" borderId="0" xfId="2" applyNumberFormat="1" applyFont="1" applyProtection="1"/>
    <xf numFmtId="168" fontId="17" fillId="0" borderId="0" xfId="2" applyFont="1" applyProtection="1"/>
    <xf numFmtId="181" fontId="2" fillId="0" borderId="14" xfId="1" applyNumberFormat="1" applyFont="1" applyBorder="1"/>
    <xf numFmtId="181" fontId="2" fillId="0" borderId="13" xfId="1" applyNumberFormat="1" applyFont="1" applyBorder="1"/>
    <xf numFmtId="0" fontId="2" fillId="0" borderId="13" xfId="1" applyFont="1" applyBorder="1"/>
    <xf numFmtId="0" fontId="8" fillId="0" borderId="13" xfId="1" applyFont="1" applyBorder="1"/>
    <xf numFmtId="0" fontId="2" fillId="0" borderId="12" xfId="1" applyFont="1" applyBorder="1"/>
    <xf numFmtId="0" fontId="6" fillId="0" borderId="0" xfId="1" quotePrefix="1" applyFont="1" applyAlignment="1">
      <alignment horizontal="right"/>
    </xf>
    <xf numFmtId="37" fontId="2" fillId="0" borderId="1" xfId="1" applyNumberFormat="1" applyFont="1" applyBorder="1"/>
    <xf numFmtId="37" fontId="16" fillId="0" borderId="1" xfId="1" applyNumberFormat="1" applyFont="1" applyBorder="1"/>
    <xf numFmtId="37" fontId="18" fillId="0" borderId="1" xfId="1" applyNumberFormat="1" applyFont="1" applyBorder="1"/>
    <xf numFmtId="0" fontId="19" fillId="0" borderId="0" xfId="1" applyFont="1"/>
    <xf numFmtId="37" fontId="4" fillId="0" borderId="0" xfId="1" applyNumberFormat="1" applyFont="1"/>
    <xf numFmtId="37" fontId="20" fillId="0" borderId="0" xfId="1" applyNumberFormat="1" applyFont="1"/>
    <xf numFmtId="37" fontId="21" fillId="0" borderId="0" xfId="1" applyNumberFormat="1" applyFont="1"/>
    <xf numFmtId="37" fontId="17" fillId="0" borderId="0" xfId="1" applyNumberFormat="1" applyFont="1"/>
    <xf numFmtId="37" fontId="22" fillId="0" borderId="0" xfId="1" applyNumberFormat="1" applyFont="1"/>
    <xf numFmtId="37" fontId="18" fillId="0" borderId="0" xfId="1" applyNumberFormat="1" applyFont="1"/>
    <xf numFmtId="37" fontId="17" fillId="0" borderId="0" xfId="1" quotePrefix="1" applyNumberFormat="1" applyFont="1" applyAlignment="1">
      <alignment horizontal="left"/>
    </xf>
    <xf numFmtId="37" fontId="16" fillId="0" borderId="0" xfId="1" applyNumberFormat="1" applyFont="1"/>
    <xf numFmtId="174" fontId="2" fillId="0" borderId="0" xfId="1" quotePrefix="1" applyNumberFormat="1" applyFont="1" applyAlignment="1">
      <alignment horizontal="right"/>
    </xf>
    <xf numFmtId="37" fontId="2" fillId="0" borderId="0" xfId="1" quotePrefix="1" applyNumberFormat="1" applyFont="1" applyAlignment="1">
      <alignment horizontal="right"/>
    </xf>
    <xf numFmtId="170" fontId="2" fillId="0" borderId="26" xfId="1" applyNumberFormat="1" applyFont="1" applyBorder="1"/>
    <xf numFmtId="37" fontId="2" fillId="0" borderId="0" xfId="1" applyNumberFormat="1" applyFont="1"/>
    <xf numFmtId="37" fontId="23" fillId="0" borderId="0" xfId="1" applyNumberFormat="1" applyFont="1"/>
    <xf numFmtId="174" fontId="4" fillId="0" borderId="11" xfId="1" applyNumberFormat="1" applyFont="1" applyBorder="1"/>
    <xf numFmtId="174" fontId="4" fillId="0" borderId="1" xfId="1" applyNumberFormat="1" applyFont="1" applyBorder="1"/>
    <xf numFmtId="37" fontId="21" fillId="0" borderId="1" xfId="1" applyNumberFormat="1" applyFont="1" applyBorder="1"/>
    <xf numFmtId="37" fontId="24" fillId="0" borderId="1" xfId="1" applyNumberFormat="1" applyFont="1" applyBorder="1"/>
    <xf numFmtId="37" fontId="20" fillId="0" borderId="1" xfId="1" applyNumberFormat="1" applyFont="1" applyBorder="1"/>
    <xf numFmtId="0" fontId="4" fillId="0" borderId="10" xfId="1" applyFont="1" applyBorder="1"/>
    <xf numFmtId="0" fontId="2" fillId="0" borderId="8" xfId="1" applyFont="1" applyBorder="1"/>
    <xf numFmtId="37" fontId="24" fillId="0" borderId="0" xfId="1" applyNumberFormat="1" applyFont="1"/>
    <xf numFmtId="0" fontId="2" fillId="0" borderId="8" xfId="1" applyFont="1" applyBorder="1" applyAlignment="1">
      <alignment horizontal="left"/>
    </xf>
    <xf numFmtId="37" fontId="2" fillId="0" borderId="7" xfId="1" applyNumberFormat="1" applyFont="1" applyBorder="1"/>
    <xf numFmtId="37" fontId="2" fillId="0" borderId="6" xfId="1" applyNumberFormat="1" applyFont="1" applyBorder="1"/>
    <xf numFmtId="37" fontId="16" fillId="0" borderId="6" xfId="1" applyNumberFormat="1" applyFont="1" applyBorder="1"/>
    <xf numFmtId="37" fontId="18" fillId="0" borderId="6" xfId="1" applyNumberFormat="1" applyFont="1" applyBorder="1"/>
    <xf numFmtId="0" fontId="4" fillId="0" borderId="5" xfId="1" applyFont="1" applyBorder="1"/>
    <xf numFmtId="170" fontId="25" fillId="0" borderId="0" xfId="1" applyNumberFormat="1" applyFont="1"/>
    <xf numFmtId="0" fontId="4" fillId="0" borderId="0" xfId="1" quotePrefix="1" applyFont="1" applyAlignment="1">
      <alignment horizontal="left"/>
    </xf>
    <xf numFmtId="174" fontId="4" fillId="0" borderId="0" xfId="1" applyNumberFormat="1" applyFont="1"/>
    <xf numFmtId="0" fontId="2" fillId="0" borderId="0" xfId="1" quotePrefix="1" applyFont="1" applyAlignment="1">
      <alignment horizontal="left"/>
    </xf>
    <xf numFmtId="170" fontId="4" fillId="0" borderId="4" xfId="1" applyNumberFormat="1" applyFont="1" applyBorder="1"/>
    <xf numFmtId="0" fontId="4" fillId="0" borderId="2" xfId="1" applyFont="1" applyBorder="1"/>
    <xf numFmtId="0" fontId="23" fillId="0" borderId="0" xfId="1" applyFont="1"/>
    <xf numFmtId="0" fontId="7" fillId="0" borderId="0" xfId="1" applyFont="1" applyAlignment="1">
      <alignment horizontal="centerContinuous"/>
    </xf>
    <xf numFmtId="37" fontId="2" fillId="0" borderId="1" xfId="2" applyNumberFormat="1" applyFont="1" applyBorder="1" applyProtection="1"/>
    <xf numFmtId="172" fontId="24" fillId="0" borderId="0" xfId="1" applyNumberFormat="1" applyFont="1"/>
    <xf numFmtId="0" fontId="21" fillId="0" borderId="0" xfId="1" applyFont="1" applyAlignment="1">
      <alignment vertical="center"/>
    </xf>
    <xf numFmtId="172" fontId="4" fillId="0" borderId="20" xfId="1" applyNumberFormat="1" applyFont="1" applyBorder="1" applyAlignment="1">
      <alignment vertical="center"/>
    </xf>
    <xf numFmtId="172" fontId="2" fillId="0" borderId="8" xfId="1" applyNumberFormat="1" applyFont="1" applyBorder="1"/>
    <xf numFmtId="0" fontId="23" fillId="0" borderId="0" xfId="1" applyFont="1" applyAlignment="1">
      <alignment horizontal="right"/>
    </xf>
    <xf numFmtId="0" fontId="17" fillId="0" borderId="0" xfId="1" applyFont="1"/>
    <xf numFmtId="172" fontId="16" fillId="0" borderId="0" xfId="1" applyNumberFormat="1" applyFont="1"/>
    <xf numFmtId="183" fontId="2" fillId="0" borderId="0" xfId="1" applyNumberFormat="1" applyFont="1"/>
    <xf numFmtId="184" fontId="2" fillId="0" borderId="0" xfId="1" applyNumberFormat="1" applyFont="1"/>
    <xf numFmtId="181" fontId="25" fillId="0" borderId="11" xfId="1" applyNumberFormat="1" applyFont="1" applyBorder="1" applyAlignment="1">
      <alignment vertical="center"/>
    </xf>
    <xf numFmtId="0" fontId="17" fillId="0" borderId="1" xfId="1" applyFont="1" applyBorder="1" applyAlignment="1">
      <alignment vertical="center"/>
    </xf>
    <xf numFmtId="0" fontId="17" fillId="0" borderId="1" xfId="1" quotePrefix="1" applyFont="1" applyBorder="1" applyAlignment="1">
      <alignment horizontal="left" vertical="center"/>
    </xf>
    <xf numFmtId="0" fontId="17" fillId="0" borderId="10" xfId="1" applyFont="1" applyBorder="1" applyAlignment="1">
      <alignment horizontal="left" vertical="center"/>
    </xf>
    <xf numFmtId="181" fontId="25" fillId="0" borderId="7" xfId="1" applyNumberFormat="1" applyFont="1" applyBorder="1" applyAlignment="1">
      <alignment vertical="center"/>
    </xf>
    <xf numFmtId="0" fontId="17" fillId="0" borderId="5" xfId="1" applyFont="1" applyBorder="1" applyAlignment="1">
      <alignment horizontal="left" vertical="center"/>
    </xf>
    <xf numFmtId="0" fontId="6" fillId="0" borderId="6" xfId="1" quotePrefix="1" applyFont="1" applyBorder="1" applyAlignment="1">
      <alignment horizontal="right"/>
    </xf>
    <xf numFmtId="0" fontId="26" fillId="0" borderId="0" xfId="1" applyFont="1" applyAlignment="1">
      <alignment horizontal="right"/>
    </xf>
    <xf numFmtId="0" fontId="4" fillId="0" borderId="1" xfId="1" applyFont="1" applyBorder="1" applyAlignment="1">
      <alignment horizontal="centerContinuous"/>
    </xf>
    <xf numFmtId="0" fontId="9" fillId="0" borderId="0" xfId="1" quotePrefix="1" applyFont="1" applyAlignment="1">
      <alignment horizontal="left"/>
    </xf>
    <xf numFmtId="0" fontId="2" fillId="0" borderId="19" xfId="1" applyFont="1" applyBorder="1"/>
    <xf numFmtId="0" fontId="3" fillId="0" borderId="19" xfId="1" applyFont="1" applyBorder="1"/>
    <xf numFmtId="0" fontId="14" fillId="0" borderId="0" xfId="1" applyFont="1" applyAlignment="1">
      <alignment horizontal="centerContinuous"/>
    </xf>
    <xf numFmtId="0" fontId="27" fillId="0" borderId="0" xfId="1" applyFont="1" applyAlignment="1">
      <alignment horizontal="centerContinuous"/>
    </xf>
    <xf numFmtId="0" fontId="20" fillId="0" borderId="0" xfId="1" applyFont="1" applyAlignment="1">
      <alignment horizontal="centerContinuous"/>
    </xf>
    <xf numFmtId="0" fontId="28" fillId="0" borderId="0" xfId="1" applyFont="1" applyAlignment="1">
      <alignment horizontal="centerContinuous"/>
    </xf>
    <xf numFmtId="0" fontId="29" fillId="0" borderId="0" xfId="1" applyFont="1" applyAlignment="1">
      <alignment horizontal="centerContinuous"/>
    </xf>
    <xf numFmtId="185" fontId="2" fillId="0" borderId="1" xfId="1" applyNumberFormat="1" applyFont="1" applyBorder="1"/>
    <xf numFmtId="0" fontId="9" fillId="0" borderId="1" xfId="1" quotePrefix="1" applyFont="1" applyBorder="1" applyAlignment="1">
      <alignment horizontal="left"/>
    </xf>
    <xf numFmtId="185" fontId="9" fillId="0" borderId="0" xfId="2" applyNumberFormat="1" applyFont="1" applyFill="1" applyProtection="1"/>
    <xf numFmtId="185" fontId="9" fillId="0" borderId="11" xfId="2" applyNumberFormat="1" applyFont="1" applyFill="1" applyBorder="1" applyProtection="1"/>
    <xf numFmtId="185" fontId="9" fillId="0" borderId="1" xfId="2" applyNumberFormat="1" applyFont="1" applyFill="1" applyBorder="1" applyProtection="1"/>
    <xf numFmtId="185" fontId="9" fillId="0" borderId="10" xfId="2" applyNumberFormat="1" applyFont="1" applyFill="1" applyBorder="1" applyProtection="1"/>
    <xf numFmtId="185" fontId="9" fillId="0" borderId="0" xfId="2" applyNumberFormat="1" applyFont="1" applyBorder="1" applyProtection="1"/>
    <xf numFmtId="0" fontId="9" fillId="0" borderId="0" xfId="1" applyFont="1"/>
    <xf numFmtId="180" fontId="2" fillId="0" borderId="0" xfId="2" applyNumberFormat="1" applyFont="1" applyFill="1" applyProtection="1"/>
    <xf numFmtId="180" fontId="2" fillId="0" borderId="9" xfId="2" applyNumberFormat="1" applyFont="1" applyFill="1" applyBorder="1" applyProtection="1"/>
    <xf numFmtId="180" fontId="2" fillId="0" borderId="0" xfId="2" applyNumberFormat="1" applyFont="1" applyFill="1" applyBorder="1" applyProtection="1"/>
    <xf numFmtId="180" fontId="2" fillId="0" borderId="8" xfId="2" applyNumberFormat="1" applyFont="1" applyFill="1" applyBorder="1" applyProtection="1"/>
    <xf numFmtId="172" fontId="4" fillId="0" borderId="20" xfId="2" applyNumberFormat="1" applyFont="1" applyFill="1" applyBorder="1" applyProtection="1"/>
    <xf numFmtId="172" fontId="4" fillId="0" borderId="27" xfId="2" applyNumberFormat="1" applyFont="1" applyFill="1" applyBorder="1" applyProtection="1"/>
    <xf numFmtId="172" fontId="4" fillId="0" borderId="28" xfId="2" applyNumberFormat="1" applyFont="1" applyFill="1" applyBorder="1" applyProtection="1"/>
    <xf numFmtId="37" fontId="2" fillId="0" borderId="0" xfId="2" applyNumberFormat="1" applyFont="1" applyFill="1" applyProtection="1"/>
    <xf numFmtId="37" fontId="2" fillId="0" borderId="9" xfId="2" applyNumberFormat="1" applyFont="1" applyFill="1" applyBorder="1" applyProtection="1"/>
    <xf numFmtId="37" fontId="2" fillId="0" borderId="0" xfId="2" applyNumberFormat="1" applyFont="1" applyFill="1" applyBorder="1" applyProtection="1"/>
    <xf numFmtId="37" fontId="2" fillId="0" borderId="8" xfId="2" applyNumberFormat="1" applyFont="1" applyFill="1" applyBorder="1" applyProtection="1"/>
    <xf numFmtId="37" fontId="2" fillId="0" borderId="0" xfId="2" applyNumberFormat="1" applyFont="1" applyBorder="1" applyProtection="1"/>
    <xf numFmtId="174" fontId="4" fillId="0" borderId="0" xfId="2" applyNumberFormat="1" applyFont="1" applyFill="1" applyProtection="1"/>
    <xf numFmtId="174" fontId="4" fillId="0" borderId="9" xfId="2" applyNumberFormat="1" applyFont="1" applyFill="1" applyBorder="1" applyProtection="1"/>
    <xf numFmtId="174" fontId="4" fillId="0" borderId="0" xfId="2" applyNumberFormat="1" applyFont="1" applyFill="1" applyBorder="1" applyProtection="1"/>
    <xf numFmtId="174" fontId="4" fillId="0" borderId="8" xfId="2" applyNumberFormat="1" applyFont="1" applyFill="1" applyBorder="1" applyProtection="1"/>
    <xf numFmtId="174" fontId="2" fillId="0" borderId="11" xfId="2" applyNumberFormat="1" applyFont="1" applyFill="1" applyBorder="1" applyProtection="1"/>
    <xf numFmtId="174" fontId="16" fillId="0" borderId="10" xfId="2" applyNumberFormat="1" applyFont="1" applyFill="1" applyBorder="1" applyProtection="1"/>
    <xf numFmtId="174" fontId="2" fillId="0" borderId="9" xfId="2" applyNumberFormat="1" applyFont="1" applyFill="1" applyBorder="1" applyProtection="1"/>
    <xf numFmtId="174" fontId="2" fillId="0" borderId="0" xfId="2" applyNumberFormat="1" applyFont="1" applyFill="1" applyBorder="1" applyProtection="1"/>
    <xf numFmtId="174" fontId="16" fillId="0" borderId="8" xfId="2" applyNumberFormat="1" applyFont="1" applyFill="1" applyBorder="1" applyProtection="1"/>
    <xf numFmtId="0" fontId="4" fillId="0" borderId="0" xfId="1" applyFont="1" applyAlignment="1">
      <alignment horizontal="left"/>
    </xf>
    <xf numFmtId="174" fontId="2" fillId="0" borderId="8" xfId="2" applyNumberFormat="1" applyFont="1" applyFill="1" applyBorder="1" applyProtection="1"/>
    <xf numFmtId="174" fontId="2" fillId="0" borderId="10" xfId="2" applyNumberFormat="1" applyFont="1" applyFill="1" applyBorder="1" applyProtection="1"/>
    <xf numFmtId="186" fontId="2" fillId="0" borderId="0" xfId="2" applyNumberFormat="1" applyFont="1" applyFill="1" applyProtection="1"/>
    <xf numFmtId="186" fontId="2" fillId="0" borderId="9" xfId="2" applyNumberFormat="1" applyFont="1" applyFill="1" applyBorder="1" applyProtection="1"/>
    <xf numFmtId="186" fontId="2" fillId="0" borderId="0" xfId="2" applyNumberFormat="1" applyFont="1" applyFill="1" applyBorder="1" applyProtection="1"/>
    <xf numFmtId="186" fontId="2" fillId="0" borderId="8" xfId="2" applyNumberFormat="1" applyFont="1" applyFill="1" applyBorder="1" applyProtection="1"/>
    <xf numFmtId="0" fontId="6" fillId="0" borderId="9" xfId="1" applyFont="1" applyBorder="1" applyAlignment="1">
      <alignment horizontal="right"/>
    </xf>
    <xf numFmtId="175" fontId="6" fillId="0" borderId="8" xfId="1" applyNumberFormat="1" applyFont="1" applyBorder="1" applyAlignment="1">
      <alignment horizontal="right"/>
    </xf>
    <xf numFmtId="0" fontId="9" fillId="0" borderId="0" xfId="1" applyFont="1" applyAlignment="1">
      <alignment horizontal="left"/>
    </xf>
    <xf numFmtId="0" fontId="6" fillId="0" borderId="9" xfId="1" applyFont="1" applyBorder="1" applyAlignment="1">
      <alignment horizontal="center"/>
    </xf>
    <xf numFmtId="175" fontId="6" fillId="0" borderId="0" xfId="1" applyNumberFormat="1" applyFont="1" applyAlignment="1">
      <alignment horizontal="center"/>
    </xf>
    <xf numFmtId="175" fontId="6" fillId="0" borderId="8" xfId="1" applyNumberFormat="1" applyFont="1" applyBorder="1" applyAlignment="1">
      <alignment horizontal="center"/>
    </xf>
    <xf numFmtId="0" fontId="4" fillId="0" borderId="7" xfId="1" applyFont="1" applyBorder="1" applyAlignment="1">
      <alignment horizontal="center"/>
    </xf>
    <xf numFmtId="0" fontId="4" fillId="0" borderId="5" xfId="1" applyFont="1" applyBorder="1" applyAlignment="1">
      <alignment horizontal="center"/>
    </xf>
    <xf numFmtId="0" fontId="11" fillId="0" borderId="19" xfId="1" applyFont="1" applyBorder="1" applyAlignment="1">
      <alignment horizontal="centerContinuous"/>
    </xf>
    <xf numFmtId="37" fontId="4" fillId="0" borderId="0" xfId="2" applyNumberFormat="1" applyFont="1" applyBorder="1" applyProtection="1"/>
    <xf numFmtId="37" fontId="4" fillId="0" borderId="1" xfId="2" applyNumberFormat="1" applyFont="1" applyBorder="1" applyProtection="1"/>
    <xf numFmtId="0" fontId="4" fillId="0" borderId="1" xfId="1" quotePrefix="1" applyFont="1" applyBorder="1" applyAlignment="1">
      <alignment horizontal="left"/>
    </xf>
    <xf numFmtId="0" fontId="2" fillId="0" borderId="10" xfId="1" applyFont="1" applyBorder="1" applyAlignment="1">
      <alignment horizontal="left"/>
    </xf>
    <xf numFmtId="174" fontId="30" fillId="0" borderId="9" xfId="2" applyNumberFormat="1" applyFont="1" applyFill="1" applyBorder="1" applyProtection="1"/>
    <xf numFmtId="174" fontId="30" fillId="0" borderId="0" xfId="2" applyNumberFormat="1" applyFont="1" applyFill="1" applyBorder="1" applyProtection="1"/>
    <xf numFmtId="174" fontId="2" fillId="0" borderId="7" xfId="2" applyNumberFormat="1" applyFont="1" applyFill="1" applyBorder="1" applyProtection="1"/>
    <xf numFmtId="174" fontId="2" fillId="0" borderId="6" xfId="2" applyNumberFormat="1" applyFont="1" applyFill="1" applyBorder="1" applyProtection="1"/>
    <xf numFmtId="37" fontId="2" fillId="0" borderId="6" xfId="2" applyNumberFormat="1" applyFont="1" applyBorder="1" applyProtection="1"/>
    <xf numFmtId="37" fontId="4" fillId="0" borderId="6" xfId="2" applyNumberFormat="1" applyFont="1" applyBorder="1" applyProtection="1"/>
    <xf numFmtId="0" fontId="4" fillId="0" borderId="6" xfId="1" quotePrefix="1" applyFont="1" applyBorder="1" applyAlignment="1">
      <alignment horizontal="left"/>
    </xf>
    <xf numFmtId="0" fontId="2" fillId="0" borderId="5" xfId="1" applyFont="1" applyBorder="1"/>
    <xf numFmtId="37" fontId="4" fillId="0" borderId="0" xfId="2" applyNumberFormat="1" applyFont="1" applyFill="1" applyProtection="1"/>
    <xf numFmtId="37" fontId="4" fillId="0" borderId="0" xfId="2" applyNumberFormat="1" applyFont="1" applyProtection="1"/>
    <xf numFmtId="174" fontId="4" fillId="0" borderId="6" xfId="2" applyNumberFormat="1" applyFont="1" applyFill="1" applyBorder="1" applyProtection="1"/>
    <xf numFmtId="37" fontId="4" fillId="0" borderId="0" xfId="2" applyNumberFormat="1" applyFont="1" applyFill="1" applyBorder="1" applyProtection="1"/>
    <xf numFmtId="186" fontId="4" fillId="0" borderId="0" xfId="2" applyNumberFormat="1" applyFont="1" applyProtection="1"/>
    <xf numFmtId="164" fontId="4" fillId="0" borderId="0" xfId="2" applyNumberFormat="1" applyFont="1" applyProtection="1"/>
    <xf numFmtId="174" fontId="4" fillId="0" borderId="20" xfId="2" applyNumberFormat="1" applyFont="1" applyBorder="1" applyProtection="1"/>
    <xf numFmtId="187" fontId="4" fillId="0" borderId="0" xfId="2" applyNumberFormat="1" applyFont="1" applyProtection="1"/>
    <xf numFmtId="174" fontId="4" fillId="0" borderId="6" xfId="2" applyNumberFormat="1" applyFont="1" applyBorder="1" applyProtection="1"/>
    <xf numFmtId="174" fontId="2" fillId="0" borderId="0" xfId="2" applyNumberFormat="1" applyFont="1" applyBorder="1" applyProtection="1"/>
    <xf numFmtId="37" fontId="16" fillId="0" borderId="0" xfId="2" applyNumberFormat="1" applyFont="1" applyFill="1" applyProtection="1"/>
    <xf numFmtId="188" fontId="2" fillId="0" borderId="0" xfId="2" applyNumberFormat="1" applyFont="1" applyFill="1" applyBorder="1" applyProtection="1"/>
    <xf numFmtId="188" fontId="2" fillId="0" borderId="0" xfId="2" applyNumberFormat="1" applyFont="1" applyProtection="1"/>
    <xf numFmtId="188" fontId="2" fillId="0" borderId="0" xfId="2" applyNumberFormat="1" applyFont="1" applyBorder="1" applyProtection="1"/>
    <xf numFmtId="174" fontId="2" fillId="0" borderId="1" xfId="2" applyNumberFormat="1" applyFont="1" applyBorder="1" applyProtection="1"/>
    <xf numFmtId="37" fontId="16" fillId="0" borderId="0" xfId="2" applyNumberFormat="1" applyFont="1" applyBorder="1" applyProtection="1"/>
    <xf numFmtId="37" fontId="2" fillId="0" borderId="0" xfId="2" applyNumberFormat="1" applyFont="1" applyProtection="1"/>
    <xf numFmtId="0" fontId="2" fillId="0" borderId="0" xfId="1" applyFont="1" applyAlignment="1">
      <alignment horizontal="right"/>
    </xf>
    <xf numFmtId="0" fontId="3" fillId="0" borderId="0" xfId="1" quotePrefix="1" applyFont="1"/>
    <xf numFmtId="189" fontId="9" fillId="0" borderId="0" xfId="1" applyNumberFormat="1" applyFont="1"/>
    <xf numFmtId="0" fontId="31" fillId="0" borderId="0" xfId="1" quotePrefix="1" applyFont="1"/>
    <xf numFmtId="190" fontId="9" fillId="0" borderId="0" xfId="1" applyNumberFormat="1" applyFont="1"/>
    <xf numFmtId="0" fontId="31" fillId="0" borderId="6" xfId="1" quotePrefix="1" applyFont="1" applyBorder="1"/>
    <xf numFmtId="190" fontId="9" fillId="0" borderId="11" xfId="1" applyNumberFormat="1" applyFont="1" applyBorder="1"/>
    <xf numFmtId="190" fontId="9" fillId="0" borderId="1" xfId="1" applyNumberFormat="1" applyFont="1" applyBorder="1"/>
    <xf numFmtId="189" fontId="9" fillId="0" borderId="1" xfId="1" applyNumberFormat="1" applyFont="1" applyBorder="1"/>
    <xf numFmtId="0" fontId="3" fillId="0" borderId="1" xfId="1" quotePrefix="1" applyFont="1" applyBorder="1"/>
    <xf numFmtId="0" fontId="2" fillId="0" borderId="10" xfId="1" applyFont="1" applyBorder="1"/>
    <xf numFmtId="190" fontId="9" fillId="0" borderId="9" xfId="1" applyNumberFormat="1" applyFont="1" applyBorder="1"/>
    <xf numFmtId="188" fontId="2" fillId="0" borderId="7" xfId="2" applyNumberFormat="1" applyFont="1" applyBorder="1" applyProtection="1"/>
    <xf numFmtId="188" fontId="2" fillId="0" borderId="6" xfId="2" applyNumberFormat="1" applyFont="1" applyBorder="1" applyProtection="1"/>
    <xf numFmtId="0" fontId="3" fillId="0" borderId="6" xfId="1" applyFont="1" applyBorder="1"/>
    <xf numFmtId="168" fontId="2" fillId="0" borderId="0" xfId="2" applyFont="1" applyBorder="1" applyProtection="1"/>
    <xf numFmtId="174" fontId="4" fillId="0" borderId="0" xfId="2" applyNumberFormat="1" applyFont="1" applyBorder="1" applyProtection="1"/>
    <xf numFmtId="165" fontId="4" fillId="0" borderId="0" xfId="1" quotePrefix="1" applyNumberFormat="1" applyFont="1" applyAlignment="1">
      <alignment horizontal="left"/>
    </xf>
    <xf numFmtId="174" fontId="16" fillId="0" borderId="0" xfId="2" applyNumberFormat="1" applyFont="1" applyFill="1" applyBorder="1" applyProtection="1"/>
    <xf numFmtId="39" fontId="4" fillId="0" borderId="0" xfId="2" applyNumberFormat="1" applyFont="1" applyBorder="1" applyProtection="1"/>
    <xf numFmtId="169" fontId="2" fillId="0" borderId="0" xfId="2" applyNumberFormat="1" applyFont="1" applyBorder="1" applyProtection="1"/>
    <xf numFmtId="174" fontId="2" fillId="0" borderId="1" xfId="2" applyNumberFormat="1" applyFont="1" applyFill="1" applyBorder="1" applyAlignment="1" applyProtection="1">
      <alignment horizontal="right"/>
    </xf>
    <xf numFmtId="174" fontId="16" fillId="0" borderId="1" xfId="2" applyNumberFormat="1" applyFont="1" applyBorder="1" applyAlignment="1" applyProtection="1">
      <alignment horizontal="right"/>
    </xf>
    <xf numFmtId="0" fontId="6" fillId="0" borderId="0" xfId="1" applyFont="1"/>
    <xf numFmtId="0" fontId="2" fillId="2" borderId="0" xfId="1" applyFont="1" applyFill="1"/>
    <xf numFmtId="37" fontId="4" fillId="0" borderId="0" xfId="2" applyNumberFormat="1" applyFont="1" applyBorder="1" applyAlignment="1" applyProtection="1">
      <alignment horizontal="right"/>
    </xf>
    <xf numFmtId="174" fontId="4" fillId="0" borderId="0" xfId="2" applyNumberFormat="1" applyFont="1" applyBorder="1" applyAlignment="1" applyProtection="1">
      <alignment horizontal="right"/>
    </xf>
    <xf numFmtId="174" fontId="2" fillId="0" borderId="1" xfId="2" applyNumberFormat="1" applyFont="1" applyBorder="1" applyAlignment="1" applyProtection="1">
      <alignment horizontal="right"/>
    </xf>
    <xf numFmtId="0" fontId="16" fillId="0" borderId="0" xfId="1" applyFont="1" applyAlignment="1">
      <alignment horizontal="center"/>
    </xf>
    <xf numFmtId="174" fontId="2" fillId="0" borderId="0" xfId="2" applyNumberFormat="1" applyFont="1" applyBorder="1" applyAlignment="1" applyProtection="1">
      <alignment horizontal="right"/>
    </xf>
    <xf numFmtId="37" fontId="6" fillId="0" borderId="0" xfId="1" applyNumberFormat="1" applyFont="1"/>
    <xf numFmtId="170" fontId="16" fillId="0" borderId="0" xfId="1" applyNumberFormat="1" applyFont="1"/>
    <xf numFmtId="170" fontId="2" fillId="0" borderId="0" xfId="1" applyNumberFormat="1" applyFont="1"/>
    <xf numFmtId="173" fontId="2" fillId="0" borderId="21" xfId="1" applyNumberFormat="1" applyFont="1" applyBorder="1"/>
    <xf numFmtId="173" fontId="2" fillId="0" borderId="18" xfId="1" applyNumberFormat="1" applyFont="1" applyBorder="1"/>
    <xf numFmtId="170" fontId="2" fillId="0" borderId="18" xfId="1" applyNumberFormat="1" applyFont="1" applyBorder="1" applyAlignment="1">
      <alignment horizontal="right"/>
    </xf>
    <xf numFmtId="0" fontId="6" fillId="0" borderId="18" xfId="1" applyFont="1" applyBorder="1"/>
    <xf numFmtId="0" fontId="8" fillId="0" borderId="18" xfId="1" applyFont="1" applyBorder="1"/>
    <xf numFmtId="174" fontId="2" fillId="0" borderId="23" xfId="2" applyNumberFormat="1" applyFont="1" applyBorder="1" applyAlignment="1" applyProtection="1">
      <alignment horizontal="right"/>
    </xf>
    <xf numFmtId="174" fontId="2" fillId="0" borderId="24" xfId="2" applyNumberFormat="1" applyFont="1" applyBorder="1" applyAlignment="1" applyProtection="1">
      <alignment horizontal="right"/>
    </xf>
    <xf numFmtId="0" fontId="6" fillId="0" borderId="24" xfId="1" applyFont="1" applyBorder="1"/>
    <xf numFmtId="0" fontId="8" fillId="0" borderId="24" xfId="1" applyFont="1" applyBorder="1"/>
    <xf numFmtId="0" fontId="4" fillId="0" borderId="0" xfId="1" applyFont="1" applyAlignment="1">
      <alignment horizontal="centerContinuous"/>
    </xf>
    <xf numFmtId="0" fontId="33" fillId="0" borderId="0" xfId="1" applyFont="1" applyAlignment="1">
      <alignment horizontal="centerContinuous"/>
    </xf>
    <xf numFmtId="0" fontId="10" fillId="0" borderId="0" xfId="1" applyFont="1" applyAlignment="1">
      <alignment horizontal="centerContinuous"/>
    </xf>
    <xf numFmtId="0" fontId="34" fillId="0" borderId="0" xfId="1" applyFont="1" applyAlignment="1">
      <alignment horizontal="centerContinuous"/>
    </xf>
    <xf numFmtId="0" fontId="33" fillId="0" borderId="19" xfId="1" applyFont="1" applyBorder="1" applyAlignment="1">
      <alignment horizontal="centerContinuous"/>
    </xf>
    <xf numFmtId="0" fontId="34" fillId="0" borderId="19" xfId="1" applyFont="1" applyBorder="1" applyAlignment="1">
      <alignment horizontal="centerContinuous"/>
    </xf>
    <xf numFmtId="0" fontId="11" fillId="0" borderId="0" xfId="1" applyFont="1" applyAlignment="1">
      <alignment horizontal="left"/>
    </xf>
    <xf numFmtId="0" fontId="3" fillId="0" borderId="0" xfId="1" applyFont="1" applyAlignment="1">
      <alignment horizontal="centerContinuous"/>
    </xf>
    <xf numFmtId="0" fontId="12" fillId="0" borderId="0" xfId="1" applyFont="1" applyAlignment="1">
      <alignment horizontal="left"/>
    </xf>
    <xf numFmtId="0" fontId="14" fillId="0" borderId="1" xfId="1" applyFont="1" applyBorder="1"/>
    <xf numFmtId="0" fontId="4" fillId="0" borderId="1" xfId="1" applyFont="1" applyBorder="1"/>
    <xf numFmtId="174" fontId="16" fillId="0" borderId="0" xfId="2" applyNumberFormat="1" applyFont="1" applyBorder="1" applyProtection="1"/>
    <xf numFmtId="0" fontId="7" fillId="0" borderId="0" xfId="1" applyFont="1"/>
    <xf numFmtId="37" fontId="2" fillId="0" borderId="18" xfId="2" applyNumberFormat="1" applyFont="1" applyBorder="1" applyProtection="1"/>
    <xf numFmtId="0" fontId="2" fillId="0" borderId="18" xfId="1" applyFont="1" applyBorder="1" applyAlignment="1">
      <alignment horizontal="left"/>
    </xf>
    <xf numFmtId="174" fontId="16" fillId="0" borderId="1" xfId="2" applyNumberFormat="1" applyFont="1" applyBorder="1" applyProtection="1"/>
    <xf numFmtId="174" fontId="35" fillId="0" borderId="0" xfId="2" applyNumberFormat="1" applyFont="1" applyBorder="1" applyProtection="1"/>
    <xf numFmtId="191" fontId="2" fillId="0" borderId="0" xfId="1" applyNumberFormat="1" applyFont="1"/>
    <xf numFmtId="191" fontId="16" fillId="0" borderId="0" xfId="1" applyNumberFormat="1" applyFont="1"/>
    <xf numFmtId="174" fontId="2" fillId="0" borderId="21" xfId="2" applyNumberFormat="1" applyFont="1" applyBorder="1" applyProtection="1"/>
    <xf numFmtId="174" fontId="2" fillId="0" borderId="18" xfId="2" applyNumberFormat="1" applyFont="1" applyBorder="1" applyProtection="1"/>
    <xf numFmtId="168" fontId="2" fillId="0" borderId="29" xfId="2" applyFont="1" applyBorder="1" applyProtection="1"/>
    <xf numFmtId="168" fontId="2" fillId="0" borderId="0" xfId="2" applyFont="1" applyFill="1" applyBorder="1" applyProtection="1"/>
    <xf numFmtId="168" fontId="16" fillId="0" borderId="0" xfId="2" applyFont="1" applyFill="1" applyBorder="1" applyProtection="1"/>
    <xf numFmtId="0" fontId="8" fillId="0" borderId="0" xfId="1" quotePrefix="1" applyFont="1" applyAlignment="1">
      <alignment horizontal="left"/>
    </xf>
    <xf numFmtId="0" fontId="2" fillId="0" borderId="30" xfId="1" applyFont="1" applyBorder="1"/>
    <xf numFmtId="170" fontId="2" fillId="0" borderId="23" xfId="1" applyNumberFormat="1" applyFont="1" applyBorder="1" applyAlignment="1">
      <alignment horizontal="right"/>
    </xf>
    <xf numFmtId="170" fontId="2" fillId="0" borderId="24" xfId="1" applyNumberFormat="1" applyFont="1" applyBorder="1" applyAlignment="1">
      <alignment horizontal="right"/>
    </xf>
    <xf numFmtId="173" fontId="2" fillId="0" borderId="24" xfId="1" applyNumberFormat="1" applyFont="1" applyBorder="1"/>
    <xf numFmtId="175" fontId="6" fillId="0" borderId="0" xfId="1" applyNumberFormat="1" applyFont="1"/>
    <xf numFmtId="0" fontId="36" fillId="0" borderId="0" xfId="1" applyFont="1" applyAlignment="1">
      <alignment horizontal="centerContinuous"/>
    </xf>
    <xf numFmtId="192" fontId="2" fillId="0" borderId="0" xfId="1" applyNumberFormat="1" applyFont="1"/>
    <xf numFmtId="0" fontId="8" fillId="0" borderId="0" xfId="1" applyFont="1" applyAlignment="1">
      <alignment horizontal="left"/>
    </xf>
    <xf numFmtId="188" fontId="4" fillId="0" borderId="0" xfId="2" applyNumberFormat="1" applyFont="1" applyProtection="1"/>
    <xf numFmtId="180" fontId="24" fillId="0" borderId="3" xfId="2" applyNumberFormat="1" applyFont="1" applyBorder="1" applyProtection="1"/>
    <xf numFmtId="170" fontId="37" fillId="0" borderId="0" xfId="1" applyNumberFormat="1" applyFont="1"/>
    <xf numFmtId="180" fontId="4" fillId="0" borderId="0" xfId="2" applyNumberFormat="1" applyFont="1" applyProtection="1"/>
    <xf numFmtId="180" fontId="16" fillId="0" borderId="1" xfId="2" applyNumberFormat="1" applyFont="1" applyBorder="1" applyProtection="1"/>
    <xf numFmtId="180" fontId="16" fillId="0" borderId="0" xfId="2" applyNumberFormat="1" applyFont="1" applyProtection="1"/>
    <xf numFmtId="193" fontId="2" fillId="0" borderId="0" xfId="2" applyNumberFormat="1" applyFont="1" applyProtection="1"/>
    <xf numFmtId="188" fontId="38" fillId="0" borderId="0" xfId="2" applyNumberFormat="1" applyFont="1" applyProtection="1"/>
    <xf numFmtId="0" fontId="13" fillId="0" borderId="0" xfId="1" quotePrefix="1" applyFont="1" applyAlignment="1">
      <alignment horizontal="left"/>
    </xf>
    <xf numFmtId="188" fontId="4" fillId="0" borderId="18" xfId="2" applyNumberFormat="1" applyFont="1" applyBorder="1" applyProtection="1"/>
    <xf numFmtId="188" fontId="38" fillId="0" borderId="18" xfId="2" applyNumberFormat="1" applyFont="1" applyBorder="1" applyProtection="1"/>
    <xf numFmtId="0" fontId="13" fillId="0" borderId="18" xfId="1" quotePrefix="1" applyFont="1" applyBorder="1" applyAlignment="1">
      <alignment horizontal="left"/>
    </xf>
    <xf numFmtId="0" fontId="4" fillId="0" borderId="18" xfId="1" quotePrefix="1" applyFont="1" applyBorder="1" applyAlignment="1">
      <alignment horizontal="left"/>
    </xf>
    <xf numFmtId="170" fontId="9" fillId="0" borderId="0" xfId="1" applyNumberFormat="1" applyFont="1"/>
    <xf numFmtId="180" fontId="16" fillId="0" borderId="0" xfId="2" applyNumberFormat="1" applyFont="1" applyBorder="1" applyProtection="1"/>
    <xf numFmtId="0" fontId="39" fillId="0" borderId="0" xfId="1" applyFont="1"/>
    <xf numFmtId="193" fontId="2" fillId="0" borderId="0" xfId="1" applyNumberFormat="1" applyFont="1"/>
    <xf numFmtId="193" fontId="35" fillId="0" borderId="0" xfId="1" applyNumberFormat="1" applyFont="1"/>
    <xf numFmtId="0" fontId="13" fillId="0" borderId="0" xfId="3" quotePrefix="1" applyFont="1" applyAlignment="1">
      <alignment horizontal="right" vertical="center"/>
    </xf>
    <xf numFmtId="0" fontId="40" fillId="0" borderId="0" xfId="1" applyFont="1" applyAlignment="1">
      <alignment horizontal="centerContinuous"/>
    </xf>
    <xf numFmtId="0" fontId="40" fillId="0" borderId="0" xfId="1" applyFont="1" applyAlignment="1">
      <alignment horizontal="left"/>
    </xf>
    <xf numFmtId="0" fontId="2" fillId="0" borderId="1" xfId="4" applyBorder="1"/>
    <xf numFmtId="0" fontId="2" fillId="0" borderId="1" xfId="4" applyBorder="1" applyAlignment="1">
      <alignment horizontal="center"/>
    </xf>
    <xf numFmtId="10" fontId="35" fillId="0" borderId="4" xfId="1" applyNumberFormat="1" applyFont="1" applyBorder="1" applyAlignment="1">
      <alignment vertical="center"/>
    </xf>
    <xf numFmtId="10" fontId="35" fillId="0" borderId="3" xfId="1" applyNumberFormat="1" applyFont="1" applyBorder="1" applyAlignment="1">
      <alignment vertical="center"/>
    </xf>
    <xf numFmtId="10" fontId="35" fillId="0" borderId="2" xfId="1" applyNumberFormat="1" applyFont="1" applyBorder="1" applyAlignment="1">
      <alignment vertical="center"/>
    </xf>
    <xf numFmtId="0" fontId="2" fillId="0" borderId="0" xfId="4"/>
    <xf numFmtId="0" fontId="24" fillId="0" borderId="0" xfId="4" applyFont="1" applyAlignment="1">
      <alignment horizontal="center"/>
    </xf>
    <xf numFmtId="0" fontId="4" fillId="0" borderId="0" xfId="4" applyFont="1" applyAlignment="1">
      <alignment horizontal="left" vertical="center"/>
    </xf>
    <xf numFmtId="194" fontId="18" fillId="0" borderId="0" xfId="2" applyNumberFormat="1" applyFont="1" applyBorder="1" applyAlignment="1">
      <alignment horizontal="right"/>
    </xf>
    <xf numFmtId="0" fontId="3" fillId="0" borderId="0" xfId="4" applyFont="1" applyAlignment="1">
      <alignment horizontal="center"/>
    </xf>
    <xf numFmtId="0" fontId="2" fillId="0" borderId="0" xfId="4" applyAlignment="1">
      <alignment horizontal="left"/>
    </xf>
    <xf numFmtId="182" fontId="16" fillId="0" borderId="21" xfId="2" applyNumberFormat="1" applyFont="1" applyBorder="1" applyAlignment="1">
      <alignment horizontal="right"/>
    </xf>
    <xf numFmtId="182" fontId="16" fillId="0" borderId="18" xfId="2" applyNumberFormat="1" applyFont="1" applyBorder="1" applyAlignment="1">
      <alignment horizontal="right"/>
    </xf>
    <xf numFmtId="182" fontId="16" fillId="0" borderId="22" xfId="2" applyNumberFormat="1" applyFont="1" applyBorder="1" applyAlignment="1">
      <alignment horizontal="right"/>
    </xf>
    <xf numFmtId="182" fontId="16" fillId="0" borderId="29" xfId="4" applyNumberFormat="1" applyFont="1" applyBorder="1"/>
    <xf numFmtId="182" fontId="16" fillId="0" borderId="0" xfId="4" applyNumberFormat="1" applyFont="1"/>
    <xf numFmtId="182" fontId="16" fillId="0" borderId="30" xfId="4" applyNumberFormat="1" applyFont="1" applyBorder="1"/>
    <xf numFmtId="182" fontId="16" fillId="0" borderId="23" xfId="4" applyNumberFormat="1" applyFont="1" applyBorder="1"/>
    <xf numFmtId="182" fontId="16" fillId="0" borderId="24" xfId="4" applyNumberFormat="1" applyFont="1" applyBorder="1"/>
    <xf numFmtId="182" fontId="16" fillId="0" borderId="25" xfId="4" applyNumberFormat="1" applyFont="1" applyBorder="1"/>
    <xf numFmtId="194" fontId="4" fillId="0" borderId="0" xfId="1" applyNumberFormat="1" applyFont="1"/>
    <xf numFmtId="0" fontId="4" fillId="0" borderId="0" xfId="4" quotePrefix="1" applyFont="1" applyAlignment="1">
      <alignment horizontal="left"/>
    </xf>
    <xf numFmtId="182" fontId="4" fillId="0" borderId="4" xfId="1" applyNumberFormat="1" applyFont="1" applyBorder="1" applyAlignment="1">
      <alignment vertical="center"/>
    </xf>
    <xf numFmtId="182" fontId="4" fillId="0" borderId="3" xfId="1" applyNumberFormat="1" applyFont="1" applyBorder="1" applyAlignment="1">
      <alignment vertical="center"/>
    </xf>
    <xf numFmtId="182" fontId="4" fillId="0" borderId="2" xfId="1" applyNumberFormat="1" applyFont="1" applyBorder="1" applyAlignment="1">
      <alignment vertical="center"/>
    </xf>
    <xf numFmtId="0" fontId="24" fillId="0" borderId="0" xfId="4" applyFont="1" applyAlignment="1">
      <alignment horizontal="center" vertical="center"/>
    </xf>
    <xf numFmtId="0" fontId="2" fillId="0" borderId="0" xfId="4" applyAlignment="1">
      <alignment vertical="center"/>
    </xf>
    <xf numFmtId="194" fontId="16" fillId="0" borderId="21" xfId="2" applyNumberFormat="1" applyFont="1" applyBorder="1" applyAlignment="1" applyProtection="1">
      <alignment horizontal="right"/>
    </xf>
    <xf numFmtId="194" fontId="16" fillId="0" borderId="18" xfId="2" applyNumberFormat="1" applyFont="1" applyBorder="1" applyAlignment="1" applyProtection="1">
      <alignment horizontal="right"/>
    </xf>
    <xf numFmtId="194" fontId="16" fillId="0" borderId="22" xfId="2" applyNumberFormat="1" applyFont="1" applyBorder="1" applyAlignment="1" applyProtection="1">
      <alignment horizontal="right"/>
    </xf>
    <xf numFmtId="194" fontId="16" fillId="0" borderId="29" xfId="4" applyNumberFormat="1" applyFont="1" applyBorder="1"/>
    <xf numFmtId="194" fontId="16" fillId="0" borderId="0" xfId="4" applyNumberFormat="1" applyFont="1"/>
    <xf numFmtId="194" fontId="16" fillId="0" borderId="30" xfId="4" applyNumberFormat="1" applyFont="1" applyBorder="1"/>
    <xf numFmtId="194" fontId="16" fillId="0" borderId="23" xfId="4" applyNumberFormat="1" applyFont="1" applyBorder="1"/>
    <xf numFmtId="194" fontId="16" fillId="0" borderId="24" xfId="4" applyNumberFormat="1" applyFont="1" applyBorder="1"/>
    <xf numFmtId="194" fontId="16" fillId="0" borderId="25" xfId="4" applyNumberFormat="1" applyFont="1" applyBorder="1"/>
    <xf numFmtId="0" fontId="2" fillId="0" borderId="0" xfId="4" applyAlignment="1">
      <alignment horizontal="center"/>
    </xf>
    <xf numFmtId="194" fontId="4" fillId="0" borderId="4" xfId="1" applyNumberFormat="1" applyFont="1" applyBorder="1" applyAlignment="1">
      <alignment vertical="center"/>
    </xf>
    <xf numFmtId="194" fontId="4" fillId="0" borderId="3" xfId="1" applyNumberFormat="1" applyFont="1" applyBorder="1" applyAlignment="1">
      <alignment vertical="center"/>
    </xf>
    <xf numFmtId="194" fontId="4" fillId="0" borderId="2" xfId="1" applyNumberFormat="1" applyFont="1" applyBorder="1" applyAlignment="1">
      <alignment vertical="center"/>
    </xf>
    <xf numFmtId="0" fontId="2" fillId="0" borderId="0" xfId="4" quotePrefix="1" applyAlignment="1">
      <alignment horizontal="left"/>
    </xf>
    <xf numFmtId="170" fontId="16" fillId="0" borderId="21" xfId="1" applyNumberFormat="1" applyFont="1" applyBorder="1"/>
    <xf numFmtId="170" fontId="16" fillId="0" borderId="18" xfId="1" applyNumberFormat="1" applyFont="1" applyBorder="1"/>
    <xf numFmtId="170" fontId="16" fillId="0" borderId="22" xfId="1" applyNumberFormat="1" applyFont="1" applyBorder="1"/>
    <xf numFmtId="170" fontId="16" fillId="0" borderId="29" xfId="1" applyNumberFormat="1" applyFont="1" applyBorder="1"/>
    <xf numFmtId="170" fontId="16" fillId="0" borderId="30" xfId="1" applyNumberFormat="1" applyFont="1" applyBorder="1"/>
    <xf numFmtId="170" fontId="16" fillId="0" borderId="23" xfId="1" applyNumberFormat="1" applyFont="1" applyBorder="1"/>
    <xf numFmtId="170" fontId="16" fillId="0" borderId="24" xfId="1" applyNumberFormat="1" applyFont="1" applyBorder="1"/>
    <xf numFmtId="170" fontId="16" fillId="0" borderId="25" xfId="1" applyNumberFormat="1" applyFont="1" applyBorder="1"/>
    <xf numFmtId="170" fontId="4" fillId="0" borderId="4" xfId="1" applyNumberFormat="1" applyFont="1" applyBorder="1" applyAlignment="1">
      <alignment vertical="center"/>
    </xf>
    <xf numFmtId="170" fontId="4" fillId="0" borderId="3" xfId="1" applyNumberFormat="1" applyFont="1" applyBorder="1" applyAlignment="1">
      <alignment vertical="center"/>
    </xf>
    <xf numFmtId="170" fontId="4" fillId="0" borderId="2" xfId="1" applyNumberFormat="1" applyFont="1" applyBorder="1" applyAlignment="1">
      <alignment vertical="center"/>
    </xf>
    <xf numFmtId="0" fontId="41" fillId="0" borderId="0" xfId="4" applyFont="1" applyAlignment="1">
      <alignment horizontal="left"/>
    </xf>
    <xf numFmtId="0" fontId="2" fillId="0" borderId="18" xfId="4" applyBorder="1"/>
    <xf numFmtId="0" fontId="2" fillId="0" borderId="18" xfId="4" applyBorder="1" applyAlignment="1">
      <alignment horizontal="center"/>
    </xf>
    <xf numFmtId="170" fontId="16" fillId="2" borderId="21" xfId="1" applyNumberFormat="1" applyFont="1" applyFill="1" applyBorder="1"/>
    <xf numFmtId="170" fontId="16" fillId="2" borderId="18" xfId="1" applyNumberFormat="1" applyFont="1" applyFill="1" applyBorder="1"/>
    <xf numFmtId="170" fontId="16" fillId="2" borderId="22" xfId="1" applyNumberFormat="1" applyFont="1" applyFill="1" applyBorder="1"/>
    <xf numFmtId="170" fontId="16" fillId="2" borderId="29" xfId="1" applyNumberFormat="1" applyFont="1" applyFill="1" applyBorder="1"/>
    <xf numFmtId="170" fontId="16" fillId="2" borderId="0" xfId="1" applyNumberFormat="1" applyFont="1" applyFill="1"/>
    <xf numFmtId="170" fontId="16" fillId="2" borderId="30" xfId="1" applyNumberFormat="1" applyFont="1" applyFill="1" applyBorder="1"/>
    <xf numFmtId="170" fontId="16" fillId="2" borderId="23" xfId="1" applyNumberFormat="1" applyFont="1" applyFill="1" applyBorder="1"/>
    <xf numFmtId="170" fontId="16" fillId="2" borderId="24" xfId="1" applyNumberFormat="1" applyFont="1" applyFill="1" applyBorder="1"/>
    <xf numFmtId="170" fontId="16" fillId="2" borderId="25" xfId="1" applyNumberFormat="1" applyFont="1" applyFill="1" applyBorder="1"/>
    <xf numFmtId="170" fontId="2" fillId="0" borderId="0" xfId="4" applyNumberFormat="1"/>
    <xf numFmtId="182" fontId="2" fillId="2" borderId="21" xfId="2" applyNumberFormat="1" applyFont="1" applyFill="1" applyBorder="1" applyProtection="1"/>
    <xf numFmtId="182" fontId="2" fillId="2" borderId="18" xfId="2" applyNumberFormat="1" applyFont="1" applyFill="1" applyBorder="1" applyProtection="1"/>
    <xf numFmtId="182" fontId="2" fillId="2" borderId="22" xfId="2" applyNumberFormat="1" applyFont="1" applyFill="1" applyBorder="1" applyProtection="1"/>
    <xf numFmtId="182" fontId="2" fillId="2" borderId="29" xfId="2" applyNumberFormat="1" applyFont="1" applyFill="1" applyBorder="1" applyProtection="1"/>
    <xf numFmtId="182" fontId="2" fillId="2" borderId="0" xfId="2" applyNumberFormat="1" applyFont="1" applyFill="1" applyBorder="1" applyProtection="1"/>
    <xf numFmtId="182" fontId="2" fillId="2" borderId="30" xfId="2" applyNumberFormat="1" applyFont="1" applyFill="1" applyBorder="1" applyProtection="1"/>
    <xf numFmtId="182" fontId="16" fillId="2" borderId="23" xfId="1" applyNumberFormat="1" applyFont="1" applyFill="1" applyBorder="1"/>
    <xf numFmtId="182" fontId="16" fillId="2" borderId="24" xfId="2" applyNumberFormat="1" applyFont="1" applyFill="1" applyBorder="1" applyProtection="1"/>
    <xf numFmtId="182" fontId="16" fillId="2" borderId="25" xfId="2" applyNumberFormat="1" applyFont="1" applyFill="1" applyBorder="1" applyProtection="1"/>
    <xf numFmtId="181" fontId="21" fillId="0" borderId="0" xfId="1" applyNumberFormat="1" applyFont="1"/>
    <xf numFmtId="0" fontId="4" fillId="0" borderId="0" xfId="4" applyFont="1" applyAlignment="1">
      <alignment horizontal="left"/>
    </xf>
    <xf numFmtId="182" fontId="21" fillId="0" borderId="4" xfId="1" applyNumberFormat="1" applyFont="1" applyBorder="1" applyAlignment="1">
      <alignment vertical="center"/>
    </xf>
    <xf numFmtId="182" fontId="21" fillId="0" borderId="3" xfId="1" applyNumberFormat="1" applyFont="1" applyBorder="1" applyAlignment="1">
      <alignment vertical="center"/>
    </xf>
    <xf numFmtId="182" fontId="21" fillId="0" borderId="2" xfId="1" applyNumberFormat="1" applyFont="1" applyBorder="1" applyAlignment="1">
      <alignment vertical="center"/>
    </xf>
    <xf numFmtId="0" fontId="6" fillId="0" borderId="0" xfId="4" quotePrefix="1" applyFont="1" applyAlignment="1">
      <alignment horizontal="right"/>
    </xf>
    <xf numFmtId="0" fontId="6" fillId="0" borderId="0" xfId="4" applyFont="1" applyAlignment="1">
      <alignment horizontal="right"/>
    </xf>
    <xf numFmtId="0" fontId="4" fillId="0" borderId="0" xfId="4" applyFont="1"/>
    <xf numFmtId="0" fontId="4" fillId="0" borderId="0" xfId="4" applyFont="1" applyAlignment="1">
      <alignment horizontal="center"/>
    </xf>
    <xf numFmtId="0" fontId="1" fillId="0" borderId="11" xfId="1" applyBorder="1"/>
    <xf numFmtId="0" fontId="4" fillId="0" borderId="1" xfId="4" applyFont="1" applyBorder="1"/>
    <xf numFmtId="0" fontId="4" fillId="0" borderId="1" xfId="4" applyFont="1" applyBorder="1" applyAlignment="1">
      <alignment horizontal="center"/>
    </xf>
    <xf numFmtId="0" fontId="4" fillId="0" borderId="10" xfId="4" applyFont="1" applyBorder="1"/>
    <xf numFmtId="0" fontId="1" fillId="0" borderId="9" xfId="1" applyBorder="1"/>
    <xf numFmtId="0" fontId="4" fillId="0" borderId="8" xfId="4" applyFont="1" applyBorder="1" applyAlignment="1">
      <alignment vertical="center"/>
    </xf>
    <xf numFmtId="0" fontId="4" fillId="0" borderId="1" xfId="4" applyFont="1" applyBorder="1" applyAlignment="1">
      <alignment horizontal="centerContinuous"/>
    </xf>
    <xf numFmtId="0" fontId="1" fillId="0" borderId="7" xfId="1" applyBorder="1"/>
    <xf numFmtId="0" fontId="2" fillId="0" borderId="6" xfId="4" applyBorder="1"/>
    <xf numFmtId="0" fontId="2" fillId="0" borderId="6" xfId="4" applyBorder="1" applyAlignment="1">
      <alignment horizontal="center"/>
    </xf>
    <xf numFmtId="0" fontId="2" fillId="0" borderId="5" xfId="4" applyBorder="1"/>
    <xf numFmtId="0" fontId="9" fillId="0" borderId="0" xfId="4" quotePrefix="1" applyFont="1" applyAlignment="1">
      <alignment horizontal="left"/>
    </xf>
    <xf numFmtId="0" fontId="9" fillId="0" borderId="0" xfId="4" quotePrefix="1" applyFont="1" applyAlignment="1">
      <alignment horizontal="center"/>
    </xf>
    <xf numFmtId="0" fontId="2" fillId="0" borderId="19" xfId="4" applyBorder="1"/>
    <xf numFmtId="0" fontId="2" fillId="0" borderId="19" xfId="4" applyBorder="1" applyAlignment="1">
      <alignment horizontal="center"/>
    </xf>
    <xf numFmtId="0" fontId="11" fillId="0" borderId="0" xfId="4" applyFont="1" applyAlignment="1">
      <alignment horizontal="centerContinuous"/>
    </xf>
    <xf numFmtId="0" fontId="42" fillId="0" borderId="0" xfId="4" applyFont="1" applyAlignment="1">
      <alignment horizontal="centerContinuous"/>
    </xf>
    <xf numFmtId="195" fontId="2" fillId="0" borderId="1" xfId="1" applyNumberFormat="1" applyFont="1" applyBorder="1" applyAlignment="1">
      <alignment horizontal="left"/>
    </xf>
    <xf numFmtId="181" fontId="2" fillId="0" borderId="11" xfId="1" applyNumberFormat="1" applyFont="1" applyBorder="1"/>
    <xf numFmtId="181" fontId="2" fillId="0" borderId="1" xfId="1" applyNumberFormat="1" applyFont="1" applyBorder="1"/>
    <xf numFmtId="181" fontId="2" fillId="0" borderId="10" xfId="1" applyNumberFormat="1" applyFont="1" applyBorder="1"/>
    <xf numFmtId="196" fontId="16" fillId="0" borderId="9" xfId="1" applyNumberFormat="1" applyFont="1" applyBorder="1"/>
    <xf numFmtId="0" fontId="2" fillId="0" borderId="8" xfId="1" quotePrefix="1" applyFont="1" applyBorder="1"/>
    <xf numFmtId="181" fontId="2" fillId="0" borderId="9" xfId="1" applyNumberFormat="1" applyFont="1" applyBorder="1"/>
    <xf numFmtId="181" fontId="4" fillId="0" borderId="8" xfId="1" applyNumberFormat="1" applyFont="1" applyBorder="1"/>
    <xf numFmtId="0" fontId="2" fillId="0" borderId="0" xfId="1" quotePrefix="1" applyFont="1"/>
    <xf numFmtId="0" fontId="2" fillId="0" borderId="8" xfId="1" quotePrefix="1" applyFont="1" applyBorder="1" applyAlignment="1">
      <alignment horizontal="center"/>
    </xf>
    <xf numFmtId="173" fontId="16" fillId="0" borderId="9" xfId="1" quotePrefix="1" applyNumberFormat="1" applyFont="1" applyBorder="1" applyAlignment="1">
      <alignment horizontal="right"/>
    </xf>
    <xf numFmtId="172" fontId="16" fillId="0" borderId="9" xfId="1" applyNumberFormat="1" applyFont="1" applyBorder="1" applyAlignment="1">
      <alignment horizontal="right" vertical="center"/>
    </xf>
    <xf numFmtId="176" fontId="2" fillId="0" borderId="9" xfId="1" applyNumberFormat="1" applyFont="1" applyBorder="1"/>
    <xf numFmtId="0" fontId="4" fillId="0" borderId="8" xfId="1" applyFont="1" applyBorder="1"/>
    <xf numFmtId="0" fontId="1" fillId="0" borderId="8" xfId="1" applyBorder="1"/>
    <xf numFmtId="173" fontId="35" fillId="0" borderId="9" xfId="1" quotePrefix="1" applyNumberFormat="1" applyFont="1" applyBorder="1" applyAlignment="1">
      <alignment horizontal="right"/>
    </xf>
    <xf numFmtId="173" fontId="16" fillId="0" borderId="0" xfId="1" quotePrefix="1" applyNumberFormat="1" applyFont="1" applyAlignment="1">
      <alignment horizontal="right"/>
    </xf>
    <xf numFmtId="173" fontId="2" fillId="0" borderId="9" xfId="1" quotePrefix="1" applyNumberFormat="1" applyFont="1" applyBorder="1" applyAlignment="1">
      <alignment horizontal="right"/>
    </xf>
    <xf numFmtId="196" fontId="43" fillId="0" borderId="9" xfId="1" applyNumberFormat="1" applyFont="1" applyBorder="1"/>
    <xf numFmtId="0" fontId="43" fillId="0" borderId="0" xfId="1" applyFont="1"/>
    <xf numFmtId="0" fontId="43" fillId="0" borderId="0" xfId="1" quotePrefix="1" applyFont="1"/>
    <xf numFmtId="173" fontId="43" fillId="0" borderId="9" xfId="1" quotePrefix="1" applyNumberFormat="1" applyFont="1" applyBorder="1" applyAlignment="1">
      <alignment horizontal="right"/>
    </xf>
    <xf numFmtId="179" fontId="16" fillId="0" borderId="9" xfId="1" quotePrefix="1" applyNumberFormat="1" applyFont="1" applyBorder="1" applyAlignment="1">
      <alignment horizontal="right"/>
    </xf>
    <xf numFmtId="0" fontId="2" fillId="0" borderId="11" xfId="1" applyFont="1" applyBorder="1"/>
    <xf numFmtId="0" fontId="1" fillId="0" borderId="1" xfId="1" applyBorder="1"/>
    <xf numFmtId="179" fontId="16" fillId="0" borderId="9" xfId="1" quotePrefix="1" applyNumberFormat="1" applyFont="1" applyBorder="1" applyAlignment="1">
      <alignment horizontal="center"/>
    </xf>
    <xf numFmtId="177" fontId="2" fillId="0" borderId="8" xfId="1" applyNumberFormat="1" applyFont="1" applyBorder="1"/>
    <xf numFmtId="197" fontId="16" fillId="0" borderId="9" xfId="1" applyNumberFormat="1" applyFont="1" applyBorder="1"/>
    <xf numFmtId="172" fontId="44" fillId="0" borderId="9" xfId="1" applyNumberFormat="1" applyFont="1" applyBorder="1" applyAlignment="1">
      <alignment horizontal="right" vertical="center"/>
    </xf>
    <xf numFmtId="176" fontId="16" fillId="0" borderId="9" xfId="1" applyNumberFormat="1" applyFont="1" applyBorder="1"/>
    <xf numFmtId="0" fontId="6" fillId="0" borderId="8" xfId="1" applyFont="1" applyBorder="1"/>
    <xf numFmtId="0" fontId="1" fillId="0" borderId="5" xfId="1" applyBorder="1"/>
    <xf numFmtId="0" fontId="2" fillId="3" borderId="4" xfId="1" applyFont="1" applyFill="1" applyBorder="1"/>
    <xf numFmtId="0" fontId="2" fillId="3" borderId="3" xfId="1" applyFont="1" applyFill="1" applyBorder="1"/>
    <xf numFmtId="0" fontId="2" fillId="3" borderId="3" xfId="1" quotePrefix="1" applyFont="1" applyFill="1" applyBorder="1" applyAlignment="1">
      <alignment horizontal="left"/>
    </xf>
    <xf numFmtId="0" fontId="4" fillId="3" borderId="2" xfId="1" applyFont="1" applyFill="1" applyBorder="1" applyAlignment="1">
      <alignment vertical="center"/>
    </xf>
    <xf numFmtId="0" fontId="2" fillId="3" borderId="4" xfId="1" applyFont="1" applyFill="1" applyBorder="1" applyAlignment="1">
      <alignment vertical="center"/>
    </xf>
    <xf numFmtId="0" fontId="2" fillId="3" borderId="3" xfId="1" applyFont="1" applyFill="1" applyBorder="1" applyAlignment="1">
      <alignment vertical="center"/>
    </xf>
    <xf numFmtId="0" fontId="45" fillId="0" borderId="19" xfId="1" applyFont="1" applyBorder="1"/>
    <xf numFmtId="0" fontId="45" fillId="0" borderId="0" xfId="1" applyFont="1" applyAlignment="1">
      <alignment horizontal="centerContinuous"/>
    </xf>
    <xf numFmtId="181" fontId="43" fillId="0" borderId="0" xfId="1" applyNumberFormat="1" applyFont="1"/>
    <xf numFmtId="182" fontId="16" fillId="0" borderId="0" xfId="1" applyNumberFormat="1" applyFont="1"/>
    <xf numFmtId="181" fontId="43" fillId="0" borderId="1" xfId="1" applyNumberFormat="1" applyFont="1" applyBorder="1"/>
    <xf numFmtId="172" fontId="16" fillId="0" borderId="0" xfId="1" applyNumberFormat="1" applyFont="1" applyAlignment="1">
      <alignment horizontal="right" vertical="center"/>
    </xf>
    <xf numFmtId="0" fontId="4" fillId="3" borderId="4" xfId="1" applyFont="1" applyFill="1" applyBorder="1"/>
    <xf numFmtId="0" fontId="4" fillId="3" borderId="3" xfId="1" applyFont="1" applyFill="1" applyBorder="1"/>
    <xf numFmtId="0" fontId="9" fillId="3" borderId="2" xfId="1" applyFont="1" applyFill="1" applyBorder="1"/>
    <xf numFmtId="182" fontId="16" fillId="0" borderId="9" xfId="1" applyNumberFormat="1" applyFont="1" applyBorder="1"/>
    <xf numFmtId="0" fontId="46" fillId="0" borderId="0" xfId="1" applyFont="1"/>
    <xf numFmtId="0" fontId="47" fillId="0" borderId="0" xfId="1" applyFont="1"/>
    <xf numFmtId="0" fontId="48" fillId="0" borderId="0" xfId="1" applyFont="1"/>
    <xf numFmtId="172" fontId="4" fillId="0" borderId="9" xfId="1" applyNumberFormat="1" applyFont="1" applyBorder="1"/>
    <xf numFmtId="182" fontId="16" fillId="0" borderId="11" xfId="1" applyNumberFormat="1" applyFont="1" applyBorder="1"/>
    <xf numFmtId="182" fontId="16" fillId="0" borderId="1" xfId="1" applyNumberFormat="1" applyFont="1" applyBorder="1"/>
    <xf numFmtId="182" fontId="2" fillId="0" borderId="0" xfId="1" applyNumberFormat="1" applyFont="1"/>
    <xf numFmtId="0" fontId="2" fillId="0" borderId="8" xfId="1" quotePrefix="1" applyFont="1" applyBorder="1" applyAlignment="1">
      <alignment horizontal="left"/>
    </xf>
    <xf numFmtId="0" fontId="33" fillId="0" borderId="0" xfId="1" applyFont="1" applyAlignment="1">
      <alignment horizontal="left"/>
    </xf>
    <xf numFmtId="0" fontId="2" fillId="0" borderId="0" xfId="1" applyFont="1" applyAlignment="1">
      <alignment horizontal="center" vertical="center"/>
    </xf>
    <xf numFmtId="195" fontId="2" fillId="0" borderId="0" xfId="1" applyNumberFormat="1" applyFont="1" applyAlignment="1">
      <alignment horizontal="left"/>
    </xf>
    <xf numFmtId="170" fontId="16" fillId="2" borderId="1" xfId="1" quotePrefix="1" applyNumberFormat="1" applyFont="1" applyFill="1" applyBorder="1"/>
    <xf numFmtId="198" fontId="16" fillId="0" borderId="0" xfId="1" applyNumberFormat="1" applyFont="1"/>
    <xf numFmtId="0" fontId="2" fillId="0" borderId="8" xfId="1" applyFont="1" applyBorder="1" applyAlignment="1">
      <alignment horizontal="left" vertical="center"/>
    </xf>
    <xf numFmtId="198" fontId="16" fillId="2" borderId="0" xfId="1" applyNumberFormat="1" applyFont="1" applyFill="1"/>
    <xf numFmtId="39" fontId="16" fillId="0" borderId="11" xfId="1" applyNumberFormat="1" applyFont="1" applyBorder="1" applyAlignment="1">
      <alignment horizontal="right"/>
    </xf>
    <xf numFmtId="37" fontId="16" fillId="0" borderId="1" xfId="1" applyNumberFormat="1" applyFont="1" applyBorder="1" applyAlignment="1">
      <alignment horizontal="right"/>
    </xf>
    <xf numFmtId="166" fontId="16" fillId="0" borderId="9" xfId="1" applyNumberFormat="1" applyFont="1" applyBorder="1" applyAlignment="1">
      <alignment horizontal="right"/>
    </xf>
    <xf numFmtId="37" fontId="16" fillId="0" borderId="0" xfId="1" applyNumberFormat="1" applyFont="1" applyAlignment="1">
      <alignment horizontal="right"/>
    </xf>
    <xf numFmtId="14" fontId="2" fillId="0" borderId="0" xfId="1" applyNumberFormat="1" applyFont="1" applyAlignment="1">
      <alignment horizontal="left"/>
    </xf>
    <xf numFmtId="199" fontId="16" fillId="0" borderId="11" xfId="1" applyNumberFormat="1" applyFont="1" applyBorder="1" applyAlignment="1">
      <alignment horizontal="right"/>
    </xf>
    <xf numFmtId="200" fontId="2" fillId="0" borderId="10" xfId="1" quotePrefix="1" applyNumberFormat="1" applyFont="1" applyBorder="1" applyAlignment="1">
      <alignment horizontal="left"/>
    </xf>
    <xf numFmtId="199" fontId="16" fillId="0" borderId="9" xfId="1" applyNumberFormat="1" applyFont="1" applyBorder="1" applyAlignment="1">
      <alignment horizontal="right"/>
    </xf>
    <xf numFmtId="200" fontId="2" fillId="0" borderId="8" xfId="1" quotePrefix="1" applyNumberFormat="1" applyFont="1" applyBorder="1" applyAlignment="1">
      <alignment horizontal="left"/>
    </xf>
    <xf numFmtId="0" fontId="16" fillId="0" borderId="7" xfId="1" applyFont="1" applyBorder="1" applyAlignment="1">
      <alignment horizontal="right"/>
    </xf>
    <xf numFmtId="0" fontId="2" fillId="0" borderId="5" xfId="1" quotePrefix="1" applyFont="1" applyBorder="1" applyAlignment="1">
      <alignment horizontal="left"/>
    </xf>
    <xf numFmtId="0" fontId="6" fillId="0" borderId="6" xfId="1" applyFont="1" applyBorder="1"/>
    <xf numFmtId="0" fontId="2" fillId="0" borderId="6" xfId="1" quotePrefix="1" applyFont="1" applyBorder="1" applyAlignment="1">
      <alignment horizontal="left"/>
    </xf>
    <xf numFmtId="0" fontId="6" fillId="0" borderId="5" xfId="1" applyFont="1" applyBorder="1" applyAlignment="1">
      <alignment vertical="center"/>
    </xf>
    <xf numFmtId="172" fontId="16" fillId="0" borderId="11" xfId="1" applyNumberFormat="1" applyFont="1" applyBorder="1" applyAlignment="1">
      <alignment horizontal="right"/>
    </xf>
    <xf numFmtId="0" fontId="2" fillId="0" borderId="10" xfId="1" quotePrefix="1" applyFont="1" applyBorder="1" applyAlignment="1">
      <alignment horizontal="left"/>
    </xf>
    <xf numFmtId="0" fontId="2" fillId="0" borderId="11" xfId="1" applyFont="1" applyBorder="1" applyAlignment="1">
      <alignment horizontal="centerContinuous"/>
    </xf>
    <xf numFmtId="201" fontId="16" fillId="0" borderId="1" xfId="1" quotePrefix="1" applyNumberFormat="1" applyFont="1" applyBorder="1" applyAlignment="1">
      <alignment horizontal="centerContinuous"/>
    </xf>
    <xf numFmtId="0" fontId="16" fillId="0" borderId="10" xfId="1" applyFont="1" applyBorder="1" applyAlignment="1">
      <alignment horizontal="left"/>
    </xf>
    <xf numFmtId="172" fontId="16" fillId="0" borderId="9" xfId="1" applyNumberFormat="1" applyFont="1" applyBorder="1" applyAlignment="1">
      <alignment horizontal="right"/>
    </xf>
    <xf numFmtId="0" fontId="2" fillId="0" borderId="9" xfId="1" applyFont="1" applyBorder="1" applyAlignment="1">
      <alignment horizontal="centerContinuous"/>
    </xf>
    <xf numFmtId="201" fontId="16" fillId="0" borderId="0" xfId="1" quotePrefix="1" applyNumberFormat="1" applyFont="1" applyAlignment="1">
      <alignment horizontal="centerContinuous"/>
    </xf>
    <xf numFmtId="0" fontId="16" fillId="0" borderId="8" xfId="1" applyFont="1" applyBorder="1"/>
    <xf numFmtId="0" fontId="46" fillId="0" borderId="0" xfId="1" applyFont="1" applyAlignment="1">
      <alignment vertical="center"/>
    </xf>
    <xf numFmtId="170" fontId="16" fillId="0" borderId="9" xfId="1" quotePrefix="1" applyNumberFormat="1" applyFont="1" applyBorder="1" applyAlignment="1">
      <alignment horizontal="right"/>
    </xf>
    <xf numFmtId="0" fontId="4" fillId="0" borderId="0" xfId="1" applyFont="1" applyAlignment="1">
      <alignment horizontal="left" vertical="center"/>
    </xf>
    <xf numFmtId="0" fontId="30" fillId="0" borderId="9" xfId="1" applyFont="1" applyBorder="1" applyAlignment="1">
      <alignment horizontal="centerContinuous" vertical="center"/>
    </xf>
    <xf numFmtId="0" fontId="6" fillId="0" borderId="0" xfId="1" applyFont="1" applyAlignment="1">
      <alignment horizontal="centerContinuous" vertical="center"/>
    </xf>
    <xf numFmtId="0" fontId="30" fillId="0" borderId="0" xfId="1" applyFont="1" applyAlignment="1">
      <alignment horizontal="centerContinuous" vertical="center"/>
    </xf>
    <xf numFmtId="0" fontId="30" fillId="0" borderId="0" xfId="1" applyFont="1" applyAlignment="1">
      <alignment vertical="center"/>
    </xf>
    <xf numFmtId="0" fontId="6" fillId="0" borderId="8" xfId="1" applyFont="1" applyBorder="1" applyAlignment="1">
      <alignment vertical="center"/>
    </xf>
    <xf numFmtId="0" fontId="2" fillId="0" borderId="8" xfId="1" applyFont="1" applyBorder="1" applyAlignment="1">
      <alignment horizontal="center" vertical="center"/>
    </xf>
    <xf numFmtId="0" fontId="4" fillId="3" borderId="2" xfId="1" applyFont="1" applyFill="1" applyBorder="1" applyAlignment="1">
      <alignment horizontal="left" vertical="center"/>
    </xf>
    <xf numFmtId="0" fontId="2" fillId="3" borderId="3" xfId="1" quotePrefix="1" applyFont="1" applyFill="1" applyBorder="1" applyAlignment="1">
      <alignment horizontal="left" vertical="center"/>
    </xf>
    <xf numFmtId="0" fontId="2" fillId="0" borderId="1" xfId="1" applyFont="1" applyBorder="1" applyAlignment="1">
      <alignment horizontal="left"/>
    </xf>
    <xf numFmtId="0" fontId="2" fillId="0" borderId="10" xfId="1" applyFont="1" applyBorder="1" applyAlignment="1">
      <alignment horizontal="center" vertical="center"/>
    </xf>
    <xf numFmtId="174" fontId="16" fillId="0" borderId="9" xfId="1" applyNumberFormat="1" applyFont="1" applyBorder="1" applyAlignment="1">
      <alignment horizontal="right"/>
    </xf>
    <xf numFmtId="37" fontId="16" fillId="0" borderId="9" xfId="1" applyNumberFormat="1" applyFont="1" applyBorder="1" applyAlignment="1">
      <alignment horizontal="right"/>
    </xf>
    <xf numFmtId="0" fontId="16" fillId="0" borderId="0" xfId="1" applyFont="1" applyAlignment="1">
      <alignment horizontal="left"/>
    </xf>
    <xf numFmtId="172" fontId="2" fillId="0" borderId="11" xfId="1" applyNumberFormat="1" applyFont="1" applyBorder="1"/>
    <xf numFmtId="172" fontId="4" fillId="0" borderId="27" xfId="1" applyNumberFormat="1" applyFont="1" applyBorder="1"/>
    <xf numFmtId="169" fontId="4" fillId="0" borderId="0" xfId="1" applyNumberFormat="1" applyFont="1" applyAlignment="1">
      <alignment horizontal="center"/>
    </xf>
    <xf numFmtId="170" fontId="4" fillId="0" borderId="0" xfId="1" applyNumberFormat="1" applyFont="1"/>
    <xf numFmtId="172" fontId="16" fillId="0" borderId="9" xfId="1" applyNumberFormat="1" applyFont="1" applyBorder="1"/>
    <xf numFmtId="169" fontId="2" fillId="0" borderId="1" xfId="1" applyNumberFormat="1" applyFont="1" applyBorder="1" applyAlignment="1">
      <alignment horizontal="center"/>
    </xf>
    <xf numFmtId="170" fontId="2" fillId="0" borderId="1" xfId="1" applyNumberFormat="1" applyFont="1" applyBorder="1"/>
    <xf numFmtId="172" fontId="2" fillId="0" borderId="1" xfId="1" applyNumberFormat="1" applyFont="1" applyBorder="1"/>
    <xf numFmtId="169" fontId="2" fillId="0" borderId="0" xfId="1" applyNumberFormat="1" applyFont="1" applyAlignment="1">
      <alignment horizontal="center"/>
    </xf>
    <xf numFmtId="0" fontId="49" fillId="0" borderId="0" xfId="1" applyFont="1" applyAlignment="1">
      <alignment horizontal="center" vertical="center"/>
    </xf>
    <xf numFmtId="0" fontId="4" fillId="0" borderId="1" xfId="1" applyFont="1" applyBorder="1" applyAlignment="1">
      <alignment horizontal="center"/>
    </xf>
    <xf numFmtId="0" fontId="4" fillId="0" borderId="0" xfId="1" applyFont="1" applyAlignment="1">
      <alignment horizontal="center"/>
    </xf>
    <xf numFmtId="174" fontId="2" fillId="0" borderId="9" xfId="1" applyNumberFormat="1" applyFont="1" applyBorder="1" applyAlignment="1">
      <alignment horizontal="right" vertical="center"/>
    </xf>
    <xf numFmtId="172" fontId="16" fillId="0" borderId="11" xfId="1" applyNumberFormat="1" applyFont="1" applyBorder="1" applyAlignment="1">
      <alignment horizontal="right" vertical="center"/>
    </xf>
    <xf numFmtId="176" fontId="4" fillId="0" borderId="0" xfId="1" applyNumberFormat="1" applyFont="1"/>
    <xf numFmtId="10" fontId="16" fillId="0" borderId="0" xfId="1" applyNumberFormat="1" applyFont="1"/>
    <xf numFmtId="172" fontId="2" fillId="0" borderId="1" xfId="1" applyNumberFormat="1" applyFont="1" applyBorder="1" applyAlignment="1">
      <alignment horizontal="right" vertical="center"/>
    </xf>
    <xf numFmtId="176" fontId="16" fillId="0" borderId="1" xfId="1" applyNumberFormat="1" applyFont="1" applyBorder="1" applyAlignment="1">
      <alignment vertical="center"/>
    </xf>
    <xf numFmtId="172" fontId="2" fillId="0" borderId="9" xfId="1" applyNumberFormat="1" applyFont="1" applyBorder="1" applyAlignment="1">
      <alignment horizontal="right" vertical="center"/>
    </xf>
    <xf numFmtId="172" fontId="2" fillId="0" borderId="0" xfId="1" applyNumberFormat="1" applyFont="1" applyAlignment="1">
      <alignment horizontal="right" vertical="center"/>
    </xf>
    <xf numFmtId="176" fontId="16" fillId="0" borderId="0" xfId="1" applyNumberFormat="1" applyFont="1" applyAlignment="1">
      <alignment vertical="center"/>
    </xf>
    <xf numFmtId="202" fontId="16" fillId="0" borderId="0" xfId="1" applyNumberFormat="1" applyFont="1" applyAlignment="1">
      <alignment horizontal="right"/>
    </xf>
    <xf numFmtId="170" fontId="35" fillId="0" borderId="0" xfId="1" applyNumberFormat="1" applyFont="1"/>
    <xf numFmtId="172" fontId="35" fillId="0" borderId="0" xfId="1" applyNumberFormat="1" applyFont="1" applyAlignment="1">
      <alignment horizontal="right" vertical="center"/>
    </xf>
    <xf numFmtId="203" fontId="16" fillId="0" borderId="0" xfId="1" applyNumberFormat="1" applyFont="1" applyAlignment="1">
      <alignment horizontal="right"/>
    </xf>
    <xf numFmtId="177" fontId="16" fillId="0" borderId="0" xfId="1" applyNumberFormat="1" applyFont="1" applyAlignment="1">
      <alignment vertical="center"/>
    </xf>
    <xf numFmtId="0" fontId="49" fillId="0" borderId="9" xfId="1" applyFont="1" applyBorder="1" applyAlignment="1">
      <alignment horizontal="center" vertical="center"/>
    </xf>
    <xf numFmtId="0" fontId="50" fillId="0" borderId="0" xfId="1" applyFont="1" applyAlignment="1">
      <alignment horizontal="center"/>
    </xf>
    <xf numFmtId="0" fontId="4" fillId="0" borderId="9" xfId="1" applyFont="1" applyBorder="1" applyAlignment="1">
      <alignment horizontal="center"/>
    </xf>
    <xf numFmtId="0" fontId="4" fillId="0" borderId="11" xfId="1" applyFont="1" applyBorder="1" applyAlignment="1">
      <alignment horizontal="center"/>
    </xf>
    <xf numFmtId="0" fontId="46" fillId="0" borderId="0" xfId="1" quotePrefix="1" applyFont="1" applyAlignment="1">
      <alignment horizontal="left"/>
    </xf>
    <xf numFmtId="0" fontId="46" fillId="0" borderId="0" xfId="1" applyFont="1" applyAlignment="1">
      <alignment horizontal="center" vertical="center"/>
    </xf>
    <xf numFmtId="0" fontId="46" fillId="0" borderId="10" xfId="1" quotePrefix="1" applyFont="1" applyBorder="1" applyAlignment="1">
      <alignment horizontal="left"/>
    </xf>
    <xf numFmtId="0" fontId="46" fillId="0" borderId="1" xfId="1" quotePrefix="1" applyFont="1" applyBorder="1" applyAlignment="1">
      <alignment horizontal="left"/>
    </xf>
    <xf numFmtId="0" fontId="46" fillId="0" borderId="10" xfId="1" applyFont="1" applyBorder="1" applyAlignment="1">
      <alignment horizontal="center" vertical="center"/>
    </xf>
    <xf numFmtId="178" fontId="2" fillId="0" borderId="8" xfId="1" quotePrefix="1" applyNumberFormat="1" applyFont="1" applyBorder="1" applyAlignment="1">
      <alignment horizontal="left"/>
    </xf>
    <xf numFmtId="0" fontId="2" fillId="0" borderId="9" xfId="1" applyFont="1" applyBorder="1" applyAlignment="1">
      <alignment vertical="center"/>
    </xf>
    <xf numFmtId="172" fontId="4" fillId="0" borderId="0" xfId="1" applyNumberFormat="1" applyFont="1" applyAlignment="1">
      <alignment horizontal="right" vertical="center"/>
    </xf>
    <xf numFmtId="172" fontId="4" fillId="0" borderId="20" xfId="1" applyNumberFormat="1" applyFont="1" applyBorder="1" applyAlignment="1">
      <alignment horizontal="right" vertical="center"/>
    </xf>
    <xf numFmtId="0" fontId="46" fillId="0" borderId="8" xfId="1" applyFont="1" applyBorder="1" applyAlignment="1">
      <alignment horizontal="center" vertical="center"/>
    </xf>
    <xf numFmtId="0" fontId="2" fillId="0" borderId="0" xfId="1" applyFont="1" applyAlignment="1">
      <alignment horizontal="left" vertical="center"/>
    </xf>
    <xf numFmtId="170" fontId="4" fillId="0" borderId="1" xfId="1" applyNumberFormat="1" applyFont="1" applyBorder="1" applyAlignment="1">
      <alignment horizontal="center" vertical="center"/>
    </xf>
    <xf numFmtId="0" fontId="4" fillId="0" borderId="1" xfId="1" applyFont="1" applyBorder="1" applyAlignment="1">
      <alignment horizontal="center" vertical="center"/>
    </xf>
    <xf numFmtId="1" fontId="2" fillId="0" borderId="8" xfId="1" quotePrefix="1" applyNumberFormat="1" applyFont="1" applyBorder="1" applyAlignment="1">
      <alignment horizontal="left" vertical="center"/>
    </xf>
    <xf numFmtId="0" fontId="2" fillId="2" borderId="0" xfId="1" applyFont="1" applyFill="1" applyAlignment="1">
      <alignment vertical="center"/>
    </xf>
    <xf numFmtId="0" fontId="47" fillId="0" borderId="8" xfId="1" applyFont="1" applyBorder="1" applyAlignment="1">
      <alignment vertical="center"/>
    </xf>
    <xf numFmtId="0" fontId="43" fillId="3" borderId="4" xfId="1" applyFont="1" applyFill="1" applyBorder="1"/>
    <xf numFmtId="0" fontId="43" fillId="3" borderId="3" xfId="1" applyFont="1" applyFill="1" applyBorder="1"/>
    <xf numFmtId="0" fontId="51" fillId="0" borderId="0" xfId="1" applyFont="1" applyAlignment="1">
      <alignment horizontal="centerContinuous"/>
    </xf>
    <xf numFmtId="164" fontId="35" fillId="4" borderId="0" xfId="1" applyNumberFormat="1" applyFont="1" applyFill="1" applyAlignment="1">
      <alignment horizontal="right"/>
    </xf>
    <xf numFmtId="174" fontId="2" fillId="4" borderId="0" xfId="1" applyNumberFormat="1" applyFont="1" applyFill="1"/>
    <xf numFmtId="172" fontId="9" fillId="4" borderId="0" xfId="1" applyNumberFormat="1" applyFont="1" applyFill="1" applyAlignment="1">
      <alignment vertical="center"/>
    </xf>
    <xf numFmtId="174" fontId="2" fillId="4" borderId="9" xfId="1" applyNumberFormat="1" applyFont="1" applyFill="1" applyBorder="1"/>
    <xf numFmtId="174" fontId="2" fillId="4" borderId="1" xfId="1" applyNumberFormat="1" applyFont="1" applyFill="1" applyBorder="1"/>
    <xf numFmtId="174" fontId="2" fillId="4" borderId="1" xfId="2" applyNumberFormat="1" applyFont="1" applyFill="1" applyBorder="1" applyProtection="1"/>
    <xf numFmtId="179" fontId="2" fillId="4" borderId="0" xfId="1" applyNumberFormat="1" applyFont="1" applyFill="1"/>
    <xf numFmtId="172" fontId="4" fillId="4" borderId="20" xfId="2" applyNumberFormat="1" applyFont="1" applyFill="1" applyBorder="1" applyProtection="1"/>
    <xf numFmtId="182" fontId="2" fillId="4" borderId="0" xfId="2" applyNumberFormat="1" applyFont="1" applyFill="1" applyProtection="1"/>
    <xf numFmtId="182" fontId="2" fillId="0" borderId="0" xfId="2" applyNumberFormat="1" applyFont="1" applyFill="1" applyProtection="1"/>
    <xf numFmtId="172" fontId="4" fillId="4" borderId="20" xfId="1" applyNumberFormat="1" applyFont="1" applyFill="1" applyBorder="1" applyAlignment="1">
      <alignment vertical="center"/>
    </xf>
    <xf numFmtId="174" fontId="2" fillId="4" borderId="0" xfId="2" applyNumberFormat="1" applyFont="1" applyFill="1" applyBorder="1" applyProtection="1"/>
    <xf numFmtId="174" fontId="2" fillId="4" borderId="0" xfId="2" applyNumberFormat="1" applyFont="1" applyFill="1" applyProtection="1"/>
    <xf numFmtId="174" fontId="4" fillId="4" borderId="20" xfId="2" applyNumberFormat="1" applyFont="1" applyFill="1" applyBorder="1" applyProtection="1"/>
    <xf numFmtId="180" fontId="4" fillId="4" borderId="3" xfId="2" applyNumberFormat="1" applyFont="1" applyFill="1" applyBorder="1" applyProtection="1"/>
    <xf numFmtId="170" fontId="4" fillId="4" borderId="4" xfId="1" applyNumberFormat="1" applyFont="1" applyFill="1" applyBorder="1" applyAlignment="1">
      <alignment vertical="center"/>
    </xf>
    <xf numFmtId="170" fontId="4" fillId="4" borderId="3" xfId="1" applyNumberFormat="1" applyFont="1" applyFill="1" applyBorder="1" applyAlignment="1">
      <alignment vertical="center"/>
    </xf>
    <xf numFmtId="170" fontId="4" fillId="4" borderId="2" xfId="1" applyNumberFormat="1" applyFont="1" applyFill="1" applyBorder="1" applyAlignment="1">
      <alignment vertical="center"/>
    </xf>
    <xf numFmtId="182" fontId="2" fillId="4" borderId="9" xfId="1" applyNumberFormat="1" applyFont="1" applyFill="1" applyBorder="1"/>
    <xf numFmtId="182" fontId="2" fillId="4" borderId="0" xfId="1" applyNumberFormat="1" applyFont="1" applyFill="1"/>
    <xf numFmtId="172" fontId="2" fillId="4" borderId="11" xfId="1" applyNumberFormat="1" applyFont="1" applyFill="1" applyBorder="1"/>
    <xf numFmtId="172" fontId="2" fillId="4" borderId="0" xfId="1" applyNumberFormat="1" applyFont="1" applyFill="1" applyAlignment="1">
      <alignment horizontal="right" vertical="center"/>
    </xf>
    <xf numFmtId="0" fontId="1" fillId="0" borderId="0" xfId="1" applyAlignment="1">
      <alignment horizontal="left"/>
    </xf>
    <xf numFmtId="2" fontId="2" fillId="5" borderId="0" xfId="1" quotePrefix="1" applyNumberFormat="1" applyFont="1" applyFill="1" applyAlignment="1">
      <alignment horizontal="left" vertical="center"/>
    </xf>
    <xf numFmtId="198" fontId="16" fillId="5" borderId="0" xfId="1" applyNumberFormat="1" applyFont="1" applyFill="1"/>
    <xf numFmtId="170" fontId="16" fillId="5" borderId="1" xfId="1" quotePrefix="1" applyNumberFormat="1" applyFont="1" applyFill="1" applyBorder="1"/>
    <xf numFmtId="0" fontId="4" fillId="6" borderId="3" xfId="1" applyFont="1" applyFill="1" applyBorder="1"/>
    <xf numFmtId="0" fontId="4" fillId="6" borderId="4" xfId="1" applyFont="1" applyFill="1" applyBorder="1"/>
    <xf numFmtId="182" fontId="16" fillId="5" borderId="25" xfId="2" applyNumberFormat="1" applyFont="1" applyFill="1" applyBorder="1" applyProtection="1"/>
    <xf numFmtId="182" fontId="16" fillId="5" borderId="24" xfId="2" applyNumberFormat="1" applyFont="1" applyFill="1" applyBorder="1" applyProtection="1"/>
    <xf numFmtId="182" fontId="16" fillId="5" borderId="23" xfId="1" applyNumberFormat="1" applyFont="1" applyFill="1" applyBorder="1"/>
    <xf numFmtId="182" fontId="2" fillId="5" borderId="30" xfId="2" applyNumberFormat="1" applyFont="1" applyFill="1" applyBorder="1" applyProtection="1"/>
    <xf numFmtId="182" fontId="2" fillId="5" borderId="22" xfId="2" applyNumberFormat="1" applyFont="1" applyFill="1" applyBorder="1" applyProtection="1"/>
    <xf numFmtId="182" fontId="2" fillId="5" borderId="0" xfId="2" applyNumberFormat="1" applyFont="1" applyFill="1" applyBorder="1" applyProtection="1"/>
    <xf numFmtId="182" fontId="2" fillId="5" borderId="29" xfId="2" applyNumberFormat="1" applyFont="1" applyFill="1" applyBorder="1" applyProtection="1"/>
    <xf numFmtId="182" fontId="2" fillId="5" borderId="18" xfId="2" applyNumberFormat="1" applyFont="1" applyFill="1" applyBorder="1" applyProtection="1"/>
    <xf numFmtId="182" fontId="2" fillId="5" borderId="21" xfId="2" applyNumberFormat="1" applyFont="1" applyFill="1" applyBorder="1" applyProtection="1"/>
    <xf numFmtId="170" fontId="16" fillId="5" borderId="25" xfId="1" applyNumberFormat="1" applyFont="1" applyFill="1" applyBorder="1"/>
    <xf numFmtId="170" fontId="16" fillId="5" borderId="24" xfId="1" applyNumberFormat="1" applyFont="1" applyFill="1" applyBorder="1"/>
    <xf numFmtId="170" fontId="16" fillId="5" borderId="23" xfId="1" applyNumberFormat="1" applyFont="1" applyFill="1" applyBorder="1"/>
    <xf numFmtId="170" fontId="16" fillId="5" borderId="30" xfId="1" applyNumberFormat="1" applyFont="1" applyFill="1" applyBorder="1"/>
    <xf numFmtId="170" fontId="16" fillId="5" borderId="0" xfId="1" applyNumberFormat="1" applyFont="1" applyFill="1"/>
    <xf numFmtId="170" fontId="16" fillId="5" borderId="29" xfId="1" applyNumberFormat="1" applyFont="1" applyFill="1" applyBorder="1"/>
    <xf numFmtId="170" fontId="16" fillId="5" borderId="22" xfId="1" applyNumberFormat="1" applyFont="1" applyFill="1" applyBorder="1"/>
    <xf numFmtId="170" fontId="16" fillId="5" borderId="18" xfId="1" applyNumberFormat="1" applyFont="1" applyFill="1" applyBorder="1"/>
    <xf numFmtId="170" fontId="16" fillId="5" borderId="21" xfId="1" applyNumberFormat="1" applyFont="1" applyFill="1" applyBorder="1"/>
    <xf numFmtId="194" fontId="16" fillId="0" borderId="22" xfId="2" applyNumberFormat="1" applyFont="1" applyFill="1" applyBorder="1" applyAlignment="1" applyProtection="1">
      <alignment horizontal="right"/>
    </xf>
    <xf numFmtId="194" fontId="16" fillId="0" borderId="18" xfId="2" applyNumberFormat="1" applyFont="1" applyFill="1" applyBorder="1" applyAlignment="1" applyProtection="1">
      <alignment horizontal="right"/>
    </xf>
    <xf numFmtId="194" fontId="16" fillId="0" borderId="21" xfId="2" applyNumberFormat="1" applyFont="1" applyFill="1" applyBorder="1" applyAlignment="1" applyProtection="1">
      <alignment horizontal="right"/>
    </xf>
    <xf numFmtId="182" fontId="16" fillId="0" borderId="22" xfId="2" applyNumberFormat="1" applyFont="1" applyFill="1" applyBorder="1" applyAlignment="1">
      <alignment horizontal="right"/>
    </xf>
    <xf numFmtId="182" fontId="16" fillId="0" borderId="18" xfId="2" applyNumberFormat="1" applyFont="1" applyFill="1" applyBorder="1" applyAlignment="1">
      <alignment horizontal="right"/>
    </xf>
    <xf numFmtId="182" fontId="16" fillId="0" borderId="21" xfId="2" applyNumberFormat="1" applyFont="1" applyFill="1" applyBorder="1" applyAlignment="1">
      <alignment horizontal="right"/>
    </xf>
    <xf numFmtId="180" fontId="16" fillId="0" borderId="0" xfId="2" applyNumberFormat="1" applyFont="1" applyFill="1" applyBorder="1" applyProtection="1"/>
    <xf numFmtId="180" fontId="16" fillId="0" borderId="1" xfId="2" applyNumberFormat="1" applyFont="1" applyFill="1" applyBorder="1" applyProtection="1"/>
    <xf numFmtId="180" fontId="2" fillId="0" borderId="1" xfId="2" applyNumberFormat="1" applyFont="1" applyFill="1" applyBorder="1" applyProtection="1"/>
    <xf numFmtId="180" fontId="4" fillId="0" borderId="0" xfId="2" applyNumberFormat="1" applyFont="1" applyFill="1" applyProtection="1"/>
    <xf numFmtId="180" fontId="16" fillId="0" borderId="0" xfId="2" applyNumberFormat="1" applyFont="1" applyFill="1" applyProtection="1"/>
    <xf numFmtId="180" fontId="4" fillId="0" borderId="3" xfId="2" applyNumberFormat="1" applyFont="1" applyFill="1" applyBorder="1" applyProtection="1"/>
    <xf numFmtId="180" fontId="24" fillId="0" borderId="3" xfId="2" applyNumberFormat="1" applyFont="1" applyFill="1" applyBorder="1" applyProtection="1"/>
    <xf numFmtId="174" fontId="4" fillId="0" borderId="20" xfId="2" applyNumberFormat="1" applyFont="1" applyFill="1" applyBorder="1" applyProtection="1"/>
    <xf numFmtId="168" fontId="2" fillId="0" borderId="29" xfId="2" applyFont="1" applyFill="1" applyBorder="1" applyProtection="1"/>
    <xf numFmtId="174" fontId="2" fillId="0" borderId="18" xfId="2" applyNumberFormat="1" applyFont="1" applyFill="1" applyBorder="1" applyProtection="1"/>
    <xf numFmtId="174" fontId="2" fillId="0" borderId="21" xfId="2" applyNumberFormat="1" applyFont="1" applyFill="1" applyBorder="1" applyProtection="1"/>
    <xf numFmtId="174" fontId="35" fillId="0" borderId="0" xfId="2" applyNumberFormat="1" applyFont="1" applyFill="1" applyBorder="1" applyProtection="1"/>
    <xf numFmtId="174" fontId="16" fillId="0" borderId="1" xfId="2" applyNumberFormat="1" applyFont="1" applyFill="1" applyBorder="1" applyProtection="1"/>
    <xf numFmtId="174" fontId="2" fillId="0" borderId="24" xfId="2" applyNumberFormat="1" applyFont="1" applyFill="1" applyBorder="1" applyAlignment="1" applyProtection="1">
      <alignment horizontal="right"/>
    </xf>
    <xf numFmtId="174" fontId="2" fillId="0" borderId="23" xfId="2" applyNumberFormat="1" applyFont="1" applyFill="1" applyBorder="1" applyAlignment="1" applyProtection="1">
      <alignment horizontal="right"/>
    </xf>
    <xf numFmtId="174" fontId="2" fillId="0" borderId="0" xfId="2" applyNumberFormat="1" applyFont="1" applyFill="1" applyBorder="1" applyAlignment="1" applyProtection="1">
      <alignment horizontal="right"/>
    </xf>
    <xf numFmtId="174" fontId="4" fillId="0" borderId="0" xfId="2" applyNumberFormat="1" applyFont="1" applyFill="1" applyBorder="1" applyAlignment="1" applyProtection="1">
      <alignment horizontal="right"/>
    </xf>
    <xf numFmtId="174" fontId="16" fillId="0" borderId="1" xfId="2" applyNumberFormat="1" applyFont="1" applyFill="1" applyBorder="1" applyAlignment="1" applyProtection="1">
      <alignment horizontal="right"/>
    </xf>
    <xf numFmtId="182" fontId="2" fillId="0" borderId="1" xfId="2" applyNumberFormat="1" applyFont="1" applyFill="1" applyBorder="1" applyProtection="1"/>
    <xf numFmtId="188" fontId="2" fillId="0" borderId="0" xfId="2" applyNumberFormat="1" applyFont="1" applyFill="1" applyProtection="1"/>
    <xf numFmtId="2" fontId="2" fillId="4" borderId="0" xfId="1" quotePrefix="1" applyNumberFormat="1" applyFont="1" applyFill="1" applyAlignment="1">
      <alignment horizontal="left" vertical="center"/>
    </xf>
    <xf numFmtId="175" fontId="6" fillId="4" borderId="0" xfId="1" quotePrefix="1" applyNumberFormat="1" applyFont="1" applyFill="1" applyAlignment="1">
      <alignment horizontal="right"/>
    </xf>
    <xf numFmtId="170" fontId="4" fillId="4" borderId="20" xfId="1" applyNumberFormat="1" applyFont="1" applyFill="1" applyBorder="1"/>
    <xf numFmtId="172" fontId="2" fillId="4" borderId="17" xfId="1" applyNumberFormat="1" applyFont="1" applyFill="1" applyBorder="1"/>
    <xf numFmtId="172" fontId="2" fillId="4" borderId="16" xfId="1" applyNumberFormat="1" applyFont="1" applyFill="1" applyBorder="1"/>
    <xf numFmtId="172" fontId="2" fillId="4" borderId="15" xfId="1" applyNumberFormat="1" applyFont="1" applyFill="1" applyBorder="1"/>
    <xf numFmtId="175" fontId="4" fillId="4" borderId="3" xfId="1" applyNumberFormat="1" applyFont="1" applyFill="1" applyBorder="1"/>
    <xf numFmtId="170" fontId="4" fillId="7" borderId="20" xfId="1" applyNumberFormat="1" applyFont="1" applyFill="1" applyBorder="1"/>
    <xf numFmtId="172" fontId="2" fillId="7" borderId="11" xfId="1" applyNumberFormat="1" applyFont="1" applyFill="1" applyBorder="1"/>
    <xf numFmtId="182" fontId="2" fillId="7" borderId="0" xfId="1" applyNumberFormat="1" applyFont="1" applyFill="1"/>
    <xf numFmtId="182" fontId="2" fillId="7" borderId="9" xfId="1" applyNumberFormat="1" applyFont="1" applyFill="1" applyBorder="1"/>
    <xf numFmtId="0" fontId="57" fillId="0" borderId="0" xfId="1" applyFont="1"/>
    <xf numFmtId="0" fontId="1" fillId="0" borderId="0" xfId="1" quotePrefix="1"/>
    <xf numFmtId="175" fontId="4" fillId="7" borderId="3" xfId="1" applyNumberFormat="1" applyFont="1" applyFill="1" applyBorder="1"/>
    <xf numFmtId="170" fontId="4" fillId="7" borderId="2" xfId="1" applyNumberFormat="1" applyFont="1" applyFill="1" applyBorder="1" applyAlignment="1">
      <alignment vertical="center"/>
    </xf>
    <xf numFmtId="170" fontId="4" fillId="7" borderId="3" xfId="1" applyNumberFormat="1" applyFont="1" applyFill="1" applyBorder="1" applyAlignment="1">
      <alignment vertical="center"/>
    </xf>
    <xf numFmtId="170" fontId="4" fillId="7" borderId="4" xfId="1" applyNumberFormat="1" applyFont="1" applyFill="1" applyBorder="1" applyAlignment="1">
      <alignment vertical="center"/>
    </xf>
    <xf numFmtId="174" fontId="4" fillId="7" borderId="20" xfId="2" applyNumberFormat="1" applyFont="1" applyFill="1" applyBorder="1" applyProtection="1"/>
    <xf numFmtId="175" fontId="6" fillId="7" borderId="0" xfId="1" quotePrefix="1" applyNumberFormat="1" applyFont="1" applyFill="1" applyAlignment="1">
      <alignment horizontal="right"/>
    </xf>
    <xf numFmtId="175" fontId="6" fillId="7" borderId="0" xfId="1" applyNumberFormat="1" applyFont="1" applyFill="1"/>
    <xf numFmtId="182" fontId="2" fillId="7" borderId="0" xfId="2" applyNumberFormat="1" applyFont="1" applyFill="1" applyProtection="1"/>
    <xf numFmtId="174" fontId="2" fillId="7" borderId="1" xfId="2" applyNumberFormat="1" applyFont="1" applyFill="1" applyBorder="1" applyProtection="1"/>
    <xf numFmtId="174" fontId="2" fillId="7" borderId="1" xfId="1" applyNumberFormat="1" applyFont="1" applyFill="1" applyBorder="1"/>
    <xf numFmtId="172" fontId="2" fillId="7" borderId="0" xfId="1" applyNumberFormat="1" applyFont="1" applyFill="1" applyAlignment="1">
      <alignment horizontal="right" vertical="center"/>
    </xf>
    <xf numFmtId="172" fontId="4" fillId="0" borderId="3" xfId="1" applyNumberFormat="1" applyFont="1" applyFill="1" applyBorder="1"/>
    <xf numFmtId="179" fontId="2" fillId="7" borderId="0" xfId="1" applyNumberFormat="1" applyFont="1" applyFill="1"/>
    <xf numFmtId="172" fontId="4" fillId="0" borderId="32" xfId="1" applyNumberFormat="1" applyFont="1" applyBorder="1"/>
    <xf numFmtId="174" fontId="2" fillId="7" borderId="0" xfId="1" applyNumberFormat="1" applyFont="1" applyFill="1" applyBorder="1"/>
    <xf numFmtId="212" fontId="0" fillId="7" borderId="1" xfId="0" applyNumberFormat="1" applyFont="1" applyFill="1" applyBorder="1">
      <alignment vertical="top"/>
    </xf>
    <xf numFmtId="174" fontId="2" fillId="7" borderId="0" xfId="1" applyNumberFormat="1" applyFont="1" applyFill="1"/>
    <xf numFmtId="172" fontId="9" fillId="7" borderId="0" xfId="1" applyNumberFormat="1" applyFont="1" applyFill="1" applyAlignment="1">
      <alignment vertical="center"/>
    </xf>
    <xf numFmtId="172" fontId="4" fillId="7" borderId="20" xfId="1" applyNumberFormat="1" applyFont="1" applyFill="1" applyBorder="1" applyAlignment="1">
      <alignment vertical="center"/>
    </xf>
    <xf numFmtId="172" fontId="2" fillId="7" borderId="17" xfId="1" applyNumberFormat="1" applyFont="1" applyFill="1" applyBorder="1"/>
    <xf numFmtId="172" fontId="2" fillId="7" borderId="16" xfId="1" applyNumberFormat="1" applyFont="1" applyFill="1" applyBorder="1"/>
    <xf numFmtId="172" fontId="2" fillId="7" borderId="15" xfId="1" applyNumberFormat="1" applyFont="1" applyFill="1" applyBorder="1"/>
    <xf numFmtId="172" fontId="4" fillId="7" borderId="20" xfId="2" applyNumberFormat="1" applyFont="1" applyFill="1" applyBorder="1" applyProtection="1"/>
    <xf numFmtId="164" fontId="2" fillId="7" borderId="0" xfId="1" applyNumberFormat="1" applyFont="1" applyFill="1" applyAlignment="1">
      <alignment horizontal="right"/>
    </xf>
  </cellXfs>
  <cellStyles count="18">
    <cellStyle name="Across" xfId="5" xr:uid="{00000000-0005-0000-0000-000000000000}"/>
    <cellStyle name="Bottom" xfId="6" xr:uid="{00000000-0005-0000-0000-000001000000}"/>
    <cellStyle name="Center" xfId="7" xr:uid="{00000000-0005-0000-0000-000002000000}"/>
    <cellStyle name="Comma 2" xfId="2" xr:uid="{00000000-0005-0000-0000-000003000000}"/>
    <cellStyle name="Currency [2]" xfId="8" xr:uid="{00000000-0005-0000-0000-000004000000}"/>
    <cellStyle name="DateLong" xfId="15" xr:uid="{CDCD0DD6-F5AC-44D6-A283-533E986F90F1}"/>
    <cellStyle name="DateShort" xfId="16" xr:uid="{281D384B-3F14-4635-B072-AAE406F1EB15}"/>
    <cellStyle name="Double" xfId="9" xr:uid="{00000000-0005-0000-0000-000005000000}"/>
    <cellStyle name="Factor" xfId="14" xr:uid="{DBB8F246-214B-447D-A84C-2760BE9F16C5}"/>
    <cellStyle name="Normal" xfId="0" builtinId="0" customBuiltin="1"/>
    <cellStyle name="Normal 2" xfId="1" xr:uid="{00000000-0005-0000-0000-000007000000}"/>
    <cellStyle name="Normal_DrydenNewDCF3" xfId="3" xr:uid="{00000000-0005-0000-0000-000008000000}"/>
    <cellStyle name="Normal_TrainingDCF1" xfId="4" xr:uid="{00000000-0005-0000-0000-000009000000}"/>
    <cellStyle name="Numbers" xfId="10" xr:uid="{00000000-0005-0000-0000-00000A000000}"/>
    <cellStyle name="Numbers - Bold - Italic" xfId="11" xr:uid="{00000000-0005-0000-0000-00000B000000}"/>
    <cellStyle name="Outline" xfId="12" xr:uid="{00000000-0005-0000-0000-00000C000000}"/>
    <cellStyle name="Percent" xfId="13" builtinId="5" customBuiltin="1"/>
    <cellStyle name="Year" xfId="17" xr:uid="{8AB7B172-6115-41F4-A1D4-6DE52C6FD65E}"/>
  </cellStyles>
  <dxfs count="4">
    <dxf>
      <font>
        <b/>
        <i val="0"/>
      </font>
      <fill>
        <patternFill>
          <bgColor rgb="FF99CCFF"/>
        </patternFill>
      </fill>
    </dxf>
    <dxf>
      <font>
        <b/>
        <i val="0"/>
      </font>
      <fill>
        <patternFill>
          <bgColor rgb="FF99CCFF"/>
        </patternFill>
      </fill>
    </dxf>
    <dxf>
      <font>
        <b/>
        <i val="0"/>
      </font>
    </dxf>
    <dxf>
      <font>
        <b/>
        <i val="0"/>
      </font>
    </dxf>
  </dxfs>
  <tableStyles count="0" defaultTableStyle="TableStyleMedium2" defaultPivotStyle="PivotStyleLight16"/>
  <colors>
    <mruColors>
      <color rgb="FFFFFF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trlProps/ctrlProp1.xml><?xml version="1.0" encoding="utf-8"?>
<formControlPr xmlns="http://schemas.microsoft.com/office/spreadsheetml/2009/9/main" objectType="Drop" dropStyle="combo" dx="20" fmlaLink="$F$212" fmlaRange="$C$226:$C$228" noThreeD="1" sel="1" val="0"/>
</file>

<file path=xl/ctrlProps/ctrlProp2.xml><?xml version="1.0" encoding="utf-8"?>
<formControlPr xmlns="http://schemas.microsoft.com/office/spreadsheetml/2009/9/main" objectType="Drop" dropStyle="combo" dx="20" fmlaLink="$F$189" fmlaRange="$C$203:$C$205" noThreeD="1" sel="1" val="0"/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670560</xdr:colOff>
          <xdr:row>210</xdr:row>
          <xdr:rowOff>99060</xdr:rowOff>
        </xdr:from>
        <xdr:to>
          <xdr:col>6</xdr:col>
          <xdr:colOff>60960</xdr:colOff>
          <xdr:row>212</xdr:row>
          <xdr:rowOff>30480</xdr:rowOff>
        </xdr:to>
        <xdr:sp macro="" textlink="">
          <xdr:nvSpPr>
            <xdr:cNvPr id="3076" name="Drop Down 4" hidden="1">
              <a:extLst>
                <a:ext uri="{63B3BB69-23CF-44E3-9099-C40C66FF867C}">
                  <a14:compatExt spid="_x0000_s3076"/>
                </a:ext>
                <a:ext uri="{FF2B5EF4-FFF2-40B4-BE49-F238E27FC236}">
                  <a16:creationId xmlns:a16="http://schemas.microsoft.com/office/drawing/2014/main" id="{00000000-0008-0000-0000-000004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</xdr:wsDr>
</file>

<file path=xl/drawings/drawing2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670560</xdr:colOff>
          <xdr:row>187</xdr:row>
          <xdr:rowOff>99060</xdr:rowOff>
        </xdr:from>
        <xdr:to>
          <xdr:col>6</xdr:col>
          <xdr:colOff>60960</xdr:colOff>
          <xdr:row>189</xdr:row>
          <xdr:rowOff>30480</xdr:rowOff>
        </xdr:to>
        <xdr:sp macro="" textlink="">
          <xdr:nvSpPr>
            <xdr:cNvPr id="4100" name="Drop Down 4" hidden="1">
              <a:extLst>
                <a:ext uri="{63B3BB69-23CF-44E3-9099-C40C66FF867C}">
                  <a14:compatExt spid="_x0000_s4100"/>
                </a:ext>
                <a:ext uri="{FF2B5EF4-FFF2-40B4-BE49-F238E27FC236}">
                  <a16:creationId xmlns:a16="http://schemas.microsoft.com/office/drawing/2014/main" id="{00000000-0008-0000-0100-000004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</xdr:wsDr>
</file>

<file path=xl/persons/person.xml><?xml version="1.0" encoding="utf-8"?>
<personList xmlns="http://schemas.microsoft.com/office/spreadsheetml/2018/threadedcomments" xmlns:x="http://schemas.openxmlformats.org/spreadsheetml/2006/main">
  <person displayName="Luc Nicod" id="{7D5489A2-CD60-488A-8746-0306E977BD3B}" userId="754f703795456207" providerId="Windows Live"/>
</personList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G32" dT="2026-10-05T20:33:03.77" personId="{7D5489A2-CD60-488A-8746-0306E977BD3B}" id="{DFAB9172-5970-4320-B61C-61FB837AEA78}">
    <text>Linked to 2017 instead of 2018</text>
  </threadedComment>
  <threadedComment ref="G57" dT="2026-10-05T18:52:15.87" personId="{7D5489A2-CD60-488A-8746-0306E977BD3B}" id="{8D2DE716-9016-4EA6-A39B-FF156B24F4DD}">
    <text>The formula refers to itself, instead of being a sum of debt plus equity</text>
  </threadedComment>
  <threadedComment ref="P64" dT="2026-10-05T18:59:07.15" personId="{7D5489A2-CD60-488A-8746-0306E977BD3B}" id="{1FD5A748-3534-41B0-80B8-764B6ABB175D}">
    <text>The formula should sum all the debts and deduct the cash</text>
  </threadedComment>
  <threadedComment ref="K119" dT="2026-10-05T19:02:42.77" personId="{7D5489A2-CD60-488A-8746-0306E977BD3B}" id="{DEE306B2-378A-4218-AE8E-0B4AE4CD9734}">
    <text>The reference to the percentage indentation is fixed to the first year, it must be relative ($m$ to m$)</text>
  </threadedComment>
  <threadedComment ref="M233" dT="2026-10-05T19:13:07.15" personId="{7D5489A2-CD60-488A-8746-0306E977BD3B}" id="{02ED26AC-278E-489E-879F-AE07BB95D48A}">
    <text>Corrected the CHOOSE references to catch the Worst Case scenario</text>
  </threadedComment>
  <threadedComment ref="O290" dT="2026-10-05T19:15:01.21" personId="{7D5489A2-CD60-488A-8746-0306E977BD3B}" id="{1AECCD19-BDEB-430F-AC34-D228DDED6EE8}">
    <text>Sales Discounts should be substracted not summed to the Gross Revenue</text>
  </threadedComment>
  <threadedComment ref="O578" dT="2026-10-05T20:11:52.67" personId="{7D5489A2-CD60-488A-8746-0306E977BD3B}" id="{2CD46EE1-21D8-4F40-A909-26E778BAA509}">
    <text>Inventories is calculated based on the wrong days count, i.e. accounts receivable instead of inventories.</text>
  </threadedComment>
  <threadedComment ref="O615" dT="2026-10-05T20:46:01.01" personId="{7D5489A2-CD60-488A-8746-0306E977BD3B}" id="{75CBE49F-0118-4C02-8F6C-7BAC86C78735}">
    <text>Used XLOOKUP with -1 to catch the correct rate</text>
  </threadedComment>
  <threadedComment ref="O685" dT="2026-10-05T20:26:55.05" personId="{7D5489A2-CD60-488A-8746-0306E977BD3B}" id="{5FFE1E69-4166-4222-BEA0-86E45486F447}">
    <text>Inverted the sign</text>
  </threadedComment>
  <threadedComment ref="O689" dT="2026-10-05T20:37:51.13" personId="{7D5489A2-CD60-488A-8746-0306E977BD3B}" id="{870444ED-936E-409D-A024-9CECBC44630F}">
    <text>Corrected the formula for drawing down or repayming the revolver, as the - min of the sum of cash and FCF or the beginning balance of the revolver</text>
  </threadedComment>
  <threadedComment ref="O711" dT="2026-10-05T20:55:57.66" personId="{7D5489A2-CD60-488A-8746-0306E977BD3B}" id="{154F5F75-4DD3-41E0-9727-E6178A442D3A}">
    <text>Deduced from interest expenses the income from interest on cash</tex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6" Type="http://schemas.microsoft.com/office/2017/10/relationships/threadedComment" Target="../threadedComments/threadedComment1.xml"/><Relationship Id="rId5" Type="http://schemas.openxmlformats.org/officeDocument/2006/relationships/comments" Target="../comments1.xml"/><Relationship Id="rId4" Type="http://schemas.openxmlformats.org/officeDocument/2006/relationships/ctrlProp" Target="../ctrlProps/ctrlProp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.v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Relationship Id="rId5" Type="http://schemas.openxmlformats.org/officeDocument/2006/relationships/comments" Target="../comments2.xml"/><Relationship Id="rId4" Type="http://schemas.openxmlformats.org/officeDocument/2006/relationships/ctrlProp" Target="../ctrlProps/ctrlProp2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2:S834"/>
  <sheetViews>
    <sheetView showGridLines="0" tabSelected="1" zoomScale="85" zoomScaleNormal="85" zoomScaleSheetLayoutView="90" workbookViewId="0">
      <selection activeCell="D22" sqref="D22"/>
    </sheetView>
  </sheetViews>
  <sheetFormatPr defaultColWidth="9.44140625" defaultRowHeight="13.2"/>
  <cols>
    <col min="1" max="1" width="7.5546875" style="1" customWidth="1"/>
    <col min="2" max="2" width="1.77734375" style="1" customWidth="1"/>
    <col min="3" max="3" width="3.77734375" style="1" customWidth="1"/>
    <col min="4" max="4" width="11.44140625" style="1" customWidth="1"/>
    <col min="5" max="5" width="12.5546875" style="1" customWidth="1"/>
    <col min="6" max="6" width="10.44140625" style="1" customWidth="1"/>
    <col min="7" max="15" width="9.5546875" style="1" customWidth="1"/>
    <col min="16" max="16" width="9.44140625" style="1"/>
    <col min="17" max="17" width="9.44140625" style="619"/>
    <col min="18" max="16384" width="9.44140625" style="1"/>
  </cols>
  <sheetData>
    <row r="2" spans="3:4">
      <c r="D2" s="680" t="s">
        <v>381</v>
      </c>
    </row>
    <row r="3" spans="3:4">
      <c r="C3" s="1">
        <v>1</v>
      </c>
      <c r="D3" s="681" t="s">
        <v>390</v>
      </c>
    </row>
    <row r="4" spans="3:4">
      <c r="C4" s="1">
        <f>C3+ 1</f>
        <v>2</v>
      </c>
      <c r="D4" s="681" t="s">
        <v>383</v>
      </c>
    </row>
    <row r="5" spans="3:4">
      <c r="C5" s="1">
        <f t="shared" ref="C5:C22" si="0">C4+ 1</f>
        <v>3</v>
      </c>
      <c r="D5" s="681" t="s">
        <v>382</v>
      </c>
    </row>
    <row r="6" spans="3:4">
      <c r="C6" s="1">
        <f t="shared" si="0"/>
        <v>4</v>
      </c>
      <c r="D6" s="681" t="s">
        <v>384</v>
      </c>
    </row>
    <row r="7" spans="3:4">
      <c r="C7" s="1">
        <f t="shared" si="0"/>
        <v>5</v>
      </c>
      <c r="D7" s="681" t="s">
        <v>385</v>
      </c>
    </row>
    <row r="8" spans="3:4">
      <c r="C8" s="1">
        <f t="shared" si="0"/>
        <v>6</v>
      </c>
      <c r="D8" s="681" t="s">
        <v>386</v>
      </c>
    </row>
    <row r="9" spans="3:4">
      <c r="C9" s="1">
        <f t="shared" si="0"/>
        <v>7</v>
      </c>
      <c r="D9" s="681" t="s">
        <v>387</v>
      </c>
    </row>
    <row r="10" spans="3:4">
      <c r="C10" s="1">
        <f t="shared" si="0"/>
        <v>8</v>
      </c>
      <c r="D10" s="681" t="s">
        <v>388</v>
      </c>
    </row>
    <row r="11" spans="3:4">
      <c r="C11" s="1">
        <f t="shared" si="0"/>
        <v>9</v>
      </c>
      <c r="D11" s="681" t="s">
        <v>389</v>
      </c>
    </row>
    <row r="12" spans="3:4">
      <c r="C12" s="1">
        <f t="shared" si="0"/>
        <v>10</v>
      </c>
      <c r="D12" s="681" t="s">
        <v>391</v>
      </c>
    </row>
    <row r="13" spans="3:4">
      <c r="C13" s="1">
        <f t="shared" si="0"/>
        <v>11</v>
      </c>
      <c r="D13" s="681" t="s">
        <v>392</v>
      </c>
    </row>
    <row r="14" spans="3:4">
      <c r="C14" s="1">
        <f t="shared" si="0"/>
        <v>12</v>
      </c>
      <c r="D14" s="681" t="s">
        <v>393</v>
      </c>
    </row>
    <row r="15" spans="3:4">
      <c r="C15" s="1">
        <f t="shared" si="0"/>
        <v>13</v>
      </c>
      <c r="D15" s="681" t="s">
        <v>394</v>
      </c>
    </row>
    <row r="16" spans="3:4">
      <c r="C16" s="1">
        <f t="shared" si="0"/>
        <v>14</v>
      </c>
      <c r="D16" s="681" t="s">
        <v>395</v>
      </c>
    </row>
    <row r="17" spans="2:19">
      <c r="C17" s="1">
        <f t="shared" si="0"/>
        <v>15</v>
      </c>
      <c r="D17" s="681" t="s">
        <v>396</v>
      </c>
    </row>
    <row r="18" spans="2:19">
      <c r="C18" s="1">
        <f t="shared" si="0"/>
        <v>16</v>
      </c>
      <c r="D18" s="681" t="s">
        <v>397</v>
      </c>
    </row>
    <row r="19" spans="2:19">
      <c r="C19" s="1">
        <f t="shared" si="0"/>
        <v>17</v>
      </c>
      <c r="D19" s="681" t="s">
        <v>398</v>
      </c>
    </row>
    <row r="20" spans="2:19">
      <c r="C20" s="1">
        <f t="shared" si="0"/>
        <v>18</v>
      </c>
      <c r="D20" s="681" t="s">
        <v>399</v>
      </c>
    </row>
    <row r="21" spans="2:19">
      <c r="C21" s="1">
        <f t="shared" si="0"/>
        <v>19</v>
      </c>
      <c r="D21" s="681" t="s">
        <v>400</v>
      </c>
    </row>
    <row r="22" spans="2:19">
      <c r="C22" s="1">
        <f t="shared" si="0"/>
        <v>20</v>
      </c>
      <c r="D22" s="681" t="s">
        <v>401</v>
      </c>
    </row>
    <row r="26" spans="2:19" ht="22.8">
      <c r="B26" s="596" t="s">
        <v>380</v>
      </c>
      <c r="C26" s="344"/>
      <c r="D26" s="20"/>
      <c r="E26" s="20"/>
      <c r="F26" s="20"/>
      <c r="G26" s="20"/>
      <c r="H26" s="20"/>
      <c r="I26" s="20"/>
      <c r="J26" s="20"/>
      <c r="K26" s="20"/>
      <c r="L26" s="20"/>
      <c r="M26" s="20"/>
      <c r="N26" s="20"/>
      <c r="O26" s="20"/>
      <c r="P26" s="20"/>
    </row>
    <row r="27" spans="2:19" ht="17.399999999999999">
      <c r="B27" s="485" t="s">
        <v>379</v>
      </c>
      <c r="C27" s="485"/>
      <c r="D27" s="20"/>
      <c r="E27" s="20"/>
      <c r="F27" s="20"/>
      <c r="G27" s="20"/>
      <c r="H27" s="20"/>
      <c r="I27" s="20"/>
      <c r="J27" s="20"/>
      <c r="K27" s="20"/>
      <c r="L27" s="20"/>
      <c r="M27" s="20"/>
      <c r="N27" s="20"/>
      <c r="O27" s="20"/>
      <c r="P27" s="20"/>
    </row>
    <row r="28" spans="2:19" ht="6" customHeight="1" thickBot="1">
      <c r="B28" s="484"/>
      <c r="C28" s="484"/>
      <c r="D28" s="169"/>
      <c r="E28" s="169"/>
      <c r="F28" s="169"/>
      <c r="G28" s="169"/>
      <c r="H28" s="169"/>
      <c r="I28" s="169"/>
      <c r="J28" s="169"/>
      <c r="K28" s="169"/>
      <c r="L28" s="169"/>
      <c r="M28" s="169"/>
      <c r="N28" s="169"/>
      <c r="O28" s="169"/>
      <c r="P28" s="169"/>
    </row>
    <row r="29" spans="2:19">
      <c r="B29" s="4"/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</row>
    <row r="30" spans="2:19">
      <c r="B30" s="4"/>
      <c r="C30" s="481" t="s">
        <v>378</v>
      </c>
      <c r="D30" s="479"/>
      <c r="E30" s="479"/>
      <c r="F30" s="479"/>
      <c r="G30" s="479"/>
      <c r="H30" s="479"/>
      <c r="I30" s="479"/>
      <c r="J30" s="478"/>
      <c r="L30" s="481" t="s">
        <v>377</v>
      </c>
      <c r="M30" s="595"/>
      <c r="N30" s="595"/>
      <c r="O30" s="595"/>
      <c r="P30" s="594"/>
    </row>
    <row r="31" spans="2:19" ht="15.6">
      <c r="B31" s="4"/>
      <c r="C31" s="593"/>
      <c r="D31" s="4"/>
      <c r="E31" s="4"/>
      <c r="F31" s="4"/>
      <c r="G31" s="4"/>
      <c r="H31" s="4"/>
      <c r="I31" s="4"/>
      <c r="J31" s="55"/>
      <c r="L31" s="593"/>
      <c r="M31" s="4"/>
      <c r="N31" s="4"/>
      <c r="O31" s="4"/>
      <c r="P31" s="55"/>
      <c r="S31" s="4"/>
    </row>
    <row r="32" spans="2:19" ht="15.6">
      <c r="B32" s="23"/>
      <c r="C32" s="587"/>
      <c r="D32" s="620" t="str">
        <f>CONCATENATE(J264,"F Adjusted EBITDA")</f>
        <v>2018F Adjusted EBITDA</v>
      </c>
      <c r="E32" s="592"/>
      <c r="F32" s="592"/>
      <c r="G32" s="692">
        <f>J367</f>
        <v>158.19406029629624</v>
      </c>
      <c r="H32" s="567"/>
      <c r="I32" s="567"/>
      <c r="J32" s="584"/>
      <c r="L32" s="591"/>
      <c r="M32" s="23"/>
      <c r="N32" s="590" t="s">
        <v>344</v>
      </c>
      <c r="O32" s="589" t="s">
        <v>341</v>
      </c>
      <c r="P32" s="433"/>
      <c r="S32" s="23"/>
    </row>
    <row r="33" spans="2:19" ht="15.6">
      <c r="B33" s="23"/>
      <c r="C33" s="587"/>
      <c r="D33" s="588" t="s">
        <v>376</v>
      </c>
      <c r="E33" s="23"/>
      <c r="F33" s="23"/>
      <c r="G33" s="568">
        <v>9</v>
      </c>
      <c r="H33" s="573"/>
      <c r="I33" s="573"/>
      <c r="J33" s="584"/>
      <c r="L33" s="583">
        <f>K264</f>
        <v>2019</v>
      </c>
      <c r="M33" s="23"/>
      <c r="N33" s="567">
        <f>K367</f>
        <v>140.28343822222212</v>
      </c>
      <c r="O33" s="39">
        <f>$G$34/N33</f>
        <v>10.149070772070173</v>
      </c>
      <c r="P33" s="433"/>
      <c r="S33" s="23"/>
    </row>
    <row r="34" spans="2:19" ht="16.2" thickBot="1">
      <c r="B34" s="23"/>
      <c r="C34" s="587"/>
      <c r="D34" s="534" t="s">
        <v>375</v>
      </c>
      <c r="E34" s="23"/>
      <c r="F34" s="23"/>
      <c r="G34" s="586">
        <f>G33*G32</f>
        <v>1423.7465426666663</v>
      </c>
      <c r="H34" s="585"/>
      <c r="I34" s="585"/>
      <c r="J34" s="584"/>
      <c r="L34" s="583">
        <f>L264</f>
        <v>2020</v>
      </c>
      <c r="M34" s="23"/>
      <c r="N34" s="567">
        <f>L367</f>
        <v>158.46792730105267</v>
      </c>
      <c r="O34" s="39">
        <f>$G$34/N34</f>
        <v>8.9844460447941294</v>
      </c>
      <c r="P34" s="433"/>
      <c r="S34" s="23"/>
    </row>
    <row r="35" spans="2:19" ht="16.2" thickTop="1">
      <c r="B35" s="4"/>
      <c r="C35" s="582"/>
      <c r="D35" s="581"/>
      <c r="E35" s="2"/>
      <c r="F35" s="2"/>
      <c r="G35" s="2"/>
      <c r="H35" s="2"/>
      <c r="I35" s="2"/>
      <c r="J35" s="469"/>
      <c r="L35" s="580"/>
      <c r="M35" s="2"/>
      <c r="N35" s="2"/>
      <c r="O35" s="2"/>
      <c r="P35" s="469"/>
      <c r="S35" s="4"/>
    </row>
    <row r="36" spans="2:19" ht="15.6">
      <c r="B36" s="4"/>
      <c r="C36" s="579"/>
      <c r="D36" s="578"/>
      <c r="E36" s="4"/>
      <c r="F36" s="4"/>
      <c r="G36" s="4"/>
      <c r="H36" s="4"/>
      <c r="I36" s="4"/>
      <c r="J36" s="4"/>
      <c r="L36" s="4"/>
      <c r="M36" s="4"/>
      <c r="N36" s="4"/>
      <c r="O36" s="4"/>
      <c r="P36" s="4"/>
      <c r="S36" s="4"/>
    </row>
    <row r="38" spans="2:19">
      <c r="B38" s="4"/>
      <c r="C38" s="481" t="s">
        <v>374</v>
      </c>
      <c r="D38" s="479"/>
      <c r="E38" s="479"/>
      <c r="F38" s="479"/>
      <c r="G38" s="479"/>
      <c r="H38" s="479"/>
      <c r="I38" s="479"/>
      <c r="J38" s="478"/>
      <c r="L38" s="481" t="s">
        <v>373</v>
      </c>
      <c r="M38" s="479"/>
      <c r="N38" s="479"/>
      <c r="O38" s="479"/>
      <c r="P38" s="478"/>
      <c r="S38" s="4"/>
    </row>
    <row r="39" spans="2:19">
      <c r="B39" s="4"/>
      <c r="C39" s="56"/>
      <c r="D39" s="4"/>
      <c r="E39" s="4"/>
      <c r="F39" s="4"/>
      <c r="G39" s="4"/>
      <c r="H39" s="4"/>
      <c r="I39" s="4"/>
      <c r="J39" s="55"/>
      <c r="L39" s="56"/>
      <c r="M39" s="4"/>
      <c r="N39" s="4"/>
      <c r="O39" s="4"/>
      <c r="P39" s="55"/>
      <c r="S39" s="4"/>
    </row>
    <row r="40" spans="2:19">
      <c r="B40" s="4"/>
      <c r="C40" s="133"/>
      <c r="D40" s="65"/>
      <c r="E40" s="559" t="s">
        <v>372</v>
      </c>
      <c r="F40" s="559"/>
      <c r="G40" s="559" t="s">
        <v>371</v>
      </c>
      <c r="H40" s="559"/>
      <c r="I40" s="559"/>
      <c r="J40" s="576"/>
      <c r="L40" s="133"/>
      <c r="M40" s="4"/>
      <c r="N40" s="4"/>
      <c r="O40" s="4"/>
      <c r="P40" s="55"/>
      <c r="S40" s="4"/>
    </row>
    <row r="41" spans="2:19">
      <c r="B41" s="4"/>
      <c r="C41" s="133"/>
      <c r="D41" s="302" t="s">
        <v>370</v>
      </c>
      <c r="E41" s="558" t="s">
        <v>344</v>
      </c>
      <c r="F41" s="558" t="s">
        <v>342</v>
      </c>
      <c r="G41" s="558" t="s">
        <v>369</v>
      </c>
      <c r="H41" s="558"/>
      <c r="I41" s="558" t="s">
        <v>86</v>
      </c>
      <c r="J41" s="576"/>
      <c r="L41" s="132" t="s">
        <v>368</v>
      </c>
      <c r="M41" s="470"/>
      <c r="N41" s="2"/>
      <c r="O41" s="558" t="s">
        <v>367</v>
      </c>
      <c r="P41" s="577" t="s">
        <v>366</v>
      </c>
      <c r="S41" s="4"/>
    </row>
    <row r="42" spans="2:19">
      <c r="B42" s="4"/>
      <c r="C42" s="133"/>
      <c r="D42" s="273"/>
      <c r="E42" s="559"/>
      <c r="F42" s="557" t="s">
        <v>365</v>
      </c>
      <c r="G42" s="559"/>
      <c r="H42" s="559"/>
      <c r="I42" s="559"/>
      <c r="J42" s="576"/>
      <c r="L42" s="133"/>
      <c r="N42" s="575" t="s">
        <v>364</v>
      </c>
      <c r="O42" s="4"/>
      <c r="P42" s="574" t="str">
        <f>F42</f>
        <v>($MM)</v>
      </c>
      <c r="S42" s="4"/>
    </row>
    <row r="43" spans="2:19">
      <c r="B43" s="4"/>
      <c r="C43" s="133"/>
      <c r="D43" s="4" t="s">
        <v>363</v>
      </c>
      <c r="E43" s="573"/>
      <c r="F43" s="567">
        <f>H447</f>
        <v>5</v>
      </c>
      <c r="G43" s="282">
        <f t="shared" ref="G43:G49" si="1">F43/$F$57</f>
        <v>3.4421308037235298E-3</v>
      </c>
      <c r="H43" s="282"/>
      <c r="I43" s="572">
        <v>5.0000000000000001E-3</v>
      </c>
      <c r="J43" s="55"/>
      <c r="L43" s="133" t="str">
        <f>D44</f>
        <v>Revolver</v>
      </c>
      <c r="N43" s="571">
        <v>100</v>
      </c>
      <c r="O43" s="570">
        <v>5.0000000000000001E-3</v>
      </c>
      <c r="P43" s="566">
        <f>O43*N43</f>
        <v>0.5</v>
      </c>
      <c r="S43" s="4"/>
    </row>
    <row r="44" spans="2:19">
      <c r="B44" s="4"/>
      <c r="C44" s="133"/>
      <c r="D44" s="4" t="s">
        <v>3</v>
      </c>
      <c r="E44" s="568">
        <v>0.5</v>
      </c>
      <c r="F44" s="567">
        <f>E44*$G$32</f>
        <v>79.097030148148121</v>
      </c>
      <c r="G44" s="282">
        <f t="shared" si="1"/>
        <v>5.445246479119787E-2</v>
      </c>
      <c r="H44" s="282"/>
      <c r="I44" s="569" t="s">
        <v>361</v>
      </c>
      <c r="J44" s="55"/>
      <c r="L44" s="133" t="s">
        <v>362</v>
      </c>
      <c r="N44" s="4"/>
      <c r="O44" s="281">
        <v>7.0000000000000001E-3</v>
      </c>
      <c r="P44" s="566">
        <f>O44*(F45+F46)</f>
        <v>3.0452356607037023</v>
      </c>
      <c r="S44" s="4"/>
    </row>
    <row r="45" spans="2:19">
      <c r="B45" s="4"/>
      <c r="C45" s="133"/>
      <c r="D45" s="4" t="s">
        <v>95</v>
      </c>
      <c r="E45" s="568">
        <v>1.5</v>
      </c>
      <c r="F45" s="567">
        <f>E45*$G$32</f>
        <v>237.29109044444436</v>
      </c>
      <c r="G45" s="282">
        <f t="shared" si="1"/>
        <v>0.16335739437359362</v>
      </c>
      <c r="H45" s="282"/>
      <c r="I45" s="569" t="s">
        <v>361</v>
      </c>
      <c r="J45" s="55"/>
      <c r="L45" s="133" t="str">
        <f>D47</f>
        <v>Senior Notes</v>
      </c>
      <c r="N45" s="4"/>
      <c r="O45" s="281">
        <v>0.02</v>
      </c>
      <c r="P45" s="566">
        <f>O45*F47</f>
        <v>4.7458218088888877</v>
      </c>
      <c r="S45" s="4"/>
    </row>
    <row r="46" spans="2:19">
      <c r="B46" s="4"/>
      <c r="C46" s="133"/>
      <c r="D46" s="4" t="s">
        <v>94</v>
      </c>
      <c r="E46" s="568">
        <v>1.25</v>
      </c>
      <c r="F46" s="567">
        <f>E46*$G$32</f>
        <v>197.7425753703703</v>
      </c>
      <c r="G46" s="282">
        <f t="shared" si="1"/>
        <v>0.13613116197799469</v>
      </c>
      <c r="H46" s="282"/>
      <c r="I46" s="569" t="s">
        <v>361</v>
      </c>
      <c r="J46" s="55"/>
      <c r="L46" s="133" t="str">
        <f>D48</f>
        <v>Mezzanine</v>
      </c>
      <c r="N46" s="4"/>
      <c r="O46" s="281">
        <v>0.03</v>
      </c>
      <c r="P46" s="566">
        <f>O46*F48</f>
        <v>5.9322772611111088</v>
      </c>
      <c r="S46" s="4"/>
    </row>
    <row r="47" spans="2:19">
      <c r="B47" s="4"/>
      <c r="C47" s="133"/>
      <c r="D47" s="4" t="s">
        <v>154</v>
      </c>
      <c r="E47" s="568">
        <v>1.5</v>
      </c>
      <c r="F47" s="567">
        <f>E47*$G$32</f>
        <v>237.29109044444436</v>
      </c>
      <c r="G47" s="282">
        <f t="shared" si="1"/>
        <v>0.16335739437359362</v>
      </c>
      <c r="H47" s="282"/>
      <c r="I47" s="563">
        <v>5.5E-2</v>
      </c>
      <c r="J47" s="55"/>
      <c r="L47" s="133" t="s">
        <v>360</v>
      </c>
      <c r="N47" s="4"/>
      <c r="O47" s="281">
        <v>5.0000000000000001E-3</v>
      </c>
      <c r="P47" s="566">
        <f>O47*G34</f>
        <v>7.1187327133333316</v>
      </c>
      <c r="S47" s="4"/>
    </row>
    <row r="48" spans="2:19">
      <c r="B48" s="4"/>
      <c r="C48" s="133"/>
      <c r="D48" s="4" t="s">
        <v>359</v>
      </c>
      <c r="E48" s="565">
        <v>1.25</v>
      </c>
      <c r="F48" s="564">
        <f>E48*$G$32</f>
        <v>197.7425753703703</v>
      </c>
      <c r="G48" s="554">
        <f t="shared" si="1"/>
        <v>0.13613116197799469</v>
      </c>
      <c r="H48" s="282"/>
      <c r="I48" s="563">
        <v>7.0000000000000007E-2</v>
      </c>
      <c r="J48" s="55"/>
      <c r="L48" s="133" t="s">
        <v>358</v>
      </c>
      <c r="N48" s="4"/>
      <c r="O48" s="4"/>
      <c r="P48" s="457">
        <v>1</v>
      </c>
      <c r="S48" s="4"/>
    </row>
    <row r="49" spans="2:19">
      <c r="B49" s="4"/>
      <c r="C49" s="133"/>
      <c r="D49" s="65" t="s">
        <v>1</v>
      </c>
      <c r="E49" s="562">
        <f>SUM(E43:E48)</f>
        <v>6</v>
      </c>
      <c r="F49" s="64">
        <f>SUM(F43:F48)</f>
        <v>954.16436177777746</v>
      </c>
      <c r="G49" s="551">
        <f t="shared" si="1"/>
        <v>0.65687170829809793</v>
      </c>
      <c r="H49" s="551"/>
      <c r="I49" s="4"/>
      <c r="J49" s="55"/>
      <c r="L49" s="133" t="s">
        <v>357</v>
      </c>
      <c r="N49" s="4"/>
      <c r="O49" s="4"/>
      <c r="P49" s="457">
        <v>1</v>
      </c>
      <c r="S49" s="4"/>
    </row>
    <row r="50" spans="2:19">
      <c r="B50" s="4"/>
      <c r="C50" s="133"/>
      <c r="D50" s="4"/>
      <c r="E50" s="4"/>
      <c r="F50" s="4"/>
      <c r="G50" s="4"/>
      <c r="H50" s="4"/>
      <c r="I50" s="559"/>
      <c r="J50" s="55"/>
      <c r="L50" s="133" t="s">
        <v>356</v>
      </c>
      <c r="N50" s="4"/>
      <c r="O50" s="4"/>
      <c r="P50" s="457">
        <v>0.5</v>
      </c>
      <c r="S50" s="4"/>
    </row>
    <row r="51" spans="2:19">
      <c r="B51" s="4"/>
      <c r="C51" s="133"/>
      <c r="D51" s="302" t="s">
        <v>355</v>
      </c>
      <c r="E51" s="558" t="s">
        <v>354</v>
      </c>
      <c r="F51" s="558" t="s">
        <v>342</v>
      </c>
      <c r="G51" s="558" t="s">
        <v>353</v>
      </c>
      <c r="H51" s="558"/>
      <c r="I51" s="558" t="s">
        <v>352</v>
      </c>
      <c r="J51" s="55"/>
      <c r="L51" s="133" t="s">
        <v>157</v>
      </c>
      <c r="N51" s="4"/>
      <c r="O51" s="4"/>
      <c r="P51" s="561">
        <v>0</v>
      </c>
      <c r="S51" s="4"/>
    </row>
    <row r="52" spans="2:19" ht="13.8" thickBot="1">
      <c r="B52" s="4"/>
      <c r="C52" s="133"/>
      <c r="D52" s="4" t="s">
        <v>59</v>
      </c>
      <c r="E52" s="281">
        <v>0.08</v>
      </c>
      <c r="F52" s="489">
        <v>100</v>
      </c>
      <c r="G52" s="282">
        <f>F52/$F$57</f>
        <v>6.8842616074470592E-2</v>
      </c>
      <c r="H52" s="282"/>
      <c r="I52" s="281">
        <v>0</v>
      </c>
      <c r="J52" s="55"/>
      <c r="L52" s="459" t="s">
        <v>351</v>
      </c>
      <c r="N52" s="4"/>
      <c r="O52" s="4"/>
      <c r="P52" s="549">
        <f>SUM(P43:P51)</f>
        <v>23.842067444037031</v>
      </c>
      <c r="S52" s="4"/>
    </row>
    <row r="53" spans="2:19" ht="13.8" thickTop="1">
      <c r="B53" s="4"/>
      <c r="C53" s="133"/>
      <c r="D53" s="4" t="s">
        <v>350</v>
      </c>
      <c r="E53" s="281">
        <v>0</v>
      </c>
      <c r="F53" s="489">
        <v>10</v>
      </c>
      <c r="G53" s="282">
        <f>F53/$F$57</f>
        <v>6.8842616074470597E-3</v>
      </c>
      <c r="H53" s="282"/>
      <c r="I53" s="282">
        <f>F53/(F53+F54)</f>
        <v>2.5098873981294276E-2</v>
      </c>
      <c r="J53" s="55"/>
      <c r="L53" s="133"/>
      <c r="M53" s="4"/>
      <c r="N53" s="4"/>
      <c r="O53" s="4"/>
      <c r="P53" s="55"/>
      <c r="S53" s="4"/>
    </row>
    <row r="54" spans="2:19">
      <c r="B54" s="4"/>
      <c r="C54" s="133"/>
      <c r="D54" s="4" t="s">
        <v>15</v>
      </c>
      <c r="E54" s="282">
        <f>E53</f>
        <v>0</v>
      </c>
      <c r="F54" s="555">
        <f>F57-F49-F52-F53</f>
        <v>388.4242483329258</v>
      </c>
      <c r="G54" s="554">
        <f>F54/$F$57</f>
        <v>0.26740141401998435</v>
      </c>
      <c r="H54" s="282"/>
      <c r="I54" s="554">
        <f>F54/(F53+F54)</f>
        <v>0.97490112601870571</v>
      </c>
      <c r="J54" s="55"/>
      <c r="L54" s="133"/>
      <c r="M54" s="4"/>
      <c r="N54" s="4"/>
      <c r="O54" s="4"/>
      <c r="P54" s="560"/>
      <c r="S54" s="4"/>
    </row>
    <row r="55" spans="2:19">
      <c r="B55" s="4"/>
      <c r="C55" s="133"/>
      <c r="D55" s="65" t="s">
        <v>349</v>
      </c>
      <c r="E55" s="4"/>
      <c r="F55" s="64">
        <f>SUM(F52:F54)</f>
        <v>498.4242483329258</v>
      </c>
      <c r="G55" s="551">
        <f>F55/$F$57</f>
        <v>0.34312829170190201</v>
      </c>
      <c r="H55" s="551"/>
      <c r="I55" s="551">
        <f>SUM(I52:I54)</f>
        <v>1</v>
      </c>
      <c r="J55" s="55"/>
      <c r="L55" s="133"/>
      <c r="M55" s="4"/>
      <c r="N55" s="4"/>
      <c r="O55" s="4"/>
      <c r="P55" s="560"/>
      <c r="S55" s="4"/>
    </row>
    <row r="56" spans="2:19">
      <c r="B56" s="4"/>
      <c r="C56" s="133"/>
      <c r="D56" s="4"/>
      <c r="E56" s="4"/>
      <c r="F56" s="4"/>
      <c r="G56" s="4"/>
      <c r="H56" s="4"/>
      <c r="I56" s="4"/>
      <c r="J56" s="55"/>
      <c r="L56" s="133"/>
      <c r="M56" s="65"/>
      <c r="N56" s="4"/>
      <c r="O56" s="4"/>
      <c r="P56" s="560"/>
      <c r="S56" s="4"/>
    </row>
    <row r="57" spans="2:19" ht="13.8" thickBot="1">
      <c r="B57" s="4"/>
      <c r="C57" s="133"/>
      <c r="D57" s="65" t="s">
        <v>348</v>
      </c>
      <c r="E57" s="4"/>
      <c r="F57" s="72">
        <f>F69</f>
        <v>1452.5886101107033</v>
      </c>
      <c r="G57" s="676">
        <f>SUM( G49, G55)</f>
        <v>1</v>
      </c>
      <c r="H57" s="551"/>
      <c r="I57" s="4"/>
      <c r="J57" s="55"/>
      <c r="L57" s="133"/>
      <c r="M57" s="65"/>
      <c r="N57" s="4"/>
      <c r="O57" s="4"/>
      <c r="P57" s="560"/>
      <c r="S57" s="4"/>
    </row>
    <row r="58" spans="2:19" ht="13.8" thickTop="1">
      <c r="B58" s="4"/>
      <c r="C58" s="260"/>
      <c r="D58" s="2"/>
      <c r="E58" s="2"/>
      <c r="F58" s="2"/>
      <c r="G58" s="2"/>
      <c r="H58" s="2"/>
      <c r="I58" s="2"/>
      <c r="J58" s="469"/>
      <c r="L58" s="260"/>
      <c r="M58" s="2"/>
      <c r="N58" s="2"/>
      <c r="O58" s="2"/>
      <c r="P58" s="469"/>
      <c r="S58" s="4"/>
    </row>
    <row r="59" spans="2:19">
      <c r="B59" s="4"/>
      <c r="C59" s="4"/>
      <c r="D59" s="4"/>
      <c r="E59" s="4"/>
      <c r="F59" s="4"/>
      <c r="G59" s="4"/>
      <c r="H59" s="4"/>
      <c r="I59" s="4"/>
      <c r="J59" s="4"/>
      <c r="L59" s="4"/>
      <c r="M59" s="4"/>
      <c r="N59" s="4"/>
      <c r="O59" s="4"/>
      <c r="P59" s="4"/>
      <c r="S59" s="4"/>
    </row>
    <row r="60" spans="2:19">
      <c r="B60" s="4"/>
      <c r="C60" s="4"/>
      <c r="D60" s="4"/>
      <c r="E60" s="4"/>
      <c r="F60" s="4"/>
      <c r="G60" s="4"/>
      <c r="H60" s="4"/>
      <c r="I60" s="4"/>
      <c r="J60" s="4"/>
      <c r="L60" s="4"/>
      <c r="M60" s="4"/>
      <c r="N60" s="4"/>
      <c r="O60" s="4"/>
      <c r="P60" s="4"/>
      <c r="S60" s="4"/>
    </row>
    <row r="61" spans="2:19">
      <c r="B61" s="4"/>
      <c r="C61" s="481" t="s">
        <v>347</v>
      </c>
      <c r="D61" s="479"/>
      <c r="E61" s="479"/>
      <c r="F61" s="479"/>
      <c r="G61" s="479"/>
      <c r="H61" s="479"/>
      <c r="I61" s="479"/>
      <c r="J61" s="478"/>
      <c r="L61" s="481" t="s">
        <v>346</v>
      </c>
      <c r="M61" s="479"/>
      <c r="N61" s="479"/>
      <c r="O61" s="479"/>
      <c r="P61" s="478"/>
      <c r="S61" s="4"/>
    </row>
    <row r="62" spans="2:19">
      <c r="B62" s="4"/>
      <c r="C62" s="133"/>
      <c r="D62" s="4"/>
      <c r="E62" s="4"/>
      <c r="F62" s="4"/>
      <c r="G62" s="4"/>
      <c r="H62" s="4"/>
      <c r="I62" s="4"/>
      <c r="J62" s="55"/>
      <c r="L62" s="133"/>
      <c r="M62" s="4"/>
      <c r="N62" s="4"/>
      <c r="O62" s="4"/>
      <c r="P62" s="55"/>
      <c r="S62" s="4"/>
    </row>
    <row r="63" spans="2:19">
      <c r="B63" s="4"/>
      <c r="C63" s="133"/>
      <c r="D63" s="4"/>
      <c r="E63" s="4"/>
      <c r="F63" s="4"/>
      <c r="G63" s="559" t="s">
        <v>345</v>
      </c>
      <c r="H63" s="559"/>
      <c r="I63" s="559" t="s">
        <v>344</v>
      </c>
      <c r="J63" s="55"/>
      <c r="L63" s="133" t="s">
        <v>21</v>
      </c>
      <c r="M63" s="4"/>
      <c r="N63" s="4"/>
      <c r="P63" s="57">
        <f>G34</f>
        <v>1423.7465426666663</v>
      </c>
      <c r="S63" s="4"/>
    </row>
    <row r="64" spans="2:19">
      <c r="B64" s="4"/>
      <c r="C64" s="133"/>
      <c r="D64" s="302" t="s">
        <v>343</v>
      </c>
      <c r="E64" s="2"/>
      <c r="F64" s="558" t="s">
        <v>342</v>
      </c>
      <c r="G64" s="558" t="s">
        <v>9</v>
      </c>
      <c r="H64" s="558"/>
      <c r="I64" s="558" t="s">
        <v>341</v>
      </c>
      <c r="J64" s="55"/>
      <c r="L64" s="133" t="s">
        <v>340</v>
      </c>
      <c r="M64" s="4"/>
      <c r="N64" s="4"/>
      <c r="P64" s="677">
        <f xml:space="preserve"> _xlfn.LET(
      _xlpm.revolver,     $H$460,
      _xlpm.other_loans,  SUM( $H$466:$H$469 ),
      _xlpm.cash,         $H$447,
      _xlpm.revolver + _xlpm.other_loans - _xlpm.cash )</f>
        <v>375</v>
      </c>
      <c r="S64" s="4"/>
    </row>
    <row r="65" spans="2:19">
      <c r="B65" s="4"/>
      <c r="C65" s="133"/>
      <c r="D65" s="4"/>
      <c r="E65" s="4"/>
      <c r="F65" s="557" t="str">
        <f>F42</f>
        <v>($MM)</v>
      </c>
      <c r="G65" s="4"/>
      <c r="H65" s="4"/>
      <c r="I65" s="4"/>
      <c r="J65" s="55"/>
      <c r="L65" s="459" t="s">
        <v>339</v>
      </c>
      <c r="M65" s="4"/>
      <c r="N65" s="4"/>
      <c r="P65" s="497">
        <f>P63-P64</f>
        <v>1048.7465426666663</v>
      </c>
      <c r="S65" s="4"/>
    </row>
    <row r="66" spans="2:19">
      <c r="B66" s="4"/>
      <c r="C66" s="133"/>
      <c r="D66" s="4" t="s">
        <v>338</v>
      </c>
      <c r="E66" s="4"/>
      <c r="F66" s="27">
        <f>P65</f>
        <v>1048.7465426666663</v>
      </c>
      <c r="G66" s="282">
        <f>F66/$F$69</f>
        <v>0.72198455596229705</v>
      </c>
      <c r="H66" s="282"/>
      <c r="I66" s="556">
        <f>F66/$G$32</f>
        <v>6.6294938046496323</v>
      </c>
      <c r="J66" s="55"/>
      <c r="L66" s="133"/>
      <c r="M66" s="4"/>
      <c r="N66" s="4"/>
      <c r="P66" s="55"/>
      <c r="S66" s="4"/>
    </row>
    <row r="67" spans="2:19">
      <c r="B67" s="4"/>
      <c r="C67" s="133"/>
      <c r="D67" s="4" t="s">
        <v>337</v>
      </c>
      <c r="E67" s="4"/>
      <c r="F67" s="27">
        <f>H460+SUM(H466:H469)</f>
        <v>380</v>
      </c>
      <c r="G67" s="282">
        <f>F67/$F$69</f>
        <v>0.26160194108298829</v>
      </c>
      <c r="H67" s="282"/>
      <c r="I67" s="556">
        <f>F67/$G$32</f>
        <v>2.4021129446217069</v>
      </c>
      <c r="J67" s="55"/>
      <c r="L67" s="133" t="s">
        <v>336</v>
      </c>
      <c r="M67" s="4"/>
      <c r="N67" s="4"/>
      <c r="P67" s="57">
        <f>H477-H454</f>
        <v>821.7</v>
      </c>
      <c r="S67" s="4"/>
    </row>
    <row r="68" spans="2:19">
      <c r="B68" s="4"/>
      <c r="C68" s="133"/>
      <c r="D68" s="4" t="s">
        <v>335</v>
      </c>
      <c r="E68" s="4"/>
      <c r="F68" s="555">
        <f>P52</f>
        <v>23.842067444037031</v>
      </c>
      <c r="G68" s="554">
        <f>F68/$F$69</f>
        <v>1.6413502954714759E-2</v>
      </c>
      <c r="H68" s="554"/>
      <c r="I68" s="553">
        <f>F68/$G$32</f>
        <v>0.15071404956280296</v>
      </c>
      <c r="J68" s="55"/>
      <c r="L68" s="133" t="s">
        <v>334</v>
      </c>
      <c r="M68" s="4"/>
      <c r="N68" s="4"/>
      <c r="P68" s="552">
        <v>25</v>
      </c>
      <c r="S68" s="4"/>
    </row>
    <row r="69" spans="2:19" ht="13.8" thickBot="1">
      <c r="B69" s="4"/>
      <c r="C69" s="133"/>
      <c r="D69" s="65" t="s">
        <v>333</v>
      </c>
      <c r="E69" s="4"/>
      <c r="F69" s="64">
        <f>SUM(F66:F68)</f>
        <v>1452.5886101107033</v>
      </c>
      <c r="G69" s="551">
        <f>SUM(G66:G68)</f>
        <v>1</v>
      </c>
      <c r="H69" s="551"/>
      <c r="I69" s="550">
        <f>SUM(I66:I68)</f>
        <v>9.1823207988341426</v>
      </c>
      <c r="J69" s="55"/>
      <c r="L69" s="459" t="s">
        <v>332</v>
      </c>
      <c r="M69" s="65"/>
      <c r="N69" s="65"/>
      <c r="P69" s="549">
        <f>P65-P67-P68</f>
        <v>202.04654266666626</v>
      </c>
      <c r="S69" s="4"/>
    </row>
    <row r="70" spans="2:19" ht="13.8" thickTop="1">
      <c r="B70" s="4"/>
      <c r="C70" s="260"/>
      <c r="D70" s="2"/>
      <c r="E70" s="2"/>
      <c r="F70" s="2"/>
      <c r="G70" s="2"/>
      <c r="H70" s="2"/>
      <c r="I70" s="2"/>
      <c r="J70" s="469"/>
      <c r="L70" s="260"/>
      <c r="M70" s="2"/>
      <c r="N70" s="2"/>
      <c r="O70" s="2"/>
      <c r="P70" s="548"/>
      <c r="S70" s="4"/>
    </row>
    <row r="71" spans="2:19"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</row>
    <row r="72" spans="2:19"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</row>
    <row r="75" spans="2:19" ht="22.8">
      <c r="B75" s="35" t="str">
        <f>$B$26</f>
        <v>Lingoren Corp.</v>
      </c>
      <c r="C75" s="344"/>
      <c r="D75" s="20"/>
      <c r="E75" s="20"/>
      <c r="F75" s="20"/>
      <c r="G75" s="20"/>
      <c r="H75" s="20"/>
      <c r="I75" s="20"/>
      <c r="J75" s="20"/>
      <c r="K75" s="20"/>
      <c r="L75" s="20"/>
      <c r="M75" s="20"/>
      <c r="N75" s="20"/>
    </row>
    <row r="76" spans="2:19" ht="17.399999999999999">
      <c r="B76" s="485" t="s">
        <v>280</v>
      </c>
      <c r="C76" s="485"/>
      <c r="D76" s="20"/>
      <c r="E76" s="20"/>
      <c r="F76" s="20"/>
      <c r="G76" s="20"/>
      <c r="H76" s="20"/>
      <c r="I76" s="20"/>
      <c r="J76" s="20"/>
      <c r="K76" s="20"/>
      <c r="L76" s="20"/>
      <c r="M76" s="20"/>
      <c r="N76" s="20"/>
    </row>
    <row r="77" spans="2:19" ht="6" customHeight="1" thickBot="1">
      <c r="B77" s="484"/>
      <c r="C77" s="484"/>
      <c r="D77" s="169"/>
      <c r="E77" s="169"/>
      <c r="F77" s="169"/>
      <c r="G77" s="169"/>
      <c r="H77" s="169"/>
      <c r="I77" s="169"/>
      <c r="J77" s="169"/>
      <c r="K77" s="169"/>
      <c r="L77" s="169"/>
      <c r="M77" s="169"/>
      <c r="N77" s="169"/>
    </row>
    <row r="78" spans="2:19"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</row>
    <row r="79" spans="2:19">
      <c r="B79" s="4"/>
      <c r="C79" s="481" t="s">
        <v>331</v>
      </c>
      <c r="D79" s="479"/>
      <c r="E79" s="479"/>
      <c r="F79" s="479"/>
      <c r="G79" s="479"/>
      <c r="H79" s="478"/>
      <c r="I79" s="4"/>
      <c r="J79" s="481" t="s">
        <v>330</v>
      </c>
      <c r="K79" s="483"/>
      <c r="L79" s="483"/>
      <c r="M79" s="483"/>
      <c r="N79" s="482"/>
    </row>
    <row r="80" spans="2:19">
      <c r="B80" s="4"/>
      <c r="C80" s="540" t="s">
        <v>256</v>
      </c>
      <c r="D80" s="30" t="s">
        <v>329</v>
      </c>
      <c r="E80" s="4"/>
      <c r="F80" s="4"/>
      <c r="G80" s="547">
        <v>2019</v>
      </c>
      <c r="H80" s="55"/>
      <c r="I80" s="4"/>
      <c r="J80" s="501" t="s">
        <v>328</v>
      </c>
      <c r="K80" s="4"/>
      <c r="L80" s="4"/>
      <c r="M80" s="4"/>
      <c r="N80" s="546">
        <v>350</v>
      </c>
    </row>
    <row r="81" spans="2:15">
      <c r="B81" s="4"/>
      <c r="C81" s="540" t="s">
        <v>256</v>
      </c>
      <c r="D81" s="144" t="str">
        <f>CONCATENATE("5-year cash flow model discounted to December 31, ",G80-1)</f>
        <v>5-year cash flow model discounted to December 31, 2018</v>
      </c>
      <c r="E81" s="4"/>
      <c r="F81" s="4"/>
      <c r="G81" s="4"/>
      <c r="H81" s="55"/>
      <c r="I81" s="4"/>
      <c r="J81" s="501" t="s">
        <v>327</v>
      </c>
      <c r="K81" s="23"/>
      <c r="L81" s="23"/>
      <c r="M81" s="23"/>
      <c r="N81" s="545">
        <v>39.5</v>
      </c>
      <c r="O81" s="4"/>
    </row>
    <row r="82" spans="2:15">
      <c r="B82" s="4"/>
      <c r="C82" s="540" t="s">
        <v>256</v>
      </c>
      <c r="D82" s="30" t="s">
        <v>326</v>
      </c>
      <c r="E82" s="4"/>
      <c r="F82" s="4"/>
      <c r="G82" s="4"/>
      <c r="H82" s="55"/>
      <c r="I82" s="4"/>
      <c r="J82" s="133"/>
      <c r="K82" s="4"/>
      <c r="L82" s="4"/>
      <c r="M82" s="4"/>
      <c r="N82" s="55"/>
      <c r="O82" s="4"/>
    </row>
    <row r="83" spans="2:15">
      <c r="B83" s="4"/>
      <c r="C83" s="544"/>
      <c r="D83" s="543" t="s">
        <v>325</v>
      </c>
      <c r="E83" s="2"/>
      <c r="F83" s="2"/>
      <c r="G83" s="2"/>
      <c r="H83" s="469"/>
      <c r="I83" s="4"/>
      <c r="J83" s="260"/>
      <c r="K83" s="2"/>
      <c r="L83" s="2"/>
      <c r="M83" s="2"/>
      <c r="N83" s="469"/>
      <c r="O83" s="4"/>
    </row>
    <row r="84" spans="2:15"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</row>
    <row r="85" spans="2:15">
      <c r="B85" s="23"/>
      <c r="C85" s="481" t="s">
        <v>324</v>
      </c>
      <c r="D85" s="542"/>
      <c r="E85" s="483"/>
      <c r="F85" s="483"/>
      <c r="G85" s="483"/>
      <c r="H85" s="482"/>
      <c r="I85" s="23"/>
      <c r="J85" s="541" t="s">
        <v>323</v>
      </c>
      <c r="K85" s="479"/>
      <c r="L85" s="479"/>
      <c r="M85" s="479"/>
      <c r="N85" s="478"/>
      <c r="O85" s="23"/>
    </row>
    <row r="86" spans="2:15">
      <c r="B86" s="4"/>
      <c r="C86" s="540" t="s">
        <v>256</v>
      </c>
      <c r="D86" s="144" t="s">
        <v>322</v>
      </c>
      <c r="E86" s="4"/>
      <c r="F86" s="4"/>
      <c r="G86" s="4"/>
      <c r="H86" s="55"/>
      <c r="I86" s="4"/>
      <c r="J86" s="501" t="s">
        <v>321</v>
      </c>
      <c r="K86" s="4"/>
      <c r="L86" s="4"/>
      <c r="M86" s="4"/>
      <c r="N86" s="55"/>
      <c r="O86" s="4"/>
    </row>
    <row r="87" spans="2:15">
      <c r="B87" s="4"/>
      <c r="C87" s="539" t="s">
        <v>320</v>
      </c>
      <c r="D87" s="538"/>
      <c r="E87" s="536" t="str">
        <f>I212&amp;" - "&amp;M212</f>
        <v>2019 - 2023</v>
      </c>
      <c r="F87" s="537"/>
      <c r="G87" s="536" t="s">
        <v>319</v>
      </c>
      <c r="H87" s="535"/>
      <c r="I87" s="4"/>
      <c r="J87" s="501" t="s">
        <v>318</v>
      </c>
      <c r="K87" s="4"/>
      <c r="L87" s="4"/>
      <c r="M87" s="4"/>
      <c r="N87" s="533">
        <v>0.35</v>
      </c>
      <c r="O87" s="4"/>
    </row>
    <row r="88" spans="2:15" ht="15.6">
      <c r="B88" s="532"/>
      <c r="C88" s="531" t="s">
        <v>317</v>
      </c>
      <c r="D88" s="4"/>
      <c r="E88" s="20" t="s">
        <v>316</v>
      </c>
      <c r="F88" s="20"/>
      <c r="G88" s="20" t="s">
        <v>311</v>
      </c>
      <c r="H88" s="529"/>
      <c r="I88" s="534"/>
      <c r="J88" s="501" t="s">
        <v>315</v>
      </c>
      <c r="K88" s="4"/>
      <c r="L88" s="4"/>
      <c r="M88" s="4"/>
      <c r="N88" s="533">
        <v>0.15</v>
      </c>
      <c r="O88" s="532"/>
    </row>
    <row r="89" spans="2:15">
      <c r="B89" s="4"/>
      <c r="C89" s="531" t="s">
        <v>314</v>
      </c>
      <c r="D89" s="4"/>
      <c r="E89" s="530">
        <v>0.03</v>
      </c>
      <c r="F89" s="20"/>
      <c r="G89" s="20" t="s">
        <v>311</v>
      </c>
      <c r="H89" s="529"/>
      <c r="I89" s="30"/>
      <c r="J89" s="501" t="s">
        <v>313</v>
      </c>
      <c r="K89" s="4"/>
      <c r="L89" s="4"/>
      <c r="M89" s="4"/>
      <c r="N89" s="528">
        <v>32.5</v>
      </c>
      <c r="O89" s="4"/>
    </row>
    <row r="90" spans="2:15">
      <c r="B90" s="4"/>
      <c r="C90" s="527" t="s">
        <v>312</v>
      </c>
      <c r="D90" s="2"/>
      <c r="E90" s="526">
        <v>-0.03</v>
      </c>
      <c r="F90" s="13"/>
      <c r="G90" s="13" t="s">
        <v>311</v>
      </c>
      <c r="H90" s="525"/>
      <c r="I90" s="30"/>
      <c r="J90" s="524" t="s">
        <v>310</v>
      </c>
      <c r="K90" s="2"/>
      <c r="L90" s="2"/>
      <c r="M90" s="2"/>
      <c r="N90" s="523">
        <v>580.79999999999995</v>
      </c>
      <c r="O90" s="4"/>
    </row>
    <row r="91" spans="2:15">
      <c r="B91" s="4"/>
      <c r="C91" s="4"/>
      <c r="D91" s="4"/>
      <c r="E91" s="4"/>
      <c r="F91" s="4"/>
      <c r="G91" s="4"/>
      <c r="H91" s="4"/>
      <c r="I91" s="30"/>
      <c r="J91" s="4"/>
      <c r="K91" s="4"/>
      <c r="L91" s="4"/>
      <c r="M91" s="4"/>
      <c r="N91" s="4"/>
      <c r="O91" s="4"/>
    </row>
    <row r="92" spans="2:15">
      <c r="B92" s="4"/>
      <c r="C92" s="481" t="s">
        <v>309</v>
      </c>
      <c r="D92" s="480"/>
      <c r="E92" s="479"/>
      <c r="F92" s="479"/>
      <c r="G92" s="479"/>
      <c r="H92" s="478"/>
      <c r="I92" s="4"/>
      <c r="J92" s="481" t="s">
        <v>308</v>
      </c>
      <c r="K92" s="479"/>
      <c r="L92" s="479"/>
      <c r="M92" s="479"/>
      <c r="N92" s="478"/>
      <c r="O92" s="4"/>
    </row>
    <row r="93" spans="2:15">
      <c r="B93" s="4"/>
      <c r="C93" s="522" t="s">
        <v>307</v>
      </c>
      <c r="D93" s="521"/>
      <c r="E93" s="520">
        <f>G80</f>
        <v>2019</v>
      </c>
      <c r="F93" s="59"/>
      <c r="G93" s="520" t="s">
        <v>306</v>
      </c>
      <c r="H93" s="58"/>
      <c r="I93" s="4"/>
      <c r="J93" s="519" t="s">
        <v>305</v>
      </c>
      <c r="K93" s="59"/>
      <c r="L93" s="59"/>
      <c r="M93" s="59"/>
      <c r="N93" s="518" t="s">
        <v>304</v>
      </c>
      <c r="O93" s="4"/>
    </row>
    <row r="94" spans="2:15">
      <c r="B94" s="4"/>
      <c r="C94" s="507" t="s">
        <v>225</v>
      </c>
      <c r="D94" s="144"/>
      <c r="E94" s="621">
        <v>24.6</v>
      </c>
      <c r="F94" s="4" t="s">
        <v>302</v>
      </c>
      <c r="G94" s="4" t="s">
        <v>301</v>
      </c>
      <c r="H94" s="55"/>
      <c r="I94" s="4"/>
      <c r="J94" s="517" t="s">
        <v>303</v>
      </c>
      <c r="K94" s="4"/>
      <c r="L94" s="4"/>
      <c r="M94" s="4"/>
      <c r="N94" s="516">
        <v>20</v>
      </c>
      <c r="O94" s="4"/>
    </row>
    <row r="95" spans="2:15">
      <c r="B95" s="4"/>
      <c r="C95" s="133" t="s">
        <v>224</v>
      </c>
      <c r="D95" s="4"/>
      <c r="E95" s="621">
        <v>2.7</v>
      </c>
      <c r="F95" s="4" t="s">
        <v>302</v>
      </c>
      <c r="G95" s="4" t="s">
        <v>301</v>
      </c>
      <c r="H95" s="55"/>
      <c r="I95" s="4"/>
      <c r="J95" s="515" t="s">
        <v>300</v>
      </c>
      <c r="K95" s="2"/>
      <c r="L95" s="2"/>
      <c r="M95" s="2"/>
      <c r="N95" s="514">
        <v>25</v>
      </c>
      <c r="O95" s="4"/>
    </row>
    <row r="96" spans="2:15">
      <c r="B96" s="4"/>
      <c r="C96" s="507" t="s">
        <v>223</v>
      </c>
      <c r="D96" s="144"/>
      <c r="E96" s="621">
        <v>41</v>
      </c>
      <c r="F96" s="4" t="s">
        <v>297</v>
      </c>
      <c r="G96" s="4" t="s">
        <v>296</v>
      </c>
      <c r="H96" s="55"/>
      <c r="I96" s="4"/>
      <c r="J96" s="4"/>
      <c r="K96" s="4"/>
      <c r="L96" s="4"/>
      <c r="M96" s="4"/>
      <c r="N96" s="4"/>
      <c r="O96" s="4"/>
    </row>
    <row r="97" spans="2:15">
      <c r="B97" s="4"/>
      <c r="C97" s="507" t="s">
        <v>222</v>
      </c>
      <c r="D97" s="30"/>
      <c r="E97" s="621">
        <v>31.2</v>
      </c>
      <c r="F97" s="4" t="s">
        <v>297</v>
      </c>
      <c r="G97" s="4" t="s">
        <v>296</v>
      </c>
      <c r="H97" s="55"/>
      <c r="I97" s="4"/>
      <c r="J97" s="481" t="s">
        <v>299</v>
      </c>
      <c r="K97" s="479"/>
      <c r="L97" s="479"/>
      <c r="M97" s="479"/>
      <c r="N97" s="478"/>
      <c r="O97" s="4"/>
    </row>
    <row r="98" spans="2:15">
      <c r="B98" s="4"/>
      <c r="C98" s="507" t="s">
        <v>221</v>
      </c>
      <c r="D98" s="30"/>
      <c r="E98" s="621">
        <v>66.400000000000006</v>
      </c>
      <c r="F98" s="4" t="s">
        <v>297</v>
      </c>
      <c r="G98" s="4" t="s">
        <v>296</v>
      </c>
      <c r="H98" s="55"/>
      <c r="I98" s="4"/>
      <c r="J98" s="133" t="str">
        <f ca="1">"- Stock Price - "&amp;TEXT(TODAY()-1,"mm/dd/yy")</f>
        <v>- Stock Price - 10/04/26</v>
      </c>
      <c r="K98" s="513"/>
      <c r="L98" s="4"/>
      <c r="M98" s="512"/>
      <c r="N98" s="511">
        <v>31.55</v>
      </c>
      <c r="O98" s="4"/>
    </row>
    <row r="99" spans="2:15">
      <c r="B99" s="4"/>
      <c r="C99" s="507" t="s">
        <v>220</v>
      </c>
      <c r="D99" s="30"/>
      <c r="E99" s="621">
        <v>8.1999999999999993</v>
      </c>
      <c r="F99" s="4" t="s">
        <v>297</v>
      </c>
      <c r="G99" s="4" t="s">
        <v>296</v>
      </c>
      <c r="H99" s="55"/>
      <c r="I99" s="4"/>
      <c r="J99" s="260" t="str">
        <f>"- Fully Diluted Shares O/S (MM) - Dec. 31, "&amp;G80-1</f>
        <v>- Fully Diluted Shares O/S (MM) - Dec. 31, 2018</v>
      </c>
      <c r="K99" s="2"/>
      <c r="L99" s="2"/>
      <c r="M99" s="510"/>
      <c r="N99" s="509">
        <v>30.4</v>
      </c>
      <c r="O99" s="4"/>
    </row>
    <row r="100" spans="2:15">
      <c r="B100" s="4"/>
      <c r="C100" s="133" t="s">
        <v>157</v>
      </c>
      <c r="D100" s="4"/>
      <c r="E100" s="621">
        <v>4.2</v>
      </c>
      <c r="F100" s="4" t="s">
        <v>297</v>
      </c>
      <c r="G100" s="4" t="s">
        <v>296</v>
      </c>
      <c r="H100" s="55"/>
      <c r="I100" s="4"/>
      <c r="J100" s="4"/>
      <c r="K100" s="4"/>
      <c r="L100" s="4"/>
      <c r="M100" s="4"/>
      <c r="N100" s="4"/>
      <c r="O100" s="4"/>
    </row>
    <row r="101" spans="2:15">
      <c r="B101" s="4"/>
      <c r="C101" s="507" t="s">
        <v>298</v>
      </c>
      <c r="D101" s="30"/>
      <c r="E101" s="506">
        <v>45.2</v>
      </c>
      <c r="F101" s="4" t="s">
        <v>297</v>
      </c>
      <c r="G101" s="4" t="s">
        <v>296</v>
      </c>
      <c r="H101" s="55"/>
      <c r="I101" s="4"/>
      <c r="J101" s="4"/>
      <c r="K101" s="4"/>
      <c r="L101" s="4"/>
      <c r="M101" s="4"/>
      <c r="N101" s="4"/>
    </row>
    <row r="102" spans="2:15">
      <c r="B102" s="4"/>
      <c r="C102" s="260" t="s">
        <v>206</v>
      </c>
      <c r="D102" s="2"/>
      <c r="E102" s="622">
        <v>0.02</v>
      </c>
      <c r="F102" s="470"/>
      <c r="G102" s="470"/>
      <c r="H102" s="429"/>
      <c r="I102" s="4"/>
      <c r="J102" s="4"/>
      <c r="K102" s="4"/>
      <c r="L102" s="4"/>
      <c r="M102" s="4"/>
      <c r="N102" s="4"/>
    </row>
    <row r="103" spans="2:15"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</row>
    <row r="104" spans="2:15">
      <c r="B104" s="2"/>
      <c r="C104" s="2"/>
      <c r="D104" s="446"/>
      <c r="E104" s="13"/>
      <c r="F104" s="13"/>
      <c r="G104" s="13"/>
      <c r="H104" s="13"/>
      <c r="I104" s="2"/>
      <c r="J104" s="2"/>
      <c r="K104" s="2"/>
      <c r="L104" s="2"/>
      <c r="M104" s="2"/>
      <c r="N104" s="2"/>
    </row>
    <row r="105" spans="2:15">
      <c r="B105" s="4"/>
      <c r="C105" s="4"/>
      <c r="D105" s="504"/>
      <c r="E105" s="20"/>
      <c r="F105" s="20"/>
      <c r="G105" s="20"/>
      <c r="H105" s="20"/>
      <c r="I105" s="4"/>
      <c r="J105" s="4"/>
      <c r="K105" s="4"/>
      <c r="L105" s="4"/>
      <c r="M105" s="4"/>
      <c r="N105" s="4"/>
    </row>
    <row r="106" spans="2:15">
      <c r="B106" s="4"/>
      <c r="C106" s="4"/>
      <c r="D106" s="504"/>
      <c r="E106" s="20"/>
      <c r="F106" s="20"/>
      <c r="G106" s="20"/>
      <c r="H106" s="20"/>
      <c r="I106" s="4"/>
      <c r="J106" s="4"/>
      <c r="K106" s="4"/>
      <c r="L106" s="4"/>
      <c r="M106" s="4"/>
      <c r="N106" s="4"/>
    </row>
    <row r="107" spans="2:15">
      <c r="B107" s="4"/>
      <c r="C107" s="4"/>
      <c r="D107" s="504"/>
      <c r="E107" s="20"/>
      <c r="F107" s="20"/>
      <c r="G107" s="20"/>
      <c r="H107" s="20"/>
      <c r="I107" s="4"/>
      <c r="J107" s="4"/>
      <c r="K107" s="4"/>
      <c r="L107" s="4"/>
      <c r="M107" s="4"/>
      <c r="N107" s="4"/>
      <c r="O107" s="4"/>
    </row>
    <row r="108" spans="2:15" ht="22.8">
      <c r="B108" s="35" t="str">
        <f>$B$26</f>
        <v>Lingoren Corp.</v>
      </c>
      <c r="C108" s="344"/>
      <c r="D108" s="20"/>
      <c r="E108" s="20"/>
      <c r="F108" s="20"/>
      <c r="G108" s="20"/>
      <c r="H108" s="20"/>
      <c r="I108" s="20"/>
      <c r="J108" s="20"/>
      <c r="K108" s="20"/>
      <c r="L108" s="20"/>
      <c r="M108" s="20"/>
      <c r="O108" s="30"/>
    </row>
    <row r="109" spans="2:15" ht="17.399999999999999">
      <c r="B109" s="485" t="s">
        <v>280</v>
      </c>
      <c r="C109" s="485"/>
      <c r="D109" s="20"/>
      <c r="E109" s="20"/>
      <c r="F109" s="20"/>
      <c r="G109" s="20"/>
      <c r="H109" s="20"/>
      <c r="I109" s="20"/>
      <c r="J109" s="20"/>
      <c r="K109" s="20"/>
      <c r="L109" s="20"/>
      <c r="M109" s="20"/>
      <c r="O109" s="30"/>
    </row>
    <row r="110" spans="2:15" ht="6" customHeight="1" thickBot="1">
      <c r="B110" s="484"/>
      <c r="C110" s="484"/>
      <c r="D110" s="169"/>
      <c r="E110" s="169"/>
      <c r="F110" s="169"/>
      <c r="G110" s="169"/>
      <c r="H110" s="169"/>
      <c r="I110" s="169"/>
      <c r="J110" s="169"/>
      <c r="K110" s="169"/>
      <c r="L110" s="169"/>
      <c r="M110" s="169"/>
      <c r="O110" s="30"/>
    </row>
    <row r="111" spans="2:15">
      <c r="B111" s="4"/>
      <c r="C111" s="4"/>
      <c r="D111" s="504"/>
      <c r="E111" s="20"/>
      <c r="F111" s="20"/>
      <c r="G111" s="20"/>
      <c r="H111" s="20"/>
      <c r="I111" s="4"/>
      <c r="J111" s="4"/>
      <c r="K111" s="4"/>
      <c r="L111" s="4"/>
      <c r="M111" s="4"/>
      <c r="O111" s="30"/>
    </row>
    <row r="112" spans="2:15">
      <c r="B112" s="4"/>
      <c r="C112" s="205" t="s">
        <v>295</v>
      </c>
      <c r="D112" s="4"/>
      <c r="E112" s="4"/>
      <c r="F112" s="4"/>
      <c r="G112" s="4"/>
      <c r="H112" s="4"/>
      <c r="I112" s="4"/>
      <c r="J112" s="4"/>
      <c r="K112" s="4"/>
      <c r="L112" s="4"/>
      <c r="M112" s="4"/>
      <c r="O112" s="4"/>
    </row>
    <row r="113" spans="2:15" ht="13.2" customHeight="1">
      <c r="B113" s="4"/>
      <c r="C113" s="503" t="s">
        <v>256</v>
      </c>
      <c r="D113" s="30" t="str">
        <f>CONCATENATE("Capex has been assumed at $",G122," million in ",G117,", $",H122," million in ",H117," and grown at inflation thereafter")</f>
        <v>Capex has been assumed at $50 million in 2019, $55 million in 2020 and grown at inflation thereafter</v>
      </c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</row>
    <row r="114" spans="2:15">
      <c r="B114" s="4"/>
      <c r="C114" s="503" t="s">
        <v>256</v>
      </c>
      <c r="D114" s="30" t="s">
        <v>294</v>
      </c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</row>
    <row r="115" spans="2:15">
      <c r="B115" s="4"/>
      <c r="C115" s="503"/>
      <c r="D115" s="30" t="s">
        <v>293</v>
      </c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</row>
    <row r="116" spans="2:15" ht="18">
      <c r="B116" s="4"/>
      <c r="C116" s="502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</row>
    <row r="117" spans="2:15" ht="15.6">
      <c r="B117" s="494"/>
      <c r="C117" s="496"/>
      <c r="D117" s="492" t="s">
        <v>283</v>
      </c>
      <c r="E117" s="479"/>
      <c r="F117" s="479"/>
      <c r="G117" s="623">
        <f>G80</f>
        <v>2019</v>
      </c>
      <c r="H117" s="623">
        <f>G117+1</f>
        <v>2020</v>
      </c>
      <c r="I117" s="623">
        <f>H117+1</f>
        <v>2021</v>
      </c>
      <c r="J117" s="623">
        <f>I117+1</f>
        <v>2022</v>
      </c>
      <c r="K117" s="624">
        <f>J117+1</f>
        <v>2023</v>
      </c>
      <c r="M117" s="495"/>
      <c r="N117" s="495"/>
      <c r="O117" s="494"/>
    </row>
    <row r="118" spans="2:15" ht="6" customHeight="1">
      <c r="B118" s="4"/>
      <c r="C118" s="4"/>
      <c r="D118" s="133"/>
      <c r="E118" s="4"/>
      <c r="F118" s="4"/>
      <c r="G118" s="4"/>
      <c r="H118" s="4"/>
      <c r="I118" s="4"/>
      <c r="J118" s="4"/>
      <c r="K118" s="55"/>
      <c r="M118" s="4"/>
      <c r="N118" s="4"/>
      <c r="O118" s="4"/>
    </row>
    <row r="119" spans="2:15">
      <c r="B119" s="4"/>
      <c r="C119" s="4"/>
      <c r="D119" s="501" t="s">
        <v>292</v>
      </c>
      <c r="E119" s="4"/>
      <c r="F119" s="4"/>
      <c r="G119" s="487">
        <v>50</v>
      </c>
      <c r="H119" s="487">
        <v>55</v>
      </c>
      <c r="I119" s="678">
        <f>H119*(1+K$233)</f>
        <v>56.1</v>
      </c>
      <c r="J119" s="678">
        <f t="shared" ref="J119:K119" si="2">I119*(1+L$233)</f>
        <v>57.502499999999998</v>
      </c>
      <c r="K119" s="679">
        <f t="shared" si="2"/>
        <v>58.940062499999989</v>
      </c>
      <c r="M119" s="500"/>
      <c r="N119" s="500"/>
      <c r="O119" s="4"/>
    </row>
    <row r="120" spans="2:15">
      <c r="B120" s="4"/>
      <c r="C120" s="4"/>
      <c r="D120" s="135" t="s">
        <v>291</v>
      </c>
      <c r="E120" s="4"/>
      <c r="F120" s="4"/>
      <c r="G120" s="487">
        <v>0</v>
      </c>
      <c r="H120" s="487">
        <v>0</v>
      </c>
      <c r="I120" s="487">
        <v>0</v>
      </c>
      <c r="J120" s="487">
        <v>0</v>
      </c>
      <c r="K120" s="493">
        <v>0</v>
      </c>
      <c r="M120" s="487"/>
      <c r="N120" s="487"/>
      <c r="O120" s="4"/>
    </row>
    <row r="121" spans="2:15">
      <c r="B121" s="4"/>
      <c r="C121" s="4"/>
      <c r="D121" s="133" t="s">
        <v>290</v>
      </c>
      <c r="E121" s="4"/>
      <c r="F121" s="4"/>
      <c r="G121" s="499">
        <v>0</v>
      </c>
      <c r="H121" s="499">
        <v>0</v>
      </c>
      <c r="I121" s="499">
        <v>0</v>
      </c>
      <c r="J121" s="499">
        <v>0</v>
      </c>
      <c r="K121" s="498">
        <v>30</v>
      </c>
      <c r="M121" s="487"/>
      <c r="N121" s="487"/>
      <c r="O121" s="4"/>
    </row>
    <row r="122" spans="2:15">
      <c r="B122" s="4"/>
      <c r="C122" s="4"/>
      <c r="D122" s="459" t="s">
        <v>9</v>
      </c>
      <c r="E122" s="4"/>
      <c r="F122" s="4"/>
      <c r="G122" s="64">
        <f>SUM(G119:G121)</f>
        <v>50</v>
      </c>
      <c r="H122" s="64">
        <f>SUM(H119:H121)</f>
        <v>55</v>
      </c>
      <c r="I122" s="64">
        <f>SUM(I119:I121)</f>
        <v>56.1</v>
      </c>
      <c r="J122" s="64">
        <f>SUM(J119:J121)</f>
        <v>57.502499999999998</v>
      </c>
      <c r="K122" s="497">
        <f>SUM(K119:K121)</f>
        <v>88.940062499999982</v>
      </c>
      <c r="M122" s="64"/>
      <c r="N122" s="487"/>
      <c r="O122" s="4"/>
    </row>
    <row r="123" spans="2:15" ht="6" customHeight="1">
      <c r="B123" s="4"/>
      <c r="C123" s="4"/>
      <c r="D123" s="260"/>
      <c r="E123" s="448"/>
      <c r="F123" s="448"/>
      <c r="G123" s="448"/>
      <c r="H123" s="448"/>
      <c r="I123" s="488"/>
      <c r="J123" s="448"/>
      <c r="K123" s="447"/>
      <c r="M123" s="90"/>
      <c r="N123" s="90"/>
      <c r="O123" s="90"/>
    </row>
    <row r="124" spans="2:15">
      <c r="B124" s="4"/>
      <c r="C124" s="4"/>
      <c r="D124" s="4"/>
      <c r="E124" s="4"/>
      <c r="F124" s="4"/>
      <c r="G124" s="4"/>
      <c r="H124" s="90"/>
      <c r="I124" s="486"/>
      <c r="J124" s="90"/>
      <c r="K124" s="90"/>
      <c r="L124" s="90"/>
      <c r="M124" s="90"/>
      <c r="N124" s="90"/>
      <c r="O124" s="90"/>
    </row>
    <row r="125" spans="2:15">
      <c r="B125" s="4"/>
      <c r="C125" s="4"/>
      <c r="D125" s="4"/>
      <c r="E125" s="4"/>
      <c r="F125" s="4"/>
      <c r="G125" s="4"/>
      <c r="H125" s="90"/>
      <c r="I125" s="486"/>
      <c r="J125" s="90"/>
      <c r="K125" s="90"/>
      <c r="L125" s="90"/>
      <c r="M125" s="90"/>
      <c r="N125" s="90"/>
      <c r="O125" s="90"/>
    </row>
    <row r="126" spans="2:15">
      <c r="B126" s="4"/>
      <c r="C126" s="205" t="s">
        <v>289</v>
      </c>
      <c r="D126" s="4"/>
      <c r="E126" s="4"/>
      <c r="F126" s="4"/>
      <c r="G126" s="4"/>
      <c r="H126" s="500"/>
      <c r="I126" s="500"/>
      <c r="J126" s="500"/>
      <c r="K126" s="500"/>
      <c r="L126" s="4"/>
      <c r="M126" s="4"/>
      <c r="N126" s="4"/>
      <c r="O126" s="4"/>
    </row>
    <row r="127" spans="2:15">
      <c r="B127" s="4"/>
      <c r="C127" s="205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</row>
    <row r="128" spans="2:15">
      <c r="B128" s="4"/>
      <c r="C128" s="205"/>
      <c r="D128" s="492" t="s">
        <v>283</v>
      </c>
      <c r="E128" s="479"/>
      <c r="F128" s="682">
        <f>G128-1</f>
        <v>2018</v>
      </c>
      <c r="G128" s="623">
        <f>G117</f>
        <v>2019</v>
      </c>
      <c r="H128" s="623">
        <f>G128+1</f>
        <v>2020</v>
      </c>
      <c r="I128" s="623">
        <f>H128+1</f>
        <v>2021</v>
      </c>
      <c r="J128" s="623">
        <f>I128+1</f>
        <v>2022</v>
      </c>
      <c r="K128" s="624">
        <f>J128+1</f>
        <v>2023</v>
      </c>
      <c r="L128" s="90"/>
      <c r="M128" s="4"/>
      <c r="N128" s="4"/>
      <c r="O128" s="4"/>
    </row>
    <row r="129" spans="2:15" ht="6" customHeight="1">
      <c r="B129" s="4"/>
      <c r="C129" s="4"/>
      <c r="D129" s="133"/>
      <c r="E129" s="4"/>
      <c r="F129" s="4"/>
      <c r="G129" s="4"/>
      <c r="H129" s="4"/>
      <c r="I129" s="4"/>
      <c r="J129" s="4"/>
      <c r="K129" s="55"/>
      <c r="L129" s="4"/>
      <c r="M129" s="90"/>
      <c r="N129" s="90"/>
      <c r="O129" s="90"/>
    </row>
    <row r="130" spans="2:15">
      <c r="B130" s="4"/>
      <c r="C130" s="4"/>
      <c r="D130" s="135" t="s">
        <v>288</v>
      </c>
      <c r="E130" s="4"/>
      <c r="F130" s="487">
        <v>15</v>
      </c>
      <c r="G130" s="487">
        <v>15</v>
      </c>
      <c r="H130" s="487">
        <v>20</v>
      </c>
      <c r="I130" s="487">
        <v>25</v>
      </c>
      <c r="J130" s="487">
        <v>30</v>
      </c>
      <c r="K130" s="493">
        <v>35</v>
      </c>
      <c r="L130" s="487"/>
      <c r="M130" s="487"/>
      <c r="N130" s="487"/>
      <c r="O130" s="4"/>
    </row>
    <row r="131" spans="2:15">
      <c r="B131" s="4"/>
      <c r="C131" s="4"/>
      <c r="D131" s="135" t="s">
        <v>287</v>
      </c>
      <c r="E131" s="4"/>
      <c r="F131" s="487">
        <v>-4</v>
      </c>
      <c r="G131" s="487">
        <v>-4</v>
      </c>
      <c r="H131" s="487">
        <v>-2</v>
      </c>
      <c r="I131" s="487">
        <v>0</v>
      </c>
      <c r="J131" s="487">
        <v>0</v>
      </c>
      <c r="K131" s="493">
        <v>0</v>
      </c>
      <c r="L131" s="487"/>
      <c r="M131" s="487"/>
      <c r="N131" s="487"/>
      <c r="O131" s="4"/>
    </row>
    <row r="132" spans="2:15">
      <c r="B132" s="4"/>
      <c r="C132" s="4"/>
      <c r="D132" s="135" t="s">
        <v>286</v>
      </c>
      <c r="E132" s="4"/>
      <c r="F132" s="499">
        <v>0</v>
      </c>
      <c r="G132" s="499">
        <v>0</v>
      </c>
      <c r="H132" s="499">
        <v>0</v>
      </c>
      <c r="I132" s="499">
        <v>0</v>
      </c>
      <c r="J132" s="499">
        <v>0</v>
      </c>
      <c r="K132" s="498">
        <v>0</v>
      </c>
      <c r="L132" s="487"/>
      <c r="M132" s="487"/>
      <c r="N132" s="487"/>
      <c r="O132" s="4"/>
    </row>
    <row r="133" spans="2:15">
      <c r="B133" s="4"/>
      <c r="C133" s="4"/>
      <c r="D133" s="459" t="s">
        <v>9</v>
      </c>
      <c r="E133" s="4"/>
      <c r="F133" s="64">
        <f t="shared" ref="F133:K133" si="3">SUM(F130:F132)</f>
        <v>11</v>
      </c>
      <c r="G133" s="64">
        <f t="shared" si="3"/>
        <v>11</v>
      </c>
      <c r="H133" s="64">
        <f t="shared" si="3"/>
        <v>18</v>
      </c>
      <c r="I133" s="64">
        <f t="shared" si="3"/>
        <v>25</v>
      </c>
      <c r="J133" s="64">
        <f t="shared" si="3"/>
        <v>30</v>
      </c>
      <c r="K133" s="497">
        <f t="shared" si="3"/>
        <v>35</v>
      </c>
      <c r="L133" s="90"/>
      <c r="M133" s="64"/>
      <c r="N133" s="64"/>
      <c r="O133" s="4"/>
    </row>
    <row r="134" spans="2:15" ht="6" customHeight="1">
      <c r="B134" s="4"/>
      <c r="C134" s="4"/>
      <c r="D134" s="260"/>
      <c r="E134" s="448"/>
      <c r="F134" s="448"/>
      <c r="G134" s="448"/>
      <c r="H134" s="448"/>
      <c r="I134" s="488"/>
      <c r="J134" s="448"/>
      <c r="K134" s="447"/>
      <c r="L134" s="90"/>
      <c r="M134" s="90"/>
      <c r="N134" s="90"/>
      <c r="O134" s="90"/>
    </row>
    <row r="135" spans="2:15">
      <c r="B135" s="4"/>
      <c r="C135" s="4"/>
      <c r="D135" s="4"/>
      <c r="E135" s="4"/>
      <c r="F135" s="4"/>
      <c r="G135" s="4"/>
      <c r="H135" s="90"/>
      <c r="I135" s="486"/>
      <c r="J135" s="90"/>
      <c r="K135" s="90"/>
      <c r="L135" s="90"/>
      <c r="M135" s="90"/>
      <c r="N135" s="90"/>
      <c r="O135" s="90"/>
    </row>
    <row r="136" spans="2:15"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</row>
    <row r="137" spans="2:15">
      <c r="B137" s="4"/>
      <c r="C137" s="205" t="s">
        <v>285</v>
      </c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</row>
    <row r="138" spans="2:15">
      <c r="B138" s="4"/>
      <c r="C138" s="4"/>
      <c r="D138" s="4"/>
      <c r="E138" s="4"/>
      <c r="F138" s="4"/>
      <c r="G138" s="4"/>
      <c r="H138" s="90"/>
      <c r="I138" s="486"/>
      <c r="J138" s="90"/>
      <c r="K138" s="90"/>
      <c r="L138" s="90"/>
      <c r="M138" s="90"/>
      <c r="N138" s="90"/>
      <c r="O138" s="90"/>
    </row>
    <row r="139" spans="2:15" ht="15.6">
      <c r="B139" s="494"/>
      <c r="C139" s="496"/>
      <c r="D139" s="492" t="s">
        <v>239</v>
      </c>
      <c r="E139" s="479"/>
      <c r="F139" s="479"/>
      <c r="G139" s="623">
        <f>G128</f>
        <v>2019</v>
      </c>
      <c r="H139" s="623">
        <f>G139+1</f>
        <v>2020</v>
      </c>
      <c r="I139" s="623">
        <f>H139+1</f>
        <v>2021</v>
      </c>
      <c r="J139" s="623">
        <f>I139+1</f>
        <v>2022</v>
      </c>
      <c r="K139" s="624">
        <f>J139+1</f>
        <v>2023</v>
      </c>
      <c r="L139" s="90"/>
      <c r="M139" s="495"/>
      <c r="N139" s="495"/>
      <c r="O139" s="494"/>
    </row>
    <row r="140" spans="2:15" ht="6" customHeight="1">
      <c r="B140" s="4"/>
      <c r="C140" s="4"/>
      <c r="D140" s="133"/>
      <c r="E140" s="4"/>
      <c r="F140" s="4"/>
      <c r="G140" s="4"/>
      <c r="H140" s="4"/>
      <c r="I140" s="4"/>
      <c r="J140" s="4"/>
      <c r="K140" s="55"/>
      <c r="L140" s="4"/>
      <c r="M140" s="4"/>
      <c r="N140" s="4"/>
      <c r="O140" s="4"/>
    </row>
    <row r="141" spans="2:15">
      <c r="B141" s="4"/>
      <c r="C141" s="4"/>
      <c r="D141" s="135" t="s">
        <v>104</v>
      </c>
      <c r="E141" s="4"/>
      <c r="F141" s="4"/>
      <c r="G141" s="487">
        <v>32</v>
      </c>
      <c r="H141" s="487">
        <v>30</v>
      </c>
      <c r="I141" s="487">
        <v>30</v>
      </c>
      <c r="J141" s="487">
        <v>30</v>
      </c>
      <c r="K141" s="493">
        <v>30</v>
      </c>
      <c r="L141" s="487"/>
      <c r="M141" s="487"/>
      <c r="N141" s="487"/>
      <c r="O141" s="4"/>
    </row>
    <row r="142" spans="2:15">
      <c r="B142" s="4"/>
      <c r="C142" s="4"/>
      <c r="D142" s="135" t="s">
        <v>103</v>
      </c>
      <c r="E142" s="4"/>
      <c r="F142" s="4"/>
      <c r="G142" s="487">
        <v>40</v>
      </c>
      <c r="H142" s="487">
        <v>38</v>
      </c>
      <c r="I142" s="487">
        <v>37</v>
      </c>
      <c r="J142" s="487">
        <v>37</v>
      </c>
      <c r="K142" s="493">
        <v>37</v>
      </c>
      <c r="L142" s="487"/>
      <c r="M142" s="487"/>
      <c r="N142" s="487"/>
      <c r="O142" s="4"/>
    </row>
    <row r="143" spans="2:15">
      <c r="B143" s="4"/>
      <c r="C143" s="4"/>
      <c r="D143" s="135" t="s">
        <v>102</v>
      </c>
      <c r="E143" s="4"/>
      <c r="F143" s="4"/>
      <c r="G143" s="487">
        <v>27</v>
      </c>
      <c r="H143" s="487">
        <v>28</v>
      </c>
      <c r="I143" s="487">
        <v>29</v>
      </c>
      <c r="J143" s="487">
        <v>29</v>
      </c>
      <c r="K143" s="493">
        <v>29</v>
      </c>
      <c r="L143" s="487"/>
      <c r="M143" s="487"/>
      <c r="N143" s="487"/>
      <c r="O143" s="4"/>
    </row>
    <row r="144" spans="2:15" ht="6" customHeight="1">
      <c r="B144" s="4"/>
      <c r="C144" s="4"/>
      <c r="D144" s="260"/>
      <c r="E144" s="2"/>
      <c r="F144" s="2"/>
      <c r="G144" s="2"/>
      <c r="H144" s="448"/>
      <c r="I144" s="488"/>
      <c r="J144" s="448"/>
      <c r="K144" s="447"/>
      <c r="L144" s="90"/>
      <c r="M144" s="90"/>
      <c r="N144" s="90"/>
      <c r="O144" s="90"/>
    </row>
    <row r="145" spans="2:15">
      <c r="B145" s="4"/>
      <c r="C145" s="4"/>
      <c r="D145" s="4"/>
      <c r="E145" s="4"/>
      <c r="F145" s="4"/>
      <c r="G145" s="4"/>
      <c r="H145" s="90"/>
      <c r="I145" s="486"/>
      <c r="J145" s="90"/>
      <c r="K145" s="90"/>
      <c r="L145" s="90"/>
      <c r="M145" s="90"/>
      <c r="N145" s="90"/>
      <c r="O145" s="90"/>
    </row>
    <row r="146" spans="2:15"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</row>
    <row r="147" spans="2:15">
      <c r="B147" s="4"/>
      <c r="C147" s="205" t="s">
        <v>284</v>
      </c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</row>
    <row r="148" spans="2:15">
      <c r="B148" s="4"/>
      <c r="C148" s="4"/>
      <c r="D148" s="4"/>
      <c r="E148" s="4"/>
      <c r="F148" s="4"/>
      <c r="G148" s="4"/>
      <c r="H148" s="90"/>
      <c r="I148" s="486"/>
      <c r="J148" s="90"/>
      <c r="K148" s="90"/>
      <c r="L148" s="90"/>
      <c r="M148" s="90"/>
      <c r="N148" s="90"/>
      <c r="O148" s="90"/>
    </row>
    <row r="149" spans="2:15">
      <c r="B149" s="4"/>
      <c r="C149" s="4"/>
      <c r="D149" s="492" t="s">
        <v>283</v>
      </c>
      <c r="E149" s="479"/>
      <c r="F149" s="479"/>
      <c r="G149" s="623">
        <f>G139</f>
        <v>2019</v>
      </c>
      <c r="H149" s="623">
        <f>H139</f>
        <v>2020</v>
      </c>
      <c r="I149" s="623">
        <f>I139</f>
        <v>2021</v>
      </c>
      <c r="J149" s="623">
        <f>J139</f>
        <v>2022</v>
      </c>
      <c r="K149" s="624">
        <f>K139</f>
        <v>2023</v>
      </c>
      <c r="L149" s="90"/>
      <c r="M149" s="90"/>
      <c r="N149" s="4"/>
      <c r="O149" s="4"/>
    </row>
    <row r="150" spans="2:15">
      <c r="B150" s="4"/>
      <c r="C150" s="4"/>
      <c r="D150" s="133"/>
      <c r="E150" s="4"/>
      <c r="F150" s="4"/>
      <c r="G150" s="90"/>
      <c r="H150" s="486"/>
      <c r="I150" s="90"/>
      <c r="J150" s="90"/>
      <c r="K150" s="452"/>
      <c r="L150" s="90"/>
      <c r="M150" s="90"/>
      <c r="N150" s="90"/>
      <c r="O150" s="90"/>
    </row>
    <row r="151" spans="2:15">
      <c r="B151" s="4"/>
      <c r="C151" s="4"/>
      <c r="D151" s="135" t="s">
        <v>282</v>
      </c>
      <c r="F151" s="4"/>
      <c r="G151" s="489">
        <v>0</v>
      </c>
      <c r="H151" s="489">
        <v>0</v>
      </c>
      <c r="I151" s="489">
        <v>0</v>
      </c>
      <c r="J151" s="489">
        <v>0</v>
      </c>
      <c r="K151" s="457">
        <v>0</v>
      </c>
      <c r="L151" s="90"/>
      <c r="M151" s="90"/>
      <c r="N151" s="4"/>
      <c r="O151" s="4"/>
    </row>
    <row r="152" spans="2:15">
      <c r="B152" s="4"/>
      <c r="C152" s="4"/>
      <c r="D152" s="135" t="s">
        <v>281</v>
      </c>
      <c r="F152" s="4"/>
      <c r="G152" s="489">
        <v>0</v>
      </c>
      <c r="H152" s="489">
        <v>0</v>
      </c>
      <c r="I152" s="489">
        <v>0</v>
      </c>
      <c r="J152" s="489">
        <v>0</v>
      </c>
      <c r="K152" s="457">
        <v>0</v>
      </c>
      <c r="L152" s="90"/>
      <c r="M152" s="90"/>
      <c r="N152" s="4"/>
      <c r="O152" s="4"/>
    </row>
    <row r="153" spans="2:15" ht="6" customHeight="1">
      <c r="B153" s="4"/>
      <c r="C153" s="4"/>
      <c r="D153" s="260"/>
      <c r="E153" s="2"/>
      <c r="F153" s="2"/>
      <c r="G153" s="448"/>
      <c r="H153" s="488"/>
      <c r="I153" s="448"/>
      <c r="J153" s="448"/>
      <c r="K153" s="447"/>
      <c r="L153" s="90"/>
      <c r="M153" s="90"/>
      <c r="N153" s="487"/>
      <c r="O153" s="4"/>
    </row>
    <row r="154" spans="2:15">
      <c r="B154" s="4"/>
      <c r="C154" s="4"/>
      <c r="D154" s="4"/>
      <c r="E154" s="4"/>
      <c r="F154" s="4"/>
      <c r="G154" s="4"/>
      <c r="H154" s="90"/>
      <c r="I154" s="486"/>
      <c r="J154" s="90"/>
      <c r="K154" s="90"/>
      <c r="L154" s="90"/>
      <c r="M154" s="90"/>
      <c r="N154" s="90"/>
      <c r="O154" s="90"/>
    </row>
    <row r="155" spans="2:15"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4"/>
      <c r="O155" s="4"/>
    </row>
    <row r="156" spans="2:15"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</row>
    <row r="157" spans="2:15"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</row>
    <row r="159" spans="2:15" ht="22.8">
      <c r="B159" s="35" t="str">
        <f>$B$26</f>
        <v>Lingoren Corp.</v>
      </c>
      <c r="C159" s="344"/>
      <c r="D159" s="20"/>
      <c r="E159" s="20"/>
      <c r="F159" s="20"/>
      <c r="G159" s="20"/>
      <c r="H159" s="20"/>
      <c r="I159" s="20"/>
      <c r="J159" s="20"/>
      <c r="K159" s="20"/>
      <c r="L159" s="20"/>
      <c r="M159" s="20"/>
      <c r="N159" s="20"/>
      <c r="O159" s="20"/>
    </row>
    <row r="160" spans="2:15" ht="17.399999999999999">
      <c r="B160" s="485" t="s">
        <v>280</v>
      </c>
      <c r="C160" s="485"/>
      <c r="D160" s="20"/>
      <c r="E160" s="20"/>
      <c r="F160" s="20"/>
      <c r="G160" s="20"/>
      <c r="H160" s="20"/>
      <c r="I160" s="20"/>
      <c r="J160" s="20"/>
      <c r="K160" s="20"/>
      <c r="L160" s="20"/>
      <c r="M160" s="20"/>
      <c r="N160" s="20"/>
      <c r="O160" s="20"/>
    </row>
    <row r="161" spans="2:15" ht="18" thickBot="1">
      <c r="B161" s="484"/>
      <c r="C161" s="484"/>
      <c r="D161" s="169"/>
      <c r="E161" s="169"/>
      <c r="F161" s="169"/>
      <c r="G161" s="169"/>
      <c r="H161" s="169"/>
      <c r="I161" s="169"/>
      <c r="J161" s="169"/>
      <c r="K161" s="169"/>
      <c r="L161" s="169"/>
      <c r="M161" s="169"/>
      <c r="N161" s="169"/>
      <c r="O161" s="169"/>
    </row>
    <row r="162" spans="2:15"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</row>
    <row r="163" spans="2:15">
      <c r="C163" s="481" t="s">
        <v>279</v>
      </c>
      <c r="D163" s="483"/>
      <c r="E163" s="483"/>
      <c r="F163" s="483"/>
      <c r="G163" s="483"/>
      <c r="H163" s="483"/>
      <c r="I163" s="482"/>
      <c r="K163" s="481" t="s">
        <v>278</v>
      </c>
      <c r="L163" s="480"/>
      <c r="M163" s="479"/>
      <c r="N163" s="479"/>
      <c r="O163" s="478"/>
    </row>
    <row r="164" spans="2:15">
      <c r="C164" s="232"/>
      <c r="D164" s="4"/>
      <c r="E164" s="4"/>
      <c r="F164" s="4"/>
      <c r="G164" s="4"/>
      <c r="H164" s="4"/>
      <c r="I164" s="55"/>
      <c r="K164" s="477"/>
      <c r="L164" s="4"/>
      <c r="M164" s="4"/>
      <c r="O164" s="55"/>
    </row>
    <row r="165" spans="2:15">
      <c r="C165" s="459" t="s">
        <v>277</v>
      </c>
      <c r="D165" s="4"/>
      <c r="E165" s="4"/>
      <c r="F165" s="4"/>
      <c r="G165" s="4"/>
      <c r="H165" s="4"/>
      <c r="I165" s="55"/>
      <c r="K165" s="476" t="s">
        <v>276</v>
      </c>
      <c r="L165" s="4"/>
      <c r="M165" s="4"/>
      <c r="O165" s="212" t="s">
        <v>74</v>
      </c>
    </row>
    <row r="166" spans="2:15">
      <c r="C166" s="455" t="s">
        <v>256</v>
      </c>
      <c r="D166" s="4" t="s">
        <v>275</v>
      </c>
      <c r="E166" s="4"/>
      <c r="F166" s="4"/>
      <c r="G166" s="4"/>
      <c r="H166" s="4"/>
      <c r="I166" s="458">
        <f>SUM(E44:E46)</f>
        <v>3.25</v>
      </c>
      <c r="K166" s="472">
        <v>0</v>
      </c>
      <c r="L166" s="4"/>
      <c r="M166" s="4"/>
      <c r="O166" s="471">
        <v>0.01</v>
      </c>
    </row>
    <row r="167" spans="2:15">
      <c r="C167" s="455" t="s">
        <v>256</v>
      </c>
      <c r="D167" s="4" t="s">
        <v>274</v>
      </c>
      <c r="E167" s="4"/>
      <c r="F167" s="4"/>
      <c r="G167" s="4"/>
      <c r="H167" s="4"/>
      <c r="I167" s="475">
        <v>0.25</v>
      </c>
      <c r="K167" s="472">
        <v>1</v>
      </c>
      <c r="L167" s="4"/>
      <c r="M167" s="4"/>
      <c r="O167" s="471">
        <v>1.4999999999999999E-2</v>
      </c>
    </row>
    <row r="168" spans="2:15">
      <c r="C168" s="133"/>
      <c r="D168" s="4"/>
      <c r="E168" s="4"/>
      <c r="F168" s="4"/>
      <c r="G168" s="4"/>
      <c r="H168" s="4"/>
      <c r="I168" s="55"/>
      <c r="K168" s="472">
        <v>2</v>
      </c>
      <c r="L168" s="4"/>
      <c r="M168" s="4"/>
      <c r="O168" s="471">
        <v>0.02</v>
      </c>
    </row>
    <row r="169" spans="2:15">
      <c r="C169" s="459" t="s">
        <v>3</v>
      </c>
      <c r="D169" s="4"/>
      <c r="E169" s="4"/>
      <c r="F169" s="4"/>
      <c r="G169" s="4"/>
      <c r="H169" s="4"/>
      <c r="I169" s="55"/>
      <c r="K169" s="472">
        <v>3</v>
      </c>
      <c r="L169" s="4"/>
      <c r="M169" s="4"/>
      <c r="O169" s="471">
        <v>2.5000000000000001E-2</v>
      </c>
    </row>
    <row r="170" spans="2:15">
      <c r="C170" s="455" t="s">
        <v>256</v>
      </c>
      <c r="D170" s="4" t="s">
        <v>273</v>
      </c>
      <c r="E170" s="4"/>
      <c r="F170" s="4"/>
      <c r="G170" s="4"/>
      <c r="H170" s="4"/>
      <c r="I170" s="474">
        <f>N43</f>
        <v>100</v>
      </c>
      <c r="K170" s="472">
        <v>4</v>
      </c>
      <c r="L170" s="4"/>
      <c r="M170" s="4"/>
      <c r="O170" s="471">
        <v>2.75E-2</v>
      </c>
    </row>
    <row r="171" spans="2:15">
      <c r="C171" s="455" t="s">
        <v>256</v>
      </c>
      <c r="D171" s="4" t="s">
        <v>272</v>
      </c>
      <c r="E171" s="4"/>
      <c r="F171" s="4"/>
      <c r="G171" s="4"/>
      <c r="H171" s="4"/>
      <c r="I171" s="55"/>
      <c r="K171" s="472">
        <v>4.5</v>
      </c>
      <c r="L171" s="4"/>
      <c r="M171" s="4"/>
      <c r="O171" s="471">
        <v>0.03</v>
      </c>
    </row>
    <row r="172" spans="2:15">
      <c r="C172" s="133"/>
      <c r="D172" s="4" t="s">
        <v>271</v>
      </c>
      <c r="E172" s="4"/>
      <c r="F172" s="4"/>
      <c r="G172" s="4"/>
      <c r="H172" s="4"/>
      <c r="I172" s="473"/>
      <c r="K172" s="472">
        <v>5</v>
      </c>
      <c r="L172" s="4"/>
      <c r="M172" s="4"/>
      <c r="O172" s="471">
        <v>3.2500000000000001E-2</v>
      </c>
    </row>
    <row r="173" spans="2:15">
      <c r="C173" s="133"/>
      <c r="D173" s="4" t="s">
        <v>270</v>
      </c>
      <c r="E173" s="4"/>
      <c r="F173" s="4"/>
      <c r="G173" s="4"/>
      <c r="H173" s="4"/>
      <c r="I173" s="456">
        <v>0.75</v>
      </c>
      <c r="K173" s="260"/>
      <c r="L173" s="2"/>
      <c r="M173" s="2"/>
      <c r="N173" s="470"/>
      <c r="O173" s="469"/>
    </row>
    <row r="174" spans="2:15">
      <c r="C174" s="133"/>
      <c r="D174" s="4" t="s">
        <v>269</v>
      </c>
      <c r="E174" s="4"/>
      <c r="F174" s="4"/>
      <c r="G174" s="4"/>
      <c r="H174" s="4"/>
      <c r="I174" s="456">
        <v>0.5</v>
      </c>
      <c r="K174" s="4"/>
      <c r="L174" s="4"/>
      <c r="M174" s="4"/>
      <c r="O174" s="4"/>
    </row>
    <row r="175" spans="2:15">
      <c r="C175" s="133"/>
      <c r="D175" s="4"/>
      <c r="E175" s="4"/>
      <c r="F175" s="4"/>
      <c r="G175" s="4"/>
      <c r="H175" s="4"/>
      <c r="I175" s="55"/>
      <c r="K175" s="4"/>
      <c r="L175" s="4"/>
      <c r="M175" s="4"/>
      <c r="O175" s="4"/>
    </row>
    <row r="176" spans="2:15">
      <c r="C176" s="455" t="s">
        <v>256</v>
      </c>
      <c r="D176" s="4" t="s">
        <v>268</v>
      </c>
      <c r="E176" s="4"/>
      <c r="F176" s="4"/>
      <c r="G176" s="4"/>
      <c r="H176" s="4"/>
      <c r="I176" s="468">
        <v>2.5000000000000001E-3</v>
      </c>
    </row>
    <row r="177" spans="3:15">
      <c r="C177" s="455" t="s">
        <v>256</v>
      </c>
      <c r="D177" s="4" t="s">
        <v>267</v>
      </c>
      <c r="E177" s="4"/>
      <c r="F177" s="4"/>
      <c r="G177" s="4"/>
      <c r="H177" s="4"/>
      <c r="I177" s="467"/>
    </row>
    <row r="178" spans="3:15">
      <c r="C178" s="133"/>
      <c r="D178" s="466"/>
      <c r="E178" s="465"/>
      <c r="F178" s="465"/>
      <c r="G178" s="465"/>
      <c r="H178" s="465"/>
      <c r="I178" s="464"/>
    </row>
    <row r="179" spans="3:15">
      <c r="C179" s="459" t="s">
        <v>42</v>
      </c>
      <c r="D179" s="4"/>
      <c r="E179" s="4"/>
      <c r="F179" s="4"/>
      <c r="G179" s="4"/>
      <c r="H179" s="4"/>
      <c r="I179" s="55"/>
    </row>
    <row r="180" spans="3:15">
      <c r="C180" s="455" t="s">
        <v>256</v>
      </c>
      <c r="D180" s="4" t="s">
        <v>266</v>
      </c>
      <c r="E180" s="4"/>
      <c r="F180" s="4"/>
      <c r="G180" s="4"/>
      <c r="H180" s="4"/>
      <c r="I180" s="458">
        <f>SUM(E44:E46)</f>
        <v>3.25</v>
      </c>
    </row>
    <row r="181" spans="3:15">
      <c r="C181" s="455" t="s">
        <v>256</v>
      </c>
      <c r="D181" s="4" t="s">
        <v>265</v>
      </c>
      <c r="I181" s="433"/>
    </row>
    <row r="182" spans="3:15">
      <c r="C182" s="455" t="s">
        <v>256</v>
      </c>
      <c r="D182" s="4" t="s">
        <v>264</v>
      </c>
      <c r="I182" s="433"/>
    </row>
    <row r="183" spans="3:15">
      <c r="C183" s="455"/>
      <c r="D183" s="454"/>
      <c r="E183" s="4"/>
      <c r="F183" s="4"/>
      <c r="G183" s="4"/>
      <c r="H183" s="4"/>
      <c r="I183" s="456"/>
    </row>
    <row r="184" spans="3:15">
      <c r="C184" s="455"/>
      <c r="D184" s="65" t="s">
        <v>263</v>
      </c>
      <c r="E184" s="273">
        <f>G139</f>
        <v>2019</v>
      </c>
      <c r="F184" s="273">
        <f>E184+1</f>
        <v>2020</v>
      </c>
      <c r="G184" s="273">
        <f>F184+1</f>
        <v>2021</v>
      </c>
      <c r="H184" s="273">
        <f>G184+1</f>
        <v>2022</v>
      </c>
      <c r="I184" s="212">
        <f>H184+1</f>
        <v>2023</v>
      </c>
      <c r="K184" s="65"/>
      <c r="L184" s="4"/>
      <c r="M184" s="4"/>
      <c r="N184" s="4"/>
      <c r="O184" s="4"/>
    </row>
    <row r="185" spans="3:15">
      <c r="C185" s="455"/>
      <c r="D185" s="4" t="s">
        <v>95</v>
      </c>
      <c r="E185" s="462">
        <v>7.4999999999999997E-2</v>
      </c>
      <c r="F185" s="462">
        <v>0.15</v>
      </c>
      <c r="G185" s="462">
        <v>0.15</v>
      </c>
      <c r="H185" s="462">
        <v>0.25</v>
      </c>
      <c r="I185" s="463">
        <f>1-SUM(E185:H185)</f>
        <v>0.375</v>
      </c>
      <c r="K185" s="65"/>
      <c r="L185" s="4"/>
      <c r="M185" s="4"/>
      <c r="N185" s="4"/>
      <c r="O185" s="4"/>
    </row>
    <row r="186" spans="3:15">
      <c r="C186" s="455"/>
      <c r="D186" s="4" t="s">
        <v>94</v>
      </c>
      <c r="E186" s="462">
        <v>0.01</v>
      </c>
      <c r="F186" s="462">
        <v>0.01</v>
      </c>
      <c r="G186" s="462">
        <v>0.01</v>
      </c>
      <c r="H186" s="462">
        <v>0.01</v>
      </c>
      <c r="I186" s="461">
        <v>0.01</v>
      </c>
      <c r="K186" s="65"/>
      <c r="L186" s="4"/>
      <c r="M186" s="4"/>
      <c r="N186" s="4"/>
      <c r="O186" s="4"/>
    </row>
    <row r="187" spans="3:15">
      <c r="C187" s="133"/>
      <c r="D187" s="4"/>
      <c r="E187" s="4"/>
      <c r="F187" s="4"/>
      <c r="G187" s="4"/>
      <c r="H187" s="4"/>
      <c r="I187" s="55"/>
      <c r="K187" s="65"/>
      <c r="L187" s="4"/>
      <c r="M187" s="4"/>
      <c r="N187" s="4"/>
      <c r="O187" s="4"/>
    </row>
    <row r="188" spans="3:15">
      <c r="C188" s="459" t="s">
        <v>41</v>
      </c>
      <c r="I188" s="433"/>
      <c r="K188" s="65"/>
      <c r="L188" s="4"/>
      <c r="M188" s="4"/>
      <c r="N188" s="4"/>
      <c r="O188" s="4"/>
    </row>
    <row r="189" spans="3:15">
      <c r="C189" s="455" t="s">
        <v>256</v>
      </c>
      <c r="D189" s="4" t="s">
        <v>262</v>
      </c>
      <c r="E189" s="4"/>
      <c r="F189" s="4"/>
      <c r="I189" s="458">
        <f>E47</f>
        <v>1.5</v>
      </c>
      <c r="K189" s="65"/>
      <c r="L189" s="4"/>
      <c r="M189" s="4"/>
      <c r="N189" s="4"/>
      <c r="O189" s="4"/>
    </row>
    <row r="190" spans="3:15">
      <c r="C190" s="455" t="s">
        <v>256</v>
      </c>
      <c r="D190" s="4" t="s">
        <v>259</v>
      </c>
      <c r="E190" s="4"/>
      <c r="F190" s="4"/>
      <c r="I190" s="457">
        <v>0</v>
      </c>
    </row>
    <row r="191" spans="3:15">
      <c r="C191" s="455" t="s">
        <v>256</v>
      </c>
      <c r="D191" s="4" t="s">
        <v>261</v>
      </c>
      <c r="E191" s="4"/>
      <c r="I191" s="433"/>
      <c r="K191" s="65"/>
      <c r="L191" s="4"/>
      <c r="M191" s="4"/>
      <c r="N191" s="4"/>
      <c r="O191" s="4"/>
    </row>
    <row r="192" spans="3:15">
      <c r="C192" s="460"/>
      <c r="I192" s="433"/>
    </row>
    <row r="193" spans="2:15">
      <c r="C193" s="459" t="s">
        <v>40</v>
      </c>
      <c r="D193" s="4"/>
      <c r="E193" s="4"/>
      <c r="F193" s="4"/>
      <c r="G193" s="4"/>
      <c r="H193" s="4"/>
      <c r="I193" s="55"/>
    </row>
    <row r="194" spans="2:15">
      <c r="C194" s="455" t="s">
        <v>256</v>
      </c>
      <c r="D194" s="4" t="s">
        <v>260</v>
      </c>
      <c r="E194" s="4"/>
      <c r="F194" s="4"/>
      <c r="G194" s="4"/>
      <c r="H194" s="4"/>
      <c r="I194" s="458">
        <f>E48</f>
        <v>1.25</v>
      </c>
    </row>
    <row r="195" spans="2:15">
      <c r="C195" s="455" t="s">
        <v>256</v>
      </c>
      <c r="D195" s="90" t="s">
        <v>259</v>
      </c>
      <c r="E195" s="90"/>
      <c r="F195" s="90"/>
      <c r="G195" s="4"/>
      <c r="H195" s="4"/>
      <c r="I195" s="457">
        <v>0</v>
      </c>
    </row>
    <row r="196" spans="2:15">
      <c r="C196" s="455" t="s">
        <v>256</v>
      </c>
      <c r="D196" s="4" t="s">
        <v>258</v>
      </c>
      <c r="E196" s="4"/>
      <c r="F196" s="4"/>
      <c r="G196" s="4"/>
      <c r="H196" s="4"/>
      <c r="I196" s="456">
        <v>0.6</v>
      </c>
    </row>
    <row r="197" spans="2:15">
      <c r="C197" s="133"/>
      <c r="D197" s="454" t="s">
        <v>257</v>
      </c>
      <c r="E197" s="4"/>
      <c r="F197" s="4"/>
      <c r="G197" s="4"/>
      <c r="H197" s="4"/>
      <c r="I197" s="450">
        <v>4.5</v>
      </c>
    </row>
    <row r="198" spans="2:15">
      <c r="C198" s="455" t="s">
        <v>256</v>
      </c>
      <c r="D198" s="4" t="s">
        <v>255</v>
      </c>
      <c r="E198" s="4"/>
      <c r="F198" s="4"/>
      <c r="G198" s="4"/>
      <c r="H198" s="4"/>
      <c r="I198" s="450"/>
    </row>
    <row r="199" spans="2:15">
      <c r="C199" s="133"/>
      <c r="D199" s="454"/>
      <c r="E199" s="4"/>
      <c r="F199" s="4"/>
      <c r="G199" s="4"/>
      <c r="H199" s="4"/>
      <c r="I199" s="450"/>
    </row>
    <row r="200" spans="2:15">
      <c r="C200" s="453" t="s">
        <v>33</v>
      </c>
      <c r="D200" s="90"/>
      <c r="E200" s="90"/>
      <c r="F200" s="90"/>
      <c r="G200" s="4"/>
      <c r="H200" s="4"/>
      <c r="I200" s="452"/>
    </row>
    <row r="201" spans="2:15">
      <c r="C201" s="451" t="s">
        <v>254</v>
      </c>
      <c r="D201" s="90"/>
      <c r="E201" s="90"/>
      <c r="F201" s="90"/>
      <c r="G201" s="4"/>
      <c r="H201" s="4"/>
      <c r="I201" s="450">
        <v>3</v>
      </c>
    </row>
    <row r="202" spans="2:15">
      <c r="C202" s="449"/>
      <c r="D202" s="448"/>
      <c r="E202" s="448"/>
      <c r="F202" s="448"/>
      <c r="G202" s="2"/>
      <c r="H202" s="2"/>
      <c r="I202" s="447"/>
    </row>
    <row r="204" spans="2:15">
      <c r="B204" s="2"/>
      <c r="C204" s="2"/>
      <c r="D204" s="446"/>
      <c r="E204" s="13"/>
      <c r="F204" s="13"/>
      <c r="G204" s="13"/>
      <c r="H204" s="13"/>
      <c r="I204" s="2"/>
      <c r="J204" s="2"/>
      <c r="K204" s="2"/>
      <c r="L204" s="2"/>
      <c r="M204" s="2"/>
      <c r="N204" s="2"/>
      <c r="O204" s="2"/>
    </row>
    <row r="207" spans="2:15" ht="22.8">
      <c r="B207" s="35" t="str">
        <f>$B$26</f>
        <v>Lingoren Corp.</v>
      </c>
      <c r="C207" s="445"/>
      <c r="D207" s="445"/>
      <c r="E207" s="445"/>
      <c r="F207" s="445"/>
      <c r="G207" s="445"/>
      <c r="H207" s="445"/>
      <c r="I207" s="445"/>
      <c r="J207" s="445"/>
      <c r="K207" s="445"/>
      <c r="L207" s="445"/>
      <c r="M207" s="445"/>
    </row>
    <row r="208" spans="2:15" ht="17.399999999999999">
      <c r="B208" s="444" t="s">
        <v>253</v>
      </c>
      <c r="C208" s="444"/>
      <c r="D208" s="444"/>
      <c r="E208" s="444"/>
      <c r="F208" s="444"/>
      <c r="G208" s="444"/>
      <c r="H208" s="444"/>
      <c r="I208" s="444"/>
      <c r="J208" s="444"/>
      <c r="K208" s="444"/>
      <c r="L208" s="444"/>
      <c r="M208" s="444"/>
    </row>
    <row r="209" spans="2:13" ht="13.8" thickBot="1">
      <c r="B209" s="442"/>
      <c r="C209" s="442"/>
      <c r="D209" s="443"/>
      <c r="E209" s="443"/>
      <c r="F209" s="442"/>
      <c r="G209" s="442"/>
      <c r="H209" s="442"/>
      <c r="I209" s="442"/>
      <c r="J209" s="442"/>
      <c r="K209" s="442"/>
      <c r="L209" s="442"/>
      <c r="M209" s="442"/>
    </row>
    <row r="210" spans="2:13">
      <c r="B210" s="351"/>
      <c r="C210" s="440"/>
      <c r="D210" s="441"/>
      <c r="E210" s="441"/>
      <c r="F210" s="440"/>
      <c r="G210" s="351"/>
      <c r="H210" s="351"/>
      <c r="I210" s="351"/>
      <c r="J210" s="351"/>
      <c r="K210" s="351"/>
    </row>
    <row r="211" spans="2:13">
      <c r="B211" s="439"/>
      <c r="C211" s="437"/>
      <c r="D211" s="438"/>
      <c r="E211" s="438"/>
      <c r="F211" s="437"/>
      <c r="G211" s="436"/>
      <c r="I211" s="435"/>
      <c r="J211" s="435"/>
      <c r="K211" s="435"/>
      <c r="L211" s="435"/>
      <c r="M211" s="435"/>
    </row>
    <row r="212" spans="2:13">
      <c r="B212" s="434" t="s">
        <v>252</v>
      </c>
      <c r="C212" s="427"/>
      <c r="F212" s="371">
        <v>1</v>
      </c>
      <c r="G212" s="433"/>
      <c r="I212" s="425">
        <f>G80</f>
        <v>2019</v>
      </c>
      <c r="J212" s="425">
        <f>I212+1</f>
        <v>2020</v>
      </c>
      <c r="K212" s="425">
        <f>J212+1</f>
        <v>2021</v>
      </c>
      <c r="L212" s="425">
        <f>K212+1</f>
        <v>2022</v>
      </c>
      <c r="M212" s="425">
        <f>L212+1</f>
        <v>2023</v>
      </c>
    </row>
    <row r="213" spans="2:13">
      <c r="B213" s="432"/>
      <c r="C213" s="430"/>
      <c r="D213" s="431"/>
      <c r="E213" s="431"/>
      <c r="F213" s="430"/>
      <c r="G213" s="429"/>
      <c r="I213" s="425"/>
      <c r="J213" s="425"/>
      <c r="K213" s="426"/>
      <c r="L213" s="426"/>
      <c r="M213" s="425"/>
    </row>
    <row r="214" spans="2:13">
      <c r="B214" s="427"/>
      <c r="C214" s="427"/>
      <c r="D214" s="428"/>
      <c r="E214" s="428"/>
      <c r="F214" s="427"/>
      <c r="I214" s="425"/>
      <c r="J214" s="425"/>
      <c r="K214" s="426"/>
      <c r="L214" s="426"/>
      <c r="M214" s="425"/>
    </row>
    <row r="215" spans="2:13">
      <c r="B215" s="351"/>
      <c r="C215" s="351"/>
      <c r="D215" s="382"/>
      <c r="E215" s="382"/>
      <c r="F215" s="351"/>
      <c r="I215" s="351"/>
      <c r="J215" s="351"/>
      <c r="K215" s="351"/>
      <c r="L215" s="351"/>
      <c r="M215" s="351"/>
    </row>
    <row r="216" spans="2:13" ht="13.8">
      <c r="B216" s="398" t="s">
        <v>251</v>
      </c>
      <c r="C216" s="351"/>
      <c r="D216" s="382"/>
      <c r="E216" s="382"/>
      <c r="F216" s="351"/>
      <c r="I216" s="351"/>
      <c r="J216" s="351"/>
      <c r="K216" s="351"/>
      <c r="L216" s="351"/>
      <c r="M216" s="351"/>
    </row>
    <row r="217" spans="2:13">
      <c r="B217" s="351"/>
      <c r="C217" s="351"/>
      <c r="D217" s="382"/>
      <c r="E217" s="382"/>
      <c r="F217" s="351"/>
      <c r="I217" s="351"/>
      <c r="J217" s="351"/>
      <c r="K217" s="351"/>
      <c r="L217" s="351"/>
      <c r="M217" s="351"/>
    </row>
    <row r="218" spans="2:13">
      <c r="B218" s="353" t="s">
        <v>250</v>
      </c>
      <c r="C218" s="372"/>
      <c r="D218" s="382"/>
      <c r="E218" s="382"/>
      <c r="F218" s="351"/>
      <c r="I218" s="424">
        <f>CHOOSE($F$212,I220,I221,I222)</f>
        <v>86.1</v>
      </c>
      <c r="J218" s="423">
        <f>CHOOSE($F$212,J220,J221,J222)</f>
        <v>88</v>
      </c>
      <c r="K218" s="423">
        <f>CHOOSE($F$212,K220,K221,K222)</f>
        <v>90.4</v>
      </c>
      <c r="L218" s="423">
        <f>CHOOSE($F$212,L220,L221,L222)</f>
        <v>92.8</v>
      </c>
      <c r="M218" s="422">
        <f>CHOOSE($F$212,M220,M221,M222)</f>
        <v>94.8</v>
      </c>
    </row>
    <row r="219" spans="2:13">
      <c r="B219" s="421"/>
      <c r="C219" s="351"/>
      <c r="D219" s="382"/>
      <c r="E219" s="382"/>
      <c r="F219" s="351"/>
      <c r="I219" s="420"/>
      <c r="J219" s="420"/>
      <c r="K219" s="420"/>
      <c r="L219" s="420"/>
      <c r="M219" s="420"/>
    </row>
    <row r="220" spans="2:13">
      <c r="B220" s="351"/>
      <c r="C220" s="356" t="str">
        <f>C88</f>
        <v>Base Case</v>
      </c>
      <c r="D220" s="355"/>
      <c r="E220" s="355"/>
      <c r="F220" s="351"/>
      <c r="I220" s="625">
        <v>86.1</v>
      </c>
      <c r="J220" s="626">
        <v>88</v>
      </c>
      <c r="K220" s="626">
        <v>90.4</v>
      </c>
      <c r="L220" s="626">
        <v>92.8</v>
      </c>
      <c r="M220" s="627">
        <v>94.8</v>
      </c>
    </row>
    <row r="221" spans="2:13">
      <c r="B221" s="351"/>
      <c r="C221" s="356" t="str">
        <f>CONCATENATE(,C89,": ",TEXT(E89,"+0.0%;-0.0%"))</f>
        <v>Best Case: +3.0%</v>
      </c>
      <c r="D221" s="355"/>
      <c r="E221" s="355"/>
      <c r="F221" s="351"/>
      <c r="I221" s="628">
        <f>I$220*(1+$E$89)</f>
        <v>88.682999999999993</v>
      </c>
      <c r="J221" s="630">
        <f>J$220*(1+$E$89)</f>
        <v>90.64</v>
      </c>
      <c r="K221" s="630">
        <f>K$220*(1+$E$89)</f>
        <v>93.112000000000009</v>
      </c>
      <c r="L221" s="630">
        <f>L$220*(1+$E$89)</f>
        <v>95.584000000000003</v>
      </c>
      <c r="M221" s="631">
        <f>M$220*(1+$E$89)</f>
        <v>97.644000000000005</v>
      </c>
    </row>
    <row r="222" spans="2:13">
      <c r="B222" s="351"/>
      <c r="C222" s="356" t="str">
        <f>CONCATENATE(,C90,": ",TEXT(E90,"+0.0%;-0.0%"))</f>
        <v>Worst Case: -3.0%</v>
      </c>
      <c r="D222" s="355"/>
      <c r="E222" s="355"/>
      <c r="F222" s="351"/>
      <c r="I222" s="629">
        <f>I$220*(1+$E$90)</f>
        <v>83.516999999999996</v>
      </c>
      <c r="J222" s="632">
        <f>J$220*(1+$E$90)</f>
        <v>85.36</v>
      </c>
      <c r="K222" s="632">
        <f>K$220*(1+$E$90)</f>
        <v>87.688000000000002</v>
      </c>
      <c r="L222" s="632">
        <f>L$220*(1+$E$90)</f>
        <v>90.015999999999991</v>
      </c>
      <c r="M222" s="633">
        <f>M$220*(1+$E$90)</f>
        <v>91.955999999999989</v>
      </c>
    </row>
    <row r="223" spans="2:13">
      <c r="B223" s="351"/>
      <c r="C223" s="386"/>
      <c r="D223" s="355"/>
      <c r="E223" s="355"/>
      <c r="F223" s="351"/>
      <c r="I223" s="410"/>
      <c r="J223" s="410"/>
      <c r="K223" s="410"/>
      <c r="L223" s="410"/>
      <c r="M223" s="410"/>
    </row>
    <row r="224" spans="2:13">
      <c r="B224" s="353" t="s">
        <v>235</v>
      </c>
      <c r="C224" s="351"/>
      <c r="D224" s="355"/>
      <c r="E224" s="355"/>
      <c r="F224" s="351"/>
      <c r="I224" s="397">
        <f>CHOOSE($F$212,I226,I227,I228)</f>
        <v>0.04</v>
      </c>
      <c r="J224" s="396">
        <f>CHOOSE($F$212,J226,J227,J228)</f>
        <v>3.5000000000000003E-2</v>
      </c>
      <c r="K224" s="396">
        <f>CHOOSE($F$212,K226,K227,K228)</f>
        <v>0.03</v>
      </c>
      <c r="L224" s="396">
        <f>CHOOSE($F$212,L226,L227,L228)</f>
        <v>0.03</v>
      </c>
      <c r="M224" s="395">
        <f>CHOOSE($F$212,M226,M227,M228)</f>
        <v>0.03</v>
      </c>
    </row>
    <row r="225" spans="2:13">
      <c r="B225" s="367"/>
      <c r="C225" s="351"/>
      <c r="D225" s="352"/>
      <c r="E225" s="352"/>
      <c r="F225" s="351"/>
      <c r="I225" s="281"/>
      <c r="J225" s="282"/>
      <c r="K225" s="282"/>
      <c r="L225" s="282"/>
      <c r="M225" s="282"/>
    </row>
    <row r="226" spans="2:13">
      <c r="B226" s="367"/>
      <c r="C226" s="351" t="str">
        <f>C88</f>
        <v>Base Case</v>
      </c>
      <c r="D226" s="352"/>
      <c r="E226" s="352"/>
      <c r="F226" s="351"/>
      <c r="I226" s="634">
        <v>0.04</v>
      </c>
      <c r="J226" s="635">
        <v>3.5000000000000003E-2</v>
      </c>
      <c r="K226" s="635">
        <v>0.03</v>
      </c>
      <c r="L226" s="635">
        <v>0.03</v>
      </c>
      <c r="M226" s="636">
        <v>0.03</v>
      </c>
    </row>
    <row r="227" spans="2:13">
      <c r="B227" s="367"/>
      <c r="C227" s="351" t="str">
        <f>C89</f>
        <v>Best Case</v>
      </c>
      <c r="D227" s="352"/>
      <c r="E227" s="352"/>
      <c r="F227" s="351"/>
      <c r="I227" s="637">
        <v>4.4999999999999998E-2</v>
      </c>
      <c r="J227" s="638">
        <v>4.4999999999999998E-2</v>
      </c>
      <c r="K227" s="638">
        <v>0.04</v>
      </c>
      <c r="L227" s="638">
        <v>0.04</v>
      </c>
      <c r="M227" s="639">
        <v>0.04</v>
      </c>
    </row>
    <row r="228" spans="2:13">
      <c r="B228" s="367"/>
      <c r="C228" s="351" t="str">
        <f>C90</f>
        <v>Worst Case</v>
      </c>
      <c r="D228" s="352"/>
      <c r="E228" s="352"/>
      <c r="F228" s="351"/>
      <c r="I228" s="640">
        <v>0.03</v>
      </c>
      <c r="J228" s="641">
        <v>0.03</v>
      </c>
      <c r="K228" s="641">
        <v>1.9999999999999997E-2</v>
      </c>
      <c r="L228" s="641">
        <v>1.9999999999999997E-2</v>
      </c>
      <c r="M228" s="642">
        <v>1.4999999999999999E-2</v>
      </c>
    </row>
    <row r="229" spans="2:13">
      <c r="B229" s="399"/>
      <c r="C229" s="399"/>
      <c r="D229" s="400"/>
      <c r="E229" s="400"/>
      <c r="F229" s="399"/>
      <c r="G229" s="399"/>
      <c r="H229" s="399"/>
      <c r="I229" s="399"/>
      <c r="J229" s="399"/>
      <c r="K229" s="399"/>
      <c r="L229" s="399"/>
      <c r="M229" s="399"/>
    </row>
    <row r="230" spans="2:13">
      <c r="B230" s="351"/>
      <c r="C230" s="351"/>
      <c r="D230" s="382"/>
      <c r="E230" s="382"/>
      <c r="F230" s="351"/>
      <c r="I230" s="351"/>
      <c r="J230" s="351"/>
      <c r="K230" s="351"/>
      <c r="L230" s="351"/>
      <c r="M230" s="351"/>
    </row>
    <row r="231" spans="2:13" ht="13.8">
      <c r="B231" s="398" t="s">
        <v>249</v>
      </c>
      <c r="C231" s="351"/>
      <c r="D231" s="382"/>
      <c r="E231" s="382"/>
      <c r="F231" s="351"/>
      <c r="I231" s="351"/>
      <c r="J231" s="351"/>
      <c r="K231" s="351"/>
      <c r="L231" s="351"/>
      <c r="M231" s="351"/>
    </row>
    <row r="232" spans="2:13">
      <c r="B232" s="351"/>
      <c r="C232" s="351"/>
      <c r="D232" s="382"/>
      <c r="E232" s="382"/>
      <c r="F232" s="351"/>
      <c r="I232" s="351"/>
      <c r="J232" s="351"/>
      <c r="K232" s="351"/>
      <c r="L232" s="351"/>
      <c r="M232" s="351"/>
    </row>
    <row r="233" spans="2:13">
      <c r="B233" s="353" t="s">
        <v>210</v>
      </c>
      <c r="C233" s="351"/>
      <c r="D233" s="352"/>
      <c r="E233" s="352"/>
      <c r="F233" s="351"/>
      <c r="I233" s="683">
        <f>CHOOSE($F$212,I235,I236, I237)</f>
        <v>0.02</v>
      </c>
      <c r="J233" s="684">
        <f t="shared" ref="J233:M233" si="4">CHOOSE($F$212,J235,J236, J237)</f>
        <v>0.02</v>
      </c>
      <c r="K233" s="684">
        <f t="shared" si="4"/>
        <v>0.02</v>
      </c>
      <c r="L233" s="684">
        <f t="shared" si="4"/>
        <v>2.5000000000000001E-2</v>
      </c>
      <c r="M233" s="685">
        <f t="shared" si="4"/>
        <v>2.5000000000000001E-2</v>
      </c>
    </row>
    <row r="234" spans="2:13">
      <c r="B234" s="367"/>
      <c r="C234" s="351"/>
      <c r="D234" s="352"/>
      <c r="E234" s="352"/>
      <c r="F234" s="351"/>
      <c r="I234" s="281"/>
      <c r="J234" s="282"/>
      <c r="K234" s="282"/>
      <c r="L234" s="282"/>
      <c r="M234" s="282"/>
    </row>
    <row r="235" spans="2:13">
      <c r="B235" s="367"/>
      <c r="C235" s="351" t="str">
        <f>C$226</f>
        <v>Base Case</v>
      </c>
      <c r="D235" s="352"/>
      <c r="E235" s="352"/>
      <c r="F235" s="351"/>
      <c r="I235" s="394">
        <v>0.02</v>
      </c>
      <c r="J235" s="393">
        <v>0.02</v>
      </c>
      <c r="K235" s="393">
        <v>0.02</v>
      </c>
      <c r="L235" s="393">
        <v>2.5000000000000001E-2</v>
      </c>
      <c r="M235" s="392">
        <v>2.5000000000000001E-2</v>
      </c>
    </row>
    <row r="236" spans="2:13">
      <c r="B236" s="367"/>
      <c r="C236" s="351" t="str">
        <f>C$89</f>
        <v>Best Case</v>
      </c>
      <c r="D236" s="352"/>
      <c r="E236" s="352"/>
      <c r="F236" s="351"/>
      <c r="I236" s="391">
        <v>1.7999999999999999E-2</v>
      </c>
      <c r="J236" s="281">
        <v>1.7999999999999999E-2</v>
      </c>
      <c r="K236" s="281">
        <v>1.7999999999999999E-2</v>
      </c>
      <c r="L236" s="281">
        <v>0.02</v>
      </c>
      <c r="M236" s="390">
        <v>0.02</v>
      </c>
    </row>
    <row r="237" spans="2:13">
      <c r="B237" s="367"/>
      <c r="C237" s="351" t="str">
        <f>C$90</f>
        <v>Worst Case</v>
      </c>
      <c r="D237" s="352"/>
      <c r="E237" s="352"/>
      <c r="F237" s="351"/>
      <c r="I237" s="389">
        <v>2.5000000000000001E-2</v>
      </c>
      <c r="J237" s="388">
        <v>2.5000000000000001E-2</v>
      </c>
      <c r="K237" s="388">
        <v>2.5000000000000001E-2</v>
      </c>
      <c r="L237" s="388">
        <v>2.5000000000000001E-2</v>
      </c>
      <c r="M237" s="387">
        <v>2.5000000000000001E-2</v>
      </c>
    </row>
    <row r="238" spans="2:13">
      <c r="B238" s="351"/>
      <c r="C238" s="386"/>
      <c r="D238" s="352"/>
      <c r="E238" s="352"/>
      <c r="F238" s="351"/>
      <c r="I238" s="282"/>
      <c r="J238" s="282"/>
      <c r="K238" s="282"/>
      <c r="L238" s="282"/>
      <c r="M238" s="282"/>
    </row>
    <row r="239" spans="2:13">
      <c r="B239" s="353" t="s">
        <v>248</v>
      </c>
      <c r="C239" s="372"/>
      <c r="D239" s="382"/>
      <c r="E239" s="382"/>
      <c r="F239" s="351"/>
      <c r="I239" s="385">
        <f>CHOOSE($F$212,I241,I242,I243)</f>
        <v>10.8</v>
      </c>
      <c r="J239" s="384">
        <f>CHOOSE($F$212,J241,J242,J243)</f>
        <v>11.4</v>
      </c>
      <c r="K239" s="384">
        <f>CHOOSE($F$212,K241,K242,K243)</f>
        <v>12</v>
      </c>
      <c r="L239" s="384">
        <f>CHOOSE($F$212,L241,L242,L243)</f>
        <v>11.2</v>
      </c>
      <c r="M239" s="383">
        <f>CHOOSE($F$212,M241,M242,M243)</f>
        <v>10.8</v>
      </c>
    </row>
    <row r="240" spans="2:13">
      <c r="B240" s="367"/>
      <c r="C240" s="351"/>
      <c r="D240" s="382"/>
      <c r="E240" s="382"/>
      <c r="F240" s="351"/>
      <c r="I240" s="366"/>
      <c r="J240" s="366"/>
      <c r="K240" s="366"/>
      <c r="L240" s="366"/>
      <c r="M240" s="366"/>
    </row>
    <row r="241" spans="2:13">
      <c r="B241" s="351"/>
      <c r="C241" s="351" t="str">
        <f>C$226</f>
        <v>Base Case</v>
      </c>
      <c r="D241" s="355"/>
      <c r="E241" s="355"/>
      <c r="F241" s="351"/>
      <c r="I241" s="381">
        <v>10.8</v>
      </c>
      <c r="J241" s="380">
        <v>11.4</v>
      </c>
      <c r="K241" s="380">
        <v>12</v>
      </c>
      <c r="L241" s="380">
        <v>11.2</v>
      </c>
      <c r="M241" s="379">
        <v>10.8</v>
      </c>
    </row>
    <row r="242" spans="2:13">
      <c r="B242" s="351"/>
      <c r="C242" s="351" t="str">
        <f>C$89</f>
        <v>Best Case</v>
      </c>
      <c r="D242" s="355"/>
      <c r="E242" s="355"/>
      <c r="F242" s="351"/>
      <c r="I242" s="378">
        <v>11</v>
      </c>
      <c r="J242" s="377">
        <v>11.600000000000001</v>
      </c>
      <c r="K242" s="377">
        <v>12.2</v>
      </c>
      <c r="L242" s="377">
        <v>11.5</v>
      </c>
      <c r="M242" s="376">
        <v>11.2</v>
      </c>
    </row>
    <row r="243" spans="2:13">
      <c r="B243" s="351"/>
      <c r="C243" s="351" t="str">
        <f>C$90</f>
        <v>Worst Case</v>
      </c>
      <c r="D243" s="355"/>
      <c r="E243" s="355"/>
      <c r="F243" s="351"/>
      <c r="I243" s="643">
        <v>10.6</v>
      </c>
      <c r="J243" s="644">
        <v>11.200000000000001</v>
      </c>
      <c r="K243" s="644">
        <v>11.8</v>
      </c>
      <c r="L243" s="644">
        <v>11</v>
      </c>
      <c r="M243" s="645">
        <v>10.600000000000001</v>
      </c>
    </row>
    <row r="244" spans="2:13">
      <c r="B244" s="351"/>
      <c r="C244" s="351"/>
      <c r="D244" s="356"/>
      <c r="E244" s="355"/>
      <c r="F244" s="355"/>
      <c r="I244" s="351"/>
      <c r="J244" s="354"/>
      <c r="K244" s="354"/>
      <c r="L244" s="354"/>
      <c r="M244" s="354"/>
    </row>
    <row r="245" spans="2:13">
      <c r="B245" s="353" t="s">
        <v>247</v>
      </c>
      <c r="C245" s="372"/>
      <c r="D245" s="372"/>
      <c r="E245" s="371"/>
      <c r="F245" s="371"/>
      <c r="I245" s="370">
        <f>CHOOSE($F$212,I247,I248,I249)</f>
        <v>330</v>
      </c>
      <c r="J245" s="369">
        <f>CHOOSE($F$212,J247,J248,J249)</f>
        <v>360</v>
      </c>
      <c r="K245" s="369">
        <f>CHOOSE($F$212,K247,K248,K249)</f>
        <v>380</v>
      </c>
      <c r="L245" s="369">
        <f>CHOOSE($F$212,L247,L248,L249)</f>
        <v>360</v>
      </c>
      <c r="M245" s="368">
        <f>CHOOSE($F$212,M247,M248,M249)</f>
        <v>340</v>
      </c>
    </row>
    <row r="246" spans="2:13">
      <c r="B246" s="367"/>
      <c r="C246" s="367"/>
      <c r="D246" s="351"/>
      <c r="E246" s="352"/>
      <c r="F246" s="352"/>
      <c r="I246" s="366"/>
      <c r="J246" s="366"/>
      <c r="K246" s="366"/>
      <c r="L246" s="366"/>
      <c r="M246" s="366"/>
    </row>
    <row r="247" spans="2:13">
      <c r="B247" s="351"/>
      <c r="C247" s="351" t="str">
        <f>C$226</f>
        <v>Base Case</v>
      </c>
      <c r="D247" s="356"/>
      <c r="E247" s="355"/>
      <c r="F247" s="355"/>
      <c r="I247" s="365">
        <v>330</v>
      </c>
      <c r="J247" s="364">
        <v>360</v>
      </c>
      <c r="K247" s="364">
        <v>380</v>
      </c>
      <c r="L247" s="364">
        <v>360</v>
      </c>
      <c r="M247" s="363">
        <v>340</v>
      </c>
    </row>
    <row r="248" spans="2:13">
      <c r="B248" s="351"/>
      <c r="C248" s="351" t="str">
        <f>C$89</f>
        <v>Best Case</v>
      </c>
      <c r="D248" s="356"/>
      <c r="E248" s="355"/>
      <c r="F248" s="355"/>
      <c r="I248" s="362">
        <v>325</v>
      </c>
      <c r="J248" s="361">
        <v>350</v>
      </c>
      <c r="K248" s="361">
        <v>367</v>
      </c>
      <c r="L248" s="361">
        <v>350</v>
      </c>
      <c r="M248" s="360">
        <v>330</v>
      </c>
    </row>
    <row r="249" spans="2:13">
      <c r="B249" s="351"/>
      <c r="C249" s="351" t="str">
        <f>C$90</f>
        <v>Worst Case</v>
      </c>
      <c r="D249" s="356"/>
      <c r="E249" s="355"/>
      <c r="F249" s="355"/>
      <c r="I249" s="646">
        <v>335</v>
      </c>
      <c r="J249" s="647">
        <v>365</v>
      </c>
      <c r="K249" s="647">
        <v>385</v>
      </c>
      <c r="L249" s="647">
        <v>365</v>
      </c>
      <c r="M249" s="648">
        <v>345</v>
      </c>
    </row>
    <row r="250" spans="2:13">
      <c r="B250" s="353"/>
      <c r="C250" s="351"/>
      <c r="D250" s="356"/>
      <c r="E250" s="355"/>
      <c r="F250" s="355"/>
      <c r="I250" s="351"/>
      <c r="J250" s="354"/>
      <c r="K250" s="354"/>
      <c r="L250" s="354"/>
      <c r="M250" s="354"/>
    </row>
    <row r="251" spans="2:13">
      <c r="B251" s="353" t="s">
        <v>0</v>
      </c>
      <c r="C251" s="351"/>
      <c r="D251" s="356"/>
      <c r="E251" s="355"/>
      <c r="F251" s="355"/>
      <c r="I251" s="351"/>
      <c r="J251" s="354"/>
      <c r="K251" s="354"/>
      <c r="L251" s="354"/>
      <c r="M251" s="354"/>
    </row>
    <row r="252" spans="2:13">
      <c r="B252" s="353"/>
      <c r="C252" s="351" t="str">
        <f>C$226</f>
        <v>Base Case</v>
      </c>
      <c r="D252" s="352"/>
      <c r="E252" s="352"/>
      <c r="F252" s="351"/>
      <c r="I252" s="350">
        <v>7.4999999999999997E-3</v>
      </c>
      <c r="J252" s="349">
        <v>7.4999999999999997E-3</v>
      </c>
      <c r="K252" s="349">
        <v>7.4999999999999997E-3</v>
      </c>
      <c r="L252" s="349">
        <v>0.01</v>
      </c>
      <c r="M252" s="348">
        <v>0.01</v>
      </c>
    </row>
    <row r="253" spans="2:13">
      <c r="B253" s="346"/>
      <c r="C253" s="346"/>
      <c r="D253" s="346"/>
      <c r="E253" s="347"/>
      <c r="F253" s="347"/>
      <c r="G253" s="346"/>
      <c r="H253" s="346"/>
      <c r="I253" s="346"/>
      <c r="J253" s="346"/>
      <c r="K253" s="346"/>
      <c r="L253" s="346"/>
      <c r="M253" s="346"/>
    </row>
    <row r="258" spans="1:17" ht="12.75" customHeight="1">
      <c r="A258" s="345"/>
      <c r="B258" s="344"/>
      <c r="C258" s="20"/>
      <c r="D258" s="20"/>
      <c r="E258" s="20"/>
      <c r="F258" s="299"/>
      <c r="G258" s="20"/>
      <c r="H258" s="20"/>
      <c r="I258" s="20"/>
      <c r="J258" s="20"/>
      <c r="K258" s="20"/>
      <c r="L258" s="20"/>
      <c r="M258" s="20"/>
      <c r="N258" s="20"/>
      <c r="O258" s="343" t="str">
        <f>"CURRENTLY RUNNING: "&amp;UPPER(CHOOSE($F$212,C235,C236,C237))&amp;" SCENARIO"</f>
        <v>CURRENTLY RUNNING: BASE CASE SCENARIO</v>
      </c>
    </row>
    <row r="259" spans="1:17" ht="22.8" customHeight="1">
      <c r="A259" s="300"/>
      <c r="B259" s="35" t="str">
        <f>$B$26</f>
        <v>Lingoren Corp.</v>
      </c>
      <c r="C259" s="20"/>
      <c r="D259" s="20"/>
      <c r="E259" s="20"/>
      <c r="F259" s="299"/>
      <c r="G259" s="20"/>
      <c r="H259" s="20"/>
      <c r="I259" s="20"/>
      <c r="J259" s="20"/>
      <c r="K259" s="20"/>
      <c r="L259" s="20"/>
      <c r="M259" s="20"/>
      <c r="N259" s="20"/>
      <c r="O259" s="20"/>
    </row>
    <row r="260" spans="1:17" ht="18.75" customHeight="1">
      <c r="A260" s="298"/>
      <c r="B260" s="34" t="s">
        <v>246</v>
      </c>
      <c r="C260" s="294"/>
      <c r="D260" s="294"/>
      <c r="E260" s="294"/>
      <c r="F260" s="295"/>
      <c r="G260" s="294"/>
      <c r="H260" s="294"/>
      <c r="I260" s="294"/>
      <c r="J260" s="294"/>
      <c r="K260" s="294"/>
      <c r="L260" s="294"/>
      <c r="M260" s="294"/>
      <c r="N260" s="294"/>
      <c r="O260" s="294"/>
    </row>
    <row r="261" spans="1:17" ht="6" customHeight="1" thickBot="1">
      <c r="A261" s="298"/>
      <c r="B261" s="220"/>
      <c r="C261" s="33"/>
      <c r="D261" s="33"/>
      <c r="E261" s="33"/>
      <c r="F261" s="297"/>
      <c r="G261" s="33"/>
      <c r="H261" s="33"/>
      <c r="I261" s="33"/>
      <c r="J261" s="33"/>
      <c r="K261" s="33"/>
      <c r="L261" s="33"/>
      <c r="M261" s="33"/>
      <c r="N261" s="33"/>
      <c r="O261" s="33"/>
    </row>
    <row r="262" spans="1:17" ht="12.75" customHeight="1">
      <c r="A262" s="34"/>
      <c r="B262" s="294"/>
      <c r="C262" s="294"/>
      <c r="D262" s="294"/>
      <c r="E262" s="294"/>
      <c r="F262" s="295"/>
      <c r="G262" s="294"/>
      <c r="H262" s="294"/>
      <c r="I262" s="294"/>
      <c r="J262" s="294"/>
      <c r="K262" s="342"/>
      <c r="L262" s="341"/>
      <c r="M262" s="341"/>
      <c r="N262" s="341"/>
      <c r="O262" s="341"/>
    </row>
    <row r="263" spans="1:17" ht="13.8">
      <c r="A263" s="4"/>
      <c r="B263" s="4"/>
      <c r="C263" s="4"/>
      <c r="D263" s="4"/>
      <c r="E263" s="4"/>
      <c r="F263" s="16"/>
      <c r="G263" s="292"/>
      <c r="H263" s="4"/>
      <c r="I263" s="4"/>
      <c r="J263" s="4"/>
      <c r="K263" s="14" t="s">
        <v>24</v>
      </c>
      <c r="L263" s="13"/>
      <c r="M263" s="13"/>
      <c r="N263" s="13"/>
      <c r="O263" s="13"/>
    </row>
    <row r="264" spans="1:17">
      <c r="A264" s="4"/>
      <c r="B264" s="4"/>
      <c r="C264" s="4"/>
      <c r="D264" s="4"/>
      <c r="E264" s="4"/>
      <c r="F264" s="16"/>
      <c r="G264" s="273"/>
      <c r="H264" s="28">
        <f>I264-1</f>
        <v>2016</v>
      </c>
      <c r="I264" s="28">
        <f>J264-1</f>
        <v>2017</v>
      </c>
      <c r="J264" s="687">
        <f>K264-1</f>
        <v>2018</v>
      </c>
      <c r="K264" s="273">
        <f>I212</f>
        <v>2019</v>
      </c>
      <c r="L264" s="273">
        <f>J212</f>
        <v>2020</v>
      </c>
      <c r="M264" s="273">
        <f>K212</f>
        <v>2021</v>
      </c>
      <c r="N264" s="273">
        <f>L212</f>
        <v>2022</v>
      </c>
      <c r="O264" s="273">
        <f>M212</f>
        <v>2023</v>
      </c>
      <c r="Q264" s="30"/>
    </row>
    <row r="265" spans="1:17" ht="12.75" customHeight="1">
      <c r="A265" s="4"/>
      <c r="B265" s="4"/>
      <c r="C265" s="4"/>
      <c r="D265" s="4"/>
      <c r="E265" s="4"/>
      <c r="F265" s="16"/>
      <c r="G265" s="4"/>
      <c r="H265" s="340"/>
      <c r="I265" s="340"/>
      <c r="J265" s="340"/>
      <c r="K265" s="4"/>
      <c r="L265" s="4"/>
      <c r="M265" s="4"/>
      <c r="N265" s="4"/>
      <c r="O265" s="4"/>
      <c r="Q265" s="30"/>
    </row>
    <row r="266" spans="1:17">
      <c r="A266" s="4"/>
      <c r="B266" s="142" t="s">
        <v>245</v>
      </c>
      <c r="C266" s="4"/>
      <c r="D266" s="4"/>
      <c r="E266" s="4"/>
      <c r="F266" s="69"/>
      <c r="G266" s="4"/>
      <c r="H266" s="4"/>
      <c r="I266" s="4"/>
      <c r="J266" s="340"/>
      <c r="K266" s="340"/>
      <c r="L266" s="4"/>
      <c r="M266" s="4"/>
      <c r="N266" s="4"/>
      <c r="O266" s="4"/>
      <c r="Q266" s="30"/>
    </row>
    <row r="267" spans="1:17" ht="13.2" customHeight="1">
      <c r="A267" s="4"/>
      <c r="B267" s="4"/>
      <c r="C267" s="30" t="s">
        <v>244</v>
      </c>
      <c r="D267" s="4"/>
      <c r="E267" s="4"/>
      <c r="F267" s="316" t="s">
        <v>226</v>
      </c>
      <c r="G267" s="4"/>
      <c r="H267" s="649">
        <v>82.1</v>
      </c>
      <c r="I267" s="649">
        <v>83.7</v>
      </c>
      <c r="J267" s="649">
        <v>85.07</v>
      </c>
      <c r="K267" s="186">
        <f>I218</f>
        <v>86.1</v>
      </c>
      <c r="L267" s="186">
        <f>J218</f>
        <v>88</v>
      </c>
      <c r="M267" s="186">
        <f>K218</f>
        <v>90.4</v>
      </c>
      <c r="N267" s="186">
        <f>L218</f>
        <v>92.8</v>
      </c>
      <c r="O267" s="186">
        <f>M218</f>
        <v>94.8</v>
      </c>
    </row>
    <row r="268" spans="1:17" ht="13.2" customHeight="1">
      <c r="A268" s="4"/>
      <c r="B268" s="4"/>
      <c r="C268" s="4" t="s">
        <v>243</v>
      </c>
      <c r="D268" s="4"/>
      <c r="E268" s="4"/>
      <c r="F268" s="324" t="s">
        <v>209</v>
      </c>
      <c r="G268" s="4"/>
      <c r="H268" s="281">
        <v>2.1000000000000001E-2</v>
      </c>
      <c r="I268" s="282">
        <f t="shared" ref="I268:O268" si="5">I267/H267-1</f>
        <v>1.948842874543244E-2</v>
      </c>
      <c r="J268" s="282">
        <f t="shared" si="5"/>
        <v>1.6367980884109734E-2</v>
      </c>
      <c r="K268" s="282">
        <f t="shared" si="5"/>
        <v>1.2107676031503534E-2</v>
      </c>
      <c r="L268" s="282">
        <f t="shared" si="5"/>
        <v>2.2067363530778206E-2</v>
      </c>
      <c r="M268" s="282">
        <f t="shared" si="5"/>
        <v>2.7272727272727337E-2</v>
      </c>
      <c r="N268" s="282">
        <f t="shared" si="5"/>
        <v>2.6548672566371501E-2</v>
      </c>
      <c r="O268" s="282">
        <f t="shared" si="5"/>
        <v>2.155172413793105E-2</v>
      </c>
    </row>
    <row r="269" spans="1:17" ht="9" customHeight="1">
      <c r="A269" s="4"/>
      <c r="B269" s="4"/>
      <c r="C269" s="30"/>
      <c r="D269" s="4"/>
      <c r="E269" s="4"/>
      <c r="F269" s="316"/>
      <c r="G269" s="4"/>
      <c r="H269" s="339"/>
      <c r="I269" s="339"/>
      <c r="J269" s="339"/>
      <c r="K269" s="87"/>
      <c r="L269" s="87"/>
      <c r="M269" s="87"/>
      <c r="N269" s="87"/>
      <c r="O269" s="87"/>
    </row>
    <row r="270" spans="1:17" ht="13.2" customHeight="1">
      <c r="A270" s="4"/>
      <c r="B270" s="4"/>
      <c r="C270" s="30" t="s">
        <v>206</v>
      </c>
      <c r="D270" s="4"/>
      <c r="E270" s="4"/>
      <c r="F270" s="324" t="s">
        <v>209</v>
      </c>
      <c r="G270" s="4"/>
      <c r="H270" s="338">
        <f>H271/H267</f>
        <v>2.9488185140073085E-2</v>
      </c>
      <c r="I270" s="338">
        <f>I271/I267</f>
        <v>2.9221863799283154E-2</v>
      </c>
      <c r="J270" s="338">
        <f>J271/J267</f>
        <v>2.3040084636181967E-2</v>
      </c>
      <c r="K270" s="338">
        <f>E102</f>
        <v>0.02</v>
      </c>
      <c r="L270" s="338">
        <f>K270</f>
        <v>0.02</v>
      </c>
      <c r="M270" s="338">
        <f>L270</f>
        <v>0.02</v>
      </c>
      <c r="N270" s="338">
        <f>M270</f>
        <v>0.02</v>
      </c>
      <c r="O270" s="338">
        <f>N270</f>
        <v>0.02</v>
      </c>
    </row>
    <row r="271" spans="1:17" ht="13.2" customHeight="1">
      <c r="A271" s="4"/>
      <c r="B271" s="4"/>
      <c r="C271" s="30" t="s">
        <v>206</v>
      </c>
      <c r="D271" s="4"/>
      <c r="E271" s="4"/>
      <c r="F271" s="316" t="s">
        <v>226</v>
      </c>
      <c r="G271" s="4"/>
      <c r="H271" s="650">
        <v>2.4209800000000001</v>
      </c>
      <c r="I271" s="650">
        <v>2.4458700000000002</v>
      </c>
      <c r="J271" s="650">
        <v>1.9600199999999999</v>
      </c>
      <c r="K271" s="651">
        <f>K270*K267</f>
        <v>1.722</v>
      </c>
      <c r="L271" s="651">
        <f>L270*L267</f>
        <v>1.76</v>
      </c>
      <c r="M271" s="651">
        <f>M270*M267</f>
        <v>1.8080000000000001</v>
      </c>
      <c r="N271" s="651">
        <f>N270*N267</f>
        <v>1.8559999999999999</v>
      </c>
      <c r="O271" s="651">
        <f>O270*O267</f>
        <v>1.8959999999999999</v>
      </c>
    </row>
    <row r="272" spans="1:17" ht="13.2" customHeight="1">
      <c r="A272" s="4"/>
      <c r="B272" s="4"/>
      <c r="C272" s="205" t="s">
        <v>242</v>
      </c>
      <c r="D272" s="65"/>
      <c r="E272" s="65"/>
      <c r="F272" s="333" t="s">
        <v>226</v>
      </c>
      <c r="G272" s="4"/>
      <c r="H272" s="652">
        <f t="shared" ref="H272:O272" si="6">H267-H271</f>
        <v>79.679019999999994</v>
      </c>
      <c r="I272" s="652">
        <f t="shared" si="6"/>
        <v>81.254130000000004</v>
      </c>
      <c r="J272" s="652">
        <f t="shared" si="6"/>
        <v>83.109979999999993</v>
      </c>
      <c r="K272" s="652">
        <f t="shared" si="6"/>
        <v>84.378</v>
      </c>
      <c r="L272" s="652">
        <f t="shared" si="6"/>
        <v>86.24</v>
      </c>
      <c r="M272" s="652">
        <f t="shared" si="6"/>
        <v>88.591999999999999</v>
      </c>
      <c r="N272" s="652">
        <f t="shared" si="6"/>
        <v>90.944000000000003</v>
      </c>
      <c r="O272" s="652">
        <f t="shared" si="6"/>
        <v>92.903999999999996</v>
      </c>
    </row>
    <row r="273" spans="1:15" ht="12.75" customHeight="1">
      <c r="A273" s="4"/>
      <c r="B273" s="17"/>
      <c r="C273" s="337"/>
      <c r="D273" s="17"/>
      <c r="E273" s="17"/>
      <c r="F273" s="336"/>
      <c r="G273" s="17"/>
      <c r="H273" s="17"/>
      <c r="I273" s="17"/>
      <c r="J273" s="335"/>
      <c r="K273" s="334"/>
      <c r="L273" s="334"/>
      <c r="M273" s="334"/>
      <c r="N273" s="334"/>
      <c r="O273" s="334"/>
    </row>
    <row r="274" spans="1:15" ht="12.75" customHeight="1">
      <c r="A274" s="4"/>
      <c r="B274" s="4"/>
      <c r="C274" s="142"/>
      <c r="D274" s="4"/>
      <c r="E274" s="4"/>
      <c r="F274" s="333"/>
      <c r="G274" s="4"/>
      <c r="H274" s="4"/>
      <c r="I274" s="4"/>
      <c r="J274" s="332"/>
      <c r="K274" s="325"/>
      <c r="L274" s="325"/>
      <c r="M274" s="325"/>
      <c r="N274" s="325"/>
      <c r="O274" s="325"/>
    </row>
    <row r="275" spans="1:15">
      <c r="A275" s="4"/>
      <c r="B275" s="65" t="s">
        <v>241</v>
      </c>
      <c r="C275" s="4"/>
      <c r="D275" s="4"/>
      <c r="E275" s="4"/>
      <c r="F275" s="316"/>
      <c r="G275" s="4"/>
      <c r="H275" s="4"/>
      <c r="I275" s="4"/>
      <c r="J275" s="245"/>
      <c r="K275" s="331"/>
      <c r="L275" s="331"/>
      <c r="M275" s="331"/>
      <c r="N275" s="331"/>
      <c r="O275" s="245"/>
    </row>
    <row r="276" spans="1:15">
      <c r="A276" s="4"/>
      <c r="B276" s="65"/>
      <c r="C276" s="4" t="s">
        <v>240</v>
      </c>
      <c r="D276" s="4"/>
      <c r="E276" s="4"/>
      <c r="F276" s="69" t="s">
        <v>239</v>
      </c>
      <c r="G276" s="4"/>
      <c r="H276" s="653">
        <v>340</v>
      </c>
      <c r="I276" s="653">
        <v>345</v>
      </c>
      <c r="J276" s="653">
        <v>348</v>
      </c>
      <c r="K276" s="186">
        <f>N80</f>
        <v>350</v>
      </c>
      <c r="L276" s="186">
        <f t="shared" ref="L276:O277" si="7">K276</f>
        <v>350</v>
      </c>
      <c r="M276" s="186">
        <f t="shared" si="7"/>
        <v>350</v>
      </c>
      <c r="N276" s="186">
        <f t="shared" si="7"/>
        <v>350</v>
      </c>
      <c r="O276" s="186">
        <f t="shared" si="7"/>
        <v>350</v>
      </c>
    </row>
    <row r="277" spans="1:15">
      <c r="A277" s="4"/>
      <c r="B277" s="65"/>
      <c r="C277" s="4" t="s">
        <v>238</v>
      </c>
      <c r="D277" s="4"/>
      <c r="E277" s="4"/>
      <c r="F277" s="69" t="s">
        <v>237</v>
      </c>
      <c r="G277" s="4"/>
      <c r="H277" s="650">
        <v>39.25</v>
      </c>
      <c r="I277" s="650">
        <v>39.25</v>
      </c>
      <c r="J277" s="650">
        <v>39.5</v>
      </c>
      <c r="K277" s="651">
        <f>N81</f>
        <v>39.5</v>
      </c>
      <c r="L277" s="651">
        <f t="shared" si="7"/>
        <v>39.5</v>
      </c>
      <c r="M277" s="651">
        <f t="shared" si="7"/>
        <v>39.5</v>
      </c>
      <c r="N277" s="651">
        <f t="shared" si="7"/>
        <v>39.5</v>
      </c>
      <c r="O277" s="651">
        <f t="shared" si="7"/>
        <v>39.5</v>
      </c>
    </row>
    <row r="278" spans="1:15">
      <c r="A278" s="4"/>
      <c r="B278" s="4"/>
      <c r="C278" s="65" t="s">
        <v>236</v>
      </c>
      <c r="D278" s="65"/>
      <c r="E278" s="65"/>
      <c r="F278" s="91" t="s">
        <v>211</v>
      </c>
      <c r="G278" s="65"/>
      <c r="H278" s="652">
        <f t="shared" ref="H278:O278" si="8">H276*H277/1000</f>
        <v>13.345000000000001</v>
      </c>
      <c r="I278" s="652">
        <f t="shared" si="8"/>
        <v>13.54125</v>
      </c>
      <c r="J278" s="652">
        <f t="shared" si="8"/>
        <v>13.746</v>
      </c>
      <c r="K278" s="652">
        <f t="shared" si="8"/>
        <v>13.824999999999999</v>
      </c>
      <c r="L278" s="652">
        <f t="shared" si="8"/>
        <v>13.824999999999999</v>
      </c>
      <c r="M278" s="652">
        <f t="shared" si="8"/>
        <v>13.824999999999999</v>
      </c>
      <c r="N278" s="652">
        <f t="shared" si="8"/>
        <v>13.824999999999999</v>
      </c>
      <c r="O278" s="652">
        <f t="shared" si="8"/>
        <v>13.824999999999999</v>
      </c>
    </row>
    <row r="279" spans="1:15" ht="12.75" customHeight="1">
      <c r="A279" s="4"/>
      <c r="B279" s="4"/>
      <c r="C279" s="4"/>
      <c r="D279" s="4"/>
      <c r="E279" s="4"/>
      <c r="F279" s="69"/>
      <c r="G279" s="4"/>
      <c r="H279" s="4"/>
      <c r="I279" s="4"/>
      <c r="J279" s="4"/>
      <c r="K279" s="4"/>
      <c r="L279" s="4"/>
      <c r="M279" s="4"/>
      <c r="N279" s="4"/>
      <c r="O279" s="4"/>
    </row>
    <row r="280" spans="1:15" ht="12.75" customHeight="1">
      <c r="A280" s="4"/>
      <c r="B280" s="65" t="s">
        <v>212</v>
      </c>
      <c r="C280" s="4"/>
      <c r="D280" s="4"/>
      <c r="E280" s="4"/>
      <c r="F280" s="69"/>
      <c r="G280" s="4"/>
      <c r="H280" s="4"/>
      <c r="I280" s="4"/>
      <c r="J280" s="4"/>
      <c r="K280" s="4"/>
      <c r="L280" s="4"/>
      <c r="M280" s="4"/>
      <c r="N280" s="4"/>
      <c r="O280" s="4"/>
    </row>
    <row r="281" spans="1:15" ht="13.95" customHeight="1">
      <c r="A281" s="4"/>
      <c r="B281" s="4"/>
      <c r="C281" s="4" t="s">
        <v>235</v>
      </c>
      <c r="D281" s="4"/>
      <c r="E281" s="4"/>
      <c r="F281" s="324" t="s">
        <v>209</v>
      </c>
      <c r="G281" s="4"/>
      <c r="H281" s="4"/>
      <c r="I281" s="327">
        <f>I282/H282-1</f>
        <v>3.6363636363636376E-2</v>
      </c>
      <c r="J281" s="327">
        <f>J282/I282-1</f>
        <v>3.5087719298245723E-2</v>
      </c>
      <c r="K281" s="327">
        <f>I224</f>
        <v>0.04</v>
      </c>
      <c r="L281" s="327">
        <f>J224</f>
        <v>3.5000000000000003E-2</v>
      </c>
      <c r="M281" s="327">
        <f>K224</f>
        <v>0.03</v>
      </c>
      <c r="N281" s="327">
        <f>L224</f>
        <v>0.03</v>
      </c>
      <c r="O281" s="327">
        <f>M224</f>
        <v>0.03</v>
      </c>
    </row>
    <row r="282" spans="1:15">
      <c r="A282" s="4"/>
      <c r="B282" s="4"/>
      <c r="C282" s="205" t="s">
        <v>234</v>
      </c>
      <c r="D282" s="65"/>
      <c r="E282" s="65"/>
      <c r="F282" s="91" t="s">
        <v>211</v>
      </c>
      <c r="G282" s="4"/>
      <c r="H282" s="655">
        <v>11</v>
      </c>
      <c r="I282" s="655">
        <v>11.4</v>
      </c>
      <c r="J282" s="655">
        <v>11.8</v>
      </c>
      <c r="K282" s="654">
        <f>J282*(1+K281)</f>
        <v>12.272000000000002</v>
      </c>
      <c r="L282" s="654">
        <f>K282*(1+L281)</f>
        <v>12.70152</v>
      </c>
      <c r="M282" s="654">
        <f>L282*(1+M281)</f>
        <v>13.082565600000001</v>
      </c>
      <c r="N282" s="654">
        <f>M282*(1+N281)</f>
        <v>13.475042568000001</v>
      </c>
      <c r="O282" s="654">
        <f>N282*(1+O281)</f>
        <v>13.879293845040001</v>
      </c>
    </row>
    <row r="283" spans="1:15" ht="6" customHeight="1">
      <c r="A283" s="4"/>
      <c r="B283" s="4"/>
      <c r="C283" s="65"/>
      <c r="D283" s="4"/>
      <c r="E283" s="4"/>
      <c r="F283" s="91"/>
      <c r="G283" s="4"/>
      <c r="H283" s="4"/>
      <c r="I283" s="4"/>
      <c r="J283" s="325"/>
      <c r="K283" s="325"/>
      <c r="L283" s="325"/>
      <c r="M283" s="325"/>
      <c r="N283" s="325"/>
      <c r="O283" s="325"/>
    </row>
    <row r="284" spans="1:15">
      <c r="A284" s="4"/>
      <c r="B284" s="4"/>
      <c r="C284" s="4" t="s">
        <v>233</v>
      </c>
      <c r="D284" s="4"/>
      <c r="E284" s="4"/>
      <c r="F284" s="324" t="s">
        <v>209</v>
      </c>
      <c r="G284" s="4"/>
      <c r="H284" s="323">
        <f t="shared" ref="H284:O284" si="9">H282/H278</f>
        <v>0.8242787560884226</v>
      </c>
      <c r="I284" s="323">
        <f t="shared" si="9"/>
        <v>0.84187205760177242</v>
      </c>
      <c r="J284" s="323">
        <f t="shared" si="9"/>
        <v>0.85843154372180996</v>
      </c>
      <c r="K284" s="323">
        <f t="shared" si="9"/>
        <v>0.88766726943942154</v>
      </c>
      <c r="L284" s="323">
        <f t="shared" si="9"/>
        <v>0.91873562386980112</v>
      </c>
      <c r="M284" s="323">
        <f t="shared" si="9"/>
        <v>0.94629769258589524</v>
      </c>
      <c r="N284" s="323">
        <f t="shared" si="9"/>
        <v>0.97468662336347212</v>
      </c>
      <c r="O284" s="323">
        <f t="shared" si="9"/>
        <v>1.0039272220643762</v>
      </c>
    </row>
    <row r="285" spans="1:15" ht="12.75" customHeight="1">
      <c r="A285" s="4"/>
      <c r="B285" s="17"/>
      <c r="C285" s="17"/>
      <c r="D285" s="17"/>
      <c r="E285" s="17"/>
      <c r="F285" s="287"/>
      <c r="G285" s="17"/>
      <c r="H285" s="17"/>
      <c r="I285" s="17"/>
      <c r="J285" s="17"/>
      <c r="K285" s="17"/>
      <c r="L285" s="17"/>
      <c r="M285" s="17"/>
      <c r="N285" s="17"/>
      <c r="O285" s="17"/>
    </row>
    <row r="286" spans="1:15" ht="12.75" customHeight="1">
      <c r="A286" s="4"/>
      <c r="B286" s="4"/>
      <c r="C286" s="4"/>
      <c r="D286" s="4"/>
      <c r="E286" s="4"/>
      <c r="F286" s="69"/>
      <c r="G286" s="4"/>
      <c r="H286" s="4"/>
      <c r="I286" s="4"/>
      <c r="J286" s="4"/>
      <c r="K286" s="4"/>
      <c r="L286" s="4"/>
      <c r="M286" s="4"/>
      <c r="N286" s="4"/>
      <c r="O286" s="4"/>
    </row>
    <row r="287" spans="1:15" ht="12.75" customHeight="1">
      <c r="A287" s="4"/>
      <c r="B287" s="65" t="s">
        <v>208</v>
      </c>
      <c r="C287" s="4"/>
      <c r="D287" s="4"/>
      <c r="E287" s="4"/>
      <c r="F287" s="69"/>
      <c r="G287" s="4"/>
      <c r="H287" s="4"/>
      <c r="I287" s="4"/>
      <c r="J287" s="4"/>
      <c r="K287" s="4"/>
      <c r="L287" s="4"/>
      <c r="M287" s="4"/>
      <c r="N287" s="4"/>
      <c r="O287" s="4"/>
    </row>
    <row r="288" spans="1:15" ht="12.75" customHeight="1">
      <c r="A288" s="4"/>
      <c r="B288" s="4"/>
      <c r="C288" s="144" t="s">
        <v>207</v>
      </c>
      <c r="D288" s="4"/>
      <c r="E288" s="4"/>
      <c r="F288" s="69" t="s">
        <v>99</v>
      </c>
      <c r="G288" s="4"/>
      <c r="H288" s="203">
        <f t="shared" ref="H288:O288" si="10">H282*H267</f>
        <v>903.09999999999991</v>
      </c>
      <c r="I288" s="203">
        <f t="shared" si="10"/>
        <v>954.18000000000006</v>
      </c>
      <c r="J288" s="203">
        <f t="shared" si="10"/>
        <v>1003.826</v>
      </c>
      <c r="K288" s="203">
        <f t="shared" si="10"/>
        <v>1056.6192000000001</v>
      </c>
      <c r="L288" s="203">
        <f t="shared" si="10"/>
        <v>1117.7337600000001</v>
      </c>
      <c r="M288" s="203">
        <f t="shared" si="10"/>
        <v>1182.6639302400001</v>
      </c>
      <c r="N288" s="203">
        <f t="shared" si="10"/>
        <v>1250.4839503104001</v>
      </c>
      <c r="O288" s="203">
        <f t="shared" si="10"/>
        <v>1315.7570565097922</v>
      </c>
    </row>
    <row r="289" spans="1:15" ht="12.75" customHeight="1">
      <c r="A289" s="4"/>
      <c r="B289" s="4"/>
      <c r="C289" s="30" t="s">
        <v>206</v>
      </c>
      <c r="D289" s="4"/>
      <c r="E289" s="4"/>
      <c r="F289" s="69" t="s">
        <v>99</v>
      </c>
      <c r="G289" s="4"/>
      <c r="H289" s="77">
        <f t="shared" ref="H289:O289" si="11">H282*H271</f>
        <v>26.630780000000001</v>
      </c>
      <c r="I289" s="77">
        <f t="shared" si="11"/>
        <v>27.882918000000004</v>
      </c>
      <c r="J289" s="77">
        <f t="shared" si="11"/>
        <v>23.128236000000001</v>
      </c>
      <c r="K289" s="77">
        <f t="shared" si="11"/>
        <v>21.132384000000002</v>
      </c>
      <c r="L289" s="77">
        <f t="shared" si="11"/>
        <v>22.354675199999999</v>
      </c>
      <c r="M289" s="77">
        <f t="shared" si="11"/>
        <v>23.653278604800001</v>
      </c>
      <c r="N289" s="77">
        <f t="shared" si="11"/>
        <v>25.009679006208</v>
      </c>
      <c r="O289" s="77">
        <f t="shared" si="11"/>
        <v>26.31514113019584</v>
      </c>
    </row>
    <row r="290" spans="1:15" ht="13.8" thickBot="1">
      <c r="A290" s="4"/>
      <c r="B290" s="65"/>
      <c r="C290" s="65" t="s">
        <v>109</v>
      </c>
      <c r="D290" s="4"/>
      <c r="E290" s="4"/>
      <c r="F290" s="91" t="s">
        <v>99</v>
      </c>
      <c r="G290" s="4"/>
      <c r="H290" s="686">
        <f>H288 - H289</f>
        <v>876.46921999999995</v>
      </c>
      <c r="I290" s="686">
        <f t="shared" ref="I290:N290" si="12">I288 - I289</f>
        <v>926.29708200000005</v>
      </c>
      <c r="J290" s="686">
        <f t="shared" si="12"/>
        <v>980.69776400000001</v>
      </c>
      <c r="K290" s="686">
        <f t="shared" si="12"/>
        <v>1035.4868160000001</v>
      </c>
      <c r="L290" s="686">
        <f t="shared" si="12"/>
        <v>1095.3790848000001</v>
      </c>
      <c r="M290" s="686">
        <f t="shared" si="12"/>
        <v>1159.0106516352</v>
      </c>
      <c r="N290" s="686">
        <f t="shared" si="12"/>
        <v>1225.4742713041921</v>
      </c>
      <c r="O290" s="686">
        <f>O288 - O289</f>
        <v>1289.4419153795964</v>
      </c>
    </row>
    <row r="291" spans="1:15" ht="12.75" customHeight="1" thickTop="1">
      <c r="A291" s="4"/>
      <c r="B291" s="2"/>
      <c r="C291" s="2"/>
      <c r="D291" s="2"/>
      <c r="E291" s="2"/>
      <c r="F291" s="3"/>
      <c r="G291" s="2"/>
      <c r="H291" s="2"/>
      <c r="I291" s="2"/>
      <c r="J291" s="2"/>
      <c r="K291" s="2"/>
      <c r="L291" s="2"/>
      <c r="M291" s="2"/>
      <c r="N291" s="2"/>
      <c r="O291" s="2"/>
    </row>
    <row r="292" spans="1:15" ht="12.75" customHeight="1">
      <c r="A292" s="4"/>
      <c r="B292" s="4"/>
      <c r="C292" s="4"/>
      <c r="D292" s="4"/>
      <c r="E292" s="4"/>
      <c r="F292" s="16"/>
      <c r="G292" s="4"/>
      <c r="H292" s="4"/>
      <c r="I292" s="4"/>
      <c r="J292" s="4"/>
      <c r="K292" s="4"/>
      <c r="L292" s="4"/>
      <c r="M292" s="4"/>
      <c r="N292" s="4"/>
      <c r="O292" s="4"/>
    </row>
    <row r="293" spans="1:15">
      <c r="A293" s="4"/>
      <c r="B293" s="4"/>
      <c r="C293" s="4"/>
      <c r="D293" s="4"/>
      <c r="E293" s="4"/>
      <c r="F293" s="16"/>
      <c r="G293" s="4"/>
      <c r="H293" s="4"/>
      <c r="I293" s="4"/>
      <c r="J293" s="4"/>
      <c r="K293" s="97"/>
      <c r="L293" s="4"/>
      <c r="M293" s="4"/>
      <c r="N293" s="4"/>
      <c r="O293" s="4"/>
    </row>
    <row r="294" spans="1:15" ht="12.75" customHeight="1">
      <c r="A294" s="300"/>
      <c r="B294" s="35"/>
      <c r="C294" s="20"/>
      <c r="D294" s="20"/>
      <c r="E294" s="20"/>
      <c r="F294" s="299"/>
      <c r="G294" s="20"/>
      <c r="H294" s="20"/>
      <c r="I294" s="20"/>
      <c r="J294" s="20"/>
      <c r="K294" s="20"/>
      <c r="L294" s="20"/>
      <c r="M294" s="20"/>
      <c r="N294" s="20"/>
      <c r="O294" s="36" t="str">
        <f>$O$258</f>
        <v>CURRENTLY RUNNING: BASE CASE SCENARIO</v>
      </c>
    </row>
    <row r="295" spans="1:15" ht="22.8" customHeight="1">
      <c r="A295" s="300"/>
      <c r="B295" s="35" t="str">
        <f>$B$26</f>
        <v>Lingoren Corp.</v>
      </c>
      <c r="C295" s="20"/>
      <c r="D295" s="20"/>
      <c r="E295" s="20"/>
      <c r="F295" s="299"/>
      <c r="G295" s="20"/>
      <c r="H295" s="20"/>
      <c r="I295" s="20"/>
      <c r="J295" s="20"/>
      <c r="K295" s="20"/>
      <c r="L295" s="20"/>
      <c r="M295" s="20"/>
      <c r="N295" s="20"/>
      <c r="O295" s="20"/>
    </row>
    <row r="296" spans="1:15" ht="18.75" customHeight="1">
      <c r="A296" s="298"/>
      <c r="B296" s="34" t="s">
        <v>232</v>
      </c>
      <c r="C296" s="294"/>
      <c r="D296" s="294"/>
      <c r="E296" s="294"/>
      <c r="F296" s="295"/>
      <c r="G296" s="294"/>
      <c r="H296" s="294"/>
      <c r="I296" s="294"/>
      <c r="J296" s="294"/>
      <c r="K296" s="293"/>
      <c r="L296" s="293"/>
      <c r="M296" s="293"/>
      <c r="N296" s="293"/>
      <c r="O296" s="293"/>
    </row>
    <row r="297" spans="1:15" ht="6" customHeight="1" thickBot="1">
      <c r="A297" s="298"/>
      <c r="B297" s="220"/>
      <c r="C297" s="33"/>
      <c r="D297" s="33"/>
      <c r="E297" s="33"/>
      <c r="F297" s="297"/>
      <c r="G297" s="33"/>
      <c r="H297" s="33"/>
      <c r="I297" s="33"/>
      <c r="J297" s="33"/>
      <c r="K297" s="296"/>
      <c r="L297" s="296"/>
      <c r="M297" s="296"/>
      <c r="N297" s="296"/>
      <c r="O297" s="296"/>
    </row>
    <row r="298" spans="1:15" ht="12.75" customHeight="1">
      <c r="A298" s="34"/>
      <c r="B298" s="294"/>
      <c r="C298" s="294"/>
      <c r="D298" s="294"/>
      <c r="E298" s="294"/>
      <c r="F298" s="322"/>
      <c r="G298" s="294"/>
      <c r="H298" s="294"/>
      <c r="I298" s="294"/>
      <c r="J298" s="294"/>
      <c r="K298" s="293"/>
      <c r="L298" s="293"/>
      <c r="M298" s="293"/>
      <c r="N298" s="293"/>
      <c r="O298" s="293"/>
    </row>
    <row r="299" spans="1:15" ht="13.8">
      <c r="A299" s="4"/>
      <c r="B299" s="4"/>
      <c r="C299" s="4"/>
      <c r="D299" s="4"/>
      <c r="E299" s="4"/>
      <c r="F299" s="69"/>
      <c r="G299" s="292"/>
      <c r="H299" s="292"/>
      <c r="I299" s="292"/>
      <c r="J299" s="4"/>
      <c r="K299" s="14" t="s">
        <v>24</v>
      </c>
      <c r="L299" s="13"/>
      <c r="M299" s="13"/>
      <c r="N299" s="13"/>
      <c r="O299" s="13"/>
    </row>
    <row r="300" spans="1:15">
      <c r="A300" s="4"/>
      <c r="B300" s="4"/>
      <c r="C300" s="4"/>
      <c r="D300" s="4"/>
      <c r="E300" s="4"/>
      <c r="F300" s="69"/>
      <c r="G300" s="273"/>
      <c r="H300" s="321">
        <f t="shared" ref="H300:O300" si="13">H$264</f>
        <v>2016</v>
      </c>
      <c r="I300" s="321">
        <f t="shared" si="13"/>
        <v>2017</v>
      </c>
      <c r="J300" s="688">
        <f t="shared" si="13"/>
        <v>2018</v>
      </c>
      <c r="K300" s="109">
        <f t="shared" si="13"/>
        <v>2019</v>
      </c>
      <c r="L300" s="109">
        <f t="shared" si="13"/>
        <v>2020</v>
      </c>
      <c r="M300" s="109">
        <f t="shared" si="13"/>
        <v>2021</v>
      </c>
      <c r="N300" s="109">
        <f t="shared" si="13"/>
        <v>2022</v>
      </c>
      <c r="O300" s="109">
        <f t="shared" si="13"/>
        <v>2023</v>
      </c>
    </row>
    <row r="301" spans="1:15" ht="6" customHeight="1">
      <c r="A301" s="4"/>
      <c r="B301" s="4"/>
      <c r="C301" s="4"/>
      <c r="D301" s="4"/>
      <c r="E301" s="4"/>
      <c r="F301" s="69"/>
      <c r="G301" s="273"/>
      <c r="H301" s="273"/>
      <c r="I301" s="273"/>
      <c r="J301" s="273"/>
      <c r="K301" s="273"/>
      <c r="L301" s="273"/>
      <c r="M301" s="273"/>
      <c r="N301" s="273"/>
      <c r="O301" s="273"/>
    </row>
    <row r="302" spans="1:15">
      <c r="A302" s="4"/>
      <c r="B302" s="84" t="s">
        <v>210</v>
      </c>
      <c r="C302" s="82"/>
      <c r="D302" s="82"/>
      <c r="E302" s="82"/>
      <c r="F302" s="291" t="s">
        <v>209</v>
      </c>
      <c r="G302" s="290"/>
      <c r="H302" s="319"/>
      <c r="I302" s="319"/>
      <c r="J302" s="319"/>
      <c r="K302" s="320">
        <f>I233</f>
        <v>0.02</v>
      </c>
      <c r="L302" s="319">
        <f>J233</f>
        <v>0.02</v>
      </c>
      <c r="M302" s="319">
        <f>K233</f>
        <v>0.02</v>
      </c>
      <c r="N302" s="319">
        <f>L233</f>
        <v>2.5000000000000001E-2</v>
      </c>
      <c r="O302" s="318">
        <f>M233</f>
        <v>2.5000000000000001E-2</v>
      </c>
    </row>
    <row r="303" spans="1:15">
      <c r="A303" s="4"/>
      <c r="B303" s="317" t="s">
        <v>231</v>
      </c>
      <c r="C303" s="4"/>
      <c r="D303" s="4"/>
      <c r="E303" s="4"/>
      <c r="F303" s="316" t="s">
        <v>230</v>
      </c>
      <c r="G303" s="4"/>
      <c r="H303" s="315">
        <v>11.4</v>
      </c>
      <c r="I303" s="315">
        <v>11</v>
      </c>
      <c r="J303" s="315">
        <v>10.8</v>
      </c>
      <c r="K303" s="314">
        <f>I239</f>
        <v>10.8</v>
      </c>
      <c r="L303" s="314">
        <f>J239</f>
        <v>11.4</v>
      </c>
      <c r="M303" s="314">
        <f>K239</f>
        <v>12</v>
      </c>
      <c r="N303" s="314">
        <f>L239</f>
        <v>11.2</v>
      </c>
      <c r="O303" s="657">
        <f>M239</f>
        <v>10.8</v>
      </c>
    </row>
    <row r="304" spans="1:15">
      <c r="A304" s="4"/>
      <c r="B304" s="79" t="s">
        <v>212</v>
      </c>
      <c r="C304" s="17"/>
      <c r="D304" s="17"/>
      <c r="E304" s="17"/>
      <c r="F304" s="287" t="s">
        <v>211</v>
      </c>
      <c r="G304" s="286"/>
      <c r="H304" s="658">
        <f t="shared" ref="H304:O304" si="14">H282</f>
        <v>11</v>
      </c>
      <c r="I304" s="658">
        <f t="shared" si="14"/>
        <v>11.4</v>
      </c>
      <c r="J304" s="658">
        <f t="shared" si="14"/>
        <v>11.8</v>
      </c>
      <c r="K304" s="658">
        <f t="shared" si="14"/>
        <v>12.272000000000002</v>
      </c>
      <c r="L304" s="658">
        <f t="shared" si="14"/>
        <v>12.70152</v>
      </c>
      <c r="M304" s="658">
        <f t="shared" si="14"/>
        <v>13.082565600000001</v>
      </c>
      <c r="N304" s="658">
        <f t="shared" si="14"/>
        <v>13.475042568000001</v>
      </c>
      <c r="O304" s="659">
        <f t="shared" si="14"/>
        <v>13.879293845040001</v>
      </c>
    </row>
    <row r="305" spans="1:15" ht="6" customHeight="1">
      <c r="A305" s="4"/>
      <c r="B305" s="304"/>
      <c r="C305" s="4"/>
      <c r="D305" s="4"/>
      <c r="E305" s="4"/>
      <c r="F305" s="69"/>
      <c r="G305" s="273"/>
      <c r="H305" s="273"/>
      <c r="I305" s="273"/>
      <c r="J305" s="273"/>
      <c r="K305" s="273"/>
      <c r="L305" s="273"/>
      <c r="M305" s="273"/>
      <c r="N305" s="273"/>
      <c r="O305" s="273"/>
    </row>
    <row r="306" spans="1:15" ht="12.75" customHeight="1">
      <c r="A306" s="4"/>
      <c r="B306" s="304" t="s">
        <v>229</v>
      </c>
      <c r="C306" s="4"/>
      <c r="D306" s="4"/>
      <c r="E306" s="4"/>
      <c r="F306" s="69"/>
      <c r="G306" s="273"/>
      <c r="H306" s="273"/>
      <c r="I306" s="273"/>
      <c r="J306" s="273"/>
      <c r="K306" s="273"/>
      <c r="L306" s="273"/>
      <c r="M306" s="273"/>
      <c r="N306" s="273"/>
      <c r="O306" s="273"/>
    </row>
    <row r="307" spans="1:15" ht="6" customHeight="1">
      <c r="A307" s="4"/>
      <c r="B307" s="304"/>
      <c r="C307" s="4"/>
      <c r="D307" s="4"/>
      <c r="E307" s="4"/>
      <c r="F307" s="69"/>
      <c r="G307" s="273"/>
      <c r="H307" s="273"/>
      <c r="I307" s="273"/>
      <c r="J307" s="273"/>
      <c r="K307" s="4"/>
      <c r="L307" s="273"/>
      <c r="M307" s="273"/>
      <c r="N307" s="273"/>
      <c r="O307" s="273"/>
    </row>
    <row r="308" spans="1:15" ht="12.75" customHeight="1">
      <c r="A308" s="278"/>
      <c r="B308" s="4"/>
      <c r="C308" s="65" t="s">
        <v>218</v>
      </c>
      <c r="D308" s="65"/>
      <c r="E308" s="4"/>
      <c r="F308" s="69"/>
      <c r="G308" s="4"/>
      <c r="H308" s="4"/>
      <c r="I308" s="4"/>
      <c r="J308" s="4"/>
      <c r="K308" s="4"/>
      <c r="L308" s="4"/>
      <c r="M308" s="4"/>
      <c r="N308" s="4"/>
      <c r="O308" s="4"/>
    </row>
    <row r="309" spans="1:15">
      <c r="A309" s="278"/>
      <c r="B309" s="4"/>
      <c r="C309" s="65"/>
      <c r="D309" s="4" t="s">
        <v>227</v>
      </c>
      <c r="E309" s="4"/>
      <c r="F309" s="69" t="s">
        <v>228</v>
      </c>
      <c r="G309" s="4"/>
      <c r="H309" s="310">
        <v>302</v>
      </c>
      <c r="I309" s="310">
        <v>280</v>
      </c>
      <c r="J309" s="310">
        <v>310</v>
      </c>
      <c r="K309" s="309">
        <f>I245</f>
        <v>330</v>
      </c>
      <c r="L309" s="309">
        <f>J245</f>
        <v>360</v>
      </c>
      <c r="M309" s="309">
        <f>K245</f>
        <v>380</v>
      </c>
      <c r="N309" s="309">
        <f>L245</f>
        <v>360</v>
      </c>
      <c r="O309" s="309">
        <f>M245</f>
        <v>340</v>
      </c>
    </row>
    <row r="310" spans="1:15" ht="6" customHeight="1">
      <c r="A310" s="278"/>
      <c r="B310" s="4"/>
      <c r="C310" s="65"/>
      <c r="D310" s="65"/>
      <c r="E310" s="4"/>
      <c r="F310" s="69"/>
      <c r="G310" s="4"/>
      <c r="H310" s="4"/>
      <c r="I310" s="4"/>
      <c r="J310" s="4"/>
      <c r="K310" s="4"/>
      <c r="L310" s="4"/>
      <c r="M310" s="4"/>
      <c r="N310" s="4"/>
      <c r="O310" s="4"/>
    </row>
    <row r="311" spans="1:15">
      <c r="A311" s="278"/>
      <c r="B311" s="4"/>
      <c r="C311" s="65"/>
      <c r="D311" s="4" t="s">
        <v>227</v>
      </c>
      <c r="E311" s="4"/>
      <c r="F311" s="69" t="s">
        <v>226</v>
      </c>
      <c r="G311" s="4"/>
      <c r="H311" s="203">
        <f t="shared" ref="H311:O311" si="15">H309/H303</f>
        <v>26.491228070175438</v>
      </c>
      <c r="I311" s="203">
        <f t="shared" si="15"/>
        <v>25.454545454545453</v>
      </c>
      <c r="J311" s="203">
        <f t="shared" si="15"/>
        <v>28.703703703703702</v>
      </c>
      <c r="K311" s="203">
        <f t="shared" si="15"/>
        <v>30.555555555555554</v>
      </c>
      <c r="L311" s="203">
        <f t="shared" si="15"/>
        <v>31.578947368421051</v>
      </c>
      <c r="M311" s="203">
        <f t="shared" si="15"/>
        <v>31.666666666666668</v>
      </c>
      <c r="N311" s="203">
        <f t="shared" si="15"/>
        <v>32.142857142857146</v>
      </c>
      <c r="O311" s="203">
        <f t="shared" si="15"/>
        <v>31.481481481481481</v>
      </c>
    </row>
    <row r="312" spans="1:15">
      <c r="A312" s="278"/>
      <c r="B312" s="4"/>
      <c r="C312" s="65"/>
      <c r="D312" s="4" t="s">
        <v>225</v>
      </c>
      <c r="E312" s="4"/>
      <c r="F312" s="69" t="str">
        <f>F$311</f>
        <v>($/case)</v>
      </c>
      <c r="G312" s="4"/>
      <c r="H312" s="660">
        <v>23</v>
      </c>
      <c r="I312" s="660">
        <v>24</v>
      </c>
      <c r="J312" s="660">
        <v>24</v>
      </c>
      <c r="K312" s="203">
        <f>E94</f>
        <v>24.6</v>
      </c>
      <c r="L312" s="203">
        <f t="shared" ref="L312:O313" si="16">K312*(1+L$302)</f>
        <v>25.092000000000002</v>
      </c>
      <c r="M312" s="203">
        <f t="shared" si="16"/>
        <v>25.593840000000004</v>
      </c>
      <c r="N312" s="203">
        <f t="shared" si="16"/>
        <v>26.233686000000002</v>
      </c>
      <c r="O312" s="203">
        <f t="shared" si="16"/>
        <v>26.88952815</v>
      </c>
    </row>
    <row r="313" spans="1:15">
      <c r="A313" s="278"/>
      <c r="B313" s="4"/>
      <c r="C313" s="65"/>
      <c r="D313" s="4" t="s">
        <v>224</v>
      </c>
      <c r="E313" s="4"/>
      <c r="F313" s="69" t="str">
        <f>F$311</f>
        <v>($/case)</v>
      </c>
      <c r="G313" s="4"/>
      <c r="H313" s="661">
        <v>2.2999999999999998</v>
      </c>
      <c r="I313" s="661">
        <v>2.4</v>
      </c>
      <c r="J313" s="661">
        <v>2.5</v>
      </c>
      <c r="K313" s="77">
        <f>E95</f>
        <v>2.7</v>
      </c>
      <c r="L313" s="77">
        <f t="shared" si="16"/>
        <v>2.7540000000000004</v>
      </c>
      <c r="M313" s="77">
        <f t="shared" si="16"/>
        <v>2.8090800000000007</v>
      </c>
      <c r="N313" s="77">
        <f t="shared" si="16"/>
        <v>2.8793070000000003</v>
      </c>
      <c r="O313" s="77">
        <f t="shared" si="16"/>
        <v>2.9512896749999999</v>
      </c>
    </row>
    <row r="314" spans="1:15">
      <c r="A314" s="4"/>
      <c r="B314" s="4"/>
      <c r="C314" s="4"/>
      <c r="D314" s="205" t="s">
        <v>217</v>
      </c>
      <c r="E314" s="65"/>
      <c r="F314" s="91" t="str">
        <f>F$311</f>
        <v>($/case)</v>
      </c>
      <c r="G314" s="65"/>
      <c r="H314" s="198">
        <f t="shared" ref="H314:O314" si="17">SUM(H311:H313)</f>
        <v>51.791228070175436</v>
      </c>
      <c r="I314" s="198">
        <f t="shared" si="17"/>
        <v>51.854545454545452</v>
      </c>
      <c r="J314" s="198">
        <f t="shared" si="17"/>
        <v>55.203703703703702</v>
      </c>
      <c r="K314" s="198">
        <f t="shared" si="17"/>
        <v>57.855555555555554</v>
      </c>
      <c r="L314" s="198">
        <f t="shared" si="17"/>
        <v>59.424947368421051</v>
      </c>
      <c r="M314" s="198">
        <f t="shared" si="17"/>
        <v>60.069586666666673</v>
      </c>
      <c r="N314" s="198">
        <f t="shared" si="17"/>
        <v>61.255850142857142</v>
      </c>
      <c r="O314" s="198">
        <f t="shared" si="17"/>
        <v>61.322299306481483</v>
      </c>
    </row>
    <row r="315" spans="1:15" ht="6" customHeight="1">
      <c r="A315" s="4"/>
      <c r="B315" s="4"/>
      <c r="C315" s="30"/>
      <c r="D315" s="4"/>
      <c r="E315" s="4"/>
      <c r="F315" s="69"/>
      <c r="G315" s="4"/>
      <c r="H315" s="195"/>
      <c r="I315" s="195"/>
      <c r="J315" s="195"/>
      <c r="K315" s="195"/>
      <c r="L315" s="195"/>
      <c r="M315" s="195"/>
      <c r="N315" s="195"/>
      <c r="O315" s="195"/>
    </row>
    <row r="316" spans="1:15">
      <c r="A316" s="4"/>
      <c r="B316" s="4"/>
      <c r="C316" s="65" t="s">
        <v>216</v>
      </c>
      <c r="D316" s="4"/>
      <c r="E316" s="4"/>
      <c r="F316" s="69"/>
      <c r="G316" s="4"/>
      <c r="H316" s="195"/>
      <c r="I316" s="195"/>
      <c r="J316" s="195"/>
      <c r="K316" s="195"/>
      <c r="L316" s="195"/>
      <c r="M316" s="195"/>
      <c r="N316" s="195"/>
      <c r="O316" s="195"/>
    </row>
    <row r="317" spans="1:15">
      <c r="A317" s="4"/>
      <c r="B317" s="4"/>
      <c r="C317" s="65"/>
      <c r="D317" s="4" t="s">
        <v>223</v>
      </c>
      <c r="E317" s="4"/>
      <c r="F317" s="69" t="str">
        <f t="shared" ref="F317:F322" si="18">F$311</f>
        <v>($/case)</v>
      </c>
      <c r="G317" s="4"/>
      <c r="H317" s="203">
        <f t="shared" ref="H317:O321" si="19">H335/H$304</f>
        <v>3.1818181818181817</v>
      </c>
      <c r="I317" s="203">
        <f t="shared" si="19"/>
        <v>3.140350877192982</v>
      </c>
      <c r="J317" s="203">
        <f t="shared" si="19"/>
        <v>3.1355932203389827</v>
      </c>
      <c r="K317" s="203">
        <f t="shared" si="19"/>
        <v>3.3409387222946538</v>
      </c>
      <c r="L317" s="203">
        <f t="shared" si="19"/>
        <v>3.2925193205222683</v>
      </c>
      <c r="M317" s="203">
        <f t="shared" si="19"/>
        <v>3.2605531135269059</v>
      </c>
      <c r="N317" s="203">
        <f t="shared" si="19"/>
        <v>3.2288972580557709</v>
      </c>
      <c r="O317" s="203">
        <f t="shared" si="19"/>
        <v>3.1975487409872678</v>
      </c>
    </row>
    <row r="318" spans="1:15">
      <c r="A318" s="4"/>
      <c r="B318" s="4"/>
      <c r="C318" s="65"/>
      <c r="D318" s="30" t="s">
        <v>222</v>
      </c>
      <c r="E318" s="4"/>
      <c r="F318" s="69" t="str">
        <f t="shared" si="18"/>
        <v>($/case)</v>
      </c>
      <c r="G318" s="4"/>
      <c r="H318" s="203">
        <f t="shared" si="19"/>
        <v>2.6</v>
      </c>
      <c r="I318" s="203">
        <f t="shared" si="19"/>
        <v>2.3157894736842102</v>
      </c>
      <c r="J318" s="203">
        <f t="shared" si="19"/>
        <v>2.6101694915254234</v>
      </c>
      <c r="K318" s="203">
        <f t="shared" si="19"/>
        <v>2.5423728813559316</v>
      </c>
      <c r="L318" s="203">
        <f t="shared" si="19"/>
        <v>2.5055268975681648</v>
      </c>
      <c r="M318" s="203">
        <f t="shared" si="19"/>
        <v>2.4812013937082797</v>
      </c>
      <c r="N318" s="203">
        <f t="shared" si="19"/>
        <v>2.4571120597887814</v>
      </c>
      <c r="O318" s="203">
        <f t="shared" si="19"/>
        <v>2.4332566028976288</v>
      </c>
    </row>
    <row r="319" spans="1:15">
      <c r="A319" s="4"/>
      <c r="B319" s="4"/>
      <c r="C319" s="30"/>
      <c r="D319" s="4" t="s">
        <v>221</v>
      </c>
      <c r="E319" s="4"/>
      <c r="F319" s="69" t="str">
        <f t="shared" si="18"/>
        <v>($/case)</v>
      </c>
      <c r="G319" s="4"/>
      <c r="H319" s="203">
        <f t="shared" si="19"/>
        <v>5.1818181818181817</v>
      </c>
      <c r="I319" s="203">
        <f t="shared" si="19"/>
        <v>5.2982456140350873</v>
      </c>
      <c r="J319" s="203">
        <f t="shared" si="19"/>
        <v>5.2881355932203382</v>
      </c>
      <c r="K319" s="203">
        <f t="shared" si="19"/>
        <v>5.4106910039113423</v>
      </c>
      <c r="L319" s="203">
        <f t="shared" si="19"/>
        <v>5.3322751922604548</v>
      </c>
      <c r="M319" s="203">
        <f t="shared" si="19"/>
        <v>5.2805055301996733</v>
      </c>
      <c r="N319" s="203">
        <f t="shared" si="19"/>
        <v>5.2292384862171533</v>
      </c>
      <c r="O319" s="203">
        <f t="shared" si="19"/>
        <v>5.1784691805257248</v>
      </c>
    </row>
    <row r="320" spans="1:15">
      <c r="A320" s="4"/>
      <c r="B320" s="4"/>
      <c r="C320" s="30"/>
      <c r="D320" s="4" t="s">
        <v>220</v>
      </c>
      <c r="E320" s="4"/>
      <c r="F320" s="69" t="str">
        <f t="shared" si="18"/>
        <v>($/case)</v>
      </c>
      <c r="G320" s="4"/>
      <c r="H320" s="203">
        <f t="shared" si="19"/>
        <v>0.63636363636363635</v>
      </c>
      <c r="I320" s="203">
        <f t="shared" si="19"/>
        <v>0.64912280701754388</v>
      </c>
      <c r="J320" s="203">
        <f t="shared" si="19"/>
        <v>0.66101694915254228</v>
      </c>
      <c r="K320" s="203">
        <f t="shared" si="19"/>
        <v>0.6681877444589307</v>
      </c>
      <c r="L320" s="203">
        <f t="shared" si="19"/>
        <v>0.6585038641044535</v>
      </c>
      <c r="M320" s="203">
        <f t="shared" si="19"/>
        <v>0.65211062270538112</v>
      </c>
      <c r="N320" s="203">
        <f t="shared" si="19"/>
        <v>0.64577945161115413</v>
      </c>
      <c r="O320" s="203">
        <f t="shared" si="19"/>
        <v>0.63950974819745354</v>
      </c>
    </row>
    <row r="321" spans="1:15">
      <c r="A321" s="4"/>
      <c r="B321" s="4"/>
      <c r="C321" s="30"/>
      <c r="D321" s="4" t="s">
        <v>157</v>
      </c>
      <c r="E321" s="4"/>
      <c r="F321" s="69" t="str">
        <f t="shared" si="18"/>
        <v>($/case)</v>
      </c>
      <c r="G321" s="4"/>
      <c r="H321" s="77">
        <f t="shared" si="19"/>
        <v>0.21818181818181817</v>
      </c>
      <c r="I321" s="77">
        <f t="shared" si="19"/>
        <v>0.26315789473684209</v>
      </c>
      <c r="J321" s="77">
        <f t="shared" si="19"/>
        <v>0.33898305084745761</v>
      </c>
      <c r="K321" s="77">
        <f t="shared" si="19"/>
        <v>0.34224250325945238</v>
      </c>
      <c r="L321" s="77">
        <f t="shared" si="19"/>
        <v>0.33728246698032993</v>
      </c>
      <c r="M321" s="77">
        <f t="shared" si="19"/>
        <v>0.33400787992226849</v>
      </c>
      <c r="N321" s="77">
        <f t="shared" si="19"/>
        <v>0.33076508497156687</v>
      </c>
      <c r="O321" s="77">
        <f t="shared" si="19"/>
        <v>0.32755377346698855</v>
      </c>
    </row>
    <row r="322" spans="1:15">
      <c r="A322" s="4"/>
      <c r="B322" s="4"/>
      <c r="C322" s="30"/>
      <c r="D322" s="65" t="s">
        <v>215</v>
      </c>
      <c r="E322" s="4"/>
      <c r="F322" s="91" t="str">
        <f t="shared" si="18"/>
        <v>($/case)</v>
      </c>
      <c r="G322" s="4"/>
      <c r="H322" s="198">
        <f t="shared" ref="H322:O322" si="20">SUM(H317:H321)</f>
        <v>11.818181818181818</v>
      </c>
      <c r="I322" s="198">
        <f t="shared" si="20"/>
        <v>11.666666666666666</v>
      </c>
      <c r="J322" s="198">
        <f t="shared" si="20"/>
        <v>12.033898305084744</v>
      </c>
      <c r="K322" s="198">
        <f t="shared" si="20"/>
        <v>12.304432855280313</v>
      </c>
      <c r="L322" s="198">
        <f t="shared" si="20"/>
        <v>12.126107741435671</v>
      </c>
      <c r="M322" s="198">
        <f t="shared" si="20"/>
        <v>12.008378540062507</v>
      </c>
      <c r="N322" s="198">
        <f t="shared" si="20"/>
        <v>11.891792340644429</v>
      </c>
      <c r="O322" s="198">
        <f t="shared" si="20"/>
        <v>11.776338046075063</v>
      </c>
    </row>
    <row r="323" spans="1:15" ht="6" customHeight="1">
      <c r="A323" s="4"/>
      <c r="B323" s="4"/>
      <c r="C323" s="30"/>
      <c r="D323" s="4"/>
      <c r="E323" s="4"/>
      <c r="F323" s="69"/>
      <c r="G323" s="4"/>
      <c r="H323" s="195"/>
      <c r="I323" s="195"/>
      <c r="J323" s="195"/>
      <c r="K323" s="195"/>
      <c r="L323" s="195"/>
      <c r="M323" s="195"/>
      <c r="N323" s="195"/>
      <c r="O323" s="195"/>
    </row>
    <row r="324" spans="1:15" ht="13.8" thickBot="1">
      <c r="A324" s="4"/>
      <c r="B324" s="4"/>
      <c r="C324" s="205" t="s">
        <v>214</v>
      </c>
      <c r="D324" s="4"/>
      <c r="E324" s="4"/>
      <c r="F324" s="91" t="str">
        <f>F$311</f>
        <v>($/case)</v>
      </c>
      <c r="G324" s="4"/>
      <c r="H324" s="188">
        <f t="shared" ref="H324:O324" si="21">H322+H314</f>
        <v>63.609409888357256</v>
      </c>
      <c r="I324" s="188">
        <f t="shared" si="21"/>
        <v>63.521212121212116</v>
      </c>
      <c r="J324" s="188">
        <f t="shared" si="21"/>
        <v>67.237602008788443</v>
      </c>
      <c r="K324" s="188">
        <f t="shared" si="21"/>
        <v>70.159988410835865</v>
      </c>
      <c r="L324" s="188">
        <f t="shared" si="21"/>
        <v>71.551055109856719</v>
      </c>
      <c r="M324" s="188">
        <f t="shared" si="21"/>
        <v>72.077965206729175</v>
      </c>
      <c r="N324" s="188">
        <f t="shared" si="21"/>
        <v>73.147642483501571</v>
      </c>
      <c r="O324" s="188">
        <f t="shared" si="21"/>
        <v>73.098637352556551</v>
      </c>
    </row>
    <row r="325" spans="1:15" ht="12.75" customHeight="1" thickTop="1">
      <c r="A325" s="4"/>
      <c r="B325" s="17"/>
      <c r="C325" s="306"/>
      <c r="D325" s="17"/>
      <c r="E325" s="17"/>
      <c r="F325" s="287"/>
      <c r="G325" s="17"/>
      <c r="H325" s="305"/>
      <c r="I325" s="305"/>
      <c r="J325" s="305"/>
      <c r="K325" s="305"/>
      <c r="L325" s="305"/>
      <c r="M325" s="305"/>
      <c r="N325" s="305"/>
      <c r="O325" s="305"/>
    </row>
    <row r="326" spans="1:15" ht="13.8">
      <c r="A326" s="4"/>
      <c r="B326" s="304" t="s">
        <v>219</v>
      </c>
      <c r="C326" s="30"/>
      <c r="D326" s="4"/>
      <c r="E326" s="4"/>
      <c r="F326" s="69"/>
      <c r="G326" s="4"/>
      <c r="H326" s="195"/>
      <c r="I326" s="195"/>
      <c r="J326" s="195"/>
      <c r="K326" s="195"/>
      <c r="L326" s="195"/>
      <c r="M326" s="195"/>
      <c r="N326" s="195"/>
      <c r="O326" s="195"/>
    </row>
    <row r="327" spans="1:15" ht="6" customHeight="1">
      <c r="A327" s="4"/>
      <c r="B327" s="304"/>
      <c r="C327" s="30"/>
      <c r="D327" s="4"/>
      <c r="E327" s="4"/>
      <c r="F327" s="69"/>
      <c r="G327" s="4"/>
      <c r="H327" s="195"/>
      <c r="I327" s="195"/>
      <c r="J327" s="195"/>
      <c r="K327" s="195"/>
      <c r="L327" s="195"/>
      <c r="M327" s="195"/>
      <c r="N327" s="195"/>
      <c r="O327" s="195"/>
    </row>
    <row r="328" spans="1:15" ht="13.8">
      <c r="A328" s="4"/>
      <c r="B328" s="304"/>
      <c r="C328" s="65" t="s">
        <v>218</v>
      </c>
      <c r="D328" s="65"/>
      <c r="E328" s="4"/>
      <c r="F328" s="69"/>
      <c r="G328" s="4"/>
      <c r="H328" s="195"/>
      <c r="I328" s="195"/>
      <c r="J328" s="195"/>
      <c r="K328" s="195"/>
      <c r="L328" s="195"/>
      <c r="M328" s="195"/>
      <c r="N328" s="195"/>
      <c r="O328" s="195"/>
    </row>
    <row r="329" spans="1:15" ht="13.8">
      <c r="A329" s="4"/>
      <c r="B329" s="304"/>
      <c r="C329" s="65"/>
      <c r="D329" s="4" t="str">
        <f>D311</f>
        <v>Cacao</v>
      </c>
      <c r="E329" s="4"/>
      <c r="F329" s="69" t="s">
        <v>99</v>
      </c>
      <c r="G329" s="4"/>
      <c r="H329" s="203">
        <f t="shared" ref="H329:O331" si="22">H311*H$304</f>
        <v>291.40350877192981</v>
      </c>
      <c r="I329" s="203">
        <f t="shared" si="22"/>
        <v>290.18181818181819</v>
      </c>
      <c r="J329" s="203">
        <f t="shared" si="22"/>
        <v>338.7037037037037</v>
      </c>
      <c r="K329" s="203">
        <f t="shared" si="22"/>
        <v>374.97777777777782</v>
      </c>
      <c r="L329" s="203">
        <f t="shared" si="22"/>
        <v>401.10063157894734</v>
      </c>
      <c r="M329" s="203">
        <f t="shared" si="22"/>
        <v>414.28124400000002</v>
      </c>
      <c r="N329" s="203">
        <f t="shared" si="22"/>
        <v>433.12636825714293</v>
      </c>
      <c r="O329" s="203">
        <f t="shared" si="22"/>
        <v>436.94073215866672</v>
      </c>
    </row>
    <row r="330" spans="1:15" ht="13.8">
      <c r="A330" s="4"/>
      <c r="B330" s="304"/>
      <c r="C330" s="65"/>
      <c r="D330" s="4" t="str">
        <f>D312</f>
        <v>Sugars</v>
      </c>
      <c r="E330" s="4"/>
      <c r="F330" s="69" t="str">
        <f>F$329</f>
        <v>($ MM)</v>
      </c>
      <c r="G330" s="4"/>
      <c r="H330" s="203">
        <f t="shared" si="22"/>
        <v>253</v>
      </c>
      <c r="I330" s="203">
        <f t="shared" si="22"/>
        <v>273.60000000000002</v>
      </c>
      <c r="J330" s="203">
        <f t="shared" si="22"/>
        <v>283.20000000000005</v>
      </c>
      <c r="K330" s="203">
        <f t="shared" si="22"/>
        <v>301.89120000000008</v>
      </c>
      <c r="L330" s="203">
        <f t="shared" si="22"/>
        <v>318.70653984000006</v>
      </c>
      <c r="M330" s="203">
        <f t="shared" si="22"/>
        <v>334.83309075590404</v>
      </c>
      <c r="N330" s="203">
        <f t="shared" si="22"/>
        <v>353.50003556554572</v>
      </c>
      <c r="O330" s="203">
        <f t="shared" si="22"/>
        <v>373.20766254832483</v>
      </c>
    </row>
    <row r="331" spans="1:15" ht="13.8">
      <c r="A331" s="4"/>
      <c r="B331" s="304"/>
      <c r="C331" s="65"/>
      <c r="D331" s="4" t="str">
        <f>D313</f>
        <v>Packaging</v>
      </c>
      <c r="E331" s="4"/>
      <c r="F331" s="69" t="str">
        <f>F$329</f>
        <v>($ MM)</v>
      </c>
      <c r="G331" s="4"/>
      <c r="H331" s="203">
        <f t="shared" si="22"/>
        <v>25.299999999999997</v>
      </c>
      <c r="I331" s="203">
        <f t="shared" si="22"/>
        <v>27.36</v>
      </c>
      <c r="J331" s="203">
        <f t="shared" si="22"/>
        <v>29.5</v>
      </c>
      <c r="K331" s="203">
        <f t="shared" si="22"/>
        <v>33.134400000000007</v>
      </c>
      <c r="L331" s="203">
        <f t="shared" si="22"/>
        <v>34.979986080000003</v>
      </c>
      <c r="M331" s="203">
        <f t="shared" si="22"/>
        <v>36.749973375648011</v>
      </c>
      <c r="N331" s="203">
        <f t="shared" si="22"/>
        <v>38.798784391340384</v>
      </c>
      <c r="O331" s="203">
        <f t="shared" si="22"/>
        <v>40.961816621157602</v>
      </c>
    </row>
    <row r="332" spans="1:15">
      <c r="A332" s="4"/>
      <c r="B332" s="4"/>
      <c r="C332" s="4"/>
      <c r="D332" s="205" t="s">
        <v>217</v>
      </c>
      <c r="E332" s="65"/>
      <c r="F332" s="91" t="str">
        <f>F$329</f>
        <v>($ MM)</v>
      </c>
      <c r="G332" s="65"/>
      <c r="H332" s="235">
        <f t="shared" ref="H332:O332" si="23">SUM(H329:H331)</f>
        <v>569.70350877192982</v>
      </c>
      <c r="I332" s="235">
        <f t="shared" si="23"/>
        <v>591.14181818181817</v>
      </c>
      <c r="J332" s="235">
        <f t="shared" si="23"/>
        <v>651.40370370370374</v>
      </c>
      <c r="K332" s="235">
        <f t="shared" si="23"/>
        <v>710.00337777777793</v>
      </c>
      <c r="L332" s="235">
        <f t="shared" si="23"/>
        <v>754.78715749894741</v>
      </c>
      <c r="M332" s="235">
        <f t="shared" si="23"/>
        <v>785.86430813155209</v>
      </c>
      <c r="N332" s="235">
        <f t="shared" si="23"/>
        <v>825.42518821402905</v>
      </c>
      <c r="O332" s="235">
        <f t="shared" si="23"/>
        <v>851.11021132814915</v>
      </c>
    </row>
    <row r="333" spans="1:15" ht="6" customHeight="1">
      <c r="A333" s="4"/>
      <c r="B333" s="4"/>
      <c r="C333" s="30"/>
      <c r="D333" s="4"/>
      <c r="E333" s="4"/>
      <c r="F333" s="69"/>
      <c r="G333" s="4"/>
      <c r="H333" s="195"/>
      <c r="I333" s="195"/>
      <c r="J333" s="195"/>
      <c r="K333" s="195"/>
      <c r="L333" s="195"/>
      <c r="M333" s="195"/>
      <c r="N333" s="195"/>
      <c r="O333" s="195"/>
    </row>
    <row r="334" spans="1:15" ht="13.2" customHeight="1">
      <c r="A334" s="4"/>
      <c r="B334" s="4"/>
      <c r="C334" s="65" t="s">
        <v>216</v>
      </c>
      <c r="D334" s="30"/>
      <c r="E334" s="4"/>
      <c r="F334" s="91"/>
      <c r="G334" s="4"/>
      <c r="H334" s="4"/>
      <c r="I334" s="4"/>
      <c r="J334" s="221"/>
      <c r="K334" s="221"/>
      <c r="L334" s="221"/>
      <c r="M334" s="221"/>
      <c r="N334" s="221"/>
      <c r="O334" s="221"/>
    </row>
    <row r="335" spans="1:15" ht="13.2" customHeight="1">
      <c r="A335" s="4"/>
      <c r="B335" s="4"/>
      <c r="C335" s="65"/>
      <c r="D335" s="4" t="str">
        <f>D317</f>
        <v>Energy</v>
      </c>
      <c r="E335" s="4"/>
      <c r="F335" s="69" t="str">
        <f t="shared" ref="F335:F340" si="24">F$329</f>
        <v>($ MM)</v>
      </c>
      <c r="G335" s="4"/>
      <c r="H335" s="268">
        <v>35</v>
      </c>
      <c r="I335" s="268">
        <v>35.799999999999997</v>
      </c>
      <c r="J335" s="268">
        <v>37</v>
      </c>
      <c r="K335" s="203">
        <f>E96</f>
        <v>41</v>
      </c>
      <c r="L335" s="203">
        <f t="shared" ref="L335:O339" si="25">K335*(1+$L$302)</f>
        <v>41.82</v>
      </c>
      <c r="M335" s="203">
        <f t="shared" si="25"/>
        <v>42.656399999999998</v>
      </c>
      <c r="N335" s="203">
        <f t="shared" si="25"/>
        <v>43.509527999999996</v>
      </c>
      <c r="O335" s="203">
        <f t="shared" si="25"/>
        <v>44.379718559999993</v>
      </c>
    </row>
    <row r="336" spans="1:15" ht="13.2" customHeight="1">
      <c r="A336" s="4"/>
      <c r="B336" s="4"/>
      <c r="C336" s="65"/>
      <c r="D336" s="30" t="str">
        <f>D318</f>
        <v>Supplies</v>
      </c>
      <c r="E336" s="4"/>
      <c r="F336" s="69" t="str">
        <f t="shared" si="24"/>
        <v>($ MM)</v>
      </c>
      <c r="G336" s="4"/>
      <c r="H336" s="268">
        <v>28.6</v>
      </c>
      <c r="I336" s="268">
        <v>26.4</v>
      </c>
      <c r="J336" s="268">
        <v>30.8</v>
      </c>
      <c r="K336" s="203">
        <f>E97</f>
        <v>31.2</v>
      </c>
      <c r="L336" s="203">
        <f t="shared" si="25"/>
        <v>31.823999999999998</v>
      </c>
      <c r="M336" s="203">
        <f t="shared" si="25"/>
        <v>32.460479999999997</v>
      </c>
      <c r="N336" s="203">
        <f t="shared" si="25"/>
        <v>33.109689599999996</v>
      </c>
      <c r="O336" s="203">
        <f t="shared" si="25"/>
        <v>33.771883391999999</v>
      </c>
    </row>
    <row r="337" spans="1:15" ht="13.2" customHeight="1">
      <c r="A337" s="4"/>
      <c r="B337" s="4"/>
      <c r="C337" s="65"/>
      <c r="D337" s="4" t="str">
        <f>D319</f>
        <v>Operating Labour</v>
      </c>
      <c r="E337" s="4"/>
      <c r="F337" s="69" t="str">
        <f t="shared" si="24"/>
        <v>($ MM)</v>
      </c>
      <c r="G337" s="4"/>
      <c r="H337" s="268">
        <v>57</v>
      </c>
      <c r="I337" s="268">
        <v>60.4</v>
      </c>
      <c r="J337" s="268">
        <v>62.4</v>
      </c>
      <c r="K337" s="203">
        <f>E98</f>
        <v>66.400000000000006</v>
      </c>
      <c r="L337" s="203">
        <f t="shared" si="25"/>
        <v>67.728000000000009</v>
      </c>
      <c r="M337" s="203">
        <f t="shared" si="25"/>
        <v>69.082560000000015</v>
      </c>
      <c r="N337" s="203">
        <f t="shared" si="25"/>
        <v>70.464211200000022</v>
      </c>
      <c r="O337" s="203">
        <f t="shared" si="25"/>
        <v>71.873495424000026</v>
      </c>
    </row>
    <row r="338" spans="1:15" ht="13.2" customHeight="1">
      <c r="A338" s="4"/>
      <c r="B338" s="4"/>
      <c r="C338" s="65"/>
      <c r="D338" s="4" t="str">
        <f>D320</f>
        <v>Salaries &amp; Benefits</v>
      </c>
      <c r="E338" s="4"/>
      <c r="F338" s="69" t="str">
        <f t="shared" si="24"/>
        <v>($ MM)</v>
      </c>
      <c r="G338" s="4"/>
      <c r="H338" s="268">
        <v>7</v>
      </c>
      <c r="I338" s="268">
        <v>7.4</v>
      </c>
      <c r="J338" s="268">
        <v>7.8</v>
      </c>
      <c r="K338" s="203">
        <f>E99</f>
        <v>8.1999999999999993</v>
      </c>
      <c r="L338" s="203">
        <f t="shared" si="25"/>
        <v>8.363999999999999</v>
      </c>
      <c r="M338" s="203">
        <f t="shared" si="25"/>
        <v>8.5312799999999989</v>
      </c>
      <c r="N338" s="203">
        <f t="shared" si="25"/>
        <v>8.7019055999999981</v>
      </c>
      <c r="O338" s="203">
        <f t="shared" si="25"/>
        <v>8.875943711999998</v>
      </c>
    </row>
    <row r="339" spans="1:15" ht="13.2" customHeight="1">
      <c r="A339" s="4"/>
      <c r="B339" s="4"/>
      <c r="C339" s="65"/>
      <c r="D339" s="4" t="str">
        <f>D321</f>
        <v>Other</v>
      </c>
      <c r="E339" s="4"/>
      <c r="F339" s="69" t="str">
        <f t="shared" si="24"/>
        <v>($ MM)</v>
      </c>
      <c r="G339" s="4"/>
      <c r="H339" s="268">
        <v>2.4</v>
      </c>
      <c r="I339" s="268">
        <v>3</v>
      </c>
      <c r="J339" s="268">
        <v>4</v>
      </c>
      <c r="K339" s="203">
        <f>E100</f>
        <v>4.2</v>
      </c>
      <c r="L339" s="203">
        <f t="shared" si="25"/>
        <v>4.2840000000000007</v>
      </c>
      <c r="M339" s="203">
        <f t="shared" si="25"/>
        <v>4.3696800000000007</v>
      </c>
      <c r="N339" s="203">
        <f t="shared" si="25"/>
        <v>4.4570736000000011</v>
      </c>
      <c r="O339" s="203">
        <f t="shared" si="25"/>
        <v>4.5462150720000007</v>
      </c>
    </row>
    <row r="340" spans="1:15" ht="12.75" customHeight="1">
      <c r="A340" s="4"/>
      <c r="B340" s="4"/>
      <c r="C340" s="4"/>
      <c r="D340" s="65" t="s">
        <v>215</v>
      </c>
      <c r="E340" s="4"/>
      <c r="F340" s="91" t="str">
        <f t="shared" si="24"/>
        <v>($ MM)</v>
      </c>
      <c r="G340" s="4"/>
      <c r="H340" s="235">
        <f t="shared" ref="H340:O340" si="26">SUM(H335:H339)</f>
        <v>130</v>
      </c>
      <c r="I340" s="235">
        <f t="shared" si="26"/>
        <v>133</v>
      </c>
      <c r="J340" s="235">
        <f t="shared" si="26"/>
        <v>142</v>
      </c>
      <c r="K340" s="235">
        <f t="shared" si="26"/>
        <v>151</v>
      </c>
      <c r="L340" s="235">
        <f t="shared" si="26"/>
        <v>154.02000000000001</v>
      </c>
      <c r="M340" s="235">
        <f t="shared" si="26"/>
        <v>157.10040000000001</v>
      </c>
      <c r="N340" s="235">
        <f t="shared" si="26"/>
        <v>160.24240800000001</v>
      </c>
      <c r="O340" s="235">
        <f t="shared" si="26"/>
        <v>163.44725616000002</v>
      </c>
    </row>
    <row r="341" spans="1:15" ht="6" customHeight="1">
      <c r="A341" s="4"/>
      <c r="B341" s="4"/>
      <c r="C341" s="30"/>
      <c r="D341" s="30"/>
      <c r="E341" s="4"/>
      <c r="F341" s="69"/>
      <c r="G341" s="4"/>
      <c r="H341" s="248"/>
      <c r="I341" s="248"/>
      <c r="J341" s="248"/>
      <c r="K341" s="195"/>
      <c r="L341" s="195"/>
      <c r="M341" s="195"/>
      <c r="N341" s="195"/>
      <c r="O341" s="195"/>
    </row>
    <row r="342" spans="1:15" ht="13.8" thickBot="1">
      <c r="A342" s="4"/>
      <c r="B342" s="4"/>
      <c r="C342" s="205" t="s">
        <v>214</v>
      </c>
      <c r="D342" s="4"/>
      <c r="E342" s="4"/>
      <c r="F342" s="91" t="str">
        <f>F$329</f>
        <v>($ MM)</v>
      </c>
      <c r="G342" s="4"/>
      <c r="H342" s="188">
        <f t="shared" ref="H342:O342" si="27">H340+H332</f>
        <v>699.70350877192982</v>
      </c>
      <c r="I342" s="188">
        <f t="shared" si="27"/>
        <v>724.14181818181817</v>
      </c>
      <c r="J342" s="188">
        <f t="shared" si="27"/>
        <v>793.40370370370374</v>
      </c>
      <c r="K342" s="188">
        <f t="shared" si="27"/>
        <v>861.00337777777793</v>
      </c>
      <c r="L342" s="188">
        <f t="shared" si="27"/>
        <v>908.80715749894739</v>
      </c>
      <c r="M342" s="188">
        <f t="shared" si="27"/>
        <v>942.96470813155213</v>
      </c>
      <c r="N342" s="188">
        <f t="shared" si="27"/>
        <v>985.66759621402912</v>
      </c>
      <c r="O342" s="188">
        <f t="shared" si="27"/>
        <v>1014.5574674881492</v>
      </c>
    </row>
    <row r="343" spans="1:15" ht="12.75" customHeight="1" thickTop="1">
      <c r="A343" s="4"/>
      <c r="B343" s="223"/>
      <c r="C343" s="302"/>
      <c r="D343" s="2"/>
      <c r="E343" s="2"/>
      <c r="F343" s="301"/>
      <c r="G343" s="2"/>
      <c r="H343" s="2"/>
      <c r="I343" s="2"/>
      <c r="J343" s="222"/>
      <c r="K343" s="222"/>
      <c r="L343" s="222"/>
      <c r="M343" s="222"/>
      <c r="N343" s="222"/>
      <c r="O343" s="222"/>
    </row>
    <row r="344" spans="1:15">
      <c r="A344" s="4"/>
      <c r="B344" s="4"/>
      <c r="C344" s="4"/>
      <c r="D344" s="4"/>
      <c r="E344" s="4"/>
      <c r="F344" s="16"/>
      <c r="G344" s="4"/>
      <c r="H344" s="246"/>
      <c r="I344" s="246"/>
      <c r="J344" s="246"/>
      <c r="K344" s="246"/>
      <c r="L344" s="246"/>
      <c r="M344" s="246"/>
      <c r="N344" s="246"/>
      <c r="O344" s="246"/>
    </row>
    <row r="345" spans="1:15">
      <c r="A345" s="4"/>
      <c r="B345" s="4"/>
      <c r="C345" s="4"/>
      <c r="D345" s="4"/>
      <c r="E345" s="4"/>
      <c r="F345" s="16"/>
      <c r="G345" s="4"/>
      <c r="H345" s="246"/>
      <c r="I345" s="246"/>
      <c r="J345" s="246"/>
      <c r="K345" s="246"/>
      <c r="L345" s="246"/>
      <c r="M345" s="246"/>
      <c r="N345" s="246"/>
      <c r="O345" s="246"/>
    </row>
    <row r="346" spans="1:15" ht="12.75" customHeight="1">
      <c r="A346" s="300"/>
      <c r="B346" s="35"/>
      <c r="C346" s="20"/>
      <c r="D346" s="20"/>
      <c r="E346" s="20"/>
      <c r="F346" s="299"/>
      <c r="G346" s="20"/>
      <c r="H346" s="20"/>
      <c r="I346" s="20"/>
      <c r="J346" s="20"/>
      <c r="K346" s="20"/>
      <c r="L346" s="20"/>
      <c r="M346" s="20"/>
      <c r="N346" s="20"/>
      <c r="O346" s="36" t="str">
        <f>$O$258</f>
        <v>CURRENTLY RUNNING: BASE CASE SCENARIO</v>
      </c>
    </row>
    <row r="347" spans="1:15" ht="22.8" customHeight="1">
      <c r="A347" s="300"/>
      <c r="B347" s="35" t="str">
        <f>$B$26</f>
        <v>Lingoren Corp.</v>
      </c>
      <c r="C347" s="20"/>
      <c r="D347" s="20"/>
      <c r="E347" s="20"/>
      <c r="F347" s="299"/>
      <c r="G347" s="20"/>
      <c r="H347" s="20"/>
      <c r="I347" s="20"/>
      <c r="J347" s="20"/>
      <c r="K347" s="20"/>
      <c r="L347" s="20"/>
      <c r="M347" s="20"/>
      <c r="N347" s="20"/>
      <c r="O347" s="20"/>
    </row>
    <row r="348" spans="1:15" ht="18.75" customHeight="1">
      <c r="A348" s="298"/>
      <c r="B348" s="34" t="s">
        <v>213</v>
      </c>
      <c r="C348" s="294"/>
      <c r="D348" s="294"/>
      <c r="E348" s="294"/>
      <c r="F348" s="295"/>
      <c r="G348" s="294"/>
      <c r="H348" s="294"/>
      <c r="I348" s="294"/>
      <c r="J348" s="294"/>
      <c r="K348" s="293"/>
      <c r="L348" s="293"/>
      <c r="M348" s="293"/>
      <c r="N348" s="293"/>
      <c r="O348" s="293"/>
    </row>
    <row r="349" spans="1:15" ht="6" customHeight="1" thickBot="1">
      <c r="A349" s="298"/>
      <c r="B349" s="220"/>
      <c r="C349" s="33"/>
      <c r="D349" s="33"/>
      <c r="E349" s="33"/>
      <c r="F349" s="297"/>
      <c r="G349" s="33"/>
      <c r="H349" s="33"/>
      <c r="I349" s="33"/>
      <c r="J349" s="33"/>
      <c r="K349" s="296"/>
      <c r="L349" s="296"/>
      <c r="M349" s="296"/>
      <c r="N349" s="296"/>
      <c r="O349" s="296"/>
    </row>
    <row r="350" spans="1:15" ht="12.75" customHeight="1">
      <c r="A350" s="34"/>
      <c r="B350" s="294"/>
      <c r="C350" s="294"/>
      <c r="D350" s="294"/>
      <c r="E350" s="294"/>
      <c r="F350" s="295"/>
      <c r="G350" s="294"/>
      <c r="H350" s="294"/>
      <c r="I350" s="294"/>
      <c r="J350" s="294"/>
      <c r="K350" s="293"/>
      <c r="L350" s="293"/>
      <c r="M350" s="293"/>
      <c r="N350" s="293"/>
      <c r="O350" s="293"/>
    </row>
    <row r="351" spans="1:15" ht="13.8">
      <c r="A351" s="4"/>
      <c r="B351" s="4"/>
      <c r="C351" s="4"/>
      <c r="D351" s="4"/>
      <c r="E351" s="4"/>
      <c r="F351" s="16"/>
      <c r="G351" s="292"/>
      <c r="H351" s="4"/>
      <c r="I351" s="4"/>
      <c r="J351" s="4"/>
      <c r="K351" s="14" t="s">
        <v>24</v>
      </c>
      <c r="L351" s="13"/>
      <c r="M351" s="13"/>
      <c r="N351" s="13"/>
      <c r="O351" s="13"/>
    </row>
    <row r="352" spans="1:15">
      <c r="A352" s="4"/>
      <c r="B352" s="4"/>
      <c r="C352" s="4"/>
      <c r="D352" s="4"/>
      <c r="E352" s="4"/>
      <c r="F352" s="16"/>
      <c r="G352" s="273"/>
      <c r="H352" s="28">
        <f t="shared" ref="H352:O352" si="28">H$264</f>
        <v>2016</v>
      </c>
      <c r="I352" s="28">
        <f t="shared" si="28"/>
        <v>2017</v>
      </c>
      <c r="J352" s="687">
        <f t="shared" si="28"/>
        <v>2018</v>
      </c>
      <c r="K352" s="109">
        <f t="shared" si="28"/>
        <v>2019</v>
      </c>
      <c r="L352" s="109">
        <f t="shared" si="28"/>
        <v>2020</v>
      </c>
      <c r="M352" s="109">
        <f t="shared" si="28"/>
        <v>2021</v>
      </c>
      <c r="N352" s="109">
        <f t="shared" si="28"/>
        <v>2022</v>
      </c>
      <c r="O352" s="109">
        <f t="shared" si="28"/>
        <v>2023</v>
      </c>
    </row>
    <row r="353" spans="1:15" ht="6" customHeight="1">
      <c r="A353" s="4"/>
      <c r="B353" s="4"/>
      <c r="C353" s="4"/>
      <c r="D353" s="4"/>
      <c r="E353" s="4"/>
      <c r="F353" s="16"/>
      <c r="G353" s="273"/>
      <c r="H353" s="273"/>
      <c r="I353" s="273"/>
      <c r="J353" s="273"/>
      <c r="K353" s="76"/>
      <c r="L353" s="76"/>
      <c r="M353" s="76"/>
      <c r="N353" s="282"/>
      <c r="O353" s="282"/>
    </row>
    <row r="354" spans="1:15">
      <c r="A354" s="4"/>
      <c r="B354" s="84" t="s">
        <v>212</v>
      </c>
      <c r="C354" s="82"/>
      <c r="D354" s="82"/>
      <c r="E354" s="82"/>
      <c r="F354" s="291" t="s">
        <v>211</v>
      </c>
      <c r="G354" s="290"/>
      <c r="H354" s="662">
        <f t="shared" ref="H354:O354" si="29">H282</f>
        <v>11</v>
      </c>
      <c r="I354" s="662">
        <f t="shared" si="29"/>
        <v>11.4</v>
      </c>
      <c r="J354" s="662">
        <f t="shared" si="29"/>
        <v>11.8</v>
      </c>
      <c r="K354" s="662">
        <f t="shared" si="29"/>
        <v>12.272000000000002</v>
      </c>
      <c r="L354" s="662">
        <f t="shared" si="29"/>
        <v>12.70152</v>
      </c>
      <c r="M354" s="662">
        <f t="shared" si="29"/>
        <v>13.082565600000001</v>
      </c>
      <c r="N354" s="662">
        <f t="shared" si="29"/>
        <v>13.475042568000001</v>
      </c>
      <c r="O354" s="663">
        <f t="shared" si="29"/>
        <v>13.879293845040001</v>
      </c>
    </row>
    <row r="355" spans="1:15">
      <c r="A355" s="4"/>
      <c r="B355" s="79" t="s">
        <v>210</v>
      </c>
      <c r="C355" s="17"/>
      <c r="D355" s="17"/>
      <c r="E355" s="17"/>
      <c r="F355" s="287" t="s">
        <v>209</v>
      </c>
      <c r="G355" s="286"/>
      <c r="H355" s="285"/>
      <c r="I355" s="285"/>
      <c r="J355" s="285"/>
      <c r="K355" s="284">
        <f>I233</f>
        <v>0.02</v>
      </c>
      <c r="L355" s="284">
        <f>J233</f>
        <v>0.02</v>
      </c>
      <c r="M355" s="284">
        <f>K233</f>
        <v>0.02</v>
      </c>
      <c r="N355" s="284">
        <f>L233</f>
        <v>2.5000000000000001E-2</v>
      </c>
      <c r="O355" s="283">
        <f>M233</f>
        <v>2.5000000000000001E-2</v>
      </c>
    </row>
    <row r="356" spans="1:15" ht="6" customHeight="1">
      <c r="A356" s="4"/>
      <c r="B356" s="4"/>
      <c r="C356" s="4"/>
      <c r="D356" s="4"/>
      <c r="E356" s="4"/>
      <c r="F356" s="69"/>
      <c r="G356" s="273"/>
      <c r="H356" s="273"/>
      <c r="I356" s="273"/>
      <c r="J356" s="273"/>
      <c r="K356" s="76"/>
      <c r="L356" s="76"/>
      <c r="M356" s="76"/>
      <c r="N356" s="282"/>
      <c r="O356" s="282"/>
    </row>
    <row r="357" spans="1:15">
      <c r="A357" s="4"/>
      <c r="B357" s="65" t="s">
        <v>208</v>
      </c>
      <c r="C357" s="4"/>
      <c r="D357" s="4"/>
      <c r="E357" s="4"/>
      <c r="F357" s="69"/>
      <c r="G357" s="273"/>
      <c r="H357" s="281"/>
    </row>
    <row r="358" spans="1:15">
      <c r="A358" s="4"/>
      <c r="B358" s="4"/>
      <c r="C358" s="4" t="s">
        <v>207</v>
      </c>
      <c r="D358" s="4"/>
      <c r="E358" s="4"/>
      <c r="F358" s="69" t="s">
        <v>99</v>
      </c>
      <c r="G358" s="273"/>
      <c r="H358" s="664">
        <f t="shared" ref="H358:O360" si="30">H288</f>
        <v>903.09999999999991</v>
      </c>
      <c r="I358" s="664">
        <f t="shared" si="30"/>
        <v>954.18000000000006</v>
      </c>
      <c r="J358" s="664">
        <f t="shared" si="30"/>
        <v>1003.826</v>
      </c>
      <c r="K358" s="664">
        <f t="shared" si="30"/>
        <v>1056.6192000000001</v>
      </c>
      <c r="L358" s="664">
        <f t="shared" si="30"/>
        <v>1117.7337600000001</v>
      </c>
      <c r="M358" s="664">
        <f t="shared" si="30"/>
        <v>1182.6639302400001</v>
      </c>
      <c r="N358" s="664">
        <f t="shared" si="30"/>
        <v>1250.4839503104001</v>
      </c>
      <c r="O358" s="664">
        <f t="shared" si="30"/>
        <v>1315.7570565097922</v>
      </c>
    </row>
    <row r="359" spans="1:15">
      <c r="A359" s="4"/>
      <c r="B359" s="4"/>
      <c r="C359" s="30" t="s">
        <v>206</v>
      </c>
      <c r="D359" s="4"/>
      <c r="E359" s="4"/>
      <c r="F359" s="69" t="s">
        <v>99</v>
      </c>
      <c r="G359" s="273"/>
      <c r="H359" s="271">
        <f t="shared" si="30"/>
        <v>26.630780000000001</v>
      </c>
      <c r="I359" s="271">
        <f t="shared" si="30"/>
        <v>27.882918000000004</v>
      </c>
      <c r="J359" s="271">
        <f t="shared" si="30"/>
        <v>23.128236000000001</v>
      </c>
      <c r="K359" s="271">
        <f t="shared" si="30"/>
        <v>21.132384000000002</v>
      </c>
      <c r="L359" s="271">
        <f t="shared" si="30"/>
        <v>22.354675199999999</v>
      </c>
      <c r="M359" s="271">
        <f t="shared" si="30"/>
        <v>23.653278604800001</v>
      </c>
      <c r="N359" s="271">
        <f t="shared" si="30"/>
        <v>25.009679006208</v>
      </c>
      <c r="O359" s="271">
        <f t="shared" si="30"/>
        <v>26.31514113019584</v>
      </c>
    </row>
    <row r="360" spans="1:15">
      <c r="A360" s="4"/>
      <c r="B360" s="4"/>
      <c r="C360" s="65" t="s">
        <v>109</v>
      </c>
      <c r="D360" s="4"/>
      <c r="E360" s="4"/>
      <c r="F360" s="91" t="s">
        <v>99</v>
      </c>
      <c r="G360" s="273"/>
      <c r="H360" s="665">
        <f t="shared" si="30"/>
        <v>876.46921999999995</v>
      </c>
      <c r="I360" s="665">
        <f t="shared" si="30"/>
        <v>926.29708200000005</v>
      </c>
      <c r="J360" s="665">
        <f t="shared" si="30"/>
        <v>980.69776400000001</v>
      </c>
      <c r="K360" s="665">
        <f t="shared" si="30"/>
        <v>1035.4868160000001</v>
      </c>
      <c r="L360" s="665">
        <f t="shared" si="30"/>
        <v>1095.3790848000001</v>
      </c>
      <c r="M360" s="665">
        <f t="shared" si="30"/>
        <v>1159.0106516352</v>
      </c>
      <c r="N360" s="665">
        <f t="shared" si="30"/>
        <v>1225.4742713041921</v>
      </c>
      <c r="O360" s="665">
        <f t="shared" si="30"/>
        <v>1289.4419153795964</v>
      </c>
    </row>
    <row r="361" spans="1:15">
      <c r="A361" s="4"/>
      <c r="B361" s="4"/>
      <c r="C361" s="4"/>
      <c r="D361" s="4"/>
      <c r="E361" s="4"/>
      <c r="F361" s="69"/>
      <c r="G361" s="273"/>
      <c r="H361" s="280"/>
      <c r="I361" s="280"/>
      <c r="J361" s="280"/>
    </row>
    <row r="362" spans="1:15">
      <c r="A362" s="4"/>
      <c r="B362" s="4"/>
      <c r="C362" s="4" t="s">
        <v>108</v>
      </c>
      <c r="D362" s="4"/>
      <c r="E362" s="4"/>
      <c r="F362" s="69" t="s">
        <v>99</v>
      </c>
      <c r="G362" s="273"/>
      <c r="H362" s="664">
        <f t="shared" ref="H362:O362" si="31">H342</f>
        <v>699.70350877192982</v>
      </c>
      <c r="I362" s="664">
        <f t="shared" si="31"/>
        <v>724.14181818181817</v>
      </c>
      <c r="J362" s="664">
        <f t="shared" si="31"/>
        <v>793.40370370370374</v>
      </c>
      <c r="K362" s="664">
        <f t="shared" si="31"/>
        <v>861.00337777777793</v>
      </c>
      <c r="L362" s="664">
        <f t="shared" si="31"/>
        <v>908.80715749894739</v>
      </c>
      <c r="M362" s="664">
        <f t="shared" si="31"/>
        <v>942.96470813155213</v>
      </c>
      <c r="N362" s="664">
        <f t="shared" si="31"/>
        <v>985.66759621402912</v>
      </c>
      <c r="O362" s="664">
        <f t="shared" si="31"/>
        <v>1014.5574674881492</v>
      </c>
    </row>
    <row r="363" spans="1:15">
      <c r="A363" s="278"/>
      <c r="B363" s="4"/>
      <c r="C363" s="144" t="s">
        <v>205</v>
      </c>
      <c r="D363" s="4"/>
      <c r="E363" s="4"/>
      <c r="F363" s="69" t="s">
        <v>99</v>
      </c>
      <c r="G363" s="273"/>
      <c r="H363" s="666">
        <v>38.299999999999997</v>
      </c>
      <c r="I363" s="666">
        <v>42.1</v>
      </c>
      <c r="J363" s="666">
        <v>40.1</v>
      </c>
      <c r="K363" s="271">
        <f>E101</f>
        <v>45.2</v>
      </c>
      <c r="L363" s="271">
        <f>K363*(1+L355)</f>
        <v>46.104000000000006</v>
      </c>
      <c r="M363" s="271">
        <f>L363*(1+M355)</f>
        <v>47.026080000000007</v>
      </c>
      <c r="N363" s="271">
        <f>M363*(1+N355)</f>
        <v>48.201732000000007</v>
      </c>
      <c r="O363" s="271">
        <f>N363*(1+O355)</f>
        <v>49.4067753</v>
      </c>
    </row>
    <row r="364" spans="1:15">
      <c r="A364" s="4"/>
      <c r="B364" s="4"/>
      <c r="C364" s="142" t="s">
        <v>204</v>
      </c>
      <c r="D364" s="4"/>
      <c r="E364" s="4"/>
      <c r="F364" s="91" t="s">
        <v>99</v>
      </c>
      <c r="G364" s="273"/>
      <c r="H364" s="665">
        <f t="shared" ref="H364:O364" si="32">SUM(H362:H363)</f>
        <v>738.00350877192977</v>
      </c>
      <c r="I364" s="665">
        <f t="shared" si="32"/>
        <v>766.24181818181819</v>
      </c>
      <c r="J364" s="665">
        <f t="shared" si="32"/>
        <v>833.50370370370376</v>
      </c>
      <c r="K364" s="665">
        <f t="shared" si="32"/>
        <v>906.20337777777797</v>
      </c>
      <c r="L364" s="665">
        <f t="shared" si="32"/>
        <v>954.91115749894743</v>
      </c>
      <c r="M364" s="665">
        <f t="shared" si="32"/>
        <v>989.99078813155211</v>
      </c>
      <c r="N364" s="665">
        <f t="shared" si="32"/>
        <v>1033.8693282140291</v>
      </c>
      <c r="O364" s="665">
        <f t="shared" si="32"/>
        <v>1063.9642427881492</v>
      </c>
    </row>
    <row r="365" spans="1:15">
      <c r="A365" s="4"/>
      <c r="B365" s="4"/>
      <c r="C365" s="142"/>
      <c r="D365" s="4"/>
      <c r="E365" s="4"/>
      <c r="F365" s="91"/>
      <c r="G365" s="273"/>
      <c r="H365" s="275"/>
      <c r="I365" s="275"/>
      <c r="J365" s="275"/>
      <c r="K365" s="275"/>
      <c r="L365" s="275"/>
      <c r="M365" s="275"/>
      <c r="N365" s="275"/>
      <c r="O365" s="275"/>
    </row>
    <row r="366" spans="1:15">
      <c r="A366" s="4"/>
      <c r="B366" s="4"/>
      <c r="C366" s="274" t="s">
        <v>203</v>
      </c>
      <c r="D366" s="274"/>
      <c r="E366" s="274"/>
      <c r="F366" s="69" t="s">
        <v>99</v>
      </c>
      <c r="G366" s="273"/>
      <c r="H366" s="666">
        <v>0</v>
      </c>
      <c r="I366" s="666">
        <v>0</v>
      </c>
      <c r="J366" s="271">
        <f t="shared" ref="J366:O366" si="33">F133</f>
        <v>11</v>
      </c>
      <c r="K366" s="271">
        <f t="shared" si="33"/>
        <v>11</v>
      </c>
      <c r="L366" s="271">
        <f t="shared" si="33"/>
        <v>18</v>
      </c>
      <c r="M366" s="271">
        <f t="shared" si="33"/>
        <v>25</v>
      </c>
      <c r="N366" s="271">
        <f t="shared" si="33"/>
        <v>30</v>
      </c>
      <c r="O366" s="271">
        <f t="shared" si="33"/>
        <v>35</v>
      </c>
    </row>
    <row r="367" spans="1:15">
      <c r="A367" s="4"/>
      <c r="B367" s="65"/>
      <c r="C367" s="65" t="s">
        <v>23</v>
      </c>
      <c r="D367" s="4"/>
      <c r="E367" s="4"/>
      <c r="F367" s="91" t="s">
        <v>99</v>
      </c>
      <c r="G367" s="4"/>
      <c r="H367" s="198">
        <f t="shared" ref="H367:O367" si="34">H360-H364+H366</f>
        <v>138.46571122807018</v>
      </c>
      <c r="I367" s="198">
        <f t="shared" si="34"/>
        <v>160.05526381818186</v>
      </c>
      <c r="J367" s="198">
        <f t="shared" si="34"/>
        <v>158.19406029629624</v>
      </c>
      <c r="K367" s="198">
        <f t="shared" si="34"/>
        <v>140.28343822222212</v>
      </c>
      <c r="L367" s="198">
        <f t="shared" si="34"/>
        <v>158.46792730105267</v>
      </c>
      <c r="M367" s="198">
        <f t="shared" si="34"/>
        <v>194.01986350364791</v>
      </c>
      <c r="N367" s="198">
        <f t="shared" si="34"/>
        <v>221.60494309016303</v>
      </c>
      <c r="O367" s="198">
        <f t="shared" si="34"/>
        <v>260.47767259144712</v>
      </c>
    </row>
    <row r="368" spans="1:15">
      <c r="A368" s="4"/>
      <c r="B368" s="4"/>
      <c r="C368" s="4"/>
      <c r="D368" s="4"/>
      <c r="E368" s="4"/>
      <c r="F368" s="69"/>
      <c r="G368" s="4"/>
      <c r="H368" s="195"/>
      <c r="I368" s="195"/>
      <c r="J368" s="270"/>
      <c r="K368" s="270"/>
      <c r="L368" s="270"/>
      <c r="M368" s="270"/>
      <c r="N368" s="270"/>
      <c r="O368" s="270"/>
    </row>
    <row r="369" spans="1:17" ht="12.75" customHeight="1">
      <c r="A369" s="4"/>
      <c r="B369" s="4"/>
      <c r="C369" s="4" t="s">
        <v>202</v>
      </c>
      <c r="D369" s="4"/>
      <c r="E369" s="4"/>
      <c r="F369" s="69" t="s">
        <v>99</v>
      </c>
      <c r="G369" s="4"/>
      <c r="H369" s="77">
        <f t="shared" ref="H369:O369" si="35">H505</f>
        <v>54.8</v>
      </c>
      <c r="I369" s="77">
        <f t="shared" si="35"/>
        <v>55.2</v>
      </c>
      <c r="J369" s="77">
        <f t="shared" si="35"/>
        <v>56.4</v>
      </c>
      <c r="K369" s="77">
        <f t="shared" si="35"/>
        <v>61.61</v>
      </c>
      <c r="L369" s="77">
        <f t="shared" si="35"/>
        <v>63.71</v>
      </c>
      <c r="M369" s="77">
        <f t="shared" si="35"/>
        <v>65.932000000000002</v>
      </c>
      <c r="N369" s="77">
        <f t="shared" si="35"/>
        <v>68.204049999999995</v>
      </c>
      <c r="O369" s="77">
        <f t="shared" si="35"/>
        <v>71.132901250000003</v>
      </c>
    </row>
    <row r="370" spans="1:17">
      <c r="A370" s="4"/>
      <c r="B370" s="4"/>
      <c r="C370" s="142" t="s">
        <v>201</v>
      </c>
      <c r="D370" s="4"/>
      <c r="E370" s="4"/>
      <c r="F370" s="91" t="s">
        <v>99</v>
      </c>
      <c r="G370" s="4"/>
      <c r="H370" s="198">
        <f t="shared" ref="H370:O370" si="36">H367-H369</f>
        <v>83.66571122807018</v>
      </c>
      <c r="I370" s="198">
        <f t="shared" si="36"/>
        <v>104.85526381818185</v>
      </c>
      <c r="J370" s="198">
        <f t="shared" si="36"/>
        <v>101.79406029629624</v>
      </c>
      <c r="K370" s="198">
        <f t="shared" si="36"/>
        <v>78.673438222222117</v>
      </c>
      <c r="L370" s="198">
        <f t="shared" si="36"/>
        <v>94.757927301052661</v>
      </c>
      <c r="M370" s="198">
        <f t="shared" si="36"/>
        <v>128.0878635036479</v>
      </c>
      <c r="N370" s="198">
        <f t="shared" si="36"/>
        <v>153.40089309016304</v>
      </c>
      <c r="O370" s="198">
        <f t="shared" si="36"/>
        <v>189.34477134144711</v>
      </c>
    </row>
    <row r="371" spans="1:17" ht="12.75" customHeight="1">
      <c r="A371" s="4"/>
      <c r="B371" s="4"/>
      <c r="C371" s="142"/>
      <c r="D371" s="4"/>
      <c r="E371" s="4"/>
      <c r="F371" s="91"/>
      <c r="G371" s="4"/>
      <c r="H371" s="4"/>
      <c r="I371" s="4"/>
      <c r="J371" s="4"/>
      <c r="K371" s="221"/>
      <c r="L371" s="221"/>
      <c r="M371" s="221"/>
      <c r="N371" s="221"/>
      <c r="O371" s="221"/>
      <c r="Q371" s="30"/>
    </row>
    <row r="372" spans="1:17">
      <c r="A372" s="4"/>
      <c r="B372" s="4"/>
      <c r="C372" s="30" t="s">
        <v>6</v>
      </c>
      <c r="D372" s="4"/>
      <c r="E372" s="4"/>
      <c r="F372" s="69" t="s">
        <v>99</v>
      </c>
      <c r="G372" s="4"/>
      <c r="H372" s="268"/>
      <c r="I372" s="268"/>
      <c r="J372" s="268"/>
      <c r="K372" s="203">
        <f>K712</f>
        <v>8.3051881655555526</v>
      </c>
      <c r="L372" s="203">
        <f>L712</f>
        <v>8.6540060685088864</v>
      </c>
      <c r="M372" s="203">
        <f>M712</f>
        <v>9.01747432338626</v>
      </c>
      <c r="N372" s="203">
        <f>N712</f>
        <v>0</v>
      </c>
      <c r="O372" s="203">
        <f>O712</f>
        <v>0</v>
      </c>
    </row>
    <row r="373" spans="1:17">
      <c r="A373" s="4"/>
      <c r="B373" s="4"/>
      <c r="C373" s="30" t="s">
        <v>62</v>
      </c>
      <c r="D373" s="4"/>
      <c r="E373" s="4"/>
      <c r="F373" s="69" t="s">
        <v>99</v>
      </c>
      <c r="G373" s="4"/>
      <c r="H373" s="268"/>
      <c r="I373" s="268"/>
      <c r="J373" s="268"/>
      <c r="K373" s="77">
        <f>K711</f>
        <v>36.041406142037033</v>
      </c>
      <c r="L373" s="77">
        <f>L711</f>
        <v>35.575370391701746</v>
      </c>
      <c r="M373" s="77">
        <f>M711</f>
        <v>34.366944426493617</v>
      </c>
      <c r="N373" s="77">
        <f>N711</f>
        <v>41.375397722386424</v>
      </c>
      <c r="O373" s="77">
        <f>O711</f>
        <v>38.60266469166524</v>
      </c>
    </row>
    <row r="374" spans="1:17">
      <c r="A374" s="4"/>
      <c r="B374" s="4"/>
      <c r="C374" s="30" t="s">
        <v>7</v>
      </c>
      <c r="D374" s="4"/>
      <c r="E374" s="4"/>
      <c r="F374" s="91" t="s">
        <v>99</v>
      </c>
      <c r="G374" s="4"/>
      <c r="H374" s="203"/>
      <c r="I374" s="203"/>
      <c r="J374" s="203"/>
      <c r="K374" s="203">
        <f>SUM(K372:K373)</f>
        <v>44.346594307592582</v>
      </c>
      <c r="L374" s="203">
        <f>SUM(L372:L373)</f>
        <v>44.229376460210631</v>
      </c>
      <c r="M374" s="203">
        <f>SUM(M372:M373)</f>
        <v>43.384418749879877</v>
      </c>
      <c r="N374" s="203">
        <f>SUM(N372:N373)</f>
        <v>41.375397722386424</v>
      </c>
      <c r="O374" s="203">
        <f>SUM(O372:O373)</f>
        <v>38.60266469166524</v>
      </c>
    </row>
    <row r="375" spans="1:17" ht="6" customHeight="1">
      <c r="A375" s="4"/>
      <c r="B375" s="4"/>
      <c r="C375" s="142"/>
      <c r="D375" s="4"/>
      <c r="E375" s="4"/>
      <c r="F375" s="91"/>
      <c r="G375" s="4"/>
      <c r="H375" s="269"/>
      <c r="I375" s="269"/>
      <c r="J375" s="269"/>
      <c r="K375" s="269"/>
      <c r="L375" s="221"/>
      <c r="M375" s="266"/>
      <c r="N375" s="266"/>
      <c r="O375" s="221"/>
    </row>
    <row r="376" spans="1:17">
      <c r="A376" s="4"/>
      <c r="B376" s="4"/>
      <c r="C376" s="205" t="s">
        <v>200</v>
      </c>
      <c r="D376" s="4"/>
      <c r="E376" s="4"/>
      <c r="F376" s="91" t="s">
        <v>99</v>
      </c>
      <c r="G376" s="4"/>
      <c r="H376" s="266"/>
      <c r="I376" s="266"/>
      <c r="J376" s="266"/>
      <c r="K376" s="198">
        <f>K370-K374</f>
        <v>34.326843914629535</v>
      </c>
      <c r="L376" s="198">
        <f>L370-L374</f>
        <v>50.52855084084203</v>
      </c>
      <c r="M376" s="198">
        <f>M370-M374</f>
        <v>84.703444753768025</v>
      </c>
      <c r="N376" s="198">
        <f>N370-N374</f>
        <v>112.02549536777661</v>
      </c>
      <c r="O376" s="198">
        <f>O370-O374</f>
        <v>150.74210664978187</v>
      </c>
    </row>
    <row r="377" spans="1:17" ht="12.75" customHeight="1">
      <c r="A377" s="4"/>
      <c r="B377" s="4"/>
      <c r="C377" s="142"/>
      <c r="D377" s="4"/>
      <c r="E377" s="4"/>
      <c r="F377" s="91"/>
      <c r="G377" s="4"/>
      <c r="H377" s="269"/>
      <c r="I377" s="269"/>
      <c r="J377" s="269"/>
      <c r="K377" s="269"/>
      <c r="L377" s="221"/>
      <c r="M377" s="266"/>
      <c r="N377" s="266"/>
      <c r="O377" s="221"/>
    </row>
    <row r="378" spans="1:17">
      <c r="A378" s="4"/>
      <c r="B378" s="4"/>
      <c r="C378" s="4" t="s">
        <v>199</v>
      </c>
      <c r="D378" s="4"/>
      <c r="E378" s="4"/>
      <c r="F378" s="69" t="s">
        <v>99</v>
      </c>
      <c r="G378" s="4"/>
      <c r="H378" s="268"/>
      <c r="I378" s="268"/>
      <c r="J378" s="268"/>
      <c r="K378" s="203">
        <f t="shared" ref="K378:O379" si="37">K541</f>
        <v>0</v>
      </c>
      <c r="L378" s="203">
        <f t="shared" si="37"/>
        <v>0.59181316441505627</v>
      </c>
      <c r="M378" s="203">
        <f t="shared" si="37"/>
        <v>24.48446691381881</v>
      </c>
      <c r="N378" s="203">
        <f t="shared" si="37"/>
        <v>36.096027316221814</v>
      </c>
      <c r="O378" s="203">
        <f t="shared" si="37"/>
        <v>50.87546897117366</v>
      </c>
    </row>
    <row r="379" spans="1:17">
      <c r="A379" s="4"/>
      <c r="B379" s="4"/>
      <c r="C379" s="4" t="s">
        <v>155</v>
      </c>
      <c r="D379" s="4"/>
      <c r="E379" s="4"/>
      <c r="F379" s="69" t="s">
        <v>99</v>
      </c>
      <c r="G379" s="4"/>
      <c r="H379" s="268"/>
      <c r="I379" s="268"/>
      <c r="J379" s="268"/>
      <c r="K379" s="77">
        <f t="shared" si="37"/>
        <v>12.014395370120337</v>
      </c>
      <c r="L379" s="77">
        <f t="shared" si="37"/>
        <v>17.09317962987965</v>
      </c>
      <c r="M379" s="77">
        <f t="shared" si="37"/>
        <v>5.1617387499999978</v>
      </c>
      <c r="N379" s="77">
        <f t="shared" si="37"/>
        <v>3.1128960624999991</v>
      </c>
      <c r="O379" s="77">
        <f t="shared" si="37"/>
        <v>1.88426835624999</v>
      </c>
    </row>
    <row r="380" spans="1:17">
      <c r="A380" s="4"/>
      <c r="B380" s="4"/>
      <c r="C380" s="65" t="s">
        <v>198</v>
      </c>
      <c r="D380" s="4"/>
      <c r="E380" s="4"/>
      <c r="F380" s="91" t="s">
        <v>99</v>
      </c>
      <c r="G380" s="4"/>
      <c r="H380" s="24"/>
      <c r="I380" s="24"/>
      <c r="J380" s="24"/>
      <c r="K380" s="24">
        <f>SUM(K378:K379)</f>
        <v>12.014395370120337</v>
      </c>
      <c r="L380" s="24">
        <f>SUM(L378:L379)</f>
        <v>17.684992794294708</v>
      </c>
      <c r="M380" s="24">
        <f>SUM(M378:M379)</f>
        <v>29.646205663818808</v>
      </c>
      <c r="N380" s="24">
        <f>SUM(N378:N379)</f>
        <v>39.208923378721813</v>
      </c>
      <c r="O380" s="24">
        <f>SUM(O378:O379)</f>
        <v>52.75973732742365</v>
      </c>
    </row>
    <row r="381" spans="1:17" ht="6" customHeight="1">
      <c r="A381" s="4"/>
      <c r="B381" s="4"/>
      <c r="C381" s="4"/>
      <c r="D381" s="4"/>
      <c r="E381" s="4"/>
      <c r="F381" s="69"/>
      <c r="G381" s="4"/>
      <c r="H381" s="4"/>
      <c r="I381" s="4"/>
      <c r="J381" s="4"/>
      <c r="K381" s="4"/>
      <c r="L381" s="4"/>
      <c r="M381" s="4"/>
      <c r="N381" s="4"/>
      <c r="O381" s="4"/>
    </row>
    <row r="382" spans="1:17">
      <c r="A382" s="4"/>
      <c r="B382" s="4"/>
      <c r="C382" s="267" t="s">
        <v>50</v>
      </c>
      <c r="D382" s="65"/>
      <c r="E382" s="65"/>
      <c r="F382" s="91" t="s">
        <v>99</v>
      </c>
      <c r="G382" s="4"/>
      <c r="H382" s="266"/>
      <c r="I382" s="266"/>
      <c r="J382" s="266"/>
      <c r="K382" s="198">
        <f>K376-K380</f>
        <v>22.312448544509198</v>
      </c>
      <c r="L382" s="198">
        <f>L376-L380</f>
        <v>32.843558046547322</v>
      </c>
      <c r="M382" s="198">
        <f>M376-M380</f>
        <v>55.057239089949221</v>
      </c>
      <c r="N382" s="198">
        <f>N376-N380</f>
        <v>72.816571989054808</v>
      </c>
      <c r="O382" s="198">
        <f>O376-O380</f>
        <v>97.982369322358224</v>
      </c>
    </row>
    <row r="383" spans="1:17">
      <c r="A383" s="4"/>
      <c r="B383" s="4"/>
      <c r="C383" s="21"/>
      <c r="D383" s="4"/>
      <c r="E383" s="4"/>
      <c r="F383" s="91"/>
      <c r="G383" s="4"/>
      <c r="H383" s="64"/>
      <c r="I383" s="64"/>
      <c r="J383" s="64"/>
      <c r="K383" s="64"/>
      <c r="L383" s="64"/>
      <c r="M383" s="64"/>
      <c r="N383" s="64"/>
      <c r="O383" s="64"/>
    </row>
    <row r="384" spans="1:17">
      <c r="A384" s="4"/>
      <c r="B384" s="4"/>
      <c r="C384" s="4" t="s">
        <v>197</v>
      </c>
      <c r="D384" s="4"/>
      <c r="E384" s="4"/>
      <c r="F384" s="69" t="s">
        <v>99</v>
      </c>
      <c r="G384" s="4"/>
      <c r="H384" s="268"/>
      <c r="I384" s="268"/>
      <c r="J384" s="268"/>
      <c r="K384" s="77">
        <f>K732</f>
        <v>8</v>
      </c>
      <c r="L384" s="77">
        <f>L732</f>
        <v>8</v>
      </c>
      <c r="M384" s="77">
        <f>M732</f>
        <v>8</v>
      </c>
      <c r="N384" s="77">
        <f>N732</f>
        <v>8</v>
      </c>
      <c r="O384" s="77">
        <f>O732</f>
        <v>8</v>
      </c>
    </row>
    <row r="385" spans="1:15">
      <c r="A385" s="4"/>
      <c r="B385" s="4"/>
      <c r="C385" s="267" t="s">
        <v>53</v>
      </c>
      <c r="D385" s="4"/>
      <c r="E385" s="4"/>
      <c r="F385" s="91" t="s">
        <v>99</v>
      </c>
      <c r="G385" s="4"/>
      <c r="H385" s="266"/>
      <c r="I385" s="266"/>
      <c r="J385" s="266"/>
      <c r="K385" s="198">
        <f>K382-K384</f>
        <v>14.312448544509198</v>
      </c>
      <c r="L385" s="198">
        <f>L382-L384</f>
        <v>24.843558046547322</v>
      </c>
      <c r="M385" s="198">
        <f>M382-M384</f>
        <v>47.057239089949221</v>
      </c>
      <c r="N385" s="198">
        <f>N382-N384</f>
        <v>64.816571989054808</v>
      </c>
      <c r="O385" s="198">
        <f>O382-O384</f>
        <v>89.982369322358224</v>
      </c>
    </row>
    <row r="386" spans="1:15">
      <c r="A386" s="4"/>
      <c r="B386" s="4"/>
      <c r="C386" s="65"/>
      <c r="D386" s="4"/>
      <c r="E386" s="4"/>
      <c r="F386" s="91"/>
      <c r="G386" s="4"/>
      <c r="H386" s="24"/>
      <c r="I386" s="24"/>
      <c r="J386" s="24"/>
      <c r="K386" s="24"/>
      <c r="L386" s="24"/>
      <c r="M386" s="24"/>
      <c r="N386" s="24"/>
      <c r="O386" s="24"/>
    </row>
    <row r="387" spans="1:15" ht="6" customHeight="1">
      <c r="A387" s="4"/>
      <c r="B387" s="4"/>
      <c r="C387" s="4"/>
      <c r="D387" s="4"/>
      <c r="E387" s="4"/>
      <c r="F387" s="16"/>
      <c r="G387" s="4"/>
      <c r="H387" s="246"/>
      <c r="I387" s="246"/>
      <c r="J387" s="246"/>
      <c r="K387" s="265"/>
      <c r="L387" s="265"/>
      <c r="M387" s="265"/>
      <c r="N387" s="265"/>
      <c r="O387" s="265"/>
    </row>
    <row r="388" spans="1:15">
      <c r="A388" s="4"/>
      <c r="B388" s="140" t="s">
        <v>196</v>
      </c>
      <c r="C388" s="59"/>
      <c r="D388" s="59"/>
      <c r="E388" s="59"/>
      <c r="F388" s="264"/>
      <c r="G388" s="59"/>
      <c r="H388" s="263"/>
      <c r="I388" s="263"/>
      <c r="J388" s="263"/>
      <c r="K388" s="263"/>
      <c r="L388" s="263"/>
      <c r="M388" s="263"/>
      <c r="N388" s="263"/>
      <c r="O388" s="262"/>
    </row>
    <row r="389" spans="1:15">
      <c r="A389" s="4"/>
      <c r="B389" s="133"/>
      <c r="C389" s="4" t="s">
        <v>195</v>
      </c>
      <c r="D389" s="4"/>
      <c r="E389" s="4"/>
      <c r="F389" s="16"/>
      <c r="G389" s="4"/>
      <c r="H389" s="254">
        <f t="shared" ref="H389:O389" si="38">H367/H360</f>
        <v>0.15798125943095889</v>
      </c>
      <c r="I389" s="254">
        <f t="shared" si="38"/>
        <v>0.17279042213174309</v>
      </c>
      <c r="J389" s="254">
        <f t="shared" si="38"/>
        <v>0.16130765879496411</v>
      </c>
      <c r="K389" s="254">
        <f t="shared" si="38"/>
        <v>0.135475832289324</v>
      </c>
      <c r="L389" s="254">
        <f t="shared" si="38"/>
        <v>0.14466948429089876</v>
      </c>
      <c r="M389" s="254">
        <f t="shared" si="38"/>
        <v>0.16740127731346846</v>
      </c>
      <c r="N389" s="254">
        <f t="shared" si="38"/>
        <v>0.18083198340371795</v>
      </c>
      <c r="O389" s="261">
        <f t="shared" si="38"/>
        <v>0.20200806991353742</v>
      </c>
    </row>
    <row r="390" spans="1:15">
      <c r="A390" s="4"/>
      <c r="B390" s="133"/>
      <c r="C390" s="4" t="s">
        <v>194</v>
      </c>
      <c r="D390" s="4"/>
      <c r="E390" s="4"/>
      <c r="F390" s="251"/>
      <c r="G390" s="4"/>
      <c r="H390" s="254">
        <f t="shared" ref="H390:O390" si="39">H370/H360</f>
        <v>9.5457671894137008E-2</v>
      </c>
      <c r="I390" s="254">
        <f t="shared" si="39"/>
        <v>0.11319830954426115</v>
      </c>
      <c r="J390" s="254">
        <f t="shared" si="39"/>
        <v>0.10379758579351286</v>
      </c>
      <c r="K390" s="254">
        <f t="shared" si="39"/>
        <v>7.5977247615890559E-2</v>
      </c>
      <c r="L390" s="254">
        <f t="shared" si="39"/>
        <v>8.6506971527901724E-2</v>
      </c>
      <c r="M390" s="254">
        <f t="shared" si="39"/>
        <v>0.1105148285936234</v>
      </c>
      <c r="N390" s="254">
        <f t="shared" si="39"/>
        <v>0.12517675538541376</v>
      </c>
      <c r="O390" s="261">
        <f t="shared" si="39"/>
        <v>0.14684242002921571</v>
      </c>
    </row>
    <row r="391" spans="1:15">
      <c r="A391" s="4"/>
      <c r="B391" s="260"/>
      <c r="C391" s="2" t="s">
        <v>193</v>
      </c>
      <c r="D391" s="2"/>
      <c r="E391" s="2"/>
      <c r="F391" s="259"/>
      <c r="G391" s="2"/>
      <c r="H391" s="258"/>
      <c r="I391" s="258"/>
      <c r="J391" s="257"/>
      <c r="K391" s="257">
        <f>K367/AVERAGE(K772,J772)</f>
        <v>7.0940137025416572E-2</v>
      </c>
      <c r="L391" s="257">
        <f>L367/AVERAGE(L772,K772)</f>
        <v>9.2311999334375075E-2</v>
      </c>
      <c r="M391" s="257">
        <f>M367/AVERAGE(M772,L772)</f>
        <v>0.11749079856123247</v>
      </c>
      <c r="N391" s="257">
        <f>N367/AVERAGE(N772,M772)</f>
        <v>0.13924706192463548</v>
      </c>
      <c r="O391" s="256">
        <f>O367/AVERAGE(O772,N772)</f>
        <v>0.16884953858568438</v>
      </c>
    </row>
    <row r="392" spans="1:15">
      <c r="A392" s="4"/>
      <c r="B392" s="4"/>
      <c r="C392" s="255" t="s">
        <v>192</v>
      </c>
      <c r="D392" s="4"/>
      <c r="E392" s="4"/>
      <c r="F392" s="251"/>
      <c r="G392" s="4"/>
      <c r="H392" s="252"/>
      <c r="I392" s="252"/>
      <c r="J392" s="254"/>
      <c r="K392" s="254"/>
      <c r="L392" s="254"/>
      <c r="M392" s="254"/>
      <c r="N392" s="254"/>
      <c r="O392" s="254"/>
    </row>
    <row r="393" spans="1:15">
      <c r="A393" s="4"/>
      <c r="B393" s="4"/>
      <c r="C393" s="253"/>
      <c r="D393" s="4"/>
      <c r="E393" s="4"/>
      <c r="F393" s="251"/>
      <c r="G393" s="4"/>
      <c r="H393" s="252"/>
      <c r="I393" s="252"/>
      <c r="J393" s="252"/>
      <c r="K393" s="252"/>
      <c r="L393" s="252"/>
      <c r="M393" s="252"/>
      <c r="N393" s="252"/>
      <c r="O393" s="252"/>
    </row>
    <row r="394" spans="1:15">
      <c r="A394" s="4"/>
      <c r="B394" s="65"/>
      <c r="C394" s="4"/>
      <c r="D394" s="4"/>
      <c r="E394" s="4"/>
      <c r="F394" s="251"/>
      <c r="G394" s="4"/>
      <c r="H394" s="4"/>
      <c r="I394" s="4"/>
      <c r="J394" s="4"/>
      <c r="K394" s="4"/>
      <c r="L394" s="4"/>
      <c r="M394" s="4"/>
      <c r="N394" s="4"/>
      <c r="O394" s="4"/>
    </row>
    <row r="395" spans="1:15">
      <c r="A395" s="4"/>
      <c r="B395" s="65"/>
      <c r="C395" s="4"/>
      <c r="D395" s="4"/>
      <c r="E395" s="4"/>
      <c r="F395" s="251"/>
      <c r="G395" s="4"/>
      <c r="H395" s="246"/>
      <c r="I395" s="246"/>
      <c r="J395" s="246"/>
      <c r="K395" s="246"/>
      <c r="L395" s="246"/>
      <c r="M395" s="246"/>
      <c r="N395" s="246"/>
      <c r="O395" s="246"/>
    </row>
    <row r="396" spans="1:15" ht="12.75" customHeight="1">
      <c r="A396" s="4"/>
      <c r="B396" s="35"/>
      <c r="C396" s="20"/>
      <c r="D396" s="20"/>
      <c r="E396" s="20"/>
      <c r="F396" s="20"/>
      <c r="G396" s="20"/>
      <c r="H396" s="20"/>
      <c r="I396" s="20"/>
      <c r="J396" s="20"/>
      <c r="K396" s="20"/>
      <c r="L396" s="20"/>
      <c r="M396" s="20"/>
      <c r="N396" s="20"/>
      <c r="O396" s="36" t="str">
        <f>$O$258</f>
        <v>CURRENTLY RUNNING: BASE CASE SCENARIO</v>
      </c>
    </row>
    <row r="397" spans="1:15" ht="22.8" customHeight="1">
      <c r="A397" s="4"/>
      <c r="B397" s="35" t="str">
        <f>$B$26</f>
        <v>Lingoren Corp.</v>
      </c>
      <c r="C397" s="20"/>
      <c r="D397" s="20"/>
      <c r="E397" s="20"/>
      <c r="F397" s="20"/>
      <c r="G397" s="20"/>
      <c r="H397" s="20"/>
      <c r="I397" s="20"/>
      <c r="J397" s="20"/>
      <c r="K397" s="20"/>
      <c r="L397" s="20"/>
      <c r="M397" s="20"/>
      <c r="N397" s="20"/>
      <c r="O397" s="20"/>
    </row>
    <row r="398" spans="1:15" ht="18.75" customHeight="1">
      <c r="A398" s="4"/>
      <c r="B398" s="34" t="s">
        <v>191</v>
      </c>
      <c r="C398" s="20"/>
      <c r="D398" s="20"/>
      <c r="E398" s="20"/>
      <c r="F398" s="20"/>
      <c r="G398" s="20"/>
      <c r="H398" s="20"/>
      <c r="I398" s="20"/>
      <c r="J398" s="20"/>
      <c r="K398" s="20"/>
      <c r="L398" s="20"/>
      <c r="M398" s="20"/>
      <c r="N398" s="20"/>
      <c r="O398" s="20"/>
    </row>
    <row r="399" spans="1:15" ht="6" customHeight="1" thickBot="1">
      <c r="A399" s="4"/>
      <c r="B399" s="220"/>
      <c r="C399" s="32"/>
      <c r="D399" s="32"/>
      <c r="E399" s="32"/>
      <c r="F399" s="32"/>
      <c r="G399" s="32"/>
      <c r="H399" s="32"/>
      <c r="I399" s="32"/>
      <c r="J399" s="32"/>
      <c r="K399" s="32"/>
      <c r="L399" s="32"/>
      <c r="M399" s="32"/>
      <c r="N399" s="32"/>
      <c r="O399" s="32"/>
    </row>
    <row r="400" spans="1:15" ht="12.75" customHeight="1">
      <c r="A400" s="4"/>
      <c r="B400" s="31" t="s">
        <v>25</v>
      </c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</row>
    <row r="401" spans="1:17" ht="13.8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14" t="s">
        <v>24</v>
      </c>
      <c r="L401" s="13"/>
      <c r="M401" s="13"/>
      <c r="N401" s="13"/>
      <c r="O401" s="13"/>
    </row>
    <row r="402" spans="1:17">
      <c r="A402" s="4"/>
      <c r="B402" s="168"/>
      <c r="C402" s="4"/>
      <c r="D402" s="4"/>
      <c r="E402" s="4"/>
      <c r="F402" s="250"/>
      <c r="G402" s="29"/>
      <c r="H402" s="28">
        <f t="shared" ref="H402:O402" si="40">H$264</f>
        <v>2016</v>
      </c>
      <c r="I402" s="28">
        <f t="shared" si="40"/>
        <v>2017</v>
      </c>
      <c r="J402" s="70">
        <f t="shared" si="40"/>
        <v>2018</v>
      </c>
      <c r="K402" s="10">
        <f t="shared" si="40"/>
        <v>2019</v>
      </c>
      <c r="L402" s="10">
        <f t="shared" si="40"/>
        <v>2020</v>
      </c>
      <c r="M402" s="10">
        <f t="shared" si="40"/>
        <v>2021</v>
      </c>
      <c r="N402" s="10">
        <f t="shared" si="40"/>
        <v>2022</v>
      </c>
      <c r="O402" s="10">
        <f t="shared" si="40"/>
        <v>2023</v>
      </c>
    </row>
    <row r="403" spans="1:17">
      <c r="A403" s="4"/>
      <c r="B403" s="65" t="s">
        <v>190</v>
      </c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</row>
    <row r="404" spans="1:17">
      <c r="A404" s="4"/>
      <c r="B404" s="4"/>
      <c r="C404" s="4" t="s">
        <v>50</v>
      </c>
      <c r="D404" s="4"/>
      <c r="E404" s="4"/>
      <c r="F404" s="4"/>
      <c r="G404" s="249"/>
      <c r="K404" s="73">
        <f>K382</f>
        <v>22.312448544509198</v>
      </c>
      <c r="L404" s="73">
        <f>L382</f>
        <v>32.843558046547322</v>
      </c>
      <c r="M404" s="73">
        <f>M382</f>
        <v>55.057239089949221</v>
      </c>
      <c r="N404" s="73">
        <f>N382</f>
        <v>72.816571989054808</v>
      </c>
      <c r="O404" s="73">
        <f>O382</f>
        <v>97.982369322358224</v>
      </c>
      <c r="Q404" s="30"/>
    </row>
    <row r="405" spans="1:17">
      <c r="A405" s="4"/>
      <c r="B405" s="4"/>
      <c r="C405" s="4" t="s">
        <v>189</v>
      </c>
      <c r="D405" s="4"/>
      <c r="E405" s="4"/>
      <c r="F405" s="4"/>
      <c r="G405" s="249"/>
      <c r="K405" s="73">
        <f>K369</f>
        <v>61.61</v>
      </c>
      <c r="L405" s="73">
        <f>L369</f>
        <v>63.71</v>
      </c>
      <c r="M405" s="73">
        <f>M369</f>
        <v>65.932000000000002</v>
      </c>
      <c r="N405" s="73">
        <f>N369</f>
        <v>68.204049999999995</v>
      </c>
      <c r="O405" s="73">
        <f>O369</f>
        <v>71.132901250000003</v>
      </c>
    </row>
    <row r="406" spans="1:17">
      <c r="A406" s="4"/>
      <c r="B406" s="4"/>
      <c r="C406" s="4" t="s">
        <v>62</v>
      </c>
      <c r="D406" s="4"/>
      <c r="E406" s="4"/>
      <c r="F406" s="4"/>
      <c r="G406" s="249"/>
      <c r="K406" s="73">
        <f>K373</f>
        <v>36.041406142037033</v>
      </c>
      <c r="L406" s="73">
        <f>L373</f>
        <v>35.575370391701746</v>
      </c>
      <c r="M406" s="73">
        <f>M373</f>
        <v>34.366944426493617</v>
      </c>
      <c r="N406" s="73">
        <f>N373</f>
        <v>41.375397722386424</v>
      </c>
      <c r="O406" s="73">
        <f>O373</f>
        <v>38.60266469166524</v>
      </c>
    </row>
    <row r="407" spans="1:17">
      <c r="A407" s="4"/>
      <c r="B407" s="4"/>
      <c r="C407" s="4" t="s">
        <v>155</v>
      </c>
      <c r="D407" s="4"/>
      <c r="E407" s="4"/>
      <c r="F407" s="4"/>
      <c r="G407" s="191"/>
      <c r="K407" s="73">
        <f>K379</f>
        <v>12.014395370120337</v>
      </c>
      <c r="L407" s="73">
        <f>L379</f>
        <v>17.09317962987965</v>
      </c>
      <c r="M407" s="73">
        <f>M379</f>
        <v>5.1617387499999978</v>
      </c>
      <c r="N407" s="73">
        <f>N379</f>
        <v>3.1128960624999991</v>
      </c>
      <c r="O407" s="73">
        <f>O379</f>
        <v>1.88426835624999</v>
      </c>
    </row>
    <row r="408" spans="1:17">
      <c r="A408" s="4"/>
      <c r="B408" s="4"/>
      <c r="C408" s="4" t="s">
        <v>188</v>
      </c>
      <c r="D408" s="4"/>
      <c r="E408" s="4"/>
      <c r="F408" s="4"/>
      <c r="G408" s="248"/>
      <c r="K408" s="77">
        <f>K582</f>
        <v>-1.2482795153729427</v>
      </c>
      <c r="L408" s="77">
        <f>L582</f>
        <v>6.8323119771503542</v>
      </c>
      <c r="M408" s="77">
        <f>M582</f>
        <v>-1.312901541526486</v>
      </c>
      <c r="N408" s="77">
        <f>N582</f>
        <v>-6.3987169718618873</v>
      </c>
      <c r="O408" s="77">
        <f>O582</f>
        <v>-5.8908172396029528</v>
      </c>
    </row>
    <row r="409" spans="1:17">
      <c r="A409" s="4"/>
      <c r="B409" s="4"/>
      <c r="C409" s="142" t="s">
        <v>187</v>
      </c>
      <c r="D409" s="4"/>
      <c r="E409" s="4"/>
      <c r="F409" s="4"/>
      <c r="G409" s="221"/>
      <c r="K409" s="196">
        <f>SUM(K404:K408)</f>
        <v>130.7299705412936</v>
      </c>
      <c r="L409" s="196">
        <f>SUM(L404:L408)</f>
        <v>156.05442004527907</v>
      </c>
      <c r="M409" s="196">
        <f>SUM(M404:M408)</f>
        <v>159.20502072491635</v>
      </c>
      <c r="N409" s="196">
        <f>SUM(N404:N408)</f>
        <v>179.11019880207934</v>
      </c>
      <c r="O409" s="196">
        <f>SUM(O404:O408)</f>
        <v>203.71138638067049</v>
      </c>
    </row>
    <row r="410" spans="1:17">
      <c r="A410" s="4"/>
      <c r="B410" s="144"/>
      <c r="C410" s="4"/>
      <c r="D410" s="4"/>
      <c r="E410" s="4"/>
      <c r="F410" s="4"/>
      <c r="G410" s="246"/>
      <c r="H410" s="245"/>
      <c r="I410" s="245"/>
      <c r="J410" s="245"/>
      <c r="K410" s="245"/>
      <c r="L410" s="245"/>
      <c r="M410" s="245"/>
      <c r="N410" s="245"/>
      <c r="O410" s="245"/>
    </row>
    <row r="411" spans="1:17">
      <c r="A411" s="4"/>
      <c r="B411" s="144"/>
      <c r="C411" s="4"/>
      <c r="D411" s="4"/>
      <c r="E411" s="4"/>
      <c r="F411" s="4"/>
      <c r="G411" s="246"/>
      <c r="H411" s="245"/>
      <c r="I411" s="245"/>
      <c r="J411" s="245"/>
      <c r="K411" s="245"/>
      <c r="L411" s="245"/>
      <c r="M411" s="245"/>
      <c r="N411" s="245"/>
      <c r="O411" s="245"/>
    </row>
    <row r="412" spans="1:17">
      <c r="A412" s="4"/>
      <c r="B412" s="65" t="s">
        <v>186</v>
      </c>
      <c r="C412" s="4"/>
      <c r="D412" s="4"/>
      <c r="E412" s="4"/>
      <c r="F412" s="4"/>
      <c r="G412" s="244"/>
      <c r="H412" s="243"/>
      <c r="I412" s="243"/>
      <c r="J412" s="243"/>
      <c r="K412" s="191"/>
      <c r="L412" s="191"/>
      <c r="M412" s="191"/>
      <c r="N412" s="191"/>
      <c r="O412" s="191"/>
    </row>
    <row r="413" spans="1:17">
      <c r="A413" s="4"/>
      <c r="B413" s="4"/>
      <c r="C413" s="4" t="s">
        <v>145</v>
      </c>
      <c r="D413" s="4"/>
      <c r="E413" s="4"/>
      <c r="F413" s="16"/>
      <c r="G413" s="4"/>
      <c r="K413" s="203">
        <f>-G122</f>
        <v>-50</v>
      </c>
      <c r="L413" s="203">
        <f>-H122</f>
        <v>-55</v>
      </c>
      <c r="M413" s="203">
        <f>-I122</f>
        <v>-56.1</v>
      </c>
      <c r="N413" s="203">
        <f>-J122</f>
        <v>-57.502499999999998</v>
      </c>
      <c r="O413" s="203">
        <f>-K122</f>
        <v>-88.940062499999982</v>
      </c>
      <c r="Q413" s="30"/>
    </row>
    <row r="414" spans="1:17">
      <c r="A414" s="4"/>
      <c r="B414" s="4"/>
      <c r="C414" s="4" t="s">
        <v>157</v>
      </c>
      <c r="D414" s="4"/>
      <c r="E414" s="4"/>
      <c r="F414" s="16"/>
      <c r="G414" s="4"/>
      <c r="K414" s="203">
        <f>J414</f>
        <v>0</v>
      </c>
      <c r="L414" s="203">
        <f>K414</f>
        <v>0</v>
      </c>
      <c r="M414" s="203">
        <f>L414</f>
        <v>0</v>
      </c>
      <c r="N414" s="203">
        <f>M414</f>
        <v>0</v>
      </c>
      <c r="O414" s="203">
        <f>N414</f>
        <v>0</v>
      </c>
    </row>
    <row r="415" spans="1:17">
      <c r="A415" s="65"/>
      <c r="B415" s="4"/>
      <c r="C415" s="65" t="s">
        <v>185</v>
      </c>
      <c r="D415" s="4"/>
      <c r="E415" s="4"/>
      <c r="F415" s="4"/>
      <c r="G415" s="221"/>
      <c r="K415" s="235">
        <f>SUM(K413:K414)</f>
        <v>-50</v>
      </c>
      <c r="L415" s="235">
        <f>SUM(L413:L414)</f>
        <v>-55</v>
      </c>
      <c r="M415" s="235">
        <f>SUM(M413:M414)</f>
        <v>-56.1</v>
      </c>
      <c r="N415" s="235">
        <f>SUM(N413:N414)</f>
        <v>-57.502499999999998</v>
      </c>
      <c r="O415" s="235">
        <f>SUM(O413:O414)</f>
        <v>-88.940062499999982</v>
      </c>
    </row>
    <row r="416" spans="1:17">
      <c r="A416" s="65"/>
      <c r="B416" s="205"/>
      <c r="C416" s="4"/>
      <c r="D416" s="4"/>
      <c r="E416" s="4"/>
      <c r="F416" s="4"/>
      <c r="G416" s="221"/>
      <c r="H416" s="238"/>
      <c r="I416" s="238"/>
      <c r="J416" s="240"/>
      <c r="K416" s="238"/>
      <c r="L416" s="238"/>
      <c r="M416" s="238"/>
      <c r="N416" s="238"/>
      <c r="O416" s="238"/>
    </row>
    <row r="417" spans="1:15" ht="13.8" thickBot="1">
      <c r="A417" s="65"/>
      <c r="B417" s="65" t="s">
        <v>81</v>
      </c>
      <c r="C417" s="65"/>
      <c r="D417" s="4"/>
      <c r="E417" s="4"/>
      <c r="F417" s="4"/>
      <c r="G417" s="221"/>
      <c r="K417" s="656">
        <f>K409+K415</f>
        <v>80.729970541293596</v>
      </c>
      <c r="L417" s="656">
        <f>L409+L415</f>
        <v>101.05442004527907</v>
      </c>
      <c r="M417" s="656">
        <f>M409+M415</f>
        <v>103.10502072491636</v>
      </c>
      <c r="N417" s="656">
        <f>N409+N415</f>
        <v>121.60769880207934</v>
      </c>
      <c r="O417" s="656">
        <f>O409+O415</f>
        <v>114.77132388067051</v>
      </c>
    </row>
    <row r="418" spans="1:15" ht="13.8" thickTop="1">
      <c r="A418" s="65"/>
      <c r="B418" s="205"/>
      <c r="C418" s="4"/>
      <c r="D418" s="4"/>
      <c r="E418" s="4"/>
      <c r="F418" s="4"/>
      <c r="G418" s="221"/>
      <c r="H418" s="238"/>
      <c r="I418" s="238"/>
      <c r="J418" s="238"/>
      <c r="K418" s="238"/>
      <c r="L418" s="238"/>
      <c r="M418" s="238"/>
      <c r="N418" s="238"/>
      <c r="O418" s="238"/>
    </row>
    <row r="419" spans="1:15">
      <c r="A419" s="65"/>
      <c r="B419" s="205" t="s">
        <v>184</v>
      </c>
      <c r="C419" s="4"/>
      <c r="D419" s="4"/>
      <c r="E419" s="4"/>
      <c r="F419" s="4"/>
      <c r="G419" s="221"/>
      <c r="H419" s="234"/>
      <c r="I419" s="234"/>
      <c r="J419" s="234"/>
      <c r="K419" s="237"/>
      <c r="L419" s="237"/>
      <c r="M419" s="237"/>
      <c r="N419" s="237"/>
      <c r="O419" s="237"/>
    </row>
    <row r="420" spans="1:15">
      <c r="A420" s="65"/>
      <c r="B420" s="205"/>
      <c r="C420" s="4" t="s">
        <v>183</v>
      </c>
      <c r="D420" s="4"/>
      <c r="E420" s="4"/>
      <c r="F420" s="4"/>
      <c r="G420" s="221"/>
      <c r="H420" s="234"/>
      <c r="I420" s="234"/>
      <c r="J420" s="234"/>
      <c r="K420" s="73">
        <f>K689</f>
        <v>-52.955713004256566</v>
      </c>
      <c r="L420" s="73">
        <f>L689</f>
        <v>-26.141317143891555</v>
      </c>
      <c r="M420" s="73">
        <f>M689</f>
        <v>0</v>
      </c>
      <c r="N420" s="73">
        <f>N689</f>
        <v>0</v>
      </c>
      <c r="O420" s="73">
        <f>O689</f>
        <v>0</v>
      </c>
    </row>
    <row r="421" spans="1:15">
      <c r="A421" s="65"/>
      <c r="B421" s="205"/>
      <c r="C421" s="4" t="s">
        <v>182</v>
      </c>
      <c r="D421" s="4"/>
      <c r="E421" s="4"/>
      <c r="F421" s="4"/>
      <c r="G421" s="221"/>
      <c r="H421" s="234"/>
      <c r="I421" s="234"/>
      <c r="J421" s="234"/>
      <c r="K421" s="73">
        <f>K612+K624</f>
        <v>-19.77425753703703</v>
      </c>
      <c r="L421" s="73">
        <f>L612+L624</f>
        <v>-34.901564552870362</v>
      </c>
      <c r="M421" s="73">
        <f>M612+M624</f>
        <v>-29.96294373299536</v>
      </c>
      <c r="N421" s="73">
        <f>N612+N624</f>
        <v>-41.623576224366893</v>
      </c>
      <c r="O421" s="73">
        <f>O612+O624</f>
        <v>-46.579345033199793</v>
      </c>
    </row>
    <row r="422" spans="1:15">
      <c r="A422" s="65"/>
      <c r="B422" s="205"/>
      <c r="C422" s="4" t="s">
        <v>181</v>
      </c>
      <c r="D422" s="4"/>
      <c r="E422" s="4"/>
      <c r="F422" s="4"/>
      <c r="G422" s="221"/>
      <c r="H422" s="234"/>
      <c r="I422" s="234"/>
      <c r="J422" s="234"/>
      <c r="K422" s="73">
        <f>K647</f>
        <v>0</v>
      </c>
      <c r="L422" s="73">
        <f>L647</f>
        <v>0</v>
      </c>
      <c r="M422" s="73">
        <f>M647</f>
        <v>0</v>
      </c>
      <c r="N422" s="73">
        <f>N647</f>
        <v>0</v>
      </c>
      <c r="O422" s="73">
        <f>O647</f>
        <v>0</v>
      </c>
    </row>
    <row r="423" spans="1:15">
      <c r="A423" s="65"/>
      <c r="B423" s="205"/>
      <c r="C423" s="4" t="s">
        <v>180</v>
      </c>
      <c r="D423" s="4"/>
      <c r="E423" s="4"/>
      <c r="F423" s="4"/>
      <c r="G423" s="221"/>
      <c r="H423" s="234"/>
      <c r="I423" s="234"/>
      <c r="J423" s="234"/>
      <c r="K423" s="73">
        <f>K656</f>
        <v>0</v>
      </c>
      <c r="L423" s="73">
        <f>L656</f>
        <v>0</v>
      </c>
      <c r="M423" s="73">
        <f>M656</f>
        <v>0</v>
      </c>
      <c r="N423" s="73">
        <f>N656</f>
        <v>0</v>
      </c>
      <c r="O423" s="73">
        <f>O656</f>
        <v>0</v>
      </c>
    </row>
    <row r="424" spans="1:15">
      <c r="A424" s="65"/>
      <c r="B424" s="205"/>
      <c r="C424" s="4" t="s">
        <v>179</v>
      </c>
      <c r="D424" s="4"/>
      <c r="E424" s="4"/>
      <c r="F424" s="4"/>
      <c r="G424" s="236"/>
      <c r="H424" s="233"/>
      <c r="I424" s="233"/>
      <c r="J424" s="233"/>
      <c r="K424" s="73">
        <f>K728</f>
        <v>0</v>
      </c>
      <c r="L424" s="73">
        <f>L728</f>
        <v>0</v>
      </c>
      <c r="M424" s="73">
        <f>M728</f>
        <v>0</v>
      </c>
      <c r="N424" s="73">
        <f>N728</f>
        <v>0</v>
      </c>
      <c r="O424" s="73">
        <f>O728</f>
        <v>0</v>
      </c>
    </row>
    <row r="425" spans="1:15">
      <c r="A425" s="65"/>
      <c r="B425" s="205"/>
      <c r="C425" s="4" t="s">
        <v>178</v>
      </c>
      <c r="D425" s="4"/>
      <c r="E425" s="4"/>
      <c r="F425" s="4"/>
      <c r="G425" s="236"/>
      <c r="H425" s="233"/>
      <c r="I425" s="233"/>
      <c r="J425" s="233"/>
      <c r="K425" s="73">
        <f>K732</f>
        <v>8</v>
      </c>
      <c r="L425" s="73">
        <f>L732</f>
        <v>8</v>
      </c>
      <c r="M425" s="73">
        <f>M732</f>
        <v>8</v>
      </c>
      <c r="N425" s="73">
        <f>N732</f>
        <v>8</v>
      </c>
      <c r="O425" s="73">
        <f>O732</f>
        <v>8</v>
      </c>
    </row>
    <row r="426" spans="1:15">
      <c r="A426" s="65"/>
      <c r="B426" s="205"/>
      <c r="C426" s="4" t="s">
        <v>177</v>
      </c>
      <c r="D426" s="4"/>
      <c r="E426" s="4"/>
      <c r="F426" s="4"/>
      <c r="G426" s="221"/>
      <c r="H426" s="234"/>
      <c r="I426" s="234"/>
      <c r="J426" s="234"/>
      <c r="K426" s="73">
        <f>K737</f>
        <v>0</v>
      </c>
      <c r="L426" s="73">
        <f>L737</f>
        <v>0</v>
      </c>
      <c r="M426" s="73">
        <f>M737</f>
        <v>0</v>
      </c>
      <c r="N426" s="73">
        <f>N737</f>
        <v>0</v>
      </c>
      <c r="O426" s="73">
        <f>O737</f>
        <v>0</v>
      </c>
    </row>
    <row r="427" spans="1:15">
      <c r="A427" s="65"/>
      <c r="B427" s="205"/>
      <c r="C427" s="4" t="s">
        <v>176</v>
      </c>
      <c r="D427" s="4"/>
      <c r="E427" s="4"/>
      <c r="F427" s="4"/>
      <c r="G427" s="221"/>
      <c r="H427" s="234"/>
      <c r="I427" s="234"/>
      <c r="J427" s="234"/>
      <c r="K427" s="73">
        <f>-K742</f>
        <v>0</v>
      </c>
      <c r="L427" s="73">
        <f>-L742</f>
        <v>0</v>
      </c>
      <c r="M427" s="73">
        <f>-M742</f>
        <v>0</v>
      </c>
      <c r="N427" s="73">
        <f>-N742</f>
        <v>0</v>
      </c>
      <c r="O427" s="73">
        <f>-O742</f>
        <v>0</v>
      </c>
    </row>
    <row r="428" spans="1:15">
      <c r="A428" s="65"/>
      <c r="B428" s="205"/>
      <c r="C428" s="65" t="s">
        <v>175</v>
      </c>
      <c r="D428" s="4"/>
      <c r="E428" s="4"/>
      <c r="F428" s="4"/>
      <c r="G428" s="221"/>
      <c r="H428" s="234"/>
      <c r="I428" s="234"/>
      <c r="J428" s="234"/>
      <c r="K428" s="235">
        <f>SUM(K420:K427)</f>
        <v>-64.729970541293596</v>
      </c>
      <c r="L428" s="235">
        <f>SUM(L420:L427)</f>
        <v>-53.042881696761917</v>
      </c>
      <c r="M428" s="235">
        <f>SUM(M420:M427)</f>
        <v>-21.96294373299536</v>
      </c>
      <c r="N428" s="235">
        <f>SUM(N420:N427)</f>
        <v>-33.623576224366893</v>
      </c>
      <c r="O428" s="235">
        <f>SUM(O420:O427)</f>
        <v>-38.579345033199793</v>
      </c>
    </row>
    <row r="429" spans="1:15">
      <c r="A429" s="65"/>
      <c r="B429" s="205"/>
      <c r="C429" s="4"/>
      <c r="D429" s="4"/>
      <c r="E429" s="4"/>
      <c r="F429" s="4"/>
      <c r="G429" s="221"/>
      <c r="H429" s="234"/>
      <c r="I429" s="234"/>
      <c r="J429" s="234"/>
      <c r="K429" s="233"/>
      <c r="L429" s="233"/>
      <c r="M429" s="233"/>
      <c r="N429" s="233"/>
      <c r="O429" s="233"/>
    </row>
    <row r="430" spans="1:15">
      <c r="A430" s="65"/>
      <c r="B430" s="4"/>
      <c r="C430" s="142"/>
      <c r="D430" s="4"/>
      <c r="E430" s="4"/>
      <c r="F430" s="4"/>
      <c r="G430" s="221"/>
      <c r="H430" s="234"/>
      <c r="I430" s="234"/>
      <c r="J430" s="234"/>
      <c r="K430" s="233"/>
      <c r="L430" s="233"/>
      <c r="M430" s="233"/>
      <c r="N430" s="233"/>
      <c r="O430" s="233"/>
    </row>
    <row r="431" spans="1:15">
      <c r="A431" s="65"/>
      <c r="B431" s="232" t="s">
        <v>174</v>
      </c>
      <c r="C431" s="231"/>
      <c r="D431" s="59"/>
      <c r="E431" s="59"/>
      <c r="F431" s="59"/>
      <c r="G431" s="230"/>
      <c r="H431" s="229"/>
      <c r="I431" s="229"/>
      <c r="J431" s="229"/>
      <c r="K431" s="228">
        <f>K428+K415+K409</f>
        <v>16</v>
      </c>
      <c r="L431" s="228">
        <f>L428+L415+L409</f>
        <v>48.011538348517149</v>
      </c>
      <c r="M431" s="228">
        <f>M428+M415+M409</f>
        <v>81.142076991920987</v>
      </c>
      <c r="N431" s="228">
        <f>N428+N415+N409</f>
        <v>87.984122577712441</v>
      </c>
      <c r="O431" s="227">
        <f>O428+O415+O409</f>
        <v>76.191978847470722</v>
      </c>
    </row>
    <row r="432" spans="1:15">
      <c r="A432" s="65"/>
      <c r="B432" s="133" t="s">
        <v>173</v>
      </c>
      <c r="C432" s="142"/>
      <c r="D432" s="4"/>
      <c r="E432" s="4"/>
      <c r="F432" s="4"/>
      <c r="G432" s="221"/>
      <c r="H432" s="221"/>
      <c r="I432" s="221"/>
      <c r="J432" s="221"/>
      <c r="K432" s="226">
        <f>J447</f>
        <v>0</v>
      </c>
      <c r="L432" s="226">
        <f>K433</f>
        <v>16</v>
      </c>
      <c r="M432" s="226">
        <f>L433</f>
        <v>64.011538348517149</v>
      </c>
      <c r="N432" s="226">
        <f>M433</f>
        <v>145.15361534043814</v>
      </c>
      <c r="O432" s="225">
        <f>N433</f>
        <v>233.13773791815058</v>
      </c>
    </row>
    <row r="433" spans="1:15">
      <c r="A433" s="65"/>
      <c r="B433" s="224" t="s">
        <v>172</v>
      </c>
      <c r="C433" s="223"/>
      <c r="D433" s="2"/>
      <c r="E433" s="2"/>
      <c r="F433" s="2"/>
      <c r="G433" s="222"/>
      <c r="H433" s="149"/>
      <c r="I433" s="149"/>
      <c r="J433" s="149"/>
      <c r="K433" s="77">
        <f>K432+K431</f>
        <v>16</v>
      </c>
      <c r="L433" s="77">
        <f>L432+L431</f>
        <v>64.011538348517149</v>
      </c>
      <c r="M433" s="77">
        <f>M432+M431</f>
        <v>145.15361534043814</v>
      </c>
      <c r="N433" s="77">
        <f>N432+N431</f>
        <v>233.13773791815058</v>
      </c>
      <c r="O433" s="200">
        <f>O432+O431</f>
        <v>309.3297167656213</v>
      </c>
    </row>
    <row r="434" spans="1:15">
      <c r="A434" s="65"/>
      <c r="B434" s="30"/>
      <c r="C434" s="142"/>
      <c r="D434" s="4"/>
      <c r="E434" s="4"/>
      <c r="F434" s="4"/>
      <c r="G434" s="221"/>
      <c r="H434" s="195"/>
      <c r="I434" s="195"/>
      <c r="J434" s="195"/>
      <c r="K434" s="195"/>
      <c r="L434" s="195"/>
      <c r="M434" s="195"/>
      <c r="N434" s="195"/>
      <c r="O434" s="195"/>
    </row>
    <row r="435" spans="1:15">
      <c r="A435" s="4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</row>
    <row r="436" spans="1:15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</row>
    <row r="437" spans="1:15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</row>
    <row r="438" spans="1:15" ht="12.75" customHeight="1">
      <c r="A438" s="4"/>
      <c r="B438" s="35"/>
      <c r="C438" s="20"/>
      <c r="D438" s="20"/>
      <c r="E438" s="20"/>
      <c r="F438" s="20"/>
      <c r="G438" s="20"/>
      <c r="H438" s="20"/>
      <c r="I438" s="20"/>
      <c r="J438" s="20"/>
      <c r="K438" s="20"/>
      <c r="L438" s="20"/>
      <c r="M438" s="20"/>
      <c r="N438" s="20"/>
      <c r="O438" s="36" t="str">
        <f>$O$258</f>
        <v>CURRENTLY RUNNING: BASE CASE SCENARIO</v>
      </c>
    </row>
    <row r="439" spans="1:15" ht="22.8" customHeight="1">
      <c r="A439" s="4"/>
      <c r="B439" s="35" t="str">
        <f>$B$26</f>
        <v>Lingoren Corp.</v>
      </c>
      <c r="C439" s="20"/>
      <c r="D439" s="20"/>
      <c r="E439" s="20"/>
      <c r="F439" s="20"/>
      <c r="G439" s="20"/>
      <c r="H439" s="20"/>
      <c r="I439" s="20"/>
      <c r="J439" s="20"/>
      <c r="K439" s="20"/>
      <c r="L439" s="20"/>
      <c r="M439" s="20"/>
      <c r="N439" s="20"/>
      <c r="O439" s="20"/>
    </row>
    <row r="440" spans="1:15" ht="18.75" customHeight="1">
      <c r="A440" s="4"/>
      <c r="B440" s="34" t="s">
        <v>171</v>
      </c>
      <c r="C440" s="20"/>
      <c r="D440" s="20"/>
      <c r="E440" s="20"/>
      <c r="F440" s="20"/>
      <c r="G440" s="20"/>
      <c r="H440" s="20"/>
      <c r="I440" s="20"/>
      <c r="J440" s="20"/>
      <c r="K440" s="20"/>
      <c r="L440" s="20"/>
      <c r="M440" s="20"/>
      <c r="N440" s="20"/>
      <c r="O440" s="20"/>
    </row>
    <row r="441" spans="1:15" ht="6" customHeight="1" thickBot="1">
      <c r="A441" s="4"/>
      <c r="B441" s="220"/>
      <c r="C441" s="32"/>
      <c r="D441" s="32"/>
      <c r="E441" s="32"/>
      <c r="F441" s="32"/>
      <c r="G441" s="32"/>
      <c r="H441" s="32"/>
      <c r="I441" s="32"/>
      <c r="J441" s="32"/>
      <c r="K441" s="32"/>
      <c r="L441" s="32"/>
      <c r="M441" s="32"/>
      <c r="N441" s="32"/>
      <c r="O441" s="32"/>
    </row>
    <row r="442" spans="1:15" ht="12.75" customHeight="1">
      <c r="A442" s="4"/>
      <c r="B442" s="31" t="s">
        <v>25</v>
      </c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30"/>
    </row>
    <row r="443" spans="1:15" ht="13.8">
      <c r="A443" s="4"/>
      <c r="B443" s="4"/>
      <c r="C443" s="4"/>
      <c r="D443" s="4"/>
      <c r="E443" s="4"/>
      <c r="F443" s="4"/>
      <c r="G443" s="4"/>
      <c r="H443" s="219" t="s">
        <v>170</v>
      </c>
      <c r="I443" s="59"/>
      <c r="J443" s="218" t="s">
        <v>169</v>
      </c>
      <c r="K443" s="14" t="s">
        <v>24</v>
      </c>
      <c r="L443" s="13"/>
      <c r="M443" s="13"/>
      <c r="N443" s="13"/>
      <c r="O443" s="13"/>
    </row>
    <row r="444" spans="1:15">
      <c r="A444" s="4"/>
      <c r="B444" s="214"/>
      <c r="C444" s="4"/>
      <c r="D444" s="4"/>
      <c r="E444" s="4"/>
      <c r="F444" s="10"/>
      <c r="G444" s="4"/>
      <c r="H444" s="217" t="s">
        <v>168</v>
      </c>
      <c r="I444" s="216" t="s">
        <v>167</v>
      </c>
      <c r="J444" s="215" t="s">
        <v>166</v>
      </c>
      <c r="K444" s="10">
        <f>K$264</f>
        <v>2019</v>
      </c>
      <c r="L444" s="10">
        <f>L$264</f>
        <v>2020</v>
      </c>
      <c r="M444" s="10">
        <f>M$264</f>
        <v>2021</v>
      </c>
      <c r="N444" s="10">
        <f>N$264</f>
        <v>2022</v>
      </c>
      <c r="O444" s="10">
        <f>O$264</f>
        <v>2023</v>
      </c>
    </row>
    <row r="445" spans="1:15">
      <c r="A445" s="4"/>
      <c r="B445" s="214"/>
      <c r="C445" s="4"/>
      <c r="D445" s="4"/>
      <c r="E445" s="4"/>
      <c r="F445" s="4"/>
      <c r="G445" s="4"/>
      <c r="H445" s="213"/>
      <c r="I445" s="10"/>
      <c r="J445" s="212"/>
      <c r="K445" s="10"/>
      <c r="L445" s="10"/>
      <c r="M445" s="10"/>
      <c r="N445" s="10"/>
      <c r="O445" s="10"/>
    </row>
    <row r="446" spans="1:15">
      <c r="A446" s="4"/>
      <c r="B446" s="65" t="s">
        <v>165</v>
      </c>
      <c r="C446" s="4"/>
      <c r="D446" s="4"/>
      <c r="E446" s="4"/>
      <c r="F446" s="4"/>
      <c r="G446" s="4"/>
      <c r="H446" s="133"/>
      <c r="I446" s="4"/>
      <c r="J446" s="55"/>
      <c r="K446" s="4"/>
      <c r="L446" s="4"/>
      <c r="M446" s="4"/>
      <c r="N446" s="4"/>
      <c r="O446" s="4"/>
    </row>
    <row r="447" spans="1:15">
      <c r="A447" s="4"/>
      <c r="B447" s="4"/>
      <c r="C447" s="4" t="s">
        <v>43</v>
      </c>
      <c r="D447" s="4"/>
      <c r="E447" s="4"/>
      <c r="F447" s="69"/>
      <c r="G447" s="4"/>
      <c r="H447" s="204">
        <v>5</v>
      </c>
      <c r="I447" s="203">
        <f>-F43</f>
        <v>-5</v>
      </c>
      <c r="J447" s="202">
        <f>SUM(H447:I447)</f>
        <v>0</v>
      </c>
      <c r="K447" s="73">
        <f>K433</f>
        <v>16</v>
      </c>
      <c r="L447" s="73">
        <f>L433</f>
        <v>64.011538348517149</v>
      </c>
      <c r="M447" s="73">
        <f>M433</f>
        <v>145.15361534043814</v>
      </c>
      <c r="N447" s="73">
        <f>N433</f>
        <v>233.13773791815058</v>
      </c>
      <c r="O447" s="73">
        <f>O433</f>
        <v>309.3297167656213</v>
      </c>
    </row>
    <row r="448" spans="1:15">
      <c r="A448" s="4"/>
      <c r="B448" s="4"/>
      <c r="C448" s="4" t="s">
        <v>104</v>
      </c>
      <c r="D448" s="4"/>
      <c r="E448" s="4"/>
      <c r="F448" s="69"/>
      <c r="G448" s="4"/>
      <c r="H448" s="204">
        <v>92.2</v>
      </c>
      <c r="I448" s="203"/>
      <c r="J448" s="202">
        <f>SUM(H448:I448)</f>
        <v>92.2</v>
      </c>
      <c r="K448" s="73">
        <f t="shared" ref="K448:O449" si="41">K577</f>
        <v>90.782405786301382</v>
      </c>
      <c r="L448" s="73">
        <f t="shared" si="41"/>
        <v>89.785170885245904</v>
      </c>
      <c r="M448" s="73">
        <f t="shared" si="41"/>
        <v>95.261149449468491</v>
      </c>
      <c r="N448" s="73">
        <f t="shared" si="41"/>
        <v>100.7239127099336</v>
      </c>
      <c r="O448" s="73">
        <f t="shared" si="41"/>
        <v>105.98152729147368</v>
      </c>
    </row>
    <row r="449" spans="1:15">
      <c r="A449" s="4"/>
      <c r="B449" s="4"/>
      <c r="C449" s="4" t="s">
        <v>164</v>
      </c>
      <c r="D449" s="4"/>
      <c r="E449" s="4"/>
      <c r="F449" s="69"/>
      <c r="G449" s="4"/>
      <c r="H449" s="204">
        <v>88.2</v>
      </c>
      <c r="I449" s="203"/>
      <c r="J449" s="202">
        <f>SUM(H449:I449)</f>
        <v>88.2</v>
      </c>
      <c r="K449" s="73">
        <f t="shared" si="41"/>
        <v>94.356534550989366</v>
      </c>
      <c r="L449" s="73">
        <f t="shared" si="41"/>
        <v>94.357027281311474</v>
      </c>
      <c r="M449" s="73">
        <f t="shared" si="41"/>
        <v>95.588203290047744</v>
      </c>
      <c r="N449" s="73">
        <f t="shared" si="41"/>
        <v>99.91698920525775</v>
      </c>
      <c r="O449" s="73">
        <f t="shared" si="41"/>
        <v>102.84555149879868</v>
      </c>
    </row>
    <row r="450" spans="1:15">
      <c r="A450" s="4"/>
      <c r="B450" s="4"/>
      <c r="C450" s="30" t="s">
        <v>157</v>
      </c>
      <c r="D450" s="4"/>
      <c r="E450" s="4"/>
      <c r="F450" s="69"/>
      <c r="G450" s="4"/>
      <c r="H450" s="201">
        <v>1.4</v>
      </c>
      <c r="I450" s="77"/>
      <c r="J450" s="200">
        <f>SUM(H450:I450)</f>
        <v>1.4</v>
      </c>
      <c r="K450" s="77">
        <f>J450</f>
        <v>1.4</v>
      </c>
      <c r="L450" s="77">
        <f>K450</f>
        <v>1.4</v>
      </c>
      <c r="M450" s="77">
        <f>L450</f>
        <v>1.4</v>
      </c>
      <c r="N450" s="77">
        <f>M450</f>
        <v>1.4</v>
      </c>
      <c r="O450" s="77">
        <f>N450</f>
        <v>1.4</v>
      </c>
    </row>
    <row r="451" spans="1:15">
      <c r="A451" s="4"/>
      <c r="B451" s="4"/>
      <c r="C451" s="142" t="s">
        <v>163</v>
      </c>
      <c r="D451" s="4"/>
      <c r="E451" s="4"/>
      <c r="F451" s="91"/>
      <c r="G451" s="4"/>
      <c r="H451" s="206">
        <f t="shared" ref="H451:O451" si="42">SUM(H447:H450)</f>
        <v>186.8</v>
      </c>
      <c r="I451" s="203">
        <f t="shared" si="42"/>
        <v>-5</v>
      </c>
      <c r="J451" s="202">
        <f t="shared" si="42"/>
        <v>181.8</v>
      </c>
      <c r="K451" s="73">
        <f t="shared" si="42"/>
        <v>202.53894033729077</v>
      </c>
      <c r="L451" s="73">
        <f t="shared" si="42"/>
        <v>249.55373651507455</v>
      </c>
      <c r="M451" s="73">
        <f t="shared" si="42"/>
        <v>337.40296807995435</v>
      </c>
      <c r="N451" s="73">
        <f t="shared" si="42"/>
        <v>435.17863983334189</v>
      </c>
      <c r="O451" s="73">
        <f t="shared" si="42"/>
        <v>519.5567955558937</v>
      </c>
    </row>
    <row r="452" spans="1:15">
      <c r="A452" s="4"/>
      <c r="B452" s="4"/>
      <c r="C452" s="4"/>
      <c r="D452" s="4"/>
      <c r="E452" s="4"/>
      <c r="F452" s="195"/>
      <c r="G452" s="4"/>
      <c r="H452" s="211"/>
      <c r="I452" s="210"/>
      <c r="J452" s="209"/>
      <c r="K452" s="208"/>
      <c r="L452" s="208"/>
      <c r="M452" s="208"/>
      <c r="N452" s="208"/>
      <c r="O452" s="208"/>
    </row>
    <row r="453" spans="1:15">
      <c r="A453" s="4"/>
      <c r="B453" s="4"/>
      <c r="C453" s="4" t="s">
        <v>162</v>
      </c>
      <c r="D453" s="4"/>
      <c r="E453" s="4"/>
      <c r="F453" s="69"/>
      <c r="G453" s="4"/>
      <c r="H453" s="204">
        <v>1187.2</v>
      </c>
      <c r="I453" s="203">
        <f>P68</f>
        <v>25</v>
      </c>
      <c r="J453" s="202">
        <f>SUM(H453:I453)</f>
        <v>1212.2</v>
      </c>
      <c r="K453" s="73">
        <f>J453-K413-K405</f>
        <v>1200.5900000000001</v>
      </c>
      <c r="L453" s="73">
        <f>K453-L413-L405</f>
        <v>1191.8800000000001</v>
      </c>
      <c r="M453" s="73">
        <f>L453-M413-M405</f>
        <v>1182.048</v>
      </c>
      <c r="N453" s="73">
        <f>M453-N413-N405</f>
        <v>1171.34645</v>
      </c>
      <c r="O453" s="73">
        <f>N453-O413-O405</f>
        <v>1189.15361125</v>
      </c>
    </row>
    <row r="454" spans="1:15">
      <c r="A454" s="4"/>
      <c r="B454" s="4"/>
      <c r="C454" s="4" t="s">
        <v>161</v>
      </c>
      <c r="D454" s="4"/>
      <c r="E454" s="4"/>
      <c r="F454" s="69"/>
      <c r="G454" s="4"/>
      <c r="H454" s="204">
        <v>11</v>
      </c>
      <c r="I454" s="203">
        <f>P69</f>
        <v>202.04654266666626</v>
      </c>
      <c r="J454" s="202">
        <f>SUM(H454:I454)</f>
        <v>213.04654266666626</v>
      </c>
      <c r="K454" s="73">
        <f t="shared" ref="K454:O455" si="43">J454</f>
        <v>213.04654266666626</v>
      </c>
      <c r="L454" s="73">
        <f t="shared" si="43"/>
        <v>213.04654266666626</v>
      </c>
      <c r="M454" s="73">
        <f t="shared" si="43"/>
        <v>213.04654266666626</v>
      </c>
      <c r="N454" s="73">
        <f t="shared" si="43"/>
        <v>213.04654266666626</v>
      </c>
      <c r="O454" s="73">
        <f t="shared" si="43"/>
        <v>213.04654266666626</v>
      </c>
    </row>
    <row r="455" spans="1:15">
      <c r="A455" s="4"/>
      <c r="B455" s="4"/>
      <c r="C455" s="30" t="s">
        <v>157</v>
      </c>
      <c r="D455" s="4"/>
      <c r="E455" s="4"/>
      <c r="F455" s="69"/>
      <c r="G455" s="4"/>
      <c r="H455" s="204">
        <v>0</v>
      </c>
      <c r="I455" s="203"/>
      <c r="J455" s="202">
        <f>SUM(H455:I455)</f>
        <v>0</v>
      </c>
      <c r="K455" s="73">
        <f t="shared" si="43"/>
        <v>0</v>
      </c>
      <c r="L455" s="73">
        <f t="shared" si="43"/>
        <v>0</v>
      </c>
      <c r="M455" s="73">
        <f t="shared" si="43"/>
        <v>0</v>
      </c>
      <c r="N455" s="73">
        <f t="shared" si="43"/>
        <v>0</v>
      </c>
      <c r="O455" s="73">
        <f t="shared" si="43"/>
        <v>0</v>
      </c>
    </row>
    <row r="456" spans="1:15" ht="13.8" thickBot="1">
      <c r="A456" s="4"/>
      <c r="B456" s="4"/>
      <c r="C456" s="65" t="s">
        <v>160</v>
      </c>
      <c r="D456" s="4"/>
      <c r="E456" s="4"/>
      <c r="F456" s="91"/>
      <c r="G456" s="4"/>
      <c r="H456" s="190">
        <f t="shared" ref="H456:O456" si="44">SUM(H451:H455)</f>
        <v>1385</v>
      </c>
      <c r="I456" s="188">
        <f t="shared" si="44"/>
        <v>222.04654266666626</v>
      </c>
      <c r="J456" s="189">
        <f t="shared" si="44"/>
        <v>1607.0465426666663</v>
      </c>
      <c r="K456" s="188">
        <f t="shared" si="44"/>
        <v>1616.1754830039572</v>
      </c>
      <c r="L456" s="188">
        <f t="shared" si="44"/>
        <v>1654.4802791817408</v>
      </c>
      <c r="M456" s="188">
        <f t="shared" si="44"/>
        <v>1732.4975107466205</v>
      </c>
      <c r="N456" s="188">
        <f t="shared" si="44"/>
        <v>1819.5716325000083</v>
      </c>
      <c r="O456" s="188">
        <f t="shared" si="44"/>
        <v>1921.7569494725601</v>
      </c>
    </row>
    <row r="457" spans="1:15" ht="13.8" thickTop="1">
      <c r="A457" s="4"/>
      <c r="B457" s="4"/>
      <c r="C457" s="4"/>
      <c r="D457" s="4"/>
      <c r="E457" s="4"/>
      <c r="F457" s="195"/>
      <c r="G457" s="4"/>
      <c r="H457" s="194"/>
      <c r="I457" s="193"/>
      <c r="J457" s="192"/>
      <c r="K457" s="191"/>
      <c r="L457" s="191"/>
      <c r="M457" s="191"/>
      <c r="N457" s="191"/>
      <c r="O457" s="191"/>
    </row>
    <row r="458" spans="1:15">
      <c r="A458" s="4"/>
      <c r="B458" s="4"/>
      <c r="C458" s="4"/>
      <c r="D458" s="4"/>
      <c r="E458" s="4"/>
      <c r="F458" s="195"/>
      <c r="G458" s="4"/>
      <c r="H458" s="194"/>
      <c r="I458" s="193"/>
      <c r="J458" s="192"/>
      <c r="K458" s="191"/>
      <c r="L458" s="191"/>
      <c r="M458" s="191"/>
      <c r="N458" s="191"/>
      <c r="O458" s="191"/>
    </row>
    <row r="459" spans="1:15">
      <c r="A459" s="4"/>
      <c r="B459" s="142" t="s">
        <v>159</v>
      </c>
      <c r="C459" s="4"/>
      <c r="D459" s="4"/>
      <c r="E459" s="4"/>
      <c r="F459" s="195"/>
      <c r="G459" s="4"/>
      <c r="H459" s="194"/>
      <c r="I459" s="193"/>
      <c r="J459" s="192"/>
      <c r="K459" s="191"/>
      <c r="L459" s="191"/>
      <c r="M459" s="191"/>
      <c r="N459" s="191"/>
      <c r="O459" s="191"/>
    </row>
    <row r="460" spans="1:15">
      <c r="A460" s="4"/>
      <c r="B460" s="4"/>
      <c r="C460" s="30" t="s">
        <v>158</v>
      </c>
      <c r="D460" s="4"/>
      <c r="E460" s="4"/>
      <c r="F460" s="69"/>
      <c r="G460" s="4"/>
      <c r="H460" s="204">
        <v>0</v>
      </c>
      <c r="I460" s="203">
        <f>-H460+F44</f>
        <v>79.097030148148121</v>
      </c>
      <c r="J460" s="202">
        <f>SUM(H460:I460)</f>
        <v>79.097030148148121</v>
      </c>
      <c r="K460" s="73">
        <f>K690</f>
        <v>26.141317143891555</v>
      </c>
      <c r="L460" s="73">
        <f>L690</f>
        <v>0</v>
      </c>
      <c r="M460" s="73">
        <f>M690</f>
        <v>0</v>
      </c>
      <c r="N460" s="73">
        <f>N690</f>
        <v>0</v>
      </c>
      <c r="O460" s="73">
        <f>O690</f>
        <v>0</v>
      </c>
    </row>
    <row r="461" spans="1:15">
      <c r="A461" s="4"/>
      <c r="B461" s="4"/>
      <c r="C461" s="30" t="s">
        <v>102</v>
      </c>
      <c r="D461" s="4"/>
      <c r="E461" s="4"/>
      <c r="F461" s="69"/>
      <c r="G461" s="4"/>
      <c r="H461" s="204">
        <v>60.2</v>
      </c>
      <c r="I461" s="203"/>
      <c r="J461" s="202">
        <f>SUM(H461:I461)</f>
        <v>60.2</v>
      </c>
      <c r="K461" s="203">
        <f>K579</f>
        <v>63.690660821917824</v>
      </c>
      <c r="L461" s="203">
        <f>L579</f>
        <v>69.526230628334773</v>
      </c>
      <c r="M461" s="203">
        <f>M579</f>
        <v>74.920483659767157</v>
      </c>
      <c r="N461" s="203">
        <f>N579</f>
        <v>78.313315863580399</v>
      </c>
      <c r="O461" s="203">
        <f>O579</f>
        <v>80.608675499058435</v>
      </c>
    </row>
    <row r="462" spans="1:15">
      <c r="A462" s="4"/>
      <c r="B462" s="4"/>
      <c r="C462" s="30" t="s">
        <v>157</v>
      </c>
      <c r="D462" s="4"/>
      <c r="E462" s="4"/>
      <c r="F462" s="69"/>
      <c r="G462" s="4"/>
      <c r="H462" s="201">
        <v>27.5</v>
      </c>
      <c r="I462" s="77"/>
      <c r="J462" s="200">
        <f>SUM(H462:I462)</f>
        <v>27.5</v>
      </c>
      <c r="K462" s="77">
        <f>J462</f>
        <v>27.5</v>
      </c>
      <c r="L462" s="77">
        <f>K462</f>
        <v>27.5</v>
      </c>
      <c r="M462" s="77">
        <f>L462</f>
        <v>27.5</v>
      </c>
      <c r="N462" s="77">
        <f>M462</f>
        <v>27.5</v>
      </c>
      <c r="O462" s="77">
        <f>N462</f>
        <v>27.5</v>
      </c>
    </row>
    <row r="463" spans="1:15">
      <c r="A463" s="4"/>
      <c r="B463" s="4"/>
      <c r="C463" s="142" t="s">
        <v>156</v>
      </c>
      <c r="D463" s="4"/>
      <c r="E463" s="4"/>
      <c r="F463" s="91"/>
      <c r="G463" s="4"/>
      <c r="H463" s="206">
        <f t="shared" ref="H463:O463" si="45">SUM(H460:H462)</f>
        <v>87.7</v>
      </c>
      <c r="I463" s="203">
        <f t="shared" si="45"/>
        <v>79.097030148148121</v>
      </c>
      <c r="J463" s="202">
        <f t="shared" si="45"/>
        <v>166.79703014814811</v>
      </c>
      <c r="K463" s="203">
        <f t="shared" si="45"/>
        <v>117.33197796580939</v>
      </c>
      <c r="L463" s="203">
        <f t="shared" si="45"/>
        <v>97.026230628334773</v>
      </c>
      <c r="M463" s="203">
        <f t="shared" si="45"/>
        <v>102.42048365976716</v>
      </c>
      <c r="N463" s="203">
        <f t="shared" si="45"/>
        <v>105.8133158635804</v>
      </c>
      <c r="O463" s="203">
        <f t="shared" si="45"/>
        <v>108.10867549905844</v>
      </c>
    </row>
    <row r="464" spans="1:15">
      <c r="A464" s="4"/>
      <c r="B464" s="4"/>
      <c r="C464" s="4"/>
      <c r="D464" s="4"/>
      <c r="E464" s="4"/>
      <c r="F464" s="195"/>
      <c r="G464" s="4"/>
      <c r="H464" s="194"/>
      <c r="I464" s="193"/>
      <c r="J464" s="192"/>
      <c r="K464" s="191"/>
      <c r="L464" s="191"/>
      <c r="M464" s="73"/>
      <c r="N464" s="191"/>
      <c r="O464" s="191"/>
    </row>
    <row r="465" spans="1:15">
      <c r="A465" s="4"/>
      <c r="B465" s="4"/>
      <c r="C465" s="4" t="s">
        <v>155</v>
      </c>
      <c r="D465" s="4"/>
      <c r="E465" s="4"/>
      <c r="F465" s="69"/>
      <c r="G465" s="4"/>
      <c r="H465" s="204">
        <v>84.600000000000009</v>
      </c>
      <c r="I465" s="203"/>
      <c r="J465" s="202">
        <f>SUM(H465:I465)</f>
        <v>84.600000000000009</v>
      </c>
      <c r="K465" s="73">
        <f>J465+K542</f>
        <v>96.614395370120349</v>
      </c>
      <c r="L465" s="73">
        <f>K465+L542</f>
        <v>113.70757499999999</v>
      </c>
      <c r="M465" s="73">
        <f>L465+M542</f>
        <v>118.86931374999999</v>
      </c>
      <c r="N465" s="73">
        <f>M465+N542</f>
        <v>121.98220981249999</v>
      </c>
      <c r="O465" s="73">
        <f>N465+O542</f>
        <v>123.86647816874998</v>
      </c>
    </row>
    <row r="466" spans="1:15">
      <c r="A466" s="4"/>
      <c r="B466" s="4"/>
      <c r="C466" s="30" t="s">
        <v>95</v>
      </c>
      <c r="D466" s="4"/>
      <c r="E466" s="4"/>
      <c r="F466" s="69"/>
      <c r="G466" s="4"/>
      <c r="H466" s="204">
        <v>380</v>
      </c>
      <c r="I466" s="203">
        <f>F45</f>
        <v>237.29109044444436</v>
      </c>
      <c r="J466" s="202">
        <f>SUM(H466:I466)</f>
        <v>617.29109044444431</v>
      </c>
      <c r="K466" s="203">
        <f>K613</f>
        <v>219.49425866111105</v>
      </c>
      <c r="L466" s="203">
        <f>L613</f>
        <v>186.57011986194439</v>
      </c>
      <c r="M466" s="203">
        <f>M613</f>
        <v>158.58460188265275</v>
      </c>
      <c r="N466" s="203">
        <f>N613</f>
        <v>118.93845141198956</v>
      </c>
      <c r="O466" s="203">
        <f>O613</f>
        <v>74.336532132493474</v>
      </c>
    </row>
    <row r="467" spans="1:15">
      <c r="A467" s="4"/>
      <c r="B467" s="4"/>
      <c r="C467" s="30" t="s">
        <v>94</v>
      </c>
      <c r="D467" s="4"/>
      <c r="E467" s="4"/>
      <c r="F467" s="69"/>
      <c r="G467" s="4"/>
      <c r="H467" s="204">
        <v>0</v>
      </c>
      <c r="I467" s="203">
        <f>-H467+F46</f>
        <v>197.7425753703703</v>
      </c>
      <c r="J467" s="202">
        <f>SUM(H467:I467)</f>
        <v>197.7425753703703</v>
      </c>
      <c r="K467" s="203">
        <f>K625</f>
        <v>195.7651496166666</v>
      </c>
      <c r="L467" s="203">
        <f>L625</f>
        <v>193.78772386296291</v>
      </c>
      <c r="M467" s="203">
        <f>M625</f>
        <v>191.81029810925921</v>
      </c>
      <c r="N467" s="203">
        <f>N625</f>
        <v>189.83287235555551</v>
      </c>
      <c r="O467" s="203">
        <f>O625</f>
        <v>187.85544660185181</v>
      </c>
    </row>
    <row r="468" spans="1:15">
      <c r="A468" s="4"/>
      <c r="B468" s="4"/>
      <c r="C468" s="30" t="s">
        <v>154</v>
      </c>
      <c r="D468" s="4"/>
      <c r="E468" s="4"/>
      <c r="F468" s="69"/>
      <c r="G468" s="4"/>
      <c r="H468" s="204">
        <v>0</v>
      </c>
      <c r="I468" s="203">
        <f>-H468+F47</f>
        <v>237.29109044444436</v>
      </c>
      <c r="J468" s="202">
        <f>SUM(H468:I468)</f>
        <v>237.29109044444436</v>
      </c>
      <c r="K468" s="203">
        <f>K648</f>
        <v>237.29109044444436</v>
      </c>
      <c r="L468" s="203">
        <f>L648</f>
        <v>237.29109044444436</v>
      </c>
      <c r="M468" s="203">
        <f>M648</f>
        <v>237.29109044444436</v>
      </c>
      <c r="N468" s="203">
        <f>N648</f>
        <v>237.29109044444436</v>
      </c>
      <c r="O468" s="203">
        <f>O648</f>
        <v>237.29109044444436</v>
      </c>
    </row>
    <row r="469" spans="1:15">
      <c r="A469" s="4"/>
      <c r="B469" s="4"/>
      <c r="C469" s="30" t="s">
        <v>40</v>
      </c>
      <c r="D469" s="4"/>
      <c r="E469" s="4"/>
      <c r="F469" s="69"/>
      <c r="G469" s="4"/>
      <c r="H469" s="201">
        <v>0</v>
      </c>
      <c r="I469" s="77">
        <f>-H469+F48</f>
        <v>197.7425753703703</v>
      </c>
      <c r="J469" s="200">
        <f>SUM(H469:I469)</f>
        <v>197.7425753703703</v>
      </c>
      <c r="K469" s="207">
        <f>K658</f>
        <v>206.04776353592587</v>
      </c>
      <c r="L469" s="77">
        <f>L658</f>
        <v>214.70176960443476</v>
      </c>
      <c r="M469" s="77">
        <f>M658</f>
        <v>223.71924392782103</v>
      </c>
      <c r="N469" s="77">
        <f>N658</f>
        <v>223.71924392782103</v>
      </c>
      <c r="O469" s="77">
        <f>O658</f>
        <v>223.71924392782103</v>
      </c>
    </row>
    <row r="470" spans="1:15">
      <c r="A470" s="4"/>
      <c r="B470" s="4"/>
      <c r="C470" s="205" t="s">
        <v>153</v>
      </c>
      <c r="D470" s="4"/>
      <c r="E470" s="4"/>
      <c r="F470" s="91"/>
      <c r="G470" s="4"/>
      <c r="H470" s="206">
        <f t="shared" ref="H470:O470" si="46">SUM(H465:H469)</f>
        <v>464.6</v>
      </c>
      <c r="I470" s="203">
        <f t="shared" si="46"/>
        <v>870.06733162962928</v>
      </c>
      <c r="J470" s="202">
        <f t="shared" si="46"/>
        <v>1334.6673316296294</v>
      </c>
      <c r="K470" s="73">
        <f t="shared" si="46"/>
        <v>955.21265762826829</v>
      </c>
      <c r="L470" s="73">
        <f t="shared" si="46"/>
        <v>946.05827877378647</v>
      </c>
      <c r="M470" s="73">
        <f t="shared" si="46"/>
        <v>930.27454811417738</v>
      </c>
      <c r="N470" s="73">
        <f t="shared" si="46"/>
        <v>891.76386795231042</v>
      </c>
      <c r="O470" s="73">
        <f t="shared" si="46"/>
        <v>847.06879127536058</v>
      </c>
    </row>
    <row r="471" spans="1:15">
      <c r="A471" s="4"/>
      <c r="B471" s="4"/>
      <c r="C471" s="142"/>
      <c r="D471" s="4"/>
      <c r="E471" s="4"/>
      <c r="F471" s="195"/>
      <c r="G471" s="4"/>
      <c r="H471" s="194"/>
      <c r="I471" s="193"/>
      <c r="J471" s="192"/>
      <c r="K471" s="191"/>
      <c r="L471" s="191"/>
      <c r="M471" s="191"/>
      <c r="N471" s="191"/>
      <c r="O471" s="191"/>
    </row>
    <row r="472" spans="1:15">
      <c r="A472" s="4"/>
      <c r="B472" s="4"/>
      <c r="C472" s="205" t="s">
        <v>152</v>
      </c>
      <c r="D472" s="4"/>
      <c r="E472" s="4"/>
      <c r="F472" s="91"/>
      <c r="G472" s="4"/>
      <c r="H472" s="199">
        <f t="shared" ref="H472:O472" si="47">H470+H463</f>
        <v>552.30000000000007</v>
      </c>
      <c r="I472" s="198">
        <f t="shared" si="47"/>
        <v>949.16436177777746</v>
      </c>
      <c r="J472" s="197">
        <f t="shared" si="47"/>
        <v>1501.4643617777774</v>
      </c>
      <c r="K472" s="198">
        <f t="shared" si="47"/>
        <v>1072.5446355940776</v>
      </c>
      <c r="L472" s="198">
        <f t="shared" si="47"/>
        <v>1043.0845094021213</v>
      </c>
      <c r="M472" s="198">
        <f t="shared" si="47"/>
        <v>1032.6950317739445</v>
      </c>
      <c r="N472" s="198">
        <f t="shared" si="47"/>
        <v>997.57718381589086</v>
      </c>
      <c r="O472" s="198">
        <f t="shared" si="47"/>
        <v>955.17746677441903</v>
      </c>
    </row>
    <row r="473" spans="1:15">
      <c r="A473" s="4"/>
      <c r="B473" s="4"/>
      <c r="C473" s="4"/>
      <c r="D473" s="4"/>
      <c r="E473" s="4"/>
      <c r="F473" s="195"/>
      <c r="G473" s="4"/>
      <c r="H473" s="194"/>
      <c r="I473" s="193"/>
      <c r="J473" s="192"/>
      <c r="K473" s="191"/>
      <c r="L473" s="191"/>
      <c r="M473" s="191"/>
      <c r="N473" s="191"/>
      <c r="O473" s="191"/>
    </row>
    <row r="474" spans="1:15">
      <c r="A474" s="4"/>
      <c r="B474" s="4"/>
      <c r="C474" s="4" t="s">
        <v>59</v>
      </c>
      <c r="D474" s="4"/>
      <c r="E474" s="4"/>
      <c r="F474" s="69"/>
      <c r="G474" s="4"/>
      <c r="H474" s="204">
        <v>0</v>
      </c>
      <c r="I474" s="203">
        <f>-H474+F52</f>
        <v>100</v>
      </c>
      <c r="J474" s="202">
        <f>SUM(H474:I474)</f>
        <v>100</v>
      </c>
      <c r="K474" s="73">
        <f>K729</f>
        <v>100</v>
      </c>
      <c r="L474" s="73">
        <f>L729</f>
        <v>100</v>
      </c>
      <c r="M474" s="73">
        <f>M729</f>
        <v>100</v>
      </c>
      <c r="N474" s="73">
        <f>N729</f>
        <v>100</v>
      </c>
      <c r="O474" s="73">
        <f>O729</f>
        <v>100</v>
      </c>
    </row>
    <row r="475" spans="1:15">
      <c r="A475" s="4"/>
      <c r="B475" s="4"/>
      <c r="C475" s="4" t="s">
        <v>56</v>
      </c>
      <c r="D475" s="4"/>
      <c r="E475" s="4"/>
      <c r="F475" s="69"/>
      <c r="G475" s="4"/>
      <c r="H475" s="204">
        <v>396.8</v>
      </c>
      <c r="I475" s="203">
        <f>SUM(F53:F54)</f>
        <v>398.4242483329258</v>
      </c>
      <c r="J475" s="202">
        <f>SUM(H475:I475)</f>
        <v>795.22424833292575</v>
      </c>
      <c r="K475" s="73">
        <f>K738</f>
        <v>795.22424833292575</v>
      </c>
      <c r="L475" s="73">
        <f>L738</f>
        <v>795.22424833292575</v>
      </c>
      <c r="M475" s="73">
        <f>M738</f>
        <v>795.22424833292575</v>
      </c>
      <c r="N475" s="73">
        <f>N738</f>
        <v>795.22424833292575</v>
      </c>
      <c r="O475" s="73">
        <f>O738</f>
        <v>795.22424833292575</v>
      </c>
    </row>
    <row r="476" spans="1:15">
      <c r="A476" s="4"/>
      <c r="B476" s="4"/>
      <c r="C476" s="4" t="s">
        <v>52</v>
      </c>
      <c r="D476" s="4"/>
      <c r="E476" s="4"/>
      <c r="F476" s="69"/>
      <c r="G476" s="4"/>
      <c r="H476" s="201">
        <v>435.9</v>
      </c>
      <c r="I476" s="77">
        <f>-H476-P52</f>
        <v>-459.74206744403699</v>
      </c>
      <c r="J476" s="200">
        <f>SUM(H476:I476)</f>
        <v>-23.842067444037014</v>
      </c>
      <c r="K476" s="77">
        <f>K750</f>
        <v>-9.529618899527815</v>
      </c>
      <c r="L476" s="77">
        <f>L750</f>
        <v>15.313939147019507</v>
      </c>
      <c r="M476" s="77">
        <f>M750</f>
        <v>62.371178236968731</v>
      </c>
      <c r="N476" s="77">
        <f>N750</f>
        <v>127.18775022602352</v>
      </c>
      <c r="O476" s="77">
        <f>O750</f>
        <v>217.17011954838176</v>
      </c>
    </row>
    <row r="477" spans="1:15">
      <c r="A477" s="4"/>
      <c r="B477" s="4"/>
      <c r="C477" s="142" t="s">
        <v>38</v>
      </c>
      <c r="D477" s="4"/>
      <c r="E477" s="4"/>
      <c r="F477" s="91"/>
      <c r="G477" s="4"/>
      <c r="H477" s="199">
        <f t="shared" ref="H477:O477" si="48">SUM(H474:H476)</f>
        <v>832.7</v>
      </c>
      <c r="I477" s="198">
        <f t="shared" si="48"/>
        <v>38.682180888888809</v>
      </c>
      <c r="J477" s="197">
        <f t="shared" si="48"/>
        <v>871.3821808888888</v>
      </c>
      <c r="K477" s="196">
        <f t="shared" si="48"/>
        <v>885.69462943339795</v>
      </c>
      <c r="L477" s="196">
        <f t="shared" si="48"/>
        <v>910.53818747994524</v>
      </c>
      <c r="M477" s="196">
        <f t="shared" si="48"/>
        <v>957.59542656989447</v>
      </c>
      <c r="N477" s="196">
        <f t="shared" si="48"/>
        <v>1022.4119985589493</v>
      </c>
      <c r="O477" s="196">
        <f t="shared" si="48"/>
        <v>1112.3943678813075</v>
      </c>
    </row>
    <row r="478" spans="1:15">
      <c r="A478" s="4"/>
      <c r="B478" s="4"/>
      <c r="C478" s="4"/>
      <c r="D478" s="4"/>
      <c r="E478" s="4"/>
      <c r="F478" s="195"/>
      <c r="G478" s="4"/>
      <c r="H478" s="194"/>
      <c r="I478" s="193"/>
      <c r="J478" s="192"/>
      <c r="K478" s="191"/>
      <c r="L478" s="191"/>
      <c r="M478" s="191"/>
      <c r="N478" s="191"/>
      <c r="O478" s="191"/>
    </row>
    <row r="479" spans="1:15" ht="13.8" thickBot="1">
      <c r="A479" s="4"/>
      <c r="B479" s="142" t="s">
        <v>151</v>
      </c>
      <c r="C479" s="4"/>
      <c r="D479" s="4"/>
      <c r="E479" s="4"/>
      <c r="F479" s="91"/>
      <c r="G479" s="4"/>
      <c r="H479" s="190">
        <f t="shared" ref="H479:O479" si="49">H477+H472</f>
        <v>1385</v>
      </c>
      <c r="I479" s="188">
        <f t="shared" si="49"/>
        <v>987.84654266666621</v>
      </c>
      <c r="J479" s="189">
        <f t="shared" si="49"/>
        <v>2372.8465426666662</v>
      </c>
      <c r="K479" s="188">
        <f t="shared" si="49"/>
        <v>1958.2392650274755</v>
      </c>
      <c r="L479" s="188">
        <f t="shared" si="49"/>
        <v>1953.6226968820665</v>
      </c>
      <c r="M479" s="188">
        <f t="shared" si="49"/>
        <v>1990.290458343839</v>
      </c>
      <c r="N479" s="188">
        <f t="shared" si="49"/>
        <v>2019.9891823748403</v>
      </c>
      <c r="O479" s="188">
        <f t="shared" si="49"/>
        <v>2067.5718346557264</v>
      </c>
    </row>
    <row r="480" spans="1:15" ht="13.8" thickTop="1">
      <c r="A480" s="4"/>
      <c r="B480" s="4"/>
      <c r="C480" s="4"/>
      <c r="D480" s="4"/>
      <c r="E480" s="4"/>
      <c r="F480" s="87"/>
      <c r="G480" s="4"/>
      <c r="H480" s="187"/>
      <c r="I480" s="186"/>
      <c r="J480" s="185"/>
      <c r="K480" s="184"/>
      <c r="L480" s="184"/>
      <c r="M480" s="184"/>
      <c r="N480" s="184"/>
      <c r="O480" s="184"/>
    </row>
    <row r="481" spans="1:15">
      <c r="A481" s="4"/>
      <c r="B481" s="168"/>
      <c r="C481" s="4"/>
      <c r="D481" s="183" t="s">
        <v>150</v>
      </c>
      <c r="E481" s="4"/>
      <c r="F481" s="182"/>
      <c r="G481" s="4"/>
      <c r="H481" s="181">
        <f t="shared" ref="H481:O481" si="50">H456-H479</f>
        <v>0</v>
      </c>
      <c r="I481" s="180">
        <f t="shared" si="50"/>
        <v>-765.8</v>
      </c>
      <c r="J481" s="179">
        <f t="shared" si="50"/>
        <v>-765.8</v>
      </c>
      <c r="K481" s="178">
        <f t="shared" si="50"/>
        <v>-342.06378202351834</v>
      </c>
      <c r="L481" s="178">
        <f t="shared" si="50"/>
        <v>-299.14241770032572</v>
      </c>
      <c r="M481" s="178">
        <f t="shared" si="50"/>
        <v>-257.79294759721847</v>
      </c>
      <c r="N481" s="178">
        <f t="shared" si="50"/>
        <v>-200.41754987483205</v>
      </c>
      <c r="O481" s="178">
        <f t="shared" si="50"/>
        <v>-145.81488518316633</v>
      </c>
    </row>
    <row r="482" spans="1:15">
      <c r="A482" s="4"/>
      <c r="B482" s="177"/>
      <c r="C482" s="2"/>
      <c r="D482" s="2"/>
      <c r="E482" s="2"/>
      <c r="F482" s="2"/>
      <c r="G482" s="2"/>
      <c r="H482" s="2"/>
      <c r="I482" s="2"/>
      <c r="J482" s="2"/>
      <c r="K482" s="176"/>
      <c r="L482" s="176"/>
      <c r="M482" s="176"/>
      <c r="N482" s="176"/>
      <c r="O482" s="176"/>
    </row>
    <row r="483" spans="1:15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</row>
    <row r="484" spans="1:15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</row>
    <row r="485" spans="1:15" ht="12.75" customHeight="1">
      <c r="A485" s="4"/>
      <c r="B485" s="175"/>
      <c r="C485" s="174"/>
      <c r="D485" s="174"/>
      <c r="E485" s="173"/>
      <c r="F485" s="173"/>
      <c r="G485" s="172"/>
      <c r="H485" s="172"/>
      <c r="I485" s="172"/>
      <c r="J485" s="172"/>
      <c r="K485" s="172"/>
      <c r="L485" s="172"/>
      <c r="M485" s="172"/>
      <c r="N485" s="172"/>
      <c r="O485" s="36" t="str">
        <f>$O$258</f>
        <v>CURRENTLY RUNNING: BASE CASE SCENARIO</v>
      </c>
    </row>
    <row r="486" spans="1:15" ht="22.8" customHeight="1">
      <c r="A486" s="4"/>
      <c r="B486" s="35" t="str">
        <f>$B$26</f>
        <v>Lingoren Corp.</v>
      </c>
      <c r="C486" s="174"/>
      <c r="D486" s="174"/>
      <c r="E486" s="173"/>
      <c r="F486" s="173"/>
      <c r="G486" s="172"/>
      <c r="H486" s="172"/>
      <c r="I486" s="172"/>
      <c r="J486" s="172"/>
      <c r="K486" s="172"/>
      <c r="L486" s="172"/>
      <c r="M486" s="172"/>
      <c r="N486" s="172"/>
      <c r="O486" s="172"/>
    </row>
    <row r="487" spans="1:15" ht="18.75" customHeight="1">
      <c r="A487" s="4"/>
      <c r="B487" s="34" t="s">
        <v>149</v>
      </c>
      <c r="C487" s="34"/>
      <c r="D487" s="34"/>
      <c r="E487" s="171"/>
      <c r="F487" s="171"/>
      <c r="G487" s="34"/>
      <c r="H487" s="34"/>
      <c r="I487" s="34"/>
      <c r="J487" s="34"/>
      <c r="K487" s="34"/>
      <c r="L487" s="34"/>
      <c r="M487" s="34"/>
      <c r="N487" s="34"/>
      <c r="O487" s="34"/>
    </row>
    <row r="488" spans="1:15" ht="6" customHeight="1" thickBot="1">
      <c r="A488" s="4"/>
      <c r="B488" s="169"/>
      <c r="C488" s="169"/>
      <c r="D488" s="169"/>
      <c r="E488" s="170"/>
      <c r="F488" s="170"/>
      <c r="G488" s="169"/>
      <c r="H488" s="169"/>
      <c r="I488" s="169"/>
      <c r="J488" s="169"/>
      <c r="K488" s="169"/>
      <c r="L488" s="169"/>
      <c r="M488" s="169"/>
      <c r="N488" s="169"/>
      <c r="O488" s="169"/>
    </row>
    <row r="489" spans="1:15" ht="12.75" customHeight="1">
      <c r="A489" s="4"/>
      <c r="B489" s="31" t="s">
        <v>25</v>
      </c>
      <c r="C489" s="168"/>
      <c r="D489" s="4"/>
      <c r="E489" s="16"/>
      <c r="F489" s="16"/>
      <c r="G489" s="168"/>
      <c r="H489" s="4"/>
      <c r="I489" s="4"/>
      <c r="J489" s="4"/>
      <c r="K489" s="4"/>
      <c r="L489" s="4"/>
      <c r="M489" s="4"/>
      <c r="N489" s="4"/>
      <c r="O489" s="4"/>
    </row>
    <row r="490" spans="1:15" ht="13.8">
      <c r="A490" s="4"/>
      <c r="B490" s="4"/>
      <c r="C490" s="4"/>
      <c r="D490" s="4"/>
      <c r="E490" s="16"/>
      <c r="F490" s="16"/>
      <c r="G490" s="4"/>
      <c r="H490" s="4"/>
      <c r="I490" s="4"/>
      <c r="J490" s="4"/>
      <c r="K490" s="14" t="s">
        <v>24</v>
      </c>
      <c r="L490" s="167"/>
      <c r="M490" s="167"/>
      <c r="N490" s="167"/>
      <c r="O490" s="167"/>
    </row>
    <row r="491" spans="1:15">
      <c r="A491" s="4"/>
      <c r="B491" s="4"/>
      <c r="C491" s="65"/>
      <c r="D491" s="65"/>
      <c r="E491" s="66"/>
      <c r="F491" s="166"/>
      <c r="G491" s="109"/>
      <c r="H491" s="28">
        <f t="shared" ref="H491:O491" si="51">H$264</f>
        <v>2016</v>
      </c>
      <c r="I491" s="28">
        <f t="shared" si="51"/>
        <v>2017</v>
      </c>
      <c r="J491" s="70">
        <f t="shared" si="51"/>
        <v>2018</v>
      </c>
      <c r="K491" s="165">
        <f t="shared" si="51"/>
        <v>2019</v>
      </c>
      <c r="L491" s="165">
        <f t="shared" si="51"/>
        <v>2020</v>
      </c>
      <c r="M491" s="165">
        <f t="shared" si="51"/>
        <v>2021</v>
      </c>
      <c r="N491" s="165">
        <f t="shared" si="51"/>
        <v>2022</v>
      </c>
      <c r="O491" s="165">
        <f t="shared" si="51"/>
        <v>2023</v>
      </c>
    </row>
    <row r="492" spans="1:15">
      <c r="A492" s="4"/>
      <c r="B492" s="4"/>
      <c r="C492" s="4"/>
      <c r="D492" s="4"/>
      <c r="E492" s="4"/>
      <c r="F492" s="16"/>
      <c r="G492" s="4"/>
      <c r="H492" s="4"/>
      <c r="I492" s="4"/>
      <c r="J492" s="4"/>
      <c r="K492" s="4"/>
      <c r="L492" s="4"/>
      <c r="M492" s="4"/>
      <c r="N492" s="4"/>
      <c r="O492" s="4"/>
    </row>
    <row r="493" spans="1:15" ht="13.5" customHeight="1">
      <c r="A493" s="155"/>
      <c r="B493" s="164" t="s">
        <v>148</v>
      </c>
      <c r="C493" s="59"/>
      <c r="D493" s="59"/>
      <c r="E493" s="59"/>
      <c r="F493" s="163">
        <f>N94</f>
        <v>20</v>
      </c>
      <c r="G493" s="4"/>
      <c r="H493" s="4"/>
      <c r="I493" s="4"/>
      <c r="J493" s="4"/>
      <c r="K493" s="158"/>
      <c r="L493" s="125"/>
      <c r="M493" s="125"/>
      <c r="N493" s="125"/>
      <c r="O493" s="4"/>
    </row>
    <row r="494" spans="1:15" ht="13.5" customHeight="1">
      <c r="A494" s="155"/>
      <c r="B494" s="162" t="s">
        <v>147</v>
      </c>
      <c r="C494" s="2"/>
      <c r="D494" s="161"/>
      <c r="E494" s="160"/>
      <c r="F494" s="159">
        <f>N95</f>
        <v>25</v>
      </c>
      <c r="G494" s="4"/>
      <c r="H494" s="4"/>
      <c r="I494" s="4"/>
      <c r="J494" s="4"/>
      <c r="K494" s="158"/>
      <c r="L494" s="125"/>
      <c r="M494" s="125"/>
      <c r="N494" s="125"/>
      <c r="O494" s="4"/>
    </row>
    <row r="495" spans="1:15" ht="12.75" customHeight="1">
      <c r="A495" s="155"/>
      <c r="B495" s="4"/>
      <c r="C495" s="4"/>
      <c r="D495" s="4"/>
      <c r="E495" s="4"/>
      <c r="F495" s="4"/>
      <c r="G495" s="4"/>
      <c r="H495" s="4"/>
      <c r="I495" s="4"/>
      <c r="J495" s="4"/>
      <c r="K495" s="157"/>
      <c r="L495" s="4"/>
      <c r="M495" s="4"/>
      <c r="N495" s="4"/>
      <c r="O495" s="4"/>
    </row>
    <row r="496" spans="1:15">
      <c r="A496" s="155"/>
      <c r="B496" s="4"/>
      <c r="C496" s="4"/>
      <c r="D496" s="4" t="s">
        <v>146</v>
      </c>
      <c r="E496" s="4"/>
      <c r="F496" s="4"/>
      <c r="G496" s="4"/>
      <c r="H496" s="156">
        <v>54.8</v>
      </c>
      <c r="I496" s="156">
        <v>55.2</v>
      </c>
      <c r="J496" s="156">
        <v>56.4</v>
      </c>
      <c r="K496" s="27">
        <f>J453/F493</f>
        <v>60.61</v>
      </c>
      <c r="L496" s="27">
        <f>K496</f>
        <v>60.61</v>
      </c>
      <c r="M496" s="27">
        <f>L496</f>
        <v>60.61</v>
      </c>
      <c r="N496" s="27">
        <f>M496</f>
        <v>60.61</v>
      </c>
      <c r="O496" s="27">
        <f>N496</f>
        <v>60.61</v>
      </c>
    </row>
    <row r="497" spans="1:15">
      <c r="A497" s="155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</row>
    <row r="498" spans="1:15" ht="13.8">
      <c r="A498" s="4"/>
      <c r="B498" s="4"/>
      <c r="C498" s="4"/>
      <c r="D498" s="154" t="s">
        <v>145</v>
      </c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</row>
    <row r="499" spans="1:15">
      <c r="A499" s="4"/>
      <c r="B499" s="4"/>
      <c r="C499" s="4"/>
      <c r="D499" s="90">
        <f>K491</f>
        <v>2019</v>
      </c>
      <c r="E499" s="701">
        <f xml:space="preserve"> _xlfn.XLOOKUP( $D499, $K$402:$O$402,$K$413:$O$413 ) * - 1</f>
        <v>50</v>
      </c>
      <c r="F499" s="153"/>
      <c r="G499" s="4"/>
      <c r="H499" s="117"/>
      <c r="I499" s="117"/>
      <c r="J499" s="117"/>
      <c r="K499" s="24">
        <f>IF(K$491=$D499,$E499/$F$494/2,MIN($E499/$F$494,$E499-SUM($J499:J499)))</f>
        <v>1</v>
      </c>
      <c r="L499" s="24">
        <f>IF(L$491=$D499,$E499/$F$494/2,MIN($E499/$F$494,$E499-SUM($J499:K499)))</f>
        <v>2</v>
      </c>
      <c r="M499" s="24">
        <f>IF(M$491=$D499,$E499/$F$494/2,MIN($E499/$F$494,$E499-SUM($J499:L499)))</f>
        <v>2</v>
      </c>
      <c r="N499" s="24">
        <f>IF(N$491=$D499,$E499/$F$494/2,MIN($E499/$F$494,$E499-SUM($J499:M499)))</f>
        <v>2</v>
      </c>
      <c r="O499" s="24">
        <f>IF(O$491=$D499,$E499/$F$494/2,MIN($E499/$F$494,$E499-SUM($J499:N499)))</f>
        <v>2</v>
      </c>
    </row>
    <row r="500" spans="1:15">
      <c r="A500" s="4"/>
      <c r="B500" s="4"/>
      <c r="C500" s="4"/>
      <c r="D500" s="90">
        <f>D499+1</f>
        <v>2020</v>
      </c>
      <c r="E500" s="702">
        <f t="shared" ref="E500:E503" si="52" xml:space="preserve"> _xlfn.XLOOKUP( $D500, $K$402:$O$402,$K$413:$O$413 ) * - 1</f>
        <v>55</v>
      </c>
      <c r="F500" s="153"/>
      <c r="G500" s="4"/>
      <c r="H500" s="117"/>
      <c r="I500" s="117"/>
      <c r="J500" s="117"/>
      <c r="K500" s="24"/>
      <c r="L500" s="24">
        <f>IF(L$491=$D500,$E500/$F$494/2,MIN($E500/$F$494,$E500-SUM($J500:K500)))</f>
        <v>1.1000000000000001</v>
      </c>
      <c r="M500" s="24">
        <f>IF(M$491=$D500,$E500/$F$494/2,MIN($E500/$F$494,$E500-SUM($J500:L500)))</f>
        <v>2.2000000000000002</v>
      </c>
      <c r="N500" s="24">
        <f>IF(N$491=$D500,$E500/$F$494/2,MIN($E500/$F$494,$E500-SUM($J500:M500)))</f>
        <v>2.2000000000000002</v>
      </c>
      <c r="O500" s="24">
        <f>IF(O$491=$D500,$E500/$F$494/2,MIN($E500/$F$494,$E500-SUM($J500:N500)))</f>
        <v>2.2000000000000002</v>
      </c>
    </row>
    <row r="501" spans="1:15">
      <c r="A501" s="4"/>
      <c r="B501" s="4"/>
      <c r="C501" s="4"/>
      <c r="D501" s="90">
        <f>D500+1</f>
        <v>2021</v>
      </c>
      <c r="E501" s="702">
        <f t="shared" si="52"/>
        <v>56.1</v>
      </c>
      <c r="F501" s="153"/>
      <c r="G501" s="4"/>
      <c r="H501" s="125"/>
      <c r="I501" s="125"/>
      <c r="J501" s="125"/>
      <c r="K501" s="24"/>
      <c r="L501" s="24"/>
      <c r="M501" s="24">
        <f>IF(M$491=$D501,$E501/$F$494/2,MIN($E501/$F$494,$E501-SUM($J501:L501)))</f>
        <v>1.1220000000000001</v>
      </c>
      <c r="N501" s="24">
        <f>IF(N$491=$D501,$E501/$F$494/2,MIN($E501/$F$494,$E501-SUM($J501:M501)))</f>
        <v>2.2440000000000002</v>
      </c>
      <c r="O501" s="24">
        <f>IF(O$491=$D501,$E501/$F$494/2,MIN($E501/$F$494,$E501-SUM($J501:N501)))</f>
        <v>2.2440000000000002</v>
      </c>
    </row>
    <row r="502" spans="1:15">
      <c r="A502" s="4"/>
      <c r="B502" s="4"/>
      <c r="C502" s="4"/>
      <c r="D502" s="90">
        <f>D501+1</f>
        <v>2022</v>
      </c>
      <c r="E502" s="702">
        <f t="shared" si="52"/>
        <v>57.502499999999998</v>
      </c>
      <c r="F502" s="153"/>
      <c r="G502" s="4"/>
      <c r="H502" s="125"/>
      <c r="I502" s="125"/>
      <c r="J502" s="125"/>
      <c r="K502" s="24"/>
      <c r="L502" s="24"/>
      <c r="M502" s="24"/>
      <c r="N502" s="24">
        <f>IF(N$491=$D502,$E502/$F$494/2,MIN($E502/$F$494,$E502-SUM($J502:M502)))</f>
        <v>1.15005</v>
      </c>
      <c r="O502" s="24">
        <f>IF(O$491=$D502,$E502/$F$494/2,MIN($E502/$F$494,$E502-SUM($J502:N502)))</f>
        <v>2.3001</v>
      </c>
    </row>
    <row r="503" spans="1:15">
      <c r="A503" s="4"/>
      <c r="B503" s="4"/>
      <c r="C503" s="4"/>
      <c r="D503" s="90">
        <f>D502+1</f>
        <v>2023</v>
      </c>
      <c r="E503" s="703">
        <f t="shared" si="52"/>
        <v>88.940062499999982</v>
      </c>
      <c r="F503" s="153"/>
      <c r="G503" s="4"/>
      <c r="H503" s="125"/>
      <c r="I503" s="125"/>
      <c r="J503" s="125"/>
      <c r="K503" s="24"/>
      <c r="L503" s="24"/>
      <c r="M503" s="24"/>
      <c r="N503" s="24"/>
      <c r="O503" s="24">
        <f>IF(O$491=$D503,$E503/$F$494/2,MIN($E503/$F$494,$E503-SUM($J503:N503)))</f>
        <v>1.7788012499999997</v>
      </c>
    </row>
    <row r="504" spans="1:15">
      <c r="A504" s="4"/>
      <c r="B504" s="4"/>
      <c r="C504" s="4"/>
      <c r="D504" s="4"/>
      <c r="E504" s="4"/>
      <c r="F504" s="16"/>
      <c r="G504" s="4"/>
      <c r="H504" s="4"/>
      <c r="I504" s="4"/>
      <c r="J504" s="4"/>
      <c r="K504" s="4"/>
      <c r="L504" s="4"/>
      <c r="M504" s="4"/>
      <c r="N504" s="4"/>
      <c r="O504" s="4"/>
    </row>
    <row r="505" spans="1:15" ht="13.8" thickBot="1">
      <c r="A505" s="4"/>
      <c r="B505" s="4"/>
      <c r="C505" s="4"/>
      <c r="D505" s="151" t="s">
        <v>144</v>
      </c>
      <c r="E505" s="4"/>
      <c r="F505" s="16"/>
      <c r="G505" s="4"/>
      <c r="H505" s="152">
        <f>SUM(H496:H503)</f>
        <v>54.8</v>
      </c>
      <c r="I505" s="152">
        <f>SUM(I496:I503)</f>
        <v>55.2</v>
      </c>
      <c r="J505" s="152">
        <f>SUM(J496:J503)</f>
        <v>56.4</v>
      </c>
      <c r="K505" s="700">
        <f>SUM(K496:K504)</f>
        <v>61.61</v>
      </c>
      <c r="L505" s="700">
        <f t="shared" ref="L505:O505" si="53">SUM(L496:L504)</f>
        <v>63.71</v>
      </c>
      <c r="M505" s="700">
        <f t="shared" si="53"/>
        <v>65.932000000000002</v>
      </c>
      <c r="N505" s="700">
        <f t="shared" si="53"/>
        <v>68.204049999999995</v>
      </c>
      <c r="O505" s="700">
        <f t="shared" si="53"/>
        <v>71.132901250000003</v>
      </c>
    </row>
    <row r="506" spans="1:15" ht="13.8" thickTop="1">
      <c r="A506" s="4"/>
      <c r="B506" s="4"/>
      <c r="C506" s="4"/>
      <c r="D506" s="151"/>
      <c r="E506" s="4"/>
      <c r="F506" s="16"/>
      <c r="G506" s="4"/>
      <c r="H506" s="150"/>
      <c r="I506" s="150"/>
      <c r="J506" s="150"/>
      <c r="K506" s="64"/>
      <c r="L506" s="64"/>
      <c r="M506" s="64"/>
      <c r="N506" s="64"/>
      <c r="O506" s="64"/>
    </row>
    <row r="507" spans="1:15">
      <c r="A507" s="4"/>
      <c r="B507" s="2"/>
      <c r="C507" s="2"/>
      <c r="D507" s="2"/>
      <c r="E507" s="2"/>
      <c r="F507" s="3"/>
      <c r="G507" s="2"/>
      <c r="H507" s="149"/>
      <c r="I507" s="149"/>
      <c r="J507" s="149"/>
      <c r="K507" s="149"/>
      <c r="L507" s="149"/>
      <c r="M507" s="149"/>
      <c r="N507" s="149"/>
      <c r="O507" s="2"/>
    </row>
    <row r="508" spans="1:15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</row>
    <row r="509" spans="1:15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</row>
    <row r="510" spans="1:15" ht="12.75" customHeight="1">
      <c r="A510" s="4"/>
      <c r="B510" s="35"/>
      <c r="C510" s="20"/>
      <c r="D510" s="20"/>
      <c r="E510" s="20"/>
      <c r="F510" s="20"/>
      <c r="G510" s="20"/>
      <c r="H510" s="20"/>
      <c r="I510" s="20"/>
      <c r="J510" s="20"/>
      <c r="K510" s="20"/>
      <c r="L510" s="20"/>
      <c r="M510" s="20"/>
      <c r="N510" s="20"/>
      <c r="O510" s="36" t="str">
        <f>$O$258</f>
        <v>CURRENTLY RUNNING: BASE CASE SCENARIO</v>
      </c>
    </row>
    <row r="511" spans="1:15" ht="22.8" customHeight="1">
      <c r="A511" s="4"/>
      <c r="B511" s="35" t="str">
        <f>$B$26</f>
        <v>Lingoren Corp.</v>
      </c>
      <c r="C511" s="20"/>
      <c r="D511" s="20"/>
      <c r="E511" s="20"/>
      <c r="F511" s="20"/>
      <c r="G511" s="20"/>
      <c r="H511" s="20"/>
      <c r="I511" s="20"/>
      <c r="J511" s="20"/>
      <c r="K511" s="20"/>
      <c r="L511" s="20"/>
      <c r="M511" s="20"/>
      <c r="N511" s="20"/>
      <c r="O511" s="20"/>
    </row>
    <row r="512" spans="1:15" ht="18.75" customHeight="1">
      <c r="A512" s="4"/>
      <c r="B512" s="34" t="s">
        <v>143</v>
      </c>
      <c r="C512" s="20"/>
      <c r="D512" s="20"/>
      <c r="E512" s="20"/>
      <c r="F512" s="20"/>
      <c r="G512" s="20"/>
      <c r="H512" s="20"/>
      <c r="I512" s="20"/>
      <c r="J512" s="20"/>
      <c r="K512" s="20"/>
      <c r="L512" s="20"/>
      <c r="M512" s="20"/>
      <c r="N512" s="20"/>
      <c r="O512" s="20"/>
    </row>
    <row r="513" spans="1:15" ht="6" customHeight="1" thickBot="1">
      <c r="A513" s="4"/>
      <c r="B513" s="33"/>
      <c r="C513" s="33"/>
      <c r="D513" s="32"/>
      <c r="E513" s="32"/>
      <c r="F513" s="32"/>
      <c r="G513" s="32"/>
      <c r="H513" s="32"/>
      <c r="I513" s="32"/>
      <c r="J513" s="32"/>
      <c r="K513" s="32"/>
      <c r="L513" s="32"/>
      <c r="M513" s="32"/>
      <c r="N513" s="32"/>
      <c r="O513" s="32"/>
    </row>
    <row r="514" spans="1:15" ht="12.75" customHeight="1">
      <c r="A514" s="4"/>
      <c r="B514" s="31" t="s">
        <v>25</v>
      </c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</row>
    <row r="515" spans="1:15" ht="13.8">
      <c r="A515" s="4"/>
      <c r="B515" s="4"/>
      <c r="C515" s="4"/>
      <c r="D515" s="4"/>
      <c r="E515" s="4"/>
      <c r="F515" s="4"/>
      <c r="G515" s="4"/>
      <c r="H515" s="148"/>
      <c r="I515" s="148"/>
      <c r="J515" s="148"/>
      <c r="K515" s="14" t="s">
        <v>24</v>
      </c>
      <c r="L515" s="13"/>
      <c r="M515" s="13"/>
      <c r="N515" s="13"/>
      <c r="O515" s="13"/>
    </row>
    <row r="516" spans="1:15" ht="13.8">
      <c r="A516" s="4"/>
      <c r="B516" s="147"/>
      <c r="C516" s="146" t="s">
        <v>10</v>
      </c>
      <c r="D516" s="46"/>
      <c r="E516" s="145">
        <f>N87</f>
        <v>0.35</v>
      </c>
      <c r="F516" s="4"/>
      <c r="G516" s="4"/>
      <c r="H516" s="109"/>
      <c r="I516" s="109"/>
      <c r="J516" s="109"/>
      <c r="K516" s="10">
        <f>K$264</f>
        <v>2019</v>
      </c>
      <c r="L516" s="10">
        <f>L$264</f>
        <v>2020</v>
      </c>
      <c r="M516" s="10">
        <f>M$264</f>
        <v>2021</v>
      </c>
      <c r="N516" s="10">
        <f>N$264</f>
        <v>2022</v>
      </c>
      <c r="O516" s="10">
        <f>O$264</f>
        <v>2023</v>
      </c>
    </row>
    <row r="517" spans="1:15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</row>
    <row r="518" spans="1:15">
      <c r="A518" s="4"/>
      <c r="B518" s="4"/>
      <c r="C518" s="142" t="s">
        <v>142</v>
      </c>
      <c r="D518" s="4"/>
      <c r="E518" s="4"/>
      <c r="F518" s="4"/>
      <c r="G518" s="118" t="s">
        <v>141</v>
      </c>
      <c r="H518" s="117"/>
      <c r="I518" s="117"/>
      <c r="J518" s="117"/>
      <c r="K518" s="64">
        <f>K376</f>
        <v>34.326843914629535</v>
      </c>
      <c r="L518" s="64">
        <f>L376</f>
        <v>50.52855084084203</v>
      </c>
      <c r="M518" s="64">
        <f>M376</f>
        <v>84.703444753768025</v>
      </c>
      <c r="N518" s="64">
        <f>N376</f>
        <v>112.02549536777661</v>
      </c>
      <c r="O518" s="64">
        <f>O376</f>
        <v>150.74210664978187</v>
      </c>
    </row>
    <row r="519" spans="1:15" ht="6" customHeight="1">
      <c r="A519" s="4"/>
      <c r="B519" s="4"/>
      <c r="C519" s="4"/>
      <c r="D519" s="4"/>
      <c r="E519" s="119"/>
      <c r="F519" s="119"/>
      <c r="G519" s="121"/>
      <c r="H519" s="121"/>
      <c r="I519" s="121"/>
      <c r="J519" s="121"/>
      <c r="K519" s="125"/>
      <c r="L519" s="125"/>
      <c r="M519" s="125"/>
      <c r="N519" s="125"/>
      <c r="O519" s="125"/>
    </row>
    <row r="520" spans="1:15">
      <c r="A520" s="4"/>
      <c r="B520" s="4"/>
      <c r="C520" s="4"/>
      <c r="D520" s="4" t="s">
        <v>140</v>
      </c>
      <c r="E520" s="119"/>
      <c r="F520" s="119"/>
      <c r="G520" s="121"/>
      <c r="H520" s="117"/>
      <c r="I520" s="117"/>
      <c r="J520" s="117"/>
      <c r="K520" s="24">
        <f>K369</f>
        <v>61.61</v>
      </c>
      <c r="L520" s="24">
        <f>L369</f>
        <v>63.71</v>
      </c>
      <c r="M520" s="24">
        <f>M369</f>
        <v>65.932000000000002</v>
      </c>
      <c r="N520" s="24">
        <f>N369</f>
        <v>68.204049999999995</v>
      </c>
      <c r="O520" s="24">
        <f>O369</f>
        <v>71.132901250000003</v>
      </c>
    </row>
    <row r="521" spans="1:15">
      <c r="A521" s="4"/>
      <c r="B521" s="4"/>
      <c r="C521" s="4"/>
      <c r="D521" s="4" t="s">
        <v>139</v>
      </c>
      <c r="E521" s="119"/>
      <c r="F521" s="119"/>
      <c r="G521" s="121"/>
      <c r="H521" s="117"/>
      <c r="I521" s="117"/>
      <c r="J521" s="117"/>
      <c r="K521" s="49">
        <f>K552</f>
        <v>90.86999999999999</v>
      </c>
      <c r="L521" s="49">
        <f>L552</f>
        <v>85.114499999999992</v>
      </c>
      <c r="M521" s="49">
        <f>M552</f>
        <v>80.67982499999998</v>
      </c>
      <c r="N521" s="49">
        <f>N552</f>
        <v>77.098038749999986</v>
      </c>
      <c r="O521" s="49">
        <f>O552</f>
        <v>76.516525124999987</v>
      </c>
    </row>
    <row r="522" spans="1:15">
      <c r="A522" s="4"/>
      <c r="B522" s="4"/>
      <c r="C522" s="4"/>
      <c r="D522" s="65" t="s">
        <v>138</v>
      </c>
      <c r="E522" s="115"/>
      <c r="F522" s="115"/>
      <c r="G522" s="134"/>
      <c r="H522" s="116"/>
      <c r="I522" s="116"/>
      <c r="J522" s="116"/>
      <c r="K522" s="143">
        <f>K518+K520-K521</f>
        <v>5.0668439146295441</v>
      </c>
      <c r="L522" s="143">
        <f>L518+L520-L521</f>
        <v>29.124050840842045</v>
      </c>
      <c r="M522" s="143">
        <f>M518+M520-M521</f>
        <v>69.955619753768033</v>
      </c>
      <c r="N522" s="143">
        <f>N518+N520-N521</f>
        <v>103.13150661777662</v>
      </c>
      <c r="O522" s="143">
        <f>O518+O520-O521</f>
        <v>145.35848277478189</v>
      </c>
    </row>
    <row r="523" spans="1:15">
      <c r="A523" s="4"/>
      <c r="B523" s="4"/>
      <c r="C523" s="4"/>
      <c r="D523" s="4"/>
      <c r="E523" s="119"/>
      <c r="F523" s="119"/>
      <c r="G523" s="121"/>
      <c r="H523" s="121"/>
      <c r="I523" s="121"/>
      <c r="J523" s="121"/>
      <c r="K523" s="125"/>
      <c r="L523" s="125"/>
      <c r="M523" s="125"/>
      <c r="N523" s="125"/>
      <c r="O523" s="125"/>
    </row>
    <row r="524" spans="1:15">
      <c r="A524" s="4"/>
      <c r="B524" s="4"/>
      <c r="C524" s="65" t="s">
        <v>137</v>
      </c>
      <c r="D524" s="4"/>
      <c r="E524" s="119"/>
      <c r="F524" s="119"/>
      <c r="G524" s="121"/>
      <c r="H524" s="121"/>
      <c r="I524" s="121"/>
      <c r="J524" s="121"/>
      <c r="K524" s="125"/>
      <c r="L524" s="125"/>
      <c r="M524" s="125"/>
      <c r="N524" s="125"/>
      <c r="O524" s="125"/>
    </row>
    <row r="525" spans="1:15">
      <c r="A525" s="4"/>
      <c r="B525" s="4"/>
      <c r="C525" s="4"/>
      <c r="D525" s="144" t="s">
        <v>136</v>
      </c>
      <c r="E525" s="119"/>
      <c r="F525" s="119"/>
      <c r="G525" s="121"/>
      <c r="H525" s="121"/>
      <c r="I525" s="121"/>
      <c r="J525" s="121"/>
      <c r="K525" s="24">
        <f>N89</f>
        <v>32.5</v>
      </c>
      <c r="L525" s="24">
        <f>K525-K526</f>
        <v>27.433156085370456</v>
      </c>
      <c r="M525" s="24">
        <f>L525-L526</f>
        <v>0</v>
      </c>
      <c r="N525" s="24">
        <f>M525-M526</f>
        <v>0</v>
      </c>
      <c r="O525" s="24">
        <f>N525-N526</f>
        <v>0</v>
      </c>
    </row>
    <row r="526" spans="1:15">
      <c r="A526" s="4"/>
      <c r="B526" s="4"/>
      <c r="C526" s="4"/>
      <c r="D526" s="30" t="s">
        <v>135</v>
      </c>
      <c r="E526" s="119"/>
      <c r="F526" s="119"/>
      <c r="G526" s="121"/>
      <c r="H526" s="117"/>
      <c r="I526" s="117"/>
      <c r="J526" s="117"/>
      <c r="K526" s="49">
        <f>IF(K522&lt;0,0,MIN(K525,K522))</f>
        <v>5.0668439146295441</v>
      </c>
      <c r="L526" s="49">
        <f>IF(L522&lt;0,0,MIN(L525,L522))</f>
        <v>27.433156085370456</v>
      </c>
      <c r="M526" s="49">
        <f>IF(M522&lt;0,0,MIN(M525,M522))</f>
        <v>0</v>
      </c>
      <c r="N526" s="49">
        <f>IF(N522&lt;0,0,MIN(N525,N522))</f>
        <v>0</v>
      </c>
      <c r="O526" s="49">
        <f>IF(O522&lt;0,0,MIN(O525,O522))</f>
        <v>0</v>
      </c>
    </row>
    <row r="527" spans="1:15">
      <c r="A527" s="4"/>
      <c r="B527" s="4"/>
      <c r="C527" s="4"/>
      <c r="D527" s="142" t="s">
        <v>134</v>
      </c>
      <c r="E527" s="115"/>
      <c r="F527" s="115"/>
      <c r="G527" s="134"/>
      <c r="H527" s="116"/>
      <c r="I527" s="116"/>
      <c r="J527" s="116"/>
      <c r="K527" s="143">
        <f>K522-K526</f>
        <v>0</v>
      </c>
      <c r="L527" s="143">
        <f>L522-L526</f>
        <v>1.6908947554715894</v>
      </c>
      <c r="M527" s="143">
        <f>M522-M526</f>
        <v>69.955619753768033</v>
      </c>
      <c r="N527" s="143">
        <f>N522-N526</f>
        <v>103.13150661777662</v>
      </c>
      <c r="O527" s="143">
        <f>O522-O526</f>
        <v>145.35848277478189</v>
      </c>
    </row>
    <row r="528" spans="1:15">
      <c r="A528" s="4"/>
      <c r="B528" s="4"/>
      <c r="C528" s="4"/>
      <c r="D528" s="4"/>
      <c r="E528" s="119"/>
      <c r="F528" s="119"/>
      <c r="G528" s="121"/>
      <c r="H528" s="121"/>
      <c r="I528" s="121"/>
      <c r="J528" s="121"/>
      <c r="K528" s="125"/>
      <c r="L528" s="125"/>
      <c r="M528" s="125"/>
      <c r="N528" s="125"/>
      <c r="O528" s="125"/>
    </row>
    <row r="529" spans="1:15">
      <c r="A529" s="4"/>
      <c r="B529" s="4"/>
      <c r="C529" s="4"/>
      <c r="D529" s="144" t="s">
        <v>133</v>
      </c>
      <c r="E529" s="119"/>
      <c r="F529" s="119"/>
      <c r="G529" s="121"/>
      <c r="H529" s="121"/>
      <c r="I529" s="121"/>
      <c r="J529" s="121"/>
      <c r="K529" s="24">
        <f>J531</f>
        <v>0</v>
      </c>
      <c r="L529" s="24">
        <f>K531</f>
        <v>0</v>
      </c>
      <c r="M529" s="24">
        <f>L531</f>
        <v>0</v>
      </c>
      <c r="N529" s="24">
        <f>M531</f>
        <v>0</v>
      </c>
      <c r="O529" s="24">
        <f>N531</f>
        <v>0</v>
      </c>
    </row>
    <row r="530" spans="1:15">
      <c r="A530" s="4"/>
      <c r="B530" s="4"/>
      <c r="C530" s="4"/>
      <c r="D530" s="144" t="s">
        <v>132</v>
      </c>
      <c r="E530" s="119"/>
      <c r="F530" s="119"/>
      <c r="G530" s="121"/>
      <c r="H530" s="117"/>
      <c r="I530" s="117"/>
      <c r="J530" s="117"/>
      <c r="K530" s="49">
        <f>MIN(K529,K527)</f>
        <v>0</v>
      </c>
      <c r="L530" s="49">
        <f>MIN(L529,L527)</f>
        <v>0</v>
      </c>
      <c r="M530" s="49">
        <f>MIN(M529,M527)</f>
        <v>0</v>
      </c>
      <c r="N530" s="49">
        <f>MIN(N529,N527)</f>
        <v>0</v>
      </c>
      <c r="O530" s="49">
        <f>MIN(O529,O527)</f>
        <v>0</v>
      </c>
    </row>
    <row r="531" spans="1:15">
      <c r="A531" s="4"/>
      <c r="B531" s="4"/>
      <c r="C531" s="4"/>
      <c r="D531" s="144" t="s">
        <v>131</v>
      </c>
      <c r="E531" s="119"/>
      <c r="F531" s="119"/>
      <c r="G531" s="121"/>
      <c r="H531" s="117"/>
      <c r="I531" s="117"/>
      <c r="J531" s="117"/>
      <c r="K531" s="24">
        <f>K529-K530</f>
        <v>0</v>
      </c>
      <c r="L531" s="24">
        <f>L529-L530</f>
        <v>0</v>
      </c>
      <c r="M531" s="24">
        <f>M529-M530</f>
        <v>0</v>
      </c>
      <c r="N531" s="24">
        <f>N529-N530</f>
        <v>0</v>
      </c>
      <c r="O531" s="24">
        <f>O529-O530</f>
        <v>0</v>
      </c>
    </row>
    <row r="532" spans="1:15" ht="6" customHeight="1">
      <c r="A532" s="4"/>
      <c r="B532" s="4"/>
      <c r="C532" s="4"/>
      <c r="D532" s="144"/>
      <c r="E532" s="119"/>
      <c r="F532" s="119"/>
      <c r="G532" s="121"/>
      <c r="H532" s="117"/>
      <c r="I532" s="117"/>
      <c r="J532" s="117"/>
      <c r="K532" s="24"/>
      <c r="L532" s="24"/>
      <c r="M532" s="24"/>
      <c r="N532" s="24"/>
      <c r="O532" s="24"/>
    </row>
    <row r="533" spans="1:15">
      <c r="A533" s="4"/>
      <c r="B533" s="4"/>
      <c r="C533" s="4"/>
      <c r="D533" s="144" t="s">
        <v>130</v>
      </c>
      <c r="E533" s="119"/>
      <c r="F533" s="119"/>
      <c r="G533" s="121"/>
      <c r="H533" s="117"/>
      <c r="I533" s="117"/>
      <c r="J533" s="117"/>
      <c r="K533" s="49">
        <f>IF(K526&lt;0,K525,(K525-K526))</f>
        <v>27.433156085370456</v>
      </c>
      <c r="L533" s="49">
        <f>IF(L526&lt;0,L525,(L525-L526))</f>
        <v>0</v>
      </c>
      <c r="M533" s="49">
        <f>IF(M526&lt;0,M525,(M525-M526))</f>
        <v>0</v>
      </c>
      <c r="N533" s="49">
        <f>IF(N526&lt;0,N525,(N525-N526))</f>
        <v>0</v>
      </c>
      <c r="O533" s="49">
        <f>IF(O526&lt;0,O525,(O525-O526))</f>
        <v>0</v>
      </c>
    </row>
    <row r="534" spans="1:15">
      <c r="A534" s="4"/>
      <c r="B534" s="4"/>
      <c r="C534" s="4"/>
      <c r="D534" s="142" t="s">
        <v>129</v>
      </c>
      <c r="E534" s="115"/>
      <c r="F534" s="115"/>
      <c r="G534" s="134"/>
      <c r="H534" s="116"/>
      <c r="I534" s="116"/>
      <c r="J534" s="116"/>
      <c r="K534" s="143">
        <f>K533+K531</f>
        <v>27.433156085370456</v>
      </c>
      <c r="L534" s="143">
        <f>L533+L531</f>
        <v>0</v>
      </c>
      <c r="M534" s="143">
        <f>M533+M531</f>
        <v>0</v>
      </c>
      <c r="N534" s="143">
        <f>N533+N531</f>
        <v>0</v>
      </c>
      <c r="O534" s="143">
        <f>O533+O531</f>
        <v>0</v>
      </c>
    </row>
    <row r="535" spans="1:15">
      <c r="A535" s="4"/>
      <c r="B535" s="4"/>
      <c r="C535" s="4"/>
      <c r="D535" s="4"/>
      <c r="E535" s="119"/>
      <c r="F535" s="119"/>
      <c r="G535" s="121"/>
      <c r="H535" s="121"/>
      <c r="I535" s="121"/>
      <c r="J535" s="121"/>
      <c r="K535" s="125"/>
      <c r="L535" s="125"/>
      <c r="M535" s="125"/>
      <c r="N535" s="125"/>
      <c r="O535" s="125"/>
    </row>
    <row r="536" spans="1:15">
      <c r="A536" s="4"/>
      <c r="B536" s="4"/>
      <c r="C536" s="4"/>
      <c r="D536" s="142" t="s">
        <v>128</v>
      </c>
      <c r="E536" s="4"/>
      <c r="F536" s="119"/>
      <c r="G536" s="118" t="s">
        <v>127</v>
      </c>
      <c r="H536" s="116"/>
      <c r="I536" s="116"/>
      <c r="J536" s="116"/>
      <c r="K536" s="64">
        <f>K527-K530</f>
        <v>0</v>
      </c>
      <c r="L536" s="64">
        <f>L527-L530</f>
        <v>1.6908947554715894</v>
      </c>
      <c r="M536" s="64">
        <f>M527-M530</f>
        <v>69.955619753768033</v>
      </c>
      <c r="N536" s="64">
        <f>N527-N530</f>
        <v>103.13150661777662</v>
      </c>
      <c r="O536" s="64">
        <f>O527-O530</f>
        <v>145.35848277478189</v>
      </c>
    </row>
    <row r="537" spans="1:15">
      <c r="A537" s="4"/>
      <c r="B537" s="4"/>
      <c r="C537" s="4"/>
      <c r="D537" s="4"/>
      <c r="E537" s="65"/>
      <c r="F537" s="4"/>
      <c r="G537" s="4"/>
      <c r="H537" s="117"/>
      <c r="I537" s="117"/>
      <c r="J537" s="117"/>
      <c r="K537" s="125"/>
      <c r="L537" s="125"/>
      <c r="M537" s="125"/>
      <c r="N537" s="125"/>
      <c r="O537" s="125"/>
    </row>
    <row r="538" spans="1:15">
      <c r="A538" s="4"/>
      <c r="B538" s="4"/>
      <c r="C538" s="4"/>
      <c r="D538" s="30" t="str">
        <f>CONCATENATE("Accounting Taxes (",$E$516*100,"% of A)")</f>
        <v>Accounting Taxes (35% of A)</v>
      </c>
      <c r="E538" s="119"/>
      <c r="F538" s="121"/>
      <c r="G538" s="121"/>
      <c r="H538" s="117"/>
      <c r="I538" s="117"/>
      <c r="J538" s="117"/>
      <c r="K538" s="24">
        <f>$E$516*K518</f>
        <v>12.014395370120337</v>
      </c>
      <c r="L538" s="24">
        <f>$E$516*L518</f>
        <v>17.684992794294708</v>
      </c>
      <c r="M538" s="24">
        <f>$E$516*M518</f>
        <v>29.646205663818808</v>
      </c>
      <c r="N538" s="24">
        <f>$E$516*N518</f>
        <v>39.208923378721813</v>
      </c>
      <c r="O538" s="24">
        <f>$E$516*O518</f>
        <v>52.75973732742365</v>
      </c>
    </row>
    <row r="539" spans="1:15">
      <c r="A539" s="4"/>
      <c r="B539" s="4"/>
      <c r="C539" s="4"/>
      <c r="D539" s="4"/>
      <c r="E539" s="4"/>
      <c r="F539" s="141"/>
      <c r="G539" s="4"/>
      <c r="H539" s="117"/>
      <c r="I539" s="117"/>
      <c r="J539" s="117"/>
      <c r="K539" s="125"/>
      <c r="L539" s="125"/>
      <c r="M539" s="125"/>
      <c r="N539" s="125"/>
      <c r="O539" s="125"/>
    </row>
    <row r="540" spans="1:15">
      <c r="A540" s="4"/>
      <c r="B540" s="4"/>
      <c r="C540" s="4"/>
      <c r="D540" s="140" t="s">
        <v>126</v>
      </c>
      <c r="E540" s="139"/>
      <c r="F540" s="138"/>
      <c r="G540" s="138"/>
      <c r="H540" s="138"/>
      <c r="I540" s="138"/>
      <c r="J540" s="138"/>
      <c r="K540" s="137"/>
      <c r="L540" s="137"/>
      <c r="M540" s="137"/>
      <c r="N540" s="137"/>
      <c r="O540" s="136"/>
    </row>
    <row r="541" spans="1:15">
      <c r="A541" s="4"/>
      <c r="B541" s="4"/>
      <c r="C541" s="4"/>
      <c r="D541" s="135" t="str">
        <f>CONCATENATE("Current Tax (",$E$516*100,"% of B)")</f>
        <v>Current Tax (35% of B)</v>
      </c>
      <c r="E541" s="119"/>
      <c r="F541" s="121"/>
      <c r="G541" s="134"/>
      <c r="H541" s="117"/>
      <c r="I541" s="117"/>
      <c r="J541" s="117"/>
      <c r="K541" s="24">
        <f>$E$516*K536</f>
        <v>0</v>
      </c>
      <c r="L541" s="24">
        <f>$E$516*L536</f>
        <v>0.59181316441505627</v>
      </c>
      <c r="M541" s="24">
        <f>$E$516*M536</f>
        <v>24.48446691381881</v>
      </c>
      <c r="N541" s="24">
        <f>$E$516*N536</f>
        <v>36.096027316221814</v>
      </c>
      <c r="O541" s="53">
        <f>$E$516*O536</f>
        <v>50.87546897117366</v>
      </c>
    </row>
    <row r="542" spans="1:15">
      <c r="A542" s="4"/>
      <c r="B542" s="4"/>
      <c r="C542" s="4"/>
      <c r="D542" s="133" t="s">
        <v>125</v>
      </c>
      <c r="E542" s="119"/>
      <c r="F542" s="121"/>
      <c r="G542" s="121"/>
      <c r="H542" s="117"/>
      <c r="I542" s="117"/>
      <c r="J542" s="117"/>
      <c r="K542" s="49">
        <f>K538-K541</f>
        <v>12.014395370120337</v>
      </c>
      <c r="L542" s="49">
        <f>L538-L541</f>
        <v>17.09317962987965</v>
      </c>
      <c r="M542" s="49">
        <f>M538-M541</f>
        <v>5.1617387499999978</v>
      </c>
      <c r="N542" s="49">
        <f>N538-N541</f>
        <v>3.1128960624999991</v>
      </c>
      <c r="O542" s="48">
        <f>O538-O541</f>
        <v>1.88426835624999</v>
      </c>
    </row>
    <row r="543" spans="1:15">
      <c r="A543" s="4"/>
      <c r="B543" s="4"/>
      <c r="C543" s="4"/>
      <c r="D543" s="132" t="s">
        <v>124</v>
      </c>
      <c r="E543" s="131"/>
      <c r="F543" s="130"/>
      <c r="G543" s="130"/>
      <c r="H543" s="129"/>
      <c r="I543" s="129"/>
      <c r="J543" s="129"/>
      <c r="K543" s="128">
        <f>SUM(K541:K542)</f>
        <v>12.014395370120337</v>
      </c>
      <c r="L543" s="128">
        <f>SUM(L541:L542)</f>
        <v>17.684992794294708</v>
      </c>
      <c r="M543" s="128">
        <f>SUM(M541:M542)</f>
        <v>29.646205663818808</v>
      </c>
      <c r="N543" s="128">
        <f>SUM(N541:N542)</f>
        <v>39.208923378721813</v>
      </c>
      <c r="O543" s="127">
        <f>SUM(O541:O542)</f>
        <v>52.75973732742365</v>
      </c>
    </row>
    <row r="544" spans="1:15">
      <c r="A544" s="4"/>
      <c r="B544" s="4"/>
      <c r="C544" s="4"/>
      <c r="D544" s="4"/>
      <c r="E544" s="119"/>
      <c r="F544" s="121"/>
      <c r="G544" s="121"/>
      <c r="H544" s="121"/>
      <c r="I544" s="121"/>
      <c r="J544" s="121"/>
      <c r="K544" s="125"/>
      <c r="L544" s="125"/>
      <c r="M544" s="125"/>
      <c r="N544" s="125"/>
      <c r="O544" s="125"/>
    </row>
    <row r="545" spans="1:15" ht="13.8">
      <c r="A545" s="4"/>
      <c r="B545" s="4"/>
      <c r="C545" s="4"/>
      <c r="D545" s="126" t="s">
        <v>123</v>
      </c>
      <c r="E545" s="4"/>
      <c r="F545" s="121"/>
      <c r="G545" s="121"/>
      <c r="H545" s="121"/>
      <c r="I545" s="121"/>
      <c r="J545" s="121"/>
      <c r="K545" s="125"/>
      <c r="L545" s="125"/>
      <c r="M545" s="125"/>
      <c r="N545" s="125"/>
      <c r="O545" s="125"/>
    </row>
    <row r="546" spans="1:15">
      <c r="A546" s="4"/>
      <c r="B546" s="4"/>
      <c r="C546" s="4"/>
      <c r="D546" s="117" t="s">
        <v>122</v>
      </c>
      <c r="E546" s="4"/>
      <c r="F546" s="124">
        <f>N88</f>
        <v>0.15</v>
      </c>
      <c r="G546" s="4"/>
      <c r="H546" s="109"/>
      <c r="I546" s="109"/>
      <c r="J546" s="109"/>
      <c r="K546" s="109">
        <f>K$264</f>
        <v>2019</v>
      </c>
      <c r="L546" s="109">
        <f>L$264</f>
        <v>2020</v>
      </c>
      <c r="M546" s="109">
        <f>M$264</f>
        <v>2021</v>
      </c>
      <c r="N546" s="109">
        <f>N$264</f>
        <v>2022</v>
      </c>
      <c r="O546" s="109">
        <f>O$264</f>
        <v>2023</v>
      </c>
    </row>
    <row r="547" spans="1:15" ht="6" customHeight="1">
      <c r="A547" s="4"/>
      <c r="B547" s="4"/>
      <c r="C547" s="4"/>
      <c r="D547" s="4"/>
      <c r="E547" s="4"/>
      <c r="F547" s="16"/>
      <c r="G547" s="121"/>
      <c r="H547" s="109"/>
      <c r="I547" s="109"/>
      <c r="J547" s="109"/>
      <c r="K547" s="109"/>
      <c r="L547" s="109"/>
      <c r="M547" s="109"/>
      <c r="N547" s="109"/>
      <c r="O547" s="109"/>
    </row>
    <row r="548" spans="1:15">
      <c r="A548" s="4"/>
      <c r="B548" s="4"/>
      <c r="C548" s="4"/>
      <c r="D548" s="117" t="s">
        <v>121</v>
      </c>
      <c r="E548" s="4"/>
      <c r="F548" s="119"/>
      <c r="G548" s="118" t="s">
        <v>120</v>
      </c>
      <c r="H548" s="123"/>
      <c r="I548" s="123"/>
      <c r="J548" s="123"/>
      <c r="K548" s="122">
        <f>N90</f>
        <v>580.79999999999995</v>
      </c>
      <c r="L548" s="122">
        <f>K553</f>
        <v>539.92999999999995</v>
      </c>
      <c r="M548" s="122">
        <f>L553</f>
        <v>509.81549999999993</v>
      </c>
      <c r="N548" s="122">
        <f>M553</f>
        <v>485.23567499999996</v>
      </c>
      <c r="O548" s="122">
        <f>N553</f>
        <v>465.64013624999995</v>
      </c>
    </row>
    <row r="549" spans="1:15">
      <c r="A549" s="4"/>
      <c r="B549" s="4"/>
      <c r="C549" s="4"/>
      <c r="D549" s="117" t="s">
        <v>119</v>
      </c>
      <c r="E549" s="4"/>
      <c r="F549" s="119"/>
      <c r="G549" s="118" t="s">
        <v>118</v>
      </c>
      <c r="H549" s="117"/>
      <c r="I549" s="117"/>
      <c r="J549" s="117"/>
      <c r="K549" s="24">
        <f>-K413</f>
        <v>50</v>
      </c>
      <c r="L549" s="24">
        <f>-L413</f>
        <v>55</v>
      </c>
      <c r="M549" s="24">
        <f>-M413</f>
        <v>56.1</v>
      </c>
      <c r="N549" s="24">
        <f>-N413</f>
        <v>57.502499999999998</v>
      </c>
      <c r="O549" s="24">
        <f>-O413</f>
        <v>88.940062499999982</v>
      </c>
    </row>
    <row r="550" spans="1:15">
      <c r="A550" s="4"/>
      <c r="B550" s="4"/>
      <c r="C550" s="4"/>
      <c r="D550" s="117" t="s">
        <v>117</v>
      </c>
      <c r="E550" s="4"/>
      <c r="F550" s="119"/>
      <c r="G550" s="121"/>
      <c r="H550" s="117"/>
      <c r="I550" s="117"/>
      <c r="J550" s="117"/>
      <c r="K550" s="24">
        <f>K549*0.5</f>
        <v>25</v>
      </c>
      <c r="L550" s="24">
        <f>L549*0.5</f>
        <v>27.5</v>
      </c>
      <c r="M550" s="24">
        <f>M549*0.5</f>
        <v>28.05</v>
      </c>
      <c r="N550" s="24">
        <f>N549*0.5</f>
        <v>28.751249999999999</v>
      </c>
      <c r="O550" s="24">
        <f>O549*0.5</f>
        <v>44.470031249999991</v>
      </c>
    </row>
    <row r="551" spans="1:15">
      <c r="A551" s="4"/>
      <c r="B551" s="4"/>
      <c r="C551" s="4"/>
      <c r="D551" s="117" t="s">
        <v>116</v>
      </c>
      <c r="E551" s="4"/>
      <c r="F551" s="119"/>
      <c r="G551" s="121"/>
      <c r="H551" s="117"/>
      <c r="I551" s="117"/>
      <c r="J551" s="117"/>
      <c r="K551" s="24">
        <f>K550+K548</f>
        <v>605.79999999999995</v>
      </c>
      <c r="L551" s="24">
        <f>L550+L548</f>
        <v>567.42999999999995</v>
      </c>
      <c r="M551" s="24">
        <f>M550+M548</f>
        <v>537.86549999999988</v>
      </c>
      <c r="N551" s="24">
        <f>N550+N548</f>
        <v>513.98692499999993</v>
      </c>
      <c r="O551" s="24">
        <f>O550+O548</f>
        <v>510.11016749999993</v>
      </c>
    </row>
    <row r="552" spans="1:15">
      <c r="A552" s="4"/>
      <c r="B552" s="4"/>
      <c r="C552" s="4"/>
      <c r="D552" s="120" t="s">
        <v>115</v>
      </c>
      <c r="E552" s="4"/>
      <c r="F552" s="119"/>
      <c r="G552" s="118" t="s">
        <v>114</v>
      </c>
      <c r="H552" s="117"/>
      <c r="I552" s="117"/>
      <c r="J552" s="117"/>
      <c r="K552" s="49">
        <f>K551*$F$546</f>
        <v>90.86999999999999</v>
      </c>
      <c r="L552" s="49">
        <f>L551*$F$546</f>
        <v>85.114499999999992</v>
      </c>
      <c r="M552" s="49">
        <f>M551*$F$546</f>
        <v>80.67982499999998</v>
      </c>
      <c r="N552" s="49">
        <f>N551*$F$546</f>
        <v>77.098038749999986</v>
      </c>
      <c r="O552" s="49">
        <f>O551*$F$546</f>
        <v>76.516525124999987</v>
      </c>
    </row>
    <row r="553" spans="1:15">
      <c r="A553" s="4"/>
      <c r="B553" s="4"/>
      <c r="C553" s="4"/>
      <c r="D553" s="116" t="s">
        <v>113</v>
      </c>
      <c r="E553" s="4"/>
      <c r="F553" s="115"/>
      <c r="G553" s="114"/>
      <c r="H553" s="113"/>
      <c r="I553" s="113"/>
      <c r="J553" s="113"/>
      <c r="K553" s="64">
        <f>K548+K549-K552</f>
        <v>539.92999999999995</v>
      </c>
      <c r="L553" s="64">
        <f>L548+L549-L552</f>
        <v>509.81549999999993</v>
      </c>
      <c r="M553" s="64">
        <f>M548+M549-M552</f>
        <v>485.23567499999996</v>
      </c>
      <c r="N553" s="64">
        <f>N548+N549-N552</f>
        <v>465.64013624999995</v>
      </c>
      <c r="O553" s="64">
        <f>O548+O549-O552</f>
        <v>478.06367362499992</v>
      </c>
    </row>
    <row r="554" spans="1:15" ht="6" customHeight="1">
      <c r="A554" s="4"/>
      <c r="B554" s="2"/>
      <c r="C554" s="2"/>
      <c r="D554" s="2"/>
      <c r="E554" s="112"/>
      <c r="F554" s="112"/>
      <c r="G554" s="111"/>
      <c r="H554" s="111"/>
      <c r="I554" s="111"/>
      <c r="J554" s="111"/>
      <c r="K554" s="110"/>
      <c r="L554" s="110"/>
      <c r="M554" s="110"/>
      <c r="N554" s="110"/>
      <c r="O554" s="2"/>
    </row>
    <row r="555" spans="1:15">
      <c r="A555" s="4"/>
      <c r="B555" s="4"/>
      <c r="C555" s="4"/>
      <c r="D555" s="4"/>
      <c r="E555" s="4"/>
      <c r="F555" s="16"/>
      <c r="G555" s="4"/>
      <c r="H555" s="4"/>
      <c r="I555" s="4"/>
      <c r="J555" s="4"/>
      <c r="K555" s="4"/>
      <c r="L555" s="4"/>
      <c r="M555" s="4"/>
      <c r="N555" s="4"/>
      <c r="O555" s="4"/>
    </row>
    <row r="556" spans="1:15">
      <c r="A556" s="4"/>
      <c r="B556" s="4"/>
      <c r="C556" s="4"/>
      <c r="D556" s="4"/>
      <c r="E556" s="4"/>
      <c r="F556" s="16"/>
      <c r="G556" s="4"/>
      <c r="H556" s="4"/>
      <c r="I556" s="4"/>
      <c r="J556" s="4"/>
      <c r="K556" s="4"/>
      <c r="L556" s="4"/>
      <c r="M556" s="4"/>
      <c r="N556" s="4"/>
      <c r="O556" s="4"/>
    </row>
    <row r="557" spans="1:15" ht="12.75" customHeight="1">
      <c r="A557" s="4"/>
      <c r="B557" s="35"/>
      <c r="C557" s="20"/>
      <c r="D557" s="20"/>
      <c r="E557" s="20"/>
      <c r="F557" s="20"/>
      <c r="G557" s="20"/>
      <c r="H557" s="20"/>
      <c r="I557" s="20"/>
      <c r="J557" s="20"/>
      <c r="K557" s="20"/>
      <c r="L557" s="20"/>
      <c r="M557" s="20"/>
      <c r="N557" s="20"/>
      <c r="O557" s="36" t="str">
        <f>$O$258</f>
        <v>CURRENTLY RUNNING: BASE CASE SCENARIO</v>
      </c>
    </row>
    <row r="558" spans="1:15" ht="22.8" customHeight="1">
      <c r="A558" s="4"/>
      <c r="B558" s="35" t="str">
        <f>$B$26</f>
        <v>Lingoren Corp.</v>
      </c>
      <c r="C558" s="20"/>
      <c r="D558" s="20"/>
      <c r="E558" s="20"/>
      <c r="F558" s="20"/>
      <c r="G558" s="20"/>
      <c r="H558" s="20"/>
      <c r="I558" s="20"/>
      <c r="J558" s="20"/>
      <c r="K558" s="20"/>
      <c r="L558" s="20"/>
      <c r="M558" s="20"/>
      <c r="N558" s="20"/>
      <c r="O558" s="20"/>
    </row>
    <row r="559" spans="1:15" ht="18.75" customHeight="1">
      <c r="A559" s="4"/>
      <c r="B559" s="34" t="s">
        <v>112</v>
      </c>
      <c r="C559" s="20"/>
      <c r="D559" s="20"/>
      <c r="E559" s="20"/>
      <c r="F559" s="20"/>
      <c r="G559" s="20"/>
      <c r="H559" s="20"/>
      <c r="I559" s="20"/>
      <c r="J559" s="20"/>
      <c r="K559" s="20"/>
      <c r="L559" s="20"/>
      <c r="M559" s="20"/>
      <c r="N559" s="20"/>
      <c r="O559" s="20"/>
    </row>
    <row r="560" spans="1:15" ht="6" customHeight="1" thickBot="1">
      <c r="A560" s="4"/>
      <c r="B560" s="33"/>
      <c r="C560" s="32"/>
      <c r="D560" s="32"/>
      <c r="E560" s="32"/>
      <c r="F560" s="32"/>
      <c r="G560" s="32"/>
      <c r="H560" s="32"/>
      <c r="I560" s="32"/>
      <c r="J560" s="32"/>
      <c r="K560" s="32"/>
      <c r="L560" s="32"/>
      <c r="M560" s="32"/>
      <c r="N560" s="32"/>
      <c r="O560" s="32"/>
    </row>
    <row r="561" spans="1:15" ht="12.75" customHeight="1">
      <c r="A561" s="4"/>
      <c r="B561" s="31" t="s">
        <v>25</v>
      </c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30"/>
    </row>
    <row r="562" spans="1:15" ht="13.8">
      <c r="A562" s="4"/>
      <c r="B562" s="4"/>
      <c r="C562" s="4"/>
      <c r="D562" s="4"/>
      <c r="E562" s="4"/>
      <c r="F562" s="4"/>
      <c r="G562" s="4"/>
      <c r="H562" s="20"/>
      <c r="I562" s="20"/>
      <c r="J562" s="20"/>
      <c r="K562" s="14" t="s">
        <v>24</v>
      </c>
      <c r="L562" s="13"/>
      <c r="M562" s="13"/>
      <c r="N562" s="13"/>
      <c r="O562" s="13"/>
    </row>
    <row r="563" spans="1:15">
      <c r="A563" s="4"/>
      <c r="B563" s="4"/>
      <c r="C563" s="4"/>
      <c r="D563" s="4"/>
      <c r="E563" s="4"/>
      <c r="F563" s="4"/>
      <c r="G563" s="29"/>
      <c r="H563" s="109"/>
      <c r="I563" s="28">
        <f>I264</f>
        <v>2017</v>
      </c>
      <c r="J563" s="70">
        <f t="shared" ref="J563:O563" si="54">J$264</f>
        <v>2018</v>
      </c>
      <c r="K563" s="10">
        <f t="shared" si="54"/>
        <v>2019</v>
      </c>
      <c r="L563" s="10">
        <f t="shared" si="54"/>
        <v>2020</v>
      </c>
      <c r="M563" s="10">
        <f t="shared" si="54"/>
        <v>2021</v>
      </c>
      <c r="N563" s="10">
        <f t="shared" si="54"/>
        <v>2022</v>
      </c>
      <c r="O563" s="10">
        <f t="shared" si="54"/>
        <v>2023</v>
      </c>
    </row>
    <row r="564" spans="1:15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</row>
    <row r="565" spans="1:15">
      <c r="A565" s="4"/>
      <c r="B565" s="108" t="s">
        <v>111</v>
      </c>
      <c r="C565" s="106"/>
      <c r="D565" s="106"/>
      <c r="E565" s="106"/>
      <c r="F565" s="107" t="s">
        <v>106</v>
      </c>
      <c r="G565" s="106"/>
      <c r="H565" s="106"/>
      <c r="I565" s="106"/>
      <c r="J565" s="105">
        <f t="shared" ref="J565:O565" si="55">DATE(J563,12,31)-DATE(I563,12,31)</f>
        <v>365</v>
      </c>
      <c r="K565" s="105">
        <f t="shared" si="55"/>
        <v>365</v>
      </c>
      <c r="L565" s="105">
        <f t="shared" si="55"/>
        <v>366</v>
      </c>
      <c r="M565" s="105">
        <f t="shared" si="55"/>
        <v>365</v>
      </c>
      <c r="N565" s="105">
        <f t="shared" si="55"/>
        <v>365</v>
      </c>
      <c r="O565" s="104">
        <f t="shared" si="55"/>
        <v>365</v>
      </c>
    </row>
    <row r="566" spans="1:15">
      <c r="A566" s="4"/>
      <c r="B566" s="4"/>
      <c r="C566" s="4"/>
      <c r="D566" s="4"/>
      <c r="E566" s="4"/>
      <c r="F566" s="69"/>
      <c r="G566" s="4"/>
      <c r="H566" s="4"/>
      <c r="I566" s="4"/>
      <c r="J566" s="4"/>
      <c r="K566" s="4"/>
      <c r="L566" s="4"/>
      <c r="M566" s="4"/>
      <c r="N566" s="4"/>
      <c r="O566" s="4"/>
    </row>
    <row r="567" spans="1:15">
      <c r="A567" s="4"/>
      <c r="B567" s="65" t="s">
        <v>110</v>
      </c>
      <c r="C567" s="4"/>
      <c r="D567" s="4"/>
      <c r="E567" s="4"/>
      <c r="F567" s="69"/>
      <c r="G567" s="4"/>
      <c r="H567" s="4"/>
      <c r="I567" s="4"/>
      <c r="J567" s="4"/>
      <c r="K567" s="4"/>
      <c r="L567" s="4"/>
      <c r="M567" s="4"/>
      <c r="N567" s="4"/>
      <c r="O567" s="4"/>
    </row>
    <row r="568" spans="1:15">
      <c r="A568" s="4"/>
      <c r="B568" s="4"/>
      <c r="C568" s="4" t="s">
        <v>109</v>
      </c>
      <c r="D568" s="4"/>
      <c r="E568" s="4"/>
      <c r="F568" s="69" t="s">
        <v>99</v>
      </c>
      <c r="G568" s="4"/>
      <c r="H568" s="4"/>
      <c r="I568" s="4"/>
      <c r="J568" s="73">
        <f t="shared" ref="J568:O568" si="56">J360</f>
        <v>980.69776400000001</v>
      </c>
      <c r="K568" s="73">
        <f t="shared" si="56"/>
        <v>1035.4868160000001</v>
      </c>
      <c r="L568" s="73">
        <f t="shared" si="56"/>
        <v>1095.3790848000001</v>
      </c>
      <c r="M568" s="73">
        <f t="shared" si="56"/>
        <v>1159.0106516352</v>
      </c>
      <c r="N568" s="73">
        <f t="shared" si="56"/>
        <v>1225.4742713041921</v>
      </c>
      <c r="O568" s="73">
        <f t="shared" si="56"/>
        <v>1289.4419153795964</v>
      </c>
    </row>
    <row r="569" spans="1:15">
      <c r="A569" s="4"/>
      <c r="B569" s="4"/>
      <c r="C569" s="4" t="s">
        <v>108</v>
      </c>
      <c r="D569" s="4"/>
      <c r="E569" s="4"/>
      <c r="F569" s="69" t="s">
        <v>99</v>
      </c>
      <c r="G569" s="4"/>
      <c r="H569" s="4"/>
      <c r="I569" s="4"/>
      <c r="J569" s="73">
        <f t="shared" ref="J569:O569" si="57">J362</f>
        <v>793.40370370370374</v>
      </c>
      <c r="K569" s="73">
        <f t="shared" si="57"/>
        <v>861.00337777777793</v>
      </c>
      <c r="L569" s="73">
        <f t="shared" si="57"/>
        <v>908.80715749894739</v>
      </c>
      <c r="M569" s="73">
        <f t="shared" si="57"/>
        <v>942.96470813155213</v>
      </c>
      <c r="N569" s="73">
        <f t="shared" si="57"/>
        <v>985.66759621402912</v>
      </c>
      <c r="O569" s="73">
        <f t="shared" si="57"/>
        <v>1014.5574674881492</v>
      </c>
    </row>
    <row r="570" spans="1:15">
      <c r="A570" s="4"/>
      <c r="B570" s="4"/>
      <c r="C570" s="4"/>
      <c r="D570" s="4"/>
      <c r="E570" s="4"/>
      <c r="F570" s="69"/>
      <c r="G570" s="4"/>
      <c r="H570" s="4"/>
      <c r="I570" s="4"/>
      <c r="J570" s="4"/>
      <c r="K570" s="4"/>
      <c r="L570" s="4"/>
      <c r="M570" s="4"/>
      <c r="N570" s="4"/>
      <c r="O570" s="4"/>
    </row>
    <row r="571" spans="1:15">
      <c r="A571" s="4"/>
      <c r="B571" s="101" t="s">
        <v>107</v>
      </c>
      <c r="C571" s="94"/>
      <c r="D571" s="4"/>
      <c r="E571" s="4"/>
      <c r="F571" s="69"/>
      <c r="G571" s="4"/>
      <c r="H571" s="4"/>
      <c r="I571" s="4"/>
      <c r="J571" s="4"/>
      <c r="K571" s="4"/>
      <c r="L571" s="4"/>
      <c r="M571" s="4"/>
      <c r="N571" s="4"/>
      <c r="O571" s="4"/>
    </row>
    <row r="572" spans="1:15">
      <c r="A572" s="4"/>
      <c r="B572" s="92"/>
      <c r="C572" s="94" t="s">
        <v>104</v>
      </c>
      <c r="D572" s="4"/>
      <c r="E572" s="4"/>
      <c r="F572" s="69" t="s">
        <v>106</v>
      </c>
      <c r="G572" s="103"/>
      <c r="H572" s="102"/>
      <c r="I572" s="102"/>
      <c r="J572" s="606">
        <f>J577/J568*J565</f>
        <v>34.315363239677993</v>
      </c>
      <c r="K572" s="606">
        <f t="shared" ref="K572:O574" si="58">G141</f>
        <v>32</v>
      </c>
      <c r="L572" s="606">
        <f t="shared" si="58"/>
        <v>30</v>
      </c>
      <c r="M572" s="606">
        <f t="shared" si="58"/>
        <v>30</v>
      </c>
      <c r="N572" s="606">
        <f t="shared" si="58"/>
        <v>30</v>
      </c>
      <c r="O572" s="606">
        <f t="shared" si="58"/>
        <v>30</v>
      </c>
    </row>
    <row r="573" spans="1:15">
      <c r="A573" s="4"/>
      <c r="B573" s="92"/>
      <c r="C573" s="100" t="s">
        <v>103</v>
      </c>
      <c r="D573" s="4"/>
      <c r="E573" s="4"/>
      <c r="F573" s="69" t="s">
        <v>106</v>
      </c>
      <c r="G573" s="103"/>
      <c r="H573" s="102"/>
      <c r="I573" s="102"/>
      <c r="J573" s="606">
        <f>J578/J569*J565</f>
        <v>40.575812602990396</v>
      </c>
      <c r="K573" s="606">
        <f t="shared" si="58"/>
        <v>40</v>
      </c>
      <c r="L573" s="606">
        <f t="shared" si="58"/>
        <v>38</v>
      </c>
      <c r="M573" s="606">
        <f t="shared" si="58"/>
        <v>37</v>
      </c>
      <c r="N573" s="606">
        <f t="shared" si="58"/>
        <v>37</v>
      </c>
      <c r="O573" s="606">
        <f t="shared" si="58"/>
        <v>37</v>
      </c>
    </row>
    <row r="574" spans="1:15">
      <c r="A574" s="4"/>
      <c r="B574" s="92"/>
      <c r="C574" s="94" t="s">
        <v>102</v>
      </c>
      <c r="D574" s="4"/>
      <c r="E574" s="4"/>
      <c r="F574" s="69" t="s">
        <v>106</v>
      </c>
      <c r="G574" s="103"/>
      <c r="H574" s="102"/>
      <c r="I574" s="102"/>
      <c r="J574" s="606">
        <f>J579/J569*J565</f>
        <v>27.694602252834713</v>
      </c>
      <c r="K574" s="606">
        <f t="shared" si="58"/>
        <v>27</v>
      </c>
      <c r="L574" s="606">
        <f t="shared" si="58"/>
        <v>28</v>
      </c>
      <c r="M574" s="606">
        <f t="shared" si="58"/>
        <v>29</v>
      </c>
      <c r="N574" s="606">
        <f t="shared" si="58"/>
        <v>29</v>
      </c>
      <c r="O574" s="606">
        <f t="shared" si="58"/>
        <v>29</v>
      </c>
    </row>
    <row r="575" spans="1:15">
      <c r="A575" s="4"/>
      <c r="B575" s="92"/>
      <c r="C575" s="94"/>
      <c r="D575" s="4"/>
      <c r="E575" s="4"/>
      <c r="F575" s="69"/>
      <c r="G575" s="4"/>
      <c r="H575" s="90"/>
      <c r="I575" s="90"/>
      <c r="J575" s="90"/>
      <c r="K575" s="90"/>
      <c r="L575" s="90"/>
      <c r="M575" s="90"/>
      <c r="N575" s="90"/>
      <c r="O575" s="90"/>
    </row>
    <row r="576" spans="1:15">
      <c r="A576" s="4"/>
      <c r="B576" s="101" t="s">
        <v>105</v>
      </c>
      <c r="C576" s="94"/>
      <c r="D576" s="4"/>
      <c r="E576" s="4"/>
      <c r="F576" s="69"/>
      <c r="G576" s="4"/>
      <c r="H576" s="90"/>
      <c r="I576" s="90"/>
      <c r="J576" s="90"/>
      <c r="K576" s="90"/>
      <c r="L576" s="90"/>
      <c r="M576" s="90"/>
      <c r="N576" s="90"/>
      <c r="O576" s="90"/>
    </row>
    <row r="577" spans="1:15">
      <c r="A577" s="4"/>
      <c r="B577" s="92"/>
      <c r="C577" s="94" t="s">
        <v>104</v>
      </c>
      <c r="D577" s="4"/>
      <c r="E577" s="4"/>
      <c r="F577" s="69" t="s">
        <v>99</v>
      </c>
      <c r="G577" s="4"/>
      <c r="H577" s="4"/>
      <c r="I577" s="99"/>
      <c r="J577" s="606">
        <f>J448</f>
        <v>92.2</v>
      </c>
      <c r="K577" s="606">
        <f>K568/K565*K572</f>
        <v>90.782405786301382</v>
      </c>
      <c r="L577" s="606">
        <f>L568/L565*L572</f>
        <v>89.785170885245904</v>
      </c>
      <c r="M577" s="606">
        <f>M568/M565*M572</f>
        <v>95.261149449468491</v>
      </c>
      <c r="N577" s="606">
        <f>N568/N565*N572</f>
        <v>100.7239127099336</v>
      </c>
      <c r="O577" s="606">
        <f>O568/O565*O572</f>
        <v>105.98152729147368</v>
      </c>
    </row>
    <row r="578" spans="1:15">
      <c r="A578" s="4"/>
      <c r="B578" s="92"/>
      <c r="C578" s="100" t="s">
        <v>103</v>
      </c>
      <c r="D578" s="4"/>
      <c r="E578" s="4"/>
      <c r="F578" s="69" t="s">
        <v>99</v>
      </c>
      <c r="G578" s="4"/>
      <c r="H578" s="4"/>
      <c r="I578" s="99"/>
      <c r="J578" s="606">
        <f>J449</f>
        <v>88.2</v>
      </c>
      <c r="K578" s="689">
        <f>K569/K565*K573</f>
        <v>94.356534550989366</v>
      </c>
      <c r="L578" s="689">
        <f t="shared" ref="L578:O578" si="59">L569/L565*L573</f>
        <v>94.357027281311474</v>
      </c>
      <c r="M578" s="689">
        <f t="shared" si="59"/>
        <v>95.588203290047744</v>
      </c>
      <c r="N578" s="689">
        <f t="shared" si="59"/>
        <v>99.91698920525775</v>
      </c>
      <c r="O578" s="689">
        <f t="shared" si="59"/>
        <v>102.84555149879868</v>
      </c>
    </row>
    <row r="579" spans="1:15">
      <c r="A579" s="4"/>
      <c r="B579" s="92"/>
      <c r="C579" s="94" t="s">
        <v>102</v>
      </c>
      <c r="D579" s="4"/>
      <c r="E579" s="4"/>
      <c r="F579" s="69" t="s">
        <v>99</v>
      </c>
      <c r="G579" s="4"/>
      <c r="H579" s="4"/>
      <c r="I579" s="97"/>
      <c r="J579" s="667">
        <f>J461</f>
        <v>60.2</v>
      </c>
      <c r="K579" s="667">
        <f>K569/K565*K574</f>
        <v>63.690660821917824</v>
      </c>
      <c r="L579" s="667">
        <f>L569/L565*L574</f>
        <v>69.526230628334773</v>
      </c>
      <c r="M579" s="667">
        <f>M569/M565*M574</f>
        <v>74.920483659767157</v>
      </c>
      <c r="N579" s="667">
        <f>N569/N565*N574</f>
        <v>78.313315863580399</v>
      </c>
      <c r="O579" s="667">
        <f>O569/O565*O574</f>
        <v>80.608675499058435</v>
      </c>
    </row>
    <row r="580" spans="1:15">
      <c r="A580" s="4"/>
      <c r="B580" s="92"/>
      <c r="C580" s="93" t="s">
        <v>101</v>
      </c>
      <c r="D580" s="65"/>
      <c r="E580" s="65"/>
      <c r="F580" s="91" t="s">
        <v>99</v>
      </c>
      <c r="G580" s="4"/>
      <c r="H580" s="4"/>
      <c r="I580" s="90"/>
      <c r="J580" s="95">
        <f t="shared" ref="J580:O580" si="60">J577+J578-J579</f>
        <v>120.2</v>
      </c>
      <c r="K580" s="95">
        <f t="shared" si="60"/>
        <v>121.44827951537295</v>
      </c>
      <c r="L580" s="95">
        <f t="shared" si="60"/>
        <v>114.61596753822259</v>
      </c>
      <c r="M580" s="95">
        <f t="shared" si="60"/>
        <v>115.92886907974908</v>
      </c>
      <c r="N580" s="95">
        <f t="shared" si="60"/>
        <v>122.32758605161096</v>
      </c>
      <c r="O580" s="95">
        <f t="shared" si="60"/>
        <v>128.21840329121392</v>
      </c>
    </row>
    <row r="581" spans="1:15">
      <c r="A581" s="4"/>
      <c r="B581" s="92"/>
      <c r="C581" s="94"/>
      <c r="D581" s="4"/>
      <c r="E581" s="4"/>
      <c r="F581" s="69"/>
      <c r="G581" s="4"/>
      <c r="H581" s="90"/>
      <c r="I581" s="90"/>
      <c r="J581" s="90"/>
      <c r="K581" s="90"/>
      <c r="L581" s="90"/>
      <c r="M581" s="90"/>
      <c r="N581" s="90"/>
      <c r="O581" s="90"/>
    </row>
    <row r="582" spans="1:15" ht="13.8" thickBot="1">
      <c r="A582" s="4"/>
      <c r="B582" s="93" t="s">
        <v>100</v>
      </c>
      <c r="C582" s="92"/>
      <c r="D582" s="4"/>
      <c r="E582" s="4"/>
      <c r="F582" s="91" t="s">
        <v>99</v>
      </c>
      <c r="G582" s="4"/>
      <c r="H582" s="90"/>
      <c r="I582" s="90"/>
      <c r="J582" s="89"/>
      <c r="K582" s="188">
        <f>J580-K580</f>
        <v>-1.2482795153729427</v>
      </c>
      <c r="L582" s="188">
        <f>K580-L580</f>
        <v>6.8323119771503542</v>
      </c>
      <c r="M582" s="704">
        <f t="shared" ref="M582:O582" si="61">L580-M580</f>
        <v>-1.312901541526486</v>
      </c>
      <c r="N582" s="704">
        <f t="shared" si="61"/>
        <v>-6.3987169718618873</v>
      </c>
      <c r="O582" s="704">
        <f t="shared" si="61"/>
        <v>-5.8908172396029528</v>
      </c>
    </row>
    <row r="583" spans="1:15" ht="13.8" thickTop="1">
      <c r="A583" s="4"/>
      <c r="B583" s="4"/>
      <c r="C583" s="87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</row>
    <row r="584" spans="1:15">
      <c r="A584" s="4"/>
      <c r="B584" s="2"/>
      <c r="C584" s="86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</row>
    <row r="585" spans="1:15">
      <c r="A585" s="4"/>
      <c r="B585" s="4"/>
      <c r="C585" s="4"/>
      <c r="D585" s="4"/>
      <c r="E585" s="4"/>
      <c r="F585" s="16"/>
      <c r="G585" s="4"/>
      <c r="H585" s="4"/>
      <c r="I585" s="4"/>
      <c r="J585" s="4"/>
      <c r="K585" s="4"/>
      <c r="L585" s="4"/>
      <c r="M585" s="4"/>
      <c r="N585" s="4"/>
      <c r="O585" s="4"/>
    </row>
    <row r="586" spans="1:15">
      <c r="A586" s="4"/>
      <c r="B586" s="4"/>
      <c r="C586" s="4"/>
      <c r="D586" s="4"/>
      <c r="E586" s="4"/>
      <c r="F586" s="16"/>
      <c r="G586" s="4"/>
      <c r="H586" s="4"/>
      <c r="I586" s="4"/>
      <c r="J586" s="4"/>
      <c r="K586" s="4"/>
      <c r="L586" s="4"/>
      <c r="M586" s="4"/>
      <c r="N586" s="4"/>
      <c r="O586" s="4"/>
    </row>
    <row r="587" spans="1:15" ht="12.75" customHeight="1">
      <c r="A587" s="4"/>
      <c r="B587" s="35"/>
      <c r="C587" s="20"/>
      <c r="D587" s="20"/>
      <c r="E587" s="20"/>
      <c r="F587" s="20"/>
      <c r="G587" s="20"/>
      <c r="H587" s="20"/>
      <c r="I587" s="20"/>
      <c r="J587" s="20"/>
      <c r="K587" s="20"/>
      <c r="L587" s="20"/>
      <c r="M587" s="20"/>
      <c r="N587" s="20"/>
      <c r="O587" s="36" t="str">
        <f>$O$258</f>
        <v>CURRENTLY RUNNING: BASE CASE SCENARIO</v>
      </c>
    </row>
    <row r="588" spans="1:15" ht="22.8" customHeight="1">
      <c r="A588" s="4"/>
      <c r="B588" s="35" t="str">
        <f>$B$26</f>
        <v>Lingoren Corp.</v>
      </c>
      <c r="C588" s="20"/>
      <c r="D588" s="20"/>
      <c r="E588" s="20"/>
      <c r="F588" s="20"/>
      <c r="G588" s="20"/>
      <c r="H588" s="20"/>
      <c r="I588" s="20"/>
      <c r="J588" s="20"/>
      <c r="K588" s="20"/>
      <c r="L588" s="20"/>
      <c r="M588" s="20"/>
      <c r="N588" s="20"/>
      <c r="O588" s="20"/>
    </row>
    <row r="589" spans="1:15" ht="18.75" customHeight="1">
      <c r="A589" s="4"/>
      <c r="B589" s="34" t="s">
        <v>98</v>
      </c>
      <c r="C589" s="20"/>
      <c r="D589" s="20"/>
      <c r="E589" s="20"/>
      <c r="F589" s="20"/>
      <c r="G589" s="20"/>
      <c r="H589" s="20"/>
      <c r="I589" s="20"/>
      <c r="J589" s="20"/>
      <c r="K589" s="20"/>
      <c r="L589" s="20"/>
      <c r="M589" s="20"/>
      <c r="N589" s="20"/>
      <c r="O589" s="20"/>
    </row>
    <row r="590" spans="1:15" ht="6" customHeight="1" thickBot="1">
      <c r="A590" s="4"/>
      <c r="B590" s="33"/>
      <c r="C590" s="32"/>
      <c r="D590" s="32"/>
      <c r="E590" s="32"/>
      <c r="F590" s="32"/>
      <c r="G590" s="32"/>
      <c r="H590" s="32"/>
      <c r="I590" s="32"/>
      <c r="J590" s="32"/>
      <c r="K590" s="32"/>
      <c r="L590" s="32"/>
      <c r="M590" s="32"/>
      <c r="N590" s="32"/>
      <c r="O590" s="32"/>
    </row>
    <row r="591" spans="1:15" ht="12.75" customHeight="1">
      <c r="A591" s="4"/>
      <c r="B591" s="31" t="s">
        <v>25</v>
      </c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30"/>
    </row>
    <row r="592" spans="1:15" ht="13.8">
      <c r="A592" s="4"/>
      <c r="B592" s="4"/>
      <c r="C592" s="4"/>
      <c r="D592" s="4"/>
      <c r="E592" s="4"/>
      <c r="F592" s="4"/>
      <c r="G592" s="4"/>
      <c r="H592" s="20"/>
      <c r="I592" s="20"/>
      <c r="J592" s="20"/>
      <c r="K592" s="14" t="s">
        <v>24</v>
      </c>
      <c r="L592" s="13"/>
      <c r="M592" s="13"/>
      <c r="N592" s="13"/>
      <c r="O592" s="13"/>
    </row>
    <row r="593" spans="1:15">
      <c r="A593" s="4"/>
      <c r="B593" s="4"/>
      <c r="C593" s="4"/>
      <c r="D593" s="4"/>
      <c r="E593" s="4"/>
      <c r="F593" s="4"/>
      <c r="G593" s="29"/>
      <c r="H593" s="28"/>
      <c r="I593" s="28"/>
      <c r="J593" s="70">
        <f t="shared" ref="J593:O593" si="62">J$264</f>
        <v>2018</v>
      </c>
      <c r="K593" s="10">
        <f t="shared" si="62"/>
        <v>2019</v>
      </c>
      <c r="L593" s="10">
        <f t="shared" si="62"/>
        <v>2020</v>
      </c>
      <c r="M593" s="10">
        <f t="shared" si="62"/>
        <v>2021</v>
      </c>
      <c r="N593" s="10">
        <f t="shared" si="62"/>
        <v>2022</v>
      </c>
      <c r="O593" s="10">
        <f t="shared" si="62"/>
        <v>2023</v>
      </c>
    </row>
    <row r="594" spans="1:15" ht="6" customHeight="1">
      <c r="A594" s="4"/>
      <c r="B594" s="4"/>
      <c r="C594" s="4"/>
      <c r="D594" s="4"/>
      <c r="E594" s="4"/>
      <c r="F594" s="16"/>
      <c r="G594" s="4"/>
      <c r="H594" s="4"/>
      <c r="I594" s="4"/>
      <c r="J594" s="4"/>
      <c r="K594" s="4"/>
      <c r="L594" s="4"/>
      <c r="M594" s="4"/>
      <c r="N594" s="4"/>
      <c r="O594" s="4"/>
    </row>
    <row r="595" spans="1:15">
      <c r="A595" s="4"/>
      <c r="B595" s="84" t="s">
        <v>83</v>
      </c>
      <c r="C595" s="82"/>
      <c r="D595" s="82"/>
      <c r="E595" s="82"/>
      <c r="F595" s="83"/>
      <c r="G595" s="82"/>
      <c r="H595" s="82"/>
      <c r="I595" s="82"/>
      <c r="J595" s="82"/>
      <c r="K595" s="81">
        <f>I252</f>
        <v>7.4999999999999997E-3</v>
      </c>
      <c r="L595" s="81">
        <f>J252</f>
        <v>7.4999999999999997E-3</v>
      </c>
      <c r="M595" s="81">
        <f>K252</f>
        <v>7.4999999999999997E-3</v>
      </c>
      <c r="N595" s="81">
        <f>L252</f>
        <v>0.01</v>
      </c>
      <c r="O595" s="80">
        <f>M252</f>
        <v>0.01</v>
      </c>
    </row>
    <row r="596" spans="1:15">
      <c r="A596" s="4"/>
      <c r="B596" s="79" t="s">
        <v>2</v>
      </c>
      <c r="C596" s="17"/>
      <c r="D596" s="17"/>
      <c r="E596" s="17"/>
      <c r="F596" s="18"/>
      <c r="G596" s="17"/>
      <c r="H596" s="17"/>
      <c r="I596" s="17"/>
      <c r="J596" s="26">
        <f t="shared" ref="J596:O596" si="63">(J613+J625+J648+J658+J690)/J367</f>
        <v>6</v>
      </c>
      <c r="K596" s="26">
        <f t="shared" si="63"/>
        <v>6.3067999374276038</v>
      </c>
      <c r="L596" s="26">
        <f t="shared" si="63"/>
        <v>5.2524868467075434</v>
      </c>
      <c r="M596" s="26">
        <f t="shared" si="63"/>
        <v>4.1820730089778753</v>
      </c>
      <c r="N596" s="26">
        <f t="shared" si="63"/>
        <v>3.4736664598073257</v>
      </c>
      <c r="O596" s="78">
        <f t="shared" si="63"/>
        <v>2.7764464643422087</v>
      </c>
    </row>
    <row r="597" spans="1:15" ht="12.75" customHeight="1">
      <c r="A597" s="4"/>
      <c r="B597" s="4"/>
      <c r="C597" s="4"/>
      <c r="D597" s="4"/>
      <c r="E597" s="4"/>
      <c r="F597" s="16"/>
      <c r="G597" s="4"/>
      <c r="H597" s="4"/>
      <c r="I597" s="4"/>
      <c r="J597" s="4"/>
      <c r="K597" s="4"/>
      <c r="L597" s="4"/>
      <c r="M597" s="4"/>
      <c r="N597" s="4"/>
      <c r="O597" s="4"/>
    </row>
    <row r="598" spans="1:15" ht="12.75" customHeight="1">
      <c r="A598" s="4"/>
      <c r="B598" s="4"/>
      <c r="C598" s="65" t="s">
        <v>43</v>
      </c>
      <c r="D598" s="4"/>
      <c r="E598" s="4"/>
      <c r="F598" s="16"/>
      <c r="G598" s="4"/>
      <c r="H598" s="4"/>
      <c r="I598" s="4"/>
      <c r="J598" s="4"/>
      <c r="K598" s="4"/>
      <c r="L598" s="4"/>
      <c r="M598" s="4"/>
      <c r="N598" s="4"/>
      <c r="O598" s="4"/>
    </row>
    <row r="599" spans="1:15">
      <c r="A599" s="4"/>
      <c r="B599" s="4"/>
      <c r="C599" s="4"/>
      <c r="D599" s="4" t="s">
        <v>51</v>
      </c>
      <c r="E599" s="4"/>
      <c r="F599" s="16"/>
      <c r="G599" s="4"/>
      <c r="H599" s="4"/>
      <c r="I599" s="4"/>
      <c r="J599" s="4"/>
      <c r="K599" s="24">
        <f>J601</f>
        <v>0</v>
      </c>
      <c r="L599" s="24">
        <f>K601</f>
        <v>16</v>
      </c>
      <c r="M599" s="24">
        <f>L601</f>
        <v>64.011538348517149</v>
      </c>
      <c r="N599" s="24">
        <f>M601</f>
        <v>145.15361534043814</v>
      </c>
      <c r="O599" s="24">
        <f>N601</f>
        <v>233.13773791815058</v>
      </c>
    </row>
    <row r="600" spans="1:15">
      <c r="A600" s="4"/>
      <c r="B600" s="4"/>
      <c r="C600" s="4"/>
      <c r="D600" s="4" t="s">
        <v>97</v>
      </c>
      <c r="E600" s="4"/>
      <c r="F600" s="16"/>
      <c r="G600" s="4"/>
      <c r="H600" s="4"/>
      <c r="I600" s="4"/>
      <c r="J600" s="2"/>
      <c r="K600" s="49">
        <f>K431</f>
        <v>16</v>
      </c>
      <c r="L600" s="49">
        <f>L431</f>
        <v>48.011538348517149</v>
      </c>
      <c r="M600" s="49">
        <f>M431</f>
        <v>81.142076991920987</v>
      </c>
      <c r="N600" s="49">
        <f>N431</f>
        <v>87.984122577712441</v>
      </c>
      <c r="O600" s="49">
        <f>O431</f>
        <v>76.191978847470722</v>
      </c>
    </row>
    <row r="601" spans="1:15">
      <c r="A601" s="4"/>
      <c r="B601" s="4"/>
      <c r="C601" s="4"/>
      <c r="D601" s="4" t="s">
        <v>47</v>
      </c>
      <c r="E601" s="4"/>
      <c r="F601" s="16"/>
      <c r="G601" s="4"/>
      <c r="H601" s="4"/>
      <c r="I601" s="76"/>
      <c r="J601" s="27">
        <f>J447</f>
        <v>0</v>
      </c>
      <c r="K601" s="27">
        <f>SUM(K599:K600)</f>
        <v>16</v>
      </c>
      <c r="L601" s="27">
        <f>SUM(L599:L600)</f>
        <v>64.011538348517149</v>
      </c>
      <c r="M601" s="27">
        <f>SUM(M599:M600)</f>
        <v>145.15361534043814</v>
      </c>
      <c r="N601" s="27">
        <f>SUM(N599:N600)</f>
        <v>233.13773791815058</v>
      </c>
      <c r="O601" s="27">
        <f>SUM(O599:O600)</f>
        <v>309.3297167656213</v>
      </c>
    </row>
    <row r="602" spans="1:15" ht="6" customHeight="1">
      <c r="A602" s="4"/>
      <c r="B602" s="4"/>
      <c r="C602" s="4"/>
      <c r="D602" s="4"/>
      <c r="E602" s="4"/>
      <c r="F602" s="16"/>
      <c r="G602" s="4"/>
      <c r="H602" s="4"/>
      <c r="I602" s="4"/>
      <c r="J602" s="4"/>
      <c r="K602" s="4"/>
      <c r="L602" s="4"/>
      <c r="M602" s="4"/>
      <c r="N602" s="4"/>
      <c r="O602" s="4"/>
    </row>
    <row r="603" spans="1:15">
      <c r="A603" s="4"/>
      <c r="B603" s="4"/>
      <c r="C603" s="4"/>
      <c r="D603" s="4" t="s">
        <v>74</v>
      </c>
      <c r="E603" s="4"/>
      <c r="F603" s="16"/>
      <c r="G603" s="4"/>
      <c r="H603" s="4"/>
      <c r="I603" s="4"/>
      <c r="J603" s="4"/>
      <c r="K603" s="75">
        <f>-$I$43</f>
        <v>-5.0000000000000001E-3</v>
      </c>
      <c r="L603" s="75">
        <f>-$I$43</f>
        <v>-5.0000000000000001E-3</v>
      </c>
      <c r="M603" s="75">
        <f>-$I$43</f>
        <v>-5.0000000000000001E-3</v>
      </c>
      <c r="N603" s="75">
        <f>-$I$43</f>
        <v>-5.0000000000000001E-3</v>
      </c>
      <c r="O603" s="75">
        <f>-$I$43</f>
        <v>-5.0000000000000001E-3</v>
      </c>
    </row>
    <row r="604" spans="1:15">
      <c r="A604" s="4"/>
      <c r="B604" s="4"/>
      <c r="C604" s="4"/>
      <c r="D604" s="4" t="str">
        <f>CONCATENATE("Interest Rate (LIBOR minus ",I43*10000," bp)")</f>
        <v>Interest Rate (LIBOR minus 50 bp)</v>
      </c>
      <c r="E604" s="4"/>
      <c r="F604" s="16"/>
      <c r="G604" s="4"/>
      <c r="H604" s="4"/>
      <c r="I604" s="4"/>
      <c r="J604" s="4"/>
      <c r="K604" s="85">
        <f>K595+K603</f>
        <v>2.4999999999999996E-3</v>
      </c>
      <c r="L604" s="85">
        <f>L595+L603</f>
        <v>2.4999999999999996E-3</v>
      </c>
      <c r="M604" s="85">
        <f>M595+M603</f>
        <v>2.4999999999999996E-3</v>
      </c>
      <c r="N604" s="85">
        <f>N595+N603</f>
        <v>5.0000000000000001E-3</v>
      </c>
      <c r="O604" s="85">
        <f>O595+O603</f>
        <v>5.0000000000000001E-3</v>
      </c>
    </row>
    <row r="605" spans="1:15">
      <c r="A605" s="4"/>
      <c r="B605" s="4"/>
      <c r="C605" s="4"/>
      <c r="D605" s="65" t="s">
        <v>96</v>
      </c>
      <c r="E605" s="4"/>
      <c r="F605" s="16"/>
      <c r="G605" s="4"/>
      <c r="H605" s="4"/>
      <c r="I605" s="4"/>
      <c r="J605" s="4"/>
      <c r="K605" s="67">
        <f>J601*K604</f>
        <v>0</v>
      </c>
      <c r="L605" s="67">
        <f>K601*L604</f>
        <v>3.9999999999999994E-2</v>
      </c>
      <c r="M605" s="67">
        <f>L601*M604</f>
        <v>0.16002884587129285</v>
      </c>
      <c r="N605" s="67">
        <f>M601*N604</f>
        <v>0.72576807670219068</v>
      </c>
      <c r="O605" s="67">
        <f>N601*O604</f>
        <v>1.165688689590753</v>
      </c>
    </row>
    <row r="606" spans="1:15" ht="12.75" customHeight="1">
      <c r="A606" s="4"/>
      <c r="B606" s="4"/>
      <c r="C606" s="4"/>
      <c r="D606" s="4"/>
      <c r="E606" s="4"/>
      <c r="F606" s="16"/>
      <c r="G606" s="4"/>
      <c r="H606" s="4"/>
      <c r="I606" s="4"/>
      <c r="J606" s="4"/>
      <c r="K606" s="4"/>
      <c r="L606" s="4"/>
      <c r="M606" s="4"/>
      <c r="N606" s="4"/>
      <c r="O606" s="4"/>
    </row>
    <row r="607" spans="1:15" ht="12.75" customHeight="1">
      <c r="A607" s="4"/>
      <c r="B607" s="4"/>
      <c r="C607" s="4"/>
      <c r="D607" s="4"/>
      <c r="E607" s="4"/>
      <c r="F607" s="16"/>
      <c r="G607" s="4"/>
      <c r="H607" s="4"/>
      <c r="I607" s="4"/>
      <c r="J607" s="4"/>
      <c r="K607" s="4"/>
      <c r="L607" s="4"/>
      <c r="M607" s="4"/>
      <c r="N607" s="4"/>
      <c r="O607" s="4"/>
    </row>
    <row r="608" spans="1:15">
      <c r="A608" s="4"/>
      <c r="B608" s="4"/>
      <c r="C608" s="65" t="s">
        <v>95</v>
      </c>
      <c r="D608" s="4"/>
      <c r="E608" s="4"/>
      <c r="F608" s="16"/>
      <c r="G608" s="4"/>
      <c r="H608" s="4"/>
      <c r="I608" s="4"/>
      <c r="J608" s="4"/>
      <c r="K608" s="4"/>
      <c r="L608" s="4"/>
      <c r="M608" s="4"/>
      <c r="N608" s="4"/>
      <c r="O608" s="4"/>
    </row>
    <row r="609" spans="1:15">
      <c r="A609" s="4"/>
      <c r="B609" s="4"/>
      <c r="C609" s="65"/>
      <c r="D609" s="4" t="s">
        <v>93</v>
      </c>
      <c r="E609" s="4"/>
      <c r="F609" s="16"/>
      <c r="G609" s="4"/>
      <c r="H609" s="4"/>
      <c r="I609" s="4"/>
      <c r="J609" s="4"/>
      <c r="K609" s="68">
        <f>E185</f>
        <v>7.4999999999999997E-2</v>
      </c>
      <c r="L609" s="68">
        <f>F185</f>
        <v>0.15</v>
      </c>
      <c r="M609" s="68">
        <f>G185</f>
        <v>0.15</v>
      </c>
      <c r="N609" s="68">
        <f>H185</f>
        <v>0.25</v>
      </c>
      <c r="O609" s="68">
        <f>I185</f>
        <v>0.375</v>
      </c>
    </row>
    <row r="610" spans="1:15" ht="6" customHeight="1">
      <c r="A610" s="4"/>
      <c r="B610" s="4"/>
      <c r="C610" s="65"/>
      <c r="D610" s="4"/>
      <c r="E610" s="4"/>
      <c r="F610" s="16"/>
      <c r="G610" s="4"/>
      <c r="H610" s="4"/>
      <c r="I610" s="4"/>
      <c r="J610" s="4"/>
      <c r="K610" s="4"/>
      <c r="L610" s="4"/>
      <c r="M610" s="4"/>
      <c r="N610" s="4"/>
      <c r="O610" s="4"/>
    </row>
    <row r="611" spans="1:15">
      <c r="A611" s="4"/>
      <c r="B611" s="4"/>
      <c r="C611" s="4"/>
      <c r="D611" s="4" t="s">
        <v>51</v>
      </c>
      <c r="E611" s="4"/>
      <c r="F611" s="16"/>
      <c r="G611" s="4"/>
      <c r="H611" s="4"/>
      <c r="I611" s="4"/>
      <c r="J611" s="4"/>
      <c r="K611" s="24">
        <f>J613</f>
        <v>237.29109044444436</v>
      </c>
      <c r="L611" s="24">
        <f>K613</f>
        <v>219.49425866111105</v>
      </c>
      <c r="M611" s="24">
        <f>L613</f>
        <v>186.57011986194439</v>
      </c>
      <c r="N611" s="24">
        <f>M613</f>
        <v>158.58460188265275</v>
      </c>
      <c r="O611" s="24">
        <f>N613</f>
        <v>118.93845141198956</v>
      </c>
    </row>
    <row r="612" spans="1:15">
      <c r="A612" s="4"/>
      <c r="B612" s="4"/>
      <c r="C612" s="4"/>
      <c r="D612" s="4" t="s">
        <v>76</v>
      </c>
      <c r="E612" s="4"/>
      <c r="F612" s="16"/>
      <c r="G612" s="4"/>
      <c r="H612" s="4"/>
      <c r="I612" s="4"/>
      <c r="J612" s="2"/>
      <c r="K612" s="49">
        <f>-K609*K611</f>
        <v>-17.796831783333328</v>
      </c>
      <c r="L612" s="49">
        <f>-L609*L611</f>
        <v>-32.924138799166656</v>
      </c>
      <c r="M612" s="49">
        <f>-M609*M611</f>
        <v>-27.985517979291657</v>
      </c>
      <c r="N612" s="49">
        <f>-N609*N611</f>
        <v>-39.646150470663187</v>
      </c>
      <c r="O612" s="49">
        <f>-O609*O611</f>
        <v>-44.601919279496087</v>
      </c>
    </row>
    <row r="613" spans="1:15">
      <c r="A613" s="4"/>
      <c r="B613" s="4"/>
      <c r="C613" s="4"/>
      <c r="D613" s="4" t="s">
        <v>47</v>
      </c>
      <c r="E613" s="4"/>
      <c r="F613" s="16"/>
      <c r="G613" s="4"/>
      <c r="H613" s="4"/>
      <c r="I613" s="76"/>
      <c r="J613" s="27">
        <f>F45</f>
        <v>237.29109044444436</v>
      </c>
      <c r="K613" s="27">
        <f>SUM(K611:K612)</f>
        <v>219.49425866111105</v>
      </c>
      <c r="L613" s="27">
        <f>SUM(L611:L612)</f>
        <v>186.57011986194439</v>
      </c>
      <c r="M613" s="27">
        <f>SUM(M611:M612)</f>
        <v>158.58460188265275</v>
      </c>
      <c r="N613" s="27">
        <f>SUM(N611:N612)</f>
        <v>118.93845141198956</v>
      </c>
      <c r="O613" s="27">
        <f>SUM(O611:O612)</f>
        <v>74.336532132493474</v>
      </c>
    </row>
    <row r="614" spans="1:15" ht="6" customHeight="1">
      <c r="A614" s="4"/>
      <c r="B614" s="4"/>
      <c r="C614" s="4"/>
      <c r="D614" s="4"/>
      <c r="E614" s="4"/>
      <c r="F614" s="16"/>
      <c r="G614" s="4"/>
      <c r="H614" s="4"/>
      <c r="I614" s="4"/>
      <c r="J614" s="4"/>
      <c r="K614" s="4"/>
      <c r="L614" s="4"/>
      <c r="M614" s="4"/>
      <c r="N614" s="4"/>
      <c r="O614" s="4"/>
    </row>
    <row r="615" spans="1:15">
      <c r="A615" s="4"/>
      <c r="B615" s="4"/>
      <c r="C615" s="4"/>
      <c r="D615" s="4" t="s">
        <v>74</v>
      </c>
      <c r="E615" s="4"/>
      <c r="F615" s="16"/>
      <c r="G615" s="4"/>
      <c r="H615" s="4"/>
      <c r="I615" s="4"/>
      <c r="J615" s="4"/>
      <c r="K615" s="694">
        <f xml:space="preserve"> _xlfn.XLOOKUP( J596, $K$166:$K$172,$O$166:$O$172,,-1 )</f>
        <v>3.2500000000000001E-2</v>
      </c>
      <c r="L615" s="694">
        <f t="shared" ref="L615:O615" si="64" xml:space="preserve"> _xlfn.XLOOKUP( K596, $K$166:$K$172,$O$166:$O$172,,-1 )</f>
        <v>3.2500000000000001E-2</v>
      </c>
      <c r="M615" s="694">
        <f t="shared" si="64"/>
        <v>3.2500000000000001E-2</v>
      </c>
      <c r="N615" s="694">
        <f t="shared" si="64"/>
        <v>2.75E-2</v>
      </c>
      <c r="O615" s="694">
        <f t="shared" si="64"/>
        <v>2.5000000000000001E-2</v>
      </c>
    </row>
    <row r="616" spans="1:15">
      <c r="A616" s="4"/>
      <c r="B616" s="4"/>
      <c r="C616" s="4"/>
      <c r="D616" s="4" t="s">
        <v>73</v>
      </c>
      <c r="E616" s="4"/>
      <c r="F616" s="16"/>
      <c r="G616" s="4"/>
      <c r="H616" s="4"/>
      <c r="I616" s="4"/>
      <c r="J616" s="4"/>
      <c r="K616" s="75">
        <f>K615+K$595</f>
        <v>0.04</v>
      </c>
      <c r="L616" s="75">
        <f>L615+L$595</f>
        <v>0.04</v>
      </c>
      <c r="M616" s="75">
        <f>M615+M$595</f>
        <v>0.04</v>
      </c>
      <c r="N616" s="75">
        <f>N615+N$595</f>
        <v>3.7499999999999999E-2</v>
      </c>
      <c r="O616" s="75">
        <f>O615+O$595</f>
        <v>3.5000000000000003E-2</v>
      </c>
    </row>
    <row r="617" spans="1:15">
      <c r="A617" s="4"/>
      <c r="B617" s="4"/>
      <c r="C617" s="4"/>
      <c r="D617" s="65" t="s">
        <v>72</v>
      </c>
      <c r="E617" s="4"/>
      <c r="F617" s="16"/>
      <c r="G617" s="4"/>
      <c r="H617" s="4"/>
      <c r="I617" s="4"/>
      <c r="J617" s="4"/>
      <c r="K617" s="693">
        <f>K616*J613</f>
        <v>9.4916436177777754</v>
      </c>
      <c r="L617" s="693">
        <f>L616*K613</f>
        <v>8.7797703464444421</v>
      </c>
      <c r="M617" s="693">
        <f>M616*L613</f>
        <v>7.4628047944777762</v>
      </c>
      <c r="N617" s="693">
        <f>N616*M613</f>
        <v>5.9469225705994777</v>
      </c>
      <c r="O617" s="693">
        <f>O616*N613</f>
        <v>4.1628457994196353</v>
      </c>
    </row>
    <row r="618" spans="1:15" ht="12.75" customHeight="1">
      <c r="A618" s="4"/>
      <c r="B618" s="4"/>
      <c r="C618" s="4"/>
      <c r="D618" s="4"/>
      <c r="E618" s="4"/>
      <c r="F618" s="16"/>
      <c r="G618" s="4"/>
      <c r="H618" s="4"/>
      <c r="I618" s="4"/>
      <c r="J618" s="4"/>
      <c r="K618" s="4"/>
      <c r="L618" s="4"/>
      <c r="M618" s="4"/>
      <c r="N618" s="4"/>
      <c r="O618" s="4"/>
    </row>
    <row r="619" spans="1:15" ht="12.75" customHeight="1">
      <c r="A619" s="4"/>
      <c r="B619" s="4"/>
      <c r="C619" s="4"/>
      <c r="D619" s="4"/>
      <c r="E619" s="4"/>
      <c r="F619" s="16"/>
      <c r="G619" s="4"/>
      <c r="H619" s="4"/>
      <c r="I619" s="4"/>
      <c r="J619" s="4"/>
      <c r="K619" s="4"/>
      <c r="L619" s="4"/>
      <c r="M619" s="4"/>
      <c r="N619" s="4"/>
      <c r="O619" s="4"/>
    </row>
    <row r="620" spans="1:15">
      <c r="A620" s="4"/>
      <c r="B620" s="4"/>
      <c r="C620" s="65" t="s">
        <v>94</v>
      </c>
      <c r="D620" s="4"/>
      <c r="E620" s="4"/>
      <c r="F620" s="16"/>
      <c r="G620" s="4"/>
      <c r="H620" s="4"/>
      <c r="I620" s="4"/>
      <c r="J620" s="4"/>
      <c r="K620" s="4"/>
      <c r="L620" s="4"/>
      <c r="M620" s="4"/>
      <c r="N620" s="4"/>
      <c r="O620" s="4"/>
    </row>
    <row r="621" spans="1:15">
      <c r="A621" s="4"/>
      <c r="B621" s="4"/>
      <c r="C621" s="65"/>
      <c r="D621" s="4" t="s">
        <v>93</v>
      </c>
      <c r="E621" s="4"/>
      <c r="F621" s="16"/>
      <c r="G621" s="4"/>
      <c r="H621" s="4"/>
      <c r="I621" s="4"/>
      <c r="J621" s="4"/>
      <c r="K621" s="68">
        <f>E186</f>
        <v>0.01</v>
      </c>
      <c r="L621" s="68">
        <f>F186</f>
        <v>0.01</v>
      </c>
      <c r="M621" s="68">
        <f>G186</f>
        <v>0.01</v>
      </c>
      <c r="N621" s="68">
        <f>H186</f>
        <v>0.01</v>
      </c>
      <c r="O621" s="68">
        <f>I186</f>
        <v>0.01</v>
      </c>
    </row>
    <row r="622" spans="1:15" ht="6" customHeight="1">
      <c r="A622" s="4"/>
      <c r="B622" s="4"/>
      <c r="C622" s="65"/>
      <c r="D622" s="4"/>
      <c r="E622" s="4"/>
      <c r="F622" s="16"/>
      <c r="G622" s="4"/>
      <c r="H622" s="4"/>
      <c r="I622" s="4"/>
      <c r="J622" s="4"/>
      <c r="K622" s="4"/>
      <c r="L622" s="4"/>
      <c r="M622" s="4"/>
      <c r="N622" s="4"/>
      <c r="O622" s="4"/>
    </row>
    <row r="623" spans="1:15">
      <c r="A623" s="4"/>
      <c r="B623" s="4"/>
      <c r="C623" s="4"/>
      <c r="D623" s="4" t="s">
        <v>51</v>
      </c>
      <c r="E623" s="4"/>
      <c r="F623" s="16"/>
      <c r="G623" s="4"/>
      <c r="H623" s="4"/>
      <c r="I623" s="4"/>
      <c r="J623" s="4"/>
      <c r="K623" s="24">
        <f>J625</f>
        <v>197.7425753703703</v>
      </c>
      <c r="L623" s="24">
        <f>K625</f>
        <v>195.7651496166666</v>
      </c>
      <c r="M623" s="24">
        <f>L625</f>
        <v>193.78772386296291</v>
      </c>
      <c r="N623" s="24">
        <f>M625</f>
        <v>191.81029810925921</v>
      </c>
      <c r="O623" s="24">
        <f>N625</f>
        <v>189.83287235555551</v>
      </c>
    </row>
    <row r="624" spans="1:15">
      <c r="A624" s="4"/>
      <c r="B624" s="4"/>
      <c r="C624" s="4"/>
      <c r="D624" s="4" t="s">
        <v>76</v>
      </c>
      <c r="E624" s="4"/>
      <c r="F624" s="16"/>
      <c r="G624" s="4"/>
      <c r="H624" s="4"/>
      <c r="I624" s="4"/>
      <c r="J624" s="2"/>
      <c r="K624" s="691">
        <f>-K621*$J$625</f>
        <v>-1.977425753703703</v>
      </c>
      <c r="L624" s="691">
        <f t="shared" ref="L624:O624" si="65">-L621*$J$625</f>
        <v>-1.977425753703703</v>
      </c>
      <c r="M624" s="691">
        <f t="shared" si="65"/>
        <v>-1.977425753703703</v>
      </c>
      <c r="N624" s="691">
        <f t="shared" si="65"/>
        <v>-1.977425753703703</v>
      </c>
      <c r="O624" s="691">
        <f t="shared" si="65"/>
        <v>-1.977425753703703</v>
      </c>
    </row>
    <row r="625" spans="1:15">
      <c r="A625" s="4"/>
      <c r="B625" s="4"/>
      <c r="C625" s="4"/>
      <c r="D625" s="4" t="s">
        <v>47</v>
      </c>
      <c r="E625" s="4"/>
      <c r="F625" s="16"/>
      <c r="G625" s="4"/>
      <c r="H625" s="4"/>
      <c r="I625" s="76"/>
      <c r="J625" s="27">
        <f>F46</f>
        <v>197.7425753703703</v>
      </c>
      <c r="K625" s="27">
        <f>SUM(K623:K624)</f>
        <v>195.7651496166666</v>
      </c>
      <c r="L625" s="27">
        <f>SUM(L623:L624)</f>
        <v>193.78772386296291</v>
      </c>
      <c r="M625" s="27">
        <f>SUM(M623:M624)</f>
        <v>191.81029810925921</v>
      </c>
      <c r="N625" s="27">
        <f>SUM(N623:N624)</f>
        <v>189.83287235555551</v>
      </c>
      <c r="O625" s="27">
        <f>SUM(O623:O624)</f>
        <v>187.85544660185181</v>
      </c>
    </row>
    <row r="626" spans="1:15" ht="6" customHeight="1">
      <c r="A626" s="4"/>
      <c r="B626" s="4"/>
      <c r="C626" s="4"/>
      <c r="D626" s="4"/>
      <c r="E626" s="4"/>
      <c r="F626" s="16"/>
      <c r="G626" s="4"/>
      <c r="H626" s="4"/>
      <c r="I626" s="4"/>
      <c r="J626" s="4"/>
      <c r="K626" s="4"/>
      <c r="L626" s="4"/>
      <c r="M626" s="4"/>
      <c r="N626" s="4"/>
      <c r="O626" s="4"/>
    </row>
    <row r="627" spans="1:15">
      <c r="A627" s="4"/>
      <c r="B627" s="4"/>
      <c r="C627" s="4"/>
      <c r="D627" s="4" t="s">
        <v>74</v>
      </c>
      <c r="E627" s="4"/>
      <c r="F627" s="16"/>
      <c r="G627" s="4"/>
      <c r="H627" s="4"/>
      <c r="I627" s="4"/>
      <c r="J627" s="4"/>
      <c r="K627" s="75">
        <f>K615</f>
        <v>3.2500000000000001E-2</v>
      </c>
      <c r="L627" s="75">
        <f>L615</f>
        <v>3.2500000000000001E-2</v>
      </c>
      <c r="M627" s="75">
        <f>M615</f>
        <v>3.2500000000000001E-2</v>
      </c>
      <c r="N627" s="75">
        <f>N615</f>
        <v>2.75E-2</v>
      </c>
      <c r="O627" s="75">
        <f>O615</f>
        <v>2.5000000000000001E-2</v>
      </c>
    </row>
    <row r="628" spans="1:15">
      <c r="A628" s="4"/>
      <c r="B628" s="4"/>
      <c r="C628" s="4"/>
      <c r="D628" s="4" t="s">
        <v>73</v>
      </c>
      <c r="E628" s="4"/>
      <c r="F628" s="16"/>
      <c r="G628" s="4"/>
      <c r="H628" s="4"/>
      <c r="I628" s="4"/>
      <c r="J628" s="4"/>
      <c r="K628" s="75">
        <f>K627+K$595</f>
        <v>0.04</v>
      </c>
      <c r="L628" s="75">
        <f>L627+L$595</f>
        <v>0.04</v>
      </c>
      <c r="M628" s="75">
        <f>M627+M$595</f>
        <v>0.04</v>
      </c>
      <c r="N628" s="75">
        <f>N627+N$595</f>
        <v>3.7499999999999999E-2</v>
      </c>
      <c r="O628" s="75">
        <f>O627+O$595</f>
        <v>3.5000000000000003E-2</v>
      </c>
    </row>
    <row r="629" spans="1:15">
      <c r="A629" s="4"/>
      <c r="B629" s="4"/>
      <c r="C629" s="4"/>
      <c r="D629" s="65" t="s">
        <v>72</v>
      </c>
      <c r="E629" s="4"/>
      <c r="F629" s="16"/>
      <c r="G629" s="4"/>
      <c r="H629" s="4"/>
      <c r="I629" s="4"/>
      <c r="J629" s="4"/>
      <c r="K629" s="67">
        <f>K628*J625</f>
        <v>7.909703014814812</v>
      </c>
      <c r="L629" s="67">
        <f>L628*K625</f>
        <v>7.830605984666664</v>
      </c>
      <c r="M629" s="67">
        <f>M628*L625</f>
        <v>7.7515089545185161</v>
      </c>
      <c r="N629" s="67">
        <f>N628*M625</f>
        <v>7.1928861790972203</v>
      </c>
      <c r="O629" s="67">
        <f>O628*N625</f>
        <v>6.6441505324444439</v>
      </c>
    </row>
    <row r="630" spans="1:15">
      <c r="A630" s="4"/>
      <c r="B630" s="4"/>
      <c r="C630" s="4"/>
      <c r="D630" s="4"/>
      <c r="E630" s="4"/>
      <c r="F630" s="16"/>
      <c r="G630" s="4"/>
      <c r="H630" s="4"/>
      <c r="I630" s="4"/>
      <c r="J630" s="4"/>
      <c r="K630" s="4"/>
      <c r="L630" s="4"/>
      <c r="M630" s="4"/>
      <c r="N630" s="4"/>
      <c r="O630" s="4"/>
    </row>
    <row r="631" spans="1:15">
      <c r="A631" s="4"/>
      <c r="B631" s="2"/>
      <c r="C631" s="2"/>
      <c r="D631" s="2"/>
      <c r="E631" s="2"/>
      <c r="F631" s="3"/>
      <c r="G631" s="2"/>
      <c r="H631" s="2"/>
      <c r="I631" s="2"/>
      <c r="J631" s="2"/>
      <c r="K631" s="2"/>
      <c r="L631" s="2"/>
      <c r="M631" s="2"/>
      <c r="N631" s="2"/>
      <c r="O631" s="2"/>
    </row>
    <row r="632" spans="1:15">
      <c r="A632" s="4"/>
      <c r="B632" s="4"/>
      <c r="C632" s="4"/>
      <c r="D632" s="4"/>
      <c r="E632" s="4"/>
      <c r="F632" s="16"/>
      <c r="G632" s="4"/>
      <c r="H632" s="4"/>
      <c r="I632" s="4"/>
      <c r="J632" s="4"/>
      <c r="K632" s="4"/>
      <c r="L632" s="4"/>
      <c r="M632" s="4"/>
      <c r="N632" s="4"/>
      <c r="O632" s="4"/>
    </row>
    <row r="633" spans="1:15">
      <c r="A633" s="4"/>
      <c r="B633" s="4"/>
      <c r="C633" s="4"/>
      <c r="D633" s="4"/>
      <c r="E633" s="4"/>
      <c r="F633" s="16"/>
      <c r="G633" s="4"/>
      <c r="H633" s="4"/>
      <c r="I633" s="4"/>
      <c r="J633" s="4"/>
      <c r="K633" s="4"/>
      <c r="L633" s="4"/>
      <c r="M633" s="4"/>
      <c r="N633" s="4"/>
      <c r="O633" s="4"/>
    </row>
    <row r="634" spans="1:15" ht="12.75" customHeight="1">
      <c r="A634" s="4"/>
      <c r="B634" s="35"/>
      <c r="C634" s="20"/>
      <c r="D634" s="20"/>
      <c r="E634" s="20"/>
      <c r="F634" s="20"/>
      <c r="G634" s="20"/>
      <c r="H634" s="20"/>
      <c r="I634" s="20"/>
      <c r="J634" s="20"/>
      <c r="K634" s="20"/>
      <c r="L634" s="20"/>
      <c r="M634" s="20"/>
      <c r="N634" s="20"/>
      <c r="O634" s="36" t="str">
        <f>$O$258</f>
        <v>CURRENTLY RUNNING: BASE CASE SCENARIO</v>
      </c>
    </row>
    <row r="635" spans="1:15" ht="22.8" customHeight="1">
      <c r="A635" s="4"/>
      <c r="B635" s="35" t="str">
        <f>$B$26</f>
        <v>Lingoren Corp.</v>
      </c>
      <c r="C635" s="20"/>
      <c r="D635" s="20"/>
      <c r="E635" s="20"/>
      <c r="F635" s="20"/>
      <c r="G635" s="20"/>
      <c r="H635" s="20"/>
      <c r="I635" s="20"/>
      <c r="J635" s="20"/>
      <c r="K635" s="20"/>
      <c r="L635" s="20"/>
      <c r="M635" s="20"/>
      <c r="N635" s="20"/>
      <c r="O635" s="20"/>
    </row>
    <row r="636" spans="1:15" ht="18.75" customHeight="1">
      <c r="A636" s="4"/>
      <c r="B636" s="34" t="s">
        <v>92</v>
      </c>
      <c r="C636" s="20"/>
      <c r="D636" s="20"/>
      <c r="E636" s="20"/>
      <c r="F636" s="20"/>
      <c r="G636" s="20"/>
      <c r="H636" s="20"/>
      <c r="I636" s="20"/>
      <c r="J636" s="20"/>
      <c r="K636" s="20"/>
      <c r="L636" s="20"/>
      <c r="M636" s="20"/>
      <c r="N636" s="20"/>
      <c r="O636" s="20"/>
    </row>
    <row r="637" spans="1:15" ht="6" customHeight="1" thickBot="1">
      <c r="A637" s="4"/>
      <c r="B637" s="33"/>
      <c r="C637" s="32"/>
      <c r="D637" s="32"/>
      <c r="E637" s="32"/>
      <c r="F637" s="32"/>
      <c r="G637" s="32"/>
      <c r="H637" s="32"/>
      <c r="I637" s="32"/>
      <c r="J637" s="32"/>
      <c r="K637" s="32"/>
      <c r="L637" s="32"/>
      <c r="M637" s="32"/>
      <c r="N637" s="32"/>
      <c r="O637" s="32"/>
    </row>
    <row r="638" spans="1:15" ht="12.75" customHeight="1">
      <c r="A638" s="4"/>
      <c r="B638" s="31" t="s">
        <v>25</v>
      </c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30"/>
    </row>
    <row r="639" spans="1:15" ht="13.8">
      <c r="A639" s="4"/>
      <c r="B639" s="4"/>
      <c r="C639" s="4"/>
      <c r="D639" s="4"/>
      <c r="E639" s="4"/>
      <c r="F639" s="4"/>
      <c r="G639" s="4"/>
      <c r="H639" s="20"/>
      <c r="I639" s="20"/>
      <c r="J639" s="20"/>
      <c r="K639" s="14" t="s">
        <v>24</v>
      </c>
      <c r="L639" s="13"/>
      <c r="M639" s="13"/>
      <c r="N639" s="13"/>
      <c r="O639" s="13"/>
    </row>
    <row r="640" spans="1:15">
      <c r="A640" s="4"/>
      <c r="B640" s="4"/>
      <c r="C640" s="4"/>
      <c r="D640" s="4"/>
      <c r="E640" s="4"/>
      <c r="F640" s="4"/>
      <c r="G640" s="29"/>
      <c r="H640" s="28"/>
      <c r="I640" s="28"/>
      <c r="J640" s="70">
        <f t="shared" ref="J640:O640" si="66">J$264</f>
        <v>2018</v>
      </c>
      <c r="K640" s="10">
        <f t="shared" si="66"/>
        <v>2019</v>
      </c>
      <c r="L640" s="10">
        <f t="shared" si="66"/>
        <v>2020</v>
      </c>
      <c r="M640" s="10">
        <f t="shared" si="66"/>
        <v>2021</v>
      </c>
      <c r="N640" s="10">
        <f t="shared" si="66"/>
        <v>2022</v>
      </c>
      <c r="O640" s="10">
        <f t="shared" si="66"/>
        <v>2023</v>
      </c>
    </row>
    <row r="641" spans="1:15" ht="6" customHeight="1">
      <c r="A641" s="4"/>
      <c r="B641" s="4"/>
      <c r="C641" s="4"/>
      <c r="D641" s="4"/>
      <c r="E641" s="4"/>
      <c r="F641" s="16"/>
      <c r="G641" s="4"/>
      <c r="H641" s="4"/>
      <c r="I641" s="4"/>
      <c r="J641" s="4"/>
      <c r="K641" s="4"/>
      <c r="L641" s="4"/>
      <c r="M641" s="4"/>
      <c r="N641" s="4"/>
      <c r="O641" s="4"/>
    </row>
    <row r="642" spans="1:15">
      <c r="A642" s="4"/>
      <c r="B642" s="84" t="s">
        <v>83</v>
      </c>
      <c r="C642" s="82"/>
      <c r="D642" s="82"/>
      <c r="E642" s="82"/>
      <c r="F642" s="83"/>
      <c r="G642" s="82"/>
      <c r="H642" s="82"/>
      <c r="I642" s="82"/>
      <c r="J642" s="82"/>
      <c r="K642" s="81">
        <f t="shared" ref="K642:O643" si="67">K595</f>
        <v>7.4999999999999997E-3</v>
      </c>
      <c r="L642" s="81">
        <f t="shared" si="67"/>
        <v>7.4999999999999997E-3</v>
      </c>
      <c r="M642" s="81">
        <f t="shared" si="67"/>
        <v>7.4999999999999997E-3</v>
      </c>
      <c r="N642" s="81">
        <f t="shared" si="67"/>
        <v>0.01</v>
      </c>
      <c r="O642" s="80">
        <f t="shared" si="67"/>
        <v>0.01</v>
      </c>
    </row>
    <row r="643" spans="1:15">
      <c r="A643" s="4"/>
      <c r="B643" s="79" t="s">
        <v>2</v>
      </c>
      <c r="C643" s="17"/>
      <c r="D643" s="17"/>
      <c r="E643" s="17"/>
      <c r="F643" s="18"/>
      <c r="G643" s="17"/>
      <c r="H643" s="17"/>
      <c r="I643" s="17"/>
      <c r="J643" s="26">
        <f>J596</f>
        <v>6</v>
      </c>
      <c r="K643" s="26">
        <f t="shared" si="67"/>
        <v>6.3067999374276038</v>
      </c>
      <c r="L643" s="26">
        <f t="shared" si="67"/>
        <v>5.2524868467075434</v>
      </c>
      <c r="M643" s="26">
        <f t="shared" si="67"/>
        <v>4.1820730089778753</v>
      </c>
      <c r="N643" s="26">
        <f t="shared" si="67"/>
        <v>3.4736664598073257</v>
      </c>
      <c r="O643" s="78">
        <f t="shared" si="67"/>
        <v>2.7764464643422087</v>
      </c>
    </row>
    <row r="644" spans="1:15" ht="12.75" customHeight="1">
      <c r="A644" s="4"/>
      <c r="B644" s="4"/>
      <c r="C644" s="4"/>
      <c r="D644" s="4"/>
      <c r="E644" s="4"/>
      <c r="F644" s="16"/>
      <c r="G644" s="4"/>
      <c r="H644" s="4"/>
      <c r="I644" s="4"/>
      <c r="J644" s="4"/>
      <c r="K644" s="4"/>
      <c r="L644" s="4"/>
      <c r="M644" s="4"/>
      <c r="N644" s="4"/>
      <c r="O644" s="4"/>
    </row>
    <row r="645" spans="1:15" ht="12.75" customHeight="1">
      <c r="A645" s="4"/>
      <c r="B645" s="4"/>
      <c r="C645" s="65" t="s">
        <v>41</v>
      </c>
      <c r="D645" s="4"/>
      <c r="E645" s="4"/>
      <c r="F645" s="16"/>
      <c r="G645" s="4"/>
      <c r="H645" s="4"/>
      <c r="I645" s="4"/>
      <c r="J645" s="4"/>
      <c r="K645" s="4"/>
      <c r="L645" s="4"/>
      <c r="M645" s="4"/>
      <c r="N645" s="4"/>
      <c r="O645" s="4"/>
    </row>
    <row r="646" spans="1:15">
      <c r="A646" s="4"/>
      <c r="B646" s="4"/>
      <c r="C646" s="4"/>
      <c r="D646" s="4" t="s">
        <v>51</v>
      </c>
      <c r="E646" s="4"/>
      <c r="F646" s="16"/>
      <c r="G646" s="4"/>
      <c r="H646" s="4"/>
      <c r="I646" s="4"/>
      <c r="J646" s="4"/>
      <c r="K646" s="24">
        <f>J648</f>
        <v>237.29109044444436</v>
      </c>
      <c r="L646" s="24">
        <f>K648</f>
        <v>237.29109044444436</v>
      </c>
      <c r="M646" s="24">
        <f>L648</f>
        <v>237.29109044444436</v>
      </c>
      <c r="N646" s="24">
        <f>M648</f>
        <v>237.29109044444436</v>
      </c>
      <c r="O646" s="24">
        <f>N648</f>
        <v>237.29109044444436</v>
      </c>
    </row>
    <row r="647" spans="1:15">
      <c r="A647" s="4"/>
      <c r="B647" s="4"/>
      <c r="C647" s="4"/>
      <c r="D647" s="4" t="s">
        <v>76</v>
      </c>
      <c r="E647" s="4"/>
      <c r="F647" s="16"/>
      <c r="G647" s="4"/>
      <c r="H647" s="4"/>
      <c r="I647" s="4"/>
      <c r="J647" s="2"/>
      <c r="K647" s="49">
        <f>I190</f>
        <v>0</v>
      </c>
      <c r="L647" s="49">
        <f>K647</f>
        <v>0</v>
      </c>
      <c r="M647" s="49">
        <f>L647</f>
        <v>0</v>
      </c>
      <c r="N647" s="49">
        <f>M647</f>
        <v>0</v>
      </c>
      <c r="O647" s="49">
        <f>N647</f>
        <v>0</v>
      </c>
    </row>
    <row r="648" spans="1:15">
      <c r="A648" s="4"/>
      <c r="B648" s="4"/>
      <c r="C648" s="4"/>
      <c r="D648" s="4" t="s">
        <v>47</v>
      </c>
      <c r="E648" s="4"/>
      <c r="F648" s="16"/>
      <c r="G648" s="4"/>
      <c r="H648" s="4"/>
      <c r="I648" s="76"/>
      <c r="J648" s="27">
        <f>J468</f>
        <v>237.29109044444436</v>
      </c>
      <c r="K648" s="27">
        <f>SUM(K646:K647)</f>
        <v>237.29109044444436</v>
      </c>
      <c r="L648" s="27">
        <f>SUM(L646:L647)</f>
        <v>237.29109044444436</v>
      </c>
      <c r="M648" s="27">
        <f>SUM(M646:M647)</f>
        <v>237.29109044444436</v>
      </c>
      <c r="N648" s="27">
        <f>SUM(N646:N647)</f>
        <v>237.29109044444436</v>
      </c>
      <c r="O648" s="27">
        <f>SUM(O646:O647)</f>
        <v>237.29109044444436</v>
      </c>
    </row>
    <row r="649" spans="1:15" ht="6" customHeight="1">
      <c r="A649" s="4"/>
      <c r="B649" s="4"/>
      <c r="C649" s="4"/>
      <c r="D649" s="4"/>
      <c r="E649" s="4"/>
      <c r="F649" s="16"/>
      <c r="G649" s="4"/>
      <c r="H649" s="4"/>
      <c r="I649" s="4"/>
      <c r="J649" s="4"/>
      <c r="K649" s="4"/>
      <c r="L649" s="4"/>
      <c r="M649" s="4"/>
      <c r="N649" s="4"/>
      <c r="O649" s="4"/>
    </row>
    <row r="650" spans="1:15">
      <c r="A650" s="4"/>
      <c r="B650" s="4"/>
      <c r="C650" s="4"/>
      <c r="D650" s="4" t="s">
        <v>91</v>
      </c>
      <c r="E650" s="4"/>
      <c r="F650" s="16"/>
      <c r="G650" s="4"/>
      <c r="H650" s="4"/>
      <c r="I650" s="4"/>
      <c r="J650" s="4"/>
      <c r="K650" s="75">
        <f>I47</f>
        <v>5.5E-2</v>
      </c>
      <c r="L650" s="85">
        <f>K650</f>
        <v>5.5E-2</v>
      </c>
      <c r="M650" s="85">
        <f>L650</f>
        <v>5.5E-2</v>
      </c>
      <c r="N650" s="85">
        <f>M650</f>
        <v>5.5E-2</v>
      </c>
      <c r="O650" s="85">
        <f>N650</f>
        <v>5.5E-2</v>
      </c>
    </row>
    <row r="651" spans="1:15">
      <c r="A651" s="4"/>
      <c r="B651" s="4"/>
      <c r="C651" s="4"/>
      <c r="D651" s="65" t="s">
        <v>72</v>
      </c>
      <c r="E651" s="4"/>
      <c r="F651" s="16"/>
      <c r="G651" s="4"/>
      <c r="H651" s="4"/>
      <c r="I651" s="4"/>
      <c r="J651" s="4"/>
      <c r="K651" s="67">
        <f>K650*J648</f>
        <v>13.05100997444444</v>
      </c>
      <c r="L651" s="67">
        <f>L650*K648</f>
        <v>13.05100997444444</v>
      </c>
      <c r="M651" s="67">
        <f>M650*L648</f>
        <v>13.05100997444444</v>
      </c>
      <c r="N651" s="67">
        <f>N650*M648</f>
        <v>13.05100997444444</v>
      </c>
      <c r="O651" s="67">
        <f>O650*N648</f>
        <v>13.05100997444444</v>
      </c>
    </row>
    <row r="652" spans="1:15" ht="12.75" customHeight="1">
      <c r="A652" s="4"/>
      <c r="B652" s="4"/>
      <c r="C652" s="4"/>
      <c r="D652" s="4"/>
      <c r="E652" s="4"/>
      <c r="F652" s="16"/>
      <c r="G652" s="4"/>
      <c r="H652" s="4"/>
      <c r="I652" s="4"/>
      <c r="J652" s="4"/>
      <c r="K652" s="4"/>
      <c r="L652" s="4"/>
      <c r="M652" s="4"/>
      <c r="N652" s="4"/>
      <c r="O652" s="4"/>
    </row>
    <row r="653" spans="1:15" ht="12.75" customHeight="1">
      <c r="A653" s="4"/>
      <c r="B653" s="4"/>
      <c r="C653" s="4"/>
      <c r="D653" s="4"/>
      <c r="E653" s="4"/>
      <c r="F653" s="16"/>
      <c r="G653" s="4"/>
      <c r="H653" s="4"/>
      <c r="I653" s="4"/>
      <c r="J653" s="4"/>
      <c r="K653" s="4"/>
      <c r="L653" s="4"/>
      <c r="M653" s="4"/>
      <c r="N653" s="4"/>
      <c r="O653" s="4"/>
    </row>
    <row r="654" spans="1:15">
      <c r="A654" s="4"/>
      <c r="B654" s="4"/>
      <c r="C654" s="65" t="s">
        <v>40</v>
      </c>
      <c r="D654" s="4"/>
      <c r="E654" s="4"/>
      <c r="F654" s="16"/>
      <c r="G654" s="4"/>
      <c r="H654" s="4"/>
      <c r="I654" s="4"/>
      <c r="J654" s="4"/>
      <c r="K654" s="4"/>
      <c r="L654" s="4"/>
      <c r="M654" s="4"/>
      <c r="N654" s="4"/>
      <c r="O654" s="4"/>
    </row>
    <row r="655" spans="1:15">
      <c r="A655" s="4"/>
      <c r="B655" s="4"/>
      <c r="C655" s="4"/>
      <c r="D655" s="4" t="s">
        <v>51</v>
      </c>
      <c r="E655" s="4"/>
      <c r="F655" s="16"/>
      <c r="G655" s="4"/>
      <c r="H655" s="4"/>
      <c r="I655" s="4"/>
      <c r="J655" s="4"/>
      <c r="K655" s="24">
        <f>J658</f>
        <v>197.7425753703703</v>
      </c>
      <c r="L655" s="24">
        <f>K658</f>
        <v>206.04776353592587</v>
      </c>
      <c r="M655" s="24">
        <f>L658</f>
        <v>214.70176960443476</v>
      </c>
      <c r="N655" s="24">
        <f>M658</f>
        <v>223.71924392782103</v>
      </c>
      <c r="O655" s="24">
        <f>N658</f>
        <v>223.71924392782103</v>
      </c>
    </row>
    <row r="656" spans="1:15">
      <c r="A656" s="4"/>
      <c r="B656" s="4"/>
      <c r="C656" s="4"/>
      <c r="D656" s="4" t="s">
        <v>90</v>
      </c>
      <c r="E656" s="4"/>
      <c r="F656" s="16"/>
      <c r="G656" s="4"/>
      <c r="H656" s="4"/>
      <c r="I656" s="4"/>
      <c r="J656" s="4"/>
      <c r="K656" s="24">
        <f>I195</f>
        <v>0</v>
      </c>
      <c r="L656" s="24">
        <f>K656</f>
        <v>0</v>
      </c>
      <c r="M656" s="24">
        <f>L656</f>
        <v>0</v>
      </c>
      <c r="N656" s="24">
        <f>M656</f>
        <v>0</v>
      </c>
      <c r="O656" s="24">
        <f>N656</f>
        <v>0</v>
      </c>
    </row>
    <row r="657" spans="1:15">
      <c r="A657" s="4"/>
      <c r="B657" s="4"/>
      <c r="C657" s="4"/>
      <c r="D657" s="4" t="s">
        <v>89</v>
      </c>
      <c r="E657" s="4"/>
      <c r="F657" s="16"/>
      <c r="G657" s="4"/>
      <c r="H657" s="4"/>
      <c r="I657" s="4"/>
      <c r="J657" s="2"/>
      <c r="K657" s="49">
        <f>K664</f>
        <v>8.3051881655555526</v>
      </c>
      <c r="L657" s="49">
        <f>L664</f>
        <v>8.6540060685088864</v>
      </c>
      <c r="M657" s="49">
        <f>M664</f>
        <v>9.01747432338626</v>
      </c>
      <c r="N657" s="49">
        <f>N664</f>
        <v>0</v>
      </c>
      <c r="O657" s="49">
        <f>O664</f>
        <v>0</v>
      </c>
    </row>
    <row r="658" spans="1:15">
      <c r="A658" s="4"/>
      <c r="B658" s="4"/>
      <c r="C658" s="4"/>
      <c r="D658" s="4" t="s">
        <v>47</v>
      </c>
      <c r="E658" s="4"/>
      <c r="F658" s="16"/>
      <c r="G658" s="4"/>
      <c r="H658" s="4"/>
      <c r="I658" s="76"/>
      <c r="J658" s="27">
        <f>J469</f>
        <v>197.7425753703703</v>
      </c>
      <c r="K658" s="27">
        <f>SUM(K655:K657)</f>
        <v>206.04776353592587</v>
      </c>
      <c r="L658" s="27">
        <f>SUM(L655:L657)</f>
        <v>214.70176960443476</v>
      </c>
      <c r="M658" s="27">
        <f>SUM(M655:M657)</f>
        <v>223.71924392782103</v>
      </c>
      <c r="N658" s="27">
        <f>SUM(N655:N657)</f>
        <v>223.71924392782103</v>
      </c>
      <c r="O658" s="27">
        <f>SUM(O655:O657)</f>
        <v>223.71924392782103</v>
      </c>
    </row>
    <row r="659" spans="1:15">
      <c r="A659" s="4"/>
      <c r="B659" s="4"/>
      <c r="C659" s="4"/>
      <c r="D659" s="4"/>
      <c r="E659" s="4"/>
      <c r="F659" s="16"/>
      <c r="G659" s="4"/>
      <c r="H659" s="4"/>
      <c r="I659" s="4"/>
      <c r="J659" s="4"/>
      <c r="K659" s="4"/>
      <c r="L659" s="4"/>
      <c r="M659" s="4"/>
      <c r="N659" s="4"/>
      <c r="O659" s="4"/>
    </row>
    <row r="660" spans="1:15">
      <c r="A660" s="4"/>
      <c r="B660" s="4"/>
      <c r="C660" s="4"/>
      <c r="D660" s="4" t="s">
        <v>88</v>
      </c>
      <c r="E660" s="4"/>
      <c r="F660" s="16"/>
      <c r="G660" s="4"/>
      <c r="H660" s="4"/>
      <c r="I660" s="4"/>
      <c r="J660" s="4"/>
      <c r="K660" s="68">
        <f>IF(J596&gt;$I$197,$I$196,0)</f>
        <v>0.6</v>
      </c>
      <c r="L660" s="68">
        <f>IF(K596&gt;$I$197,$I$196,0)</f>
        <v>0.6</v>
      </c>
      <c r="M660" s="68">
        <f>IF(L596&gt;$I$197,$I$196,0)</f>
        <v>0.6</v>
      </c>
      <c r="N660" s="68">
        <f>IF(M596&gt;$I$197,$I$196,0)</f>
        <v>0</v>
      </c>
      <c r="O660" s="68">
        <f>IF(N596&gt;$I$197,$I$196,0)</f>
        <v>0</v>
      </c>
    </row>
    <row r="661" spans="1:15">
      <c r="A661" s="4"/>
      <c r="B661" s="4"/>
      <c r="C661" s="4"/>
      <c r="D661" s="4" t="s">
        <v>87</v>
      </c>
      <c r="E661" s="4"/>
      <c r="F661" s="16"/>
      <c r="G661" s="4"/>
      <c r="H661" s="4"/>
      <c r="I661" s="4"/>
      <c r="J661" s="4"/>
      <c r="K661" s="68">
        <f>1-K660</f>
        <v>0.4</v>
      </c>
      <c r="L661" s="68">
        <f>1-L660</f>
        <v>0.4</v>
      </c>
      <c r="M661" s="68">
        <f>1-M660</f>
        <v>0.4</v>
      </c>
      <c r="N661" s="68">
        <f>1-N660</f>
        <v>1</v>
      </c>
      <c r="O661" s="68">
        <f>1-O660</f>
        <v>1</v>
      </c>
    </row>
    <row r="662" spans="1:15">
      <c r="A662" s="4"/>
      <c r="B662" s="4"/>
      <c r="C662" s="4"/>
      <c r="D662" s="4" t="s">
        <v>86</v>
      </c>
      <c r="E662" s="4"/>
      <c r="F662" s="16"/>
      <c r="G662" s="4"/>
      <c r="H662" s="4"/>
      <c r="I662" s="4"/>
      <c r="J662" s="4"/>
      <c r="K662" s="68">
        <f>I48</f>
        <v>7.0000000000000007E-2</v>
      </c>
      <c r="L662" s="68">
        <f>K662</f>
        <v>7.0000000000000007E-2</v>
      </c>
      <c r="M662" s="68">
        <f>L662</f>
        <v>7.0000000000000007E-2</v>
      </c>
      <c r="N662" s="68">
        <f>M662</f>
        <v>7.0000000000000007E-2</v>
      </c>
      <c r="O662" s="68">
        <f>N662</f>
        <v>7.0000000000000007E-2</v>
      </c>
    </row>
    <row r="663" spans="1:15">
      <c r="A663" s="4"/>
      <c r="B663" s="4"/>
      <c r="C663" s="4"/>
      <c r="D663" s="4"/>
      <c r="E663" s="4"/>
      <c r="F663" s="16"/>
      <c r="G663" s="4"/>
      <c r="H663" s="4"/>
      <c r="I663" s="4"/>
      <c r="J663" s="4"/>
      <c r="K663" s="4"/>
      <c r="L663" s="4"/>
      <c r="M663" s="4"/>
      <c r="N663" s="4"/>
      <c r="O663" s="4"/>
    </row>
    <row r="664" spans="1:15">
      <c r="A664" s="4"/>
      <c r="B664" s="4"/>
      <c r="C664" s="4"/>
      <c r="D664" s="4" t="s">
        <v>85</v>
      </c>
      <c r="E664" s="4"/>
      <c r="F664" s="16"/>
      <c r="G664" s="4"/>
      <c r="H664" s="4"/>
      <c r="I664" s="4"/>
      <c r="J664" s="4"/>
      <c r="K664" s="24">
        <f>K662*K660*J658</f>
        <v>8.3051881655555526</v>
      </c>
      <c r="L664" s="24">
        <f>L662*L660*K658</f>
        <v>8.6540060685088864</v>
      </c>
      <c r="M664" s="24">
        <f>M662*M660*L658</f>
        <v>9.01747432338626</v>
      </c>
      <c r="N664" s="24">
        <f>N662*N660*M658</f>
        <v>0</v>
      </c>
      <c r="O664" s="24">
        <f>O662*O660*N658</f>
        <v>0</v>
      </c>
    </row>
    <row r="665" spans="1:15">
      <c r="A665" s="4"/>
      <c r="B665" s="4"/>
      <c r="C665" s="4"/>
      <c r="D665" s="4" t="s">
        <v>5</v>
      </c>
      <c r="E665" s="4"/>
      <c r="F665" s="16"/>
      <c r="G665" s="4"/>
      <c r="H665" s="4"/>
      <c r="I665" s="4"/>
      <c r="J665" s="4"/>
      <c r="K665" s="24">
        <f>K662*K661*J658</f>
        <v>5.536792110370369</v>
      </c>
      <c r="L665" s="24">
        <f>L662*L661*K658</f>
        <v>5.7693373790059255</v>
      </c>
      <c r="M665" s="24">
        <f>M662*M661*L658</f>
        <v>6.0116495489241739</v>
      </c>
      <c r="N665" s="24">
        <f>N662*N661*M658</f>
        <v>15.660347074947474</v>
      </c>
      <c r="O665" s="24">
        <f>O662*O661*N658</f>
        <v>15.660347074947474</v>
      </c>
    </row>
    <row r="666" spans="1:15">
      <c r="A666" s="4"/>
      <c r="B666" s="4"/>
      <c r="C666" s="4"/>
      <c r="D666" s="65" t="s">
        <v>7</v>
      </c>
      <c r="E666" s="4"/>
      <c r="F666" s="16"/>
      <c r="G666" s="4"/>
      <c r="H666" s="4"/>
      <c r="I666" s="4"/>
      <c r="J666" s="4"/>
      <c r="K666" s="67">
        <f>SUM(K664:K665)</f>
        <v>13.841980275925922</v>
      </c>
      <c r="L666" s="67">
        <f>SUM(L664:L665)</f>
        <v>14.423343447514812</v>
      </c>
      <c r="M666" s="67">
        <f>SUM(M664:M665)</f>
        <v>15.029123872310434</v>
      </c>
      <c r="N666" s="67">
        <f>SUM(N664:N665)</f>
        <v>15.660347074947474</v>
      </c>
      <c r="O666" s="67">
        <f>SUM(O664:O665)</f>
        <v>15.660347074947474</v>
      </c>
    </row>
    <row r="667" spans="1:15">
      <c r="A667" s="4"/>
      <c r="B667" s="4"/>
      <c r="C667" s="65"/>
      <c r="D667" s="4"/>
      <c r="E667" s="4"/>
      <c r="F667" s="16"/>
      <c r="G667" s="4"/>
      <c r="H667" s="4"/>
      <c r="I667" s="4"/>
      <c r="J667" s="4"/>
      <c r="K667" s="4"/>
      <c r="L667" s="4"/>
      <c r="M667" s="4"/>
      <c r="N667" s="4"/>
      <c r="O667" s="4"/>
    </row>
    <row r="668" spans="1:15">
      <c r="A668" s="4"/>
      <c r="B668" s="2"/>
      <c r="C668" s="2"/>
      <c r="D668" s="2"/>
      <c r="E668" s="2"/>
      <c r="F668" s="3"/>
      <c r="G668" s="2"/>
      <c r="H668" s="2"/>
      <c r="I668" s="2"/>
      <c r="J668" s="2"/>
      <c r="K668" s="2"/>
      <c r="L668" s="2"/>
      <c r="M668" s="2"/>
      <c r="N668" s="2"/>
      <c r="O668" s="2"/>
    </row>
    <row r="669" spans="1:15">
      <c r="A669" s="4"/>
      <c r="B669" s="4"/>
      <c r="C669" s="65"/>
      <c r="D669" s="4"/>
      <c r="E669" s="4"/>
      <c r="F669" s="16"/>
      <c r="G669" s="4"/>
      <c r="H669" s="4"/>
      <c r="I669" s="4"/>
      <c r="J669" s="4"/>
      <c r="K669" s="4"/>
      <c r="L669" s="4"/>
      <c r="M669" s="4"/>
      <c r="N669" s="4"/>
      <c r="O669" s="4"/>
    </row>
    <row r="670" spans="1:15">
      <c r="A670" s="4"/>
      <c r="B670" s="4"/>
      <c r="C670" s="4"/>
      <c r="D670" s="4"/>
      <c r="E670" s="4"/>
      <c r="F670" s="16"/>
      <c r="G670" s="4"/>
      <c r="H670" s="4"/>
      <c r="I670" s="4"/>
      <c r="J670" s="4"/>
      <c r="K670" s="4"/>
      <c r="L670" s="4"/>
      <c r="M670" s="4"/>
      <c r="N670" s="4"/>
      <c r="O670" s="4"/>
    </row>
    <row r="671" spans="1:15" ht="12.75" customHeight="1">
      <c r="A671" s="4"/>
      <c r="B671" s="35"/>
      <c r="C671" s="20"/>
      <c r="D671" s="20"/>
      <c r="E671" s="20"/>
      <c r="F671" s="20"/>
      <c r="G671" s="20"/>
      <c r="H671" s="20"/>
      <c r="I671" s="20"/>
      <c r="J671" s="20"/>
      <c r="K671" s="20"/>
      <c r="L671" s="20"/>
      <c r="M671" s="20"/>
      <c r="N671" s="20"/>
      <c r="O671" s="36" t="str">
        <f>$O$258</f>
        <v>CURRENTLY RUNNING: BASE CASE SCENARIO</v>
      </c>
    </row>
    <row r="672" spans="1:15" ht="22.8" customHeight="1">
      <c r="A672" s="4"/>
      <c r="B672" s="35" t="str">
        <f>$B$26</f>
        <v>Lingoren Corp.</v>
      </c>
      <c r="C672" s="20"/>
      <c r="D672" s="20"/>
      <c r="E672" s="20"/>
      <c r="F672" s="20"/>
      <c r="G672" s="20"/>
      <c r="H672" s="20"/>
      <c r="I672" s="20"/>
      <c r="J672" s="20"/>
      <c r="K672" s="20"/>
      <c r="L672" s="20"/>
      <c r="M672" s="20"/>
      <c r="N672" s="20"/>
      <c r="O672" s="20"/>
    </row>
    <row r="673" spans="1:15" ht="18.75" customHeight="1">
      <c r="A673" s="4"/>
      <c r="B673" s="34" t="s">
        <v>84</v>
      </c>
      <c r="C673" s="20"/>
      <c r="D673" s="20"/>
      <c r="E673" s="20"/>
      <c r="F673" s="20"/>
      <c r="G673" s="20"/>
      <c r="H673" s="20"/>
      <c r="I673" s="20"/>
      <c r="J673" s="20"/>
      <c r="K673" s="20"/>
      <c r="L673" s="20"/>
      <c r="M673" s="20"/>
      <c r="N673" s="20"/>
      <c r="O673" s="20"/>
    </row>
    <row r="674" spans="1:15" ht="6" customHeight="1" thickBot="1">
      <c r="A674" s="4"/>
      <c r="B674" s="33"/>
      <c r="C674" s="32"/>
      <c r="D674" s="32"/>
      <c r="E674" s="32"/>
      <c r="F674" s="32"/>
      <c r="G674" s="32"/>
      <c r="H674" s="32"/>
      <c r="I674" s="32"/>
      <c r="J674" s="32"/>
      <c r="K674" s="32"/>
      <c r="L674" s="32"/>
      <c r="M674" s="32"/>
      <c r="N674" s="32"/>
      <c r="O674" s="32"/>
    </row>
    <row r="675" spans="1:15" ht="12.75" customHeight="1">
      <c r="A675" s="4"/>
      <c r="B675" s="31" t="s">
        <v>25</v>
      </c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30"/>
    </row>
    <row r="676" spans="1:15" ht="13.8">
      <c r="A676" s="4"/>
      <c r="B676" s="4"/>
      <c r="C676" s="4"/>
      <c r="D676" s="4"/>
      <c r="E676" s="4"/>
      <c r="F676" s="4"/>
      <c r="G676" s="4"/>
      <c r="H676" s="20"/>
      <c r="I676" s="20"/>
      <c r="J676" s="20"/>
      <c r="K676" s="14" t="s">
        <v>24</v>
      </c>
      <c r="L676" s="13"/>
      <c r="M676" s="13"/>
      <c r="N676" s="13"/>
      <c r="O676" s="13"/>
    </row>
    <row r="677" spans="1:15">
      <c r="A677" s="4"/>
      <c r="B677" s="4"/>
      <c r="C677" s="4"/>
      <c r="D677" s="4"/>
      <c r="E677" s="4"/>
      <c r="F677" s="4"/>
      <c r="G677" s="29"/>
      <c r="H677" s="28"/>
      <c r="I677" s="28"/>
      <c r="J677" s="70">
        <f t="shared" ref="J677:O677" si="68">J$264</f>
        <v>2018</v>
      </c>
      <c r="K677" s="10">
        <f t="shared" si="68"/>
        <v>2019</v>
      </c>
      <c r="L677" s="10">
        <f t="shared" si="68"/>
        <v>2020</v>
      </c>
      <c r="M677" s="10">
        <f t="shared" si="68"/>
        <v>2021</v>
      </c>
      <c r="N677" s="10">
        <f t="shared" si="68"/>
        <v>2022</v>
      </c>
      <c r="O677" s="10">
        <f t="shared" si="68"/>
        <v>2023</v>
      </c>
    </row>
    <row r="678" spans="1:15" ht="6" customHeight="1">
      <c r="A678" s="4"/>
      <c r="B678" s="4"/>
      <c r="C678" s="4"/>
      <c r="D678" s="4"/>
      <c r="E678" s="4"/>
      <c r="F678" s="16"/>
      <c r="G678" s="4"/>
      <c r="H678" s="4"/>
      <c r="I678" s="4"/>
      <c r="J678" s="4"/>
      <c r="K678" s="4"/>
      <c r="L678" s="4"/>
      <c r="M678" s="4"/>
      <c r="N678" s="4"/>
      <c r="O678" s="4"/>
    </row>
    <row r="679" spans="1:15">
      <c r="A679" s="4"/>
      <c r="B679" s="84" t="s">
        <v>83</v>
      </c>
      <c r="C679" s="82"/>
      <c r="D679" s="82"/>
      <c r="E679" s="82"/>
      <c r="F679" s="83"/>
      <c r="G679" s="82"/>
      <c r="H679" s="82"/>
      <c r="I679" s="82"/>
      <c r="J679" s="82"/>
      <c r="K679" s="81">
        <f t="shared" ref="K679:O680" si="69">K642</f>
        <v>7.4999999999999997E-3</v>
      </c>
      <c r="L679" s="81">
        <f t="shared" si="69"/>
        <v>7.4999999999999997E-3</v>
      </c>
      <c r="M679" s="81">
        <f t="shared" si="69"/>
        <v>7.4999999999999997E-3</v>
      </c>
      <c r="N679" s="81">
        <f t="shared" si="69"/>
        <v>0.01</v>
      </c>
      <c r="O679" s="80">
        <f t="shared" si="69"/>
        <v>0.01</v>
      </c>
    </row>
    <row r="680" spans="1:15">
      <c r="A680" s="4"/>
      <c r="B680" s="79" t="s">
        <v>2</v>
      </c>
      <c r="C680" s="17"/>
      <c r="D680" s="17"/>
      <c r="E680" s="17"/>
      <c r="F680" s="18"/>
      <c r="G680" s="17"/>
      <c r="H680" s="17"/>
      <c r="I680" s="17"/>
      <c r="J680" s="26">
        <f>J643</f>
        <v>6</v>
      </c>
      <c r="K680" s="26">
        <f t="shared" si="69"/>
        <v>6.3067999374276038</v>
      </c>
      <c r="L680" s="26">
        <f t="shared" si="69"/>
        <v>5.2524868467075434</v>
      </c>
      <c r="M680" s="26">
        <f t="shared" si="69"/>
        <v>4.1820730089778753</v>
      </c>
      <c r="N680" s="26">
        <f t="shared" si="69"/>
        <v>3.4736664598073257</v>
      </c>
      <c r="O680" s="78">
        <f t="shared" si="69"/>
        <v>2.7764464643422087</v>
      </c>
    </row>
    <row r="681" spans="1:15" ht="12.75" customHeight="1">
      <c r="A681" s="4"/>
      <c r="B681" s="4"/>
      <c r="C681" s="4"/>
      <c r="D681" s="4"/>
      <c r="E681" s="4"/>
      <c r="F681" s="16"/>
      <c r="G681" s="4"/>
      <c r="H681" s="4"/>
      <c r="I681" s="4"/>
      <c r="J681" s="4"/>
      <c r="K681" s="4"/>
      <c r="L681" s="4"/>
      <c r="M681" s="4"/>
      <c r="N681" s="4"/>
      <c r="O681" s="4"/>
    </row>
    <row r="682" spans="1:15">
      <c r="A682" s="4"/>
      <c r="B682" s="4"/>
      <c r="C682" s="65" t="s">
        <v>82</v>
      </c>
      <c r="D682" s="4"/>
      <c r="E682" s="4"/>
      <c r="F682" s="16"/>
      <c r="G682" s="4"/>
      <c r="H682" s="4"/>
      <c r="I682" s="4"/>
      <c r="J682" s="4"/>
      <c r="K682" s="4"/>
      <c r="L682" s="4"/>
      <c r="M682" s="4"/>
      <c r="N682" s="4"/>
      <c r="O682" s="4"/>
    </row>
    <row r="683" spans="1:15">
      <c r="A683" s="4"/>
      <c r="B683" s="65"/>
      <c r="C683" s="4"/>
      <c r="D683" s="4" t="s">
        <v>81</v>
      </c>
      <c r="E683" s="4"/>
      <c r="F683" s="16"/>
      <c r="G683" s="4"/>
      <c r="H683" s="74"/>
      <c r="I683" s="74"/>
      <c r="J683" s="74"/>
      <c r="K683" s="73">
        <f>K417</f>
        <v>80.729970541293596</v>
      </c>
      <c r="L683" s="73">
        <f>L417</f>
        <v>101.05442004527907</v>
      </c>
      <c r="M683" s="73">
        <f>M417</f>
        <v>103.10502072491636</v>
      </c>
      <c r="N683" s="73">
        <f>N417</f>
        <v>121.60769880207934</v>
      </c>
      <c r="O683" s="73">
        <f>O417</f>
        <v>114.77132388067051</v>
      </c>
    </row>
    <row r="684" spans="1:15">
      <c r="A684" s="4"/>
      <c r="B684" s="65"/>
      <c r="C684" s="4"/>
      <c r="D684" s="4" t="s">
        <v>80</v>
      </c>
      <c r="E684" s="4"/>
      <c r="F684" s="16"/>
      <c r="G684" s="4"/>
      <c r="H684" s="74"/>
      <c r="I684" s="74"/>
      <c r="J684" s="74"/>
      <c r="K684" s="73">
        <f>K656+K647+K624+K612</f>
        <v>-19.77425753703703</v>
      </c>
      <c r="L684" s="73">
        <f>L656+L647+L624+L612</f>
        <v>-34.901564552870362</v>
      </c>
      <c r="M684" s="73">
        <f>M656+M647+M624+M612</f>
        <v>-29.96294373299536</v>
      </c>
      <c r="N684" s="73">
        <f>N656+N647+N624+N612</f>
        <v>-41.623576224366893</v>
      </c>
      <c r="O684" s="73">
        <f>O656+O647+O624+O612</f>
        <v>-46.579345033199793</v>
      </c>
    </row>
    <row r="685" spans="1:15">
      <c r="A685" s="4"/>
      <c r="B685" s="65"/>
      <c r="C685" s="4"/>
      <c r="D685" s="4" t="s">
        <v>79</v>
      </c>
      <c r="E685" s="4"/>
      <c r="F685" s="16"/>
      <c r="G685" s="4"/>
      <c r="H685" s="74"/>
      <c r="I685" s="74"/>
      <c r="J685" s="74"/>
      <c r="K685" s="690">
        <f>- 1 * (K732+K742)</f>
        <v>-8</v>
      </c>
      <c r="L685" s="690">
        <f t="shared" ref="L685:O685" si="70">- 1 * (L732+L742)</f>
        <v>-8</v>
      </c>
      <c r="M685" s="690">
        <f t="shared" si="70"/>
        <v>-8</v>
      </c>
      <c r="N685" s="690">
        <f t="shared" si="70"/>
        <v>-8</v>
      </c>
      <c r="O685" s="690">
        <f t="shared" si="70"/>
        <v>-8</v>
      </c>
    </row>
    <row r="686" spans="1:15">
      <c r="A686" s="4"/>
      <c r="B686" s="4"/>
      <c r="C686" s="4"/>
      <c r="D686" s="65" t="s">
        <v>78</v>
      </c>
      <c r="E686" s="4"/>
      <c r="F686" s="16"/>
      <c r="G686" s="4"/>
      <c r="H686" s="4"/>
      <c r="I686" s="4"/>
      <c r="J686" s="4"/>
      <c r="K686" s="64">
        <f>SUM(K683:K685)</f>
        <v>52.955713004256566</v>
      </c>
      <c r="L686" s="64">
        <f>SUM(L683:L685)</f>
        <v>58.152855492408719</v>
      </c>
      <c r="M686" s="64">
        <f>SUM(M683:M685)</f>
        <v>65.142076991921002</v>
      </c>
      <c r="N686" s="64">
        <f>SUM(N683:N685)</f>
        <v>71.984122577712441</v>
      </c>
      <c r="O686" s="64">
        <f>SUM(O683:O685)</f>
        <v>60.191978847470722</v>
      </c>
    </row>
    <row r="687" spans="1:15">
      <c r="A687" s="4"/>
      <c r="B687" s="4"/>
      <c r="C687" s="65"/>
      <c r="D687" s="4"/>
      <c r="E687" s="4"/>
      <c r="F687" s="16"/>
      <c r="G687" s="4"/>
      <c r="H687" s="4"/>
      <c r="I687" s="4"/>
      <c r="J687" s="4"/>
      <c r="K687" s="4"/>
      <c r="L687" s="4"/>
      <c r="M687" s="4"/>
      <c r="N687" s="4"/>
      <c r="O687" s="4"/>
    </row>
    <row r="688" spans="1:15">
      <c r="A688" s="4"/>
      <c r="B688" s="4"/>
      <c r="C688" s="4"/>
      <c r="D688" s="4" t="s">
        <v>77</v>
      </c>
      <c r="E688" s="4"/>
      <c r="F688" s="16"/>
      <c r="G688" s="4"/>
      <c r="H688" s="4"/>
      <c r="I688" s="4"/>
      <c r="J688" s="4"/>
      <c r="K688" s="24">
        <f>J690</f>
        <v>79.097030148148121</v>
      </c>
      <c r="L688" s="24">
        <f>K690</f>
        <v>26.141317143891555</v>
      </c>
      <c r="M688" s="24">
        <f>L690</f>
        <v>0</v>
      </c>
      <c r="N688" s="24">
        <f>M690</f>
        <v>0</v>
      </c>
      <c r="O688" s="24">
        <f>N690</f>
        <v>0</v>
      </c>
    </row>
    <row r="689" spans="1:15">
      <c r="A689" s="4"/>
      <c r="B689" s="4"/>
      <c r="C689" s="4"/>
      <c r="D689" s="4" t="s">
        <v>76</v>
      </c>
      <c r="E689" s="4"/>
      <c r="F689" s="16"/>
      <c r="G689" s="4"/>
      <c r="H689" s="4"/>
      <c r="I689" s="4"/>
      <c r="J689" s="2"/>
      <c r="K689" s="691">
        <f xml:space="preserve"> - MIN( SUM( K599, K686 ), K688 )</f>
        <v>-52.955713004256566</v>
      </c>
      <c r="L689" s="691">
        <f t="shared" ref="L689:O689" si="71" xml:space="preserve"> - MIN( SUM( L599, L686 ), L688 )</f>
        <v>-26.141317143891555</v>
      </c>
      <c r="M689" s="691">
        <f t="shared" si="71"/>
        <v>0</v>
      </c>
      <c r="N689" s="691">
        <f t="shared" si="71"/>
        <v>0</v>
      </c>
      <c r="O689" s="691">
        <f t="shared" si="71"/>
        <v>0</v>
      </c>
    </row>
    <row r="690" spans="1:15">
      <c r="A690" s="4"/>
      <c r="B690" s="4"/>
      <c r="C690" s="4"/>
      <c r="D690" s="4" t="s">
        <v>75</v>
      </c>
      <c r="E690" s="4"/>
      <c r="F690" s="16"/>
      <c r="G690" s="4"/>
      <c r="H690" s="4"/>
      <c r="I690" s="76"/>
      <c r="J690" s="27">
        <f>J460</f>
        <v>79.097030148148121</v>
      </c>
      <c r="K690" s="27">
        <f>SUM(K688:K689)</f>
        <v>26.141317143891555</v>
      </c>
      <c r="L690" s="27">
        <f>SUM(L688:L689)</f>
        <v>0</v>
      </c>
      <c r="M690" s="27">
        <f>SUM(M688:M689)</f>
        <v>0</v>
      </c>
      <c r="N690" s="27">
        <f>SUM(N688:N689)</f>
        <v>0</v>
      </c>
      <c r="O690" s="27">
        <f>SUM(O688:O689)</f>
        <v>0</v>
      </c>
    </row>
    <row r="691" spans="1:15" ht="6" customHeight="1">
      <c r="A691" s="4"/>
      <c r="B691" s="4"/>
      <c r="C691" s="4"/>
      <c r="D691" s="4"/>
      <c r="E691" s="4"/>
      <c r="F691" s="16"/>
      <c r="G691" s="4"/>
      <c r="H691" s="4"/>
      <c r="I691" s="4"/>
      <c r="J691" s="4"/>
      <c r="K691" s="4"/>
      <c r="L691" s="4"/>
      <c r="M691" s="4"/>
      <c r="N691" s="4"/>
      <c r="O691" s="4"/>
    </row>
    <row r="692" spans="1:15">
      <c r="A692" s="4"/>
      <c r="B692" s="4"/>
      <c r="C692" s="4"/>
      <c r="D692" s="4" t="s">
        <v>74</v>
      </c>
      <c r="E692" s="4"/>
      <c r="F692" s="16"/>
      <c r="G692" s="4"/>
      <c r="H692" s="4"/>
      <c r="I692" s="4"/>
      <c r="J692" s="4"/>
      <c r="K692" s="75">
        <f>K615</f>
        <v>3.2500000000000001E-2</v>
      </c>
      <c r="L692" s="75">
        <f>L615</f>
        <v>3.2500000000000001E-2</v>
      </c>
      <c r="M692" s="75">
        <f>M615</f>
        <v>3.2500000000000001E-2</v>
      </c>
      <c r="N692" s="75">
        <f>N615</f>
        <v>2.75E-2</v>
      </c>
      <c r="O692" s="75">
        <f>O615</f>
        <v>2.5000000000000001E-2</v>
      </c>
    </row>
    <row r="693" spans="1:15">
      <c r="A693" s="4"/>
      <c r="B693" s="4"/>
      <c r="C693" s="4"/>
      <c r="D693" s="4" t="s">
        <v>73</v>
      </c>
      <c r="E693" s="4"/>
      <c r="F693" s="16"/>
      <c r="G693" s="4"/>
      <c r="H693" s="4"/>
      <c r="I693" s="4"/>
      <c r="J693" s="4"/>
      <c r="K693" s="75">
        <f>K692+K679</f>
        <v>0.04</v>
      </c>
      <c r="L693" s="75">
        <f>L692+L679</f>
        <v>0.04</v>
      </c>
      <c r="M693" s="75">
        <f>M692+M679</f>
        <v>0.04</v>
      </c>
      <c r="N693" s="75">
        <f>N692+N679</f>
        <v>3.7499999999999999E-2</v>
      </c>
      <c r="O693" s="75">
        <f>O692+O679</f>
        <v>3.5000000000000003E-2</v>
      </c>
    </row>
    <row r="694" spans="1:15">
      <c r="A694" s="4"/>
      <c r="B694" s="4"/>
      <c r="C694" s="4"/>
      <c r="D694" s="65" t="s">
        <v>72</v>
      </c>
      <c r="E694" s="4"/>
      <c r="F694" s="16"/>
      <c r="G694" s="4"/>
      <c r="H694" s="4"/>
      <c r="I694" s="4"/>
      <c r="J694" s="4"/>
      <c r="K694" s="67">
        <f>K693*J690</f>
        <v>3.1638812059259251</v>
      </c>
      <c r="L694" s="67">
        <f>L693*K690</f>
        <v>1.0456526857556623</v>
      </c>
      <c r="M694" s="67">
        <f>M693*L690</f>
        <v>0</v>
      </c>
      <c r="N694" s="67">
        <f>N693*M690</f>
        <v>0</v>
      </c>
      <c r="O694" s="67">
        <f>O693*N690</f>
        <v>0</v>
      </c>
    </row>
    <row r="695" spans="1:15" ht="6" customHeight="1">
      <c r="A695" s="4"/>
      <c r="B695" s="4"/>
      <c r="C695" s="4"/>
      <c r="D695" s="4"/>
      <c r="E695" s="4"/>
      <c r="F695" s="16"/>
      <c r="G695" s="4"/>
      <c r="H695" s="4"/>
      <c r="I695" s="4"/>
      <c r="J695" s="4"/>
      <c r="K695" s="4"/>
      <c r="L695" s="4"/>
      <c r="M695" s="4"/>
      <c r="N695" s="4"/>
      <c r="O695" s="4"/>
    </row>
    <row r="696" spans="1:15">
      <c r="A696" s="4"/>
      <c r="B696" s="4"/>
      <c r="C696" s="4"/>
      <c r="D696" s="4"/>
      <c r="E696" s="4"/>
      <c r="F696" s="16"/>
      <c r="G696" s="4"/>
      <c r="H696" s="4"/>
      <c r="I696" s="4"/>
      <c r="J696" s="4"/>
      <c r="K696" s="4"/>
      <c r="L696" s="4"/>
      <c r="M696" s="4"/>
      <c r="N696" s="4"/>
      <c r="O696" s="4"/>
    </row>
    <row r="697" spans="1:15">
      <c r="A697" s="4"/>
      <c r="B697" s="4"/>
      <c r="C697" s="65" t="s">
        <v>71</v>
      </c>
      <c r="D697" s="4"/>
      <c r="E697" s="4"/>
      <c r="F697" s="16"/>
      <c r="G697" s="4"/>
      <c r="H697" s="4"/>
      <c r="I697" s="4"/>
      <c r="J697" s="4"/>
      <c r="K697" s="4"/>
      <c r="L697" s="4"/>
      <c r="M697" s="4"/>
      <c r="N697" s="4"/>
      <c r="O697" s="4"/>
    </row>
    <row r="698" spans="1:15">
      <c r="A698" s="4"/>
      <c r="B698" s="65"/>
      <c r="C698" s="4"/>
      <c r="D698" s="4" t="s">
        <v>70</v>
      </c>
      <c r="E698" s="4"/>
      <c r="F698" s="16"/>
      <c r="G698" s="4"/>
      <c r="H698" s="74"/>
      <c r="I698" s="74"/>
      <c r="J698" s="73">
        <f t="shared" ref="J698:O698" si="72">$I$173*J577+$I$174*J578</f>
        <v>113.25</v>
      </c>
      <c r="K698" s="73">
        <f t="shared" si="72"/>
        <v>115.26507161522071</v>
      </c>
      <c r="L698" s="73">
        <f t="shared" si="72"/>
        <v>114.51739180459016</v>
      </c>
      <c r="M698" s="73">
        <f t="shared" si="72"/>
        <v>119.23996373212525</v>
      </c>
      <c r="N698" s="73">
        <f t="shared" si="72"/>
        <v>125.50142913507908</v>
      </c>
      <c r="O698" s="73">
        <f t="shared" si="72"/>
        <v>130.90892121800459</v>
      </c>
    </row>
    <row r="699" spans="1:15">
      <c r="A699" s="4"/>
      <c r="B699" s="65"/>
      <c r="C699" s="4"/>
      <c r="D699" s="4" t="s">
        <v>69</v>
      </c>
      <c r="E699" s="4"/>
      <c r="F699" s="16"/>
      <c r="G699" s="4"/>
      <c r="H699" s="74"/>
      <c r="I699" s="74"/>
      <c r="J699" s="73">
        <f>I170</f>
        <v>100</v>
      </c>
      <c r="K699" s="73">
        <f>MIN($J$699,J698)</f>
        <v>100</v>
      </c>
      <c r="L699" s="73">
        <f>MIN($J$699,K698)</f>
        <v>100</v>
      </c>
      <c r="M699" s="73">
        <f>MIN($J$699,L698)</f>
        <v>100</v>
      </c>
      <c r="N699" s="73">
        <f>MIN($J$699,M698)</f>
        <v>100</v>
      </c>
      <c r="O699" s="73">
        <f>MIN($J$699,N698)</f>
        <v>100</v>
      </c>
    </row>
    <row r="700" spans="1:15">
      <c r="A700" s="4"/>
      <c r="B700" s="65"/>
      <c r="C700" s="4"/>
      <c r="D700" s="4"/>
      <c r="E700" s="4"/>
      <c r="F700" s="16"/>
      <c r="G700" s="4"/>
      <c r="H700" s="74"/>
      <c r="I700" s="74"/>
      <c r="J700" s="74"/>
      <c r="K700" s="73"/>
      <c r="L700" s="73"/>
      <c r="M700" s="73"/>
      <c r="N700" s="73"/>
      <c r="O700" s="73"/>
    </row>
    <row r="701" spans="1:15">
      <c r="A701" s="4"/>
      <c r="B701" s="4"/>
      <c r="C701" s="4"/>
      <c r="D701" s="4" t="s">
        <v>68</v>
      </c>
      <c r="E701" s="4"/>
      <c r="F701" s="16"/>
      <c r="G701" s="4"/>
      <c r="H701" s="4"/>
      <c r="I701" s="4"/>
      <c r="J701" s="4"/>
      <c r="K701" s="24">
        <f>J704</f>
        <v>20.902969851851879</v>
      </c>
      <c r="L701" s="24">
        <f>K704</f>
        <v>73.858682856108445</v>
      </c>
      <c r="M701" s="24">
        <f>L704</f>
        <v>100</v>
      </c>
      <c r="N701" s="24">
        <f>M704</f>
        <v>100</v>
      </c>
      <c r="O701" s="24">
        <f>N704</f>
        <v>100</v>
      </c>
    </row>
    <row r="702" spans="1:15" ht="13.2" customHeight="1">
      <c r="A702" s="4"/>
      <c r="B702" s="4"/>
      <c r="C702" s="4"/>
      <c r="D702" s="4" t="s">
        <v>67</v>
      </c>
      <c r="E702" s="4"/>
      <c r="F702" s="16"/>
      <c r="G702" s="4"/>
      <c r="H702" s="4"/>
      <c r="I702" s="4"/>
      <c r="J702" s="4"/>
      <c r="K702" s="24">
        <f>-K689</f>
        <v>52.955713004256566</v>
      </c>
      <c r="L702" s="24">
        <f>-L689</f>
        <v>26.141317143891555</v>
      </c>
      <c r="M702" s="24">
        <f>-M689</f>
        <v>0</v>
      </c>
      <c r="N702" s="24">
        <f>-N689</f>
        <v>0</v>
      </c>
      <c r="O702" s="24">
        <f>-O689</f>
        <v>0</v>
      </c>
    </row>
    <row r="703" spans="1:15" ht="13.2" customHeight="1">
      <c r="A703" s="4"/>
      <c r="B703" s="4"/>
      <c r="C703" s="4"/>
      <c r="D703" s="4" t="s">
        <v>66</v>
      </c>
      <c r="E703" s="4"/>
      <c r="F703" s="16"/>
      <c r="G703" s="4"/>
      <c r="H703" s="4"/>
      <c r="I703" s="4"/>
      <c r="J703" s="2"/>
      <c r="K703" s="49">
        <f>K699-J699</f>
        <v>0</v>
      </c>
      <c r="L703" s="49">
        <f>L699-K699</f>
        <v>0</v>
      </c>
      <c r="M703" s="49">
        <f>M699-L699</f>
        <v>0</v>
      </c>
      <c r="N703" s="49">
        <f>N699-M699</f>
        <v>0</v>
      </c>
      <c r="O703" s="49">
        <f>O699-N699</f>
        <v>0</v>
      </c>
    </row>
    <row r="704" spans="1:15" ht="13.2" customHeight="1">
      <c r="A704" s="4"/>
      <c r="B704" s="4"/>
      <c r="C704" s="4"/>
      <c r="D704" s="4" t="s">
        <v>65</v>
      </c>
      <c r="E704" s="4"/>
      <c r="F704" s="16"/>
      <c r="G704" s="4"/>
      <c r="H704" s="4"/>
      <c r="I704" s="76"/>
      <c r="J704" s="27">
        <f>J699-J690</f>
        <v>20.902969851851879</v>
      </c>
      <c r="K704" s="27">
        <f>SUM(K701:K703)</f>
        <v>73.858682856108445</v>
      </c>
      <c r="L704" s="27">
        <f>SUM(L701:L703)</f>
        <v>100</v>
      </c>
      <c r="M704" s="27">
        <f>SUM(M701:M703)</f>
        <v>100</v>
      </c>
      <c r="N704" s="27">
        <f>SUM(N701:N703)</f>
        <v>100</v>
      </c>
      <c r="O704" s="27">
        <f>SUM(O701:O703)</f>
        <v>100</v>
      </c>
    </row>
    <row r="705" spans="1:15" ht="13.2" customHeight="1">
      <c r="A705" s="4"/>
      <c r="B705" s="65"/>
      <c r="C705" s="4"/>
      <c r="D705" s="4"/>
      <c r="E705" s="4"/>
      <c r="F705" s="16"/>
      <c r="G705" s="4"/>
      <c r="H705" s="74"/>
      <c r="I705" s="74"/>
      <c r="J705" s="74"/>
      <c r="K705" s="73"/>
      <c r="L705" s="73"/>
      <c r="M705" s="73"/>
      <c r="N705" s="73"/>
      <c r="O705" s="73"/>
    </row>
    <row r="706" spans="1:15" ht="13.2" customHeight="1">
      <c r="A706" s="4"/>
      <c r="B706" s="4"/>
      <c r="C706" s="4"/>
      <c r="D706" s="4" t="s">
        <v>64</v>
      </c>
      <c r="E706" s="4"/>
      <c r="F706" s="16"/>
      <c r="G706" s="4"/>
      <c r="H706" s="4"/>
      <c r="I706" s="4"/>
      <c r="J706" s="4"/>
      <c r="K706" s="75">
        <f>I176</f>
        <v>2.5000000000000001E-3</v>
      </c>
      <c r="L706" s="75">
        <f>K706</f>
        <v>2.5000000000000001E-3</v>
      </c>
      <c r="M706" s="75">
        <f>L706</f>
        <v>2.5000000000000001E-3</v>
      </c>
      <c r="N706" s="75">
        <f>M706</f>
        <v>2.5000000000000001E-3</v>
      </c>
      <c r="O706" s="75">
        <f>N706</f>
        <v>2.5000000000000001E-3</v>
      </c>
    </row>
    <row r="707" spans="1:15" ht="13.2" customHeight="1">
      <c r="A707" s="4"/>
      <c r="B707" s="4"/>
      <c r="C707" s="4"/>
      <c r="D707" s="65" t="s">
        <v>63</v>
      </c>
      <c r="E707" s="4"/>
      <c r="F707" s="16"/>
      <c r="G707" s="4"/>
      <c r="H707" s="4"/>
      <c r="I707" s="4"/>
      <c r="J707" s="4"/>
      <c r="K707" s="67">
        <f>K706*J704</f>
        <v>5.2257424629629699E-2</v>
      </c>
      <c r="L707" s="67">
        <f>L706*K704</f>
        <v>0.18464670714027112</v>
      </c>
      <c r="M707" s="67">
        <f>M706*L704</f>
        <v>0.25</v>
      </c>
      <c r="N707" s="67">
        <f>N706*M704</f>
        <v>0.25</v>
      </c>
      <c r="O707" s="67">
        <f>O706*N704</f>
        <v>0.25</v>
      </c>
    </row>
    <row r="708" spans="1:15" ht="13.2" customHeight="1">
      <c r="A708" s="4"/>
      <c r="B708" s="65"/>
      <c r="C708" s="4"/>
      <c r="D708" s="4"/>
      <c r="E708" s="4"/>
      <c r="F708" s="16"/>
      <c r="G708" s="4"/>
      <c r="H708" s="74"/>
      <c r="I708" s="74"/>
      <c r="J708" s="74"/>
      <c r="K708" s="73"/>
      <c r="L708" s="73"/>
      <c r="M708" s="73"/>
      <c r="N708" s="73"/>
      <c r="O708" s="73"/>
    </row>
    <row r="709" spans="1:15" ht="13.2" customHeight="1">
      <c r="A709" s="4"/>
      <c r="B709" s="65"/>
      <c r="C709" s="4"/>
      <c r="D709" s="4"/>
      <c r="E709" s="4"/>
      <c r="F709" s="16"/>
      <c r="G709" s="4"/>
      <c r="H709" s="74"/>
      <c r="I709" s="74"/>
      <c r="J709" s="74"/>
      <c r="K709" s="73"/>
      <c r="L709" s="73"/>
      <c r="M709" s="73"/>
      <c r="N709" s="73"/>
      <c r="O709" s="73"/>
    </row>
    <row r="710" spans="1:15" ht="13.2" customHeight="1">
      <c r="A710" s="4"/>
      <c r="B710" s="65"/>
      <c r="C710" s="65" t="s">
        <v>7</v>
      </c>
      <c r="D710" s="4"/>
      <c r="E710" s="4"/>
      <c r="F710" s="16"/>
      <c r="G710" s="4"/>
      <c r="H710" s="74"/>
      <c r="I710" s="74"/>
      <c r="J710" s="74"/>
      <c r="K710" s="73"/>
      <c r="L710" s="73"/>
      <c r="M710" s="73"/>
      <c r="N710" s="73"/>
      <c r="O710" s="73"/>
    </row>
    <row r="711" spans="1:15" ht="13.2" customHeight="1">
      <c r="A711" s="4"/>
      <c r="B711" s="4"/>
      <c r="C711" s="4"/>
      <c r="D711" s="4" t="s">
        <v>6</v>
      </c>
      <c r="E711" s="4"/>
      <c r="F711" s="16"/>
      <c r="G711" s="4"/>
      <c r="H711" s="4"/>
      <c r="I711" s="4"/>
      <c r="J711" s="4"/>
      <c r="K711" s="696">
        <f>K707+K665+K651+K629+K617-K605</f>
        <v>36.041406142037033</v>
      </c>
      <c r="L711" s="696">
        <f>L707+L665+L651+L629+L617-L605</f>
        <v>35.575370391701746</v>
      </c>
      <c r="M711" s="696">
        <f>M707+M665+M651+M629+M617-M605</f>
        <v>34.366944426493617</v>
      </c>
      <c r="N711" s="696">
        <f>N707+N665+N651+N629+N617-N605</f>
        <v>41.375397722386424</v>
      </c>
      <c r="O711" s="696">
        <f>O707+O665+O651+O629+O617-O605</f>
        <v>38.60266469166524</v>
      </c>
    </row>
    <row r="712" spans="1:15" ht="13.2" customHeight="1">
      <c r="A712" s="4"/>
      <c r="B712" s="4"/>
      <c r="D712" s="4" t="s">
        <v>62</v>
      </c>
      <c r="E712" s="4"/>
      <c r="F712" s="16"/>
      <c r="G712" s="4"/>
      <c r="H712" s="4"/>
      <c r="I712" s="4"/>
      <c r="J712" s="4"/>
      <c r="K712" s="697">
        <f xml:space="preserve">  K664</f>
        <v>8.3051881655555526</v>
      </c>
      <c r="L712" s="697">
        <f t="shared" ref="L712:O712" si="73" xml:space="preserve">  L664</f>
        <v>8.6540060685088864</v>
      </c>
      <c r="M712" s="697">
        <f t="shared" si="73"/>
        <v>9.01747432338626</v>
      </c>
      <c r="N712" s="697">
        <f t="shared" si="73"/>
        <v>0</v>
      </c>
      <c r="O712" s="697">
        <f t="shared" si="73"/>
        <v>0</v>
      </c>
    </row>
    <row r="713" spans="1:15" ht="13.2" customHeight="1" thickBot="1">
      <c r="A713" s="4"/>
      <c r="B713" s="4"/>
      <c r="C713" s="65"/>
      <c r="D713" s="65" t="s">
        <v>61</v>
      </c>
      <c r="E713" s="4"/>
      <c r="F713" s="16"/>
      <c r="G713" s="4"/>
      <c r="H713" s="4"/>
      <c r="I713" s="4"/>
      <c r="J713" s="4"/>
      <c r="K713" s="695">
        <f>SUM(K711:K712)</f>
        <v>44.346594307592582</v>
      </c>
      <c r="L713" s="695">
        <f t="shared" ref="L713:O713" si="74">SUM(L711:L712)</f>
        <v>44.229376460210631</v>
      </c>
      <c r="M713" s="695">
        <f t="shared" si="74"/>
        <v>43.384418749879877</v>
      </c>
      <c r="N713" s="695">
        <f t="shared" si="74"/>
        <v>41.375397722386424</v>
      </c>
      <c r="O713" s="695">
        <f t="shared" si="74"/>
        <v>38.60266469166524</v>
      </c>
    </row>
    <row r="714" spans="1:15" ht="13.2" customHeight="1" thickTop="1">
      <c r="A714" s="4"/>
      <c r="B714" s="4"/>
      <c r="C714" s="4"/>
      <c r="D714" s="4"/>
      <c r="E714" s="4"/>
      <c r="F714" s="16"/>
      <c r="G714" s="4"/>
      <c r="H714" s="4"/>
      <c r="I714" s="4"/>
      <c r="J714" s="4"/>
      <c r="K714" s="24"/>
      <c r="L714" s="24"/>
      <c r="M714" s="24"/>
      <c r="N714" s="24"/>
      <c r="O714" s="24"/>
    </row>
    <row r="715" spans="1:15" ht="13.2" customHeight="1">
      <c r="A715" s="4"/>
      <c r="B715" s="2"/>
      <c r="C715" s="2"/>
      <c r="D715" s="2"/>
      <c r="E715" s="2"/>
      <c r="F715" s="3"/>
      <c r="G715" s="2"/>
      <c r="H715" s="2"/>
      <c r="I715" s="2"/>
      <c r="J715" s="2"/>
      <c r="K715" s="71"/>
      <c r="L715" s="2"/>
      <c r="M715" s="2"/>
      <c r="N715" s="2"/>
      <c r="O715" s="2"/>
    </row>
    <row r="716" spans="1:15" ht="13.2" customHeight="1">
      <c r="A716" s="4"/>
      <c r="B716" s="4"/>
      <c r="C716" s="4"/>
      <c r="D716" s="4"/>
      <c r="E716" s="4"/>
      <c r="F716" s="16"/>
      <c r="G716" s="4"/>
      <c r="H716" s="4"/>
      <c r="I716" s="4"/>
      <c r="J716" s="4"/>
      <c r="K716" s="24"/>
      <c r="L716" s="24"/>
      <c r="M716" s="24"/>
      <c r="N716" s="24"/>
      <c r="O716" s="24"/>
    </row>
    <row r="717" spans="1:15" ht="13.2" customHeight="1">
      <c r="A717" s="4"/>
      <c r="B717" s="4"/>
      <c r="C717" s="4"/>
      <c r="D717" s="4"/>
      <c r="E717" s="4"/>
      <c r="F717" s="16"/>
      <c r="G717" s="4"/>
      <c r="H717" s="4"/>
      <c r="I717" s="4"/>
      <c r="J717" s="4"/>
      <c r="K717" s="24"/>
      <c r="L717" s="24"/>
      <c r="M717" s="24"/>
      <c r="N717" s="24"/>
      <c r="O717" s="24"/>
    </row>
    <row r="718" spans="1:15" ht="13.2" customHeight="1">
      <c r="A718" s="4"/>
      <c r="B718" s="35"/>
      <c r="C718" s="20"/>
      <c r="D718" s="20"/>
      <c r="E718" s="20"/>
      <c r="F718" s="20"/>
      <c r="G718" s="20"/>
      <c r="H718" s="20"/>
      <c r="I718" s="20"/>
      <c r="J718" s="20"/>
      <c r="K718" s="20"/>
      <c r="L718" s="20"/>
      <c r="M718" s="20"/>
      <c r="N718" s="20"/>
      <c r="O718" s="36" t="str">
        <f>$O$258</f>
        <v>CURRENTLY RUNNING: BASE CASE SCENARIO</v>
      </c>
    </row>
    <row r="719" spans="1:15" ht="22.8" customHeight="1">
      <c r="A719" s="4"/>
      <c r="B719" s="35" t="str">
        <f>B588</f>
        <v>Lingoren Corp.</v>
      </c>
      <c r="C719" s="20"/>
      <c r="D719" s="20"/>
      <c r="E719" s="20"/>
      <c r="F719" s="20"/>
      <c r="G719" s="20"/>
      <c r="H719" s="20"/>
      <c r="I719" s="20"/>
      <c r="J719" s="20"/>
      <c r="K719" s="20"/>
      <c r="L719" s="20"/>
      <c r="M719" s="20"/>
      <c r="N719" s="20"/>
      <c r="O719" s="20"/>
    </row>
    <row r="720" spans="1:15" ht="18.75" customHeight="1">
      <c r="A720" s="4"/>
      <c r="B720" s="34" t="s">
        <v>60</v>
      </c>
      <c r="C720" s="20"/>
      <c r="D720" s="20"/>
      <c r="E720" s="20"/>
      <c r="F720" s="20"/>
      <c r="G720" s="20"/>
      <c r="H720" s="20"/>
      <c r="I720" s="20"/>
      <c r="J720" s="20"/>
      <c r="K720" s="20"/>
      <c r="L720" s="20"/>
      <c r="M720" s="20"/>
      <c r="N720" s="20"/>
      <c r="O720" s="20"/>
    </row>
    <row r="721" spans="1:15" ht="6" customHeight="1" thickBot="1">
      <c r="A721" s="4"/>
      <c r="B721" s="33"/>
      <c r="C721" s="32"/>
      <c r="D721" s="32"/>
      <c r="E721" s="32"/>
      <c r="F721" s="32"/>
      <c r="G721" s="32"/>
      <c r="H721" s="32"/>
      <c r="I721" s="32"/>
      <c r="J721" s="32"/>
      <c r="K721" s="32"/>
      <c r="L721" s="32"/>
      <c r="M721" s="32"/>
      <c r="N721" s="32"/>
      <c r="O721" s="32"/>
    </row>
    <row r="722" spans="1:15" ht="13.2" customHeight="1">
      <c r="A722" s="4"/>
      <c r="B722" s="31" t="s">
        <v>25</v>
      </c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30"/>
    </row>
    <row r="723" spans="1:15" ht="13.2" customHeight="1">
      <c r="A723" s="4"/>
      <c r="B723" s="4"/>
      <c r="C723" s="4"/>
      <c r="D723" s="4"/>
      <c r="E723" s="4"/>
      <c r="F723" s="4"/>
      <c r="G723" s="4"/>
      <c r="H723" s="20"/>
      <c r="I723" s="20"/>
      <c r="J723" s="20"/>
      <c r="K723" s="14" t="s">
        <v>24</v>
      </c>
      <c r="L723" s="13"/>
      <c r="M723" s="13"/>
      <c r="N723" s="13"/>
      <c r="O723" s="13"/>
    </row>
    <row r="724" spans="1:15" ht="13.2" customHeight="1">
      <c r="A724" s="4"/>
      <c r="B724" s="4"/>
      <c r="C724" s="4"/>
      <c r="D724" s="4"/>
      <c r="E724" s="4"/>
      <c r="F724" s="4"/>
      <c r="G724" s="29"/>
      <c r="H724" s="28"/>
      <c r="I724" s="28"/>
      <c r="J724" s="70">
        <f t="shared" ref="J724:O724" si="75">J$264</f>
        <v>2018</v>
      </c>
      <c r="K724" s="10">
        <f t="shared" si="75"/>
        <v>2019</v>
      </c>
      <c r="L724" s="10">
        <f t="shared" si="75"/>
        <v>2020</v>
      </c>
      <c r="M724" s="10">
        <f t="shared" si="75"/>
        <v>2021</v>
      </c>
      <c r="N724" s="10">
        <f t="shared" si="75"/>
        <v>2022</v>
      </c>
      <c r="O724" s="10">
        <f t="shared" si="75"/>
        <v>2023</v>
      </c>
    </row>
    <row r="725" spans="1:15" ht="6" customHeight="1">
      <c r="A725" s="4"/>
      <c r="B725" s="4"/>
      <c r="C725" s="4"/>
      <c r="D725" s="4"/>
      <c r="E725" s="4"/>
      <c r="F725" s="16"/>
      <c r="G725" s="4"/>
      <c r="H725" s="4"/>
      <c r="I725" s="4"/>
      <c r="J725" s="4"/>
      <c r="K725" s="4"/>
      <c r="L725" s="4"/>
      <c r="M725" s="4"/>
      <c r="N725" s="4"/>
      <c r="O725" s="4"/>
    </row>
    <row r="726" spans="1:15" ht="13.2" customHeight="1">
      <c r="A726" s="4"/>
      <c r="B726" s="65"/>
      <c r="C726" s="65" t="s">
        <v>59</v>
      </c>
      <c r="D726" s="4"/>
      <c r="E726" s="4"/>
      <c r="F726" s="16"/>
      <c r="G726" s="4"/>
      <c r="H726" s="4"/>
      <c r="I726" s="4"/>
      <c r="J726" s="4"/>
      <c r="K726" s="4"/>
      <c r="L726" s="4"/>
      <c r="M726" s="4"/>
      <c r="N726" s="4"/>
      <c r="O726" s="4"/>
    </row>
    <row r="727" spans="1:15" ht="13.2" customHeight="1">
      <c r="A727" s="4"/>
      <c r="B727" s="4"/>
      <c r="C727" s="4"/>
      <c r="D727" s="4" t="s">
        <v>51</v>
      </c>
      <c r="E727" s="4"/>
      <c r="F727" s="16"/>
      <c r="G727" s="69"/>
      <c r="H727" s="4"/>
      <c r="I727" s="4"/>
      <c r="J727" s="4"/>
      <c r="K727" s="24">
        <f>J729</f>
        <v>100</v>
      </c>
      <c r="L727" s="24">
        <f>K729</f>
        <v>100</v>
      </c>
      <c r="M727" s="24">
        <f>L729</f>
        <v>100</v>
      </c>
      <c r="N727" s="24">
        <f>M729</f>
        <v>100</v>
      </c>
      <c r="O727" s="24">
        <f>N729</f>
        <v>100</v>
      </c>
    </row>
    <row r="728" spans="1:15" ht="13.2" customHeight="1">
      <c r="A728" s="4"/>
      <c r="B728" s="4"/>
      <c r="C728" s="4"/>
      <c r="D728" s="4" t="s">
        <v>58</v>
      </c>
      <c r="E728" s="4"/>
      <c r="F728" s="16"/>
      <c r="G728" s="4"/>
      <c r="H728" s="4"/>
      <c r="I728" s="4"/>
      <c r="J728" s="2"/>
      <c r="K728" s="49">
        <f>G151</f>
        <v>0</v>
      </c>
      <c r="L728" s="49">
        <f>H151</f>
        <v>0</v>
      </c>
      <c r="M728" s="49">
        <f>I151</f>
        <v>0</v>
      </c>
      <c r="N728" s="49">
        <f>J151</f>
        <v>0</v>
      </c>
      <c r="O728" s="49">
        <f>K151</f>
        <v>0</v>
      </c>
    </row>
    <row r="729" spans="1:15" ht="13.2" customHeight="1">
      <c r="A729" s="4"/>
      <c r="B729" s="4"/>
      <c r="C729" s="4"/>
      <c r="D729" s="4" t="s">
        <v>47</v>
      </c>
      <c r="E729" s="4"/>
      <c r="F729" s="16"/>
      <c r="G729" s="4"/>
      <c r="H729" s="4"/>
      <c r="I729" s="4"/>
      <c r="J729" s="27">
        <f>J474</f>
        <v>100</v>
      </c>
      <c r="K729" s="27">
        <f>SUM(K727:K728)</f>
        <v>100</v>
      </c>
      <c r="L729" s="27">
        <f>SUM(L727:L728)</f>
        <v>100</v>
      </c>
      <c r="M729" s="27">
        <f>SUM(M727:M728)</f>
        <v>100</v>
      </c>
      <c r="N729" s="27">
        <f>SUM(N727:N728)</f>
        <v>100</v>
      </c>
      <c r="O729" s="27">
        <f>SUM(O727:O728)</f>
        <v>100</v>
      </c>
    </row>
    <row r="730" spans="1:15" ht="13.2" customHeight="1">
      <c r="A730" s="4"/>
      <c r="B730" s="4"/>
      <c r="C730" s="4"/>
      <c r="D730" s="4"/>
      <c r="E730" s="4"/>
      <c r="F730" s="16"/>
      <c r="G730" s="4"/>
      <c r="H730" s="4"/>
      <c r="I730" s="4"/>
      <c r="J730" s="4"/>
      <c r="K730" s="4"/>
      <c r="L730" s="4"/>
      <c r="M730" s="4"/>
      <c r="N730" s="4"/>
      <c r="O730" s="4"/>
    </row>
    <row r="731" spans="1:15" ht="13.2" customHeight="1">
      <c r="A731" s="4"/>
      <c r="B731" s="4"/>
      <c r="C731" s="4"/>
      <c r="D731" s="4" t="s">
        <v>57</v>
      </c>
      <c r="E731" s="4"/>
      <c r="F731" s="16"/>
      <c r="G731" s="4"/>
      <c r="H731" s="4"/>
      <c r="I731" s="4"/>
      <c r="J731" s="4"/>
      <c r="K731" s="68">
        <f>E52</f>
        <v>0.08</v>
      </c>
      <c r="L731" s="68">
        <f>K731</f>
        <v>0.08</v>
      </c>
      <c r="M731" s="68">
        <f>L731</f>
        <v>0.08</v>
      </c>
      <c r="N731" s="68">
        <f>M731</f>
        <v>0.08</v>
      </c>
      <c r="O731" s="68">
        <f>N731</f>
        <v>0.08</v>
      </c>
    </row>
    <row r="732" spans="1:15" ht="13.2" customHeight="1">
      <c r="A732" s="4"/>
      <c r="B732" s="4"/>
      <c r="C732" s="65"/>
      <c r="D732" s="65" t="s">
        <v>49</v>
      </c>
      <c r="E732" s="4"/>
      <c r="F732" s="16"/>
      <c r="G732" s="4"/>
      <c r="H732" s="4"/>
      <c r="I732" s="4"/>
      <c r="J732" s="4"/>
      <c r="K732" s="67">
        <f>K731*AVERAGE(K729,K727)</f>
        <v>8</v>
      </c>
      <c r="L732" s="67">
        <f>L731*AVERAGE(L729,L727)</f>
        <v>8</v>
      </c>
      <c r="M732" s="67">
        <f>M731*AVERAGE(M729,M727)</f>
        <v>8</v>
      </c>
      <c r="N732" s="67">
        <f>N731*AVERAGE(N729,N727)</f>
        <v>8</v>
      </c>
      <c r="O732" s="67">
        <f>O731*AVERAGE(O729,O727)</f>
        <v>8</v>
      </c>
    </row>
    <row r="733" spans="1:15" ht="13.2" customHeight="1">
      <c r="A733" s="4"/>
      <c r="B733" s="4"/>
      <c r="C733" s="4"/>
      <c r="D733" s="4"/>
      <c r="E733" s="4"/>
      <c r="F733" s="16"/>
      <c r="G733" s="4"/>
      <c r="H733" s="4"/>
      <c r="I733" s="4"/>
      <c r="J733" s="4"/>
      <c r="K733" s="4"/>
      <c r="L733" s="4"/>
      <c r="M733" s="4"/>
      <c r="N733" s="4"/>
      <c r="O733" s="4"/>
    </row>
    <row r="734" spans="1:15" ht="13.2" customHeight="1">
      <c r="A734" s="4"/>
      <c r="B734" s="4"/>
      <c r="C734" s="4"/>
      <c r="D734" s="4"/>
      <c r="E734" s="4"/>
      <c r="F734" s="16"/>
      <c r="G734" s="4"/>
      <c r="H734" s="4"/>
      <c r="I734" s="4"/>
      <c r="J734" s="4"/>
      <c r="K734" s="4"/>
      <c r="L734" s="4"/>
      <c r="M734" s="4"/>
      <c r="N734" s="4"/>
      <c r="O734" s="4"/>
    </row>
    <row r="735" spans="1:15" ht="13.2" customHeight="1">
      <c r="A735" s="4"/>
      <c r="B735" s="65"/>
      <c r="C735" s="65" t="s">
        <v>56</v>
      </c>
      <c r="D735" s="4"/>
      <c r="E735" s="4"/>
      <c r="F735" s="16"/>
      <c r="G735" s="4"/>
      <c r="H735" s="4"/>
      <c r="I735" s="4"/>
      <c r="J735" s="4"/>
      <c r="K735" s="4"/>
      <c r="L735" s="4"/>
      <c r="M735" s="4"/>
      <c r="N735" s="4"/>
      <c r="O735" s="4"/>
    </row>
    <row r="736" spans="1:15" ht="13.2" customHeight="1">
      <c r="A736" s="4"/>
      <c r="B736" s="4"/>
      <c r="C736" s="4"/>
      <c r="D736" s="4" t="s">
        <v>51</v>
      </c>
      <c r="E736" s="4"/>
      <c r="F736" s="16"/>
      <c r="G736" s="69"/>
      <c r="H736" s="4"/>
      <c r="I736" s="4"/>
      <c r="J736" s="4"/>
      <c r="K736" s="24">
        <f>J738</f>
        <v>795.22424833292575</v>
      </c>
      <c r="L736" s="24">
        <f>K738</f>
        <v>795.22424833292575</v>
      </c>
      <c r="M736" s="24">
        <f>L738</f>
        <v>795.22424833292575</v>
      </c>
      <c r="N736" s="24">
        <f>M738</f>
        <v>795.22424833292575</v>
      </c>
      <c r="O736" s="24">
        <f>N738</f>
        <v>795.22424833292575</v>
      </c>
    </row>
    <row r="737" spans="1:15" ht="13.2" customHeight="1">
      <c r="A737" s="4"/>
      <c r="B737" s="4"/>
      <c r="C737" s="4"/>
      <c r="D737" s="4" t="s">
        <v>55</v>
      </c>
      <c r="E737" s="4"/>
      <c r="F737" s="16"/>
      <c r="G737" s="4"/>
      <c r="H737" s="4"/>
      <c r="I737" s="4"/>
      <c r="J737" s="2"/>
      <c r="K737" s="49">
        <f>G152</f>
        <v>0</v>
      </c>
      <c r="L737" s="49">
        <f>H152</f>
        <v>0</v>
      </c>
      <c r="M737" s="49">
        <f>I152</f>
        <v>0</v>
      </c>
      <c r="N737" s="49">
        <f>J152</f>
        <v>0</v>
      </c>
      <c r="O737" s="49">
        <f>K152</f>
        <v>0</v>
      </c>
    </row>
    <row r="738" spans="1:15" ht="13.2" customHeight="1">
      <c r="A738" s="4"/>
      <c r="B738" s="4"/>
      <c r="C738" s="4"/>
      <c r="D738" s="4" t="s">
        <v>47</v>
      </c>
      <c r="E738" s="4"/>
      <c r="F738" s="16"/>
      <c r="G738" s="4"/>
      <c r="H738" s="4"/>
      <c r="I738" s="4"/>
      <c r="J738" s="27">
        <f>J475</f>
        <v>795.22424833292575</v>
      </c>
      <c r="K738" s="27">
        <f>SUM(K736:K737)</f>
        <v>795.22424833292575</v>
      </c>
      <c r="L738" s="27">
        <f>SUM(L736:L737)</f>
        <v>795.22424833292575</v>
      </c>
      <c r="M738" s="27">
        <f>SUM(M736:M737)</f>
        <v>795.22424833292575</v>
      </c>
      <c r="N738" s="27">
        <f>SUM(N736:N737)</f>
        <v>795.22424833292575</v>
      </c>
      <c r="O738" s="27">
        <f>SUM(O736:O737)</f>
        <v>795.22424833292575</v>
      </c>
    </row>
    <row r="739" spans="1:15" ht="13.2" customHeight="1">
      <c r="A739" s="4"/>
      <c r="B739" s="4"/>
      <c r="C739" s="4"/>
      <c r="D739" s="4"/>
      <c r="E739" s="4"/>
      <c r="F739" s="16"/>
      <c r="G739" s="4"/>
      <c r="H739" s="4"/>
      <c r="I739" s="4"/>
      <c r="J739" s="4"/>
      <c r="K739" s="4"/>
      <c r="L739" s="4"/>
      <c r="M739" s="4"/>
      <c r="N739" s="4"/>
      <c r="O739" s="4"/>
    </row>
    <row r="740" spans="1:15" ht="13.2" customHeight="1">
      <c r="A740" s="4"/>
      <c r="B740" s="4"/>
      <c r="C740" s="4"/>
      <c r="D740" s="4" t="s">
        <v>54</v>
      </c>
      <c r="E740" s="4"/>
      <c r="F740" s="16"/>
      <c r="G740" s="4"/>
      <c r="H740" s="4"/>
      <c r="I740" s="4"/>
      <c r="J740" s="4"/>
      <c r="K740" s="68">
        <f>E53</f>
        <v>0</v>
      </c>
      <c r="L740" s="68">
        <f>K740</f>
        <v>0</v>
      </c>
      <c r="M740" s="68">
        <f>L740</f>
        <v>0</v>
      </c>
      <c r="N740" s="68">
        <f>M740</f>
        <v>0</v>
      </c>
      <c r="O740" s="68">
        <f>N740</f>
        <v>0</v>
      </c>
    </row>
    <row r="741" spans="1:15" ht="13.2" customHeight="1">
      <c r="A741" s="4"/>
      <c r="B741" s="4"/>
      <c r="C741" s="4"/>
      <c r="D741" s="4" t="s">
        <v>53</v>
      </c>
      <c r="E741" s="4"/>
      <c r="F741" s="16"/>
      <c r="G741" s="4"/>
      <c r="H741" s="4"/>
      <c r="I741" s="4"/>
      <c r="J741" s="4"/>
      <c r="K741" s="24">
        <f>K385</f>
        <v>14.312448544509198</v>
      </c>
      <c r="L741" s="24">
        <f>L385</f>
        <v>24.843558046547322</v>
      </c>
      <c r="M741" s="24">
        <f>M385</f>
        <v>47.057239089949221</v>
      </c>
      <c r="N741" s="24">
        <f>N385</f>
        <v>64.816571989054808</v>
      </c>
      <c r="O741" s="24">
        <f>O385</f>
        <v>89.982369322358224</v>
      </c>
    </row>
    <row r="742" spans="1:15" ht="13.2" customHeight="1">
      <c r="A742" s="4"/>
      <c r="B742" s="4"/>
      <c r="C742" s="65"/>
      <c r="D742" s="65" t="s">
        <v>48</v>
      </c>
      <c r="E742" s="4"/>
      <c r="F742" s="16"/>
      <c r="G742" s="4"/>
      <c r="H742" s="4"/>
      <c r="I742" s="4"/>
      <c r="J742" s="4"/>
      <c r="K742" s="67">
        <f>MAX(K741*K740,0)</f>
        <v>0</v>
      </c>
      <c r="L742" s="67">
        <f>MAX(L741*L740,0)</f>
        <v>0</v>
      </c>
      <c r="M742" s="67">
        <f>MAX(M741*M740,0)</f>
        <v>0</v>
      </c>
      <c r="N742" s="67">
        <f>MAX(N741*N740,0)</f>
        <v>0</v>
      </c>
      <c r="O742" s="67">
        <f>MAX(O741*O740,0)</f>
        <v>0</v>
      </c>
    </row>
    <row r="743" spans="1:15" ht="13.2" customHeight="1">
      <c r="A743" s="4"/>
      <c r="B743" s="4"/>
      <c r="C743" s="4"/>
      <c r="D743" s="4"/>
      <c r="E743" s="4"/>
      <c r="F743" s="16"/>
      <c r="G743" s="4"/>
      <c r="H743" s="4"/>
      <c r="I743" s="4"/>
      <c r="J743" s="4"/>
      <c r="K743" s="4"/>
      <c r="L743" s="4"/>
      <c r="M743" s="4"/>
      <c r="N743" s="4"/>
      <c r="O743" s="4"/>
    </row>
    <row r="744" spans="1:15" ht="13.2" customHeight="1">
      <c r="A744" s="4"/>
      <c r="B744" s="4"/>
      <c r="C744" s="4"/>
      <c r="D744" s="4"/>
      <c r="E744" s="4"/>
      <c r="F744" s="16"/>
      <c r="G744" s="4"/>
      <c r="H744" s="4"/>
      <c r="I744" s="4"/>
      <c r="J744" s="4"/>
      <c r="K744" s="4"/>
      <c r="L744" s="4"/>
      <c r="M744" s="4"/>
      <c r="N744" s="4"/>
      <c r="O744" s="4"/>
    </row>
    <row r="745" spans="1:15" ht="13.2" customHeight="1">
      <c r="A745" s="4"/>
      <c r="B745" s="65"/>
      <c r="C745" s="65" t="s">
        <v>52</v>
      </c>
      <c r="D745" s="4"/>
      <c r="E745" s="4"/>
      <c r="F745" s="16"/>
      <c r="G745" s="4"/>
      <c r="H745" s="4"/>
      <c r="I745" s="4"/>
      <c r="J745" s="4"/>
      <c r="K745" s="4"/>
      <c r="L745" s="4"/>
      <c r="M745" s="4"/>
      <c r="N745" s="4"/>
      <c r="O745" s="4"/>
    </row>
    <row r="746" spans="1:15" ht="13.2" customHeight="1">
      <c r="A746" s="4"/>
      <c r="B746" s="4"/>
      <c r="C746" s="4"/>
      <c r="D746" s="4" t="s">
        <v>51</v>
      </c>
      <c r="E746" s="4"/>
      <c r="F746" s="16"/>
      <c r="G746" s="4"/>
      <c r="H746" s="4"/>
      <c r="I746" s="4"/>
      <c r="J746" s="4"/>
      <c r="K746" s="24">
        <f>J750</f>
        <v>-23.842067444037014</v>
      </c>
      <c r="L746" s="24">
        <f>K750</f>
        <v>-9.529618899527815</v>
      </c>
      <c r="M746" s="24">
        <f>L750</f>
        <v>15.313939147019507</v>
      </c>
      <c r="N746" s="24">
        <f>M750</f>
        <v>62.371178236968731</v>
      </c>
      <c r="O746" s="24">
        <f>N750</f>
        <v>127.18775022602352</v>
      </c>
    </row>
    <row r="747" spans="1:15" ht="13.2" customHeight="1">
      <c r="A747" s="4"/>
      <c r="B747" s="4"/>
      <c r="C747" s="4"/>
      <c r="D747" s="4" t="s">
        <v>50</v>
      </c>
      <c r="E747" s="4"/>
      <c r="F747" s="16"/>
      <c r="G747" s="4"/>
      <c r="H747" s="4"/>
      <c r="I747" s="4"/>
      <c r="J747" s="4"/>
      <c r="K747" s="24">
        <f>K382</f>
        <v>22.312448544509198</v>
      </c>
      <c r="L747" s="24">
        <f>L382</f>
        <v>32.843558046547322</v>
      </c>
      <c r="M747" s="24">
        <f>M382</f>
        <v>55.057239089949221</v>
      </c>
      <c r="N747" s="24">
        <f>N382</f>
        <v>72.816571989054808</v>
      </c>
      <c r="O747" s="24">
        <f>O382</f>
        <v>97.982369322358224</v>
      </c>
    </row>
    <row r="748" spans="1:15" ht="13.2" customHeight="1">
      <c r="A748" s="4"/>
      <c r="B748" s="4"/>
      <c r="C748" s="4"/>
      <c r="D748" s="4" t="s">
        <v>49</v>
      </c>
      <c r="E748" s="4"/>
      <c r="F748" s="16"/>
      <c r="G748" s="4"/>
      <c r="H748" s="4"/>
      <c r="I748" s="4"/>
      <c r="J748" s="4"/>
      <c r="K748" s="24">
        <f>-K732</f>
        <v>-8</v>
      </c>
      <c r="L748" s="24">
        <f>-L732</f>
        <v>-8</v>
      </c>
      <c r="M748" s="24">
        <f>-M732</f>
        <v>-8</v>
      </c>
      <c r="N748" s="24">
        <f>-N732</f>
        <v>-8</v>
      </c>
      <c r="O748" s="24">
        <f>-O732</f>
        <v>-8</v>
      </c>
    </row>
    <row r="749" spans="1:15" ht="13.2" customHeight="1">
      <c r="A749" s="4"/>
      <c r="B749" s="4"/>
      <c r="C749" s="4"/>
      <c r="D749" s="4" t="s">
        <v>48</v>
      </c>
      <c r="E749" s="4"/>
      <c r="F749" s="16"/>
      <c r="G749" s="4"/>
      <c r="H749" s="4"/>
      <c r="I749" s="4"/>
      <c r="J749" s="2"/>
      <c r="K749" s="49">
        <f>-K742</f>
        <v>0</v>
      </c>
      <c r="L749" s="49">
        <f>-L742</f>
        <v>0</v>
      </c>
      <c r="M749" s="49">
        <f>-M742</f>
        <v>0</v>
      </c>
      <c r="N749" s="49">
        <f>-N742</f>
        <v>0</v>
      </c>
      <c r="O749" s="49">
        <f>-O742</f>
        <v>0</v>
      </c>
    </row>
    <row r="750" spans="1:15" ht="13.2" customHeight="1">
      <c r="A750" s="4"/>
      <c r="B750" s="4"/>
      <c r="C750" s="4"/>
      <c r="D750" s="65" t="s">
        <v>47</v>
      </c>
      <c r="E750" s="65"/>
      <c r="F750" s="66"/>
      <c r="G750" s="65"/>
      <c r="H750" s="65"/>
      <c r="I750" s="65"/>
      <c r="J750" s="64">
        <f>J476</f>
        <v>-23.842067444037014</v>
      </c>
      <c r="K750" s="64">
        <f>SUM(K746:K749)</f>
        <v>-9.529618899527815</v>
      </c>
      <c r="L750" s="64">
        <f>SUM(L746:L749)</f>
        <v>15.313939147019507</v>
      </c>
      <c r="M750" s="64">
        <f>SUM(M746:M749)</f>
        <v>62.371178236968731</v>
      </c>
      <c r="N750" s="64">
        <f>SUM(N746:N749)</f>
        <v>127.18775022602352</v>
      </c>
      <c r="O750" s="64">
        <f>SUM(O746:O749)</f>
        <v>217.17011954838176</v>
      </c>
    </row>
    <row r="751" spans="1:15" ht="13.2" customHeight="1">
      <c r="A751" s="4"/>
      <c r="B751" s="4"/>
      <c r="C751" s="4"/>
      <c r="D751" s="4"/>
      <c r="E751" s="4"/>
      <c r="F751" s="16"/>
      <c r="G751" s="4"/>
      <c r="H751" s="4"/>
      <c r="I751" s="4"/>
      <c r="J751" s="4"/>
      <c r="K751" s="4"/>
      <c r="L751" s="4"/>
      <c r="M751" s="4"/>
      <c r="N751" s="4"/>
      <c r="O751" s="4"/>
    </row>
    <row r="752" spans="1:15" ht="13.2" customHeight="1">
      <c r="A752" s="4"/>
      <c r="B752" s="2"/>
      <c r="C752" s="2"/>
      <c r="D752" s="2"/>
      <c r="E752" s="2"/>
      <c r="F752" s="3"/>
      <c r="G752" s="2"/>
      <c r="H752" s="2"/>
      <c r="I752" s="2"/>
      <c r="J752" s="2"/>
      <c r="K752" s="2"/>
      <c r="L752" s="2"/>
      <c r="M752" s="2"/>
      <c r="N752" s="2"/>
      <c r="O752" s="2"/>
    </row>
    <row r="753" spans="1:15" ht="13.2" customHeight="1">
      <c r="A753" s="4"/>
      <c r="B753" s="4"/>
      <c r="C753" s="4"/>
      <c r="D753" s="4"/>
      <c r="E753" s="4"/>
      <c r="F753" s="16"/>
      <c r="G753" s="4"/>
      <c r="H753" s="4"/>
      <c r="I753" s="4"/>
      <c r="J753" s="4"/>
      <c r="K753" s="4"/>
      <c r="L753" s="4"/>
      <c r="M753" s="4"/>
      <c r="N753" s="4"/>
      <c r="O753" s="4"/>
    </row>
    <row r="754" spans="1:15" ht="13.2" customHeight="1">
      <c r="A754" s="4"/>
      <c r="B754" s="4"/>
      <c r="C754" s="4"/>
      <c r="D754" s="4"/>
      <c r="E754" s="4"/>
      <c r="F754" s="16"/>
      <c r="G754" s="4"/>
      <c r="H754" s="4"/>
      <c r="I754" s="4"/>
      <c r="J754" s="4"/>
      <c r="K754" s="4"/>
      <c r="L754" s="4"/>
      <c r="M754" s="4"/>
      <c r="N754" s="4"/>
      <c r="O754" s="4"/>
    </row>
    <row r="755" spans="1:15" ht="13.2" customHeight="1">
      <c r="A755" s="4"/>
      <c r="B755" s="35"/>
      <c r="C755" s="20"/>
      <c r="D755" s="20"/>
      <c r="E755" s="20"/>
      <c r="F755" s="20"/>
      <c r="G755" s="20"/>
      <c r="H755" s="20"/>
      <c r="I755" s="20"/>
      <c r="J755" s="20"/>
      <c r="K755" s="20"/>
      <c r="L755" s="20"/>
      <c r="M755" s="20"/>
      <c r="N755" s="20"/>
      <c r="O755" s="36" t="str">
        <f>$O$258</f>
        <v>CURRENTLY RUNNING: BASE CASE SCENARIO</v>
      </c>
    </row>
    <row r="756" spans="1:15" ht="22.8" customHeight="1">
      <c r="A756" s="4"/>
      <c r="B756" s="35" t="str">
        <f>B259</f>
        <v>Lingoren Corp.</v>
      </c>
      <c r="C756" s="20"/>
      <c r="D756" s="20"/>
      <c r="E756" s="20"/>
      <c r="F756" s="20"/>
      <c r="G756" s="20"/>
      <c r="H756" s="20"/>
      <c r="I756" s="20"/>
      <c r="J756" s="20"/>
      <c r="K756" s="20"/>
      <c r="L756" s="20"/>
      <c r="M756" s="20"/>
      <c r="N756" s="20"/>
      <c r="O756" s="20"/>
    </row>
    <row r="757" spans="1:15" ht="18.75" customHeight="1">
      <c r="A757" s="4"/>
      <c r="B757" s="34" t="s">
        <v>46</v>
      </c>
      <c r="C757" s="20"/>
      <c r="D757" s="20"/>
      <c r="E757" s="20"/>
      <c r="F757" s="20"/>
      <c r="G757" s="20"/>
      <c r="H757" s="20"/>
      <c r="I757" s="20"/>
      <c r="J757" s="20"/>
      <c r="K757" s="20"/>
      <c r="L757" s="20"/>
      <c r="M757" s="20"/>
      <c r="N757" s="20"/>
      <c r="O757" s="20"/>
    </row>
    <row r="758" spans="1:15" ht="13.2" customHeight="1" thickBot="1">
      <c r="A758" s="4"/>
      <c r="B758" s="33"/>
      <c r="C758" s="32"/>
      <c r="D758" s="32"/>
      <c r="E758" s="32"/>
      <c r="F758" s="32"/>
      <c r="G758" s="32"/>
      <c r="H758" s="32"/>
      <c r="I758" s="32"/>
      <c r="J758" s="32"/>
      <c r="K758" s="32"/>
      <c r="L758" s="32"/>
      <c r="M758" s="32"/>
      <c r="N758" s="32"/>
      <c r="O758" s="32"/>
    </row>
    <row r="759" spans="1:15" ht="13.2" customHeight="1">
      <c r="A759" s="4"/>
      <c r="B759" s="31" t="s">
        <v>25</v>
      </c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30"/>
    </row>
    <row r="760" spans="1:15" ht="13.2" customHeight="1">
      <c r="A760" s="4"/>
      <c r="B760" s="4"/>
      <c r="C760" s="4"/>
      <c r="D760" s="4"/>
      <c r="E760" s="4"/>
      <c r="F760" s="4"/>
      <c r="G760" s="4"/>
      <c r="H760" s="20"/>
      <c r="I760" s="20"/>
      <c r="J760" s="20"/>
      <c r="K760" s="14" t="s">
        <v>24</v>
      </c>
      <c r="L760" s="13"/>
      <c r="M760" s="13"/>
      <c r="N760" s="13"/>
      <c r="O760" s="13"/>
    </row>
    <row r="761" spans="1:15" ht="13.2" customHeight="1">
      <c r="A761" s="4"/>
      <c r="B761" s="4"/>
      <c r="C761" s="4"/>
      <c r="D761" s="4"/>
      <c r="E761" s="4"/>
      <c r="F761" s="4"/>
      <c r="G761" s="29"/>
      <c r="H761" s="28"/>
      <c r="I761" s="20"/>
      <c r="J761" s="63" t="s">
        <v>45</v>
      </c>
      <c r="K761" s="10">
        <f>K$264</f>
        <v>2019</v>
      </c>
      <c r="L761" s="10">
        <f>L$264</f>
        <v>2020</v>
      </c>
      <c r="M761" s="10">
        <f>M$264</f>
        <v>2021</v>
      </c>
      <c r="N761" s="10">
        <f>N$264</f>
        <v>2022</v>
      </c>
      <c r="O761" s="10">
        <f>O$264</f>
        <v>2023</v>
      </c>
    </row>
    <row r="762" spans="1:15" ht="6" customHeight="1">
      <c r="A762" s="4"/>
      <c r="B762" s="4"/>
      <c r="C762" s="4"/>
      <c r="D762" s="4"/>
      <c r="E762" s="4"/>
      <c r="F762" s="16"/>
      <c r="G762" s="4"/>
      <c r="H762" s="4"/>
      <c r="I762" s="4"/>
      <c r="J762" s="4"/>
      <c r="K762" s="4"/>
      <c r="L762" s="4"/>
      <c r="M762" s="4"/>
      <c r="N762" s="4"/>
      <c r="O762" s="4"/>
    </row>
    <row r="763" spans="1:15" ht="13.2" customHeight="1">
      <c r="A763" s="4"/>
      <c r="B763" s="62" t="s">
        <v>44</v>
      </c>
      <c r="C763" s="61"/>
      <c r="D763" s="61"/>
      <c r="E763" s="61"/>
      <c r="F763" s="60"/>
      <c r="G763" s="59"/>
      <c r="H763" s="59"/>
      <c r="I763" s="59"/>
      <c r="J763" s="59"/>
      <c r="K763" s="59"/>
      <c r="L763" s="59"/>
      <c r="M763" s="59"/>
      <c r="N763" s="59"/>
      <c r="O763" s="58"/>
    </row>
    <row r="764" spans="1:15" ht="13.2" customHeight="1">
      <c r="A764" s="4"/>
      <c r="B764" s="56"/>
      <c r="C764" s="23" t="s">
        <v>43</v>
      </c>
      <c r="D764" s="23"/>
      <c r="E764" s="23"/>
      <c r="F764" s="25"/>
      <c r="G764" s="4"/>
      <c r="H764" s="4"/>
      <c r="I764" s="27"/>
      <c r="J764" s="27">
        <f>J447</f>
        <v>0</v>
      </c>
      <c r="K764" s="27">
        <f>K447</f>
        <v>16</v>
      </c>
      <c r="L764" s="27">
        <f>L447</f>
        <v>64.011538348517149</v>
      </c>
      <c r="M764" s="27">
        <f>M447</f>
        <v>145.15361534043814</v>
      </c>
      <c r="N764" s="27">
        <f>N447</f>
        <v>233.13773791815058</v>
      </c>
      <c r="O764" s="57">
        <f>O447</f>
        <v>309.3297167656213</v>
      </c>
    </row>
    <row r="765" spans="1:15" ht="13.2" customHeight="1">
      <c r="A765" s="4"/>
      <c r="B765" s="56"/>
      <c r="C765" s="23" t="s">
        <v>3</v>
      </c>
      <c r="D765" s="23"/>
      <c r="E765" s="23"/>
      <c r="F765" s="25"/>
      <c r="G765" s="4"/>
      <c r="H765" s="4"/>
      <c r="I765" s="24"/>
      <c r="J765" s="24">
        <f>J460</f>
        <v>79.097030148148121</v>
      </c>
      <c r="K765" s="24">
        <f>K460</f>
        <v>26.141317143891555</v>
      </c>
      <c r="L765" s="24">
        <f>L460</f>
        <v>0</v>
      </c>
      <c r="M765" s="24">
        <f>M460</f>
        <v>0</v>
      </c>
      <c r="N765" s="24">
        <f>N460</f>
        <v>0</v>
      </c>
      <c r="O765" s="53">
        <f>O460</f>
        <v>0</v>
      </c>
    </row>
    <row r="766" spans="1:15" ht="13.2" customHeight="1">
      <c r="A766" s="4"/>
      <c r="B766" s="56"/>
      <c r="C766" s="23" t="s">
        <v>42</v>
      </c>
      <c r="D766" s="23"/>
      <c r="E766" s="23"/>
      <c r="F766" s="25"/>
      <c r="G766" s="4"/>
      <c r="H766" s="4"/>
      <c r="I766" s="24"/>
      <c r="J766" s="24">
        <f>J466+J467</f>
        <v>815.03366581481464</v>
      </c>
      <c r="K766" s="24">
        <f>K466+K467</f>
        <v>415.25940827777765</v>
      </c>
      <c r="L766" s="24">
        <f>L466+L467</f>
        <v>380.3578437249073</v>
      </c>
      <c r="M766" s="24">
        <f>M466+M467</f>
        <v>350.39489999191198</v>
      </c>
      <c r="N766" s="24">
        <f>N466+N467</f>
        <v>308.77132376754508</v>
      </c>
      <c r="O766" s="53">
        <f>O466+O467</f>
        <v>262.1919787343453</v>
      </c>
    </row>
    <row r="767" spans="1:15" ht="13.2" customHeight="1">
      <c r="A767" s="4"/>
      <c r="B767" s="56"/>
      <c r="C767" s="23" t="s">
        <v>41</v>
      </c>
      <c r="D767" s="23"/>
      <c r="E767" s="23"/>
      <c r="F767" s="25"/>
      <c r="G767" s="4"/>
      <c r="H767" s="4"/>
      <c r="I767" s="24"/>
      <c r="J767" s="24">
        <f>J468</f>
        <v>237.29109044444436</v>
      </c>
      <c r="K767" s="24">
        <f>K468</f>
        <v>237.29109044444436</v>
      </c>
      <c r="L767" s="24">
        <f>L468</f>
        <v>237.29109044444436</v>
      </c>
      <c r="M767" s="24">
        <f>M468</f>
        <v>237.29109044444436</v>
      </c>
      <c r="N767" s="24">
        <f>N468</f>
        <v>237.29109044444436</v>
      </c>
      <c r="O767" s="53">
        <f>O468</f>
        <v>237.29109044444436</v>
      </c>
    </row>
    <row r="768" spans="1:15" ht="13.2" customHeight="1">
      <c r="A768" s="4"/>
      <c r="B768" s="56"/>
      <c r="C768" s="23" t="s">
        <v>40</v>
      </c>
      <c r="D768" s="23"/>
      <c r="E768" s="23"/>
      <c r="F768" s="25"/>
      <c r="G768" s="4"/>
      <c r="H768" s="4"/>
      <c r="I768" s="24"/>
      <c r="J768" s="698">
        <f>J469</f>
        <v>197.7425753703703</v>
      </c>
      <c r="K768" s="24">
        <f t="shared" ref="K768:O768" si="76">K469</f>
        <v>206.04776353592587</v>
      </c>
      <c r="L768" s="24">
        <f t="shared" si="76"/>
        <v>214.70176960443476</v>
      </c>
      <c r="M768" s="24">
        <f t="shared" si="76"/>
        <v>223.71924392782103</v>
      </c>
      <c r="N768" s="24">
        <f t="shared" si="76"/>
        <v>223.71924392782103</v>
      </c>
      <c r="O768" s="53">
        <f t="shared" si="76"/>
        <v>223.71924392782103</v>
      </c>
    </row>
    <row r="769" spans="1:17" ht="13.2" customHeight="1">
      <c r="A769" s="4"/>
      <c r="B769" s="54"/>
      <c r="C769" s="23" t="s">
        <v>1</v>
      </c>
      <c r="D769" s="23"/>
      <c r="E769" s="23"/>
      <c r="F769" s="25"/>
      <c r="G769" s="4"/>
      <c r="H769" s="4"/>
      <c r="I769" s="24"/>
      <c r="J769" s="24">
        <f t="shared" ref="J769:O769" si="77">SUM(J765:J768)</f>
        <v>1329.1643617777775</v>
      </c>
      <c r="K769" s="24">
        <f t="shared" si="77"/>
        <v>884.73957940203945</v>
      </c>
      <c r="L769" s="24">
        <f t="shared" si="77"/>
        <v>832.35070377378634</v>
      </c>
      <c r="M769" s="24">
        <f t="shared" si="77"/>
        <v>811.40523436417743</v>
      </c>
      <c r="N769" s="24">
        <f t="shared" si="77"/>
        <v>769.78165813981047</v>
      </c>
      <c r="O769" s="53">
        <f t="shared" si="77"/>
        <v>723.20231310661075</v>
      </c>
    </row>
    <row r="770" spans="1:17" ht="13.2" customHeight="1">
      <c r="A770" s="4"/>
      <c r="B770" s="54"/>
      <c r="C770" s="23" t="s">
        <v>39</v>
      </c>
      <c r="D770" s="23"/>
      <c r="E770" s="23"/>
      <c r="F770" s="25"/>
      <c r="G770" s="4"/>
      <c r="H770" s="4"/>
      <c r="I770" s="24"/>
      <c r="J770" s="24">
        <f t="shared" ref="J770:O770" si="78">J769-J764</f>
        <v>1329.1643617777775</v>
      </c>
      <c r="K770" s="24">
        <f t="shared" si="78"/>
        <v>868.73957940203945</v>
      </c>
      <c r="L770" s="24">
        <f t="shared" si="78"/>
        <v>768.33916542526913</v>
      </c>
      <c r="M770" s="24">
        <f t="shared" si="78"/>
        <v>666.25161902373929</v>
      </c>
      <c r="N770" s="24">
        <f t="shared" si="78"/>
        <v>536.64392022165987</v>
      </c>
      <c r="O770" s="53">
        <f t="shared" si="78"/>
        <v>413.87259634098945</v>
      </c>
    </row>
    <row r="771" spans="1:17" ht="13.2" customHeight="1">
      <c r="A771" s="4"/>
      <c r="B771" s="54"/>
      <c r="C771" s="23" t="s">
        <v>38</v>
      </c>
      <c r="D771" s="23"/>
      <c r="E771" s="23"/>
      <c r="F771" s="25"/>
      <c r="G771" s="4"/>
      <c r="H771" s="4"/>
      <c r="I771" s="24"/>
      <c r="J771" s="24">
        <f>J477</f>
        <v>871.3821808888888</v>
      </c>
      <c r="K771" s="24">
        <f>K477</f>
        <v>885.69462943339795</v>
      </c>
      <c r="L771" s="24">
        <f>L477</f>
        <v>910.53818747994524</v>
      </c>
      <c r="M771" s="24">
        <f>M477</f>
        <v>957.59542656989447</v>
      </c>
      <c r="N771" s="24">
        <f>N477</f>
        <v>1022.4119985589493</v>
      </c>
      <c r="O771" s="53">
        <f>O477</f>
        <v>1112.3943678813075</v>
      </c>
    </row>
    <row r="772" spans="1:17" ht="13.2" customHeight="1">
      <c r="A772" s="4"/>
      <c r="B772" s="54"/>
      <c r="C772" s="23" t="s">
        <v>37</v>
      </c>
      <c r="D772" s="23"/>
      <c r="E772" s="23"/>
      <c r="F772" s="25"/>
      <c r="G772" s="4"/>
      <c r="H772" s="4"/>
      <c r="I772" s="24"/>
      <c r="J772" s="24">
        <f t="shared" ref="J772:O772" si="79">J771+J770</f>
        <v>2200.546542666666</v>
      </c>
      <c r="K772" s="24">
        <f t="shared" si="79"/>
        <v>1754.4342088354374</v>
      </c>
      <c r="L772" s="24">
        <f t="shared" si="79"/>
        <v>1678.8773529052144</v>
      </c>
      <c r="M772" s="24">
        <f t="shared" si="79"/>
        <v>1623.8470455936338</v>
      </c>
      <c r="N772" s="24">
        <f t="shared" si="79"/>
        <v>1559.0559187806093</v>
      </c>
      <c r="O772" s="53">
        <f t="shared" si="79"/>
        <v>1526.266964222297</v>
      </c>
    </row>
    <row r="773" spans="1:17" ht="13.2" customHeight="1">
      <c r="A773" s="4"/>
      <c r="B773" s="54"/>
      <c r="C773" s="23"/>
      <c r="D773" s="23"/>
      <c r="E773" s="23"/>
      <c r="F773" s="25"/>
      <c r="G773" s="4"/>
      <c r="H773" s="4"/>
      <c r="I773" s="24"/>
      <c r="J773" s="24"/>
      <c r="K773" s="24"/>
      <c r="L773" s="24"/>
      <c r="M773" s="24"/>
      <c r="N773" s="24"/>
      <c r="O773" s="53"/>
    </row>
    <row r="774" spans="1:17" ht="13.2" customHeight="1">
      <c r="A774" s="4"/>
      <c r="B774" s="56" t="s">
        <v>36</v>
      </c>
      <c r="C774" s="23"/>
      <c r="D774" s="23"/>
      <c r="E774" s="23"/>
      <c r="F774" s="41"/>
      <c r="G774" s="4"/>
      <c r="H774" s="4"/>
      <c r="I774" s="4"/>
      <c r="J774" s="4"/>
      <c r="K774" s="4"/>
      <c r="L774" s="4"/>
      <c r="M774" s="4"/>
      <c r="N774" s="4"/>
      <c r="O774" s="55"/>
    </row>
    <row r="775" spans="1:17" ht="13.2" customHeight="1">
      <c r="A775" s="4"/>
      <c r="B775" s="54"/>
      <c r="C775" s="23" t="s">
        <v>23</v>
      </c>
      <c r="D775" s="23"/>
      <c r="E775" s="23"/>
      <c r="F775" s="25"/>
      <c r="G775" s="4"/>
      <c r="H775" s="4"/>
      <c r="I775" s="24"/>
      <c r="J775" s="24">
        <f>J367</f>
        <v>158.19406029629624</v>
      </c>
      <c r="K775" s="24">
        <f>K367</f>
        <v>140.28343822222212</v>
      </c>
      <c r="L775" s="24">
        <f>L367</f>
        <v>158.46792730105267</v>
      </c>
      <c r="M775" s="24">
        <f>M367</f>
        <v>194.01986350364791</v>
      </c>
      <c r="N775" s="24">
        <f>N367</f>
        <v>221.60494309016303</v>
      </c>
      <c r="O775" s="53">
        <f>O367</f>
        <v>260.47767259144712</v>
      </c>
    </row>
    <row r="776" spans="1:17" ht="13.2" customHeight="1">
      <c r="A776" s="4"/>
      <c r="B776" s="54"/>
      <c r="C776" s="23" t="s">
        <v>4</v>
      </c>
      <c r="D776" s="23"/>
      <c r="E776" s="23"/>
      <c r="F776" s="25"/>
      <c r="G776" s="4"/>
      <c r="H776" s="4"/>
      <c r="I776" s="24"/>
      <c r="J776" s="24"/>
      <c r="K776" s="24">
        <f>K374</f>
        <v>44.346594307592582</v>
      </c>
      <c r="L776" s="24">
        <f>L374</f>
        <v>44.229376460210631</v>
      </c>
      <c r="M776" s="24">
        <f>M374</f>
        <v>43.384418749879877</v>
      </c>
      <c r="N776" s="24">
        <f>N374</f>
        <v>41.375397722386424</v>
      </c>
      <c r="O776" s="53">
        <f>O374</f>
        <v>38.60266469166524</v>
      </c>
    </row>
    <row r="777" spans="1:17" ht="13.2" customHeight="1">
      <c r="A777" s="4"/>
      <c r="B777" s="52"/>
      <c r="C777" s="51" t="s">
        <v>35</v>
      </c>
      <c r="D777" s="51"/>
      <c r="E777" s="51"/>
      <c r="F777" s="50"/>
      <c r="G777" s="2"/>
      <c r="H777" s="2"/>
      <c r="I777" s="49"/>
      <c r="J777" s="49"/>
      <c r="K777" s="49">
        <f>-K413</f>
        <v>50</v>
      </c>
      <c r="L777" s="49">
        <f>-L413</f>
        <v>55</v>
      </c>
      <c r="M777" s="49">
        <f>-M413</f>
        <v>56.1</v>
      </c>
      <c r="N777" s="49">
        <f>-N413</f>
        <v>57.502499999999998</v>
      </c>
      <c r="O777" s="48">
        <f>-O413</f>
        <v>88.940062499999982</v>
      </c>
    </row>
    <row r="778" spans="1:17" ht="13.2" customHeight="1">
      <c r="A778" s="4"/>
      <c r="B778" s="4"/>
      <c r="C778" s="4"/>
      <c r="D778" s="4"/>
      <c r="E778" s="4"/>
      <c r="F778" s="16"/>
      <c r="G778" s="4"/>
      <c r="H778" s="4"/>
      <c r="I778" s="4"/>
      <c r="J778" s="4"/>
      <c r="K778" s="4"/>
      <c r="L778" s="4"/>
      <c r="M778" s="4"/>
      <c r="N778" s="4"/>
      <c r="O778" s="4"/>
    </row>
    <row r="779" spans="1:17" ht="13.2" customHeight="1">
      <c r="A779" s="4"/>
      <c r="B779" s="4"/>
      <c r="C779" s="4"/>
      <c r="D779" s="4"/>
      <c r="E779" s="4"/>
      <c r="F779" s="16"/>
      <c r="G779" s="4"/>
      <c r="H779" s="4"/>
      <c r="I779" s="4"/>
      <c r="J779" s="4"/>
      <c r="K779" s="4"/>
      <c r="L779" s="4"/>
      <c r="M779" s="4"/>
      <c r="N779" s="4"/>
      <c r="O779" s="4"/>
    </row>
    <row r="780" spans="1:17" ht="13.2" customHeight="1">
      <c r="A780" s="4"/>
      <c r="B780" s="4"/>
      <c r="C780" s="4"/>
      <c r="D780" s="4"/>
      <c r="E780" s="4"/>
      <c r="F780" s="16"/>
      <c r="G780" s="4"/>
      <c r="H780" s="4"/>
      <c r="I780" s="4"/>
      <c r="J780" s="4"/>
      <c r="K780" s="4"/>
      <c r="L780" s="4"/>
      <c r="M780" s="4"/>
      <c r="N780" s="4"/>
      <c r="O780" s="4"/>
    </row>
    <row r="781" spans="1:17" ht="13.2" customHeight="1">
      <c r="A781" s="4"/>
      <c r="B781" s="38" t="s">
        <v>34</v>
      </c>
      <c r="C781" s="4"/>
      <c r="D781" s="23"/>
      <c r="E781" s="23"/>
      <c r="F781" s="23"/>
      <c r="G781" s="4"/>
      <c r="H781" s="47" t="s">
        <v>32</v>
      </c>
      <c r="I781" s="46"/>
      <c r="J781" s="45">
        <f>I166</f>
        <v>3.25</v>
      </c>
      <c r="K781" s="45">
        <f>J781-$I$167</f>
        <v>3</v>
      </c>
      <c r="L781" s="45">
        <f>K781-$I$167</f>
        <v>2.75</v>
      </c>
      <c r="M781" s="45">
        <f>L781-$I$167</f>
        <v>2.5</v>
      </c>
      <c r="N781" s="45">
        <f>M781-$I$167</f>
        <v>2.25</v>
      </c>
      <c r="O781" s="44">
        <f>N781-$I$167</f>
        <v>2</v>
      </c>
    </row>
    <row r="782" spans="1:17" ht="6" customHeight="1">
      <c r="A782" s="4"/>
      <c r="B782" s="38"/>
      <c r="C782" s="4"/>
      <c r="D782" s="23"/>
      <c r="E782" s="23"/>
      <c r="F782" s="23"/>
      <c r="G782" s="4"/>
      <c r="H782" s="38"/>
      <c r="I782" s="4"/>
      <c r="J782" s="39"/>
      <c r="K782" s="39"/>
      <c r="L782" s="39"/>
      <c r="M782" s="39"/>
      <c r="N782" s="39"/>
      <c r="O782" s="39"/>
    </row>
    <row r="783" spans="1:17" ht="13.2" customHeight="1">
      <c r="A783" s="4"/>
      <c r="B783" s="38"/>
      <c r="C783" s="23" t="s">
        <v>34</v>
      </c>
      <c r="D783" s="23"/>
      <c r="E783" s="23"/>
      <c r="F783" s="23"/>
      <c r="G783" s="4"/>
      <c r="H783" s="23"/>
      <c r="I783" s="23"/>
      <c r="J783" s="37">
        <f t="shared" ref="J783:O783" si="80">(J766+J765)/J775</f>
        <v>5.6521129446217069</v>
      </c>
      <c r="K783" s="37">
        <f t="shared" si="80"/>
        <v>3.1464920664579741</v>
      </c>
      <c r="L783" s="37">
        <f t="shared" si="80"/>
        <v>2.4002197176613205</v>
      </c>
      <c r="M783" s="37">
        <f t="shared" si="80"/>
        <v>1.8059743660489893</v>
      </c>
      <c r="N783" s="37">
        <f t="shared" si="80"/>
        <v>1.3933413192950177</v>
      </c>
      <c r="O783" s="37">
        <f t="shared" si="80"/>
        <v>1.0065813938133079</v>
      </c>
      <c r="Q783" s="30"/>
    </row>
    <row r="784" spans="1:17" ht="13.2" customHeight="1">
      <c r="A784" s="4"/>
      <c r="B784" s="4"/>
      <c r="C784" s="23"/>
      <c r="D784" s="43" t="s">
        <v>8</v>
      </c>
      <c r="E784" s="23"/>
      <c r="F784" s="41"/>
      <c r="G784" s="4"/>
      <c r="H784" s="23"/>
      <c r="I784" s="23"/>
      <c r="J784" s="42"/>
      <c r="K784" s="699">
        <f>K775 - ((K765 + K766 ) / K781 )</f>
        <v>-6.8501369183343002</v>
      </c>
      <c r="L784" s="699">
        <f t="shared" ref="L784:O784" si="81">L775 - ((L765 + L766 ) / L781 )</f>
        <v>20.155984128359108</v>
      </c>
      <c r="M784" s="699">
        <f t="shared" si="81"/>
        <v>53.861903506883124</v>
      </c>
      <c r="N784" s="699">
        <f t="shared" si="81"/>
        <v>84.37324363792078</v>
      </c>
      <c r="O784" s="699">
        <f t="shared" si="81"/>
        <v>129.38168322427447</v>
      </c>
    </row>
    <row r="785" spans="1:17" ht="13.2" customHeight="1">
      <c r="A785" s="4"/>
      <c r="B785" s="4"/>
      <c r="C785" s="23"/>
      <c r="D785" s="23"/>
      <c r="E785" s="23"/>
      <c r="F785" s="41"/>
      <c r="G785" s="4"/>
      <c r="H785" s="23"/>
      <c r="I785" s="23"/>
      <c r="J785" s="4"/>
      <c r="K785" s="4"/>
      <c r="L785" s="4"/>
      <c r="M785" s="4"/>
      <c r="N785" s="4"/>
      <c r="O785" s="4"/>
    </row>
    <row r="786" spans="1:17" ht="13.2" customHeight="1">
      <c r="A786" s="4"/>
      <c r="B786" s="38" t="s">
        <v>33</v>
      </c>
      <c r="C786" s="4"/>
      <c r="D786" s="23"/>
      <c r="E786" s="23"/>
      <c r="F786" s="23"/>
      <c r="G786" s="4"/>
      <c r="H786" s="47" t="s">
        <v>32</v>
      </c>
      <c r="I786" s="46"/>
      <c r="J786" s="45">
        <f>I201</f>
        <v>3</v>
      </c>
      <c r="K786" s="45">
        <f>J786</f>
        <v>3</v>
      </c>
      <c r="L786" s="45">
        <f>K786</f>
        <v>3</v>
      </c>
      <c r="M786" s="45">
        <f>L786</f>
        <v>3</v>
      </c>
      <c r="N786" s="45">
        <f>M786</f>
        <v>3</v>
      </c>
      <c r="O786" s="44">
        <f>N786</f>
        <v>3</v>
      </c>
    </row>
    <row r="787" spans="1:17" ht="6" customHeight="1">
      <c r="A787" s="4"/>
      <c r="B787" s="38"/>
      <c r="C787" s="4"/>
      <c r="D787" s="23"/>
      <c r="E787" s="23"/>
      <c r="F787" s="23"/>
      <c r="G787" s="38"/>
      <c r="H787" s="4"/>
      <c r="I787" s="4"/>
      <c r="J787" s="39"/>
      <c r="K787" s="39"/>
      <c r="L787" s="39"/>
      <c r="M787" s="39"/>
      <c r="N787" s="39"/>
      <c r="O787" s="39"/>
    </row>
    <row r="788" spans="1:17" ht="13.2" customHeight="1">
      <c r="A788" s="4"/>
      <c r="B788" s="38"/>
      <c r="C788" s="23" t="s">
        <v>31</v>
      </c>
      <c r="D788" s="23"/>
      <c r="E788" s="23"/>
      <c r="F788" s="23"/>
      <c r="G788" s="23"/>
      <c r="H788" s="23"/>
      <c r="I788" s="4"/>
      <c r="J788" s="4"/>
      <c r="K788" s="37">
        <f>K775/K776</f>
        <v>3.1633418622679708</v>
      </c>
      <c r="L788" s="37">
        <f>L775/L776</f>
        <v>3.5828659588636218</v>
      </c>
      <c r="M788" s="37">
        <f>M775/M776</f>
        <v>4.4721093216025887</v>
      </c>
      <c r="N788" s="37">
        <f>N775/N776</f>
        <v>5.3559592242967673</v>
      </c>
      <c r="O788" s="37">
        <f>O775/O776</f>
        <v>6.7476604185743492</v>
      </c>
      <c r="Q788" s="30"/>
    </row>
    <row r="789" spans="1:17" ht="13.2" customHeight="1">
      <c r="A789" s="4"/>
      <c r="B789" s="4"/>
      <c r="C789" s="23"/>
      <c r="D789" s="43" t="s">
        <v>8</v>
      </c>
      <c r="E789" s="23"/>
      <c r="F789" s="41"/>
      <c r="G789" s="23"/>
      <c r="H789" s="23"/>
      <c r="I789" s="4"/>
      <c r="J789" s="4"/>
      <c r="K789" s="42">
        <f>K775-(K776*K786)</f>
        <v>7.2436552994443559</v>
      </c>
      <c r="L789" s="42">
        <f>L775-(L776*L786)</f>
        <v>25.779797920420776</v>
      </c>
      <c r="M789" s="42">
        <f>M775-(M776*M786)</f>
        <v>63.866607254008272</v>
      </c>
      <c r="N789" s="42">
        <f>N775-(N776*N786)</f>
        <v>97.478749923003761</v>
      </c>
      <c r="O789" s="42">
        <f>O775-(O776*O786)</f>
        <v>144.6696785164514</v>
      </c>
    </row>
    <row r="790" spans="1:17" ht="13.2" customHeight="1">
      <c r="A790" s="4"/>
      <c r="B790" s="4"/>
      <c r="C790" s="23"/>
      <c r="D790" s="23"/>
      <c r="E790" s="23"/>
      <c r="F790" s="41"/>
      <c r="G790" s="23"/>
      <c r="H790" s="23"/>
      <c r="I790" s="4"/>
      <c r="J790" s="4"/>
      <c r="K790" s="4"/>
      <c r="L790" s="4"/>
      <c r="M790" s="4"/>
      <c r="N790" s="4"/>
      <c r="O790" s="4"/>
    </row>
    <row r="791" spans="1:17" ht="13.2" customHeight="1">
      <c r="A791" s="4"/>
      <c r="B791" s="4"/>
      <c r="C791" s="23"/>
      <c r="D791" s="23"/>
      <c r="E791" s="23"/>
      <c r="F791" s="41"/>
      <c r="G791" s="23"/>
      <c r="H791" s="23"/>
      <c r="I791" s="4"/>
      <c r="J791" s="4"/>
      <c r="K791" s="4"/>
      <c r="L791" s="4"/>
      <c r="M791" s="4"/>
      <c r="N791" s="4"/>
      <c r="O791" s="4"/>
    </row>
    <row r="792" spans="1:17" ht="13.2" customHeight="1">
      <c r="A792" s="4"/>
      <c r="B792" s="38" t="s">
        <v>30</v>
      </c>
      <c r="C792" s="23"/>
      <c r="D792" s="23"/>
      <c r="E792" s="23"/>
      <c r="F792" s="41"/>
      <c r="G792" s="23"/>
      <c r="H792" s="23"/>
      <c r="I792" s="4"/>
      <c r="J792" s="4"/>
      <c r="K792" s="4"/>
      <c r="L792" s="4"/>
      <c r="M792" s="4"/>
      <c r="N792" s="4"/>
      <c r="O792" s="4"/>
    </row>
    <row r="793" spans="1:17" ht="6" customHeight="1">
      <c r="A793" s="4"/>
      <c r="B793" s="38"/>
      <c r="C793" s="4"/>
      <c r="D793" s="23"/>
      <c r="E793" s="23"/>
      <c r="F793" s="23"/>
      <c r="G793" s="38"/>
      <c r="H793" s="4"/>
      <c r="I793" s="4"/>
      <c r="J793" s="39"/>
      <c r="K793" s="39"/>
      <c r="L793" s="39"/>
      <c r="M793" s="39"/>
      <c r="N793" s="39"/>
      <c r="O793" s="39"/>
    </row>
    <row r="794" spans="1:17" ht="13.2" customHeight="1">
      <c r="A794" s="4"/>
      <c r="B794" s="38"/>
      <c r="C794" s="23" t="s">
        <v>29</v>
      </c>
      <c r="D794" s="23"/>
      <c r="E794" s="23"/>
      <c r="F794" s="23"/>
      <c r="G794" s="23"/>
      <c r="H794" s="23"/>
      <c r="I794" s="4"/>
      <c r="J794" s="37">
        <f t="shared" ref="J794:O794" si="82">J768/J775</f>
        <v>1.25</v>
      </c>
      <c r="K794" s="37">
        <f t="shared" si="82"/>
        <v>1.4687960756246001</v>
      </c>
      <c r="L794" s="37">
        <f t="shared" si="82"/>
        <v>1.3548594549138684</v>
      </c>
      <c r="M794" s="37">
        <f t="shared" si="82"/>
        <v>1.1530739167003625</v>
      </c>
      <c r="N794" s="37">
        <f t="shared" si="82"/>
        <v>1.0095408559401933</v>
      </c>
      <c r="O794" s="37">
        <f t="shared" si="82"/>
        <v>0.85888069292879166</v>
      </c>
    </row>
    <row r="795" spans="1:17" ht="6" customHeight="1">
      <c r="A795" s="4"/>
      <c r="B795" s="38"/>
      <c r="C795" s="4"/>
      <c r="D795" s="23"/>
      <c r="E795" s="23"/>
      <c r="F795" s="23"/>
      <c r="G795" s="38"/>
      <c r="H795" s="4"/>
      <c r="I795" s="4"/>
      <c r="J795" s="37"/>
      <c r="K795" s="37"/>
      <c r="L795" s="37"/>
      <c r="M795" s="37"/>
      <c r="N795" s="37"/>
      <c r="O795" s="37"/>
    </row>
    <row r="796" spans="1:17" ht="13.2" customHeight="1">
      <c r="A796" s="4"/>
      <c r="B796" s="38"/>
      <c r="C796" s="23" t="s">
        <v>2</v>
      </c>
      <c r="D796" s="23"/>
      <c r="E796" s="23"/>
      <c r="F796" s="23"/>
      <c r="G796" s="23"/>
      <c r="H796" s="23"/>
      <c r="I796" s="4"/>
      <c r="J796" s="37">
        <f t="shared" ref="J796:O796" si="83">J769/J775</f>
        <v>8.402112944621706</v>
      </c>
      <c r="K796" s="37">
        <f t="shared" si="83"/>
        <v>6.3067999374276029</v>
      </c>
      <c r="L796" s="37">
        <f t="shared" si="83"/>
        <v>5.2524868467075434</v>
      </c>
      <c r="M796" s="37">
        <f t="shared" si="83"/>
        <v>4.1820730089778753</v>
      </c>
      <c r="N796" s="37">
        <f t="shared" si="83"/>
        <v>3.4736664598073257</v>
      </c>
      <c r="O796" s="37">
        <f t="shared" si="83"/>
        <v>2.7764464643422087</v>
      </c>
    </row>
    <row r="797" spans="1:17" ht="6" customHeight="1">
      <c r="A797" s="4"/>
      <c r="B797" s="38"/>
      <c r="C797" s="4"/>
      <c r="D797" s="23"/>
      <c r="E797" s="23"/>
      <c r="F797" s="23"/>
      <c r="G797" s="38"/>
      <c r="H797" s="4"/>
      <c r="I797" s="4"/>
      <c r="J797" s="39"/>
      <c r="K797" s="39"/>
      <c r="L797" s="39"/>
      <c r="M797" s="39"/>
      <c r="N797" s="39"/>
      <c r="O797" s="39"/>
    </row>
    <row r="798" spans="1:17" ht="13.2" customHeight="1">
      <c r="A798" s="4"/>
      <c r="B798" s="38"/>
      <c r="C798" s="23" t="s">
        <v>28</v>
      </c>
      <c r="D798" s="23"/>
      <c r="E798" s="23"/>
      <c r="F798" s="23"/>
      <c r="G798" s="23"/>
      <c r="H798" s="23"/>
      <c r="I798" s="4"/>
      <c r="J798" s="4"/>
      <c r="K798" s="40">
        <f>K770/K772</f>
        <v>0.49516794361795619</v>
      </c>
      <c r="L798" s="40">
        <f>L770/L772</f>
        <v>0.4576505627976315</v>
      </c>
      <c r="M798" s="40">
        <f>M770/M772</f>
        <v>0.41029210283790984</v>
      </c>
      <c r="N798" s="40">
        <f>N770/N772</f>
        <v>0.34421082256073748</v>
      </c>
      <c r="O798" s="40">
        <f>O770/O772</f>
        <v>0.27116658228390372</v>
      </c>
    </row>
    <row r="799" spans="1:17" ht="3" customHeight="1">
      <c r="A799" s="4"/>
      <c r="B799" s="38"/>
      <c r="C799" s="4"/>
      <c r="D799" s="23"/>
      <c r="E799" s="23"/>
      <c r="F799" s="23"/>
      <c r="G799" s="38"/>
      <c r="H799" s="4"/>
      <c r="I799" s="4"/>
      <c r="J799" s="4"/>
      <c r="K799" s="39"/>
      <c r="L799" s="39"/>
      <c r="M799" s="39"/>
      <c r="N799" s="39"/>
      <c r="O799" s="39"/>
    </row>
    <row r="800" spans="1:17" ht="13.2" customHeight="1">
      <c r="A800" s="4"/>
      <c r="B800" s="38"/>
      <c r="C800" s="23" t="s">
        <v>27</v>
      </c>
      <c r="D800" s="23"/>
      <c r="E800" s="23"/>
      <c r="F800" s="23"/>
      <c r="G800" s="23"/>
      <c r="H800" s="23"/>
      <c r="I800" s="4"/>
      <c r="J800" s="4"/>
      <c r="K800" s="37">
        <f>(K775-K777)/K776</f>
        <v>2.0358595655848295</v>
      </c>
      <c r="L800" s="37">
        <f>(L775-L777)/L776</f>
        <v>2.3393485412152231</v>
      </c>
      <c r="M800" s="37">
        <f>(M775-M777)/M776</f>
        <v>3.1790183544646382</v>
      </c>
      <c r="N800" s="37">
        <f>(N775-N777)/N776</f>
        <v>3.9661840640476638</v>
      </c>
      <c r="O800" s="37">
        <f>(O775-O777)/O776</f>
        <v>4.4436727739285855</v>
      </c>
    </row>
    <row r="801" spans="1:15" ht="13.2" customHeight="1">
      <c r="A801" s="4"/>
      <c r="B801" s="2"/>
      <c r="C801" s="2"/>
      <c r="D801" s="2"/>
      <c r="E801" s="2"/>
      <c r="F801" s="3"/>
      <c r="G801" s="2"/>
      <c r="H801" s="2"/>
      <c r="I801" s="2"/>
      <c r="J801" s="2"/>
      <c r="K801" s="2"/>
      <c r="L801" s="2"/>
      <c r="M801" s="2"/>
      <c r="N801" s="2"/>
      <c r="O801" s="2"/>
    </row>
    <row r="802" spans="1:15" ht="13.2" customHeight="1">
      <c r="A802" s="4"/>
      <c r="B802" s="4"/>
      <c r="C802" s="4"/>
      <c r="D802" s="4"/>
      <c r="E802" s="4"/>
      <c r="F802" s="16"/>
      <c r="G802" s="4"/>
      <c r="H802" s="4"/>
      <c r="I802" s="4"/>
      <c r="J802" s="4"/>
      <c r="K802" s="4"/>
      <c r="L802" s="4"/>
      <c r="M802" s="4"/>
      <c r="N802" s="4"/>
      <c r="O802" s="4"/>
    </row>
    <row r="803" spans="1:15" ht="13.2" customHeight="1">
      <c r="A803" s="4"/>
      <c r="B803" s="4"/>
      <c r="C803" s="4"/>
      <c r="D803" s="4"/>
      <c r="E803" s="4"/>
      <c r="F803" s="16"/>
      <c r="G803" s="4"/>
      <c r="H803" s="4"/>
      <c r="I803" s="4"/>
      <c r="J803" s="4"/>
      <c r="K803" s="4"/>
      <c r="L803" s="4"/>
      <c r="M803" s="4"/>
      <c r="N803" s="4"/>
      <c r="O803" s="4"/>
    </row>
    <row r="804" spans="1:15" ht="13.2" customHeight="1">
      <c r="A804" s="4"/>
      <c r="B804" s="35"/>
      <c r="C804" s="20"/>
      <c r="D804" s="20"/>
      <c r="E804" s="20"/>
      <c r="F804" s="20"/>
      <c r="G804" s="20"/>
      <c r="H804" s="20"/>
      <c r="I804" s="20"/>
      <c r="J804" s="20"/>
      <c r="K804" s="20"/>
      <c r="L804" s="20"/>
      <c r="M804" s="20"/>
      <c r="N804" s="20"/>
      <c r="O804" s="36" t="str">
        <f>$O$258</f>
        <v>CURRENTLY RUNNING: BASE CASE SCENARIO</v>
      </c>
    </row>
    <row r="805" spans="1:15" ht="22.8" customHeight="1">
      <c r="A805" s="4"/>
      <c r="B805" s="35" t="str">
        <f>B756</f>
        <v>Lingoren Corp.</v>
      </c>
      <c r="C805" s="20"/>
      <c r="D805" s="20"/>
      <c r="E805" s="20"/>
      <c r="F805" s="20"/>
      <c r="G805" s="20"/>
      <c r="H805" s="20"/>
      <c r="I805" s="20"/>
      <c r="J805" s="20"/>
      <c r="K805" s="20"/>
      <c r="L805" s="20"/>
      <c r="M805" s="20"/>
      <c r="N805" s="20"/>
      <c r="O805" s="20"/>
    </row>
    <row r="806" spans="1:15" ht="18.75" customHeight="1">
      <c r="A806" s="4"/>
      <c r="B806" s="34" t="s">
        <v>26</v>
      </c>
      <c r="C806" s="20"/>
      <c r="D806" s="20"/>
      <c r="E806" s="20"/>
      <c r="F806" s="20"/>
      <c r="G806" s="20"/>
      <c r="H806" s="20"/>
      <c r="I806" s="20"/>
      <c r="J806" s="20"/>
      <c r="K806" s="20"/>
      <c r="L806" s="20"/>
      <c r="M806" s="20"/>
      <c r="N806" s="20"/>
      <c r="O806" s="20"/>
    </row>
    <row r="807" spans="1:15" ht="13.2" customHeight="1" thickBot="1">
      <c r="A807" s="4"/>
      <c r="B807" s="33"/>
      <c r="C807" s="32"/>
      <c r="D807" s="32"/>
      <c r="E807" s="32"/>
      <c r="F807" s="32"/>
      <c r="G807" s="32"/>
      <c r="H807" s="32"/>
      <c r="I807" s="32"/>
      <c r="J807" s="32"/>
      <c r="K807" s="32"/>
      <c r="L807" s="32"/>
      <c r="M807" s="32"/>
      <c r="N807" s="32"/>
      <c r="O807" s="32"/>
    </row>
    <row r="808" spans="1:15" ht="13.2" customHeight="1">
      <c r="A808" s="4"/>
      <c r="B808" s="31" t="s">
        <v>25</v>
      </c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30"/>
    </row>
    <row r="809" spans="1:15" ht="13.2" customHeight="1">
      <c r="A809" s="4"/>
      <c r="B809" s="4"/>
      <c r="C809" s="4"/>
      <c r="D809" s="4"/>
      <c r="E809" s="4"/>
      <c r="F809" s="4"/>
      <c r="G809" s="4"/>
      <c r="H809" s="20"/>
      <c r="I809" s="20"/>
      <c r="J809" s="20"/>
      <c r="K809" s="14" t="s">
        <v>24</v>
      </c>
      <c r="L809" s="13"/>
      <c r="M809" s="13"/>
      <c r="N809" s="13"/>
      <c r="O809" s="13"/>
    </row>
    <row r="810" spans="1:15" ht="13.2" customHeight="1">
      <c r="A810" s="4"/>
      <c r="B810" s="4"/>
      <c r="C810" s="4"/>
      <c r="D810" s="4"/>
      <c r="E810" s="4"/>
      <c r="F810" s="4"/>
      <c r="G810" s="29"/>
      <c r="H810" s="28"/>
      <c r="I810" s="28"/>
      <c r="J810" s="20"/>
      <c r="K810" s="10">
        <f>K$264</f>
        <v>2019</v>
      </c>
      <c r="L810" s="10">
        <f>L$264</f>
        <v>2020</v>
      </c>
      <c r="M810" s="10">
        <f>M$264</f>
        <v>2021</v>
      </c>
      <c r="N810" s="10">
        <f>N$264</f>
        <v>2022</v>
      </c>
      <c r="O810" s="10">
        <f>O$264</f>
        <v>2023</v>
      </c>
    </row>
    <row r="811" spans="1:15" ht="13.2" customHeight="1">
      <c r="A811" s="4"/>
      <c r="B811" s="4"/>
      <c r="C811" s="4"/>
      <c r="D811" s="4"/>
      <c r="E811" s="4"/>
      <c r="F811" s="16"/>
      <c r="G811" s="4"/>
      <c r="H811" s="4"/>
      <c r="I811" s="4"/>
      <c r="J811" s="20"/>
      <c r="K811" s="4"/>
      <c r="L811" s="4"/>
      <c r="M811" s="4"/>
      <c r="N811" s="4"/>
      <c r="O811" s="4"/>
    </row>
    <row r="812" spans="1:15" ht="13.2" customHeight="1">
      <c r="A812" s="4"/>
      <c r="B812" s="23"/>
      <c r="C812" s="23" t="s">
        <v>23</v>
      </c>
      <c r="D812" s="23"/>
      <c r="E812" s="23"/>
      <c r="F812" s="25"/>
      <c r="G812" s="4"/>
      <c r="H812" s="4"/>
      <c r="I812" s="4"/>
      <c r="J812" s="20"/>
      <c r="K812" s="27">
        <f>K367</f>
        <v>140.28343822222212</v>
      </c>
      <c r="L812" s="27">
        <f>L367</f>
        <v>158.46792730105267</v>
      </c>
      <c r="M812" s="27">
        <f>M367</f>
        <v>194.01986350364791</v>
      </c>
      <c r="N812" s="27">
        <f>N367</f>
        <v>221.60494309016303</v>
      </c>
      <c r="O812" s="27">
        <f>O367</f>
        <v>260.47767259144712</v>
      </c>
    </row>
    <row r="813" spans="1:15" ht="13.2" customHeight="1">
      <c r="A813" s="4"/>
      <c r="B813" s="4"/>
      <c r="C813" s="23" t="s">
        <v>22</v>
      </c>
      <c r="D813" s="23"/>
      <c r="E813" s="23"/>
      <c r="F813" s="25"/>
      <c r="G813" s="4"/>
      <c r="H813" s="4"/>
      <c r="I813" s="4"/>
      <c r="J813" s="20"/>
      <c r="K813" s="26">
        <f>G33</f>
        <v>9</v>
      </c>
      <c r="L813" s="26">
        <f>K813</f>
        <v>9</v>
      </c>
      <c r="M813" s="26">
        <f>L813</f>
        <v>9</v>
      </c>
      <c r="N813" s="26">
        <f>M813</f>
        <v>9</v>
      </c>
      <c r="O813" s="26">
        <f>N813</f>
        <v>9</v>
      </c>
    </row>
    <row r="814" spans="1:15" ht="13.2" customHeight="1">
      <c r="A814" s="4"/>
      <c r="B814" s="4"/>
      <c r="C814" s="21" t="s">
        <v>21</v>
      </c>
      <c r="D814" s="4"/>
      <c r="E814" s="4"/>
      <c r="F814" s="16"/>
      <c r="G814" s="4"/>
      <c r="H814" s="4"/>
      <c r="I814" s="4"/>
      <c r="J814" s="20"/>
      <c r="K814" s="19">
        <f>K812*K813</f>
        <v>1262.5509439999992</v>
      </c>
      <c r="L814" s="19">
        <f>L812*L813</f>
        <v>1426.211345709474</v>
      </c>
      <c r="M814" s="19">
        <f>M812*M813</f>
        <v>1746.1787715328312</v>
      </c>
      <c r="N814" s="19">
        <f>N812*N813</f>
        <v>1994.4444878114673</v>
      </c>
      <c r="O814" s="19">
        <f>O812*O813</f>
        <v>2344.2990533230241</v>
      </c>
    </row>
    <row r="815" spans="1:15" ht="13.2" customHeight="1">
      <c r="A815" s="4"/>
      <c r="B815" s="4"/>
      <c r="C815" s="4"/>
      <c r="D815" s="4"/>
      <c r="E815" s="4"/>
      <c r="F815" s="16"/>
      <c r="G815" s="4"/>
      <c r="H815" s="4"/>
      <c r="I815" s="4"/>
      <c r="J815" s="4"/>
      <c r="K815" s="4"/>
      <c r="L815" s="4"/>
      <c r="M815" s="4"/>
      <c r="N815" s="4"/>
      <c r="O815" s="4"/>
    </row>
    <row r="816" spans="1:15" ht="13.2" customHeight="1">
      <c r="A816" s="4"/>
      <c r="B816" s="23"/>
      <c r="C816" s="23" t="s">
        <v>20</v>
      </c>
      <c r="D816" s="23"/>
      <c r="E816" s="23"/>
      <c r="F816" s="25"/>
      <c r="G816" s="4"/>
      <c r="H816" s="4"/>
      <c r="I816" s="4"/>
      <c r="J816" s="20"/>
      <c r="K816" s="698">
        <f>K770</f>
        <v>868.73957940203945</v>
      </c>
      <c r="L816" s="698">
        <f t="shared" ref="L816:O816" si="84">L770</f>
        <v>768.33916542526913</v>
      </c>
      <c r="M816" s="698">
        <f t="shared" si="84"/>
        <v>666.25161902373929</v>
      </c>
      <c r="N816" s="698">
        <f t="shared" si="84"/>
        <v>536.64392022165987</v>
      </c>
      <c r="O816" s="698">
        <f t="shared" si="84"/>
        <v>413.87259634098945</v>
      </c>
    </row>
    <row r="817" spans="1:15" ht="13.2" customHeight="1">
      <c r="A817" s="4"/>
      <c r="B817" s="4"/>
      <c r="C817" s="23" t="s">
        <v>19</v>
      </c>
      <c r="D817" s="23"/>
      <c r="E817" s="23"/>
      <c r="F817" s="25"/>
      <c r="G817" s="4"/>
      <c r="H817" s="4"/>
      <c r="I817" s="4"/>
      <c r="J817" s="20"/>
      <c r="K817" s="698">
        <f>K729</f>
        <v>100</v>
      </c>
      <c r="L817" s="698">
        <f t="shared" ref="L817:O817" si="85">L729</f>
        <v>100</v>
      </c>
      <c r="M817" s="698">
        <f t="shared" si="85"/>
        <v>100</v>
      </c>
      <c r="N817" s="698">
        <f t="shared" si="85"/>
        <v>100</v>
      </c>
      <c r="O817" s="698">
        <f t="shared" si="85"/>
        <v>100</v>
      </c>
    </row>
    <row r="818" spans="1:15" ht="13.2" customHeight="1">
      <c r="A818" s="4"/>
      <c r="B818" s="4"/>
      <c r="C818" s="21" t="s">
        <v>18</v>
      </c>
      <c r="D818" s="4"/>
      <c r="E818" s="4"/>
      <c r="F818" s="16"/>
      <c r="G818" s="4"/>
      <c r="H818" s="4"/>
      <c r="I818" s="4"/>
      <c r="J818" s="20"/>
      <c r="K818" s="19">
        <f>K814-K816-K817</f>
        <v>293.81136459795971</v>
      </c>
      <c r="L818" s="19">
        <f>L814-L816-L817</f>
        <v>557.87218028420489</v>
      </c>
      <c r="M818" s="19">
        <f>M814-M816-M817</f>
        <v>979.92715250909191</v>
      </c>
      <c r="N818" s="19">
        <f>N814-N816-N817</f>
        <v>1357.8005675898075</v>
      </c>
      <c r="O818" s="19">
        <f>O814-O816-O817</f>
        <v>1830.4264569820346</v>
      </c>
    </row>
    <row r="819" spans="1:15" ht="13.2" customHeight="1">
      <c r="A819" s="4"/>
      <c r="B819" s="4"/>
      <c r="C819" s="4"/>
      <c r="D819" s="4"/>
      <c r="E819" s="4"/>
      <c r="F819" s="16"/>
      <c r="G819" s="4"/>
      <c r="H819" s="4"/>
      <c r="I819" s="4"/>
      <c r="J819" s="4"/>
      <c r="K819" s="4"/>
      <c r="L819" s="4"/>
      <c r="M819" s="4"/>
      <c r="N819" s="4"/>
      <c r="O819" s="4"/>
    </row>
    <row r="820" spans="1:15" ht="13.2" customHeight="1">
      <c r="A820" s="4"/>
      <c r="B820" s="4"/>
      <c r="C820" s="23" t="s">
        <v>17</v>
      </c>
      <c r="D820" s="23"/>
      <c r="E820" s="4"/>
      <c r="F820" s="16"/>
      <c r="G820" s="4"/>
      <c r="H820" s="4"/>
      <c r="I820" s="4"/>
      <c r="J820" s="20"/>
      <c r="K820" s="22">
        <f>I54</f>
        <v>0.97490112601870571</v>
      </c>
      <c r="L820" s="22">
        <f>K820</f>
        <v>0.97490112601870571</v>
      </c>
      <c r="M820" s="22">
        <f>L820</f>
        <v>0.97490112601870571</v>
      </c>
      <c r="N820" s="22">
        <f>M820</f>
        <v>0.97490112601870571</v>
      </c>
      <c r="O820" s="22">
        <f>N820</f>
        <v>0.97490112601870571</v>
      </c>
    </row>
    <row r="821" spans="1:15" ht="13.2" customHeight="1">
      <c r="A821" s="4"/>
      <c r="B821" s="4"/>
      <c r="C821" s="21" t="s">
        <v>17</v>
      </c>
      <c r="D821" s="4"/>
      <c r="E821" s="4"/>
      <c r="F821" s="4"/>
      <c r="G821" s="4"/>
      <c r="H821" s="4"/>
      <c r="I821" s="4"/>
      <c r="J821" s="20"/>
      <c r="K821" s="19">
        <f>K820*K818</f>
        <v>286.4370301836434</v>
      </c>
      <c r="L821" s="19">
        <f>L820*L818</f>
        <v>543.87021673358174</v>
      </c>
      <c r="M821" s="19">
        <f>M820*M818</f>
        <v>955.3320843974177</v>
      </c>
      <c r="N821" s="19">
        <f>N820*N818</f>
        <v>1323.7213022521412</v>
      </c>
      <c r="O821" s="19">
        <f>O820*O818</f>
        <v>1784.4848140062154</v>
      </c>
    </row>
    <row r="822" spans="1:15" ht="13.2" customHeight="1">
      <c r="A822" s="4"/>
      <c r="B822" s="4"/>
      <c r="C822" s="4"/>
      <c r="D822" s="4"/>
      <c r="E822" s="4"/>
      <c r="F822" s="16"/>
      <c r="G822" s="4"/>
      <c r="H822" s="4"/>
      <c r="I822" s="4"/>
      <c r="J822" s="4"/>
      <c r="K822" s="4"/>
      <c r="L822" s="4"/>
      <c r="M822" s="4"/>
      <c r="N822" s="4"/>
      <c r="O822" s="4"/>
    </row>
    <row r="823" spans="1:15" ht="6" customHeight="1">
      <c r="A823" s="4"/>
      <c r="B823" s="4"/>
      <c r="C823" s="17"/>
      <c r="D823" s="17"/>
      <c r="E823" s="17"/>
      <c r="F823" s="18"/>
      <c r="G823" s="17"/>
      <c r="H823" s="17"/>
      <c r="I823" s="17"/>
      <c r="J823" s="17"/>
      <c r="K823" s="17"/>
      <c r="L823" s="17"/>
      <c r="M823" s="17"/>
      <c r="N823" s="17"/>
      <c r="O823" s="17"/>
    </row>
    <row r="824" spans="1:15" ht="6" customHeight="1">
      <c r="A824" s="4"/>
      <c r="B824" s="4"/>
      <c r="C824" s="4"/>
      <c r="D824" s="4"/>
      <c r="E824" s="4"/>
      <c r="F824" s="16"/>
      <c r="G824" s="4"/>
      <c r="H824" s="4"/>
      <c r="I824" s="4"/>
      <c r="J824" s="4"/>
      <c r="K824" s="4"/>
      <c r="L824" s="4"/>
      <c r="M824" s="4"/>
      <c r="N824" s="4"/>
      <c r="O824" s="4"/>
    </row>
    <row r="825" spans="1:15" ht="13.2" customHeight="1">
      <c r="A825" s="4"/>
      <c r="B825" s="4"/>
      <c r="C825" s="4"/>
      <c r="D825" s="4"/>
      <c r="E825" s="4"/>
      <c r="F825" s="16"/>
      <c r="G825" s="4"/>
      <c r="H825" s="4"/>
      <c r="I825" s="4"/>
      <c r="J825" s="4"/>
      <c r="K825" s="4"/>
      <c r="L825" s="4"/>
      <c r="M825" s="4"/>
      <c r="N825" s="4"/>
      <c r="O825" s="4"/>
    </row>
    <row r="826" spans="1:15" ht="13.2" customHeight="1">
      <c r="A826" s="4"/>
      <c r="B826" s="4"/>
      <c r="C826" s="4"/>
      <c r="D826" s="4"/>
      <c r="E826" s="4"/>
      <c r="F826" s="16"/>
      <c r="G826" s="15" t="s">
        <v>16</v>
      </c>
      <c r="H826" s="4"/>
      <c r="I826" s="4"/>
      <c r="J826" s="15" t="s">
        <v>15</v>
      </c>
      <c r="K826" s="14" t="s">
        <v>14</v>
      </c>
      <c r="L826" s="13"/>
      <c r="M826" s="13"/>
      <c r="N826" s="13"/>
      <c r="O826" s="13"/>
    </row>
    <row r="827" spans="1:15" ht="13.2" customHeight="1">
      <c r="A827" s="4"/>
      <c r="B827" s="4"/>
      <c r="C827" s="4"/>
      <c r="D827" s="4"/>
      <c r="E827" s="4"/>
      <c r="F827" s="12" t="s">
        <v>13</v>
      </c>
      <c r="G827" s="11" t="s">
        <v>12</v>
      </c>
      <c r="H827" s="4"/>
      <c r="I827" s="4"/>
      <c r="J827" s="11" t="s">
        <v>11</v>
      </c>
      <c r="K827" s="10">
        <f>K$264</f>
        <v>2019</v>
      </c>
      <c r="L827" s="10">
        <f>L$264</f>
        <v>2020</v>
      </c>
      <c r="M827" s="10">
        <f>M$264</f>
        <v>2021</v>
      </c>
      <c r="N827" s="10">
        <f>N$264</f>
        <v>2022</v>
      </c>
      <c r="O827" s="10">
        <f>O$264</f>
        <v>2023</v>
      </c>
    </row>
    <row r="828" spans="1:15" ht="13.2" customHeight="1">
      <c r="A828" s="4"/>
      <c r="B828" s="4"/>
      <c r="C828" s="4" t="str">
        <f>"Exit at the End of "&amp;K827</f>
        <v>Exit at the End of 2019</v>
      </c>
      <c r="D828" s="4"/>
      <c r="E828" s="4"/>
      <c r="F828" s="8">
        <f>IFERROR(IRR(J828:O828),"N/A")</f>
        <v>-0.26256655856837041</v>
      </c>
      <c r="G828" s="6">
        <f>SUM(J828:O828)</f>
        <v>-101.9872181492824</v>
      </c>
      <c r="H828" s="4"/>
      <c r="I828" s="4"/>
      <c r="J828" s="9">
        <f>-F54</f>
        <v>-388.4242483329258</v>
      </c>
      <c r="K828" s="5">
        <f>K$821</f>
        <v>286.4370301836434</v>
      </c>
      <c r="L828" s="4"/>
      <c r="M828" s="4"/>
      <c r="N828" s="4"/>
      <c r="O828" s="4"/>
    </row>
    <row r="829" spans="1:15" ht="13.2" customHeight="1">
      <c r="A829" s="4"/>
      <c r="B829" s="4"/>
      <c r="C829" s="4" t="str">
        <f>"Exit at the End of "&amp;L827</f>
        <v>Exit at the End of 2020</v>
      </c>
      <c r="D829" s="4"/>
      <c r="E829" s="4"/>
      <c r="F829" s="8">
        <f>IFERROR(IRR(J829:O829),"N/A")</f>
        <v>0.18329892886891175</v>
      </c>
      <c r="G829" s="6">
        <f>SUM(J829:O829)</f>
        <v>155.44596840065594</v>
      </c>
      <c r="H829" s="4"/>
      <c r="I829" s="4"/>
      <c r="J829" s="6">
        <f>J828</f>
        <v>-388.4242483329258</v>
      </c>
      <c r="K829" s="705">
        <v>0</v>
      </c>
      <c r="L829" s="5">
        <f>L$821</f>
        <v>543.87021673358174</v>
      </c>
      <c r="M829" s="4"/>
      <c r="N829" s="4"/>
      <c r="O829" s="4"/>
    </row>
    <row r="830" spans="1:15" ht="13.2" customHeight="1">
      <c r="A830" s="4"/>
      <c r="B830" s="4"/>
      <c r="C830" s="4" t="str">
        <f>"Exit at the End of "&amp;M827</f>
        <v>Exit at the End of 2021</v>
      </c>
      <c r="D830" s="4"/>
      <c r="E830" s="4"/>
      <c r="F830" s="8">
        <f>IFERROR(IRR(J830:O830),"N/A")</f>
        <v>0.34984119049447804</v>
      </c>
      <c r="G830" s="6">
        <f>SUM(J830:O830)</f>
        <v>566.9078360644919</v>
      </c>
      <c r="H830" s="4"/>
      <c r="I830" s="4"/>
      <c r="J830" s="6">
        <f>J829</f>
        <v>-388.4242483329258</v>
      </c>
      <c r="K830" s="705">
        <v>0</v>
      </c>
      <c r="L830" s="705">
        <v>0</v>
      </c>
      <c r="M830" s="5">
        <f>M$821</f>
        <v>955.3320843974177</v>
      </c>
      <c r="N830" s="4"/>
      <c r="O830" s="4"/>
    </row>
    <row r="831" spans="1:15" ht="13.2" customHeight="1">
      <c r="A831" s="4"/>
      <c r="B831" s="4"/>
      <c r="C831" s="4" t="str">
        <f>"Exit at the End of "&amp;N827</f>
        <v>Exit at the End of 2022</v>
      </c>
      <c r="D831" s="4"/>
      <c r="E831" s="4"/>
      <c r="F831" s="8">
        <f>IFERROR(IRR(J831:O831),"N/A")</f>
        <v>0.35869681070472215</v>
      </c>
      <c r="G831" s="6">
        <f>SUM(J831:O831)</f>
        <v>935.29705391921539</v>
      </c>
      <c r="H831" s="4"/>
      <c r="I831" s="4"/>
      <c r="J831" s="6">
        <f>J830</f>
        <v>-388.4242483329258</v>
      </c>
      <c r="K831" s="705">
        <v>0</v>
      </c>
      <c r="L831" s="705">
        <v>0</v>
      </c>
      <c r="M831" s="705">
        <v>0</v>
      </c>
      <c r="N831" s="5">
        <f>N$821</f>
        <v>1323.7213022521412</v>
      </c>
      <c r="O831" s="4"/>
    </row>
    <row r="832" spans="1:15" ht="13.2" customHeight="1">
      <c r="A832" s="4"/>
      <c r="B832" s="4"/>
      <c r="C832" s="4" t="str">
        <f>"Exit at the End of "&amp;O827</f>
        <v>Exit at the End of 2023</v>
      </c>
      <c r="D832" s="4"/>
      <c r="E832" s="4"/>
      <c r="F832" s="7">
        <f>IFERROR(IRR(J832:O832),"N/A")</f>
        <v>0.35656717596564658</v>
      </c>
      <c r="G832" s="6">
        <f>SUM(J832:O832)</f>
        <v>1396.0605656732896</v>
      </c>
      <c r="H832" s="4"/>
      <c r="I832" s="4"/>
      <c r="J832" s="6">
        <f>J831</f>
        <v>-388.4242483329258</v>
      </c>
      <c r="K832" s="705">
        <v>0</v>
      </c>
      <c r="L832" s="705">
        <v>0</v>
      </c>
      <c r="M832" s="705">
        <v>0</v>
      </c>
      <c r="N832" s="705">
        <v>0</v>
      </c>
      <c r="O832" s="5">
        <f>O$821</f>
        <v>1784.4848140062154</v>
      </c>
    </row>
    <row r="833" spans="1:15" ht="6" customHeight="1">
      <c r="A833" s="4"/>
      <c r="B833" s="2"/>
      <c r="C833" s="2"/>
      <c r="D833" s="2"/>
      <c r="E833" s="2"/>
      <c r="F833" s="3"/>
      <c r="G833" s="2"/>
      <c r="H833" s="2"/>
      <c r="I833" s="2"/>
      <c r="J833" s="2"/>
      <c r="K833" s="2"/>
      <c r="L833" s="2"/>
      <c r="M833" s="2"/>
      <c r="N833" s="2"/>
      <c r="O833" s="2"/>
    </row>
    <row r="834" spans="1:15" ht="13.2" customHeight="1"/>
  </sheetData>
  <sheetProtection formatCells="0" formatColumns="0" formatRows="0" insertColumns="0" insertRows="0"/>
  <conditionalFormatting sqref="J783:O783">
    <cfRule type="expression" dxfId="3" priority="2" stopIfTrue="1">
      <formula>J783&gt;J781</formula>
    </cfRule>
  </conditionalFormatting>
  <conditionalFormatting sqref="K788:O788">
    <cfRule type="expression" dxfId="2" priority="1" stopIfTrue="1">
      <formula>K788&lt;K786</formula>
    </cfRule>
  </conditionalFormatting>
  <printOptions horizontalCentered="1"/>
  <pageMargins left="0.25" right="0.25" top="0.25" bottom="0.5" header="0.25" footer="0.25"/>
  <pageSetup scale="10" orientation="landscape" r:id="rId1"/>
  <headerFooter alignWithMargins="0">
    <oddFooter>&amp;L&amp;"Times New Roman,Bold"&amp;9The Marquee Group
&amp;"Times New Roman,Regular"C:\My Documents\Hudson LBO Model.xls&amp;C&amp;"Times New Roman,Regular"&amp;9Page &amp;P of &amp;N&amp;R&amp;"Times New Roman,Regular"&amp;9&amp;D  &amp;T</oddFooter>
  </headerFooter>
  <cellWatches>
    <cellWatch r="F828"/>
    <cellWatch r="F829"/>
    <cellWatch r="F830"/>
    <cellWatch r="F831"/>
    <cellWatch r="F832"/>
  </cellWatches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3076" r:id="rId4" name="Drop Down 4">
              <controlPr defaultSize="0" autoLine="0" autoPict="0">
                <anchor moveWithCells="1">
                  <from>
                    <xdr:col>4</xdr:col>
                    <xdr:colOff>670560</xdr:colOff>
                    <xdr:row>210</xdr:row>
                    <xdr:rowOff>99060</xdr:rowOff>
                  </from>
                  <to>
                    <xdr:col>6</xdr:col>
                    <xdr:colOff>60960</xdr:colOff>
                    <xdr:row>212</xdr:row>
                    <xdr:rowOff>30480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fitToPage="1"/>
  </sheetPr>
  <dimension ref="A3:S809"/>
  <sheetViews>
    <sheetView showGridLines="0" topLeftCell="A761" zoomScale="85" zoomScaleNormal="85" zoomScaleSheetLayoutView="90" workbookViewId="0">
      <selection activeCell="K804" sqref="K804"/>
    </sheetView>
  </sheetViews>
  <sheetFormatPr defaultColWidth="9.44140625" defaultRowHeight="13.2"/>
  <cols>
    <col min="1" max="1" width="7.5546875" style="1" customWidth="1"/>
    <col min="2" max="2" width="1.77734375" style="1" customWidth="1"/>
    <col min="3" max="3" width="2.44140625" style="1" customWidth="1"/>
    <col min="4" max="4" width="11.44140625" style="1" customWidth="1"/>
    <col min="5" max="5" width="12.5546875" style="1" customWidth="1"/>
    <col min="6" max="6" width="10.44140625" style="1" customWidth="1"/>
    <col min="7" max="8" width="9.5546875" style="1" customWidth="1"/>
    <col min="9" max="9" width="15.44140625" style="1" bestFit="1" customWidth="1"/>
    <col min="10" max="15" width="9.5546875" style="1" customWidth="1"/>
    <col min="16" max="16384" width="9.44140625" style="1"/>
  </cols>
  <sheetData>
    <row r="3" spans="2:19" ht="22.8">
      <c r="B3" s="596" t="s">
        <v>380</v>
      </c>
      <c r="C3" s="344"/>
      <c r="D3" s="20"/>
      <c r="E3" s="20"/>
      <c r="F3" s="20"/>
      <c r="G3" s="20"/>
      <c r="H3" s="20"/>
      <c r="I3" s="20"/>
      <c r="J3" s="20"/>
      <c r="K3" s="20"/>
      <c r="L3" s="20"/>
      <c r="M3" s="20"/>
      <c r="N3" s="20"/>
      <c r="O3" s="20"/>
      <c r="P3" s="20"/>
    </row>
    <row r="4" spans="2:19" ht="17.399999999999999">
      <c r="B4" s="485" t="s">
        <v>379</v>
      </c>
      <c r="C4" s="485"/>
      <c r="D4" s="20"/>
      <c r="E4" s="20"/>
      <c r="F4" s="20"/>
      <c r="G4" s="20"/>
      <c r="H4" s="20"/>
      <c r="I4" s="20"/>
      <c r="J4" s="20"/>
      <c r="K4" s="20"/>
      <c r="L4" s="20"/>
      <c r="M4" s="20"/>
      <c r="N4" s="20"/>
      <c r="O4" s="20"/>
      <c r="P4" s="20"/>
    </row>
    <row r="5" spans="2:19" ht="6" customHeight="1" thickBot="1">
      <c r="B5" s="484"/>
      <c r="C5" s="484"/>
      <c r="D5" s="169"/>
      <c r="E5" s="169"/>
      <c r="F5" s="169"/>
      <c r="G5" s="169"/>
      <c r="H5" s="169"/>
      <c r="I5" s="169"/>
      <c r="J5" s="169"/>
      <c r="K5" s="169"/>
      <c r="L5" s="169"/>
      <c r="M5" s="169"/>
      <c r="N5" s="169"/>
      <c r="O5" s="169"/>
      <c r="P5" s="169"/>
    </row>
    <row r="6" spans="2:19">
      <c r="B6" s="4"/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</row>
    <row r="7" spans="2:19">
      <c r="B7" s="4"/>
      <c r="C7" s="481" t="s">
        <v>378</v>
      </c>
      <c r="D7" s="479"/>
      <c r="E7" s="479"/>
      <c r="F7" s="479"/>
      <c r="G7" s="479"/>
      <c r="H7" s="479"/>
      <c r="I7" s="479"/>
      <c r="J7" s="478"/>
      <c r="L7" s="481" t="s">
        <v>377</v>
      </c>
      <c r="M7" s="595"/>
      <c r="N7" s="595"/>
      <c r="O7" s="595"/>
      <c r="P7" s="594"/>
    </row>
    <row r="8" spans="2:19" ht="15.6">
      <c r="B8" s="4"/>
      <c r="C8" s="593"/>
      <c r="D8" s="4"/>
      <c r="E8" s="4"/>
      <c r="F8" s="4"/>
      <c r="G8" s="4"/>
      <c r="H8" s="4"/>
      <c r="I8" s="4"/>
      <c r="J8" s="55"/>
      <c r="L8" s="593"/>
      <c r="M8" s="4"/>
      <c r="N8" s="4"/>
      <c r="O8" s="4"/>
      <c r="P8" s="55"/>
      <c r="S8" s="4"/>
    </row>
    <row r="9" spans="2:19" ht="15.6">
      <c r="B9" s="23"/>
      <c r="C9" s="587"/>
      <c r="D9" s="669" t="str">
        <f>CONCATENATE(J241,"A Adjusted EBITDA")</f>
        <v>2018A Adjusted EBITDA</v>
      </c>
      <c r="E9" s="592"/>
      <c r="F9" s="592"/>
      <c r="G9" s="618">
        <f>J344</f>
        <v>158.19406029629624</v>
      </c>
      <c r="H9" s="567"/>
      <c r="I9" s="567"/>
      <c r="J9" s="584"/>
      <c r="L9" s="591"/>
      <c r="M9" s="23"/>
      <c r="N9" s="590" t="s">
        <v>344</v>
      </c>
      <c r="O9" s="589" t="s">
        <v>341</v>
      </c>
      <c r="P9" s="433"/>
      <c r="S9" s="23"/>
    </row>
    <row r="10" spans="2:19" ht="15.6">
      <c r="B10" s="23"/>
      <c r="C10" s="587"/>
      <c r="D10" s="588" t="s">
        <v>376</v>
      </c>
      <c r="E10" s="23"/>
      <c r="F10" s="23"/>
      <c r="G10" s="568">
        <v>9</v>
      </c>
      <c r="H10" s="573"/>
      <c r="I10" s="573"/>
      <c r="J10" s="584"/>
      <c r="L10" s="583">
        <f>K241</f>
        <v>2019</v>
      </c>
      <c r="M10" s="23"/>
      <c r="N10" s="567">
        <f>K344</f>
        <v>140.28343822222212</v>
      </c>
      <c r="O10" s="39">
        <f>$G$11/N10</f>
        <v>10.149070772070173</v>
      </c>
      <c r="P10" s="433"/>
      <c r="S10" s="23"/>
    </row>
    <row r="11" spans="2:19" ht="16.2" thickBot="1">
      <c r="B11" s="23"/>
      <c r="C11" s="587"/>
      <c r="D11" s="534" t="s">
        <v>375</v>
      </c>
      <c r="E11" s="23"/>
      <c r="F11" s="23"/>
      <c r="G11" s="586">
        <f>G10*G9</f>
        <v>1423.7465426666663</v>
      </c>
      <c r="H11" s="585"/>
      <c r="I11" s="585"/>
      <c r="J11" s="584"/>
      <c r="L11" s="583">
        <f>L241</f>
        <v>2020</v>
      </c>
      <c r="M11" s="23"/>
      <c r="N11" s="567">
        <f>L344</f>
        <v>158.46792730105267</v>
      </c>
      <c r="O11" s="39">
        <f>$G$11/N11</f>
        <v>8.9844460447941294</v>
      </c>
      <c r="P11" s="433"/>
      <c r="S11" s="23"/>
    </row>
    <row r="12" spans="2:19" ht="16.2" thickTop="1">
      <c r="B12" s="4"/>
      <c r="C12" s="582"/>
      <c r="D12" s="581"/>
      <c r="E12" s="2"/>
      <c r="F12" s="2"/>
      <c r="G12" s="2"/>
      <c r="H12" s="2"/>
      <c r="I12" s="2"/>
      <c r="J12" s="469"/>
      <c r="L12" s="580"/>
      <c r="M12" s="2"/>
      <c r="N12" s="2"/>
      <c r="O12" s="2"/>
      <c r="P12" s="469"/>
      <c r="S12" s="4"/>
    </row>
    <row r="13" spans="2:19" ht="15.6">
      <c r="B13" s="4"/>
      <c r="C13" s="579"/>
      <c r="D13" s="578"/>
      <c r="E13" s="4"/>
      <c r="F13" s="4"/>
      <c r="G13" s="4"/>
      <c r="H13" s="4"/>
      <c r="I13" s="4"/>
      <c r="J13" s="4"/>
      <c r="L13" s="4"/>
      <c r="M13" s="4"/>
      <c r="N13" s="4"/>
      <c r="O13" s="4"/>
      <c r="P13" s="4"/>
      <c r="S13" s="4"/>
    </row>
    <row r="15" spans="2:19">
      <c r="B15" s="4"/>
      <c r="C15" s="481" t="s">
        <v>374</v>
      </c>
      <c r="D15" s="479"/>
      <c r="E15" s="479"/>
      <c r="F15" s="479"/>
      <c r="G15" s="479"/>
      <c r="H15" s="479"/>
      <c r="I15" s="479"/>
      <c r="J15" s="478"/>
      <c r="L15" s="481" t="s">
        <v>373</v>
      </c>
      <c r="M15" s="479"/>
      <c r="N15" s="479"/>
      <c r="O15" s="479"/>
      <c r="P15" s="478"/>
      <c r="S15" s="4"/>
    </row>
    <row r="16" spans="2:19">
      <c r="B16" s="4"/>
      <c r="C16" s="56"/>
      <c r="D16" s="4"/>
      <c r="E16" s="4"/>
      <c r="F16" s="4"/>
      <c r="G16" s="4"/>
      <c r="H16" s="4"/>
      <c r="I16" s="4"/>
      <c r="J16" s="55"/>
      <c r="L16" s="56"/>
      <c r="M16" s="4"/>
      <c r="N16" s="4"/>
      <c r="O16" s="4"/>
      <c r="P16" s="55"/>
      <c r="S16" s="4"/>
    </row>
    <row r="17" spans="2:19">
      <c r="B17" s="4"/>
      <c r="C17" s="133"/>
      <c r="D17" s="65"/>
      <c r="E17" s="559" t="s">
        <v>372</v>
      </c>
      <c r="F17" s="559"/>
      <c r="G17" s="559" t="s">
        <v>371</v>
      </c>
      <c r="H17" s="559"/>
      <c r="I17" s="559"/>
      <c r="J17" s="576"/>
      <c r="L17" s="133"/>
      <c r="M17" s="4"/>
      <c r="N17" s="4"/>
      <c r="O17" s="4"/>
      <c r="P17" s="55"/>
      <c r="S17" s="4"/>
    </row>
    <row r="18" spans="2:19">
      <c r="B18" s="4"/>
      <c r="C18" s="133"/>
      <c r="D18" s="302" t="s">
        <v>370</v>
      </c>
      <c r="E18" s="558" t="s">
        <v>344</v>
      </c>
      <c r="F18" s="558" t="s">
        <v>342</v>
      </c>
      <c r="G18" s="558" t="s">
        <v>369</v>
      </c>
      <c r="H18" s="558"/>
      <c r="I18" s="558" t="s">
        <v>86</v>
      </c>
      <c r="J18" s="576"/>
      <c r="L18" s="132" t="s">
        <v>368</v>
      </c>
      <c r="M18" s="470"/>
      <c r="N18" s="2"/>
      <c r="O18" s="558" t="s">
        <v>367</v>
      </c>
      <c r="P18" s="577" t="s">
        <v>366</v>
      </c>
      <c r="S18" s="4"/>
    </row>
    <row r="19" spans="2:19">
      <c r="B19" s="4"/>
      <c r="C19" s="133"/>
      <c r="D19" s="273"/>
      <c r="E19" s="559"/>
      <c r="F19" s="557" t="s">
        <v>365</v>
      </c>
      <c r="G19" s="559"/>
      <c r="H19" s="559"/>
      <c r="I19" s="559"/>
      <c r="J19" s="576"/>
      <c r="L19" s="133"/>
      <c r="N19" s="575" t="s">
        <v>364</v>
      </c>
      <c r="O19" s="4"/>
      <c r="P19" s="574" t="str">
        <f>F19</f>
        <v>($MM)</v>
      </c>
      <c r="S19" s="4"/>
    </row>
    <row r="20" spans="2:19">
      <c r="B20" s="4"/>
      <c r="C20" s="133"/>
      <c r="D20" s="4" t="s">
        <v>363</v>
      </c>
      <c r="E20" s="573"/>
      <c r="F20" s="567">
        <f>H424</f>
        <v>5</v>
      </c>
      <c r="G20" s="282">
        <f t="shared" ref="G20:G26" si="0">F20/$F$34</f>
        <v>3.4421308037235298E-3</v>
      </c>
      <c r="H20" s="282"/>
      <c r="I20" s="572">
        <v>5.0000000000000001E-3</v>
      </c>
      <c r="J20" s="55"/>
      <c r="L20" s="133" t="str">
        <f>D21</f>
        <v>Revolver</v>
      </c>
      <c r="N20" s="571">
        <v>100</v>
      </c>
      <c r="O20" s="570">
        <v>5.0000000000000001E-3</v>
      </c>
      <c r="P20" s="566">
        <f>O20*N20</f>
        <v>0.5</v>
      </c>
      <c r="S20" s="4"/>
    </row>
    <row r="21" spans="2:19">
      <c r="B21" s="4"/>
      <c r="C21" s="133"/>
      <c r="D21" s="4" t="s">
        <v>3</v>
      </c>
      <c r="E21" s="568">
        <v>0.5</v>
      </c>
      <c r="F21" s="567">
        <f>E21*$G$9</f>
        <v>79.097030148148121</v>
      </c>
      <c r="G21" s="282">
        <f t="shared" si="0"/>
        <v>5.445246479119787E-2</v>
      </c>
      <c r="H21" s="282"/>
      <c r="I21" s="569" t="s">
        <v>361</v>
      </c>
      <c r="J21" s="55"/>
      <c r="L21" s="133" t="s">
        <v>362</v>
      </c>
      <c r="N21" s="4"/>
      <c r="O21" s="281">
        <v>7.0000000000000001E-3</v>
      </c>
      <c r="P21" s="566">
        <f>O21*(F22+F23)</f>
        <v>3.0452356607037023</v>
      </c>
      <c r="S21" s="4"/>
    </row>
    <row r="22" spans="2:19">
      <c r="B22" s="4"/>
      <c r="C22" s="133"/>
      <c r="D22" s="4" t="s">
        <v>95</v>
      </c>
      <c r="E22" s="568">
        <v>1.5</v>
      </c>
      <c r="F22" s="567">
        <f>E22*$G$9</f>
        <v>237.29109044444436</v>
      </c>
      <c r="G22" s="282">
        <f t="shared" si="0"/>
        <v>0.16335739437359362</v>
      </c>
      <c r="H22" s="282"/>
      <c r="I22" s="569" t="s">
        <v>361</v>
      </c>
      <c r="J22" s="55"/>
      <c r="L22" s="133" t="str">
        <f>D24</f>
        <v>Senior Notes</v>
      </c>
      <c r="N22" s="4"/>
      <c r="O22" s="281">
        <v>0.02</v>
      </c>
      <c r="P22" s="566">
        <f>O22*F24</f>
        <v>4.7458218088888877</v>
      </c>
      <c r="S22" s="4"/>
    </row>
    <row r="23" spans="2:19">
      <c r="B23" s="4"/>
      <c r="C23" s="133"/>
      <c r="D23" s="4" t="s">
        <v>94</v>
      </c>
      <c r="E23" s="568">
        <v>1.25</v>
      </c>
      <c r="F23" s="567">
        <f>E23*$G$9</f>
        <v>197.7425753703703</v>
      </c>
      <c r="G23" s="282">
        <f t="shared" si="0"/>
        <v>0.13613116197799469</v>
      </c>
      <c r="H23" s="282"/>
      <c r="I23" s="569" t="s">
        <v>361</v>
      </c>
      <c r="J23" s="55"/>
      <c r="L23" s="133" t="str">
        <f>D25</f>
        <v>Mezzanine</v>
      </c>
      <c r="N23" s="4"/>
      <c r="O23" s="281">
        <v>0.03</v>
      </c>
      <c r="P23" s="566">
        <f>O23*F25</f>
        <v>5.9322772611111088</v>
      </c>
      <c r="S23" s="4"/>
    </row>
    <row r="24" spans="2:19">
      <c r="B24" s="4"/>
      <c r="C24" s="133"/>
      <c r="D24" s="4" t="s">
        <v>154</v>
      </c>
      <c r="E24" s="568">
        <v>1.5</v>
      </c>
      <c r="F24" s="567">
        <f>E24*$G$9</f>
        <v>237.29109044444436</v>
      </c>
      <c r="G24" s="282">
        <f t="shared" si="0"/>
        <v>0.16335739437359362</v>
      </c>
      <c r="H24" s="282"/>
      <c r="I24" s="563">
        <v>5.5E-2</v>
      </c>
      <c r="J24" s="55"/>
      <c r="L24" s="133" t="s">
        <v>360</v>
      </c>
      <c r="N24" s="4"/>
      <c r="O24" s="281">
        <v>5.0000000000000001E-3</v>
      </c>
      <c r="P24" s="566">
        <f>O24*G11</f>
        <v>7.1187327133333316</v>
      </c>
      <c r="S24" s="4"/>
    </row>
    <row r="25" spans="2:19">
      <c r="B25" s="4"/>
      <c r="C25" s="133"/>
      <c r="D25" s="4" t="s">
        <v>359</v>
      </c>
      <c r="E25" s="565">
        <v>1.25</v>
      </c>
      <c r="F25" s="564">
        <f>E25*$G$9</f>
        <v>197.7425753703703</v>
      </c>
      <c r="G25" s="554">
        <f t="shared" si="0"/>
        <v>0.13613116197799469</v>
      </c>
      <c r="H25" s="282"/>
      <c r="I25" s="563">
        <v>7.0000000000000007E-2</v>
      </c>
      <c r="J25" s="55"/>
      <c r="L25" s="133" t="s">
        <v>358</v>
      </c>
      <c r="N25" s="4"/>
      <c r="O25" s="4"/>
      <c r="P25" s="457">
        <v>1</v>
      </c>
      <c r="S25" s="4"/>
    </row>
    <row r="26" spans="2:19">
      <c r="B26" s="4"/>
      <c r="C26" s="133"/>
      <c r="D26" s="65" t="s">
        <v>1</v>
      </c>
      <c r="E26" s="562">
        <f>SUM(E20:E25)</f>
        <v>6</v>
      </c>
      <c r="F26" s="64">
        <f>SUM(F20:F25)</f>
        <v>954.16436177777746</v>
      </c>
      <c r="G26" s="551">
        <f t="shared" si="0"/>
        <v>0.65687170829809793</v>
      </c>
      <c r="H26" s="551"/>
      <c r="I26" s="4"/>
      <c r="J26" s="55"/>
      <c r="L26" s="133" t="s">
        <v>357</v>
      </c>
      <c r="N26" s="4"/>
      <c r="O26" s="4"/>
      <c r="P26" s="457">
        <v>1</v>
      </c>
      <c r="S26" s="4"/>
    </row>
    <row r="27" spans="2:19">
      <c r="B27" s="4"/>
      <c r="C27" s="133"/>
      <c r="D27" s="4"/>
      <c r="E27" s="4"/>
      <c r="F27" s="4"/>
      <c r="G27" s="4"/>
      <c r="H27" s="4"/>
      <c r="I27" s="559"/>
      <c r="J27" s="55"/>
      <c r="L27" s="133" t="s">
        <v>356</v>
      </c>
      <c r="N27" s="4"/>
      <c r="O27" s="4"/>
      <c r="P27" s="457">
        <v>0.5</v>
      </c>
      <c r="S27" s="4"/>
    </row>
    <row r="28" spans="2:19">
      <c r="B28" s="4"/>
      <c r="C28" s="133"/>
      <c r="D28" s="302" t="s">
        <v>355</v>
      </c>
      <c r="E28" s="558" t="s">
        <v>354</v>
      </c>
      <c r="F28" s="558" t="s">
        <v>342</v>
      </c>
      <c r="G28" s="558" t="s">
        <v>353</v>
      </c>
      <c r="H28" s="558"/>
      <c r="I28" s="558" t="s">
        <v>352</v>
      </c>
      <c r="J28" s="55"/>
      <c r="L28" s="133" t="s">
        <v>157</v>
      </c>
      <c r="N28" s="4"/>
      <c r="O28" s="4"/>
      <c r="P28" s="561">
        <v>0</v>
      </c>
      <c r="S28" s="4"/>
    </row>
    <row r="29" spans="2:19" ht="13.8" thickBot="1">
      <c r="B29" s="4"/>
      <c r="C29" s="133"/>
      <c r="D29" s="4" t="s">
        <v>59</v>
      </c>
      <c r="E29" s="281">
        <v>0.08</v>
      </c>
      <c r="F29" s="489">
        <v>100</v>
      </c>
      <c r="G29" s="282">
        <f>F29/$F$34</f>
        <v>6.8842616074470592E-2</v>
      </c>
      <c r="H29" s="282"/>
      <c r="I29" s="281">
        <v>0</v>
      </c>
      <c r="J29" s="55"/>
      <c r="L29" s="459" t="s">
        <v>351</v>
      </c>
      <c r="N29" s="4"/>
      <c r="O29" s="4"/>
      <c r="P29" s="549">
        <f>SUM(P20:P28)</f>
        <v>23.842067444037031</v>
      </c>
      <c r="S29" s="4"/>
    </row>
    <row r="30" spans="2:19" ht="13.8" thickTop="1">
      <c r="B30" s="4"/>
      <c r="C30" s="133"/>
      <c r="D30" s="4" t="s">
        <v>350</v>
      </c>
      <c r="E30" s="281">
        <v>0</v>
      </c>
      <c r="F30" s="489">
        <v>10</v>
      </c>
      <c r="G30" s="282">
        <f>F30/$F$34</f>
        <v>6.8842616074470597E-3</v>
      </c>
      <c r="H30" s="282"/>
      <c r="I30" s="282">
        <f>F30/(F30+F31)</f>
        <v>2.5098873981294276E-2</v>
      </c>
      <c r="J30" s="55"/>
      <c r="L30" s="133"/>
      <c r="M30" s="4"/>
      <c r="N30" s="4"/>
      <c r="O30" s="4"/>
      <c r="P30" s="55"/>
      <c r="S30" s="4"/>
    </row>
    <row r="31" spans="2:19">
      <c r="B31" s="4"/>
      <c r="C31" s="133"/>
      <c r="D31" s="4" t="s">
        <v>15</v>
      </c>
      <c r="E31" s="282">
        <f>E30</f>
        <v>0</v>
      </c>
      <c r="F31" s="555">
        <f>F34-F26-F29-F30</f>
        <v>388.4242483329258</v>
      </c>
      <c r="G31" s="554">
        <f>F31/$F$34</f>
        <v>0.26740141401998435</v>
      </c>
      <c r="H31" s="282"/>
      <c r="I31" s="554">
        <f>F31/(F30+F31)</f>
        <v>0.97490112601870571</v>
      </c>
      <c r="J31" s="55"/>
      <c r="L31" s="133"/>
      <c r="M31" s="4"/>
      <c r="N31" s="4"/>
      <c r="O31" s="4"/>
      <c r="P31" s="560"/>
      <c r="S31" s="4"/>
    </row>
    <row r="32" spans="2:19">
      <c r="B32" s="4"/>
      <c r="C32" s="133"/>
      <c r="D32" s="65" t="s">
        <v>349</v>
      </c>
      <c r="E32" s="4"/>
      <c r="F32" s="64">
        <f>SUM(F29:F31)</f>
        <v>498.4242483329258</v>
      </c>
      <c r="G32" s="551">
        <f>F32/$F$34</f>
        <v>0.34312829170190201</v>
      </c>
      <c r="H32" s="551"/>
      <c r="I32" s="551">
        <f>SUM(I29:I31)</f>
        <v>1</v>
      </c>
      <c r="J32" s="55"/>
      <c r="L32" s="133"/>
      <c r="M32" s="4"/>
      <c r="N32" s="4"/>
      <c r="O32" s="4"/>
      <c r="P32" s="560"/>
      <c r="S32" s="4"/>
    </row>
    <row r="33" spans="2:19">
      <c r="B33" s="4"/>
      <c r="C33" s="133"/>
      <c r="D33" s="4"/>
      <c r="E33" s="4"/>
      <c r="F33" s="4"/>
      <c r="G33" s="4"/>
      <c r="H33" s="4"/>
      <c r="I33" s="4"/>
      <c r="J33" s="55"/>
      <c r="L33" s="133"/>
      <c r="M33" s="65"/>
      <c r="N33" s="4"/>
      <c r="O33" s="4"/>
      <c r="P33" s="560"/>
      <c r="S33" s="4"/>
    </row>
    <row r="34" spans="2:19" ht="13.8" thickBot="1">
      <c r="B34" s="4"/>
      <c r="C34" s="133"/>
      <c r="D34" s="65" t="s">
        <v>348</v>
      </c>
      <c r="E34" s="4"/>
      <c r="F34" s="72">
        <f>F46</f>
        <v>1452.5886101107033</v>
      </c>
      <c r="G34" s="671">
        <f>G26+G32</f>
        <v>1</v>
      </c>
      <c r="H34" s="551"/>
      <c r="I34" s="4"/>
      <c r="J34" s="55"/>
      <c r="L34" s="133"/>
      <c r="M34" s="65"/>
      <c r="N34" s="4"/>
      <c r="O34" s="4"/>
      <c r="P34" s="560"/>
      <c r="S34" s="4"/>
    </row>
    <row r="35" spans="2:19" ht="13.8" thickTop="1">
      <c r="B35" s="4"/>
      <c r="C35" s="260"/>
      <c r="D35" s="2"/>
      <c r="E35" s="2"/>
      <c r="F35" s="2"/>
      <c r="G35" s="2"/>
      <c r="H35" s="2"/>
      <c r="I35" s="2"/>
      <c r="J35" s="469"/>
      <c r="L35" s="260"/>
      <c r="M35" s="2"/>
      <c r="N35" s="2"/>
      <c r="O35" s="2"/>
      <c r="P35" s="469"/>
      <c r="S35" s="4"/>
    </row>
    <row r="36" spans="2:19">
      <c r="B36" s="4"/>
      <c r="C36" s="4"/>
      <c r="D36" s="4"/>
      <c r="E36" s="4"/>
      <c r="F36" s="4"/>
      <c r="G36" s="4"/>
      <c r="H36" s="4"/>
      <c r="I36" s="4"/>
      <c r="J36" s="4"/>
      <c r="L36" s="4"/>
      <c r="M36" s="4"/>
      <c r="N36" s="4"/>
      <c r="O36" s="4"/>
      <c r="P36" s="4"/>
      <c r="S36" s="4"/>
    </row>
    <row r="37" spans="2:19">
      <c r="B37" s="4"/>
      <c r="C37" s="4"/>
      <c r="D37" s="4"/>
      <c r="E37" s="4"/>
      <c r="F37" s="4"/>
      <c r="G37" s="4"/>
      <c r="H37" s="4"/>
      <c r="I37" s="4"/>
      <c r="J37" s="4"/>
      <c r="L37" s="4"/>
      <c r="M37" s="4"/>
      <c r="N37" s="4"/>
      <c r="O37" s="4"/>
      <c r="P37" s="4"/>
      <c r="S37" s="4"/>
    </row>
    <row r="38" spans="2:19">
      <c r="B38" s="4"/>
      <c r="C38" s="481" t="s">
        <v>347</v>
      </c>
      <c r="D38" s="479"/>
      <c r="E38" s="479"/>
      <c r="F38" s="479"/>
      <c r="G38" s="479"/>
      <c r="H38" s="479"/>
      <c r="I38" s="479"/>
      <c r="J38" s="478"/>
      <c r="L38" s="481" t="s">
        <v>346</v>
      </c>
      <c r="M38" s="479"/>
      <c r="N38" s="479"/>
      <c r="O38" s="479"/>
      <c r="P38" s="478"/>
      <c r="S38" s="4"/>
    </row>
    <row r="39" spans="2:19">
      <c r="B39" s="4"/>
      <c r="C39" s="133"/>
      <c r="D39" s="4"/>
      <c r="E39" s="4"/>
      <c r="F39" s="4"/>
      <c r="G39" s="4"/>
      <c r="H39" s="4"/>
      <c r="I39" s="4"/>
      <c r="J39" s="55"/>
      <c r="L39" s="133"/>
      <c r="M39" s="4"/>
      <c r="N39" s="4"/>
      <c r="O39" s="4"/>
      <c r="P39" s="55"/>
      <c r="S39" s="4"/>
    </row>
    <row r="40" spans="2:19">
      <c r="B40" s="4"/>
      <c r="C40" s="133"/>
      <c r="D40" s="4"/>
      <c r="E40" s="4"/>
      <c r="F40" s="4"/>
      <c r="G40" s="559" t="s">
        <v>345</v>
      </c>
      <c r="H40" s="559"/>
      <c r="I40" s="559" t="s">
        <v>344</v>
      </c>
      <c r="J40" s="55"/>
      <c r="L40" s="133" t="s">
        <v>21</v>
      </c>
      <c r="M40" s="4"/>
      <c r="N40" s="4"/>
      <c r="P40" s="57">
        <f>G11</f>
        <v>1423.7465426666663</v>
      </c>
      <c r="S40" s="4"/>
    </row>
    <row r="41" spans="2:19">
      <c r="B41" s="4"/>
      <c r="C41" s="133"/>
      <c r="D41" s="302" t="s">
        <v>343</v>
      </c>
      <c r="E41" s="2"/>
      <c r="F41" s="558" t="s">
        <v>342</v>
      </c>
      <c r="G41" s="558" t="s">
        <v>9</v>
      </c>
      <c r="H41" s="558"/>
      <c r="I41" s="558" t="s">
        <v>341</v>
      </c>
      <c r="J41" s="55"/>
      <c r="L41" s="133" t="s">
        <v>340</v>
      </c>
      <c r="M41" s="4"/>
      <c r="N41" s="4"/>
      <c r="P41" s="617">
        <f>H437+SUM(H443:H446)-H424</f>
        <v>375</v>
      </c>
      <c r="S41" s="4"/>
    </row>
    <row r="42" spans="2:19">
      <c r="B42" s="4"/>
      <c r="C42" s="133"/>
      <c r="D42" s="4"/>
      <c r="E42" s="4"/>
      <c r="F42" s="557" t="str">
        <f>F19</f>
        <v>($MM)</v>
      </c>
      <c r="G42" s="4"/>
      <c r="H42" s="4"/>
      <c r="I42" s="4"/>
      <c r="J42" s="55"/>
      <c r="L42" s="459" t="s">
        <v>339</v>
      </c>
      <c r="M42" s="4"/>
      <c r="N42" s="4"/>
      <c r="P42" s="497">
        <f>P40-P41</f>
        <v>1048.7465426666663</v>
      </c>
      <c r="S42" s="4"/>
    </row>
    <row r="43" spans="2:19">
      <c r="B43" s="4"/>
      <c r="C43" s="133"/>
      <c r="D43" s="4" t="s">
        <v>338</v>
      </c>
      <c r="E43" s="4"/>
      <c r="F43" s="27">
        <f>P42</f>
        <v>1048.7465426666663</v>
      </c>
      <c r="G43" s="282">
        <f>F43/$F$46</f>
        <v>0.72198455596229705</v>
      </c>
      <c r="H43" s="282"/>
      <c r="I43" s="556">
        <f>F43/$G$9</f>
        <v>6.6294938046496323</v>
      </c>
      <c r="J43" s="55"/>
      <c r="L43" s="133"/>
      <c r="M43" s="4"/>
      <c r="N43" s="4"/>
      <c r="P43" s="55"/>
      <c r="S43" s="4"/>
    </row>
    <row r="44" spans="2:19">
      <c r="B44" s="4"/>
      <c r="C44" s="133"/>
      <c r="D44" s="4" t="s">
        <v>337</v>
      </c>
      <c r="E44" s="4"/>
      <c r="F44" s="27">
        <f>H437+SUM(H443:H446)</f>
        <v>380</v>
      </c>
      <c r="G44" s="282">
        <f>F44/$F$46</f>
        <v>0.26160194108298829</v>
      </c>
      <c r="H44" s="282"/>
      <c r="I44" s="556">
        <f>F44/$G$9</f>
        <v>2.4021129446217069</v>
      </c>
      <c r="J44" s="55"/>
      <c r="L44" s="133" t="s">
        <v>336</v>
      </c>
      <c r="M44" s="4"/>
      <c r="N44" s="4"/>
      <c r="P44" s="57">
        <f>H454-H431</f>
        <v>821.7</v>
      </c>
      <c r="S44" s="4"/>
    </row>
    <row r="45" spans="2:19">
      <c r="B45" s="4"/>
      <c r="C45" s="133"/>
      <c r="D45" s="4" t="s">
        <v>335</v>
      </c>
      <c r="E45" s="4"/>
      <c r="F45" s="555">
        <f>P29</f>
        <v>23.842067444037031</v>
      </c>
      <c r="G45" s="554">
        <f>F45/$F$46</f>
        <v>1.6413502954714759E-2</v>
      </c>
      <c r="H45" s="554"/>
      <c r="I45" s="553">
        <f>F45/$G$9</f>
        <v>0.15071404956280296</v>
      </c>
      <c r="J45" s="55"/>
      <c r="L45" s="133" t="s">
        <v>334</v>
      </c>
      <c r="M45" s="4"/>
      <c r="N45" s="4"/>
      <c r="P45" s="552">
        <v>25</v>
      </c>
      <c r="S45" s="4"/>
    </row>
    <row r="46" spans="2:19" ht="13.8" thickBot="1">
      <c r="B46" s="4"/>
      <c r="C46" s="133"/>
      <c r="D46" s="65" t="s">
        <v>333</v>
      </c>
      <c r="E46" s="4"/>
      <c r="F46" s="64">
        <f>SUM(F43:F45)</f>
        <v>1452.5886101107033</v>
      </c>
      <c r="G46" s="551">
        <f>SUM(G43:G45)</f>
        <v>1</v>
      </c>
      <c r="H46" s="551"/>
      <c r="I46" s="550">
        <f>SUM(I43:I45)</f>
        <v>9.1823207988341426</v>
      </c>
      <c r="J46" s="55"/>
      <c r="L46" s="459" t="s">
        <v>332</v>
      </c>
      <c r="M46" s="65"/>
      <c r="N46" s="65"/>
      <c r="P46" s="549">
        <f>P42-P44-P45</f>
        <v>202.04654266666626</v>
      </c>
      <c r="S46" s="4"/>
    </row>
    <row r="47" spans="2:19" ht="13.8" thickTop="1">
      <c r="B47" s="4"/>
      <c r="C47" s="260"/>
      <c r="D47" s="2"/>
      <c r="E47" s="2"/>
      <c r="F47" s="2"/>
      <c r="G47" s="2"/>
      <c r="H47" s="2"/>
      <c r="I47" s="2"/>
      <c r="J47" s="469"/>
      <c r="L47" s="260"/>
      <c r="M47" s="2"/>
      <c r="N47" s="2"/>
      <c r="O47" s="2"/>
      <c r="P47" s="548"/>
      <c r="S47" s="4"/>
    </row>
    <row r="48" spans="2:19"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</row>
    <row r="49" spans="2:16"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</row>
    <row r="52" spans="2:16" ht="22.8">
      <c r="B52" s="35" t="str">
        <f>$B$3</f>
        <v>Lingoren Corp.</v>
      </c>
      <c r="C52" s="344"/>
      <c r="D52" s="20"/>
      <c r="E52" s="20"/>
      <c r="F52" s="20"/>
      <c r="G52" s="20"/>
      <c r="H52" s="20"/>
      <c r="I52" s="20"/>
      <c r="J52" s="20"/>
      <c r="K52" s="20"/>
      <c r="L52" s="20"/>
      <c r="M52" s="20"/>
      <c r="N52" s="20"/>
    </row>
    <row r="53" spans="2:16" ht="17.399999999999999">
      <c r="B53" s="485" t="s">
        <v>280</v>
      </c>
      <c r="C53" s="485"/>
      <c r="D53" s="20"/>
      <c r="E53" s="20"/>
      <c r="F53" s="20"/>
      <c r="G53" s="20"/>
      <c r="H53" s="20"/>
      <c r="I53" s="20"/>
      <c r="J53" s="20"/>
      <c r="K53" s="20"/>
      <c r="L53" s="20"/>
      <c r="M53" s="20"/>
      <c r="N53" s="20"/>
    </row>
    <row r="54" spans="2:16" ht="6" customHeight="1" thickBot="1">
      <c r="B54" s="484"/>
      <c r="C54" s="484"/>
      <c r="D54" s="169"/>
      <c r="E54" s="169"/>
      <c r="F54" s="169"/>
      <c r="G54" s="169"/>
      <c r="H54" s="169"/>
      <c r="I54" s="169"/>
      <c r="J54" s="169"/>
      <c r="K54" s="169"/>
      <c r="L54" s="169"/>
      <c r="M54" s="169"/>
      <c r="N54" s="169"/>
    </row>
    <row r="55" spans="2:16"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</row>
    <row r="56" spans="2:16">
      <c r="B56" s="4"/>
      <c r="C56" s="481" t="s">
        <v>331</v>
      </c>
      <c r="D56" s="479"/>
      <c r="E56" s="479"/>
      <c r="F56" s="479"/>
      <c r="G56" s="479"/>
      <c r="H56" s="478"/>
      <c r="I56" s="4"/>
      <c r="J56" s="481" t="s">
        <v>330</v>
      </c>
      <c r="K56" s="483"/>
      <c r="L56" s="483"/>
      <c r="M56" s="483"/>
      <c r="N56" s="482"/>
    </row>
    <row r="57" spans="2:16">
      <c r="B57" s="4"/>
      <c r="C57" s="540" t="s">
        <v>256</v>
      </c>
      <c r="D57" s="30" t="s">
        <v>329</v>
      </c>
      <c r="E57" s="4"/>
      <c r="F57" s="4"/>
      <c r="G57" s="547">
        <v>2019</v>
      </c>
      <c r="H57" s="55"/>
      <c r="I57" s="4"/>
      <c r="J57" s="501" t="s">
        <v>328</v>
      </c>
      <c r="K57" s="4"/>
      <c r="L57" s="4"/>
      <c r="M57" s="4"/>
      <c r="N57" s="546">
        <v>350</v>
      </c>
    </row>
    <row r="58" spans="2:16">
      <c r="B58" s="4"/>
      <c r="C58" s="540" t="s">
        <v>256</v>
      </c>
      <c r="D58" s="144" t="str">
        <f>CONCATENATE("5-year cash flow model discounted to December 31, ",G57-1)</f>
        <v>5-year cash flow model discounted to December 31, 2018</v>
      </c>
      <c r="E58" s="4"/>
      <c r="F58" s="4"/>
      <c r="G58" s="4"/>
      <c r="H58" s="55"/>
      <c r="I58" s="4"/>
      <c r="J58" s="501" t="s">
        <v>327</v>
      </c>
      <c r="K58" s="23"/>
      <c r="L58" s="23"/>
      <c r="M58" s="23"/>
      <c r="N58" s="545">
        <v>39.5</v>
      </c>
      <c r="O58" s="4"/>
    </row>
    <row r="59" spans="2:16">
      <c r="B59" s="4"/>
      <c r="C59" s="540" t="s">
        <v>256</v>
      </c>
      <c r="D59" s="30" t="s">
        <v>326</v>
      </c>
      <c r="E59" s="4"/>
      <c r="F59" s="4"/>
      <c r="G59" s="4"/>
      <c r="H59" s="55"/>
      <c r="I59" s="4"/>
      <c r="J59" s="133"/>
      <c r="K59" s="4"/>
      <c r="L59" s="4"/>
      <c r="M59" s="4"/>
      <c r="N59" s="55"/>
      <c r="O59" s="4"/>
    </row>
    <row r="60" spans="2:16">
      <c r="B60" s="4"/>
      <c r="C60" s="544"/>
      <c r="D60" s="543" t="s">
        <v>325</v>
      </c>
      <c r="E60" s="2"/>
      <c r="F60" s="2"/>
      <c r="G60" s="2"/>
      <c r="H60" s="469"/>
      <c r="I60" s="4"/>
      <c r="J60" s="260"/>
      <c r="K60" s="2"/>
      <c r="L60" s="2"/>
      <c r="M60" s="2"/>
      <c r="N60" s="469"/>
      <c r="O60" s="4"/>
    </row>
    <row r="61" spans="2:16"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</row>
    <row r="62" spans="2:16">
      <c r="B62" s="23"/>
      <c r="C62" s="481" t="s">
        <v>324</v>
      </c>
      <c r="D62" s="542"/>
      <c r="E62" s="483"/>
      <c r="F62" s="483"/>
      <c r="G62" s="483"/>
      <c r="H62" s="482"/>
      <c r="I62" s="23"/>
      <c r="J62" s="541" t="s">
        <v>323</v>
      </c>
      <c r="K62" s="479"/>
      <c r="L62" s="479"/>
      <c r="M62" s="479"/>
      <c r="N62" s="478"/>
      <c r="O62" s="23"/>
    </row>
    <row r="63" spans="2:16">
      <c r="B63" s="4"/>
      <c r="C63" s="540" t="s">
        <v>256</v>
      </c>
      <c r="D63" s="144" t="s">
        <v>322</v>
      </c>
      <c r="E63" s="4"/>
      <c r="F63" s="4"/>
      <c r="G63" s="4"/>
      <c r="H63" s="55"/>
      <c r="I63" s="4"/>
      <c r="J63" s="501" t="s">
        <v>321</v>
      </c>
      <c r="K63" s="4"/>
      <c r="L63" s="4"/>
      <c r="M63" s="4"/>
      <c r="N63" s="55"/>
      <c r="O63" s="4"/>
    </row>
    <row r="64" spans="2:16">
      <c r="B64" s="4"/>
      <c r="C64" s="539" t="s">
        <v>320</v>
      </c>
      <c r="D64" s="538"/>
      <c r="E64" s="536" t="str">
        <f>I189&amp;" - "&amp;M189</f>
        <v>2019 - 2023</v>
      </c>
      <c r="F64" s="537"/>
      <c r="G64" s="536" t="s">
        <v>319</v>
      </c>
      <c r="H64" s="535"/>
      <c r="I64" s="4"/>
      <c r="J64" s="501" t="s">
        <v>318</v>
      </c>
      <c r="K64" s="4"/>
      <c r="L64" s="4"/>
      <c r="M64" s="4"/>
      <c r="N64" s="533">
        <v>0.35</v>
      </c>
      <c r="O64" s="4"/>
    </row>
    <row r="65" spans="2:15" ht="15.6">
      <c r="B65" s="532"/>
      <c r="C65" s="531" t="s">
        <v>317</v>
      </c>
      <c r="D65" s="4"/>
      <c r="E65" s="20" t="s">
        <v>316</v>
      </c>
      <c r="F65" s="20"/>
      <c r="G65" s="20" t="s">
        <v>311</v>
      </c>
      <c r="H65" s="529"/>
      <c r="I65" s="534"/>
      <c r="J65" s="501" t="s">
        <v>315</v>
      </c>
      <c r="K65" s="4"/>
      <c r="L65" s="4"/>
      <c r="M65" s="4"/>
      <c r="N65" s="533">
        <v>0.15</v>
      </c>
      <c r="O65" s="532"/>
    </row>
    <row r="66" spans="2:15">
      <c r="B66" s="4"/>
      <c r="C66" s="531" t="s">
        <v>314</v>
      </c>
      <c r="D66" s="4"/>
      <c r="E66" s="530">
        <v>0.03</v>
      </c>
      <c r="F66" s="20"/>
      <c r="G66" s="20" t="s">
        <v>311</v>
      </c>
      <c r="H66" s="529"/>
      <c r="I66" s="30"/>
      <c r="J66" s="501" t="s">
        <v>313</v>
      </c>
      <c r="K66" s="4"/>
      <c r="L66" s="4"/>
      <c r="M66" s="4"/>
      <c r="N66" s="528">
        <v>32.5</v>
      </c>
      <c r="O66" s="4"/>
    </row>
    <row r="67" spans="2:15">
      <c r="B67" s="4"/>
      <c r="C67" s="527" t="s">
        <v>312</v>
      </c>
      <c r="D67" s="2"/>
      <c r="E67" s="526">
        <v>-0.03</v>
      </c>
      <c r="F67" s="13"/>
      <c r="G67" s="13" t="s">
        <v>311</v>
      </c>
      <c r="H67" s="525"/>
      <c r="I67" s="30"/>
      <c r="J67" s="524" t="s">
        <v>310</v>
      </c>
      <c r="K67" s="2"/>
      <c r="L67" s="2"/>
      <c r="M67" s="2"/>
      <c r="N67" s="523">
        <v>580.79999999999995</v>
      </c>
      <c r="O67" s="4"/>
    </row>
    <row r="68" spans="2:15">
      <c r="B68" s="4"/>
      <c r="C68" s="4"/>
      <c r="D68" s="4"/>
      <c r="E68" s="4"/>
      <c r="F68" s="4"/>
      <c r="G68" s="4"/>
      <c r="H68" s="4"/>
      <c r="I68" s="30"/>
      <c r="J68" s="4"/>
      <c r="K68" s="4"/>
      <c r="L68" s="4"/>
      <c r="M68" s="4"/>
      <c r="N68" s="4"/>
      <c r="O68" s="4"/>
    </row>
    <row r="69" spans="2:15">
      <c r="B69" s="4"/>
      <c r="C69" s="481" t="s">
        <v>309</v>
      </c>
      <c r="D69" s="480"/>
      <c r="E69" s="479"/>
      <c r="F69" s="479"/>
      <c r="G69" s="479"/>
      <c r="H69" s="478"/>
      <c r="I69" s="4"/>
      <c r="J69" s="481" t="s">
        <v>308</v>
      </c>
      <c r="K69" s="479"/>
      <c r="L69" s="479"/>
      <c r="M69" s="479"/>
      <c r="N69" s="478"/>
      <c r="O69" s="4"/>
    </row>
    <row r="70" spans="2:15">
      <c r="B70" s="4"/>
      <c r="C70" s="522" t="s">
        <v>307</v>
      </c>
      <c r="D70" s="521"/>
      <c r="E70" s="520">
        <f>G57</f>
        <v>2019</v>
      </c>
      <c r="F70" s="59"/>
      <c r="G70" s="520" t="s">
        <v>306</v>
      </c>
      <c r="H70" s="58"/>
      <c r="I70" s="4"/>
      <c r="J70" s="519" t="s">
        <v>305</v>
      </c>
      <c r="K70" s="59"/>
      <c r="L70" s="59"/>
      <c r="M70" s="59"/>
      <c r="N70" s="518" t="s">
        <v>304</v>
      </c>
      <c r="O70" s="4"/>
    </row>
    <row r="71" spans="2:15">
      <c r="B71" s="4"/>
      <c r="C71" s="507" t="s">
        <v>225</v>
      </c>
      <c r="D71" s="144"/>
      <c r="E71" s="508">
        <v>24.6</v>
      </c>
      <c r="F71" s="4" t="s">
        <v>302</v>
      </c>
      <c r="G71" s="4" t="s">
        <v>301</v>
      </c>
      <c r="H71" s="55"/>
      <c r="I71" s="4"/>
      <c r="J71" s="517" t="s">
        <v>303</v>
      </c>
      <c r="K71" s="4"/>
      <c r="L71" s="4"/>
      <c r="M71" s="4"/>
      <c r="N71" s="516">
        <v>20</v>
      </c>
      <c r="O71" s="4"/>
    </row>
    <row r="72" spans="2:15">
      <c r="B72" s="4"/>
      <c r="C72" s="133" t="s">
        <v>224</v>
      </c>
      <c r="D72" s="4"/>
      <c r="E72" s="508">
        <v>2.7</v>
      </c>
      <c r="F72" s="4" t="s">
        <v>302</v>
      </c>
      <c r="G72" s="4" t="s">
        <v>301</v>
      </c>
      <c r="H72" s="55"/>
      <c r="I72" s="4"/>
      <c r="J72" s="515" t="s">
        <v>300</v>
      </c>
      <c r="K72" s="2"/>
      <c r="L72" s="2"/>
      <c r="M72" s="2"/>
      <c r="N72" s="514">
        <v>25</v>
      </c>
      <c r="O72" s="4"/>
    </row>
    <row r="73" spans="2:15">
      <c r="B73" s="4"/>
      <c r="C73" s="507" t="s">
        <v>223</v>
      </c>
      <c r="D73" s="144"/>
      <c r="E73" s="508">
        <v>41</v>
      </c>
      <c r="F73" s="4" t="s">
        <v>297</v>
      </c>
      <c r="G73" s="4" t="s">
        <v>296</v>
      </c>
      <c r="H73" s="55"/>
      <c r="I73" s="4"/>
      <c r="J73" s="4"/>
      <c r="K73" s="4"/>
      <c r="L73" s="4"/>
      <c r="M73" s="4"/>
      <c r="N73" s="4"/>
      <c r="O73" s="4"/>
    </row>
    <row r="74" spans="2:15">
      <c r="B74" s="4"/>
      <c r="C74" s="507" t="s">
        <v>222</v>
      </c>
      <c r="D74" s="30"/>
      <c r="E74" s="508">
        <v>31.2</v>
      </c>
      <c r="F74" s="4" t="s">
        <v>297</v>
      </c>
      <c r="G74" s="4" t="s">
        <v>296</v>
      </c>
      <c r="H74" s="55"/>
      <c r="I74" s="4"/>
      <c r="J74" s="481" t="s">
        <v>299</v>
      </c>
      <c r="K74" s="479"/>
      <c r="L74" s="479"/>
      <c r="M74" s="479"/>
      <c r="N74" s="478"/>
      <c r="O74" s="4"/>
    </row>
    <row r="75" spans="2:15">
      <c r="B75" s="4"/>
      <c r="C75" s="507" t="s">
        <v>221</v>
      </c>
      <c r="D75" s="30"/>
      <c r="E75" s="508">
        <v>66.400000000000006</v>
      </c>
      <c r="F75" s="4" t="s">
        <v>297</v>
      </c>
      <c r="G75" s="4" t="s">
        <v>296</v>
      </c>
      <c r="H75" s="55"/>
      <c r="I75" s="4"/>
      <c r="J75" s="133" t="str">
        <f ca="1">"- Stock Price - "&amp;TEXT(TODAY()-1,"mm/dd/yy")</f>
        <v>- Stock Price - 10/04/26</v>
      </c>
      <c r="K75" s="513"/>
      <c r="L75" s="4"/>
      <c r="M75" s="512"/>
      <c r="N75" s="511">
        <v>31.55</v>
      </c>
      <c r="O75" s="4"/>
    </row>
    <row r="76" spans="2:15">
      <c r="B76" s="4"/>
      <c r="C76" s="507" t="s">
        <v>220</v>
      </c>
      <c r="D76" s="30"/>
      <c r="E76" s="508">
        <v>8.1999999999999993</v>
      </c>
      <c r="F76" s="4" t="s">
        <v>297</v>
      </c>
      <c r="G76" s="4" t="s">
        <v>296</v>
      </c>
      <c r="H76" s="55"/>
      <c r="I76" s="4"/>
      <c r="J76" s="260" t="str">
        <f>"- Fully Diluted Shares O/S (MM) - Dec. 31, "&amp;G57-1</f>
        <v>- Fully Diluted Shares O/S (MM) - Dec. 31, 2018</v>
      </c>
      <c r="K76" s="2"/>
      <c r="L76" s="2"/>
      <c r="M76" s="510"/>
      <c r="N76" s="509">
        <v>30.4</v>
      </c>
      <c r="O76" s="4"/>
    </row>
    <row r="77" spans="2:15">
      <c r="B77" s="4"/>
      <c r="C77" s="133" t="s">
        <v>157</v>
      </c>
      <c r="D77" s="4"/>
      <c r="E77" s="508">
        <v>4.2</v>
      </c>
      <c r="F77" s="4" t="s">
        <v>297</v>
      </c>
      <c r="G77" s="4" t="s">
        <v>296</v>
      </c>
      <c r="H77" s="55"/>
      <c r="I77" s="4"/>
      <c r="J77" s="4"/>
      <c r="K77" s="4"/>
      <c r="L77" s="4"/>
      <c r="M77" s="4"/>
      <c r="N77" s="4"/>
      <c r="O77" s="4"/>
    </row>
    <row r="78" spans="2:15">
      <c r="B78" s="4"/>
      <c r="C78" s="507" t="s">
        <v>298</v>
      </c>
      <c r="D78" s="30"/>
      <c r="E78" s="506">
        <v>45.2</v>
      </c>
      <c r="F78" s="4" t="s">
        <v>297</v>
      </c>
      <c r="G78" s="4" t="s">
        <v>296</v>
      </c>
      <c r="H78" s="55"/>
      <c r="I78" s="4"/>
      <c r="J78" s="4"/>
      <c r="K78" s="4"/>
      <c r="L78" s="4"/>
      <c r="M78" s="4"/>
      <c r="N78" s="4"/>
    </row>
    <row r="79" spans="2:15">
      <c r="B79" s="4"/>
      <c r="C79" s="260" t="s">
        <v>206</v>
      </c>
      <c r="D79" s="2"/>
      <c r="E79" s="505">
        <v>0.02</v>
      </c>
      <c r="F79" s="470"/>
      <c r="G79" s="470"/>
      <c r="H79" s="429"/>
      <c r="I79" s="4"/>
      <c r="J79" s="4"/>
      <c r="K79" s="4"/>
      <c r="L79" s="4"/>
      <c r="M79" s="4"/>
      <c r="N79" s="4"/>
    </row>
    <row r="80" spans="2:15"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</row>
    <row r="81" spans="2:15">
      <c r="B81" s="2"/>
      <c r="C81" s="2"/>
      <c r="D81" s="446"/>
      <c r="E81" s="13"/>
      <c r="F81" s="13"/>
      <c r="G81" s="13"/>
      <c r="H81" s="13"/>
      <c r="I81" s="2"/>
      <c r="J81" s="2"/>
      <c r="K81" s="2"/>
      <c r="L81" s="2"/>
      <c r="M81" s="2"/>
      <c r="N81" s="2"/>
    </row>
    <row r="82" spans="2:15">
      <c r="B82" s="4"/>
      <c r="C82" s="4"/>
      <c r="D82" s="504"/>
      <c r="E82" s="20"/>
      <c r="F82" s="20"/>
      <c r="G82" s="20"/>
      <c r="H82" s="20"/>
      <c r="I82" s="4"/>
      <c r="J82" s="4"/>
      <c r="K82" s="4"/>
      <c r="L82" s="4"/>
      <c r="M82" s="4"/>
      <c r="N82" s="4"/>
    </row>
    <row r="83" spans="2:15">
      <c r="B83" s="4"/>
      <c r="C83" s="4"/>
      <c r="D83" s="504"/>
      <c r="E83" s="20"/>
      <c r="F83" s="20"/>
      <c r="G83" s="20"/>
      <c r="H83" s="20"/>
      <c r="I83" s="4"/>
      <c r="J83" s="4"/>
      <c r="K83" s="4"/>
      <c r="L83" s="4"/>
      <c r="M83" s="4"/>
      <c r="N83" s="4"/>
    </row>
    <row r="84" spans="2:15">
      <c r="B84" s="4"/>
      <c r="C84" s="4"/>
      <c r="D84" s="504"/>
      <c r="E84" s="20"/>
      <c r="F84" s="20"/>
      <c r="G84" s="20"/>
      <c r="H84" s="20"/>
      <c r="I84" s="4"/>
      <c r="J84" s="4"/>
      <c r="K84" s="4"/>
      <c r="L84" s="4"/>
      <c r="M84" s="4"/>
      <c r="N84" s="4"/>
      <c r="O84" s="4"/>
    </row>
    <row r="85" spans="2:15" ht="22.8">
      <c r="B85" s="35" t="str">
        <f>$B$3</f>
        <v>Lingoren Corp.</v>
      </c>
      <c r="C85" s="344"/>
      <c r="D85" s="20"/>
      <c r="E85" s="20"/>
      <c r="F85" s="20"/>
      <c r="G85" s="20"/>
      <c r="H85" s="20"/>
      <c r="I85" s="20"/>
      <c r="J85" s="20"/>
      <c r="K85" s="20"/>
      <c r="L85" s="20"/>
      <c r="M85" s="20"/>
      <c r="O85" s="30"/>
    </row>
    <row r="86" spans="2:15" ht="17.399999999999999">
      <c r="B86" s="485" t="s">
        <v>280</v>
      </c>
      <c r="C86" s="485"/>
      <c r="D86" s="20"/>
      <c r="E86" s="20"/>
      <c r="F86" s="20"/>
      <c r="G86" s="20"/>
      <c r="H86" s="20"/>
      <c r="I86" s="20"/>
      <c r="J86" s="20"/>
      <c r="K86" s="20"/>
      <c r="L86" s="20"/>
      <c r="M86" s="20"/>
      <c r="O86" s="30"/>
    </row>
    <row r="87" spans="2:15" ht="6" customHeight="1" thickBot="1">
      <c r="B87" s="484"/>
      <c r="C87" s="484"/>
      <c r="D87" s="169"/>
      <c r="E87" s="169"/>
      <c r="F87" s="169"/>
      <c r="G87" s="169"/>
      <c r="H87" s="169"/>
      <c r="I87" s="169"/>
      <c r="J87" s="169"/>
      <c r="K87" s="169"/>
      <c r="L87" s="169"/>
      <c r="M87" s="169"/>
      <c r="O87" s="30"/>
    </row>
    <row r="88" spans="2:15">
      <c r="B88" s="4"/>
      <c r="C88" s="4"/>
      <c r="D88" s="504"/>
      <c r="E88" s="20"/>
      <c r="F88" s="20"/>
      <c r="G88" s="20"/>
      <c r="H88" s="20"/>
      <c r="I88" s="4"/>
      <c r="J88" s="4"/>
      <c r="K88" s="4"/>
      <c r="L88" s="4"/>
      <c r="M88" s="4"/>
      <c r="O88" s="30"/>
    </row>
    <row r="89" spans="2:15">
      <c r="B89" s="4"/>
      <c r="C89" s="205" t="s">
        <v>295</v>
      </c>
      <c r="D89" s="4"/>
      <c r="E89" s="4"/>
      <c r="F89" s="4"/>
      <c r="G89" s="4"/>
      <c r="H89" s="4"/>
      <c r="I89" s="4"/>
      <c r="J89" s="4"/>
      <c r="K89" s="4"/>
      <c r="L89" s="4"/>
      <c r="M89" s="4"/>
      <c r="O89" s="4"/>
    </row>
    <row r="90" spans="2:15" ht="13.2" customHeight="1">
      <c r="B90" s="4"/>
      <c r="C90" s="503" t="s">
        <v>256</v>
      </c>
      <c r="D90" s="30" t="str">
        <f>CONCATENATE("Capex has been assumed at $",G99," million in ",G94,", $",H99," million in ",H94," and grown at inflation thereafter")</f>
        <v>Capex has been assumed at $50 million in 2019, $55 million in 2020 and grown at inflation thereafter</v>
      </c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</row>
    <row r="91" spans="2:15">
      <c r="B91" s="4"/>
      <c r="C91" s="503" t="s">
        <v>256</v>
      </c>
      <c r="D91" s="30" t="s">
        <v>294</v>
      </c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</row>
    <row r="92" spans="2:15">
      <c r="B92" s="4"/>
      <c r="C92" s="503"/>
      <c r="D92" s="30" t="s">
        <v>293</v>
      </c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</row>
    <row r="93" spans="2:15" ht="18">
      <c r="B93" s="4"/>
      <c r="C93" s="502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</row>
    <row r="94" spans="2:15" ht="15.6">
      <c r="B94" s="494"/>
      <c r="C94" s="496"/>
      <c r="D94" s="492" t="s">
        <v>283</v>
      </c>
      <c r="E94" s="479"/>
      <c r="F94" s="479"/>
      <c r="G94" s="491">
        <f>G57</f>
        <v>2019</v>
      </c>
      <c r="H94" s="491">
        <f>G94+1</f>
        <v>2020</v>
      </c>
      <c r="I94" s="491">
        <f>H94+1</f>
        <v>2021</v>
      </c>
      <c r="J94" s="491">
        <f>I94+1</f>
        <v>2022</v>
      </c>
      <c r="K94" s="490">
        <f>J94+1</f>
        <v>2023</v>
      </c>
      <c r="M94" s="495"/>
      <c r="N94" s="495"/>
      <c r="O94" s="494"/>
    </row>
    <row r="95" spans="2:15" ht="6" customHeight="1">
      <c r="B95" s="4"/>
      <c r="C95" s="4"/>
      <c r="D95" s="133"/>
      <c r="E95" s="4"/>
      <c r="F95" s="4"/>
      <c r="G95" s="4"/>
      <c r="H95" s="4"/>
      <c r="I95" s="4"/>
      <c r="J95" s="4"/>
      <c r="K95" s="55"/>
      <c r="M95" s="4"/>
      <c r="N95" s="4"/>
      <c r="O95" s="4"/>
    </row>
    <row r="96" spans="2:15">
      <c r="B96" s="4"/>
      <c r="C96" s="4"/>
      <c r="D96" s="501" t="s">
        <v>292</v>
      </c>
      <c r="E96" s="4"/>
      <c r="F96" s="4"/>
      <c r="G96" s="487">
        <v>50</v>
      </c>
      <c r="H96" s="487">
        <v>55</v>
      </c>
      <c r="I96" s="616">
        <f>H96*(1+K$210)</f>
        <v>56.1</v>
      </c>
      <c r="J96" s="616">
        <f>I96*(1+L$210)</f>
        <v>57.502499999999998</v>
      </c>
      <c r="K96" s="615">
        <f>J96*(1+M$210)</f>
        <v>58.940062499999989</v>
      </c>
      <c r="M96" s="500"/>
      <c r="N96" s="500"/>
      <c r="O96" s="4"/>
    </row>
    <row r="97" spans="2:15">
      <c r="B97" s="4"/>
      <c r="C97" s="4"/>
      <c r="D97" s="135" t="s">
        <v>291</v>
      </c>
      <c r="E97" s="4"/>
      <c r="F97" s="4"/>
      <c r="G97" s="487">
        <v>0</v>
      </c>
      <c r="H97" s="487">
        <v>0</v>
      </c>
      <c r="I97" s="487">
        <v>0</v>
      </c>
      <c r="J97" s="487">
        <v>0</v>
      </c>
      <c r="K97" s="493">
        <v>0</v>
      </c>
      <c r="M97" s="487"/>
      <c r="N97" s="487"/>
      <c r="O97" s="4"/>
    </row>
    <row r="98" spans="2:15">
      <c r="B98" s="4"/>
      <c r="C98" s="4"/>
      <c r="D98" s="133" t="s">
        <v>290</v>
      </c>
      <c r="E98" s="4"/>
      <c r="F98" s="4"/>
      <c r="G98" s="499">
        <v>0</v>
      </c>
      <c r="H98" s="499">
        <v>0</v>
      </c>
      <c r="I98" s="499">
        <v>0</v>
      </c>
      <c r="J98" s="499">
        <v>0</v>
      </c>
      <c r="K98" s="498">
        <v>30</v>
      </c>
      <c r="M98" s="487"/>
      <c r="N98" s="487"/>
      <c r="O98" s="4"/>
    </row>
    <row r="99" spans="2:15">
      <c r="B99" s="4"/>
      <c r="C99" s="4"/>
      <c r="D99" s="459" t="s">
        <v>9</v>
      </c>
      <c r="E99" s="4"/>
      <c r="F99" s="4"/>
      <c r="G99" s="64">
        <f>SUM(G96:G98)</f>
        <v>50</v>
      </c>
      <c r="H99" s="64">
        <f>SUM(H96:H98)</f>
        <v>55</v>
      </c>
      <c r="I99" s="64">
        <f>SUM(I96:I98)</f>
        <v>56.1</v>
      </c>
      <c r="J99" s="64">
        <f>SUM(J96:J98)</f>
        <v>57.502499999999998</v>
      </c>
      <c r="K99" s="497">
        <f>SUM(K96:K98)</f>
        <v>88.940062499999982</v>
      </c>
      <c r="M99" s="64"/>
      <c r="N99" s="487"/>
      <c r="O99" s="4"/>
    </row>
    <row r="100" spans="2:15" ht="6" customHeight="1">
      <c r="B100" s="4"/>
      <c r="C100" s="4"/>
      <c r="D100" s="260"/>
      <c r="E100" s="448"/>
      <c r="F100" s="448"/>
      <c r="G100" s="448"/>
      <c r="H100" s="448"/>
      <c r="I100" s="488"/>
      <c r="J100" s="448"/>
      <c r="K100" s="447"/>
      <c r="M100" s="90"/>
      <c r="N100" s="90"/>
      <c r="O100" s="90"/>
    </row>
    <row r="101" spans="2:15">
      <c r="B101" s="4"/>
      <c r="C101" s="4"/>
      <c r="D101" s="4"/>
      <c r="E101" s="4"/>
      <c r="F101" s="4"/>
      <c r="G101" s="4"/>
      <c r="H101" s="90"/>
      <c r="I101" s="486"/>
      <c r="J101" s="90"/>
      <c r="K101" s="90"/>
      <c r="L101" s="90"/>
      <c r="M101" s="90"/>
      <c r="N101" s="90"/>
      <c r="O101" s="90"/>
    </row>
    <row r="102" spans="2:15">
      <c r="B102" s="4"/>
      <c r="C102" s="4"/>
      <c r="D102" s="4"/>
      <c r="E102" s="4"/>
      <c r="F102" s="4"/>
      <c r="G102" s="4"/>
      <c r="H102" s="90"/>
      <c r="I102" s="486"/>
      <c r="J102" s="90"/>
      <c r="K102" s="90"/>
      <c r="L102" s="90"/>
      <c r="M102" s="90"/>
      <c r="N102" s="90"/>
      <c r="O102" s="90"/>
    </row>
    <row r="103" spans="2:15">
      <c r="B103" s="4"/>
      <c r="C103" s="205" t="s">
        <v>289</v>
      </c>
      <c r="D103" s="4"/>
      <c r="E103" s="4"/>
      <c r="F103" s="4"/>
      <c r="G103" s="4"/>
      <c r="H103" s="500"/>
      <c r="I103" s="500"/>
      <c r="J103" s="500"/>
      <c r="K103" s="500"/>
      <c r="L103" s="4"/>
      <c r="M103" s="4"/>
      <c r="N103" s="4"/>
      <c r="O103" s="4"/>
    </row>
    <row r="104" spans="2:15">
      <c r="B104" s="4"/>
      <c r="C104" s="205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</row>
    <row r="105" spans="2:15">
      <c r="B105" s="4"/>
      <c r="C105" s="205"/>
      <c r="D105" s="492" t="s">
        <v>283</v>
      </c>
      <c r="E105" s="479"/>
      <c r="F105" s="675">
        <f>G105-1</f>
        <v>2018</v>
      </c>
      <c r="G105" s="491">
        <f>G94</f>
        <v>2019</v>
      </c>
      <c r="H105" s="491">
        <f>G105+1</f>
        <v>2020</v>
      </c>
      <c r="I105" s="491">
        <f>H105+1</f>
        <v>2021</v>
      </c>
      <c r="J105" s="491">
        <f>I105+1</f>
        <v>2022</v>
      </c>
      <c r="K105" s="490">
        <f>J105+1</f>
        <v>2023</v>
      </c>
      <c r="L105" s="90"/>
      <c r="M105" s="4"/>
      <c r="N105" s="4"/>
      <c r="O105" s="4"/>
    </row>
    <row r="106" spans="2:15" ht="6" customHeight="1">
      <c r="B106" s="4"/>
      <c r="C106" s="4"/>
      <c r="D106" s="133"/>
      <c r="E106" s="4"/>
      <c r="F106" s="4"/>
      <c r="G106" s="4"/>
      <c r="H106" s="4"/>
      <c r="I106" s="4"/>
      <c r="J106" s="4"/>
      <c r="K106" s="55"/>
      <c r="L106" s="4"/>
      <c r="M106" s="90"/>
      <c r="N106" s="90"/>
      <c r="O106" s="90"/>
    </row>
    <row r="107" spans="2:15">
      <c r="B107" s="4"/>
      <c r="C107" s="4"/>
      <c r="D107" s="135" t="s">
        <v>288</v>
      </c>
      <c r="E107" s="4"/>
      <c r="F107" s="487">
        <v>15</v>
      </c>
      <c r="G107" s="487">
        <v>15</v>
      </c>
      <c r="H107" s="487">
        <v>20</v>
      </c>
      <c r="I107" s="487">
        <v>25</v>
      </c>
      <c r="J107" s="487">
        <v>30</v>
      </c>
      <c r="K107" s="493">
        <v>35</v>
      </c>
      <c r="L107" s="487"/>
      <c r="M107" s="487"/>
      <c r="N107" s="487"/>
      <c r="O107" s="4"/>
    </row>
    <row r="108" spans="2:15">
      <c r="B108" s="4"/>
      <c r="C108" s="4"/>
      <c r="D108" s="135" t="s">
        <v>287</v>
      </c>
      <c r="E108" s="4"/>
      <c r="F108" s="487">
        <v>-4</v>
      </c>
      <c r="G108" s="487">
        <v>-4</v>
      </c>
      <c r="H108" s="487">
        <v>-2</v>
      </c>
      <c r="I108" s="487">
        <v>0</v>
      </c>
      <c r="J108" s="487">
        <v>0</v>
      </c>
      <c r="K108" s="493">
        <v>0</v>
      </c>
      <c r="L108" s="487"/>
      <c r="M108" s="487"/>
      <c r="N108" s="487"/>
      <c r="O108" s="4"/>
    </row>
    <row r="109" spans="2:15">
      <c r="B109" s="4"/>
      <c r="C109" s="4"/>
      <c r="D109" s="135" t="s">
        <v>286</v>
      </c>
      <c r="E109" s="4"/>
      <c r="F109" s="499">
        <v>0</v>
      </c>
      <c r="G109" s="499">
        <v>0</v>
      </c>
      <c r="H109" s="499">
        <v>0</v>
      </c>
      <c r="I109" s="499">
        <v>0</v>
      </c>
      <c r="J109" s="499">
        <v>0</v>
      </c>
      <c r="K109" s="498">
        <v>0</v>
      </c>
      <c r="L109" s="487"/>
      <c r="M109" s="487"/>
      <c r="N109" s="487"/>
      <c r="O109" s="4"/>
    </row>
    <row r="110" spans="2:15">
      <c r="B110" s="4"/>
      <c r="C110" s="4"/>
      <c r="D110" s="459" t="s">
        <v>9</v>
      </c>
      <c r="E110" s="4"/>
      <c r="F110" s="64">
        <f t="shared" ref="F110:K110" si="1">SUM(F107:F109)</f>
        <v>11</v>
      </c>
      <c r="G110" s="64">
        <f t="shared" si="1"/>
        <v>11</v>
      </c>
      <c r="H110" s="64">
        <f t="shared" si="1"/>
        <v>18</v>
      </c>
      <c r="I110" s="64">
        <f t="shared" si="1"/>
        <v>25</v>
      </c>
      <c r="J110" s="64">
        <f t="shared" si="1"/>
        <v>30</v>
      </c>
      <c r="K110" s="497">
        <f t="shared" si="1"/>
        <v>35</v>
      </c>
      <c r="L110" s="90"/>
      <c r="M110" s="64"/>
      <c r="N110" s="64"/>
      <c r="O110" s="4"/>
    </row>
    <row r="111" spans="2:15" ht="6" customHeight="1">
      <c r="B111" s="4"/>
      <c r="C111" s="4"/>
      <c r="D111" s="260"/>
      <c r="E111" s="448"/>
      <c r="F111" s="448"/>
      <c r="G111" s="448"/>
      <c r="H111" s="448"/>
      <c r="I111" s="488"/>
      <c r="J111" s="448"/>
      <c r="K111" s="447"/>
      <c r="L111" s="90"/>
      <c r="M111" s="90"/>
      <c r="N111" s="90"/>
      <c r="O111" s="90"/>
    </row>
    <row r="112" spans="2:15">
      <c r="B112" s="4"/>
      <c r="C112" s="4"/>
      <c r="D112" s="4"/>
      <c r="E112" s="4"/>
      <c r="F112" s="4"/>
      <c r="G112" s="4"/>
      <c r="H112" s="90"/>
      <c r="I112" s="486"/>
      <c r="J112" s="90"/>
      <c r="K112" s="90"/>
      <c r="L112" s="90"/>
      <c r="M112" s="90"/>
      <c r="N112" s="90"/>
      <c r="O112" s="90"/>
    </row>
    <row r="113" spans="2:15"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</row>
    <row r="114" spans="2:15">
      <c r="B114" s="4"/>
      <c r="C114" s="205" t="s">
        <v>285</v>
      </c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</row>
    <row r="115" spans="2:15">
      <c r="B115" s="4"/>
      <c r="C115" s="4"/>
      <c r="D115" s="4"/>
      <c r="E115" s="4"/>
      <c r="F115" s="4"/>
      <c r="G115" s="4"/>
      <c r="H115" s="90"/>
      <c r="I115" s="486"/>
      <c r="J115" s="90"/>
      <c r="K115" s="90"/>
      <c r="L115" s="90"/>
      <c r="M115" s="90"/>
      <c r="N115" s="90"/>
      <c r="O115" s="90"/>
    </row>
    <row r="116" spans="2:15" ht="15.6">
      <c r="B116" s="494"/>
      <c r="C116" s="496"/>
      <c r="D116" s="492" t="s">
        <v>239</v>
      </c>
      <c r="E116" s="479"/>
      <c r="F116" s="479"/>
      <c r="G116" s="491">
        <f>G105</f>
        <v>2019</v>
      </c>
      <c r="H116" s="491">
        <f>G116+1</f>
        <v>2020</v>
      </c>
      <c r="I116" s="491">
        <f>H116+1</f>
        <v>2021</v>
      </c>
      <c r="J116" s="491">
        <f>I116+1</f>
        <v>2022</v>
      </c>
      <c r="K116" s="490">
        <f>J116+1</f>
        <v>2023</v>
      </c>
      <c r="L116" s="90"/>
      <c r="M116" s="495"/>
      <c r="N116" s="495"/>
      <c r="O116" s="494"/>
    </row>
    <row r="117" spans="2:15" ht="6" customHeight="1">
      <c r="B117" s="4"/>
      <c r="C117" s="4"/>
      <c r="D117" s="133"/>
      <c r="E117" s="4"/>
      <c r="F117" s="4"/>
      <c r="G117" s="4"/>
      <c r="H117" s="4"/>
      <c r="I117" s="4"/>
      <c r="J117" s="4"/>
      <c r="K117" s="55"/>
      <c r="L117" s="4"/>
      <c r="M117" s="4"/>
      <c r="N117" s="4"/>
      <c r="O117" s="4"/>
    </row>
    <row r="118" spans="2:15">
      <c r="B118" s="4"/>
      <c r="C118" s="4"/>
      <c r="D118" s="135" t="s">
        <v>104</v>
      </c>
      <c r="E118" s="4"/>
      <c r="F118" s="4"/>
      <c r="G118" s="487">
        <v>32</v>
      </c>
      <c r="H118" s="487">
        <v>30</v>
      </c>
      <c r="I118" s="487">
        <v>30</v>
      </c>
      <c r="J118" s="487">
        <v>30</v>
      </c>
      <c r="K118" s="493">
        <v>30</v>
      </c>
      <c r="L118" s="487"/>
      <c r="M118" s="487"/>
      <c r="N118" s="487"/>
      <c r="O118" s="4"/>
    </row>
    <row r="119" spans="2:15">
      <c r="B119" s="4"/>
      <c r="C119" s="4"/>
      <c r="D119" s="135" t="s">
        <v>103</v>
      </c>
      <c r="E119" s="4"/>
      <c r="F119" s="4"/>
      <c r="G119" s="487">
        <v>40</v>
      </c>
      <c r="H119" s="487">
        <v>38</v>
      </c>
      <c r="I119" s="487">
        <v>37</v>
      </c>
      <c r="J119" s="487">
        <v>37</v>
      </c>
      <c r="K119" s="493">
        <v>37</v>
      </c>
      <c r="L119" s="487"/>
      <c r="M119" s="487"/>
      <c r="N119" s="487"/>
      <c r="O119" s="4"/>
    </row>
    <row r="120" spans="2:15">
      <c r="B120" s="4"/>
      <c r="C120" s="4"/>
      <c r="D120" s="135" t="s">
        <v>102</v>
      </c>
      <c r="E120" s="4"/>
      <c r="F120" s="4"/>
      <c r="G120" s="487">
        <v>27</v>
      </c>
      <c r="H120" s="487">
        <v>28</v>
      </c>
      <c r="I120" s="487">
        <v>29</v>
      </c>
      <c r="J120" s="487">
        <v>29</v>
      </c>
      <c r="K120" s="493">
        <v>29</v>
      </c>
      <c r="L120" s="487"/>
      <c r="M120" s="487"/>
      <c r="N120" s="487"/>
      <c r="O120" s="4"/>
    </row>
    <row r="121" spans="2:15" ht="6" customHeight="1">
      <c r="B121" s="4"/>
      <c r="C121" s="4"/>
      <c r="D121" s="260"/>
      <c r="E121" s="2"/>
      <c r="F121" s="2"/>
      <c r="G121" s="2"/>
      <c r="H121" s="448"/>
      <c r="I121" s="488"/>
      <c r="J121" s="448"/>
      <c r="K121" s="447"/>
      <c r="L121" s="90"/>
      <c r="M121" s="90"/>
      <c r="N121" s="90"/>
      <c r="O121" s="90"/>
    </row>
    <row r="122" spans="2:15">
      <c r="B122" s="4"/>
      <c r="C122" s="4"/>
      <c r="D122" s="4"/>
      <c r="E122" s="4"/>
      <c r="F122" s="4"/>
      <c r="G122" s="4"/>
      <c r="H122" s="90"/>
      <c r="I122" s="486"/>
      <c r="J122" s="90"/>
      <c r="K122" s="90"/>
      <c r="L122" s="90"/>
      <c r="M122" s="90"/>
      <c r="N122" s="90"/>
      <c r="O122" s="90"/>
    </row>
    <row r="123" spans="2:15"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</row>
    <row r="124" spans="2:15">
      <c r="B124" s="4"/>
      <c r="C124" s="205" t="s">
        <v>284</v>
      </c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</row>
    <row r="125" spans="2:15">
      <c r="B125" s="4"/>
      <c r="C125" s="4"/>
      <c r="D125" s="4"/>
      <c r="E125" s="4"/>
      <c r="F125" s="4"/>
      <c r="G125" s="4"/>
      <c r="H125" s="90"/>
      <c r="I125" s="486"/>
      <c r="J125" s="90"/>
      <c r="K125" s="90"/>
      <c r="L125" s="90"/>
      <c r="M125" s="90"/>
      <c r="N125" s="90"/>
      <c r="O125" s="90"/>
    </row>
    <row r="126" spans="2:15">
      <c r="B126" s="4"/>
      <c r="C126" s="4"/>
      <c r="D126" s="492" t="s">
        <v>283</v>
      </c>
      <c r="E126" s="479"/>
      <c r="F126" s="479"/>
      <c r="G126" s="491">
        <f>G116</f>
        <v>2019</v>
      </c>
      <c r="H126" s="491">
        <f>H116</f>
        <v>2020</v>
      </c>
      <c r="I126" s="491">
        <f>I116</f>
        <v>2021</v>
      </c>
      <c r="J126" s="491">
        <f>J116</f>
        <v>2022</v>
      </c>
      <c r="K126" s="490">
        <f>K116</f>
        <v>2023</v>
      </c>
      <c r="L126" s="90"/>
      <c r="M126" s="90"/>
      <c r="N126" s="4"/>
      <c r="O126" s="4"/>
    </row>
    <row r="127" spans="2:15">
      <c r="B127" s="4"/>
      <c r="C127" s="4"/>
      <c r="D127" s="133"/>
      <c r="E127" s="4"/>
      <c r="F127" s="4"/>
      <c r="G127" s="90"/>
      <c r="H127" s="486"/>
      <c r="I127" s="90"/>
      <c r="J127" s="90"/>
      <c r="K127" s="452"/>
      <c r="L127" s="90"/>
      <c r="M127" s="90"/>
      <c r="N127" s="90"/>
      <c r="O127" s="90"/>
    </row>
    <row r="128" spans="2:15">
      <c r="B128" s="4"/>
      <c r="C128" s="4"/>
      <c r="D128" s="135" t="s">
        <v>282</v>
      </c>
      <c r="F128" s="4"/>
      <c r="G128" s="489">
        <v>0</v>
      </c>
      <c r="H128" s="489">
        <v>0</v>
      </c>
      <c r="I128" s="489">
        <v>0</v>
      </c>
      <c r="J128" s="489">
        <v>0</v>
      </c>
      <c r="K128" s="457">
        <v>0</v>
      </c>
      <c r="L128" s="90"/>
      <c r="M128" s="90"/>
      <c r="N128" s="4"/>
      <c r="O128" s="4"/>
    </row>
    <row r="129" spans="2:15">
      <c r="B129" s="4"/>
      <c r="C129" s="4"/>
      <c r="D129" s="135" t="s">
        <v>281</v>
      </c>
      <c r="F129" s="4"/>
      <c r="G129" s="489">
        <v>0</v>
      </c>
      <c r="H129" s="489">
        <v>0</v>
      </c>
      <c r="I129" s="489">
        <v>0</v>
      </c>
      <c r="J129" s="489">
        <v>0</v>
      </c>
      <c r="K129" s="457">
        <v>0</v>
      </c>
      <c r="L129" s="90"/>
      <c r="M129" s="90"/>
      <c r="N129" s="4"/>
      <c r="O129" s="4"/>
    </row>
    <row r="130" spans="2:15" ht="6" customHeight="1">
      <c r="B130" s="4"/>
      <c r="C130" s="4"/>
      <c r="D130" s="260"/>
      <c r="E130" s="2"/>
      <c r="F130" s="2"/>
      <c r="G130" s="448"/>
      <c r="H130" s="488"/>
      <c r="I130" s="448"/>
      <c r="J130" s="448"/>
      <c r="K130" s="447"/>
      <c r="L130" s="90"/>
      <c r="M130" s="90"/>
      <c r="N130" s="487"/>
      <c r="O130" s="4"/>
    </row>
    <row r="131" spans="2:15">
      <c r="B131" s="4"/>
      <c r="C131" s="4"/>
      <c r="D131" s="4"/>
      <c r="E131" s="4"/>
      <c r="F131" s="4"/>
      <c r="G131" s="4"/>
      <c r="H131" s="90"/>
      <c r="I131" s="486"/>
      <c r="J131" s="90"/>
      <c r="K131" s="90"/>
      <c r="L131" s="90"/>
      <c r="M131" s="90"/>
      <c r="N131" s="90"/>
      <c r="O131" s="90"/>
    </row>
    <row r="132" spans="2:15"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4"/>
      <c r="O132" s="4"/>
    </row>
    <row r="133" spans="2:15"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</row>
    <row r="134" spans="2:15"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</row>
    <row r="136" spans="2:15" ht="22.8">
      <c r="B136" s="35" t="str">
        <f>$B$3</f>
        <v>Lingoren Corp.</v>
      </c>
      <c r="C136" s="344"/>
      <c r="D136" s="20"/>
      <c r="E136" s="20"/>
      <c r="F136" s="20"/>
      <c r="G136" s="20"/>
      <c r="H136" s="20"/>
      <c r="I136" s="20"/>
      <c r="J136" s="20"/>
      <c r="K136" s="20"/>
      <c r="L136" s="20"/>
      <c r="M136" s="20"/>
      <c r="N136" s="20"/>
      <c r="O136" s="20"/>
    </row>
    <row r="137" spans="2:15" ht="17.399999999999999">
      <c r="B137" s="485" t="s">
        <v>280</v>
      </c>
      <c r="C137" s="485"/>
      <c r="D137" s="20"/>
      <c r="E137" s="20"/>
      <c r="F137" s="20"/>
      <c r="G137" s="20"/>
      <c r="H137" s="20"/>
      <c r="I137" s="20"/>
      <c r="J137" s="20"/>
      <c r="K137" s="20"/>
      <c r="L137" s="20"/>
      <c r="M137" s="20"/>
      <c r="N137" s="20"/>
      <c r="O137" s="20"/>
    </row>
    <row r="138" spans="2:15" ht="18" thickBot="1">
      <c r="B138" s="484"/>
      <c r="C138" s="484"/>
      <c r="D138" s="169"/>
      <c r="E138" s="169"/>
      <c r="F138" s="169"/>
      <c r="G138" s="169"/>
      <c r="H138" s="169"/>
      <c r="I138" s="169"/>
      <c r="J138" s="169"/>
      <c r="K138" s="169"/>
      <c r="L138" s="169"/>
      <c r="M138" s="169"/>
      <c r="N138" s="169"/>
      <c r="O138" s="169"/>
    </row>
    <row r="139" spans="2:15"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</row>
    <row r="140" spans="2:15">
      <c r="C140" s="481" t="s">
        <v>279</v>
      </c>
      <c r="D140" s="483"/>
      <c r="E140" s="483"/>
      <c r="F140" s="483"/>
      <c r="G140" s="483"/>
      <c r="H140" s="483"/>
      <c r="I140" s="482"/>
      <c r="K140" s="481" t="s">
        <v>278</v>
      </c>
      <c r="L140" s="480"/>
      <c r="M140" s="479"/>
      <c r="N140" s="479"/>
      <c r="O140" s="478"/>
    </row>
    <row r="141" spans="2:15">
      <c r="C141" s="232"/>
      <c r="D141" s="4"/>
      <c r="E141" s="4"/>
      <c r="F141" s="4"/>
      <c r="G141" s="4"/>
      <c r="H141" s="4"/>
      <c r="I141" s="55"/>
      <c r="K141" s="477"/>
      <c r="L141" s="4"/>
      <c r="M141" s="4"/>
      <c r="O141" s="55"/>
    </row>
    <row r="142" spans="2:15">
      <c r="C142" s="459" t="s">
        <v>277</v>
      </c>
      <c r="D142" s="4"/>
      <c r="E142" s="4"/>
      <c r="F142" s="4"/>
      <c r="G142" s="4"/>
      <c r="H142" s="4"/>
      <c r="I142" s="55"/>
      <c r="K142" s="476" t="s">
        <v>276</v>
      </c>
      <c r="L142" s="4"/>
      <c r="M142" s="4"/>
      <c r="O142" s="212" t="s">
        <v>74</v>
      </c>
    </row>
    <row r="143" spans="2:15">
      <c r="C143" s="455" t="s">
        <v>256</v>
      </c>
      <c r="D143" s="4" t="s">
        <v>275</v>
      </c>
      <c r="E143" s="4"/>
      <c r="F143" s="4"/>
      <c r="G143" s="4"/>
      <c r="H143" s="4"/>
      <c r="I143" s="458">
        <f>SUM(E21:E23)</f>
        <v>3.25</v>
      </c>
      <c r="K143" s="472">
        <v>0</v>
      </c>
      <c r="L143" s="4"/>
      <c r="M143" s="4"/>
      <c r="O143" s="471">
        <v>0.01</v>
      </c>
    </row>
    <row r="144" spans="2:15">
      <c r="C144" s="455" t="s">
        <v>256</v>
      </c>
      <c r="D144" s="4" t="s">
        <v>274</v>
      </c>
      <c r="E144" s="4"/>
      <c r="F144" s="4"/>
      <c r="G144" s="4"/>
      <c r="H144" s="4"/>
      <c r="I144" s="475">
        <v>0.25</v>
      </c>
      <c r="K144" s="472">
        <v>1</v>
      </c>
      <c r="L144" s="4"/>
      <c r="M144" s="4"/>
      <c r="O144" s="471">
        <v>1.4999999999999999E-2</v>
      </c>
    </row>
    <row r="145" spans="3:15">
      <c r="C145" s="133"/>
      <c r="D145" s="4"/>
      <c r="E145" s="4"/>
      <c r="F145" s="4"/>
      <c r="G145" s="4"/>
      <c r="H145" s="4"/>
      <c r="I145" s="55"/>
      <c r="K145" s="472">
        <v>2</v>
      </c>
      <c r="L145" s="4"/>
      <c r="M145" s="4"/>
      <c r="O145" s="471">
        <v>0.02</v>
      </c>
    </row>
    <row r="146" spans="3:15">
      <c r="C146" s="459" t="s">
        <v>3</v>
      </c>
      <c r="D146" s="4"/>
      <c r="E146" s="4"/>
      <c r="F146" s="4"/>
      <c r="G146" s="4"/>
      <c r="H146" s="4"/>
      <c r="I146" s="55"/>
      <c r="K146" s="472">
        <v>3</v>
      </c>
      <c r="L146" s="4"/>
      <c r="M146" s="4"/>
      <c r="O146" s="471">
        <v>2.5000000000000001E-2</v>
      </c>
    </row>
    <row r="147" spans="3:15">
      <c r="C147" s="455" t="s">
        <v>256</v>
      </c>
      <c r="D147" s="4" t="s">
        <v>273</v>
      </c>
      <c r="E147" s="4"/>
      <c r="F147" s="4"/>
      <c r="G147" s="4"/>
      <c r="H147" s="4"/>
      <c r="I147" s="474">
        <f>N20</f>
        <v>100</v>
      </c>
      <c r="K147" s="472">
        <v>4</v>
      </c>
      <c r="L147" s="4"/>
      <c r="M147" s="4"/>
      <c r="O147" s="471">
        <v>2.75E-2</v>
      </c>
    </row>
    <row r="148" spans="3:15">
      <c r="C148" s="455" t="s">
        <v>256</v>
      </c>
      <c r="D148" s="4" t="s">
        <v>272</v>
      </c>
      <c r="E148" s="4"/>
      <c r="F148" s="4"/>
      <c r="G148" s="4"/>
      <c r="H148" s="4"/>
      <c r="I148" s="55"/>
      <c r="K148" s="472">
        <v>4.5</v>
      </c>
      <c r="L148" s="4"/>
      <c r="M148" s="4"/>
      <c r="O148" s="471">
        <v>0.03</v>
      </c>
    </row>
    <row r="149" spans="3:15">
      <c r="C149" s="133"/>
      <c r="D149" s="4" t="s">
        <v>271</v>
      </c>
      <c r="E149" s="4"/>
      <c r="F149" s="4"/>
      <c r="G149" s="4"/>
      <c r="H149" s="4"/>
      <c r="I149" s="473"/>
      <c r="K149" s="472">
        <v>5</v>
      </c>
      <c r="L149" s="4"/>
      <c r="M149" s="4"/>
      <c r="O149" s="471">
        <v>3.2500000000000001E-2</v>
      </c>
    </row>
    <row r="150" spans="3:15">
      <c r="C150" s="133"/>
      <c r="D150" s="4" t="s">
        <v>270</v>
      </c>
      <c r="E150" s="4"/>
      <c r="F150" s="4"/>
      <c r="G150" s="4"/>
      <c r="H150" s="4"/>
      <c r="I150" s="456">
        <v>0.75</v>
      </c>
      <c r="K150" s="260"/>
      <c r="L150" s="2"/>
      <c r="M150" s="2"/>
      <c r="N150" s="470"/>
      <c r="O150" s="469"/>
    </row>
    <row r="151" spans="3:15">
      <c r="C151" s="133"/>
      <c r="D151" s="4" t="s">
        <v>269</v>
      </c>
      <c r="E151" s="4"/>
      <c r="F151" s="4"/>
      <c r="G151" s="4"/>
      <c r="H151" s="4"/>
      <c r="I151" s="456">
        <v>0.5</v>
      </c>
      <c r="K151" s="4"/>
      <c r="L151" s="4"/>
      <c r="M151" s="4"/>
      <c r="O151" s="4"/>
    </row>
    <row r="152" spans="3:15">
      <c r="C152" s="133"/>
      <c r="D152" s="4"/>
      <c r="E152" s="4"/>
      <c r="F152" s="4"/>
      <c r="G152" s="4"/>
      <c r="H152" s="4"/>
      <c r="I152" s="55"/>
      <c r="K152" s="4"/>
      <c r="L152" s="4"/>
      <c r="M152" s="4"/>
      <c r="O152" s="4"/>
    </row>
    <row r="153" spans="3:15">
      <c r="C153" s="455" t="s">
        <v>256</v>
      </c>
      <c r="D153" s="4" t="s">
        <v>268</v>
      </c>
      <c r="E153" s="4"/>
      <c r="F153" s="4"/>
      <c r="G153" s="4"/>
      <c r="H153" s="4"/>
      <c r="I153" s="468">
        <v>2.5000000000000001E-3</v>
      </c>
    </row>
    <row r="154" spans="3:15">
      <c r="C154" s="455" t="s">
        <v>256</v>
      </c>
      <c r="D154" s="4" t="s">
        <v>267</v>
      </c>
      <c r="E154" s="4"/>
      <c r="F154" s="4"/>
      <c r="G154" s="4"/>
      <c r="H154" s="4"/>
      <c r="I154" s="467"/>
    </row>
    <row r="155" spans="3:15">
      <c r="C155" s="133"/>
      <c r="D155" s="466"/>
      <c r="E155" s="465"/>
      <c r="F155" s="465"/>
      <c r="G155" s="465"/>
      <c r="H155" s="465"/>
      <c r="I155" s="464"/>
    </row>
    <row r="156" spans="3:15">
      <c r="C156" s="459" t="s">
        <v>42</v>
      </c>
      <c r="D156" s="4"/>
      <c r="E156" s="4"/>
      <c r="F156" s="4"/>
      <c r="G156" s="4"/>
      <c r="H156" s="4"/>
      <c r="I156" s="55"/>
    </row>
    <row r="157" spans="3:15">
      <c r="C157" s="455" t="s">
        <v>256</v>
      </c>
      <c r="D157" s="4" t="s">
        <v>266</v>
      </c>
      <c r="E157" s="4"/>
      <c r="F157" s="4"/>
      <c r="G157" s="4"/>
      <c r="H157" s="4"/>
      <c r="I157" s="458">
        <f>SUM(E21:E23)</f>
        <v>3.25</v>
      </c>
    </row>
    <row r="158" spans="3:15">
      <c r="C158" s="455" t="s">
        <v>256</v>
      </c>
      <c r="D158" s="4" t="s">
        <v>265</v>
      </c>
      <c r="I158" s="433"/>
    </row>
    <row r="159" spans="3:15">
      <c r="C159" s="455" t="s">
        <v>256</v>
      </c>
      <c r="D159" s="4" t="s">
        <v>264</v>
      </c>
      <c r="I159" s="433"/>
    </row>
    <row r="160" spans="3:15">
      <c r="C160" s="455"/>
      <c r="D160" s="454"/>
      <c r="E160" s="4"/>
      <c r="F160" s="4"/>
      <c r="G160" s="4"/>
      <c r="H160" s="4"/>
      <c r="I160" s="456"/>
    </row>
    <row r="161" spans="3:15">
      <c r="C161" s="455"/>
      <c r="D161" s="65" t="s">
        <v>263</v>
      </c>
      <c r="E161" s="273">
        <f>G116</f>
        <v>2019</v>
      </c>
      <c r="F161" s="273">
        <f>E161+1</f>
        <v>2020</v>
      </c>
      <c r="G161" s="273">
        <f>F161+1</f>
        <v>2021</v>
      </c>
      <c r="H161" s="273">
        <f>G161+1</f>
        <v>2022</v>
      </c>
      <c r="I161" s="212">
        <f>H161+1</f>
        <v>2023</v>
      </c>
      <c r="K161" s="65"/>
      <c r="L161" s="4"/>
      <c r="M161" s="4"/>
      <c r="N161" s="4"/>
      <c r="O161" s="4"/>
    </row>
    <row r="162" spans="3:15">
      <c r="C162" s="455"/>
      <c r="D162" s="4" t="s">
        <v>95</v>
      </c>
      <c r="E162" s="462">
        <v>7.4999999999999997E-2</v>
      </c>
      <c r="F162" s="462">
        <v>0.15</v>
      </c>
      <c r="G162" s="462">
        <v>0.15</v>
      </c>
      <c r="H162" s="462">
        <v>0.25</v>
      </c>
      <c r="I162" s="463">
        <f>1-SUM(E162:H162)</f>
        <v>0.375</v>
      </c>
      <c r="K162" s="65"/>
      <c r="L162" s="4"/>
      <c r="M162" s="4"/>
      <c r="N162" s="4"/>
      <c r="O162" s="4"/>
    </row>
    <row r="163" spans="3:15">
      <c r="C163" s="455"/>
      <c r="D163" s="4" t="s">
        <v>94</v>
      </c>
      <c r="E163" s="462">
        <v>0.01</v>
      </c>
      <c r="F163" s="462">
        <v>0.01</v>
      </c>
      <c r="G163" s="462">
        <v>0.01</v>
      </c>
      <c r="H163" s="462">
        <v>0.01</v>
      </c>
      <c r="I163" s="461">
        <v>0.01</v>
      </c>
      <c r="K163" s="65"/>
      <c r="L163" s="4"/>
      <c r="M163" s="4"/>
      <c r="N163" s="4"/>
      <c r="O163" s="4"/>
    </row>
    <row r="164" spans="3:15">
      <c r="C164" s="133"/>
      <c r="D164" s="4"/>
      <c r="E164" s="4"/>
      <c r="F164" s="4"/>
      <c r="G164" s="4"/>
      <c r="H164" s="4"/>
      <c r="I164" s="55"/>
      <c r="K164" s="65"/>
      <c r="L164" s="4"/>
      <c r="M164" s="4"/>
      <c r="N164" s="4"/>
      <c r="O164" s="4"/>
    </row>
    <row r="165" spans="3:15">
      <c r="C165" s="459" t="s">
        <v>41</v>
      </c>
      <c r="I165" s="433"/>
      <c r="K165" s="65"/>
      <c r="L165" s="4"/>
      <c r="M165" s="4"/>
      <c r="N165" s="4"/>
      <c r="O165" s="4"/>
    </row>
    <row r="166" spans="3:15">
      <c r="C166" s="455" t="s">
        <v>256</v>
      </c>
      <c r="D166" s="4" t="s">
        <v>262</v>
      </c>
      <c r="E166" s="4"/>
      <c r="F166" s="4"/>
      <c r="I166" s="458">
        <f>E24</f>
        <v>1.5</v>
      </c>
      <c r="K166" s="65"/>
      <c r="L166" s="4"/>
      <c r="M166" s="4"/>
      <c r="N166" s="4"/>
      <c r="O166" s="4"/>
    </row>
    <row r="167" spans="3:15">
      <c r="C167" s="455" t="s">
        <v>256</v>
      </c>
      <c r="D167" s="4" t="s">
        <v>259</v>
      </c>
      <c r="E167" s="4"/>
      <c r="F167" s="4"/>
      <c r="I167" s="457">
        <v>0</v>
      </c>
    </row>
    <row r="168" spans="3:15">
      <c r="C168" s="455" t="s">
        <v>256</v>
      </c>
      <c r="D168" s="4" t="s">
        <v>261</v>
      </c>
      <c r="E168" s="4"/>
      <c r="I168" s="433"/>
      <c r="K168" s="65"/>
      <c r="L168" s="4"/>
      <c r="M168" s="4"/>
      <c r="N168" s="4"/>
      <c r="O168" s="4"/>
    </row>
    <row r="169" spans="3:15">
      <c r="C169" s="460"/>
      <c r="I169" s="433"/>
    </row>
    <row r="170" spans="3:15">
      <c r="C170" s="459" t="s">
        <v>40</v>
      </c>
      <c r="D170" s="4"/>
      <c r="E170" s="4"/>
      <c r="F170" s="4"/>
      <c r="G170" s="4"/>
      <c r="H170" s="4"/>
      <c r="I170" s="55"/>
    </row>
    <row r="171" spans="3:15">
      <c r="C171" s="455" t="s">
        <v>256</v>
      </c>
      <c r="D171" s="4" t="s">
        <v>260</v>
      </c>
      <c r="E171" s="4"/>
      <c r="F171" s="4"/>
      <c r="G171" s="4"/>
      <c r="H171" s="4"/>
      <c r="I171" s="458">
        <f>E25</f>
        <v>1.25</v>
      </c>
    </row>
    <row r="172" spans="3:15">
      <c r="C172" s="455" t="s">
        <v>256</v>
      </c>
      <c r="D172" s="90" t="s">
        <v>259</v>
      </c>
      <c r="E172" s="90"/>
      <c r="F172" s="90"/>
      <c r="G172" s="4"/>
      <c r="H172" s="4"/>
      <c r="I172" s="457">
        <v>0</v>
      </c>
    </row>
    <row r="173" spans="3:15">
      <c r="C173" s="455" t="s">
        <v>256</v>
      </c>
      <c r="D173" s="4" t="s">
        <v>258</v>
      </c>
      <c r="E173" s="4"/>
      <c r="F173" s="4"/>
      <c r="G173" s="4"/>
      <c r="H173" s="4"/>
      <c r="I173" s="456">
        <v>0.6</v>
      </c>
    </row>
    <row r="174" spans="3:15">
      <c r="C174" s="133"/>
      <c r="D174" s="454" t="s">
        <v>257</v>
      </c>
      <c r="E174" s="4"/>
      <c r="F174" s="4"/>
      <c r="G174" s="4"/>
      <c r="H174" s="4"/>
      <c r="I174" s="450">
        <v>4.5</v>
      </c>
    </row>
    <row r="175" spans="3:15">
      <c r="C175" s="455" t="s">
        <v>256</v>
      </c>
      <c r="D175" s="4" t="s">
        <v>255</v>
      </c>
      <c r="E175" s="4"/>
      <c r="F175" s="4"/>
      <c r="G175" s="4"/>
      <c r="H175" s="4"/>
      <c r="I175" s="450"/>
    </row>
    <row r="176" spans="3:15">
      <c r="C176" s="133"/>
      <c r="D176" s="454"/>
      <c r="E176" s="4"/>
      <c r="F176" s="4"/>
      <c r="G176" s="4"/>
      <c r="H176" s="4"/>
      <c r="I176" s="450"/>
    </row>
    <row r="177" spans="2:15">
      <c r="C177" s="453" t="s">
        <v>33</v>
      </c>
      <c r="D177" s="90"/>
      <c r="E177" s="90"/>
      <c r="F177" s="90"/>
      <c r="G177" s="4"/>
      <c r="H177" s="4"/>
      <c r="I177" s="452"/>
    </row>
    <row r="178" spans="2:15">
      <c r="C178" s="451" t="s">
        <v>254</v>
      </c>
      <c r="D178" s="90"/>
      <c r="E178" s="90"/>
      <c r="F178" s="90"/>
      <c r="G178" s="4"/>
      <c r="H178" s="4"/>
      <c r="I178" s="450">
        <v>3</v>
      </c>
    </row>
    <row r="179" spans="2:15">
      <c r="C179" s="449"/>
      <c r="D179" s="448"/>
      <c r="E179" s="448"/>
      <c r="F179" s="448"/>
      <c r="G179" s="2"/>
      <c r="H179" s="2"/>
      <c r="I179" s="447"/>
    </row>
    <row r="181" spans="2:15">
      <c r="B181" s="2"/>
      <c r="C181" s="2"/>
      <c r="D181" s="446"/>
      <c r="E181" s="13"/>
      <c r="F181" s="13"/>
      <c r="G181" s="13"/>
      <c r="H181" s="13"/>
      <c r="I181" s="2"/>
      <c r="J181" s="2"/>
      <c r="K181" s="2"/>
      <c r="L181" s="2"/>
      <c r="M181" s="2"/>
      <c r="N181" s="2"/>
      <c r="O181" s="2"/>
    </row>
    <row r="184" spans="2:15" ht="22.8">
      <c r="B184" s="35" t="str">
        <f>$B$3</f>
        <v>Lingoren Corp.</v>
      </c>
      <c r="C184" s="445"/>
      <c r="D184" s="445"/>
      <c r="E184" s="445"/>
      <c r="F184" s="445"/>
      <c r="G184" s="445"/>
      <c r="H184" s="445"/>
      <c r="I184" s="445"/>
      <c r="J184" s="445"/>
      <c r="K184" s="445"/>
      <c r="L184" s="445"/>
      <c r="M184" s="445"/>
    </row>
    <row r="185" spans="2:15" ht="17.399999999999999">
      <c r="B185" s="444" t="s">
        <v>253</v>
      </c>
      <c r="C185" s="444"/>
      <c r="D185" s="444"/>
      <c r="E185" s="444"/>
      <c r="F185" s="444"/>
      <c r="G185" s="444"/>
      <c r="H185" s="444"/>
      <c r="I185" s="444"/>
      <c r="J185" s="444"/>
      <c r="K185" s="444"/>
      <c r="L185" s="444"/>
      <c r="M185" s="444"/>
    </row>
    <row r="186" spans="2:15" ht="13.8" thickBot="1">
      <c r="B186" s="442"/>
      <c r="C186" s="442"/>
      <c r="D186" s="443"/>
      <c r="E186" s="443"/>
      <c r="F186" s="442"/>
      <c r="G186" s="442"/>
      <c r="H186" s="442"/>
      <c r="I186" s="442"/>
      <c r="J186" s="442"/>
      <c r="K186" s="442"/>
      <c r="L186" s="442"/>
      <c r="M186" s="442"/>
    </row>
    <row r="187" spans="2:15">
      <c r="B187" s="351"/>
      <c r="C187" s="440"/>
      <c r="D187" s="441"/>
      <c r="E187" s="441"/>
      <c r="F187" s="440"/>
      <c r="G187" s="351"/>
      <c r="H187" s="351"/>
      <c r="I187" s="351"/>
      <c r="J187" s="351"/>
      <c r="K187" s="351"/>
    </row>
    <row r="188" spans="2:15">
      <c r="B188" s="439"/>
      <c r="C188" s="437"/>
      <c r="D188" s="438"/>
      <c r="E188" s="438"/>
      <c r="F188" s="437"/>
      <c r="G188" s="436"/>
      <c r="I188" s="435"/>
      <c r="J188" s="435"/>
      <c r="K188" s="435"/>
      <c r="L188" s="435"/>
      <c r="M188" s="435"/>
    </row>
    <row r="189" spans="2:15">
      <c r="B189" s="434" t="s">
        <v>252</v>
      </c>
      <c r="C189" s="427"/>
      <c r="F189" s="371">
        <v>1</v>
      </c>
      <c r="G189" s="433"/>
      <c r="I189" s="425">
        <f>G57</f>
        <v>2019</v>
      </c>
      <c r="J189" s="425">
        <f>I189+1</f>
        <v>2020</v>
      </c>
      <c r="K189" s="425">
        <f>J189+1</f>
        <v>2021</v>
      </c>
      <c r="L189" s="425">
        <f>K189+1</f>
        <v>2022</v>
      </c>
      <c r="M189" s="425">
        <f>L189+1</f>
        <v>2023</v>
      </c>
    </row>
    <row r="190" spans="2:15">
      <c r="B190" s="432"/>
      <c r="C190" s="430"/>
      <c r="D190" s="431"/>
      <c r="E190" s="431"/>
      <c r="F190" s="430"/>
      <c r="G190" s="429"/>
      <c r="I190" s="425"/>
      <c r="J190" s="425"/>
      <c r="K190" s="426"/>
      <c r="L190" s="426"/>
      <c r="M190" s="425"/>
    </row>
    <row r="191" spans="2:15">
      <c r="B191" s="427"/>
      <c r="C191" s="427"/>
      <c r="D191" s="428"/>
      <c r="E191" s="428"/>
      <c r="F191" s="427"/>
      <c r="I191" s="425"/>
      <c r="J191" s="425"/>
      <c r="K191" s="426"/>
      <c r="L191" s="426"/>
      <c r="M191" s="425"/>
    </row>
    <row r="192" spans="2:15">
      <c r="B192" s="351"/>
      <c r="C192" s="351"/>
      <c r="D192" s="382"/>
      <c r="E192" s="382"/>
      <c r="F192" s="351"/>
      <c r="I192" s="351"/>
      <c r="J192" s="351"/>
      <c r="K192" s="351"/>
      <c r="L192" s="351"/>
      <c r="M192" s="351"/>
    </row>
    <row r="193" spans="2:13" ht="13.8">
      <c r="B193" s="398" t="s">
        <v>251</v>
      </c>
      <c r="C193" s="351"/>
      <c r="D193" s="382"/>
      <c r="E193" s="382"/>
      <c r="F193" s="351"/>
      <c r="I193" s="351"/>
      <c r="J193" s="351"/>
      <c r="K193" s="351"/>
      <c r="L193" s="351"/>
      <c r="M193" s="351"/>
    </row>
    <row r="194" spans="2:13">
      <c r="B194" s="351"/>
      <c r="C194" s="351"/>
      <c r="D194" s="382"/>
      <c r="E194" s="382"/>
      <c r="F194" s="351"/>
      <c r="I194" s="351"/>
      <c r="J194" s="351"/>
      <c r="K194" s="351"/>
      <c r="L194" s="351"/>
      <c r="M194" s="351"/>
    </row>
    <row r="195" spans="2:13">
      <c r="B195" s="353" t="s">
        <v>250</v>
      </c>
      <c r="C195" s="372"/>
      <c r="D195" s="382"/>
      <c r="E195" s="382"/>
      <c r="F195" s="351"/>
      <c r="I195" s="424">
        <f>CHOOSE($F$189,I197,I198,I199)</f>
        <v>86.1</v>
      </c>
      <c r="J195" s="423">
        <f>CHOOSE($F$189,J197,J198,J199)</f>
        <v>88</v>
      </c>
      <c r="K195" s="423">
        <f>CHOOSE($F$189,K197,K198,K199)</f>
        <v>90.4</v>
      </c>
      <c r="L195" s="423">
        <f>CHOOSE($F$189,L197,L198,L199)</f>
        <v>92.8</v>
      </c>
      <c r="M195" s="422">
        <f>CHOOSE($F$189,M197,M198,M199)</f>
        <v>94.8</v>
      </c>
    </row>
    <row r="196" spans="2:13">
      <c r="B196" s="421"/>
      <c r="C196" s="351"/>
      <c r="D196" s="382"/>
      <c r="E196" s="382"/>
      <c r="F196" s="351"/>
      <c r="I196" s="420"/>
      <c r="J196" s="420"/>
      <c r="K196" s="420"/>
      <c r="L196" s="420"/>
      <c r="M196" s="420"/>
    </row>
    <row r="197" spans="2:13">
      <c r="B197" s="351"/>
      <c r="C197" s="356" t="str">
        <f>C65</f>
        <v>Base Case</v>
      </c>
      <c r="D197" s="355"/>
      <c r="E197" s="355"/>
      <c r="F197" s="351"/>
      <c r="I197" s="419">
        <v>86.1</v>
      </c>
      <c r="J197" s="418">
        <v>88</v>
      </c>
      <c r="K197" s="418">
        <v>90.4</v>
      </c>
      <c r="L197" s="418">
        <v>92.8</v>
      </c>
      <c r="M197" s="417">
        <v>94.8</v>
      </c>
    </row>
    <row r="198" spans="2:13">
      <c r="B198" s="351"/>
      <c r="C198" s="356" t="str">
        <f>CONCATENATE(,C66,": ",TEXT(E66,"+0.0%;-0.0%"))</f>
        <v>Best Case: +3.0%</v>
      </c>
      <c r="D198" s="355"/>
      <c r="E198" s="355"/>
      <c r="F198" s="351"/>
      <c r="I198" s="416">
        <f>I$197*(1+$E$66)</f>
        <v>88.682999999999993</v>
      </c>
      <c r="J198" s="415">
        <f>J$197*(1+$E$66)</f>
        <v>90.64</v>
      </c>
      <c r="K198" s="415">
        <f>K$197*(1+$E$66)</f>
        <v>93.112000000000009</v>
      </c>
      <c r="L198" s="415">
        <f>L$197*(1+$E$66)</f>
        <v>95.584000000000003</v>
      </c>
      <c r="M198" s="414">
        <f>M$197*(1+$E$66)</f>
        <v>97.644000000000005</v>
      </c>
    </row>
    <row r="199" spans="2:13">
      <c r="B199" s="351"/>
      <c r="C199" s="356" t="str">
        <f>CONCATENATE(,C67,": ",TEXT(E67,"+0.0%;-0.0%"))</f>
        <v>Worst Case: -3.0%</v>
      </c>
      <c r="D199" s="355"/>
      <c r="E199" s="355"/>
      <c r="F199" s="351"/>
      <c r="I199" s="413">
        <f>I$197*(1+$E$67)</f>
        <v>83.516999999999996</v>
      </c>
      <c r="J199" s="412">
        <f>J$197*(1+$E$67)</f>
        <v>85.36</v>
      </c>
      <c r="K199" s="412">
        <f>K$197*(1+$E$67)</f>
        <v>87.688000000000002</v>
      </c>
      <c r="L199" s="412">
        <f>L$197*(1+$E$67)</f>
        <v>90.015999999999991</v>
      </c>
      <c r="M199" s="411">
        <f>M$197*(1+$E$67)</f>
        <v>91.955999999999989</v>
      </c>
    </row>
    <row r="200" spans="2:13">
      <c r="B200" s="351"/>
      <c r="C200" s="386"/>
      <c r="D200" s="355"/>
      <c r="E200" s="355"/>
      <c r="F200" s="351"/>
      <c r="I200" s="410"/>
      <c r="J200" s="410"/>
      <c r="K200" s="410"/>
      <c r="L200" s="410"/>
      <c r="M200" s="410"/>
    </row>
    <row r="201" spans="2:13">
      <c r="B201" s="353" t="s">
        <v>235</v>
      </c>
      <c r="C201" s="351"/>
      <c r="D201" s="355"/>
      <c r="E201" s="355"/>
      <c r="F201" s="351"/>
      <c r="I201" s="397">
        <f>CHOOSE($F$189,I203,I204,I205)</f>
        <v>0.04</v>
      </c>
      <c r="J201" s="396">
        <f>CHOOSE($F$189,J203,J204,J205)</f>
        <v>3.5000000000000003E-2</v>
      </c>
      <c r="K201" s="396">
        <f>CHOOSE($F$189,K203,K204,K205)</f>
        <v>0.03</v>
      </c>
      <c r="L201" s="396">
        <f>CHOOSE($F$189,L203,L204,L205)</f>
        <v>0.03</v>
      </c>
      <c r="M201" s="395">
        <f>CHOOSE($F$189,M203,M204,M205)</f>
        <v>0.03</v>
      </c>
    </row>
    <row r="202" spans="2:13">
      <c r="B202" s="367"/>
      <c r="C202" s="351"/>
      <c r="D202" s="352"/>
      <c r="E202" s="352"/>
      <c r="F202" s="351"/>
      <c r="I202" s="281"/>
      <c r="J202" s="282"/>
      <c r="K202" s="282"/>
      <c r="L202" s="282"/>
      <c r="M202" s="282"/>
    </row>
    <row r="203" spans="2:13">
      <c r="B203" s="367"/>
      <c r="C203" s="351" t="str">
        <f>C65</f>
        <v>Base Case</v>
      </c>
      <c r="D203" s="352"/>
      <c r="E203" s="352"/>
      <c r="F203" s="351"/>
      <c r="I203" s="409">
        <v>0.04</v>
      </c>
      <c r="J203" s="408">
        <v>3.5000000000000003E-2</v>
      </c>
      <c r="K203" s="408">
        <v>0.03</v>
      </c>
      <c r="L203" s="408">
        <v>0.03</v>
      </c>
      <c r="M203" s="407">
        <v>0.03</v>
      </c>
    </row>
    <row r="204" spans="2:13">
      <c r="B204" s="367"/>
      <c r="C204" s="351" t="str">
        <f>C66</f>
        <v>Best Case</v>
      </c>
      <c r="D204" s="352"/>
      <c r="E204" s="352"/>
      <c r="F204" s="351"/>
      <c r="I204" s="406">
        <v>4.4999999999999998E-2</v>
      </c>
      <c r="J204" s="405">
        <v>4.4999999999999998E-2</v>
      </c>
      <c r="K204" s="405">
        <v>0.04</v>
      </c>
      <c r="L204" s="405">
        <v>0.04</v>
      </c>
      <c r="M204" s="404">
        <v>0.04</v>
      </c>
    </row>
    <row r="205" spans="2:13">
      <c r="B205" s="367"/>
      <c r="C205" s="351" t="str">
        <f>C67</f>
        <v>Worst Case</v>
      </c>
      <c r="D205" s="352"/>
      <c r="E205" s="352"/>
      <c r="F205" s="351"/>
      <c r="I205" s="403">
        <v>0.03</v>
      </c>
      <c r="J205" s="402">
        <v>0.03</v>
      </c>
      <c r="K205" s="402">
        <v>1.9999999999999997E-2</v>
      </c>
      <c r="L205" s="402">
        <v>1.9999999999999997E-2</v>
      </c>
      <c r="M205" s="401">
        <v>1.4999999999999999E-2</v>
      </c>
    </row>
    <row r="206" spans="2:13">
      <c r="B206" s="399"/>
      <c r="C206" s="399"/>
      <c r="D206" s="400"/>
      <c r="E206" s="400"/>
      <c r="F206" s="399"/>
      <c r="G206" s="399"/>
      <c r="H206" s="399"/>
      <c r="I206" s="399"/>
      <c r="J206" s="399"/>
      <c r="K206" s="399"/>
      <c r="L206" s="399"/>
      <c r="M206" s="399"/>
    </row>
    <row r="207" spans="2:13">
      <c r="B207" s="351"/>
      <c r="C207" s="351"/>
      <c r="D207" s="382"/>
      <c r="E207" s="382"/>
      <c r="F207" s="351"/>
      <c r="I207" s="351"/>
      <c r="J207" s="351"/>
      <c r="K207" s="351"/>
      <c r="L207" s="351"/>
      <c r="M207" s="351"/>
    </row>
    <row r="208" spans="2:13" ht="13.8">
      <c r="B208" s="398" t="s">
        <v>249</v>
      </c>
      <c r="C208" s="351"/>
      <c r="D208" s="382"/>
      <c r="E208" s="382"/>
      <c r="F208" s="351"/>
      <c r="I208" s="351"/>
      <c r="J208" s="351"/>
      <c r="K208" s="351"/>
      <c r="L208" s="351"/>
      <c r="M208" s="351"/>
    </row>
    <row r="209" spans="2:13">
      <c r="B209" s="351"/>
      <c r="C209" s="351"/>
      <c r="D209" s="382"/>
      <c r="E209" s="382"/>
      <c r="F209" s="351"/>
      <c r="I209" s="351"/>
      <c r="J209" s="351"/>
      <c r="K209" s="351"/>
      <c r="L209" s="351"/>
      <c r="M209" s="351"/>
    </row>
    <row r="210" spans="2:13">
      <c r="B210" s="353" t="s">
        <v>210</v>
      </c>
      <c r="C210" s="351"/>
      <c r="D210" s="352"/>
      <c r="E210" s="352"/>
      <c r="F210" s="351"/>
      <c r="I210" s="614">
        <f>CHOOSE($F$189,I212,I213,I214)</f>
        <v>0.02</v>
      </c>
      <c r="J210" s="613">
        <f>CHOOSE($F$189,J212,J213,J214)</f>
        <v>0.02</v>
      </c>
      <c r="K210" s="613">
        <f>CHOOSE($F$189,K212,K213,K214)</f>
        <v>0.02</v>
      </c>
      <c r="L210" s="613">
        <f>CHOOSE($F$189,L212,L213,L214)</f>
        <v>2.5000000000000001E-2</v>
      </c>
      <c r="M210" s="612">
        <f>CHOOSE($F$189,M212,M213,M214)</f>
        <v>2.5000000000000001E-2</v>
      </c>
    </row>
    <row r="211" spans="2:13">
      <c r="B211" s="367"/>
      <c r="C211" s="351"/>
      <c r="D211" s="352"/>
      <c r="E211" s="352"/>
      <c r="F211" s="351"/>
      <c r="I211" s="281"/>
      <c r="J211" s="282"/>
      <c r="K211" s="282"/>
      <c r="L211" s="282"/>
      <c r="M211" s="282"/>
    </row>
    <row r="212" spans="2:13">
      <c r="B212" s="367"/>
      <c r="C212" s="351" t="str">
        <f>C$203</f>
        <v>Base Case</v>
      </c>
      <c r="D212" s="352"/>
      <c r="E212" s="352"/>
      <c r="F212" s="351"/>
      <c r="I212" s="394">
        <v>0.02</v>
      </c>
      <c r="J212" s="393">
        <v>0.02</v>
      </c>
      <c r="K212" s="393">
        <v>0.02</v>
      </c>
      <c r="L212" s="393">
        <v>2.5000000000000001E-2</v>
      </c>
      <c r="M212" s="392">
        <v>2.5000000000000001E-2</v>
      </c>
    </row>
    <row r="213" spans="2:13">
      <c r="B213" s="367"/>
      <c r="C213" s="351" t="str">
        <f>C$66</f>
        <v>Best Case</v>
      </c>
      <c r="D213" s="352"/>
      <c r="E213" s="352"/>
      <c r="F213" s="351"/>
      <c r="I213" s="391">
        <v>1.7999999999999999E-2</v>
      </c>
      <c r="J213" s="281">
        <v>1.7999999999999999E-2</v>
      </c>
      <c r="K213" s="281">
        <v>1.7999999999999999E-2</v>
      </c>
      <c r="L213" s="281">
        <v>0.02</v>
      </c>
      <c r="M213" s="390">
        <v>0.02</v>
      </c>
    </row>
    <row r="214" spans="2:13">
      <c r="B214" s="367"/>
      <c r="C214" s="351" t="str">
        <f>C$67</f>
        <v>Worst Case</v>
      </c>
      <c r="D214" s="352"/>
      <c r="E214" s="352"/>
      <c r="F214" s="351"/>
      <c r="I214" s="389">
        <v>2.5000000000000001E-2</v>
      </c>
      <c r="J214" s="388">
        <v>2.5000000000000001E-2</v>
      </c>
      <c r="K214" s="388">
        <v>2.5000000000000001E-2</v>
      </c>
      <c r="L214" s="388">
        <v>2.5000000000000001E-2</v>
      </c>
      <c r="M214" s="387">
        <v>2.5000000000000001E-2</v>
      </c>
    </row>
    <row r="215" spans="2:13">
      <c r="B215" s="351"/>
      <c r="C215" s="386"/>
      <c r="D215" s="352"/>
      <c r="E215" s="352"/>
      <c r="F215" s="351"/>
      <c r="I215" s="282"/>
      <c r="J215" s="282"/>
      <c r="K215" s="282"/>
      <c r="L215" s="282"/>
      <c r="M215" s="282"/>
    </row>
    <row r="216" spans="2:13">
      <c r="B216" s="353" t="s">
        <v>248</v>
      </c>
      <c r="C216" s="372"/>
      <c r="D216" s="382"/>
      <c r="E216" s="382"/>
      <c r="F216" s="351"/>
      <c r="I216" s="385">
        <f>CHOOSE($F$189,I218,I219,I220)</f>
        <v>10.8</v>
      </c>
      <c r="J216" s="384">
        <f>CHOOSE($F$189,J218,J219,J220)</f>
        <v>11.4</v>
      </c>
      <c r="K216" s="384">
        <f>CHOOSE($F$189,K218,K219,K220)</f>
        <v>12</v>
      </c>
      <c r="L216" s="384">
        <f>CHOOSE($F$189,L218,L219,L220)</f>
        <v>11.2</v>
      </c>
      <c r="M216" s="383">
        <f>CHOOSE($F$189,M218,M219,M220)</f>
        <v>10.8</v>
      </c>
    </row>
    <row r="217" spans="2:13">
      <c r="B217" s="367"/>
      <c r="C217" s="351"/>
      <c r="D217" s="382"/>
      <c r="E217" s="382"/>
      <c r="F217" s="351"/>
      <c r="I217" s="366"/>
      <c r="J217" s="366"/>
      <c r="K217" s="366"/>
      <c r="L217" s="366"/>
      <c r="M217" s="366"/>
    </row>
    <row r="218" spans="2:13">
      <c r="B218" s="351"/>
      <c r="C218" s="351" t="str">
        <f>C$203</f>
        <v>Base Case</v>
      </c>
      <c r="D218" s="355"/>
      <c r="E218" s="355"/>
      <c r="F218" s="351"/>
      <c r="I218" s="381">
        <v>10.8</v>
      </c>
      <c r="J218" s="380">
        <v>11.4</v>
      </c>
      <c r="K218" s="380">
        <v>12</v>
      </c>
      <c r="L218" s="380">
        <v>11.2</v>
      </c>
      <c r="M218" s="379">
        <v>10.8</v>
      </c>
    </row>
    <row r="219" spans="2:13">
      <c r="B219" s="351"/>
      <c r="C219" s="351" t="str">
        <f>C$66</f>
        <v>Best Case</v>
      </c>
      <c r="D219" s="355"/>
      <c r="E219" s="355"/>
      <c r="F219" s="351"/>
      <c r="I219" s="378">
        <v>11</v>
      </c>
      <c r="J219" s="377">
        <v>11.600000000000001</v>
      </c>
      <c r="K219" s="377">
        <v>12.2</v>
      </c>
      <c r="L219" s="377">
        <v>11.5</v>
      </c>
      <c r="M219" s="376">
        <v>11.2</v>
      </c>
    </row>
    <row r="220" spans="2:13">
      <c r="B220" s="351"/>
      <c r="C220" s="351" t="str">
        <f>C$67</f>
        <v>Worst Case</v>
      </c>
      <c r="D220" s="355"/>
      <c r="E220" s="355"/>
      <c r="F220" s="351"/>
      <c r="I220" s="375">
        <v>10.6</v>
      </c>
      <c r="J220" s="374">
        <v>11.200000000000001</v>
      </c>
      <c r="K220" s="374">
        <v>11.8</v>
      </c>
      <c r="L220" s="374">
        <v>11</v>
      </c>
      <c r="M220" s="373">
        <v>10.600000000000001</v>
      </c>
    </row>
    <row r="221" spans="2:13">
      <c r="B221" s="351"/>
      <c r="C221" s="351"/>
      <c r="D221" s="356"/>
      <c r="E221" s="355"/>
      <c r="F221" s="355"/>
      <c r="I221" s="351"/>
      <c r="J221" s="354"/>
      <c r="K221" s="354"/>
      <c r="L221" s="354"/>
      <c r="M221" s="354"/>
    </row>
    <row r="222" spans="2:13">
      <c r="B222" s="353" t="s">
        <v>247</v>
      </c>
      <c r="C222" s="372"/>
      <c r="D222" s="372"/>
      <c r="E222" s="371"/>
      <c r="F222" s="371"/>
      <c r="I222" s="370">
        <f>CHOOSE($F$189,I224,I225,I226)</f>
        <v>330</v>
      </c>
      <c r="J222" s="369">
        <f>CHOOSE($F$189,J224,J225,J226)</f>
        <v>360</v>
      </c>
      <c r="K222" s="369">
        <f>CHOOSE($F$189,K224,K225,K226)</f>
        <v>380</v>
      </c>
      <c r="L222" s="369">
        <f>CHOOSE($F$189,L224,L225,L226)</f>
        <v>360</v>
      </c>
      <c r="M222" s="368">
        <f>CHOOSE($F$189,M224,M225,M226)</f>
        <v>340</v>
      </c>
    </row>
    <row r="223" spans="2:13">
      <c r="B223" s="367"/>
      <c r="C223" s="367"/>
      <c r="D223" s="351"/>
      <c r="E223" s="352"/>
      <c r="F223" s="352"/>
      <c r="I223" s="366"/>
      <c r="J223" s="366"/>
      <c r="K223" s="366"/>
      <c r="L223" s="366"/>
      <c r="M223" s="366"/>
    </row>
    <row r="224" spans="2:13">
      <c r="B224" s="351"/>
      <c r="C224" s="351" t="str">
        <f>C$203</f>
        <v>Base Case</v>
      </c>
      <c r="D224" s="356"/>
      <c r="E224" s="355"/>
      <c r="F224" s="355"/>
      <c r="I224" s="365">
        <v>330</v>
      </c>
      <c r="J224" s="364">
        <v>360</v>
      </c>
      <c r="K224" s="364">
        <v>380</v>
      </c>
      <c r="L224" s="364">
        <v>360</v>
      </c>
      <c r="M224" s="363">
        <v>340</v>
      </c>
    </row>
    <row r="225" spans="1:15">
      <c r="B225" s="351"/>
      <c r="C225" s="351" t="str">
        <f>C$66</f>
        <v>Best Case</v>
      </c>
      <c r="D225" s="356"/>
      <c r="E225" s="355"/>
      <c r="F225" s="355"/>
      <c r="I225" s="362">
        <v>325</v>
      </c>
      <c r="J225" s="361">
        <v>350</v>
      </c>
      <c r="K225" s="361">
        <v>367</v>
      </c>
      <c r="L225" s="361">
        <v>350</v>
      </c>
      <c r="M225" s="360">
        <v>330</v>
      </c>
    </row>
    <row r="226" spans="1:15">
      <c r="B226" s="351"/>
      <c r="C226" s="351" t="str">
        <f>C$67</f>
        <v>Worst Case</v>
      </c>
      <c r="D226" s="356"/>
      <c r="E226" s="355"/>
      <c r="F226" s="355"/>
      <c r="I226" s="359">
        <v>335</v>
      </c>
      <c r="J226" s="358">
        <v>365</v>
      </c>
      <c r="K226" s="358">
        <v>385</v>
      </c>
      <c r="L226" s="358">
        <v>365</v>
      </c>
      <c r="M226" s="357">
        <v>345</v>
      </c>
    </row>
    <row r="227" spans="1:15">
      <c r="B227" s="353"/>
      <c r="C227" s="351"/>
      <c r="D227" s="356"/>
      <c r="E227" s="355"/>
      <c r="F227" s="355"/>
      <c r="I227" s="351"/>
      <c r="J227" s="354"/>
      <c r="K227" s="354"/>
      <c r="L227" s="354"/>
      <c r="M227" s="354"/>
    </row>
    <row r="228" spans="1:15">
      <c r="B228" s="353" t="s">
        <v>0</v>
      </c>
      <c r="C228" s="351"/>
      <c r="D228" s="356"/>
      <c r="E228" s="355"/>
      <c r="F228" s="355"/>
      <c r="I228" s="351"/>
      <c r="J228" s="354"/>
      <c r="K228" s="354"/>
      <c r="L228" s="354"/>
      <c r="M228" s="354"/>
    </row>
    <row r="229" spans="1:15">
      <c r="B229" s="353"/>
      <c r="C229" s="351" t="str">
        <f>C$203</f>
        <v>Base Case</v>
      </c>
      <c r="D229" s="352"/>
      <c r="E229" s="352"/>
      <c r="F229" s="351"/>
      <c r="I229" s="350">
        <v>7.4999999999999997E-3</v>
      </c>
      <c r="J229" s="349">
        <v>7.4999999999999997E-3</v>
      </c>
      <c r="K229" s="349">
        <v>7.4999999999999997E-3</v>
      </c>
      <c r="L229" s="349">
        <v>0.01</v>
      </c>
      <c r="M229" s="348">
        <v>0.01</v>
      </c>
    </row>
    <row r="230" spans="1:15">
      <c r="B230" s="346"/>
      <c r="C230" s="346"/>
      <c r="D230" s="346"/>
      <c r="E230" s="347"/>
      <c r="F230" s="347"/>
      <c r="G230" s="346"/>
      <c r="H230" s="346"/>
      <c r="I230" s="346"/>
      <c r="J230" s="346"/>
      <c r="K230" s="346"/>
      <c r="L230" s="346"/>
      <c r="M230" s="346"/>
    </row>
    <row r="235" spans="1:15" ht="12.75" customHeight="1">
      <c r="A235" s="345"/>
      <c r="B235" s="344"/>
      <c r="C235" s="20"/>
      <c r="D235" s="20"/>
      <c r="E235" s="20"/>
      <c r="F235" s="299"/>
      <c r="G235" s="20"/>
      <c r="H235" s="20"/>
      <c r="I235" s="20"/>
      <c r="J235" s="20"/>
      <c r="K235" s="20"/>
      <c r="L235" s="20"/>
      <c r="M235" s="20"/>
      <c r="N235" s="20"/>
      <c r="O235" s="343" t="str">
        <f>"CURRENTLY RUNNING: "&amp;UPPER(CHOOSE($F$189,C212,C213,C214))&amp;" SCENARIO"</f>
        <v>CURRENTLY RUNNING: BASE CASE SCENARIO</v>
      </c>
    </row>
    <row r="236" spans="1:15" ht="22.8" customHeight="1">
      <c r="A236" s="300"/>
      <c r="B236" s="35" t="str">
        <f>$B$3</f>
        <v>Lingoren Corp.</v>
      </c>
      <c r="C236" s="20"/>
      <c r="D236" s="20"/>
      <c r="E236" s="20"/>
      <c r="F236" s="299"/>
      <c r="G236" s="20"/>
      <c r="H236" s="20"/>
      <c r="I236" s="20"/>
      <c r="J236" s="20"/>
      <c r="K236" s="20"/>
      <c r="L236" s="20"/>
      <c r="M236" s="20"/>
      <c r="N236" s="20"/>
      <c r="O236" s="20"/>
    </row>
    <row r="237" spans="1:15" ht="18.75" customHeight="1">
      <c r="A237" s="298"/>
      <c r="B237" s="34" t="s">
        <v>246</v>
      </c>
      <c r="C237" s="294"/>
      <c r="D237" s="294"/>
      <c r="E237" s="294"/>
      <c r="F237" s="295"/>
      <c r="G237" s="294"/>
      <c r="H237" s="294"/>
      <c r="I237" s="294"/>
      <c r="J237" s="294"/>
      <c r="K237" s="294"/>
      <c r="L237" s="294"/>
      <c r="M237" s="294"/>
      <c r="N237" s="294"/>
      <c r="O237" s="294"/>
    </row>
    <row r="238" spans="1:15" ht="6" customHeight="1" thickBot="1">
      <c r="A238" s="298"/>
      <c r="B238" s="220"/>
      <c r="C238" s="33"/>
      <c r="D238" s="33"/>
      <c r="E238" s="33"/>
      <c r="F238" s="297"/>
      <c r="G238" s="33"/>
      <c r="H238" s="33"/>
      <c r="I238" s="33"/>
      <c r="J238" s="33"/>
      <c r="K238" s="33"/>
      <c r="L238" s="33"/>
      <c r="M238" s="33"/>
      <c r="N238" s="33"/>
      <c r="O238" s="33"/>
    </row>
    <row r="239" spans="1:15" ht="12.75" customHeight="1">
      <c r="A239" s="34"/>
      <c r="B239" s="294"/>
      <c r="C239" s="294"/>
      <c r="D239" s="294"/>
      <c r="E239" s="294"/>
      <c r="F239" s="295"/>
      <c r="G239" s="294"/>
      <c r="H239" s="294"/>
      <c r="I239" s="294"/>
      <c r="J239" s="294"/>
      <c r="K239" s="342"/>
      <c r="L239" s="341"/>
      <c r="M239" s="341"/>
      <c r="N239" s="341"/>
      <c r="O239" s="341"/>
    </row>
    <row r="240" spans="1:15" ht="13.8">
      <c r="A240" s="4"/>
      <c r="B240" s="4"/>
      <c r="C240" s="4"/>
      <c r="D240" s="4"/>
      <c r="E240" s="4"/>
      <c r="F240" s="16"/>
      <c r="G240" s="292"/>
      <c r="H240" s="4"/>
      <c r="I240" s="4"/>
      <c r="J240" s="4"/>
      <c r="K240" s="14" t="s">
        <v>24</v>
      </c>
      <c r="L240" s="13"/>
      <c r="M240" s="13"/>
      <c r="N240" s="13"/>
      <c r="O240" s="13"/>
    </row>
    <row r="241" spans="1:17">
      <c r="A241" s="4"/>
      <c r="B241" s="4"/>
      <c r="C241" s="4"/>
      <c r="D241" s="4"/>
      <c r="E241" s="4"/>
      <c r="F241" s="16"/>
      <c r="G241" s="273"/>
      <c r="H241" s="28">
        <f>I241-1</f>
        <v>2016</v>
      </c>
      <c r="I241" s="28">
        <f>J241-1</f>
        <v>2017</v>
      </c>
      <c r="J241" s="670">
        <f>K241-1</f>
        <v>2018</v>
      </c>
      <c r="K241" s="273">
        <f>I189</f>
        <v>2019</v>
      </c>
      <c r="L241" s="273">
        <f>J189</f>
        <v>2020</v>
      </c>
      <c r="M241" s="273">
        <f>K189</f>
        <v>2021</v>
      </c>
      <c r="N241" s="273">
        <f>L189</f>
        <v>2022</v>
      </c>
      <c r="O241" s="273">
        <f>M189</f>
        <v>2023</v>
      </c>
      <c r="Q241" s="4"/>
    </row>
    <row r="242" spans="1:17" ht="12.75" customHeight="1">
      <c r="A242" s="4"/>
      <c r="B242" s="4"/>
      <c r="C242" s="4"/>
      <c r="D242" s="4"/>
      <c r="E242" s="4"/>
      <c r="F242" s="16"/>
      <c r="G242" s="4"/>
      <c r="H242" s="340"/>
      <c r="I242" s="340"/>
      <c r="J242" s="340"/>
      <c r="K242" s="4"/>
      <c r="L242" s="4"/>
      <c r="M242" s="4"/>
      <c r="N242" s="4"/>
      <c r="O242" s="4"/>
      <c r="Q242" s="4"/>
    </row>
    <row r="243" spans="1:17">
      <c r="A243" s="4"/>
      <c r="B243" s="142" t="s">
        <v>245</v>
      </c>
      <c r="C243" s="4"/>
      <c r="D243" s="4"/>
      <c r="E243" s="4"/>
      <c r="F243" s="69"/>
      <c r="G243" s="4"/>
      <c r="H243" s="4"/>
      <c r="I243" s="4"/>
      <c r="J243" s="340"/>
      <c r="K243" s="4"/>
      <c r="L243" s="4"/>
      <c r="M243" s="4"/>
      <c r="N243" s="4"/>
      <c r="O243" s="4"/>
      <c r="Q243" s="4"/>
    </row>
    <row r="244" spans="1:17" ht="13.2" customHeight="1">
      <c r="A244" s="4"/>
      <c r="B244" s="4"/>
      <c r="C244" s="30" t="s">
        <v>244</v>
      </c>
      <c r="D244" s="4"/>
      <c r="E244" s="4"/>
      <c r="F244" s="316" t="s">
        <v>226</v>
      </c>
      <c r="G244" s="4"/>
      <c r="H244" s="339">
        <v>82.1</v>
      </c>
      <c r="I244" s="339">
        <v>83.7</v>
      </c>
      <c r="J244" s="339">
        <v>85.07</v>
      </c>
      <c r="K244" s="186">
        <f>I195</f>
        <v>86.1</v>
      </c>
      <c r="L244" s="186">
        <f>J195</f>
        <v>88</v>
      </c>
      <c r="M244" s="186">
        <f>K195</f>
        <v>90.4</v>
      </c>
      <c r="N244" s="186">
        <f>L195</f>
        <v>92.8</v>
      </c>
      <c r="O244" s="186">
        <f>M195</f>
        <v>94.8</v>
      </c>
    </row>
    <row r="245" spans="1:17" ht="13.2" customHeight="1">
      <c r="A245" s="4"/>
      <c r="B245" s="4"/>
      <c r="C245" s="4" t="s">
        <v>243</v>
      </c>
      <c r="D245" s="4"/>
      <c r="E245" s="4"/>
      <c r="F245" s="324" t="s">
        <v>209</v>
      </c>
      <c r="G245" s="4"/>
      <c r="H245" s="281">
        <v>2.1000000000000001E-2</v>
      </c>
      <c r="I245" s="282">
        <f t="shared" ref="I245:O245" si="2">I244/H244-1</f>
        <v>1.948842874543244E-2</v>
      </c>
      <c r="J245" s="282">
        <f t="shared" si="2"/>
        <v>1.6367980884109734E-2</v>
      </c>
      <c r="K245" s="282">
        <f t="shared" si="2"/>
        <v>1.2107676031503534E-2</v>
      </c>
      <c r="L245" s="282">
        <f t="shared" si="2"/>
        <v>2.2067363530778206E-2</v>
      </c>
      <c r="M245" s="282">
        <f t="shared" si="2"/>
        <v>2.7272727272727337E-2</v>
      </c>
      <c r="N245" s="282">
        <f t="shared" si="2"/>
        <v>2.6548672566371501E-2</v>
      </c>
      <c r="O245" s="282">
        <f t="shared" si="2"/>
        <v>2.155172413793105E-2</v>
      </c>
    </row>
    <row r="246" spans="1:17" ht="9" customHeight="1">
      <c r="A246" s="4"/>
      <c r="B246" s="4"/>
      <c r="C246" s="30"/>
      <c r="D246" s="4"/>
      <c r="E246" s="4"/>
      <c r="F246" s="316"/>
      <c r="G246" s="4"/>
      <c r="H246" s="339"/>
      <c r="I246" s="339"/>
      <c r="J246" s="339"/>
      <c r="K246" s="87"/>
      <c r="L246" s="87"/>
      <c r="M246" s="87"/>
      <c r="N246" s="87"/>
      <c r="O246" s="87"/>
    </row>
    <row r="247" spans="1:17" ht="13.2" customHeight="1">
      <c r="A247" s="4"/>
      <c r="B247" s="4"/>
      <c r="C247" s="30" t="s">
        <v>206</v>
      </c>
      <c r="D247" s="4"/>
      <c r="E247" s="4"/>
      <c r="F247" s="324" t="s">
        <v>209</v>
      </c>
      <c r="G247" s="4"/>
      <c r="H247" s="338">
        <f>H248/H244</f>
        <v>2.9488185140073085E-2</v>
      </c>
      <c r="I247" s="338">
        <f>I248/I244</f>
        <v>2.9221863799283154E-2</v>
      </c>
      <c r="J247" s="338">
        <f>J248/J244</f>
        <v>2.3040084636181967E-2</v>
      </c>
      <c r="K247" s="338">
        <f>E79</f>
        <v>0.02</v>
      </c>
      <c r="L247" s="338">
        <f>K247</f>
        <v>0.02</v>
      </c>
      <c r="M247" s="338">
        <f>L247</f>
        <v>0.02</v>
      </c>
      <c r="N247" s="338">
        <f>M247</f>
        <v>0.02</v>
      </c>
      <c r="O247" s="338">
        <f>N247</f>
        <v>0.02</v>
      </c>
    </row>
    <row r="248" spans="1:17" ht="13.2" customHeight="1">
      <c r="A248" s="4"/>
      <c r="B248" s="4"/>
      <c r="C248" s="30" t="s">
        <v>206</v>
      </c>
      <c r="D248" s="4"/>
      <c r="E248" s="4"/>
      <c r="F248" s="316" t="s">
        <v>226</v>
      </c>
      <c r="G248" s="4"/>
      <c r="H248" s="329">
        <v>2.4209800000000001</v>
      </c>
      <c r="I248" s="329">
        <v>2.4458700000000002</v>
      </c>
      <c r="J248" s="329">
        <v>1.9600199999999999</v>
      </c>
      <c r="K248" s="86">
        <f>K247*K244</f>
        <v>1.722</v>
      </c>
      <c r="L248" s="86">
        <f>L247*L244</f>
        <v>1.76</v>
      </c>
      <c r="M248" s="86">
        <f>M247*M244</f>
        <v>1.8080000000000001</v>
      </c>
      <c r="N248" s="86">
        <f>N247*N244</f>
        <v>1.8559999999999999</v>
      </c>
      <c r="O248" s="86">
        <f>O247*O244</f>
        <v>1.8959999999999999</v>
      </c>
    </row>
    <row r="249" spans="1:17" ht="13.2" customHeight="1">
      <c r="A249" s="4"/>
      <c r="B249" s="4"/>
      <c r="C249" s="205" t="s">
        <v>242</v>
      </c>
      <c r="D249" s="65"/>
      <c r="E249" s="65"/>
      <c r="F249" s="333" t="s">
        <v>226</v>
      </c>
      <c r="G249" s="4"/>
      <c r="H249" s="328">
        <f t="shared" ref="H249:O249" si="3">H244-H248</f>
        <v>79.679019999999994</v>
      </c>
      <c r="I249" s="328">
        <f t="shared" si="3"/>
        <v>81.254130000000004</v>
      </c>
      <c r="J249" s="328">
        <f t="shared" si="3"/>
        <v>83.109979999999993</v>
      </c>
      <c r="K249" s="328">
        <f t="shared" si="3"/>
        <v>84.378</v>
      </c>
      <c r="L249" s="328">
        <f t="shared" si="3"/>
        <v>86.24</v>
      </c>
      <c r="M249" s="328">
        <f t="shared" si="3"/>
        <v>88.591999999999999</v>
      </c>
      <c r="N249" s="328">
        <f t="shared" si="3"/>
        <v>90.944000000000003</v>
      </c>
      <c r="O249" s="328">
        <f t="shared" si="3"/>
        <v>92.903999999999996</v>
      </c>
    </row>
    <row r="250" spans="1:17" ht="12.75" customHeight="1">
      <c r="A250" s="4"/>
      <c r="B250" s="17"/>
      <c r="C250" s="337"/>
      <c r="D250" s="17"/>
      <c r="E250" s="17"/>
      <c r="F250" s="336"/>
      <c r="G250" s="17"/>
      <c r="H250" s="17"/>
      <c r="I250" s="17"/>
      <c r="J250" s="335"/>
      <c r="K250" s="334"/>
      <c r="L250" s="334"/>
      <c r="M250" s="334"/>
      <c r="N250" s="334"/>
      <c r="O250" s="334"/>
    </row>
    <row r="251" spans="1:17" ht="12.75" customHeight="1">
      <c r="A251" s="4"/>
      <c r="B251" s="4"/>
      <c r="C251" s="142"/>
      <c r="D251" s="4"/>
      <c r="E251" s="4"/>
      <c r="F251" s="333"/>
      <c r="G251" s="4"/>
      <c r="H251" s="4"/>
      <c r="I251" s="4"/>
      <c r="J251" s="332"/>
      <c r="K251" s="325"/>
      <c r="L251" s="325"/>
      <c r="M251" s="325"/>
      <c r="N251" s="325"/>
      <c r="O251" s="325"/>
    </row>
    <row r="252" spans="1:17">
      <c r="A252" s="4"/>
      <c r="B252" s="65" t="s">
        <v>241</v>
      </c>
      <c r="C252" s="4"/>
      <c r="D252" s="4"/>
      <c r="E252" s="4"/>
      <c r="F252" s="316"/>
      <c r="G252" s="4"/>
      <c r="H252" s="4"/>
      <c r="I252" s="4"/>
      <c r="J252" s="245"/>
      <c r="K252" s="331"/>
      <c r="L252" s="331"/>
      <c r="M252" s="331"/>
      <c r="N252" s="331"/>
      <c r="O252" s="245"/>
    </row>
    <row r="253" spans="1:17">
      <c r="A253" s="4"/>
      <c r="B253" s="65"/>
      <c r="C253" s="4" t="s">
        <v>240</v>
      </c>
      <c r="D253" s="4"/>
      <c r="E253" s="4"/>
      <c r="F253" s="69" t="s">
        <v>239</v>
      </c>
      <c r="G253" s="4"/>
      <c r="H253" s="330">
        <v>340</v>
      </c>
      <c r="I253" s="330">
        <v>345</v>
      </c>
      <c r="J253" s="330">
        <v>348</v>
      </c>
      <c r="K253" s="87">
        <f>N57</f>
        <v>350</v>
      </c>
      <c r="L253" s="87">
        <f t="shared" ref="L253:O254" si="4">K253</f>
        <v>350</v>
      </c>
      <c r="M253" s="87">
        <f t="shared" si="4"/>
        <v>350</v>
      </c>
      <c r="N253" s="87">
        <f t="shared" si="4"/>
        <v>350</v>
      </c>
      <c r="O253" s="87">
        <f t="shared" si="4"/>
        <v>350</v>
      </c>
    </row>
    <row r="254" spans="1:17">
      <c r="A254" s="4"/>
      <c r="B254" s="65"/>
      <c r="C254" s="4" t="s">
        <v>238</v>
      </c>
      <c r="D254" s="4"/>
      <c r="E254" s="4"/>
      <c r="F254" s="69" t="s">
        <v>237</v>
      </c>
      <c r="G254" s="4"/>
      <c r="H254" s="329">
        <v>39.25</v>
      </c>
      <c r="I254" s="329">
        <v>39.25</v>
      </c>
      <c r="J254" s="329">
        <v>39.5</v>
      </c>
      <c r="K254" s="86">
        <f>N58</f>
        <v>39.5</v>
      </c>
      <c r="L254" s="86">
        <f t="shared" si="4"/>
        <v>39.5</v>
      </c>
      <c r="M254" s="86">
        <f t="shared" si="4"/>
        <v>39.5</v>
      </c>
      <c r="N254" s="86">
        <f t="shared" si="4"/>
        <v>39.5</v>
      </c>
      <c r="O254" s="86">
        <f t="shared" si="4"/>
        <v>39.5</v>
      </c>
    </row>
    <row r="255" spans="1:17">
      <c r="A255" s="4"/>
      <c r="B255" s="4"/>
      <c r="C255" s="65" t="s">
        <v>236</v>
      </c>
      <c r="D255" s="65"/>
      <c r="E255" s="65"/>
      <c r="F255" s="91" t="s">
        <v>211</v>
      </c>
      <c r="G255" s="65"/>
      <c r="H255" s="328">
        <f t="shared" ref="H255:O255" si="5">H253*H254/1000</f>
        <v>13.345000000000001</v>
      </c>
      <c r="I255" s="328">
        <f t="shared" si="5"/>
        <v>13.54125</v>
      </c>
      <c r="J255" s="328">
        <f t="shared" si="5"/>
        <v>13.746</v>
      </c>
      <c r="K255" s="328">
        <f t="shared" si="5"/>
        <v>13.824999999999999</v>
      </c>
      <c r="L255" s="328">
        <f t="shared" si="5"/>
        <v>13.824999999999999</v>
      </c>
      <c r="M255" s="328">
        <f t="shared" si="5"/>
        <v>13.824999999999999</v>
      </c>
      <c r="N255" s="328">
        <f t="shared" si="5"/>
        <v>13.824999999999999</v>
      </c>
      <c r="O255" s="328">
        <f t="shared" si="5"/>
        <v>13.824999999999999</v>
      </c>
    </row>
    <row r="256" spans="1:17" ht="12.75" customHeight="1">
      <c r="A256" s="4"/>
      <c r="B256" s="4"/>
      <c r="C256" s="4"/>
      <c r="D256" s="4"/>
      <c r="E256" s="4"/>
      <c r="F256" s="69"/>
      <c r="G256" s="4"/>
      <c r="H256" s="4"/>
      <c r="I256" s="4"/>
      <c r="J256" s="4"/>
      <c r="K256" s="4"/>
      <c r="L256" s="4"/>
      <c r="M256" s="4"/>
      <c r="N256" s="4"/>
      <c r="O256" s="4"/>
    </row>
    <row r="257" spans="1:15" ht="12.75" customHeight="1">
      <c r="A257" s="4"/>
      <c r="B257" s="65" t="s">
        <v>212</v>
      </c>
      <c r="C257" s="4"/>
      <c r="D257" s="4"/>
      <c r="E257" s="4"/>
      <c r="F257" s="69"/>
      <c r="G257" s="4"/>
      <c r="H257" s="4"/>
      <c r="I257" s="4"/>
      <c r="J257" s="4"/>
      <c r="K257" s="4"/>
      <c r="L257" s="4"/>
      <c r="M257" s="4"/>
      <c r="N257" s="4"/>
      <c r="O257" s="4"/>
    </row>
    <row r="258" spans="1:15" ht="13.95" customHeight="1">
      <c r="A258" s="4"/>
      <c r="B258" s="4"/>
      <c r="C258" s="4" t="s">
        <v>235</v>
      </c>
      <c r="D258" s="4"/>
      <c r="E258" s="4"/>
      <c r="F258" s="324" t="s">
        <v>209</v>
      </c>
      <c r="G258" s="4"/>
      <c r="H258" s="4"/>
      <c r="I258" s="327">
        <f>I259/H259-1</f>
        <v>3.6363636363636376E-2</v>
      </c>
      <c r="J258" s="327">
        <f>J259/I259-1</f>
        <v>3.5087719298245723E-2</v>
      </c>
      <c r="K258" s="327">
        <f>I201</f>
        <v>0.04</v>
      </c>
      <c r="L258" s="327">
        <f>J201</f>
        <v>3.5000000000000003E-2</v>
      </c>
      <c r="M258" s="327">
        <f>K201</f>
        <v>0.03</v>
      </c>
      <c r="N258" s="327">
        <f>L201</f>
        <v>0.03</v>
      </c>
      <c r="O258" s="327">
        <f>M201</f>
        <v>0.03</v>
      </c>
    </row>
    <row r="259" spans="1:15">
      <c r="A259" s="4"/>
      <c r="B259" s="4"/>
      <c r="C259" s="205" t="s">
        <v>234</v>
      </c>
      <c r="D259" s="65"/>
      <c r="E259" s="65"/>
      <c r="F259" s="91" t="s">
        <v>211</v>
      </c>
      <c r="G259" s="4"/>
      <c r="H259" s="326">
        <v>11</v>
      </c>
      <c r="I259" s="326">
        <v>11.4</v>
      </c>
      <c r="J259" s="326">
        <v>11.8</v>
      </c>
      <c r="K259" s="611">
        <f>MIN(J259*(1+K258),K255)</f>
        <v>12.272000000000002</v>
      </c>
      <c r="L259" s="611">
        <f>MIN(K259*(1+L258),L255)</f>
        <v>12.70152</v>
      </c>
      <c r="M259" s="611">
        <f>MIN(L259*(1+M258),M255)</f>
        <v>13.082565600000001</v>
      </c>
      <c r="N259" s="611">
        <f>MIN(M259*(1+N258),N255)</f>
        <v>13.475042568000001</v>
      </c>
      <c r="O259" s="611">
        <f>MIN(N259*(1+O258),O255)</f>
        <v>13.824999999999999</v>
      </c>
    </row>
    <row r="260" spans="1:15" ht="6" customHeight="1">
      <c r="A260" s="4"/>
      <c r="B260" s="4"/>
      <c r="C260" s="65"/>
      <c r="D260" s="4"/>
      <c r="E260" s="4"/>
      <c r="F260" s="91"/>
      <c r="G260" s="4"/>
      <c r="H260" s="4"/>
      <c r="I260" s="4"/>
      <c r="J260" s="325"/>
      <c r="K260" s="325"/>
      <c r="L260" s="325"/>
      <c r="M260" s="325"/>
      <c r="N260" s="325"/>
      <c r="O260" s="325"/>
    </row>
    <row r="261" spans="1:15">
      <c r="A261" s="4"/>
      <c r="B261" s="4"/>
      <c r="C261" s="4" t="s">
        <v>233</v>
      </c>
      <c r="D261" s="4"/>
      <c r="E261" s="4"/>
      <c r="F261" s="324" t="s">
        <v>209</v>
      </c>
      <c r="G261" s="4"/>
      <c r="H261" s="323">
        <f t="shared" ref="H261:O261" si="6">H259/H255</f>
        <v>0.8242787560884226</v>
      </c>
      <c r="I261" s="323">
        <f t="shared" si="6"/>
        <v>0.84187205760177242</v>
      </c>
      <c r="J261" s="323">
        <f t="shared" si="6"/>
        <v>0.85843154372180996</v>
      </c>
      <c r="K261" s="323">
        <f t="shared" si="6"/>
        <v>0.88766726943942154</v>
      </c>
      <c r="L261" s="323">
        <f t="shared" si="6"/>
        <v>0.91873562386980112</v>
      </c>
      <c r="M261" s="323">
        <f t="shared" si="6"/>
        <v>0.94629769258589524</v>
      </c>
      <c r="N261" s="323">
        <f t="shared" si="6"/>
        <v>0.97468662336347212</v>
      </c>
      <c r="O261" s="323">
        <f t="shared" si="6"/>
        <v>1</v>
      </c>
    </row>
    <row r="262" spans="1:15" ht="12.75" customHeight="1">
      <c r="A262" s="4"/>
      <c r="B262" s="17"/>
      <c r="C262" s="17"/>
      <c r="D262" s="17"/>
      <c r="E262" s="17"/>
      <c r="F262" s="287"/>
      <c r="G262" s="17"/>
      <c r="H262" s="17"/>
      <c r="I262" s="17"/>
      <c r="J262" s="17"/>
      <c r="K262" s="17"/>
      <c r="L262" s="17"/>
      <c r="M262" s="17"/>
      <c r="N262" s="17"/>
      <c r="O262" s="17"/>
    </row>
    <row r="263" spans="1:15" ht="12.75" customHeight="1">
      <c r="A263" s="4"/>
      <c r="B263" s="4"/>
      <c r="C263" s="4"/>
      <c r="D263" s="4"/>
      <c r="E263" s="4"/>
      <c r="F263" s="69"/>
      <c r="G263" s="4"/>
      <c r="H263" s="4"/>
      <c r="I263" s="4"/>
      <c r="J263" s="4"/>
      <c r="K263" s="4"/>
      <c r="L263" s="4"/>
      <c r="M263" s="4"/>
      <c r="N263" s="4"/>
      <c r="O263" s="4"/>
    </row>
    <row r="264" spans="1:15" ht="12.75" customHeight="1">
      <c r="A264" s="4"/>
      <c r="B264" s="65" t="s">
        <v>208</v>
      </c>
      <c r="C264" s="4"/>
      <c r="D264" s="4"/>
      <c r="E264" s="4"/>
      <c r="F264" s="69"/>
      <c r="G264" s="4"/>
      <c r="H264" s="4"/>
      <c r="I264" s="4"/>
      <c r="J264" s="4"/>
      <c r="K264" s="4"/>
      <c r="L264" s="4"/>
      <c r="M264" s="4"/>
      <c r="N264" s="4"/>
      <c r="O264" s="4"/>
    </row>
    <row r="265" spans="1:15" ht="12.75" customHeight="1">
      <c r="A265" s="4"/>
      <c r="B265" s="4"/>
      <c r="C265" s="144" t="s">
        <v>207</v>
      </c>
      <c r="D265" s="4"/>
      <c r="E265" s="4"/>
      <c r="F265" s="69" t="s">
        <v>99</v>
      </c>
      <c r="G265" s="4"/>
      <c r="H265" s="242">
        <f t="shared" ref="H265:O265" si="7">H259*H244</f>
        <v>903.09999999999991</v>
      </c>
      <c r="I265" s="242">
        <f t="shared" si="7"/>
        <v>954.18000000000006</v>
      </c>
      <c r="J265" s="242">
        <f t="shared" si="7"/>
        <v>1003.826</v>
      </c>
      <c r="K265" s="242">
        <f t="shared" si="7"/>
        <v>1056.6192000000001</v>
      </c>
      <c r="L265" s="242">
        <f t="shared" si="7"/>
        <v>1117.7337600000001</v>
      </c>
      <c r="M265" s="242">
        <f t="shared" si="7"/>
        <v>1182.6639302400001</v>
      </c>
      <c r="N265" s="242">
        <f t="shared" si="7"/>
        <v>1250.4839503104001</v>
      </c>
      <c r="O265" s="242">
        <f t="shared" si="7"/>
        <v>1310.6099999999999</v>
      </c>
    </row>
    <row r="266" spans="1:15" ht="12.75" customHeight="1">
      <c r="A266" s="4"/>
      <c r="B266" s="4"/>
      <c r="C266" s="30" t="s">
        <v>206</v>
      </c>
      <c r="D266" s="4"/>
      <c r="E266" s="4"/>
      <c r="F266" s="69" t="s">
        <v>99</v>
      </c>
      <c r="G266" s="4"/>
      <c r="H266" s="247">
        <f t="shared" ref="H266:O266" si="8">H259*H248</f>
        <v>26.630780000000001</v>
      </c>
      <c r="I266" s="247">
        <f t="shared" si="8"/>
        <v>27.882918000000004</v>
      </c>
      <c r="J266" s="247">
        <f t="shared" si="8"/>
        <v>23.128236000000001</v>
      </c>
      <c r="K266" s="247">
        <f t="shared" si="8"/>
        <v>21.132384000000002</v>
      </c>
      <c r="L266" s="247">
        <f t="shared" si="8"/>
        <v>22.354675199999999</v>
      </c>
      <c r="M266" s="247">
        <f t="shared" si="8"/>
        <v>23.653278604800001</v>
      </c>
      <c r="N266" s="247">
        <f t="shared" si="8"/>
        <v>25.009679006208</v>
      </c>
      <c r="O266" s="247">
        <f t="shared" si="8"/>
        <v>26.212199999999996</v>
      </c>
    </row>
    <row r="267" spans="1:15" ht="13.8" thickBot="1">
      <c r="A267" s="4"/>
      <c r="B267" s="65"/>
      <c r="C267" s="65" t="s">
        <v>109</v>
      </c>
      <c r="D267" s="4"/>
      <c r="E267" s="4"/>
      <c r="F267" s="91" t="s">
        <v>99</v>
      </c>
      <c r="G267" s="4"/>
      <c r="H267" s="610">
        <f t="shared" ref="H267:O267" si="9">H265-H266</f>
        <v>876.46921999999995</v>
      </c>
      <c r="I267" s="610">
        <f t="shared" si="9"/>
        <v>926.29708200000005</v>
      </c>
      <c r="J267" s="610">
        <f t="shared" si="9"/>
        <v>980.69776400000001</v>
      </c>
      <c r="K267" s="610">
        <f t="shared" si="9"/>
        <v>1035.4868160000001</v>
      </c>
      <c r="L267" s="610">
        <f t="shared" si="9"/>
        <v>1095.3790848000001</v>
      </c>
      <c r="M267" s="610">
        <f t="shared" si="9"/>
        <v>1159.0106516352</v>
      </c>
      <c r="N267" s="610">
        <f t="shared" si="9"/>
        <v>1225.4742713041921</v>
      </c>
      <c r="O267" s="610">
        <f t="shared" si="9"/>
        <v>1284.3978</v>
      </c>
    </row>
    <row r="268" spans="1:15" ht="12.75" customHeight="1" thickTop="1">
      <c r="A268" s="4"/>
      <c r="B268" s="2"/>
      <c r="C268" s="2"/>
      <c r="D268" s="2"/>
      <c r="E268" s="2"/>
      <c r="F268" s="3"/>
      <c r="G268" s="2"/>
      <c r="H268" s="2"/>
      <c r="I268" s="2"/>
      <c r="J268" s="2"/>
      <c r="K268" s="2"/>
      <c r="L268" s="2"/>
      <c r="M268" s="2"/>
      <c r="N268" s="2"/>
      <c r="O268" s="2"/>
    </row>
    <row r="269" spans="1:15" ht="12.75" customHeight="1">
      <c r="A269" s="4"/>
      <c r="B269" s="4"/>
      <c r="C269" s="4"/>
      <c r="D269" s="4"/>
      <c r="E269" s="4"/>
      <c r="F269" s="16"/>
      <c r="G269" s="4"/>
      <c r="H269" s="4"/>
      <c r="I269" s="4"/>
      <c r="J269" s="4"/>
      <c r="K269" s="4"/>
      <c r="L269" s="4"/>
      <c r="M269" s="4"/>
      <c r="N269" s="4"/>
      <c r="O269" s="4"/>
    </row>
    <row r="270" spans="1:15">
      <c r="A270" s="4"/>
      <c r="B270" s="4"/>
      <c r="C270" s="4"/>
      <c r="D270" s="4"/>
      <c r="E270" s="4"/>
      <c r="F270" s="16"/>
      <c r="G270" s="4"/>
      <c r="H270" s="4"/>
      <c r="I270" s="4"/>
      <c r="J270" s="4"/>
      <c r="K270" s="97"/>
      <c r="L270" s="4"/>
      <c r="M270" s="4"/>
      <c r="N270" s="4"/>
      <c r="O270" s="4"/>
    </row>
    <row r="271" spans="1:15" ht="12.75" customHeight="1">
      <c r="A271" s="300"/>
      <c r="B271" s="35"/>
      <c r="C271" s="20"/>
      <c r="D271" s="20"/>
      <c r="E271" s="20"/>
      <c r="F271" s="299"/>
      <c r="G271" s="20"/>
      <c r="H271" s="20"/>
      <c r="I271" s="20"/>
      <c r="J271" s="20"/>
      <c r="K271" s="20"/>
      <c r="L271" s="20"/>
      <c r="M271" s="20"/>
      <c r="N271" s="20"/>
      <c r="O271" s="36" t="str">
        <f>$O$235</f>
        <v>CURRENTLY RUNNING: BASE CASE SCENARIO</v>
      </c>
    </row>
    <row r="272" spans="1:15" ht="22.8" customHeight="1">
      <c r="A272" s="300"/>
      <c r="B272" s="35" t="str">
        <f>$B$3</f>
        <v>Lingoren Corp.</v>
      </c>
      <c r="C272" s="20"/>
      <c r="D272" s="20"/>
      <c r="E272" s="20"/>
      <c r="F272" s="299"/>
      <c r="G272" s="20"/>
      <c r="H272" s="20"/>
      <c r="I272" s="20"/>
      <c r="J272" s="20"/>
      <c r="K272" s="20"/>
      <c r="L272" s="20"/>
      <c r="M272" s="20"/>
      <c r="N272" s="20"/>
      <c r="O272" s="20"/>
    </row>
    <row r="273" spans="1:15" ht="18.75" customHeight="1">
      <c r="A273" s="298"/>
      <c r="B273" s="34" t="s">
        <v>232</v>
      </c>
      <c r="C273" s="294"/>
      <c r="D273" s="294"/>
      <c r="E273" s="294"/>
      <c r="F273" s="295"/>
      <c r="G273" s="294"/>
      <c r="H273" s="294"/>
      <c r="I273" s="294"/>
      <c r="J273" s="294"/>
      <c r="K273" s="293"/>
      <c r="L273" s="293"/>
      <c r="M273" s="293"/>
      <c r="N273" s="293"/>
      <c r="O273" s="293"/>
    </row>
    <row r="274" spans="1:15" ht="6" customHeight="1" thickBot="1">
      <c r="A274" s="298"/>
      <c r="B274" s="220"/>
      <c r="C274" s="33"/>
      <c r="D274" s="33"/>
      <c r="E274" s="33"/>
      <c r="F274" s="297"/>
      <c r="G274" s="33"/>
      <c r="H274" s="33"/>
      <c r="I274" s="33"/>
      <c r="J274" s="33"/>
      <c r="K274" s="296"/>
      <c r="L274" s="296"/>
      <c r="M274" s="296"/>
      <c r="N274" s="296"/>
      <c r="O274" s="296"/>
    </row>
    <row r="275" spans="1:15" ht="12.75" customHeight="1">
      <c r="A275" s="34"/>
      <c r="B275" s="294"/>
      <c r="C275" s="294"/>
      <c r="D275" s="294"/>
      <c r="E275" s="294"/>
      <c r="F275" s="322"/>
      <c r="G275" s="294"/>
      <c r="H275" s="294"/>
      <c r="I275" s="294"/>
      <c r="J275" s="294"/>
      <c r="K275" s="293"/>
      <c r="L275" s="293"/>
      <c r="M275" s="293"/>
      <c r="N275" s="293"/>
      <c r="O275" s="293"/>
    </row>
    <row r="276" spans="1:15" ht="13.8">
      <c r="A276" s="4"/>
      <c r="B276" s="4"/>
      <c r="C276" s="4"/>
      <c r="D276" s="4"/>
      <c r="E276" s="4"/>
      <c r="F276" s="69"/>
      <c r="G276" s="292"/>
      <c r="H276" s="292"/>
      <c r="I276" s="292"/>
      <c r="J276" s="4"/>
      <c r="K276" s="14" t="s">
        <v>24</v>
      </c>
      <c r="L276" s="13"/>
      <c r="M276" s="13"/>
      <c r="N276" s="13"/>
      <c r="O276" s="13"/>
    </row>
    <row r="277" spans="1:15">
      <c r="A277" s="4"/>
      <c r="B277" s="4"/>
      <c r="C277" s="4"/>
      <c r="D277" s="4"/>
      <c r="E277" s="4"/>
      <c r="F277" s="69"/>
      <c r="G277" s="273"/>
      <c r="H277" s="321">
        <f t="shared" ref="H277:O277" si="10">H$241</f>
        <v>2016</v>
      </c>
      <c r="I277" s="321">
        <f t="shared" si="10"/>
        <v>2017</v>
      </c>
      <c r="J277" s="670">
        <f>K277-1</f>
        <v>2018</v>
      </c>
      <c r="K277" s="109">
        <f t="shared" si="10"/>
        <v>2019</v>
      </c>
      <c r="L277" s="109">
        <f t="shared" si="10"/>
        <v>2020</v>
      </c>
      <c r="M277" s="109">
        <f t="shared" si="10"/>
        <v>2021</v>
      </c>
      <c r="N277" s="109">
        <f t="shared" si="10"/>
        <v>2022</v>
      </c>
      <c r="O277" s="109">
        <f t="shared" si="10"/>
        <v>2023</v>
      </c>
    </row>
    <row r="278" spans="1:15" ht="6" customHeight="1">
      <c r="A278" s="4"/>
      <c r="B278" s="4"/>
      <c r="C278" s="4"/>
      <c r="D278" s="4"/>
      <c r="E278" s="4"/>
      <c r="F278" s="69"/>
      <c r="G278" s="273"/>
      <c r="H278" s="273"/>
      <c r="I278" s="273"/>
      <c r="J278" s="273"/>
      <c r="K278" s="273"/>
      <c r="L278" s="273"/>
      <c r="M278" s="273"/>
      <c r="N278" s="273"/>
      <c r="O278" s="273"/>
    </row>
    <row r="279" spans="1:15">
      <c r="A279" s="4"/>
      <c r="B279" s="84" t="s">
        <v>210</v>
      </c>
      <c r="C279" s="82"/>
      <c r="D279" s="82"/>
      <c r="E279" s="82"/>
      <c r="F279" s="291" t="s">
        <v>209</v>
      </c>
      <c r="G279" s="290"/>
      <c r="H279" s="319"/>
      <c r="I279" s="319"/>
      <c r="J279" s="319"/>
      <c r="K279" s="320">
        <f>I210</f>
        <v>0.02</v>
      </c>
      <c r="L279" s="319">
        <f>J210</f>
        <v>0.02</v>
      </c>
      <c r="M279" s="319">
        <f>K210</f>
        <v>0.02</v>
      </c>
      <c r="N279" s="319">
        <f>L210</f>
        <v>2.5000000000000001E-2</v>
      </c>
      <c r="O279" s="318">
        <f>M210</f>
        <v>2.5000000000000001E-2</v>
      </c>
    </row>
    <row r="280" spans="1:15">
      <c r="A280" s="4"/>
      <c r="B280" s="317" t="s">
        <v>231</v>
      </c>
      <c r="C280" s="4"/>
      <c r="D280" s="4"/>
      <c r="E280" s="4"/>
      <c r="F280" s="316" t="s">
        <v>230</v>
      </c>
      <c r="G280" s="4"/>
      <c r="H280" s="315">
        <v>11.4</v>
      </c>
      <c r="I280" s="315">
        <v>11</v>
      </c>
      <c r="J280" s="315">
        <v>10.8</v>
      </c>
      <c r="K280" s="314">
        <f>I216</f>
        <v>10.8</v>
      </c>
      <c r="L280" s="314">
        <f>J216</f>
        <v>11.4</v>
      </c>
      <c r="M280" s="265">
        <f>K216</f>
        <v>12</v>
      </c>
      <c r="N280" s="265">
        <f>L216</f>
        <v>11.2</v>
      </c>
      <c r="O280" s="313">
        <f>M216</f>
        <v>10.8</v>
      </c>
    </row>
    <row r="281" spans="1:15">
      <c r="A281" s="4"/>
      <c r="B281" s="79" t="s">
        <v>212</v>
      </c>
      <c r="C281" s="17"/>
      <c r="D281" s="17"/>
      <c r="E281" s="17"/>
      <c r="F281" s="287" t="s">
        <v>211</v>
      </c>
      <c r="G281" s="286"/>
      <c r="H281" s="312">
        <f t="shared" ref="H281:O281" si="11">H259</f>
        <v>11</v>
      </c>
      <c r="I281" s="312">
        <f t="shared" si="11"/>
        <v>11.4</v>
      </c>
      <c r="J281" s="312">
        <f t="shared" si="11"/>
        <v>11.8</v>
      </c>
      <c r="K281" s="312">
        <f t="shared" si="11"/>
        <v>12.272000000000002</v>
      </c>
      <c r="L281" s="312">
        <f t="shared" si="11"/>
        <v>12.70152</v>
      </c>
      <c r="M281" s="312">
        <f t="shared" si="11"/>
        <v>13.082565600000001</v>
      </c>
      <c r="N281" s="312">
        <f t="shared" si="11"/>
        <v>13.475042568000001</v>
      </c>
      <c r="O281" s="311">
        <f t="shared" si="11"/>
        <v>13.824999999999999</v>
      </c>
    </row>
    <row r="282" spans="1:15" ht="6" customHeight="1">
      <c r="A282" s="4"/>
      <c r="B282" s="304"/>
      <c r="C282" s="4"/>
      <c r="D282" s="4"/>
      <c r="E282" s="4"/>
      <c r="F282" s="69"/>
      <c r="G282" s="273"/>
      <c r="H282" s="273"/>
      <c r="I282" s="273"/>
      <c r="J282" s="273"/>
      <c r="K282" s="273"/>
      <c r="L282" s="273"/>
      <c r="M282" s="273"/>
      <c r="N282" s="273"/>
      <c r="O282" s="273"/>
    </row>
    <row r="283" spans="1:15" ht="12.75" customHeight="1">
      <c r="A283" s="4"/>
      <c r="B283" s="304" t="s">
        <v>229</v>
      </c>
      <c r="C283" s="4"/>
      <c r="D283" s="4"/>
      <c r="E283" s="4"/>
      <c r="F283" s="69"/>
      <c r="G283" s="273"/>
      <c r="H283" s="273"/>
      <c r="I283" s="273"/>
      <c r="J283" s="273"/>
      <c r="K283" s="273"/>
      <c r="L283" s="273"/>
      <c r="M283" s="273"/>
      <c r="N283" s="273"/>
      <c r="O283" s="273"/>
    </row>
    <row r="284" spans="1:15" ht="6" customHeight="1">
      <c r="A284" s="4"/>
      <c r="B284" s="304"/>
      <c r="C284" s="4"/>
      <c r="D284" s="4"/>
      <c r="E284" s="4"/>
      <c r="F284" s="69"/>
      <c r="G284" s="273"/>
      <c r="H284" s="273"/>
      <c r="I284" s="273"/>
      <c r="J284" s="273"/>
      <c r="K284" s="4"/>
      <c r="L284" s="273"/>
      <c r="M284" s="273"/>
      <c r="N284" s="273"/>
      <c r="O284" s="273"/>
    </row>
    <row r="285" spans="1:15" ht="12.75" customHeight="1">
      <c r="A285" s="278"/>
      <c r="B285" s="4"/>
      <c r="C285" s="65" t="s">
        <v>218</v>
      </c>
      <c r="D285" s="65"/>
      <c r="E285" s="4"/>
      <c r="F285" s="69"/>
      <c r="G285" s="4"/>
      <c r="H285" s="4"/>
      <c r="I285" s="4"/>
      <c r="J285" s="4"/>
      <c r="K285" s="4"/>
      <c r="L285" s="4"/>
      <c r="M285" s="4"/>
      <c r="N285" s="4"/>
      <c r="O285" s="4"/>
    </row>
    <row r="286" spans="1:15">
      <c r="A286" s="278"/>
      <c r="B286" s="4"/>
      <c r="C286" s="65"/>
      <c r="D286" s="4" t="s">
        <v>227</v>
      </c>
      <c r="E286" s="4"/>
      <c r="F286" s="69" t="s">
        <v>228</v>
      </c>
      <c r="G286" s="4"/>
      <c r="H286" s="310">
        <v>302</v>
      </c>
      <c r="I286" s="310">
        <v>280</v>
      </c>
      <c r="J286" s="310">
        <v>310</v>
      </c>
      <c r="K286" s="309">
        <f>I222</f>
        <v>330</v>
      </c>
      <c r="L286" s="309">
        <f>J222</f>
        <v>360</v>
      </c>
      <c r="M286" s="309">
        <f>K222</f>
        <v>380</v>
      </c>
      <c r="N286" s="309">
        <f>L222</f>
        <v>360</v>
      </c>
      <c r="O286" s="309">
        <f>M222</f>
        <v>340</v>
      </c>
    </row>
    <row r="287" spans="1:15" ht="6" customHeight="1">
      <c r="A287" s="278"/>
      <c r="B287" s="4"/>
      <c r="C287" s="65"/>
      <c r="D287" s="65"/>
      <c r="E287" s="4"/>
      <c r="F287" s="69"/>
      <c r="G287" s="4"/>
      <c r="H287" s="4"/>
      <c r="I287" s="4"/>
      <c r="J287" s="4"/>
      <c r="K287" s="4"/>
      <c r="L287" s="4"/>
      <c r="M287" s="4"/>
      <c r="N287" s="4"/>
      <c r="O287" s="4"/>
    </row>
    <row r="288" spans="1:15">
      <c r="A288" s="278"/>
      <c r="B288" s="4"/>
      <c r="C288" s="65"/>
      <c r="D288" s="4" t="s">
        <v>227</v>
      </c>
      <c r="E288" s="4"/>
      <c r="F288" s="69" t="s">
        <v>226</v>
      </c>
      <c r="G288" s="4"/>
      <c r="H288" s="242">
        <f t="shared" ref="H288:O288" si="12">H286/H280</f>
        <v>26.491228070175438</v>
      </c>
      <c r="I288" s="242">
        <f t="shared" si="12"/>
        <v>25.454545454545453</v>
      </c>
      <c r="J288" s="242">
        <f t="shared" si="12"/>
        <v>28.703703703703702</v>
      </c>
      <c r="K288" s="242">
        <f t="shared" si="12"/>
        <v>30.555555555555554</v>
      </c>
      <c r="L288" s="242">
        <f t="shared" si="12"/>
        <v>31.578947368421051</v>
      </c>
      <c r="M288" s="242">
        <f t="shared" si="12"/>
        <v>31.666666666666668</v>
      </c>
      <c r="N288" s="242">
        <f t="shared" si="12"/>
        <v>32.142857142857146</v>
      </c>
      <c r="O288" s="242">
        <f t="shared" si="12"/>
        <v>31.481481481481481</v>
      </c>
    </row>
    <row r="289" spans="1:15">
      <c r="A289" s="278"/>
      <c r="B289" s="4"/>
      <c r="C289" s="65"/>
      <c r="D289" s="4" t="s">
        <v>225</v>
      </c>
      <c r="E289" s="4"/>
      <c r="F289" s="69" t="str">
        <f>F$288</f>
        <v>($/case)</v>
      </c>
      <c r="G289" s="4"/>
      <c r="H289" s="308">
        <v>23</v>
      </c>
      <c r="I289" s="308">
        <v>24</v>
      </c>
      <c r="J289" s="308">
        <v>24</v>
      </c>
      <c r="K289" s="242">
        <f>E71</f>
        <v>24.6</v>
      </c>
      <c r="L289" s="242">
        <f t="shared" ref="L289:O290" si="13">K289*(1+L$279)</f>
        <v>25.092000000000002</v>
      </c>
      <c r="M289" s="242">
        <f t="shared" si="13"/>
        <v>25.593840000000004</v>
      </c>
      <c r="N289" s="242">
        <f t="shared" si="13"/>
        <v>26.233686000000002</v>
      </c>
      <c r="O289" s="242">
        <f t="shared" si="13"/>
        <v>26.88952815</v>
      </c>
    </row>
    <row r="290" spans="1:15">
      <c r="A290" s="278"/>
      <c r="B290" s="4"/>
      <c r="C290" s="65"/>
      <c r="D290" s="4" t="s">
        <v>224</v>
      </c>
      <c r="E290" s="4"/>
      <c r="F290" s="69" t="str">
        <f>F$288</f>
        <v>($/case)</v>
      </c>
      <c r="G290" s="4"/>
      <c r="H290" s="307">
        <v>2.2999999999999998</v>
      </c>
      <c r="I290" s="307">
        <v>2.4</v>
      </c>
      <c r="J290" s="307">
        <v>2.5</v>
      </c>
      <c r="K290" s="247">
        <f>E72</f>
        <v>2.7</v>
      </c>
      <c r="L290" s="247">
        <f t="shared" si="13"/>
        <v>2.7540000000000004</v>
      </c>
      <c r="M290" s="247">
        <f t="shared" si="13"/>
        <v>2.8090800000000007</v>
      </c>
      <c r="N290" s="247">
        <f t="shared" si="13"/>
        <v>2.8793070000000003</v>
      </c>
      <c r="O290" s="247">
        <f t="shared" si="13"/>
        <v>2.9512896749999999</v>
      </c>
    </row>
    <row r="291" spans="1:15">
      <c r="A291" s="4"/>
      <c r="B291" s="4"/>
      <c r="C291" s="4"/>
      <c r="D291" s="205" t="s">
        <v>217</v>
      </c>
      <c r="E291" s="65"/>
      <c r="F291" s="91" t="str">
        <f>F$288</f>
        <v>($/case)</v>
      </c>
      <c r="G291" s="65"/>
      <c r="H291" s="266">
        <f t="shared" ref="H291:O291" si="14">SUM(H288:H290)</f>
        <v>51.791228070175436</v>
      </c>
      <c r="I291" s="266">
        <f t="shared" si="14"/>
        <v>51.854545454545452</v>
      </c>
      <c r="J291" s="266">
        <f t="shared" si="14"/>
        <v>55.203703703703702</v>
      </c>
      <c r="K291" s="266">
        <f t="shared" si="14"/>
        <v>57.855555555555554</v>
      </c>
      <c r="L291" s="266">
        <f t="shared" si="14"/>
        <v>59.424947368421051</v>
      </c>
      <c r="M291" s="266">
        <f t="shared" si="14"/>
        <v>60.069586666666673</v>
      </c>
      <c r="N291" s="266">
        <f t="shared" si="14"/>
        <v>61.255850142857142</v>
      </c>
      <c r="O291" s="266">
        <f t="shared" si="14"/>
        <v>61.322299306481483</v>
      </c>
    </row>
    <row r="292" spans="1:15" ht="6" customHeight="1">
      <c r="A292" s="4"/>
      <c r="B292" s="4"/>
      <c r="C292" s="30"/>
      <c r="D292" s="4"/>
      <c r="E292" s="4"/>
      <c r="F292" s="69"/>
      <c r="G292" s="4"/>
      <c r="H292" s="195"/>
      <c r="I292" s="195"/>
      <c r="J292" s="195"/>
      <c r="K292" s="195"/>
      <c r="L292" s="195"/>
      <c r="M292" s="195"/>
      <c r="N292" s="195"/>
      <c r="O292" s="195"/>
    </row>
    <row r="293" spans="1:15">
      <c r="A293" s="4"/>
      <c r="B293" s="4"/>
      <c r="C293" s="65" t="s">
        <v>216</v>
      </c>
      <c r="D293" s="4"/>
      <c r="E293" s="4"/>
      <c r="F293" s="69"/>
      <c r="G293" s="4"/>
      <c r="H293" s="195"/>
      <c r="I293" s="195"/>
      <c r="J293" s="195"/>
      <c r="K293" s="195"/>
      <c r="L293" s="195"/>
      <c r="M293" s="195"/>
      <c r="N293" s="195"/>
      <c r="O293" s="195"/>
    </row>
    <row r="294" spans="1:15">
      <c r="A294" s="4"/>
      <c r="B294" s="4"/>
      <c r="C294" s="65"/>
      <c r="D294" s="4" t="s">
        <v>223</v>
      </c>
      <c r="E294" s="4"/>
      <c r="F294" s="69" t="str">
        <f t="shared" ref="F294:F299" si="15">F$288</f>
        <v>($/case)</v>
      </c>
      <c r="G294" s="4"/>
      <c r="H294" s="242">
        <f t="shared" ref="H294:O298" si="16">H312/H$281</f>
        <v>3.1818181818181817</v>
      </c>
      <c r="I294" s="242">
        <f t="shared" si="16"/>
        <v>3.140350877192982</v>
      </c>
      <c r="J294" s="242">
        <f t="shared" si="16"/>
        <v>3.1355932203389827</v>
      </c>
      <c r="K294" s="242">
        <f t="shared" si="16"/>
        <v>3.3409387222946538</v>
      </c>
      <c r="L294" s="242">
        <f t="shared" si="16"/>
        <v>3.2925193205222683</v>
      </c>
      <c r="M294" s="242">
        <f t="shared" si="16"/>
        <v>3.2605531135269059</v>
      </c>
      <c r="N294" s="242">
        <f t="shared" si="16"/>
        <v>3.2447251857913382</v>
      </c>
      <c r="O294" s="242">
        <f t="shared" si="16"/>
        <v>3.2416549909584083</v>
      </c>
    </row>
    <row r="295" spans="1:15">
      <c r="A295" s="4"/>
      <c r="B295" s="4"/>
      <c r="C295" s="65"/>
      <c r="D295" s="30" t="s">
        <v>222</v>
      </c>
      <c r="E295" s="4"/>
      <c r="F295" s="69" t="str">
        <f t="shared" si="15"/>
        <v>($/case)</v>
      </c>
      <c r="G295" s="4"/>
      <c r="H295" s="242">
        <f t="shared" si="16"/>
        <v>2.6</v>
      </c>
      <c r="I295" s="242">
        <f t="shared" si="16"/>
        <v>2.3157894736842102</v>
      </c>
      <c r="J295" s="242">
        <f t="shared" si="16"/>
        <v>2.6101694915254234</v>
      </c>
      <c r="K295" s="242">
        <f t="shared" si="16"/>
        <v>2.5423728813559316</v>
      </c>
      <c r="L295" s="242">
        <f t="shared" si="16"/>
        <v>2.5055268975681648</v>
      </c>
      <c r="M295" s="242">
        <f t="shared" si="16"/>
        <v>2.4812013937082797</v>
      </c>
      <c r="N295" s="242">
        <f t="shared" si="16"/>
        <v>2.4691567267485306</v>
      </c>
      <c r="O295" s="242">
        <f t="shared" si="16"/>
        <v>2.4668203833634719</v>
      </c>
    </row>
    <row r="296" spans="1:15">
      <c r="A296" s="4"/>
      <c r="B296" s="4"/>
      <c r="C296" s="30"/>
      <c r="D296" s="4" t="s">
        <v>221</v>
      </c>
      <c r="E296" s="4"/>
      <c r="F296" s="69" t="str">
        <f t="shared" si="15"/>
        <v>($/case)</v>
      </c>
      <c r="G296" s="4"/>
      <c r="H296" s="242">
        <f t="shared" si="16"/>
        <v>5.1818181818181817</v>
      </c>
      <c r="I296" s="242">
        <f t="shared" si="16"/>
        <v>5.2982456140350873</v>
      </c>
      <c r="J296" s="242">
        <f t="shared" si="16"/>
        <v>5.2881355932203382</v>
      </c>
      <c r="K296" s="242">
        <f t="shared" si="16"/>
        <v>5.4106910039113423</v>
      </c>
      <c r="L296" s="242">
        <f t="shared" si="16"/>
        <v>5.3322751922604548</v>
      </c>
      <c r="M296" s="242">
        <f t="shared" si="16"/>
        <v>5.2805055301996733</v>
      </c>
      <c r="N296" s="242">
        <f t="shared" si="16"/>
        <v>5.2548720082084133</v>
      </c>
      <c r="O296" s="242">
        <f t="shared" si="16"/>
        <v>5.2498997902350819</v>
      </c>
    </row>
    <row r="297" spans="1:15">
      <c r="A297" s="4"/>
      <c r="B297" s="4"/>
      <c r="C297" s="30"/>
      <c r="D297" s="4" t="s">
        <v>220</v>
      </c>
      <c r="E297" s="4"/>
      <c r="F297" s="69" t="str">
        <f t="shared" si="15"/>
        <v>($/case)</v>
      </c>
      <c r="G297" s="4"/>
      <c r="H297" s="242">
        <f t="shared" si="16"/>
        <v>0.63636363636363635</v>
      </c>
      <c r="I297" s="242">
        <f t="shared" si="16"/>
        <v>0.64912280701754388</v>
      </c>
      <c r="J297" s="242">
        <f t="shared" si="16"/>
        <v>0.66101694915254228</v>
      </c>
      <c r="K297" s="242">
        <f t="shared" si="16"/>
        <v>0.6681877444589307</v>
      </c>
      <c r="L297" s="242">
        <f t="shared" si="16"/>
        <v>0.6585038641044535</v>
      </c>
      <c r="M297" s="242">
        <f t="shared" si="16"/>
        <v>0.65211062270538112</v>
      </c>
      <c r="N297" s="242">
        <f t="shared" si="16"/>
        <v>0.64894503715826757</v>
      </c>
      <c r="O297" s="242">
        <f t="shared" si="16"/>
        <v>0.64833099819168161</v>
      </c>
    </row>
    <row r="298" spans="1:15">
      <c r="A298" s="4"/>
      <c r="B298" s="4"/>
      <c r="C298" s="30"/>
      <c r="D298" s="4" t="s">
        <v>157</v>
      </c>
      <c r="E298" s="4"/>
      <c r="F298" s="69" t="str">
        <f t="shared" si="15"/>
        <v>($/case)</v>
      </c>
      <c r="G298" s="4"/>
      <c r="H298" s="247">
        <f t="shared" si="16"/>
        <v>0.21818181818181817</v>
      </c>
      <c r="I298" s="247">
        <f t="shared" si="16"/>
        <v>0.26315789473684209</v>
      </c>
      <c r="J298" s="247">
        <f t="shared" si="16"/>
        <v>0.33898305084745761</v>
      </c>
      <c r="K298" s="247">
        <f t="shared" si="16"/>
        <v>0.34224250325945238</v>
      </c>
      <c r="L298" s="247">
        <f t="shared" si="16"/>
        <v>0.33728246698032993</v>
      </c>
      <c r="M298" s="247">
        <f t="shared" si="16"/>
        <v>0.33400787992226849</v>
      </c>
      <c r="N298" s="247">
        <f t="shared" si="16"/>
        <v>0.33238648244691765</v>
      </c>
      <c r="O298" s="247">
        <f t="shared" si="16"/>
        <v>0.33207197468354432</v>
      </c>
    </row>
    <row r="299" spans="1:15">
      <c r="A299" s="4"/>
      <c r="B299" s="4"/>
      <c r="C299" s="30"/>
      <c r="D299" s="65" t="s">
        <v>215</v>
      </c>
      <c r="E299" s="4"/>
      <c r="F299" s="91" t="str">
        <f t="shared" si="15"/>
        <v>($/case)</v>
      </c>
      <c r="G299" s="4"/>
      <c r="H299" s="266">
        <f t="shared" ref="H299:O299" si="17">SUM(H294:H298)</f>
        <v>11.818181818181818</v>
      </c>
      <c r="I299" s="266">
        <f t="shared" si="17"/>
        <v>11.666666666666666</v>
      </c>
      <c r="J299" s="266">
        <f t="shared" si="17"/>
        <v>12.033898305084744</v>
      </c>
      <c r="K299" s="266">
        <f t="shared" si="17"/>
        <v>12.304432855280313</v>
      </c>
      <c r="L299" s="266">
        <f t="shared" si="17"/>
        <v>12.126107741435671</v>
      </c>
      <c r="M299" s="266">
        <f t="shared" si="17"/>
        <v>12.008378540062507</v>
      </c>
      <c r="N299" s="266">
        <f t="shared" si="17"/>
        <v>11.950085440353465</v>
      </c>
      <c r="O299" s="266">
        <f t="shared" si="17"/>
        <v>11.938778137432188</v>
      </c>
    </row>
    <row r="300" spans="1:15" ht="6" customHeight="1">
      <c r="A300" s="4"/>
      <c r="B300" s="4"/>
      <c r="C300" s="30"/>
      <c r="D300" s="4"/>
      <c r="E300" s="4"/>
      <c r="F300" s="69"/>
      <c r="G300" s="4"/>
      <c r="H300" s="195"/>
      <c r="I300" s="195"/>
      <c r="J300" s="195"/>
      <c r="K300" s="195"/>
      <c r="L300" s="195"/>
      <c r="M300" s="195"/>
      <c r="N300" s="195"/>
      <c r="O300" s="195"/>
    </row>
    <row r="301" spans="1:15" ht="13.8" thickBot="1">
      <c r="A301" s="4"/>
      <c r="B301" s="4"/>
      <c r="C301" s="205" t="s">
        <v>214</v>
      </c>
      <c r="D301" s="4"/>
      <c r="E301" s="4"/>
      <c r="F301" s="91" t="str">
        <f>F$288</f>
        <v>($/case)</v>
      </c>
      <c r="G301" s="4"/>
      <c r="H301" s="88">
        <f t="shared" ref="H301:O301" si="18">H299+H291</f>
        <v>63.609409888357256</v>
      </c>
      <c r="I301" s="88">
        <f t="shared" si="18"/>
        <v>63.521212121212116</v>
      </c>
      <c r="J301" s="88">
        <f t="shared" si="18"/>
        <v>67.237602008788443</v>
      </c>
      <c r="K301" s="88">
        <f t="shared" si="18"/>
        <v>70.159988410835865</v>
      </c>
      <c r="L301" s="88">
        <f t="shared" si="18"/>
        <v>71.551055109856719</v>
      </c>
      <c r="M301" s="88">
        <f t="shared" si="18"/>
        <v>72.077965206729175</v>
      </c>
      <c r="N301" s="88">
        <f t="shared" si="18"/>
        <v>73.205935583210604</v>
      </c>
      <c r="O301" s="88">
        <f t="shared" si="18"/>
        <v>73.261077443913678</v>
      </c>
    </row>
    <row r="302" spans="1:15" ht="12.75" customHeight="1" thickTop="1">
      <c r="A302" s="4"/>
      <c r="B302" s="17"/>
      <c r="C302" s="306"/>
      <c r="D302" s="17"/>
      <c r="E302" s="17"/>
      <c r="F302" s="287"/>
      <c r="G302" s="17"/>
      <c r="H302" s="305"/>
      <c r="I302" s="305"/>
      <c r="J302" s="305"/>
      <c r="K302" s="305"/>
      <c r="L302" s="305"/>
      <c r="M302" s="305"/>
      <c r="N302" s="305"/>
      <c r="O302" s="305"/>
    </row>
    <row r="303" spans="1:15" ht="13.8">
      <c r="A303" s="4"/>
      <c r="B303" s="304" t="s">
        <v>219</v>
      </c>
      <c r="C303" s="30"/>
      <c r="D303" s="4"/>
      <c r="E303" s="4"/>
      <c r="F303" s="69"/>
      <c r="G303" s="4"/>
      <c r="H303" s="195"/>
      <c r="I303" s="195"/>
      <c r="J303" s="195"/>
      <c r="K303" s="195"/>
      <c r="L303" s="195"/>
      <c r="M303" s="195"/>
      <c r="N303" s="195"/>
      <c r="O303" s="195"/>
    </row>
    <row r="304" spans="1:15" ht="6" customHeight="1">
      <c r="A304" s="4"/>
      <c r="B304" s="304"/>
      <c r="C304" s="30"/>
      <c r="D304" s="4"/>
      <c r="E304" s="4"/>
      <c r="F304" s="69"/>
      <c r="G304" s="4"/>
      <c r="H304" s="195"/>
      <c r="I304" s="195"/>
      <c r="J304" s="195"/>
      <c r="K304" s="195"/>
      <c r="L304" s="195"/>
      <c r="M304" s="195"/>
      <c r="N304" s="195"/>
      <c r="O304" s="195"/>
    </row>
    <row r="305" spans="1:15" ht="13.8">
      <c r="A305" s="4"/>
      <c r="B305" s="304"/>
      <c r="C305" s="65" t="s">
        <v>218</v>
      </c>
      <c r="D305" s="65"/>
      <c r="E305" s="4"/>
      <c r="F305" s="69"/>
      <c r="G305" s="4"/>
      <c r="H305" s="195"/>
      <c r="I305" s="195"/>
      <c r="J305" s="195"/>
      <c r="K305" s="195"/>
      <c r="L305" s="195"/>
      <c r="M305" s="195"/>
      <c r="N305" s="195"/>
      <c r="O305" s="195"/>
    </row>
    <row r="306" spans="1:15" ht="13.8">
      <c r="A306" s="4"/>
      <c r="B306" s="304"/>
      <c r="C306" s="65"/>
      <c r="D306" s="4" t="str">
        <f>D288</f>
        <v>Cacao</v>
      </c>
      <c r="E306" s="4"/>
      <c r="F306" s="69" t="s">
        <v>99</v>
      </c>
      <c r="G306" s="4"/>
      <c r="H306" s="242">
        <f t="shared" ref="H306:O308" si="19">H288*H$281</f>
        <v>291.40350877192981</v>
      </c>
      <c r="I306" s="242">
        <f t="shared" si="19"/>
        <v>290.18181818181819</v>
      </c>
      <c r="J306" s="242">
        <f t="shared" si="19"/>
        <v>338.7037037037037</v>
      </c>
      <c r="K306" s="242">
        <f t="shared" si="19"/>
        <v>374.97777777777782</v>
      </c>
      <c r="L306" s="242">
        <f t="shared" si="19"/>
        <v>401.10063157894734</v>
      </c>
      <c r="M306" s="242">
        <f t="shared" si="19"/>
        <v>414.28124400000002</v>
      </c>
      <c r="N306" s="242">
        <f t="shared" si="19"/>
        <v>433.12636825714293</v>
      </c>
      <c r="O306" s="242">
        <f t="shared" si="19"/>
        <v>435.23148148148147</v>
      </c>
    </row>
    <row r="307" spans="1:15" ht="13.8">
      <c r="A307" s="4"/>
      <c r="B307" s="304"/>
      <c r="C307" s="65"/>
      <c r="D307" s="4" t="str">
        <f>D289</f>
        <v>Sugars</v>
      </c>
      <c r="E307" s="4"/>
      <c r="F307" s="69" t="str">
        <f>F$306</f>
        <v>($ MM)</v>
      </c>
      <c r="G307" s="4"/>
      <c r="H307" s="242">
        <f t="shared" si="19"/>
        <v>253</v>
      </c>
      <c r="I307" s="242">
        <f t="shared" si="19"/>
        <v>273.60000000000002</v>
      </c>
      <c r="J307" s="242">
        <f t="shared" si="19"/>
        <v>283.20000000000005</v>
      </c>
      <c r="K307" s="242">
        <f t="shared" si="19"/>
        <v>301.89120000000008</v>
      </c>
      <c r="L307" s="242">
        <f t="shared" si="19"/>
        <v>318.70653984000006</v>
      </c>
      <c r="M307" s="242">
        <f t="shared" si="19"/>
        <v>334.83309075590404</v>
      </c>
      <c r="N307" s="242">
        <f t="shared" si="19"/>
        <v>353.50003556554572</v>
      </c>
      <c r="O307" s="242">
        <f t="shared" si="19"/>
        <v>371.74772667374998</v>
      </c>
    </row>
    <row r="308" spans="1:15" ht="13.8">
      <c r="A308" s="4"/>
      <c r="B308" s="304"/>
      <c r="C308" s="65"/>
      <c r="D308" s="4" t="str">
        <f>D290</f>
        <v>Packaging</v>
      </c>
      <c r="E308" s="4"/>
      <c r="F308" s="69" t="str">
        <f>F$306</f>
        <v>($ MM)</v>
      </c>
      <c r="G308" s="4"/>
      <c r="H308" s="242">
        <f t="shared" si="19"/>
        <v>25.299999999999997</v>
      </c>
      <c r="I308" s="242">
        <f t="shared" si="19"/>
        <v>27.36</v>
      </c>
      <c r="J308" s="242">
        <f t="shared" si="19"/>
        <v>29.5</v>
      </c>
      <c r="K308" s="242">
        <f t="shared" si="19"/>
        <v>33.134400000000007</v>
      </c>
      <c r="L308" s="242">
        <f t="shared" si="19"/>
        <v>34.979986080000003</v>
      </c>
      <c r="M308" s="242">
        <f t="shared" si="19"/>
        <v>36.749973375648011</v>
      </c>
      <c r="N308" s="242">
        <f t="shared" si="19"/>
        <v>38.798784391340384</v>
      </c>
      <c r="O308" s="242">
        <f t="shared" si="19"/>
        <v>40.801579756875</v>
      </c>
    </row>
    <row r="309" spans="1:15">
      <c r="A309" s="4"/>
      <c r="B309" s="4"/>
      <c r="C309" s="4"/>
      <c r="D309" s="205" t="s">
        <v>217</v>
      </c>
      <c r="E309" s="65"/>
      <c r="F309" s="91" t="str">
        <f>F$306</f>
        <v>($ MM)</v>
      </c>
      <c r="G309" s="65"/>
      <c r="H309" s="241">
        <f t="shared" ref="H309:O309" si="20">SUM(H306:H308)</f>
        <v>569.70350877192982</v>
      </c>
      <c r="I309" s="241">
        <f t="shared" si="20"/>
        <v>591.14181818181817</v>
      </c>
      <c r="J309" s="241">
        <f t="shared" si="20"/>
        <v>651.40370370370374</v>
      </c>
      <c r="K309" s="241">
        <f t="shared" si="20"/>
        <v>710.00337777777793</v>
      </c>
      <c r="L309" s="241">
        <f t="shared" si="20"/>
        <v>754.78715749894741</v>
      </c>
      <c r="M309" s="241">
        <f t="shared" si="20"/>
        <v>785.86430813155209</v>
      </c>
      <c r="N309" s="241">
        <f t="shared" si="20"/>
        <v>825.42518821402905</v>
      </c>
      <c r="O309" s="241">
        <f t="shared" si="20"/>
        <v>847.78078791210635</v>
      </c>
    </row>
    <row r="310" spans="1:15" ht="6" customHeight="1">
      <c r="A310" s="4"/>
      <c r="B310" s="4"/>
      <c r="C310" s="30"/>
      <c r="D310" s="4"/>
      <c r="E310" s="4"/>
      <c r="F310" s="69"/>
      <c r="G310" s="4"/>
      <c r="H310" s="195"/>
      <c r="I310" s="195"/>
      <c r="J310" s="195"/>
      <c r="K310" s="195"/>
      <c r="L310" s="195"/>
      <c r="M310" s="195"/>
      <c r="N310" s="195"/>
      <c r="O310" s="195"/>
    </row>
    <row r="311" spans="1:15" ht="13.2" customHeight="1">
      <c r="A311" s="4"/>
      <c r="B311" s="4"/>
      <c r="C311" s="65" t="s">
        <v>216</v>
      </c>
      <c r="D311" s="30"/>
      <c r="E311" s="4"/>
      <c r="F311" s="91"/>
      <c r="G311" s="4"/>
      <c r="H311" s="4"/>
      <c r="I311" s="4"/>
      <c r="J311" s="221"/>
      <c r="K311" s="221"/>
      <c r="L311" s="221"/>
      <c r="M311" s="221"/>
      <c r="N311" s="221"/>
      <c r="O311" s="221"/>
    </row>
    <row r="312" spans="1:15" ht="13.2" customHeight="1">
      <c r="A312" s="4"/>
      <c r="B312" s="4"/>
      <c r="C312" s="65"/>
      <c r="D312" s="4" t="str">
        <f>D294</f>
        <v>Energy</v>
      </c>
      <c r="E312" s="4"/>
      <c r="F312" s="69" t="str">
        <f t="shared" ref="F312:F317" si="21">F$306</f>
        <v>($ MM)</v>
      </c>
      <c r="G312" s="4"/>
      <c r="H312" s="303">
        <v>35</v>
      </c>
      <c r="I312" s="303">
        <v>35.799999999999997</v>
      </c>
      <c r="J312" s="303">
        <v>37</v>
      </c>
      <c r="K312" s="203">
        <f>E73</f>
        <v>41</v>
      </c>
      <c r="L312" s="608">
        <f t="shared" ref="L312:O316" si="22">K312*(1+L$279)</f>
        <v>41.82</v>
      </c>
      <c r="M312" s="608">
        <f t="shared" si="22"/>
        <v>42.656399999999998</v>
      </c>
      <c r="N312" s="608">
        <f t="shared" si="22"/>
        <v>43.722809999999996</v>
      </c>
      <c r="O312" s="608">
        <f t="shared" si="22"/>
        <v>44.815880249999992</v>
      </c>
    </row>
    <row r="313" spans="1:15" ht="13.2" customHeight="1">
      <c r="A313" s="4"/>
      <c r="B313" s="4"/>
      <c r="C313" s="65"/>
      <c r="D313" s="30" t="str">
        <f>D295</f>
        <v>Supplies</v>
      </c>
      <c r="E313" s="4"/>
      <c r="F313" s="69" t="str">
        <f t="shared" si="21"/>
        <v>($ MM)</v>
      </c>
      <c r="G313" s="4"/>
      <c r="H313" s="303">
        <v>28.6</v>
      </c>
      <c r="I313" s="303">
        <v>26.4</v>
      </c>
      <c r="J313" s="303">
        <v>30.8</v>
      </c>
      <c r="K313" s="203">
        <f>E74</f>
        <v>31.2</v>
      </c>
      <c r="L313" s="608">
        <f t="shared" si="22"/>
        <v>31.823999999999998</v>
      </c>
      <c r="M313" s="608">
        <f t="shared" si="22"/>
        <v>32.460479999999997</v>
      </c>
      <c r="N313" s="608">
        <f t="shared" si="22"/>
        <v>33.271991999999997</v>
      </c>
      <c r="O313" s="608">
        <f t="shared" si="22"/>
        <v>34.103791799999996</v>
      </c>
    </row>
    <row r="314" spans="1:15" ht="13.2" customHeight="1">
      <c r="A314" s="4"/>
      <c r="B314" s="4"/>
      <c r="C314" s="65"/>
      <c r="D314" s="4" t="str">
        <f>D296</f>
        <v>Operating Labour</v>
      </c>
      <c r="E314" s="4"/>
      <c r="F314" s="69" t="str">
        <f t="shared" si="21"/>
        <v>($ MM)</v>
      </c>
      <c r="G314" s="4"/>
      <c r="H314" s="303">
        <v>57</v>
      </c>
      <c r="I314" s="303">
        <v>60.4</v>
      </c>
      <c r="J314" s="303">
        <v>62.4</v>
      </c>
      <c r="K314" s="203">
        <f>E75</f>
        <v>66.400000000000006</v>
      </c>
      <c r="L314" s="608">
        <f t="shared" si="22"/>
        <v>67.728000000000009</v>
      </c>
      <c r="M314" s="608">
        <f t="shared" si="22"/>
        <v>69.082560000000015</v>
      </c>
      <c r="N314" s="608">
        <f t="shared" si="22"/>
        <v>70.809624000000014</v>
      </c>
      <c r="O314" s="608">
        <f t="shared" si="22"/>
        <v>72.579864600000008</v>
      </c>
    </row>
    <row r="315" spans="1:15" ht="13.2" customHeight="1">
      <c r="A315" s="4"/>
      <c r="B315" s="4"/>
      <c r="C315" s="65"/>
      <c r="D315" s="4" t="str">
        <f>D297</f>
        <v>Salaries &amp; Benefits</v>
      </c>
      <c r="E315" s="4"/>
      <c r="F315" s="69" t="str">
        <f t="shared" si="21"/>
        <v>($ MM)</v>
      </c>
      <c r="G315" s="4"/>
      <c r="H315" s="303">
        <v>7</v>
      </c>
      <c r="I315" s="303">
        <v>7.4</v>
      </c>
      <c r="J315" s="303">
        <v>7.8</v>
      </c>
      <c r="K315" s="203">
        <f>E76</f>
        <v>8.1999999999999993</v>
      </c>
      <c r="L315" s="608">
        <f t="shared" si="22"/>
        <v>8.363999999999999</v>
      </c>
      <c r="M315" s="608">
        <f t="shared" si="22"/>
        <v>8.5312799999999989</v>
      </c>
      <c r="N315" s="608">
        <f t="shared" si="22"/>
        <v>8.7445619999999984</v>
      </c>
      <c r="O315" s="608">
        <f t="shared" si="22"/>
        <v>8.9631760499999977</v>
      </c>
    </row>
    <row r="316" spans="1:15" ht="13.2" customHeight="1">
      <c r="A316" s="4"/>
      <c r="B316" s="4"/>
      <c r="C316" s="65"/>
      <c r="D316" s="4" t="str">
        <f>D298</f>
        <v>Other</v>
      </c>
      <c r="E316" s="4"/>
      <c r="F316" s="69" t="str">
        <f t="shared" si="21"/>
        <v>($ MM)</v>
      </c>
      <c r="G316" s="4"/>
      <c r="H316" s="303">
        <v>2.4</v>
      </c>
      <c r="I316" s="303">
        <v>3</v>
      </c>
      <c r="J316" s="303">
        <v>4</v>
      </c>
      <c r="K316" s="203">
        <f>E77</f>
        <v>4.2</v>
      </c>
      <c r="L316" s="608">
        <f t="shared" si="22"/>
        <v>4.2840000000000007</v>
      </c>
      <c r="M316" s="608">
        <f t="shared" si="22"/>
        <v>4.3696800000000007</v>
      </c>
      <c r="N316" s="608">
        <f t="shared" si="22"/>
        <v>4.4789220000000007</v>
      </c>
      <c r="O316" s="608">
        <f t="shared" si="22"/>
        <v>4.5908950500000003</v>
      </c>
    </row>
    <row r="317" spans="1:15" ht="12.75" customHeight="1">
      <c r="A317" s="4"/>
      <c r="B317" s="4"/>
      <c r="C317" s="4"/>
      <c r="D317" s="65" t="s">
        <v>215</v>
      </c>
      <c r="E317" s="4"/>
      <c r="F317" s="91" t="str">
        <f t="shared" si="21"/>
        <v>($ MM)</v>
      </c>
      <c r="G317" s="4"/>
      <c r="H317" s="241">
        <f t="shared" ref="H317:O317" si="23">SUM(H312:H316)</f>
        <v>130</v>
      </c>
      <c r="I317" s="241">
        <f t="shared" si="23"/>
        <v>133</v>
      </c>
      <c r="J317" s="241">
        <f t="shared" si="23"/>
        <v>142</v>
      </c>
      <c r="K317" s="241">
        <f t="shared" si="23"/>
        <v>151</v>
      </c>
      <c r="L317" s="241">
        <f t="shared" si="23"/>
        <v>154.02000000000001</v>
      </c>
      <c r="M317" s="241">
        <f t="shared" si="23"/>
        <v>157.10040000000001</v>
      </c>
      <c r="N317" s="241">
        <f t="shared" si="23"/>
        <v>161.02791000000002</v>
      </c>
      <c r="O317" s="241">
        <f t="shared" si="23"/>
        <v>165.05360774999997</v>
      </c>
    </row>
    <row r="318" spans="1:15" ht="6" customHeight="1">
      <c r="A318" s="4"/>
      <c r="B318" s="4"/>
      <c r="C318" s="30"/>
      <c r="D318" s="30"/>
      <c r="E318" s="4"/>
      <c r="F318" s="69"/>
      <c r="G318" s="4"/>
      <c r="H318" s="248"/>
      <c r="I318" s="248"/>
      <c r="J318" s="248"/>
      <c r="K318" s="195"/>
      <c r="L318" s="195"/>
      <c r="M318" s="195"/>
      <c r="N318" s="195"/>
      <c r="O318" s="195"/>
    </row>
    <row r="319" spans="1:15" ht="13.8" thickBot="1">
      <c r="A319" s="4"/>
      <c r="B319" s="4"/>
      <c r="C319" s="205" t="s">
        <v>214</v>
      </c>
      <c r="D319" s="4"/>
      <c r="E319" s="4"/>
      <c r="F319" s="91" t="str">
        <f>F$306</f>
        <v>($ MM)</v>
      </c>
      <c r="G319" s="4"/>
      <c r="H319" s="88">
        <f t="shared" ref="H319:O319" si="24">H317+H309</f>
        <v>699.70350877192982</v>
      </c>
      <c r="I319" s="88">
        <f t="shared" si="24"/>
        <v>724.14181818181817</v>
      </c>
      <c r="J319" s="88">
        <f t="shared" si="24"/>
        <v>793.40370370370374</v>
      </c>
      <c r="K319" s="88">
        <f t="shared" si="24"/>
        <v>861.00337777777793</v>
      </c>
      <c r="L319" s="88">
        <f t="shared" si="24"/>
        <v>908.80715749894739</v>
      </c>
      <c r="M319" s="88">
        <f t="shared" si="24"/>
        <v>942.96470813155213</v>
      </c>
      <c r="N319" s="88">
        <f t="shared" si="24"/>
        <v>986.45309821402907</v>
      </c>
      <c r="O319" s="88">
        <f t="shared" si="24"/>
        <v>1012.8343956621063</v>
      </c>
    </row>
    <row r="320" spans="1:15" ht="12.75" customHeight="1" thickTop="1">
      <c r="A320" s="4"/>
      <c r="B320" s="223"/>
      <c r="C320" s="302"/>
      <c r="D320" s="2"/>
      <c r="E320" s="2"/>
      <c r="F320" s="301"/>
      <c r="G320" s="2"/>
      <c r="H320" s="2"/>
      <c r="I320" s="2"/>
      <c r="J320" s="222"/>
      <c r="K320" s="222"/>
      <c r="L320" s="222"/>
      <c r="M320" s="222"/>
      <c r="N320" s="222"/>
      <c r="O320" s="222"/>
    </row>
    <row r="321" spans="1:15">
      <c r="A321" s="4"/>
      <c r="B321" s="4"/>
      <c r="C321" s="4"/>
      <c r="D321" s="4"/>
      <c r="E321" s="4"/>
      <c r="F321" s="16"/>
      <c r="G321" s="4"/>
      <c r="H321" s="246"/>
      <c r="I321" s="246"/>
      <c r="J321" s="246"/>
      <c r="K321" s="246"/>
      <c r="L321" s="246"/>
      <c r="M321" s="246"/>
      <c r="N321" s="246"/>
      <c r="O321" s="246"/>
    </row>
    <row r="322" spans="1:15">
      <c r="A322" s="4"/>
      <c r="B322" s="4"/>
      <c r="C322" s="4"/>
      <c r="D322" s="4"/>
      <c r="E322" s="4"/>
      <c r="F322" s="16"/>
      <c r="G322" s="4"/>
      <c r="H322" s="246"/>
      <c r="I322" s="246"/>
      <c r="J322" s="246"/>
      <c r="K322" s="246"/>
      <c r="L322" s="246"/>
      <c r="M322" s="246"/>
      <c r="N322" s="246"/>
      <c r="O322" s="246"/>
    </row>
    <row r="323" spans="1:15" ht="12.75" customHeight="1">
      <c r="A323" s="300"/>
      <c r="B323" s="35"/>
      <c r="C323" s="20"/>
      <c r="D323" s="20"/>
      <c r="E323" s="20"/>
      <c r="F323" s="299"/>
      <c r="G323" s="20"/>
      <c r="H323" s="20"/>
      <c r="I323" s="20"/>
      <c r="J323" s="20"/>
      <c r="K323" s="20"/>
      <c r="L323" s="20"/>
      <c r="M323" s="20"/>
      <c r="N323" s="20"/>
      <c r="O323" s="36" t="str">
        <f>$O$235</f>
        <v>CURRENTLY RUNNING: BASE CASE SCENARIO</v>
      </c>
    </row>
    <row r="324" spans="1:15" ht="22.8" customHeight="1">
      <c r="A324" s="300"/>
      <c r="B324" s="35" t="str">
        <f>$B$3</f>
        <v>Lingoren Corp.</v>
      </c>
      <c r="C324" s="20"/>
      <c r="D324" s="20"/>
      <c r="E324" s="20"/>
      <c r="F324" s="299"/>
      <c r="G324" s="20"/>
      <c r="H324" s="20"/>
      <c r="I324" s="20"/>
      <c r="J324" s="20"/>
      <c r="K324" s="20"/>
      <c r="L324" s="20"/>
      <c r="M324" s="20"/>
      <c r="N324" s="20"/>
      <c r="O324" s="20"/>
    </row>
    <row r="325" spans="1:15" ht="18.75" customHeight="1">
      <c r="A325" s="298"/>
      <c r="B325" s="34" t="s">
        <v>213</v>
      </c>
      <c r="C325" s="294"/>
      <c r="D325" s="294"/>
      <c r="E325" s="294"/>
      <c r="F325" s="295"/>
      <c r="G325" s="294"/>
      <c r="H325" s="294"/>
      <c r="I325" s="294"/>
      <c r="J325" s="294"/>
      <c r="K325" s="293"/>
      <c r="L325" s="293"/>
      <c r="M325" s="293"/>
      <c r="N325" s="293"/>
      <c r="O325" s="293"/>
    </row>
    <row r="326" spans="1:15" ht="6" customHeight="1" thickBot="1">
      <c r="A326" s="298"/>
      <c r="B326" s="220"/>
      <c r="C326" s="33"/>
      <c r="D326" s="33"/>
      <c r="E326" s="33"/>
      <c r="F326" s="297"/>
      <c r="G326" s="33"/>
      <c r="H326" s="33"/>
      <c r="I326" s="33"/>
      <c r="J326" s="33"/>
      <c r="K326" s="296"/>
      <c r="L326" s="296"/>
      <c r="M326" s="296"/>
      <c r="N326" s="296"/>
      <c r="O326" s="296"/>
    </row>
    <row r="327" spans="1:15" ht="12.75" customHeight="1">
      <c r="A327" s="34"/>
      <c r="B327" s="294"/>
      <c r="C327" s="294"/>
      <c r="D327" s="294"/>
      <c r="E327" s="294"/>
      <c r="F327" s="295"/>
      <c r="G327" s="294"/>
      <c r="H327" s="294"/>
      <c r="I327" s="294"/>
      <c r="J327" s="294"/>
      <c r="K327" s="293"/>
      <c r="L327" s="293"/>
      <c r="M327" s="293"/>
      <c r="N327" s="293"/>
      <c r="O327" s="293"/>
    </row>
    <row r="328" spans="1:15" ht="13.8">
      <c r="A328" s="4"/>
      <c r="B328" s="4"/>
      <c r="C328" s="4"/>
      <c r="D328" s="4"/>
      <c r="E328" s="4"/>
      <c r="F328" s="16"/>
      <c r="G328" s="292"/>
      <c r="H328" s="4"/>
      <c r="I328" s="4"/>
      <c r="J328" s="4"/>
      <c r="K328" s="14" t="s">
        <v>24</v>
      </c>
      <c r="L328" s="13"/>
      <c r="M328" s="13"/>
      <c r="N328" s="13"/>
      <c r="O328" s="13"/>
    </row>
    <row r="329" spans="1:15">
      <c r="A329" s="4"/>
      <c r="B329" s="4"/>
      <c r="C329" s="4"/>
      <c r="D329" s="4"/>
      <c r="E329" s="4"/>
      <c r="F329" s="16"/>
      <c r="G329" s="273"/>
      <c r="H329" s="28">
        <f t="shared" ref="H329:O329" si="25">H$241</f>
        <v>2016</v>
      </c>
      <c r="I329" s="28">
        <f t="shared" si="25"/>
        <v>2017</v>
      </c>
      <c r="J329" s="670">
        <f>K329-1</f>
        <v>2018</v>
      </c>
      <c r="K329" s="109">
        <f t="shared" si="25"/>
        <v>2019</v>
      </c>
      <c r="L329" s="109">
        <f t="shared" si="25"/>
        <v>2020</v>
      </c>
      <c r="M329" s="109">
        <f t="shared" si="25"/>
        <v>2021</v>
      </c>
      <c r="N329" s="109">
        <f t="shared" si="25"/>
        <v>2022</v>
      </c>
      <c r="O329" s="109">
        <f t="shared" si="25"/>
        <v>2023</v>
      </c>
    </row>
    <row r="330" spans="1:15" ht="6" customHeight="1">
      <c r="A330" s="4"/>
      <c r="B330" s="4"/>
      <c r="C330" s="4"/>
      <c r="D330" s="4"/>
      <c r="E330" s="4"/>
      <c r="F330" s="16"/>
      <c r="G330" s="273"/>
      <c r="H330" s="273"/>
      <c r="I330" s="273"/>
      <c r="J330" s="273"/>
      <c r="K330" s="76"/>
      <c r="L330" s="76"/>
      <c r="M330" s="76"/>
      <c r="N330" s="282"/>
      <c r="O330" s="282"/>
    </row>
    <row r="331" spans="1:15">
      <c r="A331" s="4"/>
      <c r="B331" s="84" t="s">
        <v>212</v>
      </c>
      <c r="C331" s="82"/>
      <c r="D331" s="82"/>
      <c r="E331" s="82"/>
      <c r="F331" s="291" t="s">
        <v>211</v>
      </c>
      <c r="G331" s="290"/>
      <c r="H331" s="289">
        <f t="shared" ref="H331:O331" si="26">H259</f>
        <v>11</v>
      </c>
      <c r="I331" s="289">
        <f t="shared" si="26"/>
        <v>11.4</v>
      </c>
      <c r="J331" s="289">
        <f t="shared" si="26"/>
        <v>11.8</v>
      </c>
      <c r="K331" s="289">
        <f t="shared" si="26"/>
        <v>12.272000000000002</v>
      </c>
      <c r="L331" s="289">
        <f t="shared" si="26"/>
        <v>12.70152</v>
      </c>
      <c r="M331" s="289">
        <f t="shared" si="26"/>
        <v>13.082565600000001</v>
      </c>
      <c r="N331" s="289">
        <f t="shared" si="26"/>
        <v>13.475042568000001</v>
      </c>
      <c r="O331" s="288">
        <f t="shared" si="26"/>
        <v>13.824999999999999</v>
      </c>
    </row>
    <row r="332" spans="1:15">
      <c r="A332" s="4"/>
      <c r="B332" s="79" t="s">
        <v>210</v>
      </c>
      <c r="C332" s="17"/>
      <c r="D332" s="17"/>
      <c r="E332" s="17"/>
      <c r="F332" s="287" t="s">
        <v>209</v>
      </c>
      <c r="G332" s="286"/>
      <c r="H332" s="285"/>
      <c r="I332" s="285"/>
      <c r="J332" s="285"/>
      <c r="K332" s="284">
        <f>I210</f>
        <v>0.02</v>
      </c>
      <c r="L332" s="284">
        <f>J210</f>
        <v>0.02</v>
      </c>
      <c r="M332" s="284">
        <f>K210</f>
        <v>0.02</v>
      </c>
      <c r="N332" s="284">
        <f>L210</f>
        <v>2.5000000000000001E-2</v>
      </c>
      <c r="O332" s="283">
        <f>M210</f>
        <v>2.5000000000000001E-2</v>
      </c>
    </row>
    <row r="333" spans="1:15" ht="6" customHeight="1">
      <c r="A333" s="4"/>
      <c r="B333" s="4"/>
      <c r="C333" s="4"/>
      <c r="D333" s="4"/>
      <c r="E333" s="4"/>
      <c r="F333" s="69"/>
      <c r="G333" s="273"/>
      <c r="H333" s="273"/>
      <c r="I333" s="273"/>
      <c r="J333" s="273"/>
      <c r="K333" s="76"/>
      <c r="L333" s="76"/>
      <c r="M333" s="76"/>
      <c r="N333" s="282"/>
      <c r="O333" s="282"/>
    </row>
    <row r="334" spans="1:15">
      <c r="A334" s="4"/>
      <c r="B334" s="65" t="s">
        <v>208</v>
      </c>
      <c r="C334" s="4"/>
      <c r="D334" s="4"/>
      <c r="E334" s="4"/>
      <c r="F334" s="69"/>
      <c r="G334" s="273"/>
      <c r="H334" s="281"/>
    </row>
    <row r="335" spans="1:15">
      <c r="A335" s="4"/>
      <c r="B335" s="4"/>
      <c r="C335" s="4" t="s">
        <v>207</v>
      </c>
      <c r="D335" s="4"/>
      <c r="E335" s="4"/>
      <c r="F335" s="69" t="s">
        <v>99</v>
      </c>
      <c r="G335" s="273"/>
      <c r="H335" s="279">
        <f t="shared" ref="H335:O337" si="27">H265</f>
        <v>903.09999999999991</v>
      </c>
      <c r="I335" s="279">
        <f t="shared" si="27"/>
        <v>954.18000000000006</v>
      </c>
      <c r="J335" s="279">
        <f t="shared" si="27"/>
        <v>1003.826</v>
      </c>
      <c r="K335" s="279">
        <f t="shared" si="27"/>
        <v>1056.6192000000001</v>
      </c>
      <c r="L335" s="279">
        <f t="shared" si="27"/>
        <v>1117.7337600000001</v>
      </c>
      <c r="M335" s="279">
        <f t="shared" si="27"/>
        <v>1182.6639302400001</v>
      </c>
      <c r="N335" s="279">
        <f t="shared" si="27"/>
        <v>1250.4839503104001</v>
      </c>
      <c r="O335" s="279">
        <f t="shared" si="27"/>
        <v>1310.6099999999999</v>
      </c>
    </row>
    <row r="336" spans="1:15">
      <c r="A336" s="4"/>
      <c r="B336" s="4"/>
      <c r="C336" s="30" t="s">
        <v>206</v>
      </c>
      <c r="D336" s="4"/>
      <c r="E336" s="4"/>
      <c r="F336" s="69" t="s">
        <v>99</v>
      </c>
      <c r="G336" s="273"/>
      <c r="H336" s="277">
        <f t="shared" si="27"/>
        <v>26.630780000000001</v>
      </c>
      <c r="I336" s="277">
        <f t="shared" si="27"/>
        <v>27.882918000000004</v>
      </c>
      <c r="J336" s="277">
        <f t="shared" si="27"/>
        <v>23.128236000000001</v>
      </c>
      <c r="K336" s="277">
        <f t="shared" si="27"/>
        <v>21.132384000000002</v>
      </c>
      <c r="L336" s="277">
        <f t="shared" si="27"/>
        <v>22.354675199999999</v>
      </c>
      <c r="M336" s="277">
        <f t="shared" si="27"/>
        <v>23.653278604800001</v>
      </c>
      <c r="N336" s="277">
        <f t="shared" si="27"/>
        <v>25.009679006208</v>
      </c>
      <c r="O336" s="277">
        <f t="shared" si="27"/>
        <v>26.212199999999996</v>
      </c>
    </row>
    <row r="337" spans="1:17">
      <c r="A337" s="4"/>
      <c r="B337" s="4"/>
      <c r="C337" s="65" t="s">
        <v>109</v>
      </c>
      <c r="D337" s="4"/>
      <c r="E337" s="4"/>
      <c r="F337" s="91" t="s">
        <v>99</v>
      </c>
      <c r="G337" s="273"/>
      <c r="H337" s="276">
        <f t="shared" si="27"/>
        <v>876.46921999999995</v>
      </c>
      <c r="I337" s="276">
        <f t="shared" si="27"/>
        <v>926.29708200000005</v>
      </c>
      <c r="J337" s="276">
        <f t="shared" si="27"/>
        <v>980.69776400000001</v>
      </c>
      <c r="K337" s="276">
        <f t="shared" si="27"/>
        <v>1035.4868160000001</v>
      </c>
      <c r="L337" s="276">
        <f t="shared" si="27"/>
        <v>1095.3790848000001</v>
      </c>
      <c r="M337" s="276">
        <f t="shared" si="27"/>
        <v>1159.0106516352</v>
      </c>
      <c r="N337" s="276">
        <f t="shared" si="27"/>
        <v>1225.4742713041921</v>
      </c>
      <c r="O337" s="276">
        <f t="shared" si="27"/>
        <v>1284.3978</v>
      </c>
    </row>
    <row r="338" spans="1:17">
      <c r="A338" s="4"/>
      <c r="B338" s="4"/>
      <c r="C338" s="4"/>
      <c r="D338" s="4"/>
      <c r="E338" s="4"/>
      <c r="F338" s="69"/>
      <c r="G338" s="273"/>
      <c r="H338" s="280"/>
      <c r="I338" s="280"/>
      <c r="J338" s="280"/>
    </row>
    <row r="339" spans="1:17">
      <c r="A339" s="4"/>
      <c r="B339" s="4"/>
      <c r="C339" s="4" t="s">
        <v>108</v>
      </c>
      <c r="D339" s="4"/>
      <c r="E339" s="4"/>
      <c r="F339" s="69" t="s">
        <v>99</v>
      </c>
      <c r="G339" s="273"/>
      <c r="H339" s="279">
        <f t="shared" ref="H339:O339" si="28">H319</f>
        <v>699.70350877192982</v>
      </c>
      <c r="I339" s="279">
        <f t="shared" si="28"/>
        <v>724.14181818181817</v>
      </c>
      <c r="J339" s="279">
        <f t="shared" si="28"/>
        <v>793.40370370370374</v>
      </c>
      <c r="K339" s="279">
        <f t="shared" si="28"/>
        <v>861.00337777777793</v>
      </c>
      <c r="L339" s="279">
        <f t="shared" si="28"/>
        <v>908.80715749894739</v>
      </c>
      <c r="M339" s="279">
        <f t="shared" si="28"/>
        <v>942.96470813155213</v>
      </c>
      <c r="N339" s="279">
        <f t="shared" si="28"/>
        <v>986.45309821402907</v>
      </c>
      <c r="O339" s="279">
        <f t="shared" si="28"/>
        <v>1012.8343956621063</v>
      </c>
    </row>
    <row r="340" spans="1:17">
      <c r="A340" s="278"/>
      <c r="B340" s="4"/>
      <c r="C340" s="144" t="s">
        <v>205</v>
      </c>
      <c r="D340" s="4"/>
      <c r="E340" s="4"/>
      <c r="F340" s="69" t="s">
        <v>99</v>
      </c>
      <c r="G340" s="273"/>
      <c r="H340" s="272">
        <v>38.299999999999997</v>
      </c>
      <c r="I340" s="272">
        <v>42.1</v>
      </c>
      <c r="J340" s="272">
        <v>40.1</v>
      </c>
      <c r="K340" s="277">
        <f>E78</f>
        <v>45.2</v>
      </c>
      <c r="L340" s="277">
        <f>K340*(1+L332)</f>
        <v>46.104000000000006</v>
      </c>
      <c r="M340" s="277">
        <f>L340*(1+M332)</f>
        <v>47.026080000000007</v>
      </c>
      <c r="N340" s="277">
        <f>M340*(1+N332)</f>
        <v>48.201732000000007</v>
      </c>
      <c r="O340" s="277">
        <f>N340*(1+O332)</f>
        <v>49.4067753</v>
      </c>
    </row>
    <row r="341" spans="1:17">
      <c r="A341" s="4"/>
      <c r="B341" s="4"/>
      <c r="C341" s="142" t="s">
        <v>204</v>
      </c>
      <c r="D341" s="4"/>
      <c r="E341" s="4"/>
      <c r="F341" s="91" t="s">
        <v>99</v>
      </c>
      <c r="G341" s="273"/>
      <c r="H341" s="276">
        <f t="shared" ref="H341:O341" si="29">SUM(H339:H340)</f>
        <v>738.00350877192977</v>
      </c>
      <c r="I341" s="276">
        <f t="shared" si="29"/>
        <v>766.24181818181819</v>
      </c>
      <c r="J341" s="276">
        <f t="shared" si="29"/>
        <v>833.50370370370376</v>
      </c>
      <c r="K341" s="276">
        <f t="shared" si="29"/>
        <v>906.20337777777797</v>
      </c>
      <c r="L341" s="276">
        <f t="shared" si="29"/>
        <v>954.91115749894743</v>
      </c>
      <c r="M341" s="276">
        <f t="shared" si="29"/>
        <v>989.99078813155211</v>
      </c>
      <c r="N341" s="276">
        <f t="shared" si="29"/>
        <v>1034.6548302140291</v>
      </c>
      <c r="O341" s="276">
        <f t="shared" si="29"/>
        <v>1062.2411709621063</v>
      </c>
    </row>
    <row r="342" spans="1:17">
      <c r="A342" s="4"/>
      <c r="B342" s="4"/>
      <c r="C342" s="142"/>
      <c r="D342" s="4"/>
      <c r="E342" s="4"/>
      <c r="F342" s="91"/>
      <c r="G342" s="273"/>
      <c r="H342" s="275"/>
      <c r="I342" s="275"/>
      <c r="J342" s="275"/>
      <c r="K342" s="275"/>
      <c r="L342" s="275"/>
      <c r="M342" s="275"/>
      <c r="N342" s="275"/>
      <c r="O342" s="275"/>
    </row>
    <row r="343" spans="1:17">
      <c r="A343" s="4"/>
      <c r="B343" s="4"/>
      <c r="C343" s="274" t="s">
        <v>203</v>
      </c>
      <c r="D343" s="274"/>
      <c r="E343" s="274"/>
      <c r="F343" s="69" t="s">
        <v>99</v>
      </c>
      <c r="G343" s="273"/>
      <c r="H343" s="272">
        <v>0</v>
      </c>
      <c r="I343" s="272">
        <v>0</v>
      </c>
      <c r="J343" s="271">
        <f t="shared" ref="J343:O343" si="30">F110</f>
        <v>11</v>
      </c>
      <c r="K343" s="271">
        <f t="shared" si="30"/>
        <v>11</v>
      </c>
      <c r="L343" s="271">
        <f t="shared" si="30"/>
        <v>18</v>
      </c>
      <c r="M343" s="271">
        <f t="shared" si="30"/>
        <v>25</v>
      </c>
      <c r="N343" s="271">
        <f t="shared" si="30"/>
        <v>30</v>
      </c>
      <c r="O343" s="271">
        <f t="shared" si="30"/>
        <v>35</v>
      </c>
    </row>
    <row r="344" spans="1:17">
      <c r="A344" s="4"/>
      <c r="B344" s="65"/>
      <c r="C344" s="65" t="s">
        <v>23</v>
      </c>
      <c r="D344" s="4"/>
      <c r="E344" s="4"/>
      <c r="F344" s="91" t="s">
        <v>99</v>
      </c>
      <c r="G344" s="4"/>
      <c r="H344" s="266">
        <f t="shared" ref="H344:O344" si="31">H337-H341+H343</f>
        <v>138.46571122807018</v>
      </c>
      <c r="I344" s="266">
        <f t="shared" si="31"/>
        <v>160.05526381818186</v>
      </c>
      <c r="J344" s="198">
        <f t="shared" si="31"/>
        <v>158.19406029629624</v>
      </c>
      <c r="K344" s="198">
        <f t="shared" si="31"/>
        <v>140.28343822222212</v>
      </c>
      <c r="L344" s="198">
        <f t="shared" si="31"/>
        <v>158.46792730105267</v>
      </c>
      <c r="M344" s="198">
        <f t="shared" si="31"/>
        <v>194.01986350364791</v>
      </c>
      <c r="N344" s="198">
        <f t="shared" si="31"/>
        <v>220.81944109016308</v>
      </c>
      <c r="O344" s="198">
        <f t="shared" si="31"/>
        <v>257.15662903789371</v>
      </c>
    </row>
    <row r="345" spans="1:17">
      <c r="A345" s="4"/>
      <c r="B345" s="4"/>
      <c r="C345" s="4"/>
      <c r="D345" s="4"/>
      <c r="E345" s="4"/>
      <c r="F345" s="69"/>
      <c r="G345" s="4"/>
      <c r="H345" s="195"/>
      <c r="I345" s="195"/>
      <c r="J345" s="270"/>
      <c r="K345" s="270"/>
      <c r="L345" s="270"/>
      <c r="M345" s="270"/>
      <c r="N345" s="270"/>
      <c r="O345" s="270"/>
    </row>
    <row r="346" spans="1:17" ht="12.75" customHeight="1">
      <c r="A346" s="4"/>
      <c r="B346" s="4"/>
      <c r="C346" s="4" t="s">
        <v>202</v>
      </c>
      <c r="D346" s="4"/>
      <c r="E346" s="4"/>
      <c r="F346" s="69" t="s">
        <v>99</v>
      </c>
      <c r="G346" s="4"/>
      <c r="H346" s="247">
        <f t="shared" ref="H346:O346" si="32">H480</f>
        <v>54.8</v>
      </c>
      <c r="I346" s="247">
        <f t="shared" si="32"/>
        <v>55.2</v>
      </c>
      <c r="J346" s="247">
        <f t="shared" si="32"/>
        <v>56.4</v>
      </c>
      <c r="K346" s="247">
        <f t="shared" si="32"/>
        <v>61.61</v>
      </c>
      <c r="L346" s="247">
        <f t="shared" si="32"/>
        <v>63.71</v>
      </c>
      <c r="M346" s="247">
        <f t="shared" si="32"/>
        <v>65.932000000000002</v>
      </c>
      <c r="N346" s="247">
        <f t="shared" si="32"/>
        <v>68.204049999999995</v>
      </c>
      <c r="O346" s="247">
        <f t="shared" si="32"/>
        <v>71.132901250000003</v>
      </c>
    </row>
    <row r="347" spans="1:17">
      <c r="A347" s="4"/>
      <c r="B347" s="4"/>
      <c r="C347" s="142" t="s">
        <v>201</v>
      </c>
      <c r="D347" s="4"/>
      <c r="E347" s="4"/>
      <c r="F347" s="91" t="s">
        <v>99</v>
      </c>
      <c r="G347" s="4"/>
      <c r="H347" s="266">
        <f t="shared" ref="H347:O347" si="33">H344-H346</f>
        <v>83.66571122807018</v>
      </c>
      <c r="I347" s="266">
        <f t="shared" si="33"/>
        <v>104.85526381818185</v>
      </c>
      <c r="J347" s="266">
        <f t="shared" si="33"/>
        <v>101.79406029629624</v>
      </c>
      <c r="K347" s="266">
        <f t="shared" si="33"/>
        <v>78.673438222222117</v>
      </c>
      <c r="L347" s="266">
        <f t="shared" si="33"/>
        <v>94.757927301052661</v>
      </c>
      <c r="M347" s="266">
        <f t="shared" si="33"/>
        <v>128.0878635036479</v>
      </c>
      <c r="N347" s="266">
        <f t="shared" si="33"/>
        <v>152.61539109016309</v>
      </c>
      <c r="O347" s="266">
        <f t="shared" si="33"/>
        <v>186.0237277878937</v>
      </c>
    </row>
    <row r="348" spans="1:17" ht="12.75" customHeight="1">
      <c r="A348" s="4"/>
      <c r="B348" s="4"/>
      <c r="C348" s="142"/>
      <c r="D348" s="4"/>
      <c r="E348" s="4"/>
      <c r="F348" s="91"/>
      <c r="G348" s="4"/>
      <c r="H348" s="4"/>
      <c r="I348" s="4"/>
      <c r="J348" s="4"/>
      <c r="K348" s="221"/>
      <c r="L348" s="221"/>
      <c r="M348" s="221"/>
      <c r="N348" s="221"/>
      <c r="O348" s="221"/>
      <c r="Q348" s="4"/>
    </row>
    <row r="349" spans="1:17">
      <c r="A349" s="4"/>
      <c r="B349" s="4"/>
      <c r="C349" s="30" t="s">
        <v>6</v>
      </c>
      <c r="D349" s="4"/>
      <c r="E349" s="4"/>
      <c r="F349" s="69" t="s">
        <v>99</v>
      </c>
      <c r="G349" s="4"/>
      <c r="H349" s="268"/>
      <c r="I349" s="268"/>
      <c r="J349" s="268"/>
      <c r="K349" s="203">
        <f t="shared" ref="K349:O350" si="34">K686</f>
        <v>39.205287347962951</v>
      </c>
      <c r="L349" s="203">
        <f t="shared" si="34"/>
        <v>37.819776796797683</v>
      </c>
      <c r="M349" s="203">
        <f t="shared" si="34"/>
        <v>35.550143900362308</v>
      </c>
      <c r="N349" s="203">
        <f t="shared" si="34"/>
        <v>41.702831030892789</v>
      </c>
      <c r="O349" s="203">
        <f t="shared" si="34"/>
        <v>38.656073622620887</v>
      </c>
    </row>
    <row r="350" spans="1:17">
      <c r="A350" s="4"/>
      <c r="B350" s="4"/>
      <c r="C350" s="30" t="s">
        <v>62</v>
      </c>
      <c r="D350" s="4"/>
      <c r="E350" s="4"/>
      <c r="F350" s="69" t="s">
        <v>99</v>
      </c>
      <c r="G350" s="4"/>
      <c r="H350" s="268"/>
      <c r="I350" s="268"/>
      <c r="J350" s="268"/>
      <c r="K350" s="77">
        <f t="shared" si="34"/>
        <v>8.3051881655555526</v>
      </c>
      <c r="L350" s="77">
        <f t="shared" si="34"/>
        <v>8.6540060685088864</v>
      </c>
      <c r="M350" s="77">
        <f t="shared" si="34"/>
        <v>9.01747432338626</v>
      </c>
      <c r="N350" s="77">
        <f t="shared" si="34"/>
        <v>0</v>
      </c>
      <c r="O350" s="77">
        <f t="shared" si="34"/>
        <v>0</v>
      </c>
    </row>
    <row r="351" spans="1:17">
      <c r="A351" s="4"/>
      <c r="B351" s="4"/>
      <c r="C351" s="30" t="s">
        <v>7</v>
      </c>
      <c r="D351" s="4"/>
      <c r="E351" s="4"/>
      <c r="F351" s="91" t="s">
        <v>99</v>
      </c>
      <c r="G351" s="4"/>
      <c r="H351" s="203"/>
      <c r="I351" s="203"/>
      <c r="J351" s="203"/>
      <c r="K351" s="203">
        <f>SUM(K349:K350)</f>
        <v>47.5104755135185</v>
      </c>
      <c r="L351" s="203">
        <f>SUM(L349:L350)</f>
        <v>46.473782865306568</v>
      </c>
      <c r="M351" s="203">
        <f>SUM(M349:M350)</f>
        <v>44.567618223748568</v>
      </c>
      <c r="N351" s="203">
        <f>SUM(N349:N350)</f>
        <v>41.702831030892789</v>
      </c>
      <c r="O351" s="203">
        <f>SUM(O349:O350)</f>
        <v>38.656073622620887</v>
      </c>
    </row>
    <row r="352" spans="1:17" ht="6" customHeight="1">
      <c r="A352" s="4"/>
      <c r="B352" s="4"/>
      <c r="C352" s="142"/>
      <c r="D352" s="4"/>
      <c r="E352" s="4"/>
      <c r="F352" s="91"/>
      <c r="G352" s="4"/>
      <c r="H352" s="269"/>
      <c r="I352" s="269"/>
      <c r="J352" s="269"/>
      <c r="K352" s="269"/>
      <c r="L352" s="221"/>
      <c r="M352" s="266"/>
      <c r="N352" s="266"/>
      <c r="O352" s="221"/>
    </row>
    <row r="353" spans="1:15">
      <c r="A353" s="4"/>
      <c r="B353" s="4"/>
      <c r="C353" s="205" t="s">
        <v>200</v>
      </c>
      <c r="D353" s="4"/>
      <c r="E353" s="4"/>
      <c r="F353" s="91" t="s">
        <v>99</v>
      </c>
      <c r="G353" s="4"/>
      <c r="H353" s="266"/>
      <c r="I353" s="266"/>
      <c r="J353" s="266"/>
      <c r="K353" s="266">
        <f>K347-K351</f>
        <v>31.162962708703617</v>
      </c>
      <c r="L353" s="266">
        <f>L347-L351</f>
        <v>48.284144435746093</v>
      </c>
      <c r="M353" s="266">
        <f>M347-M351</f>
        <v>83.520245279899328</v>
      </c>
      <c r="N353" s="266">
        <f>N347-N351</f>
        <v>110.91256005927031</v>
      </c>
      <c r="O353" s="266">
        <f>O347-O351</f>
        <v>147.36765416527282</v>
      </c>
    </row>
    <row r="354" spans="1:15" ht="12.75" customHeight="1">
      <c r="A354" s="4"/>
      <c r="B354" s="4"/>
      <c r="C354" s="142"/>
      <c r="D354" s="4"/>
      <c r="E354" s="4"/>
      <c r="F354" s="91"/>
      <c r="G354" s="4"/>
      <c r="H354" s="269"/>
      <c r="I354" s="269"/>
      <c r="J354" s="269"/>
      <c r="K354" s="269"/>
      <c r="L354" s="221"/>
      <c r="M354" s="266"/>
      <c r="N354" s="266"/>
      <c r="O354" s="221"/>
    </row>
    <row r="355" spans="1:15">
      <c r="A355" s="4"/>
      <c r="B355" s="4"/>
      <c r="C355" s="4" t="s">
        <v>199</v>
      </c>
      <c r="D355" s="4"/>
      <c r="E355" s="4"/>
      <c r="F355" s="69" t="s">
        <v>99</v>
      </c>
      <c r="G355" s="4"/>
      <c r="H355" s="268"/>
      <c r="I355" s="268"/>
      <c r="J355" s="268"/>
      <c r="K355" s="203">
        <f t="shared" ref="K355:O356" si="35">K516</f>
        <v>0</v>
      </c>
      <c r="L355" s="203">
        <f t="shared" si="35"/>
        <v>0</v>
      </c>
      <c r="M355" s="203">
        <f t="shared" si="35"/>
        <v>22.769259598522176</v>
      </c>
      <c r="N355" s="203">
        <f t="shared" si="35"/>
        <v>35.706499958244606</v>
      </c>
      <c r="O355" s="203">
        <f t="shared" si="35"/>
        <v>49.694410601595493</v>
      </c>
    </row>
    <row r="356" spans="1:15">
      <c r="A356" s="4"/>
      <c r="B356" s="4"/>
      <c r="C356" s="4" t="s">
        <v>155</v>
      </c>
      <c r="D356" s="4"/>
      <c r="E356" s="4"/>
      <c r="F356" s="69" t="s">
        <v>99</v>
      </c>
      <c r="G356" s="4"/>
      <c r="H356" s="268"/>
      <c r="I356" s="268"/>
      <c r="J356" s="268"/>
      <c r="K356" s="77">
        <f t="shared" si="35"/>
        <v>10.907036948046265</v>
      </c>
      <c r="L356" s="77">
        <f t="shared" si="35"/>
        <v>16.89945055251113</v>
      </c>
      <c r="M356" s="77">
        <f t="shared" si="35"/>
        <v>6.4628262494425854</v>
      </c>
      <c r="N356" s="77">
        <f t="shared" si="35"/>
        <v>3.1128960624999991</v>
      </c>
      <c r="O356" s="77">
        <f t="shared" si="35"/>
        <v>1.88426835624999</v>
      </c>
    </row>
    <row r="357" spans="1:15">
      <c r="A357" s="4"/>
      <c r="B357" s="4"/>
      <c r="C357" s="65" t="s">
        <v>198</v>
      </c>
      <c r="D357" s="4"/>
      <c r="E357" s="4"/>
      <c r="F357" s="91" t="s">
        <v>99</v>
      </c>
      <c r="G357" s="4"/>
      <c r="H357" s="24"/>
      <c r="I357" s="24"/>
      <c r="J357" s="24"/>
      <c r="K357" s="24">
        <f>SUM(K355:K356)</f>
        <v>10.907036948046265</v>
      </c>
      <c r="L357" s="24">
        <f>SUM(L355:L356)</f>
        <v>16.89945055251113</v>
      </c>
      <c r="M357" s="24">
        <f>SUM(M355:M356)</f>
        <v>29.232085847964761</v>
      </c>
      <c r="N357" s="24">
        <f>SUM(N355:N356)</f>
        <v>38.819396020744605</v>
      </c>
      <c r="O357" s="24">
        <f>SUM(O355:O356)</f>
        <v>51.578678957845483</v>
      </c>
    </row>
    <row r="358" spans="1:15" ht="6" customHeight="1">
      <c r="A358" s="4"/>
      <c r="B358" s="4"/>
      <c r="C358" s="4"/>
      <c r="D358" s="4"/>
      <c r="E358" s="4"/>
      <c r="F358" s="69"/>
      <c r="G358" s="4"/>
      <c r="H358" s="4"/>
      <c r="I358" s="4"/>
      <c r="J358" s="4"/>
      <c r="K358" s="4"/>
      <c r="L358" s="4"/>
      <c r="M358" s="4"/>
      <c r="N358" s="4"/>
      <c r="O358" s="4"/>
    </row>
    <row r="359" spans="1:15">
      <c r="A359" s="4"/>
      <c r="B359" s="4"/>
      <c r="C359" s="267" t="s">
        <v>50</v>
      </c>
      <c r="D359" s="65"/>
      <c r="E359" s="65"/>
      <c r="F359" s="91" t="s">
        <v>99</v>
      </c>
      <c r="G359" s="4"/>
      <c r="H359" s="266"/>
      <c r="I359" s="266"/>
      <c r="J359" s="266"/>
      <c r="K359" s="266">
        <f>K353-K357</f>
        <v>20.255925760657352</v>
      </c>
      <c r="L359" s="266">
        <f>L353-L357</f>
        <v>31.384693883234963</v>
      </c>
      <c r="M359" s="266">
        <f>M353-M357</f>
        <v>54.288159431934567</v>
      </c>
      <c r="N359" s="266">
        <f>N353-N357</f>
        <v>72.0931640385257</v>
      </c>
      <c r="O359" s="266">
        <f>O353-O357</f>
        <v>95.788975207427342</v>
      </c>
    </row>
    <row r="360" spans="1:15">
      <c r="A360" s="4"/>
      <c r="B360" s="4"/>
      <c r="C360" s="21"/>
      <c r="D360" s="4"/>
      <c r="E360" s="4"/>
      <c r="F360" s="91"/>
      <c r="G360" s="4"/>
      <c r="H360" s="64"/>
      <c r="I360" s="64"/>
      <c r="J360" s="64"/>
      <c r="K360" s="64"/>
      <c r="L360" s="64"/>
      <c r="M360" s="64"/>
      <c r="N360" s="64"/>
      <c r="O360" s="64"/>
    </row>
    <row r="361" spans="1:15">
      <c r="A361" s="4"/>
      <c r="B361" s="4"/>
      <c r="C361" s="4" t="s">
        <v>197</v>
      </c>
      <c r="D361" s="4"/>
      <c r="E361" s="4"/>
      <c r="F361" s="69" t="s">
        <v>99</v>
      </c>
      <c r="G361" s="4"/>
      <c r="H361" s="268"/>
      <c r="I361" s="268"/>
      <c r="J361" s="268"/>
      <c r="K361" s="77">
        <f>K707</f>
        <v>8</v>
      </c>
      <c r="L361" s="77">
        <f>L707</f>
        <v>8</v>
      </c>
      <c r="M361" s="77">
        <f>M707</f>
        <v>8</v>
      </c>
      <c r="N361" s="77">
        <f>N707</f>
        <v>8</v>
      </c>
      <c r="O361" s="77">
        <f>O707</f>
        <v>8</v>
      </c>
    </row>
    <row r="362" spans="1:15">
      <c r="A362" s="4"/>
      <c r="B362" s="4"/>
      <c r="C362" s="267" t="s">
        <v>53</v>
      </c>
      <c r="D362" s="4"/>
      <c r="E362" s="4"/>
      <c r="F362" s="91" t="s">
        <v>99</v>
      </c>
      <c r="G362" s="4"/>
      <c r="H362" s="266"/>
      <c r="I362" s="266"/>
      <c r="J362" s="266"/>
      <c r="K362" s="266">
        <f>K359-K361</f>
        <v>12.255925760657352</v>
      </c>
      <c r="L362" s="266">
        <f>L359-L361</f>
        <v>23.384693883234963</v>
      </c>
      <c r="M362" s="266">
        <f>M359-M361</f>
        <v>46.288159431934567</v>
      </c>
      <c r="N362" s="266">
        <f>N359-N361</f>
        <v>64.0931640385257</v>
      </c>
      <c r="O362" s="266">
        <f>O359-O361</f>
        <v>87.788975207427342</v>
      </c>
    </row>
    <row r="363" spans="1:15">
      <c r="A363" s="4"/>
      <c r="B363" s="4"/>
      <c r="C363" s="65"/>
      <c r="D363" s="4"/>
      <c r="E363" s="4"/>
      <c r="F363" s="91"/>
      <c r="G363" s="4"/>
      <c r="H363" s="24"/>
      <c r="I363" s="24"/>
      <c r="J363" s="24"/>
      <c r="K363" s="24"/>
      <c r="L363" s="24"/>
      <c r="M363" s="24"/>
      <c r="N363" s="24"/>
      <c r="O363" s="24"/>
    </row>
    <row r="364" spans="1:15" ht="6" customHeight="1">
      <c r="A364" s="4"/>
      <c r="B364" s="4"/>
      <c r="C364" s="4"/>
      <c r="D364" s="4"/>
      <c r="E364" s="4"/>
      <c r="F364" s="16"/>
      <c r="G364" s="4"/>
      <c r="H364" s="246"/>
      <c r="I364" s="246"/>
      <c r="J364" s="246"/>
      <c r="K364" s="265"/>
      <c r="L364" s="265"/>
      <c r="M364" s="265"/>
      <c r="N364" s="265"/>
      <c r="O364" s="265"/>
    </row>
    <row r="365" spans="1:15">
      <c r="A365" s="4"/>
      <c r="B365" s="140" t="s">
        <v>196</v>
      </c>
      <c r="C365" s="59"/>
      <c r="D365" s="59"/>
      <c r="E365" s="59"/>
      <c r="F365" s="264"/>
      <c r="G365" s="59"/>
      <c r="H365" s="263"/>
      <c r="I365" s="263"/>
      <c r="J365" s="263"/>
      <c r="K365" s="263"/>
      <c r="L365" s="263"/>
      <c r="M365" s="263"/>
      <c r="N365" s="263"/>
      <c r="O365" s="262"/>
    </row>
    <row r="366" spans="1:15">
      <c r="A366" s="4"/>
      <c r="B366" s="133"/>
      <c r="C366" s="4" t="s">
        <v>195</v>
      </c>
      <c r="D366" s="4"/>
      <c r="E366" s="4"/>
      <c r="F366" s="16"/>
      <c r="G366" s="4"/>
      <c r="H366" s="254">
        <f t="shared" ref="H366:O366" si="36">H344/H337</f>
        <v>0.15798125943095889</v>
      </c>
      <c r="I366" s="254">
        <f t="shared" si="36"/>
        <v>0.17279042213174309</v>
      </c>
      <c r="J366" s="254">
        <f t="shared" si="36"/>
        <v>0.16130765879496411</v>
      </c>
      <c r="K366" s="254">
        <f t="shared" si="36"/>
        <v>0.135475832289324</v>
      </c>
      <c r="L366" s="254">
        <f t="shared" si="36"/>
        <v>0.14466948429089876</v>
      </c>
      <c r="M366" s="254">
        <f t="shared" si="36"/>
        <v>0.16740127731346846</v>
      </c>
      <c r="N366" s="254">
        <f t="shared" si="36"/>
        <v>0.18019100544245567</v>
      </c>
      <c r="O366" s="261">
        <f t="shared" si="36"/>
        <v>0.20021571902248175</v>
      </c>
    </row>
    <row r="367" spans="1:15">
      <c r="A367" s="4"/>
      <c r="B367" s="133"/>
      <c r="C367" s="4" t="s">
        <v>194</v>
      </c>
      <c r="D367" s="4"/>
      <c r="E367" s="4"/>
      <c r="F367" s="251"/>
      <c r="G367" s="4"/>
      <c r="H367" s="254">
        <f t="shared" ref="H367:O367" si="37">H347/H337</f>
        <v>9.5457671894137008E-2</v>
      </c>
      <c r="I367" s="254">
        <f t="shared" si="37"/>
        <v>0.11319830954426115</v>
      </c>
      <c r="J367" s="254">
        <f t="shared" si="37"/>
        <v>0.10379758579351286</v>
      </c>
      <c r="K367" s="254">
        <f t="shared" si="37"/>
        <v>7.5977247615890559E-2</v>
      </c>
      <c r="L367" s="254">
        <f t="shared" si="37"/>
        <v>8.6506971527901724E-2</v>
      </c>
      <c r="M367" s="254">
        <f t="shared" si="37"/>
        <v>0.1105148285936234</v>
      </c>
      <c r="N367" s="254">
        <f t="shared" si="37"/>
        <v>0.12453577742415146</v>
      </c>
      <c r="O367" s="261">
        <f t="shared" si="37"/>
        <v>0.14483342138073868</v>
      </c>
    </row>
    <row r="368" spans="1:15">
      <c r="A368" s="4"/>
      <c r="B368" s="260"/>
      <c r="C368" s="2" t="s">
        <v>193</v>
      </c>
      <c r="D368" s="2"/>
      <c r="E368" s="2"/>
      <c r="F368" s="259"/>
      <c r="G368" s="2"/>
      <c r="H368" s="258"/>
      <c r="I368" s="258"/>
      <c r="J368" s="257"/>
      <c r="K368" s="257">
        <f>K344/AVERAGE(K747,J747)</f>
        <v>9.927268464667538E-2</v>
      </c>
      <c r="L368" s="257">
        <f>L344/AVERAGE(L747,K747)</f>
        <v>0.11431353513719117</v>
      </c>
      <c r="M368" s="257">
        <f>M344/AVERAGE(M747,L747)</f>
        <v>0.14239519055153774</v>
      </c>
      <c r="N368" s="257">
        <f>N344/AVERAGE(N747,M747)</f>
        <v>0.16340596435326252</v>
      </c>
      <c r="O368" s="256">
        <f>O344/AVERAGE(O747,N747)</f>
        <v>0.18931855487621513</v>
      </c>
    </row>
    <row r="369" spans="1:17">
      <c r="A369" s="4"/>
      <c r="B369" s="4"/>
      <c r="C369" s="255" t="s">
        <v>192</v>
      </c>
      <c r="D369" s="4"/>
      <c r="E369" s="4"/>
      <c r="F369" s="251"/>
      <c r="G369" s="4"/>
      <c r="H369" s="252"/>
      <c r="I369" s="252"/>
      <c r="J369" s="254"/>
      <c r="K369" s="254"/>
      <c r="L369" s="254"/>
      <c r="M369" s="254"/>
      <c r="N369" s="254"/>
      <c r="O369" s="254"/>
    </row>
    <row r="370" spans="1:17">
      <c r="A370" s="4"/>
      <c r="B370" s="4"/>
      <c r="C370" s="253"/>
      <c r="D370" s="4"/>
      <c r="E370" s="4"/>
      <c r="F370" s="251"/>
      <c r="G370" s="4"/>
      <c r="H370" s="252"/>
      <c r="I370" s="252"/>
      <c r="J370" s="252"/>
      <c r="K370" s="252"/>
      <c r="L370" s="252"/>
      <c r="M370" s="252"/>
      <c r="N370" s="252"/>
      <c r="O370" s="252"/>
    </row>
    <row r="371" spans="1:17">
      <c r="A371" s="4"/>
      <c r="B371" s="65"/>
      <c r="C371" s="4"/>
      <c r="D371" s="4"/>
      <c r="E371" s="4"/>
      <c r="F371" s="251"/>
      <c r="G371" s="4"/>
      <c r="H371" s="4"/>
      <c r="I371" s="4"/>
      <c r="J371" s="4"/>
      <c r="K371" s="4"/>
      <c r="L371" s="4"/>
      <c r="M371" s="4"/>
      <c r="N371" s="4"/>
      <c r="O371" s="4"/>
    </row>
    <row r="372" spans="1:17">
      <c r="A372" s="4"/>
      <c r="B372" s="65"/>
      <c r="C372" s="4"/>
      <c r="D372" s="4"/>
      <c r="E372" s="4"/>
      <c r="F372" s="251"/>
      <c r="G372" s="4"/>
      <c r="H372" s="246"/>
      <c r="I372" s="246"/>
      <c r="J372" s="246"/>
      <c r="K372" s="246"/>
      <c r="L372" s="246"/>
      <c r="M372" s="246"/>
      <c r="N372" s="246"/>
      <c r="O372" s="246"/>
    </row>
    <row r="373" spans="1:17" ht="12.75" customHeight="1">
      <c r="A373" s="4"/>
      <c r="B373" s="35"/>
      <c r="C373" s="20"/>
      <c r="D373" s="20"/>
      <c r="E373" s="20"/>
      <c r="F373" s="20"/>
      <c r="G373" s="20"/>
      <c r="H373" s="20"/>
      <c r="I373" s="20"/>
      <c r="J373" s="20"/>
      <c r="K373" s="20"/>
      <c r="L373" s="20"/>
      <c r="M373" s="20"/>
      <c r="N373" s="20"/>
      <c r="O373" s="36" t="str">
        <f>$O$235</f>
        <v>CURRENTLY RUNNING: BASE CASE SCENARIO</v>
      </c>
    </row>
    <row r="374" spans="1:17" ht="22.8" customHeight="1">
      <c r="A374" s="4"/>
      <c r="B374" s="35" t="str">
        <f>$B$3</f>
        <v>Lingoren Corp.</v>
      </c>
      <c r="C374" s="20"/>
      <c r="D374" s="20"/>
      <c r="E374" s="20"/>
      <c r="F374" s="20"/>
      <c r="G374" s="20"/>
      <c r="H374" s="20"/>
      <c r="I374" s="20"/>
      <c r="J374" s="20"/>
      <c r="K374" s="20"/>
      <c r="L374" s="20"/>
      <c r="M374" s="20"/>
      <c r="N374" s="20"/>
      <c r="O374" s="20"/>
    </row>
    <row r="375" spans="1:17" ht="18.75" customHeight="1">
      <c r="A375" s="4"/>
      <c r="B375" s="34" t="s">
        <v>191</v>
      </c>
      <c r="C375" s="20"/>
      <c r="D375" s="20"/>
      <c r="E375" s="20"/>
      <c r="F375" s="20"/>
      <c r="G375" s="20"/>
      <c r="H375" s="20"/>
      <c r="I375" s="20"/>
      <c r="J375" s="20"/>
      <c r="K375" s="20"/>
      <c r="L375" s="20"/>
      <c r="M375" s="20"/>
      <c r="N375" s="20"/>
      <c r="O375" s="20"/>
    </row>
    <row r="376" spans="1:17" ht="6" customHeight="1" thickBot="1">
      <c r="A376" s="4"/>
      <c r="B376" s="220"/>
      <c r="C376" s="32"/>
      <c r="D376" s="32"/>
      <c r="E376" s="32"/>
      <c r="F376" s="32"/>
      <c r="G376" s="32"/>
      <c r="H376" s="32"/>
      <c r="I376" s="32"/>
      <c r="J376" s="32"/>
      <c r="K376" s="32"/>
      <c r="L376" s="32"/>
      <c r="M376" s="32"/>
      <c r="N376" s="32"/>
      <c r="O376" s="32"/>
    </row>
    <row r="377" spans="1:17" ht="12.75" customHeight="1">
      <c r="A377" s="4"/>
      <c r="B377" s="31" t="s">
        <v>25</v>
      </c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</row>
    <row r="378" spans="1:17" ht="13.8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14" t="s">
        <v>24</v>
      </c>
      <c r="L378" s="13"/>
      <c r="M378" s="13"/>
      <c r="N378" s="13"/>
      <c r="O378" s="13"/>
    </row>
    <row r="379" spans="1:17">
      <c r="A379" s="4"/>
      <c r="B379" s="168"/>
      <c r="C379" s="4"/>
      <c r="D379" s="4"/>
      <c r="E379" s="4"/>
      <c r="F379" s="250"/>
      <c r="G379" s="29"/>
      <c r="H379" s="28">
        <f t="shared" ref="H379:O379" si="38">H$241</f>
        <v>2016</v>
      </c>
      <c r="I379" s="28">
        <f t="shared" si="38"/>
        <v>2017</v>
      </c>
      <c r="J379" s="670">
        <f>K379-1</f>
        <v>2018</v>
      </c>
      <c r="K379" s="10">
        <f t="shared" si="38"/>
        <v>2019</v>
      </c>
      <c r="L379" s="10">
        <f t="shared" si="38"/>
        <v>2020</v>
      </c>
      <c r="M379" s="10">
        <f t="shared" si="38"/>
        <v>2021</v>
      </c>
      <c r="N379" s="10">
        <f t="shared" si="38"/>
        <v>2022</v>
      </c>
      <c r="O379" s="10">
        <f t="shared" si="38"/>
        <v>2023</v>
      </c>
    </row>
    <row r="380" spans="1:17">
      <c r="A380" s="4"/>
      <c r="B380" s="65" t="s">
        <v>190</v>
      </c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</row>
    <row r="381" spans="1:17">
      <c r="A381" s="4"/>
      <c r="B381" s="4"/>
      <c r="C381" s="4" t="s">
        <v>50</v>
      </c>
      <c r="D381" s="4"/>
      <c r="E381" s="4"/>
      <c r="F381" s="4"/>
      <c r="G381" s="249"/>
      <c r="K381" s="73">
        <f>K359</f>
        <v>20.255925760657352</v>
      </c>
      <c r="L381" s="73">
        <f>L359</f>
        <v>31.384693883234963</v>
      </c>
      <c r="M381" s="73">
        <f>M359</f>
        <v>54.288159431934567</v>
      </c>
      <c r="N381" s="73">
        <f>N359</f>
        <v>72.0931640385257</v>
      </c>
      <c r="O381" s="73">
        <f>O359</f>
        <v>95.788975207427342</v>
      </c>
      <c r="Q381" s="4"/>
    </row>
    <row r="382" spans="1:17">
      <c r="A382" s="4"/>
      <c r="B382" s="4"/>
      <c r="C382" s="4" t="s">
        <v>189</v>
      </c>
      <c r="D382" s="4"/>
      <c r="E382" s="4"/>
      <c r="F382" s="4"/>
      <c r="G382" s="249"/>
      <c r="K382" s="73">
        <f>K346</f>
        <v>61.61</v>
      </c>
      <c r="L382" s="73">
        <f>L346</f>
        <v>63.71</v>
      </c>
      <c r="M382" s="73">
        <f>M346</f>
        <v>65.932000000000002</v>
      </c>
      <c r="N382" s="73">
        <f>N346</f>
        <v>68.204049999999995</v>
      </c>
      <c r="O382" s="73">
        <f>O346</f>
        <v>71.132901250000003</v>
      </c>
    </row>
    <row r="383" spans="1:17">
      <c r="A383" s="4"/>
      <c r="B383" s="4"/>
      <c r="C383" s="4" t="s">
        <v>62</v>
      </c>
      <c r="D383" s="4"/>
      <c r="E383" s="4"/>
      <c r="F383" s="4"/>
      <c r="G383" s="249"/>
      <c r="K383" s="73">
        <f>K350</f>
        <v>8.3051881655555526</v>
      </c>
      <c r="L383" s="73">
        <f>L350</f>
        <v>8.6540060685088864</v>
      </c>
      <c r="M383" s="73">
        <f>M350</f>
        <v>9.01747432338626</v>
      </c>
      <c r="N383" s="73">
        <f>N350</f>
        <v>0</v>
      </c>
      <c r="O383" s="73">
        <f>O350</f>
        <v>0</v>
      </c>
    </row>
    <row r="384" spans="1:17">
      <c r="A384" s="4"/>
      <c r="B384" s="4"/>
      <c r="C384" s="4" t="s">
        <v>155</v>
      </c>
      <c r="D384" s="4"/>
      <c r="E384" s="4"/>
      <c r="F384" s="4"/>
      <c r="G384" s="191"/>
      <c r="K384" s="73">
        <f>K356</f>
        <v>10.907036948046265</v>
      </c>
      <c r="L384" s="73">
        <f>L356</f>
        <v>16.89945055251113</v>
      </c>
      <c r="M384" s="73">
        <f>M356</f>
        <v>6.4628262494425854</v>
      </c>
      <c r="N384" s="73">
        <f>N356</f>
        <v>3.1128960624999991</v>
      </c>
      <c r="O384" s="73">
        <f>O356</f>
        <v>1.88426835624999</v>
      </c>
    </row>
    <row r="385" spans="1:17">
      <c r="A385" s="4"/>
      <c r="B385" s="4"/>
      <c r="C385" s="4" t="s">
        <v>188</v>
      </c>
      <c r="D385" s="4"/>
      <c r="E385" s="4"/>
      <c r="F385" s="4"/>
      <c r="G385" s="248"/>
      <c r="K385" s="77">
        <f>K557</f>
        <v>-1.2482795153729427</v>
      </c>
      <c r="L385" s="77">
        <f>L557</f>
        <v>6.8323119771503542</v>
      </c>
      <c r="M385" s="77">
        <f>M557</f>
        <v>-1.312901541526486</v>
      </c>
      <c r="N385" s="77">
        <f>N557</f>
        <v>-6.4159334540536577</v>
      </c>
      <c r="O385" s="77">
        <f>O557</f>
        <v>-5.4212499738598581</v>
      </c>
    </row>
    <row r="386" spans="1:17">
      <c r="A386" s="4"/>
      <c r="B386" s="4"/>
      <c r="C386" s="142" t="s">
        <v>187</v>
      </c>
      <c r="D386" s="4"/>
      <c r="E386" s="4"/>
      <c r="F386" s="4"/>
      <c r="G386" s="221"/>
      <c r="K386" s="196">
        <f>SUM(K381:K385)</f>
        <v>99.829871358886223</v>
      </c>
      <c r="L386" s="196">
        <f>SUM(L381:L385)</f>
        <v>127.48046248140534</v>
      </c>
      <c r="M386" s="196">
        <f>SUM(M381:M385)</f>
        <v>134.38755846323696</v>
      </c>
      <c r="N386" s="196">
        <f>SUM(N381:N385)</f>
        <v>136.99417664697202</v>
      </c>
      <c r="O386" s="196">
        <f>SUM(O381:O385)</f>
        <v>163.38489483981749</v>
      </c>
    </row>
    <row r="387" spans="1:17">
      <c r="A387" s="4"/>
      <c r="B387" s="144"/>
      <c r="C387" s="4"/>
      <c r="D387" s="4"/>
      <c r="E387" s="4"/>
      <c r="F387" s="4"/>
      <c r="G387" s="246"/>
      <c r="H387" s="245"/>
      <c r="I387" s="245"/>
      <c r="J387" s="245"/>
      <c r="K387" s="668"/>
      <c r="L387" s="668"/>
      <c r="M387" s="668"/>
      <c r="N387" s="668"/>
      <c r="O387" s="668"/>
    </row>
    <row r="388" spans="1:17">
      <c r="A388" s="4"/>
      <c r="B388" s="144"/>
      <c r="C388" s="4"/>
      <c r="D388" s="4"/>
      <c r="E388" s="4"/>
      <c r="F388" s="4"/>
      <c r="G388" s="246"/>
      <c r="H388" s="245"/>
      <c r="I388" s="245"/>
      <c r="J388" s="245"/>
      <c r="K388" s="668"/>
      <c r="L388" s="668"/>
      <c r="M388" s="668"/>
      <c r="N388" s="668"/>
      <c r="O388" s="668"/>
    </row>
    <row r="389" spans="1:17">
      <c r="A389" s="4"/>
      <c r="B389" s="65" t="s">
        <v>186</v>
      </c>
      <c r="C389" s="4"/>
      <c r="D389" s="4"/>
      <c r="E389" s="4"/>
      <c r="F389" s="4"/>
      <c r="G389" s="244"/>
      <c r="H389" s="243"/>
      <c r="I389" s="243"/>
      <c r="J389" s="243"/>
      <c r="K389" s="191"/>
      <c r="L389" s="191"/>
      <c r="M389" s="191"/>
      <c r="N389" s="191"/>
      <c r="O389" s="191"/>
    </row>
    <row r="390" spans="1:17">
      <c r="A390" s="4"/>
      <c r="B390" s="4"/>
      <c r="C390" s="4" t="s">
        <v>145</v>
      </c>
      <c r="D390" s="4"/>
      <c r="E390" s="4"/>
      <c r="F390" s="16"/>
      <c r="G390" s="4"/>
      <c r="K390" s="203">
        <f>-G99</f>
        <v>-50</v>
      </c>
      <c r="L390" s="203">
        <f>-H99</f>
        <v>-55</v>
      </c>
      <c r="M390" s="203">
        <f>-I99</f>
        <v>-56.1</v>
      </c>
      <c r="N390" s="203">
        <f>-J99</f>
        <v>-57.502499999999998</v>
      </c>
      <c r="O390" s="203">
        <f>-K99</f>
        <v>-88.940062499999982</v>
      </c>
      <c r="Q390" s="4"/>
    </row>
    <row r="391" spans="1:17">
      <c r="A391" s="4"/>
      <c r="B391" s="4"/>
      <c r="C391" s="4" t="s">
        <v>157</v>
      </c>
      <c r="D391" s="4"/>
      <c r="E391" s="4"/>
      <c r="F391" s="16"/>
      <c r="G391" s="4"/>
      <c r="K391" s="242">
        <f>J391</f>
        <v>0</v>
      </c>
      <c r="L391" s="242">
        <f>K391</f>
        <v>0</v>
      </c>
      <c r="M391" s="242">
        <f>L391</f>
        <v>0</v>
      </c>
      <c r="N391" s="242">
        <f>M391</f>
        <v>0</v>
      </c>
      <c r="O391" s="242">
        <f>N391</f>
        <v>0</v>
      </c>
    </row>
    <row r="392" spans="1:17">
      <c r="A392" s="65"/>
      <c r="B392" s="4"/>
      <c r="C392" s="65" t="s">
        <v>185</v>
      </c>
      <c r="D392" s="4"/>
      <c r="E392" s="4"/>
      <c r="F392" s="4"/>
      <c r="G392" s="221"/>
      <c r="K392" s="241">
        <f>SUM(K390:K391)</f>
        <v>-50</v>
      </c>
      <c r="L392" s="241">
        <f>SUM(L390:L391)</f>
        <v>-55</v>
      </c>
      <c r="M392" s="241">
        <f>SUM(M390:M391)</f>
        <v>-56.1</v>
      </c>
      <c r="N392" s="241">
        <f>SUM(N390:N391)</f>
        <v>-57.502499999999998</v>
      </c>
      <c r="O392" s="241">
        <f>SUM(O390:O391)</f>
        <v>-88.940062499999982</v>
      </c>
    </row>
    <row r="393" spans="1:17">
      <c r="A393" s="65"/>
      <c r="B393" s="205"/>
      <c r="C393" s="4"/>
      <c r="D393" s="4"/>
      <c r="E393" s="4"/>
      <c r="F393" s="4"/>
      <c r="G393" s="221"/>
      <c r="H393" s="238"/>
      <c r="I393" s="238"/>
      <c r="J393" s="240"/>
      <c r="K393" s="238"/>
      <c r="L393" s="238"/>
      <c r="M393" s="238"/>
      <c r="N393" s="238"/>
      <c r="O393" s="238"/>
    </row>
    <row r="394" spans="1:17" ht="13.8" thickBot="1">
      <c r="A394" s="65"/>
      <c r="B394" s="65" t="s">
        <v>81</v>
      </c>
      <c r="C394" s="65"/>
      <c r="D394" s="4"/>
      <c r="E394" s="4"/>
      <c r="F394" s="4"/>
      <c r="G394" s="221"/>
      <c r="K394" s="239">
        <f>K386+K392</f>
        <v>49.829871358886223</v>
      </c>
      <c r="L394" s="239">
        <f>L386+L392</f>
        <v>72.48046248140534</v>
      </c>
      <c r="M394" s="239">
        <f>M386+M392</f>
        <v>78.287558463236962</v>
      </c>
      <c r="N394" s="239">
        <f>N386+N392</f>
        <v>79.491676646972024</v>
      </c>
      <c r="O394" s="239">
        <f>O386+O392</f>
        <v>74.444832339817509</v>
      </c>
    </row>
    <row r="395" spans="1:17" ht="13.8" thickTop="1">
      <c r="A395" s="65"/>
      <c r="B395" s="205"/>
      <c r="C395" s="4"/>
      <c r="D395" s="4"/>
      <c r="E395" s="4"/>
      <c r="F395" s="4"/>
      <c r="G395" s="221"/>
      <c r="H395" s="238"/>
      <c r="I395" s="238"/>
      <c r="J395" s="238"/>
      <c r="K395" s="238"/>
      <c r="L395" s="238"/>
      <c r="M395" s="238"/>
      <c r="N395" s="238"/>
      <c r="O395" s="238"/>
    </row>
    <row r="396" spans="1:17">
      <c r="A396" s="65"/>
      <c r="B396" s="205" t="s">
        <v>184</v>
      </c>
      <c r="C396" s="4"/>
      <c r="D396" s="4"/>
      <c r="E396" s="4"/>
      <c r="F396" s="4"/>
      <c r="G396" s="221"/>
      <c r="H396" s="234"/>
      <c r="I396" s="234"/>
      <c r="J396" s="234"/>
      <c r="K396" s="237"/>
      <c r="L396" s="237"/>
      <c r="M396" s="237"/>
      <c r="N396" s="237"/>
      <c r="O396" s="237"/>
    </row>
    <row r="397" spans="1:17">
      <c r="A397" s="65"/>
      <c r="B397" s="205"/>
      <c r="C397" s="4" t="s">
        <v>183</v>
      </c>
      <c r="D397" s="4"/>
      <c r="E397" s="4"/>
      <c r="F397" s="4"/>
      <c r="G397" s="221"/>
      <c r="H397" s="234"/>
      <c r="I397" s="234"/>
      <c r="J397" s="234"/>
      <c r="K397" s="73">
        <f>K664</f>
        <v>-22.055613821849192</v>
      </c>
      <c r="L397" s="73">
        <f>L664</f>
        <v>-26.909373161034978</v>
      </c>
      <c r="M397" s="73">
        <f>M664</f>
        <v>-30.132043165263951</v>
      </c>
      <c r="N397" s="73">
        <f>N664</f>
        <v>0</v>
      </c>
      <c r="O397" s="73">
        <f>O664</f>
        <v>11.740848070792964</v>
      </c>
    </row>
    <row r="398" spans="1:17">
      <c r="A398" s="65"/>
      <c r="B398" s="205"/>
      <c r="C398" s="4" t="s">
        <v>182</v>
      </c>
      <c r="D398" s="4"/>
      <c r="E398" s="4"/>
      <c r="F398" s="4"/>
      <c r="G398" s="221"/>
      <c r="H398" s="234"/>
      <c r="I398" s="234"/>
      <c r="J398" s="234"/>
      <c r="K398" s="73">
        <f>K587+K599</f>
        <v>-19.77425753703703</v>
      </c>
      <c r="L398" s="73">
        <f>L587+L599</f>
        <v>-37.571089320370362</v>
      </c>
      <c r="M398" s="73">
        <f>M587+M599</f>
        <v>-37.571089320370362</v>
      </c>
      <c r="N398" s="73">
        <f>N587+N599</f>
        <v>-61.300198364814797</v>
      </c>
      <c r="O398" s="73">
        <f>O587+O599</f>
        <v>-90.961584670370343</v>
      </c>
    </row>
    <row r="399" spans="1:17">
      <c r="A399" s="65"/>
      <c r="B399" s="205"/>
      <c r="C399" s="4" t="s">
        <v>181</v>
      </c>
      <c r="D399" s="4"/>
      <c r="E399" s="4"/>
      <c r="F399" s="4"/>
      <c r="G399" s="221"/>
      <c r="H399" s="234"/>
      <c r="I399" s="234"/>
      <c r="J399" s="234"/>
      <c r="K399" s="73">
        <f>K622</f>
        <v>0</v>
      </c>
      <c r="L399" s="73">
        <f>L622</f>
        <v>0</v>
      </c>
      <c r="M399" s="73">
        <f>M622</f>
        <v>0</v>
      </c>
      <c r="N399" s="73">
        <f>N622</f>
        <v>0</v>
      </c>
      <c r="O399" s="73">
        <f>O622</f>
        <v>0</v>
      </c>
    </row>
    <row r="400" spans="1:17">
      <c r="A400" s="65"/>
      <c r="B400" s="205"/>
      <c r="C400" s="4" t="s">
        <v>180</v>
      </c>
      <c r="D400" s="4"/>
      <c r="E400" s="4"/>
      <c r="F400" s="4"/>
      <c r="G400" s="221"/>
      <c r="H400" s="234"/>
      <c r="I400" s="234"/>
      <c r="J400" s="234"/>
      <c r="K400" s="73">
        <f>K631</f>
        <v>0</v>
      </c>
      <c r="L400" s="73">
        <f>L631</f>
        <v>0</v>
      </c>
      <c r="M400" s="73">
        <f>M631</f>
        <v>0</v>
      </c>
      <c r="N400" s="73">
        <f>N631</f>
        <v>0</v>
      </c>
      <c r="O400" s="73">
        <f>O631</f>
        <v>0</v>
      </c>
    </row>
    <row r="401" spans="1:15">
      <c r="A401" s="65"/>
      <c r="B401" s="205"/>
      <c r="C401" s="4" t="s">
        <v>179</v>
      </c>
      <c r="D401" s="4"/>
      <c r="E401" s="4"/>
      <c r="F401" s="4"/>
      <c r="G401" s="236"/>
      <c r="H401" s="233"/>
      <c r="I401" s="233"/>
      <c r="J401" s="233"/>
      <c r="K401" s="73">
        <f>K703</f>
        <v>0</v>
      </c>
      <c r="L401" s="73">
        <f>L703</f>
        <v>0</v>
      </c>
      <c r="M401" s="73">
        <f>M703</f>
        <v>0</v>
      </c>
      <c r="N401" s="73">
        <f>N703</f>
        <v>0</v>
      </c>
      <c r="O401" s="73">
        <f>O703</f>
        <v>0</v>
      </c>
    </row>
    <row r="402" spans="1:15">
      <c r="A402" s="65"/>
      <c r="B402" s="205"/>
      <c r="C402" s="4" t="s">
        <v>178</v>
      </c>
      <c r="D402" s="4"/>
      <c r="E402" s="4"/>
      <c r="F402" s="4"/>
      <c r="G402" s="236"/>
      <c r="H402" s="233"/>
      <c r="I402" s="233"/>
      <c r="J402" s="233"/>
      <c r="K402" s="609">
        <f>-K707</f>
        <v>-8</v>
      </c>
      <c r="L402" s="609">
        <f>-L707</f>
        <v>-8</v>
      </c>
      <c r="M402" s="609">
        <f>-M707</f>
        <v>-8</v>
      </c>
      <c r="N402" s="609">
        <f>-N707</f>
        <v>-8</v>
      </c>
      <c r="O402" s="609">
        <f>-O707</f>
        <v>-8</v>
      </c>
    </row>
    <row r="403" spans="1:15">
      <c r="A403" s="65"/>
      <c r="B403" s="205"/>
      <c r="C403" s="4" t="s">
        <v>177</v>
      </c>
      <c r="D403" s="4"/>
      <c r="E403" s="4"/>
      <c r="F403" s="4"/>
      <c r="G403" s="221"/>
      <c r="H403" s="234"/>
      <c r="I403" s="234"/>
      <c r="J403" s="234"/>
      <c r="K403" s="73">
        <f>K712</f>
        <v>0</v>
      </c>
      <c r="L403" s="73">
        <f>L712</f>
        <v>0</v>
      </c>
      <c r="M403" s="73">
        <f>M712</f>
        <v>0</v>
      </c>
      <c r="N403" s="73">
        <f>N712</f>
        <v>0</v>
      </c>
      <c r="O403" s="73">
        <f>O712</f>
        <v>0</v>
      </c>
    </row>
    <row r="404" spans="1:15">
      <c r="A404" s="65"/>
      <c r="B404" s="205"/>
      <c r="C404" s="4" t="s">
        <v>176</v>
      </c>
      <c r="D404" s="4"/>
      <c r="E404" s="4"/>
      <c r="F404" s="4"/>
      <c r="G404" s="221"/>
      <c r="H404" s="234"/>
      <c r="I404" s="234"/>
      <c r="J404" s="234"/>
      <c r="K404" s="73">
        <f>-K717</f>
        <v>0</v>
      </c>
      <c r="L404" s="73">
        <f>-L717</f>
        <v>0</v>
      </c>
      <c r="M404" s="73">
        <f>-M717</f>
        <v>0</v>
      </c>
      <c r="N404" s="73">
        <f>-N717</f>
        <v>0</v>
      </c>
      <c r="O404" s="73">
        <f>-O717</f>
        <v>0</v>
      </c>
    </row>
    <row r="405" spans="1:15">
      <c r="A405" s="65"/>
      <c r="B405" s="205"/>
      <c r="C405" s="65" t="s">
        <v>175</v>
      </c>
      <c r="D405" s="4"/>
      <c r="E405" s="4"/>
      <c r="F405" s="4"/>
      <c r="G405" s="221"/>
      <c r="H405" s="234"/>
      <c r="I405" s="234"/>
      <c r="J405" s="234"/>
      <c r="K405" s="235">
        <f>SUM(K397:K404)</f>
        <v>-49.829871358886223</v>
      </c>
      <c r="L405" s="235">
        <f>SUM(L397:L404)</f>
        <v>-72.48046248140534</v>
      </c>
      <c r="M405" s="235">
        <f>SUM(M397:M404)</f>
        <v>-75.703132485634313</v>
      </c>
      <c r="N405" s="235">
        <f>SUM(N397:N404)</f>
        <v>-69.300198364814804</v>
      </c>
      <c r="O405" s="235">
        <f>SUM(O397:O404)</f>
        <v>-87.220736599577378</v>
      </c>
    </row>
    <row r="406" spans="1:15">
      <c r="A406" s="65"/>
      <c r="B406" s="205"/>
      <c r="C406" s="4"/>
      <c r="D406" s="4"/>
      <c r="E406" s="4"/>
      <c r="F406" s="4"/>
      <c r="G406" s="221"/>
      <c r="H406" s="234"/>
      <c r="I406" s="234"/>
      <c r="J406" s="234"/>
      <c r="K406" s="233"/>
      <c r="L406" s="233"/>
      <c r="M406" s="233"/>
      <c r="N406" s="233"/>
      <c r="O406" s="233"/>
    </row>
    <row r="407" spans="1:15">
      <c r="A407" s="65"/>
      <c r="B407" s="4"/>
      <c r="C407" s="142"/>
      <c r="D407" s="4"/>
      <c r="E407" s="4"/>
      <c r="F407" s="4"/>
      <c r="G407" s="221"/>
      <c r="H407" s="234"/>
      <c r="I407" s="234"/>
      <c r="J407" s="234"/>
      <c r="K407" s="233"/>
      <c r="L407" s="233"/>
      <c r="M407" s="233"/>
      <c r="N407" s="233"/>
      <c r="O407" s="233"/>
    </row>
    <row r="408" spans="1:15">
      <c r="A408" s="65"/>
      <c r="B408" s="232" t="s">
        <v>174</v>
      </c>
      <c r="C408" s="231"/>
      <c r="D408" s="59"/>
      <c r="E408" s="59"/>
      <c r="F408" s="59"/>
      <c r="G408" s="230"/>
      <c r="H408" s="229"/>
      <c r="I408" s="229"/>
      <c r="J408" s="229"/>
      <c r="K408" s="228">
        <f>K405+K392+K386</f>
        <v>0</v>
      </c>
      <c r="L408" s="228">
        <f>L405+L392+L386</f>
        <v>0</v>
      </c>
      <c r="M408" s="228">
        <f>M405+M392+M386</f>
        <v>2.584425977602649</v>
      </c>
      <c r="N408" s="228">
        <f>N405+N392+N386</f>
        <v>10.19147828215722</v>
      </c>
      <c r="O408" s="227">
        <f>O405+O392+O386</f>
        <v>-12.775904259759869</v>
      </c>
    </row>
    <row r="409" spans="1:15">
      <c r="A409" s="65"/>
      <c r="B409" s="133" t="s">
        <v>173</v>
      </c>
      <c r="C409" s="142"/>
      <c r="D409" s="4"/>
      <c r="E409" s="4"/>
      <c r="F409" s="4"/>
      <c r="G409" s="221"/>
      <c r="H409" s="221"/>
      <c r="I409" s="221"/>
      <c r="J409" s="221"/>
      <c r="K409" s="226">
        <f>J424</f>
        <v>0</v>
      </c>
      <c r="L409" s="226">
        <f>K410</f>
        <v>0</v>
      </c>
      <c r="M409" s="226">
        <f>L410</f>
        <v>0</v>
      </c>
      <c r="N409" s="226">
        <f>M410</f>
        <v>2.584425977602649</v>
      </c>
      <c r="O409" s="225">
        <f>N410</f>
        <v>12.775904259759869</v>
      </c>
    </row>
    <row r="410" spans="1:15">
      <c r="A410" s="65"/>
      <c r="B410" s="224" t="s">
        <v>172</v>
      </c>
      <c r="C410" s="223"/>
      <c r="D410" s="2"/>
      <c r="E410" s="2"/>
      <c r="F410" s="2"/>
      <c r="G410" s="222"/>
      <c r="H410" s="149"/>
      <c r="I410" s="149"/>
      <c r="J410" s="149"/>
      <c r="K410" s="77">
        <f>K409+K408</f>
        <v>0</v>
      </c>
      <c r="L410" s="77">
        <f>L409+L408</f>
        <v>0</v>
      </c>
      <c r="M410" s="77">
        <f>M409+M408</f>
        <v>2.584425977602649</v>
      </c>
      <c r="N410" s="77">
        <f>N409+N408</f>
        <v>12.775904259759869</v>
      </c>
      <c r="O410" s="200">
        <f>O409+O408</f>
        <v>0</v>
      </c>
    </row>
    <row r="411" spans="1:15">
      <c r="A411" s="65"/>
      <c r="B411" s="30"/>
      <c r="C411" s="142"/>
      <c r="D411" s="4"/>
      <c r="E411" s="4"/>
      <c r="F411" s="4"/>
      <c r="G411" s="221"/>
      <c r="H411" s="195"/>
      <c r="I411" s="195"/>
      <c r="J411" s="195"/>
      <c r="K411" s="195"/>
      <c r="L411" s="195"/>
      <c r="M411" s="195"/>
      <c r="N411" s="195"/>
      <c r="O411" s="195"/>
    </row>
    <row r="412" spans="1:15">
      <c r="A412" s="4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</row>
    <row r="413" spans="1:15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</row>
    <row r="414" spans="1:15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</row>
    <row r="415" spans="1:15" ht="12.75" customHeight="1">
      <c r="A415" s="4"/>
      <c r="B415" s="35"/>
      <c r="C415" s="20"/>
      <c r="D415" s="20"/>
      <c r="E415" s="20"/>
      <c r="F415" s="20"/>
      <c r="G415" s="20"/>
      <c r="H415" s="20"/>
      <c r="I415" s="20"/>
      <c r="J415" s="20"/>
      <c r="K415" s="20"/>
      <c r="L415" s="20"/>
      <c r="M415" s="20"/>
      <c r="N415" s="20"/>
      <c r="O415" s="36" t="str">
        <f>$O$235</f>
        <v>CURRENTLY RUNNING: BASE CASE SCENARIO</v>
      </c>
    </row>
    <row r="416" spans="1:15" ht="22.8" customHeight="1">
      <c r="A416" s="4"/>
      <c r="B416" s="35" t="str">
        <f>$B$3</f>
        <v>Lingoren Corp.</v>
      </c>
      <c r="C416" s="20"/>
      <c r="D416" s="20"/>
      <c r="E416" s="20"/>
      <c r="F416" s="20"/>
      <c r="G416" s="20"/>
      <c r="H416" s="20"/>
      <c r="I416" s="20"/>
      <c r="J416" s="20"/>
      <c r="K416" s="20"/>
      <c r="L416" s="20"/>
      <c r="M416" s="20"/>
      <c r="N416" s="20"/>
      <c r="O416" s="20"/>
    </row>
    <row r="417" spans="1:15" ht="18.75" customHeight="1">
      <c r="A417" s="4"/>
      <c r="B417" s="34" t="s">
        <v>171</v>
      </c>
      <c r="C417" s="20"/>
      <c r="D417" s="20"/>
      <c r="E417" s="20"/>
      <c r="F417" s="20"/>
      <c r="G417" s="20"/>
      <c r="H417" s="20"/>
      <c r="I417" s="20"/>
      <c r="J417" s="20"/>
      <c r="K417" s="20"/>
      <c r="L417" s="20"/>
      <c r="M417" s="20"/>
      <c r="N417" s="20"/>
      <c r="O417" s="20"/>
    </row>
    <row r="418" spans="1:15" ht="6" customHeight="1" thickBot="1">
      <c r="A418" s="4"/>
      <c r="B418" s="220"/>
      <c r="C418" s="32"/>
      <c r="D418" s="32"/>
      <c r="E418" s="32"/>
      <c r="F418" s="32"/>
      <c r="G418" s="32"/>
      <c r="H418" s="32"/>
      <c r="I418" s="32"/>
      <c r="J418" s="32"/>
      <c r="K418" s="32"/>
      <c r="L418" s="32"/>
      <c r="M418" s="32"/>
      <c r="N418" s="32"/>
      <c r="O418" s="32"/>
    </row>
    <row r="419" spans="1:15" ht="12.75" customHeight="1">
      <c r="A419" s="4"/>
      <c r="B419" s="31" t="s">
        <v>25</v>
      </c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30"/>
    </row>
    <row r="420" spans="1:15" ht="13.8">
      <c r="A420" s="4"/>
      <c r="B420" s="4"/>
      <c r="C420" s="4"/>
      <c r="D420" s="4"/>
      <c r="E420" s="4"/>
      <c r="F420" s="4"/>
      <c r="G420" s="4"/>
      <c r="H420" s="219" t="s">
        <v>170</v>
      </c>
      <c r="I420" s="59"/>
      <c r="J420" s="218" t="s">
        <v>169</v>
      </c>
      <c r="K420" s="14" t="s">
        <v>24</v>
      </c>
      <c r="L420" s="13"/>
      <c r="M420" s="13"/>
      <c r="N420" s="13"/>
      <c r="O420" s="13"/>
    </row>
    <row r="421" spans="1:15">
      <c r="A421" s="4"/>
      <c r="B421" s="214"/>
      <c r="C421" s="4"/>
      <c r="D421" s="4"/>
      <c r="E421" s="4"/>
      <c r="F421" s="10"/>
      <c r="G421" s="4"/>
      <c r="H421" s="217" t="s">
        <v>168</v>
      </c>
      <c r="I421" s="216" t="s">
        <v>167</v>
      </c>
      <c r="J421" s="215" t="s">
        <v>166</v>
      </c>
      <c r="K421" s="10">
        <f>K$241</f>
        <v>2019</v>
      </c>
      <c r="L421" s="10">
        <f>L$241</f>
        <v>2020</v>
      </c>
      <c r="M421" s="10">
        <f>M$241</f>
        <v>2021</v>
      </c>
      <c r="N421" s="10">
        <f>N$241</f>
        <v>2022</v>
      </c>
      <c r="O421" s="10">
        <f>O$241</f>
        <v>2023</v>
      </c>
    </row>
    <row r="422" spans="1:15">
      <c r="A422" s="4"/>
      <c r="B422" s="214"/>
      <c r="C422" s="4"/>
      <c r="D422" s="4"/>
      <c r="E422" s="4"/>
      <c r="F422" s="4"/>
      <c r="G422" s="4"/>
      <c r="H422" s="213"/>
      <c r="I422" s="10"/>
      <c r="J422" s="212"/>
      <c r="K422" s="10"/>
      <c r="L422" s="10"/>
      <c r="M422" s="10"/>
      <c r="N422" s="10"/>
      <c r="O422" s="10"/>
    </row>
    <row r="423" spans="1:15">
      <c r="A423" s="4"/>
      <c r="B423" s="65" t="s">
        <v>165</v>
      </c>
      <c r="C423" s="4"/>
      <c r="D423" s="4"/>
      <c r="E423" s="4"/>
      <c r="F423" s="4"/>
      <c r="G423" s="4"/>
      <c r="H423" s="133"/>
      <c r="I423" s="4"/>
      <c r="J423" s="55"/>
      <c r="K423" s="4"/>
      <c r="L423" s="4"/>
      <c r="M423" s="4"/>
      <c r="N423" s="4"/>
      <c r="O423" s="4"/>
    </row>
    <row r="424" spans="1:15">
      <c r="A424" s="4"/>
      <c r="B424" s="4"/>
      <c r="C424" s="4" t="s">
        <v>43</v>
      </c>
      <c r="D424" s="4"/>
      <c r="E424" s="4"/>
      <c r="F424" s="69"/>
      <c r="G424" s="4"/>
      <c r="H424" s="204">
        <v>5</v>
      </c>
      <c r="I424" s="203">
        <f>-F20</f>
        <v>-5</v>
      </c>
      <c r="J424" s="202">
        <f>SUM(H424:I424)</f>
        <v>0</v>
      </c>
      <c r="K424" s="73">
        <f>K410</f>
        <v>0</v>
      </c>
      <c r="L424" s="73">
        <f>L410</f>
        <v>0</v>
      </c>
      <c r="M424" s="73">
        <f>M410</f>
        <v>2.584425977602649</v>
      </c>
      <c r="N424" s="73">
        <f>N410</f>
        <v>12.775904259759869</v>
      </c>
      <c r="O424" s="73">
        <f>O410</f>
        <v>0</v>
      </c>
    </row>
    <row r="425" spans="1:15">
      <c r="A425" s="4"/>
      <c r="B425" s="4"/>
      <c r="C425" s="4" t="s">
        <v>104</v>
      </c>
      <c r="D425" s="4"/>
      <c r="E425" s="4"/>
      <c r="F425" s="69"/>
      <c r="G425" s="4"/>
      <c r="H425" s="204">
        <v>92.2</v>
      </c>
      <c r="I425" s="203"/>
      <c r="J425" s="202">
        <f>SUM(H425:I425)</f>
        <v>92.2</v>
      </c>
      <c r="K425" s="73">
        <f t="shared" ref="K425:O426" si="39">K552</f>
        <v>90.782405786301382</v>
      </c>
      <c r="L425" s="73">
        <f t="shared" si="39"/>
        <v>89.785170885245904</v>
      </c>
      <c r="M425" s="73">
        <f t="shared" si="39"/>
        <v>95.261149449468491</v>
      </c>
      <c r="N425" s="73">
        <f t="shared" si="39"/>
        <v>100.7239127099336</v>
      </c>
      <c r="O425" s="73">
        <f t="shared" si="39"/>
        <v>105.56694246575341</v>
      </c>
    </row>
    <row r="426" spans="1:15">
      <c r="A426" s="4"/>
      <c r="B426" s="4"/>
      <c r="C426" s="4" t="s">
        <v>164</v>
      </c>
      <c r="D426" s="4"/>
      <c r="E426" s="4"/>
      <c r="F426" s="69"/>
      <c r="G426" s="4"/>
      <c r="H426" s="204">
        <v>88.2</v>
      </c>
      <c r="I426" s="203"/>
      <c r="J426" s="202">
        <f>SUM(H426:I426)</f>
        <v>88.2</v>
      </c>
      <c r="K426" s="73">
        <f t="shared" si="39"/>
        <v>94.356534550989366</v>
      </c>
      <c r="L426" s="73">
        <f t="shared" si="39"/>
        <v>94.357027281311474</v>
      </c>
      <c r="M426" s="73">
        <f t="shared" si="39"/>
        <v>95.588203290047744</v>
      </c>
      <c r="N426" s="73">
        <f t="shared" si="39"/>
        <v>99.99661543539473</v>
      </c>
      <c r="O426" s="73">
        <f t="shared" si="39"/>
        <v>102.67088394382995</v>
      </c>
    </row>
    <row r="427" spans="1:15">
      <c r="A427" s="4"/>
      <c r="B427" s="4"/>
      <c r="C427" s="30" t="s">
        <v>157</v>
      </c>
      <c r="D427" s="4"/>
      <c r="E427" s="4"/>
      <c r="F427" s="69"/>
      <c r="G427" s="4"/>
      <c r="H427" s="201">
        <v>1.4</v>
      </c>
      <c r="I427" s="77"/>
      <c r="J427" s="200">
        <f>SUM(H427:I427)</f>
        <v>1.4</v>
      </c>
      <c r="K427" s="77">
        <f>J427</f>
        <v>1.4</v>
      </c>
      <c r="L427" s="77">
        <f>K427</f>
        <v>1.4</v>
      </c>
      <c r="M427" s="77">
        <f>L427</f>
        <v>1.4</v>
      </c>
      <c r="N427" s="77">
        <f>M427</f>
        <v>1.4</v>
      </c>
      <c r="O427" s="77">
        <f>N427</f>
        <v>1.4</v>
      </c>
    </row>
    <row r="428" spans="1:15">
      <c r="A428" s="4"/>
      <c r="B428" s="4"/>
      <c r="C428" s="142" t="s">
        <v>163</v>
      </c>
      <c r="D428" s="4"/>
      <c r="E428" s="4"/>
      <c r="F428" s="91"/>
      <c r="G428" s="4"/>
      <c r="H428" s="206">
        <f t="shared" ref="H428:O428" si="40">SUM(H424:H427)</f>
        <v>186.8</v>
      </c>
      <c r="I428" s="203">
        <f t="shared" si="40"/>
        <v>-5</v>
      </c>
      <c r="J428" s="202">
        <f t="shared" si="40"/>
        <v>181.8</v>
      </c>
      <c r="K428" s="73">
        <f t="shared" si="40"/>
        <v>186.53894033729077</v>
      </c>
      <c r="L428" s="73">
        <f t="shared" si="40"/>
        <v>185.54219816655737</v>
      </c>
      <c r="M428" s="73">
        <f t="shared" si="40"/>
        <v>194.83377871711889</v>
      </c>
      <c r="N428" s="73">
        <f t="shared" si="40"/>
        <v>214.89643240508821</v>
      </c>
      <c r="O428" s="73">
        <f t="shared" si="40"/>
        <v>209.63782640958337</v>
      </c>
    </row>
    <row r="429" spans="1:15">
      <c r="A429" s="4"/>
      <c r="B429" s="4"/>
      <c r="C429" s="4"/>
      <c r="D429" s="4"/>
      <c r="E429" s="4"/>
      <c r="F429" s="195"/>
      <c r="G429" s="4"/>
      <c r="H429" s="211"/>
      <c r="I429" s="210"/>
      <c r="J429" s="209"/>
      <c r="K429" s="208"/>
      <c r="L429" s="208"/>
      <c r="M429" s="208"/>
      <c r="N429" s="208"/>
      <c r="O429" s="208"/>
    </row>
    <row r="430" spans="1:15">
      <c r="A430" s="4"/>
      <c r="B430" s="4"/>
      <c r="C430" s="4" t="s">
        <v>162</v>
      </c>
      <c r="D430" s="4"/>
      <c r="E430" s="4"/>
      <c r="F430" s="69"/>
      <c r="G430" s="4"/>
      <c r="H430" s="204">
        <v>1187.2</v>
      </c>
      <c r="I430" s="203">
        <f>P45</f>
        <v>25</v>
      </c>
      <c r="J430" s="202">
        <f>SUM(H430:I430)</f>
        <v>1212.2</v>
      </c>
      <c r="K430" s="73">
        <f>J430-K390-K382</f>
        <v>1200.5900000000001</v>
      </c>
      <c r="L430" s="73">
        <f>K430-L390-L382</f>
        <v>1191.8800000000001</v>
      </c>
      <c r="M430" s="73">
        <f>L430-M390-M382</f>
        <v>1182.048</v>
      </c>
      <c r="N430" s="73">
        <f>M430-N390-N382</f>
        <v>1171.34645</v>
      </c>
      <c r="O430" s="73">
        <f>N430-O390-O382</f>
        <v>1189.15361125</v>
      </c>
    </row>
    <row r="431" spans="1:15">
      <c r="A431" s="4"/>
      <c r="B431" s="4"/>
      <c r="C431" s="4" t="s">
        <v>161</v>
      </c>
      <c r="D431" s="4"/>
      <c r="E431" s="4"/>
      <c r="F431" s="69"/>
      <c r="G431" s="4"/>
      <c r="H431" s="204">
        <v>11</v>
      </c>
      <c r="I431" s="608">
        <f>-H431+P46</f>
        <v>191.04654266666626</v>
      </c>
      <c r="J431" s="202">
        <f>SUM(H431:I431)</f>
        <v>202.04654266666626</v>
      </c>
      <c r="K431" s="73">
        <f t="shared" ref="K431:O432" si="41">J431</f>
        <v>202.04654266666626</v>
      </c>
      <c r="L431" s="73">
        <f t="shared" si="41"/>
        <v>202.04654266666626</v>
      </c>
      <c r="M431" s="73">
        <f t="shared" si="41"/>
        <v>202.04654266666626</v>
      </c>
      <c r="N431" s="73">
        <f t="shared" si="41"/>
        <v>202.04654266666626</v>
      </c>
      <c r="O431" s="73">
        <f t="shared" si="41"/>
        <v>202.04654266666626</v>
      </c>
    </row>
    <row r="432" spans="1:15">
      <c r="A432" s="4"/>
      <c r="B432" s="4"/>
      <c r="C432" s="30" t="s">
        <v>157</v>
      </c>
      <c r="D432" s="4"/>
      <c r="E432" s="4"/>
      <c r="F432" s="69"/>
      <c r="G432" s="4"/>
      <c r="H432" s="204">
        <v>0</v>
      </c>
      <c r="I432" s="203"/>
      <c r="J432" s="202">
        <f>SUM(H432:I432)</f>
        <v>0</v>
      </c>
      <c r="K432" s="73">
        <f t="shared" si="41"/>
        <v>0</v>
      </c>
      <c r="L432" s="73">
        <f t="shared" si="41"/>
        <v>0</v>
      </c>
      <c r="M432" s="73">
        <f t="shared" si="41"/>
        <v>0</v>
      </c>
      <c r="N432" s="73">
        <f t="shared" si="41"/>
        <v>0</v>
      </c>
      <c r="O432" s="73">
        <f t="shared" si="41"/>
        <v>0</v>
      </c>
    </row>
    <row r="433" spans="1:15" ht="13.8" thickBot="1">
      <c r="A433" s="4"/>
      <c r="B433" s="4"/>
      <c r="C433" s="65" t="s">
        <v>160</v>
      </c>
      <c r="D433" s="4"/>
      <c r="E433" s="4"/>
      <c r="F433" s="91"/>
      <c r="G433" s="4"/>
      <c r="H433" s="190">
        <f t="shared" ref="H433:O433" si="42">SUM(H428:H432)</f>
        <v>1385</v>
      </c>
      <c r="I433" s="188">
        <f t="shared" si="42"/>
        <v>211.04654266666626</v>
      </c>
      <c r="J433" s="189">
        <f t="shared" si="42"/>
        <v>1596.0465426666663</v>
      </c>
      <c r="K433" s="188">
        <f t="shared" si="42"/>
        <v>1589.1754830039572</v>
      </c>
      <c r="L433" s="188">
        <f t="shared" si="42"/>
        <v>1579.4687408332238</v>
      </c>
      <c r="M433" s="188">
        <f t="shared" si="42"/>
        <v>1578.928321383785</v>
      </c>
      <c r="N433" s="188">
        <f t="shared" si="42"/>
        <v>1588.2894250717545</v>
      </c>
      <c r="O433" s="188">
        <f t="shared" si="42"/>
        <v>1600.8379803262496</v>
      </c>
    </row>
    <row r="434" spans="1:15" ht="13.8" thickTop="1">
      <c r="A434" s="4"/>
      <c r="B434" s="4"/>
      <c r="C434" s="4"/>
      <c r="D434" s="4"/>
      <c r="E434" s="4"/>
      <c r="F434" s="195"/>
      <c r="G434" s="4"/>
      <c r="H434" s="194"/>
      <c r="I434" s="193"/>
      <c r="J434" s="192"/>
      <c r="K434" s="191"/>
      <c r="L434" s="191"/>
      <c r="M434" s="191"/>
      <c r="N434" s="191"/>
      <c r="O434" s="191"/>
    </row>
    <row r="435" spans="1:15">
      <c r="A435" s="4"/>
      <c r="B435" s="4"/>
      <c r="C435" s="4"/>
      <c r="D435" s="4"/>
      <c r="E435" s="4"/>
      <c r="F435" s="195"/>
      <c r="G435" s="4"/>
      <c r="H435" s="194"/>
      <c r="I435" s="193"/>
      <c r="J435" s="192"/>
      <c r="K435" s="191"/>
      <c r="L435" s="191"/>
      <c r="M435" s="191"/>
      <c r="N435" s="191"/>
      <c r="O435" s="191"/>
    </row>
    <row r="436" spans="1:15">
      <c r="A436" s="4"/>
      <c r="B436" s="142" t="s">
        <v>159</v>
      </c>
      <c r="C436" s="4"/>
      <c r="D436" s="4"/>
      <c r="E436" s="4"/>
      <c r="F436" s="195"/>
      <c r="G436" s="4"/>
      <c r="H436" s="194"/>
      <c r="I436" s="193"/>
      <c r="J436" s="192"/>
      <c r="K436" s="191"/>
      <c r="L436" s="191"/>
      <c r="M436" s="191"/>
      <c r="N436" s="191"/>
      <c r="O436" s="191"/>
    </row>
    <row r="437" spans="1:15">
      <c r="A437" s="4"/>
      <c r="B437" s="4"/>
      <c r="C437" s="30" t="s">
        <v>158</v>
      </c>
      <c r="D437" s="4"/>
      <c r="E437" s="4"/>
      <c r="F437" s="69"/>
      <c r="G437" s="4"/>
      <c r="H437" s="204">
        <v>0</v>
      </c>
      <c r="I437" s="203">
        <f>-H437+F21</f>
        <v>79.097030148148121</v>
      </c>
      <c r="J437" s="202">
        <f>SUM(H437:I437)</f>
        <v>79.097030148148121</v>
      </c>
      <c r="K437" s="73">
        <f>K665</f>
        <v>57.041416326298929</v>
      </c>
      <c r="L437" s="73">
        <f>L665</f>
        <v>30.132043165263951</v>
      </c>
      <c r="M437" s="73">
        <f>M665</f>
        <v>0</v>
      </c>
      <c r="N437" s="73">
        <f>N665</f>
        <v>0</v>
      </c>
      <c r="O437" s="73">
        <f>O665</f>
        <v>11.740848070792964</v>
      </c>
    </row>
    <row r="438" spans="1:15">
      <c r="A438" s="4"/>
      <c r="B438" s="4"/>
      <c r="C438" s="30" t="s">
        <v>102</v>
      </c>
      <c r="D438" s="4"/>
      <c r="E438" s="4"/>
      <c r="F438" s="69"/>
      <c r="G438" s="4"/>
      <c r="H438" s="204">
        <v>60.2</v>
      </c>
      <c r="I438" s="203"/>
      <c r="J438" s="202">
        <f>SUM(H438:I438)</f>
        <v>60.2</v>
      </c>
      <c r="K438" s="203">
        <f>K554</f>
        <v>63.690660821917824</v>
      </c>
      <c r="L438" s="203">
        <f>L554</f>
        <v>69.526230628334773</v>
      </c>
      <c r="M438" s="203">
        <f>M554</f>
        <v>74.920483659767157</v>
      </c>
      <c r="N438" s="203">
        <f>N554</f>
        <v>78.375725611525596</v>
      </c>
      <c r="O438" s="203">
        <f>O554</f>
        <v>80.47177390192077</v>
      </c>
    </row>
    <row r="439" spans="1:15">
      <c r="A439" s="4"/>
      <c r="B439" s="4"/>
      <c r="C439" s="30" t="s">
        <v>157</v>
      </c>
      <c r="D439" s="4"/>
      <c r="E439" s="4"/>
      <c r="F439" s="69"/>
      <c r="G439" s="4"/>
      <c r="H439" s="201">
        <v>27.5</v>
      </c>
      <c r="I439" s="77"/>
      <c r="J439" s="200">
        <f>SUM(H439:I439)</f>
        <v>27.5</v>
      </c>
      <c r="K439" s="77">
        <f>J439</f>
        <v>27.5</v>
      </c>
      <c r="L439" s="77">
        <f>K439</f>
        <v>27.5</v>
      </c>
      <c r="M439" s="77">
        <f>L439</f>
        <v>27.5</v>
      </c>
      <c r="N439" s="77">
        <f>M439</f>
        <v>27.5</v>
      </c>
      <c r="O439" s="77">
        <f>N439</f>
        <v>27.5</v>
      </c>
    </row>
    <row r="440" spans="1:15">
      <c r="A440" s="4"/>
      <c r="B440" s="4"/>
      <c r="C440" s="142" t="s">
        <v>156</v>
      </c>
      <c r="D440" s="4"/>
      <c r="E440" s="4"/>
      <c r="F440" s="91"/>
      <c r="G440" s="4"/>
      <c r="H440" s="206">
        <f t="shared" ref="H440:O440" si="43">SUM(H437:H439)</f>
        <v>87.7</v>
      </c>
      <c r="I440" s="203">
        <f t="shared" si="43"/>
        <v>79.097030148148121</v>
      </c>
      <c r="J440" s="202">
        <f t="shared" si="43"/>
        <v>166.79703014814811</v>
      </c>
      <c r="K440" s="203">
        <f t="shared" si="43"/>
        <v>148.23207714821675</v>
      </c>
      <c r="L440" s="203">
        <f t="shared" si="43"/>
        <v>127.15827379359872</v>
      </c>
      <c r="M440" s="203">
        <f t="shared" si="43"/>
        <v>102.42048365976716</v>
      </c>
      <c r="N440" s="203">
        <f t="shared" si="43"/>
        <v>105.8757256115256</v>
      </c>
      <c r="O440" s="203">
        <f t="shared" si="43"/>
        <v>119.71262197271373</v>
      </c>
    </row>
    <row r="441" spans="1:15">
      <c r="A441" s="4"/>
      <c r="B441" s="4"/>
      <c r="C441" s="4"/>
      <c r="D441" s="4"/>
      <c r="E441" s="4"/>
      <c r="F441" s="195"/>
      <c r="G441" s="4"/>
      <c r="H441" s="194"/>
      <c r="I441" s="193"/>
      <c r="J441" s="192"/>
      <c r="K441" s="191"/>
      <c r="L441" s="191"/>
      <c r="M441" s="73"/>
      <c r="N441" s="191"/>
      <c r="O441" s="191"/>
    </row>
    <row r="442" spans="1:15">
      <c r="A442" s="4"/>
      <c r="B442" s="4"/>
      <c r="C442" s="4" t="s">
        <v>155</v>
      </c>
      <c r="D442" s="4"/>
      <c r="E442" s="4"/>
      <c r="F442" s="69"/>
      <c r="G442" s="4"/>
      <c r="H442" s="204">
        <v>84.600000000000009</v>
      </c>
      <c r="I442" s="203"/>
      <c r="J442" s="202">
        <f>SUM(H442:I442)</f>
        <v>84.600000000000009</v>
      </c>
      <c r="K442" s="73">
        <f>J442+K517</f>
        <v>95.507036948046277</v>
      </c>
      <c r="L442" s="73">
        <f>K442+L517</f>
        <v>112.4064875005574</v>
      </c>
      <c r="M442" s="73">
        <f>L442+M517</f>
        <v>118.86931374999999</v>
      </c>
      <c r="N442" s="73">
        <f>M442+N517</f>
        <v>121.98220981249999</v>
      </c>
      <c r="O442" s="73">
        <f>N442+O517</f>
        <v>123.86647816874998</v>
      </c>
    </row>
    <row r="443" spans="1:15">
      <c r="A443" s="4"/>
      <c r="B443" s="4"/>
      <c r="C443" s="30" t="s">
        <v>95</v>
      </c>
      <c r="D443" s="4"/>
      <c r="E443" s="4"/>
      <c r="F443" s="69"/>
      <c r="G443" s="4"/>
      <c r="H443" s="204">
        <v>380</v>
      </c>
      <c r="I443" s="608">
        <f>-H443+F22</f>
        <v>-142.70890955555564</v>
      </c>
      <c r="J443" s="202">
        <f>SUM(H443:I443)</f>
        <v>237.29109044444436</v>
      </c>
      <c r="K443" s="203">
        <f>K588</f>
        <v>219.49425866111105</v>
      </c>
      <c r="L443" s="203">
        <f>L588</f>
        <v>183.90059509444438</v>
      </c>
      <c r="M443" s="203">
        <f>M588</f>
        <v>148.30693152777772</v>
      </c>
      <c r="N443" s="203">
        <f>N588</f>
        <v>88.98415891666663</v>
      </c>
      <c r="O443" s="203">
        <f>O588</f>
        <v>0</v>
      </c>
    </row>
    <row r="444" spans="1:15">
      <c r="A444" s="4"/>
      <c r="B444" s="4"/>
      <c r="C444" s="30" t="s">
        <v>94</v>
      </c>
      <c r="D444" s="4"/>
      <c r="E444" s="4"/>
      <c r="F444" s="69"/>
      <c r="G444" s="4"/>
      <c r="H444" s="204">
        <v>0</v>
      </c>
      <c r="I444" s="203">
        <f>-H444+F23</f>
        <v>197.7425753703703</v>
      </c>
      <c r="J444" s="202">
        <f>SUM(H444:I444)</f>
        <v>197.7425753703703</v>
      </c>
      <c r="K444" s="203">
        <f>K600</f>
        <v>195.7651496166666</v>
      </c>
      <c r="L444" s="203">
        <f>L600</f>
        <v>193.78772386296291</v>
      </c>
      <c r="M444" s="203">
        <f>M600</f>
        <v>191.81029810925921</v>
      </c>
      <c r="N444" s="203">
        <f>N600</f>
        <v>189.83287235555551</v>
      </c>
      <c r="O444" s="203">
        <f>O600</f>
        <v>187.85544660185181</v>
      </c>
    </row>
    <row r="445" spans="1:15">
      <c r="A445" s="4"/>
      <c r="B445" s="4"/>
      <c r="C445" s="30" t="s">
        <v>154</v>
      </c>
      <c r="D445" s="4"/>
      <c r="E445" s="4"/>
      <c r="F445" s="69"/>
      <c r="G445" s="4"/>
      <c r="H445" s="204">
        <v>0</v>
      </c>
      <c r="I445" s="203">
        <f>-H445+F24</f>
        <v>237.29109044444436</v>
      </c>
      <c r="J445" s="202">
        <f>SUM(H445:I445)</f>
        <v>237.29109044444436</v>
      </c>
      <c r="K445" s="203">
        <f>K623</f>
        <v>237.29109044444436</v>
      </c>
      <c r="L445" s="203">
        <f>L623</f>
        <v>237.29109044444436</v>
      </c>
      <c r="M445" s="203">
        <f>M623</f>
        <v>237.29109044444436</v>
      </c>
      <c r="N445" s="203">
        <f>N623</f>
        <v>237.29109044444436</v>
      </c>
      <c r="O445" s="203">
        <f>O623</f>
        <v>237.29109044444436</v>
      </c>
    </row>
    <row r="446" spans="1:15">
      <c r="A446" s="4"/>
      <c r="B446" s="4"/>
      <c r="C446" s="30" t="s">
        <v>40</v>
      </c>
      <c r="D446" s="4"/>
      <c r="E446" s="4"/>
      <c r="F446" s="69"/>
      <c r="G446" s="4"/>
      <c r="H446" s="201">
        <v>0</v>
      </c>
      <c r="I446" s="77">
        <f>-H446+F25</f>
        <v>197.7425753703703</v>
      </c>
      <c r="J446" s="200">
        <f>SUM(H446:I446)</f>
        <v>197.7425753703703</v>
      </c>
      <c r="K446" s="207">
        <f>K633</f>
        <v>206.04776353592587</v>
      </c>
      <c r="L446" s="77">
        <f>L633</f>
        <v>214.70176960443476</v>
      </c>
      <c r="M446" s="77">
        <f>M633</f>
        <v>223.71924392782103</v>
      </c>
      <c r="N446" s="77">
        <f>N633</f>
        <v>223.71924392782103</v>
      </c>
      <c r="O446" s="77">
        <f>O633</f>
        <v>223.71924392782103</v>
      </c>
    </row>
    <row r="447" spans="1:15">
      <c r="A447" s="4"/>
      <c r="B447" s="4"/>
      <c r="C447" s="205" t="s">
        <v>153</v>
      </c>
      <c r="D447" s="4"/>
      <c r="E447" s="4"/>
      <c r="F447" s="91"/>
      <c r="G447" s="4"/>
      <c r="H447" s="206">
        <f t="shared" ref="H447:O447" si="44">SUM(H442:H446)</f>
        <v>464.6</v>
      </c>
      <c r="I447" s="203">
        <f t="shared" si="44"/>
        <v>490.06733162962939</v>
      </c>
      <c r="J447" s="202">
        <f t="shared" si="44"/>
        <v>954.66733162962942</v>
      </c>
      <c r="K447" s="73">
        <f t="shared" si="44"/>
        <v>954.1052992061941</v>
      </c>
      <c r="L447" s="73">
        <f t="shared" si="44"/>
        <v>942.08766650684379</v>
      </c>
      <c r="M447" s="73">
        <f t="shared" si="44"/>
        <v>919.99687775930238</v>
      </c>
      <c r="N447" s="73">
        <f t="shared" si="44"/>
        <v>861.80957545698743</v>
      </c>
      <c r="O447" s="73">
        <f t="shared" si="44"/>
        <v>772.73225914286718</v>
      </c>
    </row>
    <row r="448" spans="1:15">
      <c r="A448" s="4"/>
      <c r="B448" s="4"/>
      <c r="C448" s="142"/>
      <c r="D448" s="4"/>
      <c r="E448" s="4"/>
      <c r="F448" s="195"/>
      <c r="G448" s="4"/>
      <c r="H448" s="194"/>
      <c r="I448" s="193"/>
      <c r="J448" s="192"/>
      <c r="K448" s="191"/>
      <c r="L448" s="191"/>
      <c r="M448" s="191"/>
      <c r="N448" s="191"/>
      <c r="O448" s="191"/>
    </row>
    <row r="449" spans="1:15">
      <c r="A449" s="4"/>
      <c r="B449" s="4"/>
      <c r="C449" s="205" t="s">
        <v>152</v>
      </c>
      <c r="D449" s="4"/>
      <c r="E449" s="4"/>
      <c r="F449" s="91"/>
      <c r="G449" s="4"/>
      <c r="H449" s="199">
        <f t="shared" ref="H449:O449" si="45">H447+H440</f>
        <v>552.30000000000007</v>
      </c>
      <c r="I449" s="198">
        <f t="shared" si="45"/>
        <v>569.16436177777746</v>
      </c>
      <c r="J449" s="197">
        <f t="shared" si="45"/>
        <v>1121.4643617777774</v>
      </c>
      <c r="K449" s="198">
        <f t="shared" si="45"/>
        <v>1102.3373763544109</v>
      </c>
      <c r="L449" s="198">
        <f t="shared" si="45"/>
        <v>1069.2459403004425</v>
      </c>
      <c r="M449" s="198">
        <f t="shared" si="45"/>
        <v>1022.4173614190695</v>
      </c>
      <c r="N449" s="198">
        <f t="shared" si="45"/>
        <v>967.68530106851301</v>
      </c>
      <c r="O449" s="198">
        <f t="shared" si="45"/>
        <v>892.44488111558087</v>
      </c>
    </row>
    <row r="450" spans="1:15">
      <c r="A450" s="4"/>
      <c r="B450" s="4"/>
      <c r="C450" s="4"/>
      <c r="D450" s="4"/>
      <c r="E450" s="4"/>
      <c r="F450" s="195"/>
      <c r="G450" s="4"/>
      <c r="H450" s="194"/>
      <c r="I450" s="193"/>
      <c r="J450" s="192"/>
      <c r="K450" s="191"/>
      <c r="L450" s="191"/>
      <c r="M450" s="191"/>
      <c r="N450" s="191"/>
      <c r="O450" s="191"/>
    </row>
    <row r="451" spans="1:15">
      <c r="A451" s="4"/>
      <c r="B451" s="4"/>
      <c r="C451" s="4" t="s">
        <v>59</v>
      </c>
      <c r="D451" s="4"/>
      <c r="E451" s="4"/>
      <c r="F451" s="69"/>
      <c r="G451" s="4"/>
      <c r="H451" s="204">
        <v>0</v>
      </c>
      <c r="I451" s="203">
        <f>-H451+F29</f>
        <v>100</v>
      </c>
      <c r="J451" s="202">
        <f>SUM(H451:I451)</f>
        <v>100</v>
      </c>
      <c r="K451" s="73">
        <f>K704</f>
        <v>100</v>
      </c>
      <c r="L451" s="73">
        <f>L704</f>
        <v>100</v>
      </c>
      <c r="M451" s="73">
        <f>M704</f>
        <v>100</v>
      </c>
      <c r="N451" s="73">
        <f>N704</f>
        <v>100</v>
      </c>
      <c r="O451" s="73">
        <f>O704</f>
        <v>100</v>
      </c>
    </row>
    <row r="452" spans="1:15">
      <c r="A452" s="4"/>
      <c r="B452" s="4"/>
      <c r="C452" s="4" t="s">
        <v>56</v>
      </c>
      <c r="D452" s="4"/>
      <c r="E452" s="4"/>
      <c r="F452" s="69"/>
      <c r="G452" s="4"/>
      <c r="H452" s="204">
        <v>396.8</v>
      </c>
      <c r="I452" s="608">
        <f>-H452+SUM(F30:F31)</f>
        <v>1.624248332925788</v>
      </c>
      <c r="J452" s="202">
        <f>SUM(H452:I452)</f>
        <v>398.4242483329258</v>
      </c>
      <c r="K452" s="73">
        <f>K713</f>
        <v>398.4242483329258</v>
      </c>
      <c r="L452" s="73">
        <f>L713</f>
        <v>398.4242483329258</v>
      </c>
      <c r="M452" s="73">
        <f>M713</f>
        <v>398.4242483329258</v>
      </c>
      <c r="N452" s="73">
        <f>N713</f>
        <v>398.4242483329258</v>
      </c>
      <c r="O452" s="73">
        <f>O713</f>
        <v>398.4242483329258</v>
      </c>
    </row>
    <row r="453" spans="1:15">
      <c r="A453" s="4"/>
      <c r="B453" s="4"/>
      <c r="C453" s="4" t="s">
        <v>52</v>
      </c>
      <c r="D453" s="4"/>
      <c r="E453" s="4"/>
      <c r="F453" s="69"/>
      <c r="G453" s="4"/>
      <c r="H453" s="201">
        <v>435.9</v>
      </c>
      <c r="I453" s="77">
        <f>-H453-P29</f>
        <v>-459.74206744403699</v>
      </c>
      <c r="J453" s="200">
        <f>SUM(H453:I453)</f>
        <v>-23.842067444037014</v>
      </c>
      <c r="K453" s="77">
        <f>K725</f>
        <v>-11.586141683379662</v>
      </c>
      <c r="L453" s="77">
        <f>L725</f>
        <v>11.798552199855301</v>
      </c>
      <c r="M453" s="77">
        <f>M725</f>
        <v>58.086711631789868</v>
      </c>
      <c r="N453" s="77">
        <f>N725</f>
        <v>122.17987567031557</v>
      </c>
      <c r="O453" s="77">
        <f>O725</f>
        <v>209.96885087774291</v>
      </c>
    </row>
    <row r="454" spans="1:15">
      <c r="A454" s="4"/>
      <c r="B454" s="4"/>
      <c r="C454" s="142" t="s">
        <v>38</v>
      </c>
      <c r="D454" s="4"/>
      <c r="E454" s="4"/>
      <c r="F454" s="91"/>
      <c r="G454" s="4"/>
      <c r="H454" s="199">
        <f t="shared" ref="H454:O454" si="46">SUM(H451:H453)</f>
        <v>832.7</v>
      </c>
      <c r="I454" s="198">
        <f t="shared" si="46"/>
        <v>-358.1178191111112</v>
      </c>
      <c r="J454" s="197">
        <f t="shared" si="46"/>
        <v>474.58218088888879</v>
      </c>
      <c r="K454" s="196">
        <f t="shared" si="46"/>
        <v>486.83810664954615</v>
      </c>
      <c r="L454" s="196">
        <f t="shared" si="46"/>
        <v>510.22280053278109</v>
      </c>
      <c r="M454" s="196">
        <f t="shared" si="46"/>
        <v>556.51095996471565</v>
      </c>
      <c r="N454" s="196">
        <f t="shared" si="46"/>
        <v>620.6041240032414</v>
      </c>
      <c r="O454" s="196">
        <f t="shared" si="46"/>
        <v>708.39309921066865</v>
      </c>
    </row>
    <row r="455" spans="1:15">
      <c r="A455" s="4"/>
      <c r="B455" s="4"/>
      <c r="C455" s="4"/>
      <c r="D455" s="4"/>
      <c r="E455" s="4"/>
      <c r="F455" s="195"/>
      <c r="G455" s="4"/>
      <c r="H455" s="194"/>
      <c r="I455" s="193"/>
      <c r="J455" s="192"/>
      <c r="K455" s="191"/>
      <c r="L455" s="191"/>
      <c r="M455" s="191"/>
      <c r="N455" s="191"/>
      <c r="O455" s="191"/>
    </row>
    <row r="456" spans="1:15" ht="13.8" thickBot="1">
      <c r="A456" s="4"/>
      <c r="B456" s="142" t="s">
        <v>151</v>
      </c>
      <c r="C456" s="4"/>
      <c r="D456" s="4"/>
      <c r="E456" s="4"/>
      <c r="F456" s="91"/>
      <c r="G456" s="4"/>
      <c r="H456" s="190">
        <f t="shared" ref="H456:O456" si="47">H454+H449</f>
        <v>1385</v>
      </c>
      <c r="I456" s="188">
        <f t="shared" si="47"/>
        <v>211.04654266666626</v>
      </c>
      <c r="J456" s="189">
        <f t="shared" si="47"/>
        <v>1596.0465426666663</v>
      </c>
      <c r="K456" s="188">
        <f t="shared" si="47"/>
        <v>1589.1754830039572</v>
      </c>
      <c r="L456" s="188">
        <f t="shared" si="47"/>
        <v>1579.4687408332236</v>
      </c>
      <c r="M456" s="188">
        <f t="shared" si="47"/>
        <v>1578.9283213837853</v>
      </c>
      <c r="N456" s="188">
        <f t="shared" si="47"/>
        <v>1588.2894250717545</v>
      </c>
      <c r="O456" s="188">
        <f t="shared" si="47"/>
        <v>1600.8379803262496</v>
      </c>
    </row>
    <row r="457" spans="1:15" ht="13.8" thickTop="1">
      <c r="A457" s="4"/>
      <c r="B457" s="4"/>
      <c r="C457" s="4"/>
      <c r="D457" s="4"/>
      <c r="E457" s="4"/>
      <c r="F457" s="87"/>
      <c r="G457" s="4"/>
      <c r="H457" s="187"/>
      <c r="I457" s="186"/>
      <c r="J457" s="185"/>
      <c r="K457" s="184"/>
      <c r="L457" s="184"/>
      <c r="M457" s="184"/>
      <c r="N457" s="184"/>
      <c r="O457" s="184"/>
    </row>
    <row r="458" spans="1:15">
      <c r="A458" s="4"/>
      <c r="B458" s="168"/>
      <c r="C458" s="4"/>
      <c r="D458" s="183" t="s">
        <v>150</v>
      </c>
      <c r="E458" s="4"/>
      <c r="F458" s="182"/>
      <c r="G458" s="4"/>
      <c r="H458" s="181">
        <f t="shared" ref="H458:O458" si="48">H433-H456</f>
        <v>0</v>
      </c>
      <c r="I458" s="180">
        <f t="shared" si="48"/>
        <v>0</v>
      </c>
      <c r="J458" s="179">
        <f t="shared" si="48"/>
        <v>0</v>
      </c>
      <c r="K458" s="178">
        <f t="shared" si="48"/>
        <v>0</v>
      </c>
      <c r="L458" s="178">
        <f t="shared" si="48"/>
        <v>0</v>
      </c>
      <c r="M458" s="178">
        <f t="shared" si="48"/>
        <v>0</v>
      </c>
      <c r="N458" s="178">
        <f t="shared" si="48"/>
        <v>0</v>
      </c>
      <c r="O458" s="178">
        <f t="shared" si="48"/>
        <v>0</v>
      </c>
    </row>
    <row r="459" spans="1:15">
      <c r="A459" s="4"/>
      <c r="B459" s="177"/>
      <c r="C459" s="2"/>
      <c r="D459" s="2"/>
      <c r="E459" s="2"/>
      <c r="F459" s="2"/>
      <c r="G459" s="2"/>
      <c r="H459" s="2"/>
      <c r="I459" s="2"/>
      <c r="J459" s="2"/>
      <c r="K459" s="176"/>
      <c r="L459" s="176"/>
      <c r="M459" s="176"/>
      <c r="N459" s="176"/>
      <c r="O459" s="176"/>
    </row>
    <row r="460" spans="1:15" ht="12.75" customHeight="1">
      <c r="A460" s="4"/>
      <c r="B460" s="175"/>
      <c r="C460" s="174"/>
      <c r="D460" s="174"/>
      <c r="E460" s="173"/>
      <c r="F460" s="173"/>
      <c r="G460" s="172"/>
      <c r="H460" s="172"/>
      <c r="I460" s="172"/>
      <c r="J460" s="172"/>
      <c r="K460" s="172"/>
      <c r="L460" s="172"/>
      <c r="M460" s="172"/>
      <c r="N460" s="172"/>
      <c r="O460" s="36" t="str">
        <f>$O$235</f>
        <v>CURRENTLY RUNNING: BASE CASE SCENARIO</v>
      </c>
    </row>
    <row r="461" spans="1:15" ht="22.8" customHeight="1">
      <c r="A461" s="4"/>
      <c r="B461" s="35" t="str">
        <f>$B$3</f>
        <v>Lingoren Corp.</v>
      </c>
      <c r="C461" s="174"/>
      <c r="D461" s="174"/>
      <c r="E461" s="173"/>
      <c r="F461" s="173"/>
      <c r="G461" s="172"/>
      <c r="H461" s="172"/>
      <c r="I461" s="172"/>
      <c r="J461" s="172"/>
      <c r="K461" s="172"/>
      <c r="L461" s="172"/>
      <c r="M461" s="172"/>
      <c r="N461" s="172"/>
      <c r="O461" s="172"/>
    </row>
    <row r="462" spans="1:15" ht="18.75" customHeight="1">
      <c r="A462" s="4"/>
      <c r="B462" s="34" t="s">
        <v>149</v>
      </c>
      <c r="C462" s="34"/>
      <c r="D462" s="34"/>
      <c r="E462" s="171"/>
      <c r="F462" s="171"/>
      <c r="G462" s="34"/>
      <c r="H462" s="34"/>
      <c r="I462" s="34"/>
      <c r="J462" s="34"/>
      <c r="K462" s="34"/>
      <c r="L462" s="34"/>
      <c r="M462" s="34"/>
      <c r="N462" s="34"/>
      <c r="O462" s="34"/>
    </row>
    <row r="463" spans="1:15" ht="6" customHeight="1" thickBot="1">
      <c r="A463" s="4"/>
      <c r="B463" s="169"/>
      <c r="C463" s="169"/>
      <c r="D463" s="169"/>
      <c r="E463" s="170"/>
      <c r="F463" s="170"/>
      <c r="G463" s="169"/>
      <c r="H463" s="169"/>
      <c r="I463" s="169"/>
      <c r="J463" s="169"/>
      <c r="K463" s="169"/>
      <c r="L463" s="169"/>
      <c r="M463" s="169"/>
      <c r="N463" s="169"/>
      <c r="O463" s="169"/>
    </row>
    <row r="464" spans="1:15" ht="12.75" customHeight="1">
      <c r="A464" s="4"/>
      <c r="B464" s="31" t="s">
        <v>25</v>
      </c>
      <c r="C464" s="168"/>
      <c r="D464" s="4"/>
      <c r="E464" s="16"/>
      <c r="F464" s="16"/>
      <c r="G464" s="168"/>
      <c r="H464" s="4"/>
      <c r="I464" s="4"/>
      <c r="J464" s="4"/>
      <c r="K464" s="4"/>
      <c r="L464" s="4"/>
      <c r="M464" s="4"/>
      <c r="N464" s="4"/>
      <c r="O464" s="4"/>
    </row>
    <row r="465" spans="1:15" ht="13.8">
      <c r="A465" s="4"/>
      <c r="B465" s="4"/>
      <c r="C465" s="4"/>
      <c r="D465" s="4"/>
      <c r="E465" s="16"/>
      <c r="F465" s="16"/>
      <c r="G465" s="4"/>
      <c r="H465" s="4"/>
      <c r="I465" s="4"/>
      <c r="J465" s="4"/>
      <c r="K465" s="14" t="s">
        <v>24</v>
      </c>
      <c r="L465" s="167"/>
      <c r="M465" s="167"/>
      <c r="N465" s="167"/>
      <c r="O465" s="167"/>
    </row>
    <row r="466" spans="1:15">
      <c r="A466" s="4"/>
      <c r="B466" s="4"/>
      <c r="C466" s="65"/>
      <c r="D466" s="65"/>
      <c r="E466" s="66"/>
      <c r="F466" s="166"/>
      <c r="G466" s="109"/>
      <c r="H466" s="28">
        <f t="shared" ref="H466:O466" si="49">H$241</f>
        <v>2016</v>
      </c>
      <c r="I466" s="28">
        <f t="shared" si="49"/>
        <v>2017</v>
      </c>
      <c r="J466" s="670">
        <f>K466-1</f>
        <v>2018</v>
      </c>
      <c r="K466" s="165">
        <f t="shared" si="49"/>
        <v>2019</v>
      </c>
      <c r="L466" s="165">
        <f t="shared" si="49"/>
        <v>2020</v>
      </c>
      <c r="M466" s="165">
        <f t="shared" si="49"/>
        <v>2021</v>
      </c>
      <c r="N466" s="165">
        <f t="shared" si="49"/>
        <v>2022</v>
      </c>
      <c r="O466" s="165">
        <f t="shared" si="49"/>
        <v>2023</v>
      </c>
    </row>
    <row r="467" spans="1:15">
      <c r="A467" s="4"/>
      <c r="B467" s="4"/>
      <c r="C467" s="4"/>
      <c r="D467" s="4"/>
      <c r="E467" s="4"/>
      <c r="F467" s="16"/>
      <c r="G467" s="4"/>
      <c r="H467" s="4"/>
      <c r="I467" s="4"/>
      <c r="J467" s="4"/>
      <c r="K467" s="4"/>
      <c r="L467" s="4"/>
      <c r="M467" s="4"/>
      <c r="N467" s="4"/>
      <c r="O467" s="4"/>
    </row>
    <row r="468" spans="1:15" ht="13.5" customHeight="1">
      <c r="A468" s="155"/>
      <c r="B468" s="164" t="s">
        <v>148</v>
      </c>
      <c r="C468" s="59"/>
      <c r="D468" s="59"/>
      <c r="E468" s="59"/>
      <c r="F468" s="163">
        <f>N71</f>
        <v>20</v>
      </c>
      <c r="G468" s="4"/>
      <c r="H468" s="4"/>
      <c r="I468" s="4"/>
      <c r="J468" s="4"/>
      <c r="K468" s="158"/>
      <c r="L468" s="125"/>
      <c r="M468" s="125"/>
      <c r="N468" s="125"/>
      <c r="O468" s="4"/>
    </row>
    <row r="469" spans="1:15" ht="13.5" customHeight="1">
      <c r="A469" s="155"/>
      <c r="B469" s="162" t="s">
        <v>147</v>
      </c>
      <c r="C469" s="2"/>
      <c r="D469" s="161"/>
      <c r="E469" s="160"/>
      <c r="F469" s="159">
        <f>N72</f>
        <v>25</v>
      </c>
      <c r="G469" s="4"/>
      <c r="H469" s="4"/>
      <c r="I469" s="4"/>
      <c r="J469" s="4"/>
      <c r="K469" s="158"/>
      <c r="L469" s="125"/>
      <c r="M469" s="125"/>
      <c r="N469" s="125"/>
      <c r="O469" s="4"/>
    </row>
    <row r="470" spans="1:15" ht="12.75" customHeight="1">
      <c r="A470" s="155"/>
      <c r="B470" s="4"/>
      <c r="C470" s="4"/>
      <c r="D470" s="4"/>
      <c r="E470" s="4"/>
      <c r="F470" s="4"/>
      <c r="G470" s="4"/>
      <c r="H470" s="4"/>
      <c r="I470" s="4"/>
      <c r="J470" s="4"/>
      <c r="K470" s="157"/>
      <c r="L470" s="4"/>
      <c r="M470" s="4"/>
      <c r="N470" s="4"/>
      <c r="O470" s="4"/>
    </row>
    <row r="471" spans="1:15">
      <c r="A471" s="155"/>
      <c r="B471" s="4"/>
      <c r="C471" s="4"/>
      <c r="D471" s="4" t="s">
        <v>146</v>
      </c>
      <c r="E471" s="4"/>
      <c r="F471" s="4"/>
      <c r="G471" s="4"/>
      <c r="H471" s="156">
        <v>54.8</v>
      </c>
      <c r="I471" s="156">
        <v>55.2</v>
      </c>
      <c r="J471" s="156">
        <v>56.4</v>
      </c>
      <c r="K471" s="27">
        <f>J430/F468</f>
        <v>60.61</v>
      </c>
      <c r="L471" s="27">
        <f>K471</f>
        <v>60.61</v>
      </c>
      <c r="M471" s="27">
        <f>L471</f>
        <v>60.61</v>
      </c>
      <c r="N471" s="27">
        <f>M471</f>
        <v>60.61</v>
      </c>
      <c r="O471" s="27">
        <f>N471</f>
        <v>60.61</v>
      </c>
    </row>
    <row r="472" spans="1:15">
      <c r="A472" s="155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</row>
    <row r="473" spans="1:15" ht="13.8">
      <c r="A473" s="4"/>
      <c r="B473" s="4"/>
      <c r="C473" s="4"/>
      <c r="D473" s="154" t="s">
        <v>145</v>
      </c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</row>
    <row r="474" spans="1:15">
      <c r="A474" s="4"/>
      <c r="B474" s="4"/>
      <c r="C474" s="4"/>
      <c r="D474" s="90">
        <f>K466</f>
        <v>2019</v>
      </c>
      <c r="E474" s="672">
        <f>-HLOOKUP(D474,$K$379:$O$390,ROWS($K$379:$K$390),FALSE)</f>
        <v>50</v>
      </c>
      <c r="F474" s="153"/>
      <c r="G474" s="4"/>
      <c r="H474" s="117"/>
      <c r="I474" s="117"/>
      <c r="J474" s="117"/>
      <c r="K474" s="24">
        <f>IF(K$466=$D474,$E474/$F$469/2,MIN($E474/$F$469,$E474-SUM($J474:J474)))</f>
        <v>1</v>
      </c>
      <c r="L474" s="24">
        <f>IF(L$466=$D474,$E474/$F$469/2,MIN($E474/$F$469,$E474-SUM($J474:K474)))</f>
        <v>2</v>
      </c>
      <c r="M474" s="24">
        <f>IF(M$466=$D474,$E474/$F$469/2,MIN($E474/$F$469,$E474-SUM($J474:L474)))</f>
        <v>2</v>
      </c>
      <c r="N474" s="24">
        <f>IF(N$466=$D474,$E474/$F$469/2,MIN($E474/$F$469,$E474-SUM($J474:M474)))</f>
        <v>2</v>
      </c>
      <c r="O474" s="24">
        <f>IF(O$466=$D474,$E474/$F$469/2,MIN($E474/$F$469,$E474-SUM($J474:N474)))</f>
        <v>2</v>
      </c>
    </row>
    <row r="475" spans="1:15">
      <c r="A475" s="4"/>
      <c r="B475" s="4"/>
      <c r="C475" s="4"/>
      <c r="D475" s="90">
        <f>D474+1</f>
        <v>2020</v>
      </c>
      <c r="E475" s="673">
        <f>-HLOOKUP(D475,$K$379:$O$390,ROWS($K$379:$K$390),FALSE)</f>
        <v>55</v>
      </c>
      <c r="F475" s="153"/>
      <c r="G475" s="4"/>
      <c r="H475" s="117"/>
      <c r="I475" s="117"/>
      <c r="J475" s="117"/>
      <c r="K475" s="24"/>
      <c r="L475" s="24">
        <f>IF(L$466=$D475,$E475/$F$469/2,MIN($E475/$F$469,$E475-SUM($J475:K475)))</f>
        <v>1.1000000000000001</v>
      </c>
      <c r="M475" s="24">
        <f>IF(M$466=$D475,$E475/$F$469/2,MIN($E475/$F$469,$E475-SUM($J475:L475)))</f>
        <v>2.2000000000000002</v>
      </c>
      <c r="N475" s="24">
        <f>IF(N$466=$D475,$E475/$F$469/2,MIN($E475/$F$469,$E475-SUM($J475:M475)))</f>
        <v>2.2000000000000002</v>
      </c>
      <c r="O475" s="24">
        <f>IF(O$466=$D475,$E475/$F$469/2,MIN($E475/$F$469,$E475-SUM($J475:N475)))</f>
        <v>2.2000000000000002</v>
      </c>
    </row>
    <row r="476" spans="1:15">
      <c r="A476" s="4"/>
      <c r="B476" s="4"/>
      <c r="C476" s="4"/>
      <c r="D476" s="90">
        <f>D475+1</f>
        <v>2021</v>
      </c>
      <c r="E476" s="673">
        <f>-HLOOKUP(D476,$K$379:$O$390,ROWS($K$379:$K$390),FALSE)</f>
        <v>56.1</v>
      </c>
      <c r="F476" s="153"/>
      <c r="G476" s="4"/>
      <c r="H476" s="125"/>
      <c r="I476" s="125"/>
      <c r="J476" s="125"/>
      <c r="K476" s="24"/>
      <c r="L476" s="24"/>
      <c r="M476" s="24">
        <f>IF(M$466=$D476,$E476/$F$469/2,MIN($E476/$F$469,$E476-SUM($J476:L476)))</f>
        <v>1.1220000000000001</v>
      </c>
      <c r="N476" s="24">
        <f>IF(N$466=$D476,$E476/$F$469/2,MIN($E476/$F$469,$E476-SUM($J476:M476)))</f>
        <v>2.2440000000000002</v>
      </c>
      <c r="O476" s="24">
        <f>IF(O$466=$D476,$E476/$F$469/2,MIN($E476/$F$469,$E476-SUM($J476:N476)))</f>
        <v>2.2440000000000002</v>
      </c>
    </row>
    <row r="477" spans="1:15">
      <c r="A477" s="4"/>
      <c r="B477" s="4"/>
      <c r="C477" s="4"/>
      <c r="D477" s="90">
        <f>D476+1</f>
        <v>2022</v>
      </c>
      <c r="E477" s="673">
        <f>-HLOOKUP(D477,$K$379:$O$390,ROWS($K$379:$K$390),FALSE)</f>
        <v>57.502499999999998</v>
      </c>
      <c r="F477" s="153"/>
      <c r="G477" s="4"/>
      <c r="H477" s="125"/>
      <c r="I477" s="125"/>
      <c r="J477" s="125"/>
      <c r="K477" s="24"/>
      <c r="L477" s="24"/>
      <c r="M477" s="24"/>
      <c r="N477" s="24">
        <f>IF(N$466=$D477,$E477/$F$469/2,MIN($E477/$F$469,$E477-SUM($J477:M477)))</f>
        <v>1.15005</v>
      </c>
      <c r="O477" s="24">
        <f>IF(O$466=$D477,$E477/$F$469/2,MIN($E477/$F$469,$E477-SUM($J477:N477)))</f>
        <v>2.3001</v>
      </c>
    </row>
    <row r="478" spans="1:15">
      <c r="A478" s="4"/>
      <c r="B478" s="4"/>
      <c r="C478" s="4"/>
      <c r="D478" s="90">
        <f>D477+1</f>
        <v>2023</v>
      </c>
      <c r="E478" s="674">
        <f>-HLOOKUP(D478,$K$379:$O$390,ROWS($K$379:$K$390),FALSE)</f>
        <v>88.940062499999982</v>
      </c>
      <c r="F478" s="153"/>
      <c r="G478" s="4"/>
      <c r="H478" s="125"/>
      <c r="I478" s="125"/>
      <c r="J478" s="125"/>
      <c r="K478" s="24"/>
      <c r="L478" s="24"/>
      <c r="M478" s="24"/>
      <c r="N478" s="24"/>
      <c r="O478" s="24">
        <f>IF(O$466=$D478,$E478/$F$469/2,MIN($E478/$F$469,$E478-SUM($J478:N478)))</f>
        <v>1.7788012499999997</v>
      </c>
    </row>
    <row r="479" spans="1:15">
      <c r="A479" s="4"/>
      <c r="B479" s="4"/>
      <c r="C479" s="4"/>
      <c r="D479" s="4"/>
      <c r="E479" s="4"/>
      <c r="F479" s="16"/>
      <c r="G479" s="4"/>
      <c r="H479" s="4"/>
      <c r="I479" s="4"/>
      <c r="J479" s="4"/>
      <c r="K479" s="4"/>
      <c r="L479" s="4"/>
      <c r="M479" s="4"/>
      <c r="N479" s="4"/>
      <c r="O479" s="4"/>
    </row>
    <row r="480" spans="1:15" ht="13.8" thickBot="1">
      <c r="A480" s="4"/>
      <c r="B480" s="4"/>
      <c r="C480" s="4"/>
      <c r="D480" s="151" t="s">
        <v>144</v>
      </c>
      <c r="E480" s="4"/>
      <c r="F480" s="16"/>
      <c r="G480" s="4"/>
      <c r="H480" s="152">
        <f t="shared" ref="H480:O480" si="50">SUM(H471:H478)</f>
        <v>54.8</v>
      </c>
      <c r="I480" s="152">
        <f t="shared" si="50"/>
        <v>55.2</v>
      </c>
      <c r="J480" s="152">
        <f t="shared" si="50"/>
        <v>56.4</v>
      </c>
      <c r="K480" s="607">
        <f t="shared" si="50"/>
        <v>61.61</v>
      </c>
      <c r="L480" s="607">
        <f t="shared" si="50"/>
        <v>63.71</v>
      </c>
      <c r="M480" s="607">
        <f t="shared" si="50"/>
        <v>65.932000000000002</v>
      </c>
      <c r="N480" s="607">
        <f t="shared" si="50"/>
        <v>68.204049999999995</v>
      </c>
      <c r="O480" s="607">
        <f t="shared" si="50"/>
        <v>71.132901250000003</v>
      </c>
    </row>
    <row r="481" spans="1:15" ht="13.8" thickTop="1">
      <c r="A481" s="4"/>
      <c r="B481" s="4"/>
      <c r="C481" s="4"/>
      <c r="D481" s="151"/>
      <c r="E481" s="4"/>
      <c r="F481" s="16"/>
      <c r="G481" s="4"/>
      <c r="H481" s="150"/>
      <c r="I481" s="150"/>
      <c r="J481" s="150"/>
      <c r="K481" s="64"/>
      <c r="L481" s="64"/>
      <c r="M481" s="64"/>
      <c r="N481" s="64"/>
      <c r="O481" s="64"/>
    </row>
    <row r="482" spans="1:15">
      <c r="A482" s="4"/>
      <c r="B482" s="2"/>
      <c r="C482" s="2"/>
      <c r="D482" s="2"/>
      <c r="E482" s="2"/>
      <c r="F482" s="3"/>
      <c r="G482" s="2"/>
      <c r="H482" s="149"/>
      <c r="I482" s="149"/>
      <c r="J482" s="149"/>
      <c r="K482" s="149"/>
      <c r="L482" s="149"/>
      <c r="M482" s="149"/>
      <c r="N482" s="149"/>
      <c r="O482" s="2"/>
    </row>
    <row r="483" spans="1:15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</row>
    <row r="484" spans="1:15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</row>
    <row r="485" spans="1:15" ht="12.75" customHeight="1">
      <c r="A485" s="4"/>
      <c r="B485" s="35"/>
      <c r="C485" s="20"/>
      <c r="D485" s="20"/>
      <c r="E485" s="20"/>
      <c r="F485" s="20"/>
      <c r="G485" s="20"/>
      <c r="H485" s="20"/>
      <c r="I485" s="20"/>
      <c r="J485" s="20"/>
      <c r="K485" s="20"/>
      <c r="L485" s="20"/>
      <c r="M485" s="20"/>
      <c r="N485" s="20"/>
      <c r="O485" s="36" t="str">
        <f>$O$235</f>
        <v>CURRENTLY RUNNING: BASE CASE SCENARIO</v>
      </c>
    </row>
    <row r="486" spans="1:15" ht="22.8" customHeight="1">
      <c r="A486" s="4"/>
      <c r="B486" s="35" t="str">
        <f>$B$3</f>
        <v>Lingoren Corp.</v>
      </c>
      <c r="C486" s="20"/>
      <c r="D486" s="20"/>
      <c r="E486" s="20"/>
      <c r="F486" s="20"/>
      <c r="G486" s="20"/>
      <c r="H486" s="20"/>
      <c r="I486" s="20"/>
      <c r="J486" s="20"/>
      <c r="K486" s="20"/>
      <c r="L486" s="20"/>
      <c r="M486" s="20"/>
      <c r="N486" s="20"/>
      <c r="O486" s="20"/>
    </row>
    <row r="487" spans="1:15" ht="18.75" customHeight="1">
      <c r="A487" s="4"/>
      <c r="B487" s="34" t="s">
        <v>143</v>
      </c>
      <c r="C487" s="20"/>
      <c r="D487" s="20"/>
      <c r="E487" s="20"/>
      <c r="F487" s="20"/>
      <c r="G487" s="20"/>
      <c r="H487" s="20"/>
      <c r="I487" s="20"/>
      <c r="J487" s="20"/>
      <c r="K487" s="20"/>
      <c r="L487" s="20"/>
      <c r="M487" s="20"/>
      <c r="N487" s="20"/>
      <c r="O487" s="20"/>
    </row>
    <row r="488" spans="1:15" ht="6" customHeight="1" thickBot="1">
      <c r="A488" s="4"/>
      <c r="B488" s="33"/>
      <c r="C488" s="33"/>
      <c r="D488" s="32"/>
      <c r="E488" s="32"/>
      <c r="F488" s="32"/>
      <c r="G488" s="32"/>
      <c r="H488" s="32"/>
      <c r="I488" s="32"/>
      <c r="J488" s="32"/>
      <c r="K488" s="32"/>
      <c r="L488" s="32"/>
      <c r="M488" s="32"/>
      <c r="N488" s="32"/>
      <c r="O488" s="32"/>
    </row>
    <row r="489" spans="1:15" ht="12.75" customHeight="1">
      <c r="A489" s="4"/>
      <c r="B489" s="31" t="s">
        <v>25</v>
      </c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</row>
    <row r="490" spans="1:15" ht="13.8">
      <c r="A490" s="4"/>
      <c r="B490" s="4"/>
      <c r="C490" s="4"/>
      <c r="D490" s="4"/>
      <c r="E490" s="4"/>
      <c r="F490" s="4"/>
      <c r="G490" s="4"/>
      <c r="H490" s="148"/>
      <c r="I490" s="148"/>
      <c r="J490" s="148"/>
      <c r="K490" s="14" t="s">
        <v>24</v>
      </c>
      <c r="L490" s="13"/>
      <c r="M490" s="13"/>
      <c r="N490" s="13"/>
      <c r="O490" s="13"/>
    </row>
    <row r="491" spans="1:15" ht="13.8">
      <c r="A491" s="4"/>
      <c r="B491" s="147"/>
      <c r="C491" s="146" t="s">
        <v>10</v>
      </c>
      <c r="D491" s="46"/>
      <c r="E491" s="145">
        <f>N64</f>
        <v>0.35</v>
      </c>
      <c r="F491" s="4"/>
      <c r="G491" s="4"/>
      <c r="H491" s="109"/>
      <c r="I491" s="109"/>
      <c r="J491" s="109"/>
      <c r="K491" s="10">
        <f>K$241</f>
        <v>2019</v>
      </c>
      <c r="L491" s="10">
        <f>L$241</f>
        <v>2020</v>
      </c>
      <c r="M491" s="10">
        <f>M$241</f>
        <v>2021</v>
      </c>
      <c r="N491" s="10">
        <f>N$241</f>
        <v>2022</v>
      </c>
      <c r="O491" s="10">
        <f>O$241</f>
        <v>2023</v>
      </c>
    </row>
    <row r="492" spans="1:15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</row>
    <row r="493" spans="1:15">
      <c r="A493" s="4"/>
      <c r="B493" s="4"/>
      <c r="C493" s="142" t="s">
        <v>142</v>
      </c>
      <c r="D493" s="4"/>
      <c r="E493" s="4"/>
      <c r="F493" s="4"/>
      <c r="G493" s="118" t="s">
        <v>141</v>
      </c>
      <c r="H493" s="117"/>
      <c r="I493" s="117"/>
      <c r="J493" s="117"/>
      <c r="K493" s="64">
        <f>K353</f>
        <v>31.162962708703617</v>
      </c>
      <c r="L493" s="64">
        <f>L353</f>
        <v>48.284144435746093</v>
      </c>
      <c r="M493" s="64">
        <f>M353</f>
        <v>83.520245279899328</v>
      </c>
      <c r="N493" s="64">
        <f>N353</f>
        <v>110.91256005927031</v>
      </c>
      <c r="O493" s="64">
        <f>O353</f>
        <v>147.36765416527282</v>
      </c>
    </row>
    <row r="494" spans="1:15" ht="6" customHeight="1">
      <c r="A494" s="4"/>
      <c r="B494" s="4"/>
      <c r="C494" s="4"/>
      <c r="D494" s="4"/>
      <c r="E494" s="119"/>
      <c r="F494" s="119"/>
      <c r="G494" s="121"/>
      <c r="H494" s="121"/>
      <c r="I494" s="121"/>
      <c r="J494" s="121"/>
      <c r="K494" s="125"/>
      <c r="L494" s="125"/>
      <c r="M494" s="125"/>
      <c r="N494" s="125"/>
      <c r="O494" s="125"/>
    </row>
    <row r="495" spans="1:15">
      <c r="A495" s="4"/>
      <c r="B495" s="4"/>
      <c r="C495" s="4"/>
      <c r="D495" s="4" t="s">
        <v>140</v>
      </c>
      <c r="E495" s="119"/>
      <c r="F495" s="119"/>
      <c r="G495" s="121"/>
      <c r="H495" s="117"/>
      <c r="I495" s="117"/>
      <c r="J495" s="117"/>
      <c r="K495" s="24">
        <f>K346</f>
        <v>61.61</v>
      </c>
      <c r="L495" s="24">
        <f>L346</f>
        <v>63.71</v>
      </c>
      <c r="M495" s="24">
        <f>M346</f>
        <v>65.932000000000002</v>
      </c>
      <c r="N495" s="24">
        <f>N346</f>
        <v>68.204049999999995</v>
      </c>
      <c r="O495" s="24">
        <f>O346</f>
        <v>71.132901250000003</v>
      </c>
    </row>
    <row r="496" spans="1:15">
      <c r="A496" s="4"/>
      <c r="B496" s="4"/>
      <c r="C496" s="4"/>
      <c r="D496" s="4" t="s">
        <v>139</v>
      </c>
      <c r="E496" s="119"/>
      <c r="F496" s="119"/>
      <c r="G496" s="121"/>
      <c r="H496" s="117"/>
      <c r="I496" s="117"/>
      <c r="J496" s="117"/>
      <c r="K496" s="49">
        <f>K527</f>
        <v>90.86999999999999</v>
      </c>
      <c r="L496" s="49">
        <f>L527</f>
        <v>85.114499999999992</v>
      </c>
      <c r="M496" s="49">
        <f>M527</f>
        <v>80.67982499999998</v>
      </c>
      <c r="N496" s="49">
        <f>N527</f>
        <v>77.098038749999986</v>
      </c>
      <c r="O496" s="49">
        <f>O527</f>
        <v>76.516525124999987</v>
      </c>
    </row>
    <row r="497" spans="1:15">
      <c r="A497" s="4"/>
      <c r="B497" s="4"/>
      <c r="C497" s="4"/>
      <c r="D497" s="65" t="s">
        <v>138</v>
      </c>
      <c r="E497" s="115"/>
      <c r="F497" s="115"/>
      <c r="G497" s="134"/>
      <c r="H497" s="116"/>
      <c r="I497" s="116"/>
      <c r="J497" s="116"/>
      <c r="K497" s="143">
        <f>K493+K495-K496</f>
        <v>1.902962708703626</v>
      </c>
      <c r="L497" s="143">
        <f>L493+L495-L496</f>
        <v>26.879644435746101</v>
      </c>
      <c r="M497" s="143">
        <f>M493+M495-M496</f>
        <v>68.77242027989935</v>
      </c>
      <c r="N497" s="143">
        <f>N493+N495-N496</f>
        <v>102.01857130927031</v>
      </c>
      <c r="O497" s="143">
        <f>O493+O495-O496</f>
        <v>141.98403029027284</v>
      </c>
    </row>
    <row r="498" spans="1:15">
      <c r="A498" s="4"/>
      <c r="B498" s="4"/>
      <c r="C498" s="4"/>
      <c r="D498" s="4"/>
      <c r="E498" s="119"/>
      <c r="F498" s="119"/>
      <c r="G498" s="121"/>
      <c r="H498" s="121"/>
      <c r="I498" s="121"/>
      <c r="J498" s="121"/>
      <c r="K498" s="125"/>
      <c r="L498" s="125"/>
      <c r="M498" s="125"/>
      <c r="N498" s="125"/>
      <c r="O498" s="125"/>
    </row>
    <row r="499" spans="1:15">
      <c r="A499" s="4"/>
      <c r="B499" s="4"/>
      <c r="C499" s="65" t="s">
        <v>137</v>
      </c>
      <c r="D499" s="4"/>
      <c r="E499" s="119"/>
      <c r="F499" s="119"/>
      <c r="G499" s="121"/>
      <c r="H499" s="121"/>
      <c r="I499" s="121"/>
      <c r="J499" s="121"/>
      <c r="K499" s="125"/>
      <c r="L499" s="125"/>
      <c r="M499" s="125"/>
      <c r="N499" s="125"/>
      <c r="O499" s="125"/>
    </row>
    <row r="500" spans="1:15">
      <c r="A500" s="4"/>
      <c r="B500" s="4"/>
      <c r="C500" s="4"/>
      <c r="D500" s="144" t="s">
        <v>136</v>
      </c>
      <c r="E500" s="119"/>
      <c r="F500" s="119"/>
      <c r="G500" s="121"/>
      <c r="H500" s="121"/>
      <c r="I500" s="121"/>
      <c r="J500" s="121"/>
      <c r="K500" s="24">
        <f>N66</f>
        <v>32.5</v>
      </c>
      <c r="L500" s="24">
        <f>K500-K501</f>
        <v>30.597037291296374</v>
      </c>
      <c r="M500" s="24">
        <f>L500-L501</f>
        <v>3.7173928555502727</v>
      </c>
      <c r="N500" s="24">
        <f>M500-M501</f>
        <v>0</v>
      </c>
      <c r="O500" s="24">
        <f>N500-N501</f>
        <v>0</v>
      </c>
    </row>
    <row r="501" spans="1:15">
      <c r="A501" s="4"/>
      <c r="B501" s="4"/>
      <c r="C501" s="4"/>
      <c r="D501" s="30" t="s">
        <v>135</v>
      </c>
      <c r="E501" s="119"/>
      <c r="F501" s="119"/>
      <c r="G501" s="121"/>
      <c r="H501" s="117"/>
      <c r="I501" s="117"/>
      <c r="J501" s="117"/>
      <c r="K501" s="49">
        <f>IF(K497&lt;0,0,MIN(K500,K497))</f>
        <v>1.902962708703626</v>
      </c>
      <c r="L501" s="49">
        <f>IF(L497&lt;0,0,MIN(L500,L497))</f>
        <v>26.879644435746101</v>
      </c>
      <c r="M501" s="49">
        <f>IF(M497&lt;0,0,MIN(M500,M497))</f>
        <v>3.7173928555502727</v>
      </c>
      <c r="N501" s="49">
        <f>IF(N497&lt;0,0,MIN(N500,N497))</f>
        <v>0</v>
      </c>
      <c r="O501" s="49">
        <f>IF(O497&lt;0,0,MIN(O500,O497))</f>
        <v>0</v>
      </c>
    </row>
    <row r="502" spans="1:15">
      <c r="A502" s="4"/>
      <c r="B502" s="4"/>
      <c r="C502" s="4"/>
      <c r="D502" s="142" t="s">
        <v>134</v>
      </c>
      <c r="E502" s="115"/>
      <c r="F502" s="115"/>
      <c r="G502" s="134"/>
      <c r="H502" s="116"/>
      <c r="I502" s="116"/>
      <c r="J502" s="116"/>
      <c r="K502" s="143">
        <f>K497-K501</f>
        <v>0</v>
      </c>
      <c r="L502" s="143">
        <f>L497-L501</f>
        <v>0</v>
      </c>
      <c r="M502" s="143">
        <f>M497-M501</f>
        <v>65.055027424349078</v>
      </c>
      <c r="N502" s="143">
        <f>N497-N501</f>
        <v>102.01857130927031</v>
      </c>
      <c r="O502" s="143">
        <f>O497-O501</f>
        <v>141.98403029027284</v>
      </c>
    </row>
    <row r="503" spans="1:15">
      <c r="A503" s="4"/>
      <c r="B503" s="4"/>
      <c r="C503" s="4"/>
      <c r="D503" s="4"/>
      <c r="E503" s="119"/>
      <c r="F503" s="119"/>
      <c r="G503" s="121"/>
      <c r="H503" s="121"/>
      <c r="I503" s="121"/>
      <c r="J503" s="121"/>
      <c r="K503" s="125"/>
      <c r="L503" s="125"/>
      <c r="M503" s="125"/>
      <c r="N503" s="125"/>
      <c r="O503" s="125"/>
    </row>
    <row r="504" spans="1:15">
      <c r="A504" s="4"/>
      <c r="B504" s="4"/>
      <c r="C504" s="4"/>
      <c r="D504" s="144" t="s">
        <v>133</v>
      </c>
      <c r="E504" s="119"/>
      <c r="F504" s="119"/>
      <c r="G504" s="121"/>
      <c r="H504" s="121"/>
      <c r="I504" s="121"/>
      <c r="J504" s="121"/>
      <c r="K504" s="24">
        <f>J506</f>
        <v>0</v>
      </c>
      <c r="L504" s="24">
        <f>K506</f>
        <v>0</v>
      </c>
      <c r="M504" s="24">
        <f>L506</f>
        <v>0</v>
      </c>
      <c r="N504" s="24">
        <f>M506</f>
        <v>0</v>
      </c>
      <c r="O504" s="24">
        <f>N506</f>
        <v>0</v>
      </c>
    </row>
    <row r="505" spans="1:15">
      <c r="A505" s="4"/>
      <c r="B505" s="4"/>
      <c r="C505" s="4"/>
      <c r="D505" s="144" t="s">
        <v>132</v>
      </c>
      <c r="E505" s="119"/>
      <c r="F505" s="119"/>
      <c r="G505" s="121"/>
      <c r="H505" s="117"/>
      <c r="I505" s="117"/>
      <c r="J505" s="117"/>
      <c r="K505" s="49">
        <f>MIN(K504,K502)</f>
        <v>0</v>
      </c>
      <c r="L505" s="49">
        <f>MIN(L504,L502)</f>
        <v>0</v>
      </c>
      <c r="M505" s="49">
        <f>MIN(M504,M502)</f>
        <v>0</v>
      </c>
      <c r="N505" s="49">
        <f>MIN(N504,N502)</f>
        <v>0</v>
      </c>
      <c r="O505" s="49">
        <f>MIN(O504,O502)</f>
        <v>0</v>
      </c>
    </row>
    <row r="506" spans="1:15">
      <c r="A506" s="4"/>
      <c r="B506" s="4"/>
      <c r="C506" s="4"/>
      <c r="D506" s="144" t="s">
        <v>131</v>
      </c>
      <c r="E506" s="119"/>
      <c r="F506" s="119"/>
      <c r="G506" s="121"/>
      <c r="H506" s="117"/>
      <c r="I506" s="117"/>
      <c r="J506" s="117"/>
      <c r="K506" s="24">
        <f>K504-K505</f>
        <v>0</v>
      </c>
      <c r="L506" s="24">
        <f>L504-L505</f>
        <v>0</v>
      </c>
      <c r="M506" s="24">
        <f>M504-M505</f>
        <v>0</v>
      </c>
      <c r="N506" s="24">
        <f>N504-N505</f>
        <v>0</v>
      </c>
      <c r="O506" s="24">
        <f>O504-O505</f>
        <v>0</v>
      </c>
    </row>
    <row r="507" spans="1:15" ht="6" customHeight="1">
      <c r="A507" s="4"/>
      <c r="B507" s="4"/>
      <c r="C507" s="4"/>
      <c r="D507" s="144"/>
      <c r="E507" s="119"/>
      <c r="F507" s="119"/>
      <c r="G507" s="121"/>
      <c r="H507" s="117"/>
      <c r="I507" s="117"/>
      <c r="J507" s="117"/>
      <c r="K507" s="24"/>
      <c r="L507" s="24"/>
      <c r="M507" s="24"/>
      <c r="N507" s="24"/>
      <c r="O507" s="24"/>
    </row>
    <row r="508" spans="1:15">
      <c r="A508" s="4"/>
      <c r="B508" s="4"/>
      <c r="C508" s="4"/>
      <c r="D508" s="144" t="s">
        <v>130</v>
      </c>
      <c r="E508" s="119"/>
      <c r="F508" s="119"/>
      <c r="G508" s="121"/>
      <c r="H508" s="117"/>
      <c r="I508" s="117"/>
      <c r="J508" s="117"/>
      <c r="K508" s="49">
        <f>IF(K501&lt;0,K500,(K500-K501))</f>
        <v>30.597037291296374</v>
      </c>
      <c r="L508" s="49">
        <f>IF(L501&lt;0,L500,(L500-L501))</f>
        <v>3.7173928555502727</v>
      </c>
      <c r="M508" s="49">
        <f>IF(M501&lt;0,M500,(M500-M501))</f>
        <v>0</v>
      </c>
      <c r="N508" s="49">
        <f>IF(N501&lt;0,N500,(N500-N501))</f>
        <v>0</v>
      </c>
      <c r="O508" s="49">
        <f>IF(O501&lt;0,O500,(O500-O501))</f>
        <v>0</v>
      </c>
    </row>
    <row r="509" spans="1:15">
      <c r="A509" s="4"/>
      <c r="B509" s="4"/>
      <c r="C509" s="4"/>
      <c r="D509" s="142" t="s">
        <v>129</v>
      </c>
      <c r="E509" s="115"/>
      <c r="F509" s="115"/>
      <c r="G509" s="134"/>
      <c r="H509" s="116"/>
      <c r="I509" s="116"/>
      <c r="J509" s="116"/>
      <c r="K509" s="143">
        <f>K508+K506</f>
        <v>30.597037291296374</v>
      </c>
      <c r="L509" s="143">
        <f>L508+L506</f>
        <v>3.7173928555502727</v>
      </c>
      <c r="M509" s="143">
        <f>M508+M506</f>
        <v>0</v>
      </c>
      <c r="N509" s="143">
        <f>N508+N506</f>
        <v>0</v>
      </c>
      <c r="O509" s="143">
        <f>O508+O506</f>
        <v>0</v>
      </c>
    </row>
    <row r="510" spans="1:15">
      <c r="A510" s="4"/>
      <c r="B510" s="4"/>
      <c r="C510" s="4"/>
      <c r="D510" s="4"/>
      <c r="E510" s="119"/>
      <c r="F510" s="119"/>
      <c r="G510" s="121"/>
      <c r="H510" s="121"/>
      <c r="I510" s="121"/>
      <c r="J510" s="121"/>
      <c r="K510" s="125"/>
      <c r="L510" s="125"/>
      <c r="M510" s="125"/>
      <c r="N510" s="125"/>
      <c r="O510" s="125"/>
    </row>
    <row r="511" spans="1:15">
      <c r="A511" s="4"/>
      <c r="B511" s="4"/>
      <c r="C511" s="4"/>
      <c r="D511" s="142" t="s">
        <v>128</v>
      </c>
      <c r="E511" s="4"/>
      <c r="F511" s="119"/>
      <c r="G511" s="118" t="s">
        <v>127</v>
      </c>
      <c r="H511" s="116"/>
      <c r="I511" s="116"/>
      <c r="J511" s="116"/>
      <c r="K511" s="64">
        <f>K502-K505</f>
        <v>0</v>
      </c>
      <c r="L511" s="64">
        <f>L502-L505</f>
        <v>0</v>
      </c>
      <c r="M511" s="64">
        <f>M502-M505</f>
        <v>65.055027424349078</v>
      </c>
      <c r="N511" s="64">
        <f>N502-N505</f>
        <v>102.01857130927031</v>
      </c>
      <c r="O511" s="64">
        <f>O502-O505</f>
        <v>141.98403029027284</v>
      </c>
    </row>
    <row r="512" spans="1:15">
      <c r="A512" s="4"/>
      <c r="B512" s="4"/>
      <c r="C512" s="4"/>
      <c r="D512" s="4"/>
      <c r="E512" s="65"/>
      <c r="F512" s="4"/>
      <c r="G512" s="4"/>
      <c r="H512" s="117"/>
      <c r="I512" s="117"/>
      <c r="J512" s="117"/>
      <c r="K512" s="125"/>
      <c r="L512" s="125"/>
      <c r="M512" s="125"/>
      <c r="N512" s="125"/>
      <c r="O512" s="125"/>
    </row>
    <row r="513" spans="1:15">
      <c r="A513" s="4"/>
      <c r="B513" s="4"/>
      <c r="C513" s="4"/>
      <c r="D513" s="30" t="str">
        <f>CONCATENATE("Accounting Taxes (",$E$491*100,"% of A)")</f>
        <v>Accounting Taxes (35% of A)</v>
      </c>
      <c r="E513" s="119"/>
      <c r="F513" s="121"/>
      <c r="G513" s="121"/>
      <c r="H513" s="117"/>
      <c r="I513" s="117"/>
      <c r="J513" s="117"/>
      <c r="K513" s="24">
        <f>$E$491*K493</f>
        <v>10.907036948046265</v>
      </c>
      <c r="L513" s="24">
        <f>$E$491*L493</f>
        <v>16.89945055251113</v>
      </c>
      <c r="M513" s="24">
        <f>$E$491*M493</f>
        <v>29.232085847964761</v>
      </c>
      <c r="N513" s="24">
        <f>$E$491*N493</f>
        <v>38.819396020744605</v>
      </c>
      <c r="O513" s="24">
        <f>$E$491*O493</f>
        <v>51.578678957845483</v>
      </c>
    </row>
    <row r="514" spans="1:15">
      <c r="A514" s="4"/>
      <c r="B514" s="4"/>
      <c r="C514" s="4"/>
      <c r="D514" s="4"/>
      <c r="E514" s="4"/>
      <c r="F514" s="141"/>
      <c r="G514" s="4"/>
      <c r="H514" s="117"/>
      <c r="I514" s="117"/>
      <c r="J514" s="117"/>
      <c r="K514" s="125"/>
      <c r="L514" s="125"/>
      <c r="M514" s="125"/>
      <c r="N514" s="125"/>
      <c r="O514" s="125"/>
    </row>
    <row r="515" spans="1:15">
      <c r="A515" s="4"/>
      <c r="B515" s="4"/>
      <c r="C515" s="4"/>
      <c r="D515" s="140" t="s">
        <v>126</v>
      </c>
      <c r="E515" s="139"/>
      <c r="F515" s="138"/>
      <c r="G515" s="138"/>
      <c r="H515" s="138"/>
      <c r="I515" s="138"/>
      <c r="J515" s="138"/>
      <c r="K515" s="137"/>
      <c r="L515" s="137"/>
      <c r="M515" s="137"/>
      <c r="N515" s="137"/>
      <c r="O515" s="136"/>
    </row>
    <row r="516" spans="1:15">
      <c r="A516" s="4"/>
      <c r="B516" s="4"/>
      <c r="C516" s="4"/>
      <c r="D516" s="135" t="str">
        <f>CONCATENATE("Current Tax (",$E$491*100,"% of B)")</f>
        <v>Current Tax (35% of B)</v>
      </c>
      <c r="E516" s="119"/>
      <c r="F516" s="121"/>
      <c r="G516" s="134"/>
      <c r="H516" s="117"/>
      <c r="I516" s="117"/>
      <c r="J516" s="117"/>
      <c r="K516" s="24">
        <f>$E$491*K511</f>
        <v>0</v>
      </c>
      <c r="L516" s="24">
        <f>$E$491*L511</f>
        <v>0</v>
      </c>
      <c r="M516" s="24">
        <f>$E$491*M511</f>
        <v>22.769259598522176</v>
      </c>
      <c r="N516" s="24">
        <f>$E$491*N511</f>
        <v>35.706499958244606</v>
      </c>
      <c r="O516" s="53">
        <f>$E$491*O511</f>
        <v>49.694410601595493</v>
      </c>
    </row>
    <row r="517" spans="1:15">
      <c r="A517" s="4"/>
      <c r="B517" s="4"/>
      <c r="C517" s="4"/>
      <c r="D517" s="133" t="s">
        <v>125</v>
      </c>
      <c r="E517" s="119"/>
      <c r="F517" s="121"/>
      <c r="G517" s="121"/>
      <c r="H517" s="117"/>
      <c r="I517" s="117"/>
      <c r="J517" s="117"/>
      <c r="K517" s="49">
        <f>K513-K516</f>
        <v>10.907036948046265</v>
      </c>
      <c r="L517" s="49">
        <f>L513-L516</f>
        <v>16.89945055251113</v>
      </c>
      <c r="M517" s="49">
        <f>M513-M516</f>
        <v>6.4628262494425854</v>
      </c>
      <c r="N517" s="49">
        <f>N513-N516</f>
        <v>3.1128960624999991</v>
      </c>
      <c r="O517" s="48">
        <f>O513-O516</f>
        <v>1.88426835624999</v>
      </c>
    </row>
    <row r="518" spans="1:15">
      <c r="A518" s="4"/>
      <c r="B518" s="4"/>
      <c r="C518" s="4"/>
      <c r="D518" s="132" t="s">
        <v>124</v>
      </c>
      <c r="E518" s="131"/>
      <c r="F518" s="130"/>
      <c r="G518" s="130"/>
      <c r="H518" s="129"/>
      <c r="I518" s="129"/>
      <c r="J518" s="129"/>
      <c r="K518" s="128">
        <f>SUM(K516:K517)</f>
        <v>10.907036948046265</v>
      </c>
      <c r="L518" s="128">
        <f>SUM(L516:L517)</f>
        <v>16.89945055251113</v>
      </c>
      <c r="M518" s="128">
        <f>SUM(M516:M517)</f>
        <v>29.232085847964761</v>
      </c>
      <c r="N518" s="128">
        <f>SUM(N516:N517)</f>
        <v>38.819396020744605</v>
      </c>
      <c r="O518" s="127">
        <f>SUM(O516:O517)</f>
        <v>51.578678957845483</v>
      </c>
    </row>
    <row r="519" spans="1:15">
      <c r="A519" s="4"/>
      <c r="B519" s="4"/>
      <c r="C519" s="4"/>
      <c r="D519" s="4"/>
      <c r="E519" s="119"/>
      <c r="F519" s="121"/>
      <c r="G519" s="121"/>
      <c r="H519" s="121"/>
      <c r="I519" s="121"/>
      <c r="J519" s="121"/>
      <c r="K519" s="125"/>
      <c r="L519" s="125"/>
      <c r="M519" s="125"/>
      <c r="N519" s="125"/>
      <c r="O519" s="125"/>
    </row>
    <row r="520" spans="1:15" ht="13.8">
      <c r="A520" s="4"/>
      <c r="B520" s="4"/>
      <c r="C520" s="4"/>
      <c r="D520" s="126" t="s">
        <v>123</v>
      </c>
      <c r="E520" s="4"/>
      <c r="F520" s="121"/>
      <c r="G520" s="121"/>
      <c r="H520" s="121"/>
      <c r="I520" s="121"/>
      <c r="J520" s="121"/>
      <c r="K520" s="125"/>
      <c r="L520" s="125"/>
      <c r="M520" s="125"/>
      <c r="N520" s="125"/>
      <c r="O520" s="125"/>
    </row>
    <row r="521" spans="1:15">
      <c r="A521" s="4"/>
      <c r="B521" s="4"/>
      <c r="C521" s="4"/>
      <c r="D521" s="117" t="s">
        <v>122</v>
      </c>
      <c r="E521" s="4"/>
      <c r="F521" s="124">
        <f>N65</f>
        <v>0.15</v>
      </c>
      <c r="G521" s="4"/>
      <c r="H521" s="109"/>
      <c r="I521" s="109"/>
      <c r="J521" s="109"/>
      <c r="K521" s="109">
        <f>K$241</f>
        <v>2019</v>
      </c>
      <c r="L521" s="109">
        <f>L$241</f>
        <v>2020</v>
      </c>
      <c r="M521" s="109">
        <f>M$241</f>
        <v>2021</v>
      </c>
      <c r="N521" s="109">
        <f>N$241</f>
        <v>2022</v>
      </c>
      <c r="O521" s="109">
        <f>O$241</f>
        <v>2023</v>
      </c>
    </row>
    <row r="522" spans="1:15" ht="6" customHeight="1">
      <c r="A522" s="4"/>
      <c r="B522" s="4"/>
      <c r="C522" s="4"/>
      <c r="D522" s="4"/>
      <c r="E522" s="4"/>
      <c r="F522" s="16"/>
      <c r="G522" s="121"/>
      <c r="H522" s="109"/>
      <c r="I522" s="109"/>
      <c r="J522" s="109"/>
      <c r="K522" s="109"/>
      <c r="L522" s="109"/>
      <c r="M522" s="109"/>
      <c r="N522" s="109"/>
      <c r="O522" s="109"/>
    </row>
    <row r="523" spans="1:15">
      <c r="A523" s="4"/>
      <c r="B523" s="4"/>
      <c r="C523" s="4"/>
      <c r="D523" s="117" t="s">
        <v>121</v>
      </c>
      <c r="E523" s="4"/>
      <c r="F523" s="119"/>
      <c r="G523" s="118" t="s">
        <v>120</v>
      </c>
      <c r="H523" s="123"/>
      <c r="I523" s="123"/>
      <c r="J523" s="123"/>
      <c r="K523" s="122">
        <f>N67</f>
        <v>580.79999999999995</v>
      </c>
      <c r="L523" s="122">
        <f>K528</f>
        <v>539.92999999999995</v>
      </c>
      <c r="M523" s="122">
        <f>L528</f>
        <v>509.81549999999993</v>
      </c>
      <c r="N523" s="122">
        <f>M528</f>
        <v>485.23567499999996</v>
      </c>
      <c r="O523" s="122">
        <f>N528</f>
        <v>465.64013624999995</v>
      </c>
    </row>
    <row r="524" spans="1:15">
      <c r="A524" s="4"/>
      <c r="B524" s="4"/>
      <c r="C524" s="4"/>
      <c r="D524" s="117" t="s">
        <v>119</v>
      </c>
      <c r="E524" s="4"/>
      <c r="F524" s="119"/>
      <c r="G524" s="118" t="s">
        <v>118</v>
      </c>
      <c r="H524" s="117"/>
      <c r="I524" s="117"/>
      <c r="J524" s="117"/>
      <c r="K524" s="24">
        <f>-K390</f>
        <v>50</v>
      </c>
      <c r="L524" s="24">
        <f>-L390</f>
        <v>55</v>
      </c>
      <c r="M524" s="24">
        <f>-M390</f>
        <v>56.1</v>
      </c>
      <c r="N524" s="24">
        <f>-N390</f>
        <v>57.502499999999998</v>
      </c>
      <c r="O524" s="24">
        <f>-O390</f>
        <v>88.940062499999982</v>
      </c>
    </row>
    <row r="525" spans="1:15">
      <c r="A525" s="4"/>
      <c r="B525" s="4"/>
      <c r="C525" s="4"/>
      <c r="D525" s="117" t="s">
        <v>117</v>
      </c>
      <c r="E525" s="4"/>
      <c r="F525" s="119"/>
      <c r="G525" s="121"/>
      <c r="H525" s="117"/>
      <c r="I525" s="117"/>
      <c r="J525" s="117"/>
      <c r="K525" s="24">
        <f>K524*0.5</f>
        <v>25</v>
      </c>
      <c r="L525" s="24">
        <f>L524*0.5</f>
        <v>27.5</v>
      </c>
      <c r="M525" s="24">
        <f>M524*0.5</f>
        <v>28.05</v>
      </c>
      <c r="N525" s="24">
        <f>N524*0.5</f>
        <v>28.751249999999999</v>
      </c>
      <c r="O525" s="24">
        <f>O524*0.5</f>
        <v>44.470031249999991</v>
      </c>
    </row>
    <row r="526" spans="1:15">
      <c r="A526" s="4"/>
      <c r="B526" s="4"/>
      <c r="C526" s="4"/>
      <c r="D526" s="117" t="s">
        <v>116</v>
      </c>
      <c r="E526" s="4"/>
      <c r="F526" s="119"/>
      <c r="G526" s="121"/>
      <c r="H526" s="117"/>
      <c r="I526" s="117"/>
      <c r="J526" s="117"/>
      <c r="K526" s="24">
        <f>K525+K523</f>
        <v>605.79999999999995</v>
      </c>
      <c r="L526" s="24">
        <f>L525+L523</f>
        <v>567.42999999999995</v>
      </c>
      <c r="M526" s="24">
        <f>M525+M523</f>
        <v>537.86549999999988</v>
      </c>
      <c r="N526" s="24">
        <f>N525+N523</f>
        <v>513.98692499999993</v>
      </c>
      <c r="O526" s="24">
        <f>O525+O523</f>
        <v>510.11016749999993</v>
      </c>
    </row>
    <row r="527" spans="1:15">
      <c r="A527" s="4"/>
      <c r="B527" s="4"/>
      <c r="C527" s="4"/>
      <c r="D527" s="120" t="s">
        <v>115</v>
      </c>
      <c r="E527" s="4"/>
      <c r="F527" s="119"/>
      <c r="G527" s="118" t="s">
        <v>114</v>
      </c>
      <c r="H527" s="117"/>
      <c r="I527" s="117"/>
      <c r="J527" s="117"/>
      <c r="K527" s="49">
        <f>K526*$F$521</f>
        <v>90.86999999999999</v>
      </c>
      <c r="L527" s="49">
        <f>L526*$F$521</f>
        <v>85.114499999999992</v>
      </c>
      <c r="M527" s="49">
        <f>M526*$F$521</f>
        <v>80.67982499999998</v>
      </c>
      <c r="N527" s="49">
        <f>N526*$F$521</f>
        <v>77.098038749999986</v>
      </c>
      <c r="O527" s="49">
        <f>O526*$F$521</f>
        <v>76.516525124999987</v>
      </c>
    </row>
    <row r="528" spans="1:15">
      <c r="A528" s="4"/>
      <c r="B528" s="4"/>
      <c r="C528" s="4"/>
      <c r="D528" s="116" t="s">
        <v>113</v>
      </c>
      <c r="E528" s="4"/>
      <c r="F528" s="115"/>
      <c r="G528" s="114"/>
      <c r="H528" s="113"/>
      <c r="I528" s="113"/>
      <c r="J528" s="113"/>
      <c r="K528" s="64">
        <f>K523+K524-K527</f>
        <v>539.92999999999995</v>
      </c>
      <c r="L528" s="64">
        <f>L523+L524-L527</f>
        <v>509.81549999999993</v>
      </c>
      <c r="M528" s="64">
        <f>M523+M524-M527</f>
        <v>485.23567499999996</v>
      </c>
      <c r="N528" s="64">
        <f>N523+N524-N527</f>
        <v>465.64013624999995</v>
      </c>
      <c r="O528" s="64">
        <f>O523+O524-O527</f>
        <v>478.06367362499992</v>
      </c>
    </row>
    <row r="529" spans="1:15" ht="6" customHeight="1">
      <c r="A529" s="4"/>
      <c r="B529" s="2"/>
      <c r="C529" s="2"/>
      <c r="D529" s="2"/>
      <c r="E529" s="112"/>
      <c r="F529" s="112"/>
      <c r="G529" s="111"/>
      <c r="H529" s="111"/>
      <c r="I529" s="111"/>
      <c r="J529" s="111"/>
      <c r="K529" s="110"/>
      <c r="L529" s="110"/>
      <c r="M529" s="110"/>
      <c r="N529" s="110"/>
      <c r="O529" s="2"/>
    </row>
    <row r="530" spans="1:15">
      <c r="A530" s="4"/>
      <c r="B530" s="4"/>
      <c r="C530" s="4"/>
      <c r="D530" s="4"/>
      <c r="E530" s="4"/>
      <c r="F530" s="16"/>
      <c r="G530" s="4"/>
      <c r="H530" s="4"/>
      <c r="I530" s="4"/>
      <c r="J530" s="4"/>
      <c r="K530" s="4"/>
      <c r="L530" s="4"/>
      <c r="M530" s="4"/>
      <c r="N530" s="4"/>
      <c r="O530" s="4"/>
    </row>
    <row r="531" spans="1:15">
      <c r="A531" s="4"/>
      <c r="B531" s="4"/>
      <c r="C531" s="4"/>
      <c r="D531" s="4"/>
      <c r="E531" s="4"/>
      <c r="F531" s="16"/>
      <c r="G531" s="4"/>
      <c r="H531" s="4"/>
      <c r="I531" s="4"/>
      <c r="J531" s="4"/>
      <c r="K531" s="4"/>
      <c r="L531" s="4"/>
      <c r="M531" s="4"/>
      <c r="N531" s="4"/>
      <c r="O531" s="4"/>
    </row>
    <row r="532" spans="1:15" ht="12.75" customHeight="1">
      <c r="A532" s="4"/>
      <c r="B532" s="35"/>
      <c r="C532" s="20"/>
      <c r="D532" s="20"/>
      <c r="E532" s="20"/>
      <c r="F532" s="20"/>
      <c r="G532" s="20"/>
      <c r="H532" s="20"/>
      <c r="I532" s="20"/>
      <c r="J532" s="20"/>
      <c r="K532" s="20"/>
      <c r="L532" s="20"/>
      <c r="M532" s="20"/>
      <c r="N532" s="20"/>
      <c r="O532" s="36" t="str">
        <f>$O$235</f>
        <v>CURRENTLY RUNNING: BASE CASE SCENARIO</v>
      </c>
    </row>
    <row r="533" spans="1:15" ht="22.8" customHeight="1">
      <c r="A533" s="4"/>
      <c r="B533" s="35" t="str">
        <f>$B$3</f>
        <v>Lingoren Corp.</v>
      </c>
      <c r="C533" s="20"/>
      <c r="D533" s="20"/>
      <c r="E533" s="20"/>
      <c r="F533" s="20"/>
      <c r="G533" s="20"/>
      <c r="H533" s="20"/>
      <c r="I533" s="20"/>
      <c r="J533" s="20"/>
      <c r="K533" s="20"/>
      <c r="L533" s="20"/>
      <c r="M533" s="20"/>
      <c r="N533" s="20"/>
      <c r="O533" s="20"/>
    </row>
    <row r="534" spans="1:15" ht="18.75" customHeight="1">
      <c r="A534" s="4"/>
      <c r="B534" s="34" t="s">
        <v>112</v>
      </c>
      <c r="C534" s="20"/>
      <c r="D534" s="20"/>
      <c r="E534" s="20"/>
      <c r="F534" s="20"/>
      <c r="G534" s="20"/>
      <c r="H534" s="20"/>
      <c r="I534" s="20"/>
      <c r="J534" s="20"/>
      <c r="K534" s="20"/>
      <c r="L534" s="20"/>
      <c r="M534" s="20"/>
      <c r="N534" s="20"/>
      <c r="O534" s="20"/>
    </row>
    <row r="535" spans="1:15" ht="6" customHeight="1" thickBot="1">
      <c r="A535" s="4"/>
      <c r="B535" s="33"/>
      <c r="C535" s="32"/>
      <c r="D535" s="32"/>
      <c r="E535" s="32"/>
      <c r="F535" s="32"/>
      <c r="G535" s="32"/>
      <c r="H535" s="32"/>
      <c r="I535" s="32"/>
      <c r="J535" s="32"/>
      <c r="K535" s="32"/>
      <c r="L535" s="32"/>
      <c r="M535" s="32"/>
      <c r="N535" s="32"/>
      <c r="O535" s="32"/>
    </row>
    <row r="536" spans="1:15" ht="12.75" customHeight="1">
      <c r="A536" s="4"/>
      <c r="B536" s="31" t="s">
        <v>25</v>
      </c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30"/>
    </row>
    <row r="537" spans="1:15" ht="13.8">
      <c r="A537" s="4"/>
      <c r="B537" s="4"/>
      <c r="C537" s="4"/>
      <c r="D537" s="4"/>
      <c r="E537" s="4"/>
      <c r="F537" s="4"/>
      <c r="G537" s="4"/>
      <c r="H537" s="20"/>
      <c r="I537" s="20"/>
      <c r="J537" s="20"/>
      <c r="K537" s="14" t="s">
        <v>24</v>
      </c>
      <c r="L537" s="13"/>
      <c r="M537" s="13"/>
      <c r="N537" s="13"/>
      <c r="O537" s="13"/>
    </row>
    <row r="538" spans="1:15">
      <c r="A538" s="4"/>
      <c r="B538" s="4"/>
      <c r="C538" s="4"/>
      <c r="D538" s="4"/>
      <c r="E538" s="4"/>
      <c r="F538" s="4"/>
      <c r="G538" s="29"/>
      <c r="H538" s="109"/>
      <c r="I538" s="28">
        <f>I241</f>
        <v>2017</v>
      </c>
      <c r="J538" s="670">
        <f>K538-1</f>
        <v>2018</v>
      </c>
      <c r="K538" s="10">
        <f t="shared" ref="K538:O538" si="51">K$241</f>
        <v>2019</v>
      </c>
      <c r="L538" s="10">
        <f t="shared" si="51"/>
        <v>2020</v>
      </c>
      <c r="M538" s="10">
        <f t="shared" si="51"/>
        <v>2021</v>
      </c>
      <c r="N538" s="10">
        <f t="shared" si="51"/>
        <v>2022</v>
      </c>
      <c r="O538" s="10">
        <f t="shared" si="51"/>
        <v>2023</v>
      </c>
    </row>
    <row r="539" spans="1:15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</row>
    <row r="540" spans="1:15">
      <c r="A540" s="4"/>
      <c r="B540" s="108" t="s">
        <v>111</v>
      </c>
      <c r="C540" s="106"/>
      <c r="D540" s="106"/>
      <c r="E540" s="106"/>
      <c r="F540" s="107" t="s">
        <v>106</v>
      </c>
      <c r="G540" s="106"/>
      <c r="H540" s="106"/>
      <c r="I540" s="106"/>
      <c r="J540" s="105">
        <f t="shared" ref="J540:O540" si="52">DATE(J538,12,31)-DATE(I538,12,31)</f>
        <v>365</v>
      </c>
      <c r="K540" s="105">
        <f t="shared" si="52"/>
        <v>365</v>
      </c>
      <c r="L540" s="105">
        <f t="shared" si="52"/>
        <v>366</v>
      </c>
      <c r="M540" s="105">
        <f t="shared" si="52"/>
        <v>365</v>
      </c>
      <c r="N540" s="105">
        <f t="shared" si="52"/>
        <v>365</v>
      </c>
      <c r="O540" s="104">
        <f t="shared" si="52"/>
        <v>365</v>
      </c>
    </row>
    <row r="541" spans="1:15">
      <c r="A541" s="4"/>
      <c r="B541" s="4"/>
      <c r="C541" s="4"/>
      <c r="D541" s="4"/>
      <c r="E541" s="4"/>
      <c r="F541" s="69"/>
      <c r="G541" s="4"/>
      <c r="H541" s="4"/>
      <c r="I541" s="4"/>
      <c r="J541" s="4"/>
      <c r="K541" s="4"/>
      <c r="L541" s="4"/>
      <c r="M541" s="4"/>
      <c r="N541" s="4"/>
      <c r="O541" s="4"/>
    </row>
    <row r="542" spans="1:15">
      <c r="A542" s="4"/>
      <c r="B542" s="65" t="s">
        <v>110</v>
      </c>
      <c r="C542" s="4"/>
      <c r="D542" s="4"/>
      <c r="E542" s="4"/>
      <c r="F542" s="69"/>
      <c r="G542" s="4"/>
      <c r="H542" s="4"/>
      <c r="I542" s="4"/>
      <c r="J542" s="4"/>
      <c r="K542" s="4"/>
      <c r="L542" s="4"/>
      <c r="M542" s="4"/>
      <c r="N542" s="4"/>
      <c r="O542" s="4"/>
    </row>
    <row r="543" spans="1:15">
      <c r="A543" s="4"/>
      <c r="B543" s="4"/>
      <c r="C543" s="4" t="s">
        <v>109</v>
      </c>
      <c r="D543" s="4"/>
      <c r="E543" s="4"/>
      <c r="F543" s="69" t="s">
        <v>99</v>
      </c>
      <c r="G543" s="4"/>
      <c r="H543" s="4"/>
      <c r="I543" s="4"/>
      <c r="J543" s="73">
        <f t="shared" ref="J543:O543" si="53">J337</f>
        <v>980.69776400000001</v>
      </c>
      <c r="K543" s="73">
        <f t="shared" si="53"/>
        <v>1035.4868160000001</v>
      </c>
      <c r="L543" s="73">
        <f t="shared" si="53"/>
        <v>1095.3790848000001</v>
      </c>
      <c r="M543" s="73">
        <f t="shared" si="53"/>
        <v>1159.0106516352</v>
      </c>
      <c r="N543" s="73">
        <f t="shared" si="53"/>
        <v>1225.4742713041921</v>
      </c>
      <c r="O543" s="73">
        <f t="shared" si="53"/>
        <v>1284.3978</v>
      </c>
    </row>
    <row r="544" spans="1:15">
      <c r="A544" s="4"/>
      <c r="B544" s="4"/>
      <c r="C544" s="4" t="s">
        <v>108</v>
      </c>
      <c r="D544" s="4"/>
      <c r="E544" s="4"/>
      <c r="F544" s="69" t="s">
        <v>99</v>
      </c>
      <c r="G544" s="4"/>
      <c r="H544" s="4"/>
      <c r="I544" s="4"/>
      <c r="J544" s="73">
        <f t="shared" ref="J544:O544" si="54">J339</f>
        <v>793.40370370370374</v>
      </c>
      <c r="K544" s="73">
        <f t="shared" si="54"/>
        <v>861.00337777777793</v>
      </c>
      <c r="L544" s="73">
        <f t="shared" si="54"/>
        <v>908.80715749894739</v>
      </c>
      <c r="M544" s="73">
        <f t="shared" si="54"/>
        <v>942.96470813155213</v>
      </c>
      <c r="N544" s="73">
        <f t="shared" si="54"/>
        <v>986.45309821402907</v>
      </c>
      <c r="O544" s="73">
        <f t="shared" si="54"/>
        <v>1012.8343956621063</v>
      </c>
    </row>
    <row r="545" spans="1:15">
      <c r="A545" s="4"/>
      <c r="B545" s="4"/>
      <c r="C545" s="4"/>
      <c r="D545" s="4"/>
      <c r="E545" s="4"/>
      <c r="F545" s="69"/>
      <c r="G545" s="4"/>
      <c r="H545" s="4"/>
      <c r="I545" s="4"/>
      <c r="J545" s="4"/>
      <c r="K545" s="4"/>
      <c r="L545" s="4"/>
      <c r="M545" s="4"/>
      <c r="N545" s="4"/>
      <c r="O545" s="4"/>
    </row>
    <row r="546" spans="1:15">
      <c r="A546" s="4"/>
      <c r="B546" s="101" t="s">
        <v>107</v>
      </c>
      <c r="C546" s="94"/>
      <c r="D546" s="4"/>
      <c r="E546" s="4"/>
      <c r="F546" s="69"/>
      <c r="G546" s="4"/>
      <c r="H546" s="4"/>
      <c r="I546" s="4"/>
      <c r="J546" s="4"/>
      <c r="K546" s="4"/>
      <c r="L546" s="4"/>
      <c r="M546" s="4"/>
      <c r="N546" s="4"/>
      <c r="O546" s="4"/>
    </row>
    <row r="547" spans="1:15">
      <c r="A547" s="4"/>
      <c r="B547" s="92"/>
      <c r="C547" s="94" t="s">
        <v>104</v>
      </c>
      <c r="D547" s="4"/>
      <c r="E547" s="4"/>
      <c r="F547" s="69" t="s">
        <v>106</v>
      </c>
      <c r="G547" s="103"/>
      <c r="H547" s="102"/>
      <c r="I547" s="102"/>
      <c r="J547" s="98">
        <f>J552/J543*J540</f>
        <v>34.315363239677993</v>
      </c>
      <c r="K547" s="98">
        <f t="shared" ref="K547:O549" si="55">G118</f>
        <v>32</v>
      </c>
      <c r="L547" s="98">
        <f t="shared" si="55"/>
        <v>30</v>
      </c>
      <c r="M547" s="98">
        <f t="shared" si="55"/>
        <v>30</v>
      </c>
      <c r="N547" s="98">
        <f t="shared" si="55"/>
        <v>30</v>
      </c>
      <c r="O547" s="98">
        <f t="shared" si="55"/>
        <v>30</v>
      </c>
    </row>
    <row r="548" spans="1:15">
      <c r="A548" s="4"/>
      <c r="B548" s="92"/>
      <c r="C548" s="100" t="s">
        <v>103</v>
      </c>
      <c r="D548" s="4"/>
      <c r="E548" s="4"/>
      <c r="F548" s="69" t="s">
        <v>106</v>
      </c>
      <c r="G548" s="103"/>
      <c r="H548" s="102"/>
      <c r="I548" s="102"/>
      <c r="J548" s="98">
        <f>J553/J544*J540</f>
        <v>40.575812602990396</v>
      </c>
      <c r="K548" s="606">
        <f t="shared" si="55"/>
        <v>40</v>
      </c>
      <c r="L548" s="606">
        <f t="shared" si="55"/>
        <v>38</v>
      </c>
      <c r="M548" s="606">
        <f t="shared" si="55"/>
        <v>37</v>
      </c>
      <c r="N548" s="606">
        <f t="shared" si="55"/>
        <v>37</v>
      </c>
      <c r="O548" s="606">
        <f t="shared" si="55"/>
        <v>37</v>
      </c>
    </row>
    <row r="549" spans="1:15">
      <c r="A549" s="4"/>
      <c r="B549" s="92"/>
      <c r="C549" s="94" t="s">
        <v>102</v>
      </c>
      <c r="D549" s="4"/>
      <c r="E549" s="4"/>
      <c r="F549" s="69" t="s">
        <v>106</v>
      </c>
      <c r="G549" s="103"/>
      <c r="H549" s="102"/>
      <c r="I549" s="102"/>
      <c r="J549" s="98">
        <f>J554/J544*J540</f>
        <v>27.694602252834713</v>
      </c>
      <c r="K549" s="98">
        <f t="shared" si="55"/>
        <v>27</v>
      </c>
      <c r="L549" s="98">
        <f t="shared" si="55"/>
        <v>28</v>
      </c>
      <c r="M549" s="98">
        <f t="shared" si="55"/>
        <v>29</v>
      </c>
      <c r="N549" s="98">
        <f t="shared" si="55"/>
        <v>29</v>
      </c>
      <c r="O549" s="98">
        <f t="shared" si="55"/>
        <v>29</v>
      </c>
    </row>
    <row r="550" spans="1:15">
      <c r="A550" s="4"/>
      <c r="B550" s="92"/>
      <c r="C550" s="94"/>
      <c r="D550" s="4"/>
      <c r="E550" s="4"/>
      <c r="F550" s="69"/>
      <c r="G550" s="4"/>
      <c r="H550" s="90"/>
      <c r="I550" s="90"/>
      <c r="J550" s="90"/>
      <c r="K550" s="90"/>
      <c r="L550" s="90"/>
      <c r="M550" s="90"/>
      <c r="N550" s="90"/>
      <c r="O550" s="90"/>
    </row>
    <row r="551" spans="1:15">
      <c r="A551" s="4"/>
      <c r="B551" s="101" t="s">
        <v>105</v>
      </c>
      <c r="C551" s="94"/>
      <c r="D551" s="4"/>
      <c r="E551" s="4"/>
      <c r="F551" s="69"/>
      <c r="G551" s="4"/>
      <c r="H551" s="90"/>
      <c r="I551" s="90"/>
      <c r="J551" s="90"/>
      <c r="K551" s="90"/>
      <c r="L551" s="90"/>
      <c r="M551" s="90"/>
      <c r="N551" s="90"/>
      <c r="O551" s="90"/>
    </row>
    <row r="552" spans="1:15">
      <c r="A552" s="4"/>
      <c r="B552" s="92"/>
      <c r="C552" s="94" t="s">
        <v>104</v>
      </c>
      <c r="D552" s="4"/>
      <c r="E552" s="4"/>
      <c r="F552" s="69" t="s">
        <v>99</v>
      </c>
      <c r="G552" s="4"/>
      <c r="H552" s="4"/>
      <c r="I552" s="99"/>
      <c r="J552" s="98">
        <f>J425</f>
        <v>92.2</v>
      </c>
      <c r="K552" s="98">
        <f>K543/K540*K547</f>
        <v>90.782405786301382</v>
      </c>
      <c r="L552" s="98">
        <f>L543/L540*L547</f>
        <v>89.785170885245904</v>
      </c>
      <c r="M552" s="98">
        <f>M543/M540*M547</f>
        <v>95.261149449468491</v>
      </c>
      <c r="N552" s="98">
        <f>N543/N540*N547</f>
        <v>100.7239127099336</v>
      </c>
      <c r="O552" s="98">
        <f>O543/O540*O547</f>
        <v>105.56694246575341</v>
      </c>
    </row>
    <row r="553" spans="1:15">
      <c r="A553" s="4"/>
      <c r="B553" s="92"/>
      <c r="C553" s="100" t="s">
        <v>103</v>
      </c>
      <c r="D553" s="4"/>
      <c r="E553" s="4"/>
      <c r="F553" s="69" t="s">
        <v>99</v>
      </c>
      <c r="G553" s="4"/>
      <c r="H553" s="4"/>
      <c r="I553" s="99"/>
      <c r="J553" s="98">
        <f>J426</f>
        <v>88.2</v>
      </c>
      <c r="K553" s="605">
        <f>K544/K540*K548</f>
        <v>94.356534550989366</v>
      </c>
      <c r="L553" s="605">
        <f>L544/L540*L548</f>
        <v>94.357027281311474</v>
      </c>
      <c r="M553" s="605">
        <f>M544/M540*M548</f>
        <v>95.588203290047744</v>
      </c>
      <c r="N553" s="605">
        <f>N544/N540*N548</f>
        <v>99.99661543539473</v>
      </c>
      <c r="O553" s="605">
        <f>O544/O540*O548</f>
        <v>102.67088394382995</v>
      </c>
    </row>
    <row r="554" spans="1:15">
      <c r="A554" s="4"/>
      <c r="B554" s="92"/>
      <c r="C554" s="94" t="s">
        <v>102</v>
      </c>
      <c r="D554" s="4"/>
      <c r="E554" s="4"/>
      <c r="F554" s="69" t="s">
        <v>99</v>
      </c>
      <c r="G554" s="4"/>
      <c r="H554" s="4"/>
      <c r="I554" s="97"/>
      <c r="J554" s="96">
        <f>J438</f>
        <v>60.2</v>
      </c>
      <c r="K554" s="96">
        <f>K544/K540*K549</f>
        <v>63.690660821917824</v>
      </c>
      <c r="L554" s="96">
        <f>L544/L540*L549</f>
        <v>69.526230628334773</v>
      </c>
      <c r="M554" s="96">
        <f>M544/M540*M549</f>
        <v>74.920483659767157</v>
      </c>
      <c r="N554" s="96">
        <f>N544/N540*N549</f>
        <v>78.375725611525596</v>
      </c>
      <c r="O554" s="96">
        <f>O544/O540*O549</f>
        <v>80.47177390192077</v>
      </c>
    </row>
    <row r="555" spans="1:15">
      <c r="A555" s="4"/>
      <c r="B555" s="92"/>
      <c r="C555" s="93" t="s">
        <v>101</v>
      </c>
      <c r="D555" s="65"/>
      <c r="E555" s="65"/>
      <c r="F555" s="91" t="s">
        <v>99</v>
      </c>
      <c r="G555" s="4"/>
      <c r="H555" s="4"/>
      <c r="I555" s="90"/>
      <c r="J555" s="95">
        <f t="shared" ref="J555:O555" si="56">J552+J553-J554</f>
        <v>120.2</v>
      </c>
      <c r="K555" s="95">
        <f t="shared" si="56"/>
        <v>121.44827951537295</v>
      </c>
      <c r="L555" s="95">
        <f t="shared" si="56"/>
        <v>114.61596753822259</v>
      </c>
      <c r="M555" s="95">
        <f t="shared" si="56"/>
        <v>115.92886907974908</v>
      </c>
      <c r="N555" s="95">
        <f t="shared" si="56"/>
        <v>122.34480253380273</v>
      </c>
      <c r="O555" s="95">
        <f t="shared" si="56"/>
        <v>127.76605250766259</v>
      </c>
    </row>
    <row r="556" spans="1:15">
      <c r="A556" s="4"/>
      <c r="B556" s="92"/>
      <c r="C556" s="94"/>
      <c r="D556" s="4"/>
      <c r="E556" s="4"/>
      <c r="F556" s="69"/>
      <c r="G556" s="4"/>
      <c r="H556" s="90"/>
      <c r="I556" s="90"/>
      <c r="J556" s="90"/>
      <c r="K556" s="90"/>
      <c r="L556" s="90"/>
      <c r="M556" s="90"/>
      <c r="N556" s="90"/>
      <c r="O556" s="90"/>
    </row>
    <row r="557" spans="1:15" ht="13.8" thickBot="1">
      <c r="A557" s="4"/>
      <c r="B557" s="93" t="s">
        <v>100</v>
      </c>
      <c r="C557" s="92"/>
      <c r="D557" s="4"/>
      <c r="E557" s="4"/>
      <c r="F557" s="91" t="s">
        <v>99</v>
      </c>
      <c r="G557" s="4"/>
      <c r="H557" s="90"/>
      <c r="I557" s="90"/>
      <c r="J557" s="89"/>
      <c r="K557" s="188">
        <f>J555-K555</f>
        <v>-1.2482795153729427</v>
      </c>
      <c r="L557" s="188">
        <f>K555-L555</f>
        <v>6.8323119771503542</v>
      </c>
      <c r="M557" s="604">
        <f>L555-M555</f>
        <v>-1.312901541526486</v>
      </c>
      <c r="N557" s="604">
        <f>M555-N555</f>
        <v>-6.4159334540536577</v>
      </c>
      <c r="O557" s="604">
        <f>N555-O555</f>
        <v>-5.4212499738598581</v>
      </c>
    </row>
    <row r="558" spans="1:15" ht="13.8" thickTop="1">
      <c r="A558" s="4"/>
      <c r="B558" s="4"/>
      <c r="C558" s="87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</row>
    <row r="559" spans="1:15">
      <c r="A559" s="4"/>
      <c r="B559" s="2"/>
      <c r="C559" s="86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</row>
    <row r="560" spans="1:15">
      <c r="A560" s="4"/>
      <c r="B560" s="4"/>
      <c r="C560" s="4"/>
      <c r="D560" s="4"/>
      <c r="E560" s="4"/>
      <c r="F560" s="16"/>
      <c r="G560" s="4"/>
      <c r="H560" s="4"/>
      <c r="I560" s="4"/>
      <c r="J560" s="4"/>
      <c r="K560" s="4"/>
      <c r="L560" s="4"/>
      <c r="M560" s="4"/>
      <c r="N560" s="4"/>
      <c r="O560" s="4"/>
    </row>
    <row r="561" spans="1:15">
      <c r="A561" s="4"/>
      <c r="B561" s="4"/>
      <c r="C561" s="4"/>
      <c r="D561" s="4"/>
      <c r="E561" s="4"/>
      <c r="F561" s="16"/>
      <c r="G561" s="4"/>
      <c r="H561" s="4"/>
      <c r="I561" s="4"/>
      <c r="J561" s="4"/>
      <c r="K561" s="4"/>
      <c r="L561" s="4"/>
      <c r="M561" s="4"/>
      <c r="N561" s="4"/>
      <c r="O561" s="4"/>
    </row>
    <row r="562" spans="1:15" ht="12.75" customHeight="1">
      <c r="A562" s="4"/>
      <c r="B562" s="35"/>
      <c r="C562" s="20"/>
      <c r="D562" s="20"/>
      <c r="E562" s="20"/>
      <c r="F562" s="20"/>
      <c r="G562" s="20"/>
      <c r="H562" s="20"/>
      <c r="I562" s="20"/>
      <c r="J562" s="20"/>
      <c r="K562" s="20"/>
      <c r="L562" s="20"/>
      <c r="M562" s="20"/>
      <c r="N562" s="20"/>
      <c r="O562" s="36" t="str">
        <f>$O$235</f>
        <v>CURRENTLY RUNNING: BASE CASE SCENARIO</v>
      </c>
    </row>
    <row r="563" spans="1:15" ht="22.8" customHeight="1">
      <c r="A563" s="4"/>
      <c r="B563" s="35" t="str">
        <f>$B$3</f>
        <v>Lingoren Corp.</v>
      </c>
      <c r="C563" s="20"/>
      <c r="D563" s="20"/>
      <c r="E563" s="20"/>
      <c r="F563" s="20"/>
      <c r="G563" s="20"/>
      <c r="H563" s="20"/>
      <c r="I563" s="20"/>
      <c r="J563" s="20"/>
      <c r="K563" s="20"/>
      <c r="L563" s="20"/>
      <c r="M563" s="20"/>
      <c r="N563" s="20"/>
      <c r="O563" s="20"/>
    </row>
    <row r="564" spans="1:15" ht="18.75" customHeight="1">
      <c r="A564" s="4"/>
      <c r="B564" s="34" t="s">
        <v>98</v>
      </c>
      <c r="C564" s="20"/>
      <c r="D564" s="20"/>
      <c r="E564" s="20"/>
      <c r="F564" s="20"/>
      <c r="G564" s="20"/>
      <c r="H564" s="20"/>
      <c r="I564" s="20"/>
      <c r="J564" s="20"/>
      <c r="K564" s="20"/>
      <c r="L564" s="20"/>
      <c r="M564" s="20"/>
      <c r="N564" s="20"/>
      <c r="O564" s="20"/>
    </row>
    <row r="565" spans="1:15" ht="6" customHeight="1" thickBot="1">
      <c r="A565" s="4"/>
      <c r="B565" s="33"/>
      <c r="C565" s="32"/>
      <c r="D565" s="32"/>
      <c r="E565" s="32"/>
      <c r="F565" s="32"/>
      <c r="G565" s="32"/>
      <c r="H565" s="32"/>
      <c r="I565" s="32"/>
      <c r="J565" s="32"/>
      <c r="K565" s="32"/>
      <c r="L565" s="32"/>
      <c r="M565" s="32"/>
      <c r="N565" s="32"/>
      <c r="O565" s="32"/>
    </row>
    <row r="566" spans="1:15" ht="12.75" customHeight="1">
      <c r="A566" s="4"/>
      <c r="B566" s="31" t="s">
        <v>25</v>
      </c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30"/>
    </row>
    <row r="567" spans="1:15" ht="13.8">
      <c r="A567" s="4"/>
      <c r="B567" s="4"/>
      <c r="C567" s="4"/>
      <c r="D567" s="4"/>
      <c r="E567" s="4"/>
      <c r="F567" s="4"/>
      <c r="G567" s="4"/>
      <c r="H567" s="20"/>
      <c r="I567" s="20"/>
      <c r="J567" s="20"/>
      <c r="K567" s="14" t="s">
        <v>24</v>
      </c>
      <c r="L567" s="13"/>
      <c r="M567" s="13"/>
      <c r="N567" s="13"/>
      <c r="O567" s="13"/>
    </row>
    <row r="568" spans="1:15">
      <c r="A568" s="4"/>
      <c r="B568" s="4"/>
      <c r="C568" s="4"/>
      <c r="D568" s="4"/>
      <c r="E568" s="4"/>
      <c r="F568" s="4"/>
      <c r="G568" s="29"/>
      <c r="H568" s="28"/>
      <c r="I568" s="28"/>
      <c r="J568" s="670">
        <f>K568-1</f>
        <v>2018</v>
      </c>
      <c r="K568" s="10">
        <f t="shared" ref="K568:O568" si="57">K$241</f>
        <v>2019</v>
      </c>
      <c r="L568" s="10">
        <f t="shared" si="57"/>
        <v>2020</v>
      </c>
      <c r="M568" s="10">
        <f t="shared" si="57"/>
        <v>2021</v>
      </c>
      <c r="N568" s="10">
        <f t="shared" si="57"/>
        <v>2022</v>
      </c>
      <c r="O568" s="10">
        <f t="shared" si="57"/>
        <v>2023</v>
      </c>
    </row>
    <row r="569" spans="1:15" ht="6" customHeight="1">
      <c r="A569" s="4"/>
      <c r="B569" s="4"/>
      <c r="C569" s="4"/>
      <c r="D569" s="4"/>
      <c r="E569" s="4"/>
      <c r="F569" s="16"/>
      <c r="G569" s="4"/>
      <c r="H569" s="4"/>
      <c r="I569" s="4"/>
      <c r="J569" s="4"/>
      <c r="K569" s="4"/>
      <c r="L569" s="4"/>
      <c r="M569" s="4"/>
      <c r="N569" s="4"/>
      <c r="O569" s="4"/>
    </row>
    <row r="570" spans="1:15">
      <c r="A570" s="4"/>
      <c r="B570" s="84" t="s">
        <v>83</v>
      </c>
      <c r="C570" s="82"/>
      <c r="D570" s="82"/>
      <c r="E570" s="82"/>
      <c r="F570" s="83"/>
      <c r="G570" s="82"/>
      <c r="H570" s="82"/>
      <c r="I570" s="82"/>
      <c r="J570" s="82"/>
      <c r="K570" s="81">
        <f>I229</f>
        <v>7.4999999999999997E-3</v>
      </c>
      <c r="L570" s="81">
        <f>J229</f>
        <v>7.4999999999999997E-3</v>
      </c>
      <c r="M570" s="81">
        <f>K229</f>
        <v>7.4999999999999997E-3</v>
      </c>
      <c r="N570" s="81">
        <f>L229</f>
        <v>0.01</v>
      </c>
      <c r="O570" s="80">
        <f>M229</f>
        <v>0.01</v>
      </c>
    </row>
    <row r="571" spans="1:15">
      <c r="A571" s="4"/>
      <c r="B571" s="79" t="s">
        <v>2</v>
      </c>
      <c r="C571" s="17"/>
      <c r="D571" s="17"/>
      <c r="E571" s="17"/>
      <c r="F571" s="18"/>
      <c r="G571" s="17"/>
      <c r="H571" s="17"/>
      <c r="I571" s="17"/>
      <c r="J571" s="26">
        <f t="shared" ref="J571:O571" si="58">(J588+J600+J623+J633+J665)/J344</f>
        <v>6</v>
      </c>
      <c r="K571" s="26">
        <f t="shared" si="58"/>
        <v>6.5270689839665028</v>
      </c>
      <c r="L571" s="26">
        <f t="shared" si="58"/>
        <v>5.4257870145427134</v>
      </c>
      <c r="M571" s="26">
        <f t="shared" si="58"/>
        <v>4.1291007505231017</v>
      </c>
      <c r="N571" s="26">
        <f t="shared" si="58"/>
        <v>3.3503724218847548</v>
      </c>
      <c r="O571" s="78">
        <f t="shared" si="58"/>
        <v>2.5688881967245165</v>
      </c>
    </row>
    <row r="572" spans="1:15" ht="12.75" customHeight="1">
      <c r="A572" s="4"/>
      <c r="B572" s="4"/>
      <c r="C572" s="4"/>
      <c r="D572" s="4"/>
      <c r="E572" s="4"/>
      <c r="F572" s="16"/>
      <c r="G572" s="4"/>
      <c r="H572" s="4"/>
      <c r="I572" s="4"/>
      <c r="J572" s="4"/>
      <c r="K572" s="4"/>
      <c r="L572" s="4"/>
      <c r="M572" s="4"/>
      <c r="N572" s="4"/>
      <c r="O572" s="4"/>
    </row>
    <row r="573" spans="1:15" ht="12.75" customHeight="1">
      <c r="A573" s="4"/>
      <c r="B573" s="4"/>
      <c r="C573" s="65" t="s">
        <v>43</v>
      </c>
      <c r="D573" s="4"/>
      <c r="E573" s="4"/>
      <c r="F573" s="16"/>
      <c r="G573" s="4"/>
      <c r="H573" s="4"/>
      <c r="I573" s="4"/>
      <c r="J573" s="4"/>
      <c r="K573" s="4"/>
      <c r="L573" s="4"/>
      <c r="M573" s="4"/>
      <c r="N573" s="4"/>
      <c r="O573" s="4"/>
    </row>
    <row r="574" spans="1:15">
      <c r="A574" s="4"/>
      <c r="B574" s="4"/>
      <c r="C574" s="4"/>
      <c r="D574" s="4" t="s">
        <v>51</v>
      </c>
      <c r="E574" s="4"/>
      <c r="F574" s="16"/>
      <c r="G574" s="4"/>
      <c r="H574" s="4"/>
      <c r="I574" s="4"/>
      <c r="J574" s="4"/>
      <c r="K574" s="24">
        <f>J576</f>
        <v>0</v>
      </c>
      <c r="L574" s="24">
        <f>K576</f>
        <v>0</v>
      </c>
      <c r="M574" s="24">
        <f>L576</f>
        <v>0</v>
      </c>
      <c r="N574" s="24">
        <f>M576</f>
        <v>2.584425977602649</v>
      </c>
      <c r="O574" s="24">
        <f>N576</f>
        <v>12.775904259759869</v>
      </c>
    </row>
    <row r="575" spans="1:15">
      <c r="A575" s="4"/>
      <c r="B575" s="4"/>
      <c r="C575" s="4"/>
      <c r="D575" s="4" t="s">
        <v>97</v>
      </c>
      <c r="E575" s="4"/>
      <c r="F575" s="16"/>
      <c r="G575" s="4"/>
      <c r="H575" s="4"/>
      <c r="I575" s="4"/>
      <c r="J575" s="2"/>
      <c r="K575" s="49">
        <f>K408</f>
        <v>0</v>
      </c>
      <c r="L575" s="49">
        <f>L408</f>
        <v>0</v>
      </c>
      <c r="M575" s="49">
        <f>M408</f>
        <v>2.584425977602649</v>
      </c>
      <c r="N575" s="49">
        <f>N408</f>
        <v>10.19147828215722</v>
      </c>
      <c r="O575" s="49">
        <f>O408</f>
        <v>-12.775904259759869</v>
      </c>
    </row>
    <row r="576" spans="1:15">
      <c r="A576" s="4"/>
      <c r="B576" s="4"/>
      <c r="C576" s="4"/>
      <c r="D576" s="4" t="s">
        <v>47</v>
      </c>
      <c r="E576" s="4"/>
      <c r="F576" s="16"/>
      <c r="G576" s="4"/>
      <c r="H576" s="4"/>
      <c r="I576" s="76"/>
      <c r="J576" s="27">
        <f>J424</f>
        <v>0</v>
      </c>
      <c r="K576" s="27">
        <f>SUM(K574:K575)</f>
        <v>0</v>
      </c>
      <c r="L576" s="27">
        <f>SUM(L574:L575)</f>
        <v>0</v>
      </c>
      <c r="M576" s="27">
        <f>SUM(M574:M575)</f>
        <v>2.584425977602649</v>
      </c>
      <c r="N576" s="27">
        <f>SUM(N574:N575)</f>
        <v>12.775904259759869</v>
      </c>
      <c r="O576" s="27">
        <f>SUM(O574:O575)</f>
        <v>0</v>
      </c>
    </row>
    <row r="577" spans="1:15" ht="6" customHeight="1">
      <c r="A577" s="4"/>
      <c r="B577" s="4"/>
      <c r="C577" s="4"/>
      <c r="D577" s="4"/>
      <c r="E577" s="4"/>
      <c r="F577" s="16"/>
      <c r="G577" s="4"/>
      <c r="H577" s="4"/>
      <c r="I577" s="4"/>
      <c r="J577" s="4"/>
      <c r="K577" s="4"/>
      <c r="L577" s="4"/>
      <c r="M577" s="4"/>
      <c r="N577" s="4"/>
      <c r="O577" s="4"/>
    </row>
    <row r="578" spans="1:15">
      <c r="A578" s="4"/>
      <c r="B578" s="4"/>
      <c r="C578" s="4"/>
      <c r="D578" s="4" t="s">
        <v>74</v>
      </c>
      <c r="E578" s="4"/>
      <c r="F578" s="16"/>
      <c r="G578" s="4"/>
      <c r="H578" s="4"/>
      <c r="I578" s="4"/>
      <c r="J578" s="4"/>
      <c r="K578" s="75">
        <f>-$I$20</f>
        <v>-5.0000000000000001E-3</v>
      </c>
      <c r="L578" s="75">
        <f>-$I$20</f>
        <v>-5.0000000000000001E-3</v>
      </c>
      <c r="M578" s="75">
        <f>-$I$20</f>
        <v>-5.0000000000000001E-3</v>
      </c>
      <c r="N578" s="75">
        <f>-$I$20</f>
        <v>-5.0000000000000001E-3</v>
      </c>
      <c r="O578" s="75">
        <f>-$I$20</f>
        <v>-5.0000000000000001E-3</v>
      </c>
    </row>
    <row r="579" spans="1:15">
      <c r="A579" s="4"/>
      <c r="B579" s="4"/>
      <c r="C579" s="4"/>
      <c r="D579" s="4" t="str">
        <f>CONCATENATE("Interest Rate (LIBOR minus ",I20*10000," bp)")</f>
        <v>Interest Rate (LIBOR minus 50 bp)</v>
      </c>
      <c r="E579" s="4"/>
      <c r="F579" s="16"/>
      <c r="G579" s="4"/>
      <c r="H579" s="4"/>
      <c r="I579" s="4"/>
      <c r="J579" s="4"/>
      <c r="K579" s="85">
        <f>K570+K578</f>
        <v>2.4999999999999996E-3</v>
      </c>
      <c r="L579" s="85">
        <f>L570+L578</f>
        <v>2.4999999999999996E-3</v>
      </c>
      <c r="M579" s="85">
        <f>M570+M578</f>
        <v>2.4999999999999996E-3</v>
      </c>
      <c r="N579" s="85">
        <f>N570+N578</f>
        <v>5.0000000000000001E-3</v>
      </c>
      <c r="O579" s="85">
        <f>O570+O578</f>
        <v>5.0000000000000001E-3</v>
      </c>
    </row>
    <row r="580" spans="1:15">
      <c r="A580" s="4"/>
      <c r="B580" s="4"/>
      <c r="C580" s="4"/>
      <c r="D580" s="65" t="s">
        <v>96</v>
      </c>
      <c r="E580" s="4"/>
      <c r="F580" s="16"/>
      <c r="G580" s="4"/>
      <c r="H580" s="4"/>
      <c r="I580" s="4"/>
      <c r="J580" s="4"/>
      <c r="K580" s="67">
        <f>J576*K579</f>
        <v>0</v>
      </c>
      <c r="L580" s="67">
        <f>K576*L579</f>
        <v>0</v>
      </c>
      <c r="M580" s="67">
        <f>L576*M579</f>
        <v>0</v>
      </c>
      <c r="N580" s="67">
        <f>M576*N579</f>
        <v>1.2922129888013245E-2</v>
      </c>
      <c r="O580" s="67">
        <f>N576*O579</f>
        <v>6.3879521298799341E-2</v>
      </c>
    </row>
    <row r="581" spans="1:15" ht="12.75" customHeight="1">
      <c r="A581" s="4"/>
      <c r="B581" s="4"/>
      <c r="C581" s="4"/>
      <c r="D581" s="4"/>
      <c r="E581" s="4"/>
      <c r="F581" s="16"/>
      <c r="G581" s="4"/>
      <c r="H581" s="4"/>
      <c r="I581" s="4"/>
      <c r="J581" s="4"/>
      <c r="K581" s="4"/>
      <c r="L581" s="4"/>
      <c r="M581" s="4"/>
      <c r="N581" s="4"/>
      <c r="O581" s="4"/>
    </row>
    <row r="582" spans="1:15" ht="12.75" customHeight="1">
      <c r="A582" s="4"/>
      <c r="B582" s="4"/>
      <c r="C582" s="4"/>
      <c r="D582" s="4"/>
      <c r="E582" s="4"/>
      <c r="F582" s="16"/>
      <c r="G582" s="4"/>
      <c r="H582" s="4"/>
      <c r="I582" s="4"/>
      <c r="J582" s="4"/>
      <c r="K582" s="4"/>
      <c r="L582" s="4"/>
      <c r="M582" s="4"/>
      <c r="N582" s="4"/>
      <c r="O582" s="4"/>
    </row>
    <row r="583" spans="1:15">
      <c r="A583" s="4"/>
      <c r="B583" s="4"/>
      <c r="C583" s="65" t="s">
        <v>95</v>
      </c>
      <c r="D583" s="4"/>
      <c r="E583" s="4"/>
      <c r="F583" s="16"/>
      <c r="G583" s="4"/>
      <c r="H583" s="4"/>
      <c r="I583" s="4"/>
      <c r="J583" s="4"/>
      <c r="K583" s="4"/>
      <c r="L583" s="4"/>
      <c r="M583" s="4"/>
      <c r="N583" s="4"/>
      <c r="O583" s="4"/>
    </row>
    <row r="584" spans="1:15">
      <c r="A584" s="4"/>
      <c r="B584" s="4"/>
      <c r="C584" s="65"/>
      <c r="D584" s="4" t="s">
        <v>93</v>
      </c>
      <c r="E584" s="4"/>
      <c r="F584" s="16"/>
      <c r="G584" s="4"/>
      <c r="H584" s="4"/>
      <c r="I584" s="4"/>
      <c r="J584" s="4"/>
      <c r="K584" s="68">
        <f>E162</f>
        <v>7.4999999999999997E-2</v>
      </c>
      <c r="L584" s="68">
        <f>F162</f>
        <v>0.15</v>
      </c>
      <c r="M584" s="68">
        <f>G162</f>
        <v>0.15</v>
      </c>
      <c r="N584" s="68">
        <f>H162</f>
        <v>0.25</v>
      </c>
      <c r="O584" s="68">
        <f>I162</f>
        <v>0.375</v>
      </c>
    </row>
    <row r="585" spans="1:15" ht="6" customHeight="1">
      <c r="A585" s="4"/>
      <c r="B585" s="4"/>
      <c r="C585" s="65"/>
      <c r="D585" s="4"/>
      <c r="E585" s="4"/>
      <c r="F585" s="16"/>
      <c r="G585" s="4"/>
      <c r="H585" s="4"/>
      <c r="I585" s="4"/>
      <c r="J585" s="4"/>
      <c r="K585" s="4"/>
      <c r="L585" s="4"/>
      <c r="M585" s="4"/>
      <c r="N585" s="4"/>
      <c r="O585" s="4"/>
    </row>
    <row r="586" spans="1:15">
      <c r="A586" s="4"/>
      <c r="B586" s="4"/>
      <c r="C586" s="4"/>
      <c r="D586" s="4" t="s">
        <v>51</v>
      </c>
      <c r="E586" s="4"/>
      <c r="F586" s="16"/>
      <c r="G586" s="4"/>
      <c r="H586" s="4"/>
      <c r="I586" s="4"/>
      <c r="J586" s="4"/>
      <c r="K586" s="24">
        <f>J588</f>
        <v>237.29109044444436</v>
      </c>
      <c r="L586" s="24">
        <f>K588</f>
        <v>219.49425866111105</v>
      </c>
      <c r="M586" s="24">
        <f>L588</f>
        <v>183.90059509444438</v>
      </c>
      <c r="N586" s="24">
        <f>M588</f>
        <v>148.30693152777772</v>
      </c>
      <c r="O586" s="24">
        <f>N588</f>
        <v>88.98415891666663</v>
      </c>
    </row>
    <row r="587" spans="1:15">
      <c r="A587" s="4"/>
      <c r="B587" s="4"/>
      <c r="C587" s="4"/>
      <c r="D587" s="4" t="s">
        <v>76</v>
      </c>
      <c r="E587" s="4"/>
      <c r="F587" s="16"/>
      <c r="G587" s="4"/>
      <c r="H587" s="4"/>
      <c r="I587" s="4"/>
      <c r="J587" s="2"/>
      <c r="K587" s="601">
        <f>-$J$588*K584</f>
        <v>-17.796831783333328</v>
      </c>
      <c r="L587" s="601">
        <f>-$J$588*L584</f>
        <v>-35.593663566666656</v>
      </c>
      <c r="M587" s="601">
        <f>-$J$588*M584</f>
        <v>-35.593663566666656</v>
      </c>
      <c r="N587" s="601">
        <f>-$J$588*N584</f>
        <v>-59.322772611111091</v>
      </c>
      <c r="O587" s="601">
        <f>-$J$588*O584</f>
        <v>-88.984158916666644</v>
      </c>
    </row>
    <row r="588" spans="1:15">
      <c r="A588" s="4"/>
      <c r="B588" s="4"/>
      <c r="C588" s="4"/>
      <c r="D588" s="4" t="s">
        <v>47</v>
      </c>
      <c r="E588" s="4"/>
      <c r="F588" s="16"/>
      <c r="G588" s="4"/>
      <c r="H588" s="4"/>
      <c r="I588" s="76"/>
      <c r="J588" s="27">
        <f>F22</f>
        <v>237.29109044444436</v>
      </c>
      <c r="K588" s="27">
        <f>SUM(K586:K587)</f>
        <v>219.49425866111105</v>
      </c>
      <c r="L588" s="27">
        <f>SUM(L586:L587)</f>
        <v>183.90059509444438</v>
      </c>
      <c r="M588" s="27">
        <f>SUM(M586:M587)</f>
        <v>148.30693152777772</v>
      </c>
      <c r="N588" s="27">
        <f>SUM(N586:N587)</f>
        <v>88.98415891666663</v>
      </c>
      <c r="O588" s="27">
        <f>SUM(O586:O587)</f>
        <v>0</v>
      </c>
    </row>
    <row r="589" spans="1:15" ht="6" customHeight="1">
      <c r="A589" s="4"/>
      <c r="B589" s="4"/>
      <c r="C589" s="4"/>
      <c r="D589" s="4"/>
      <c r="E589" s="4"/>
      <c r="F589" s="16"/>
      <c r="G589" s="4"/>
      <c r="H589" s="4"/>
      <c r="I589" s="4"/>
      <c r="J589" s="4"/>
      <c r="K589" s="4"/>
      <c r="L589" s="4"/>
      <c r="M589" s="4"/>
      <c r="N589" s="4"/>
      <c r="O589" s="4"/>
    </row>
    <row r="590" spans="1:15">
      <c r="A590" s="4"/>
      <c r="B590" s="4"/>
      <c r="C590" s="4"/>
      <c r="D590" s="4" t="s">
        <v>74</v>
      </c>
      <c r="E590" s="4"/>
      <c r="F590" s="16"/>
      <c r="G590" s="4"/>
      <c r="H590" s="4"/>
      <c r="I590" s="4"/>
      <c r="J590" s="4"/>
      <c r="K590" s="603">
        <f>VLOOKUP(J571,$K$143:$O$149,COLUMNS($K$143:$O$149),TRUE)</f>
        <v>3.2500000000000001E-2</v>
      </c>
      <c r="L590" s="603">
        <f>VLOOKUP(K571,$K$143:$O$149,COLUMNS($K$143:$O$149),TRUE)</f>
        <v>3.2500000000000001E-2</v>
      </c>
      <c r="M590" s="603">
        <f>VLOOKUP(L571,$K$143:$O$149,COLUMNS($K$143:$O$149),TRUE)</f>
        <v>3.2500000000000001E-2</v>
      </c>
      <c r="N590" s="603">
        <f>VLOOKUP(M571,$K$143:$O$149,COLUMNS($K$143:$O$149),TRUE)</f>
        <v>2.75E-2</v>
      </c>
      <c r="O590" s="603">
        <f>VLOOKUP(N571,$K$143:$O$149,COLUMNS($K$143:$O$149),TRUE)</f>
        <v>2.5000000000000001E-2</v>
      </c>
    </row>
    <row r="591" spans="1:15">
      <c r="A591" s="4"/>
      <c r="B591" s="4"/>
      <c r="C591" s="4"/>
      <c r="D591" s="4" t="s">
        <v>73</v>
      </c>
      <c r="E591" s="4"/>
      <c r="F591" s="16"/>
      <c r="G591" s="4"/>
      <c r="H591" s="4"/>
      <c r="I591" s="4"/>
      <c r="J591" s="4"/>
      <c r="K591" s="75">
        <f>K590+K$570</f>
        <v>0.04</v>
      </c>
      <c r="L591" s="75">
        <f>L590+L$570</f>
        <v>0.04</v>
      </c>
      <c r="M591" s="75">
        <f>M590+M$570</f>
        <v>0.04</v>
      </c>
      <c r="N591" s="75">
        <f>N590+N$570</f>
        <v>3.7499999999999999E-2</v>
      </c>
      <c r="O591" s="75">
        <f>O590+O$570</f>
        <v>3.5000000000000003E-2</v>
      </c>
    </row>
    <row r="592" spans="1:15">
      <c r="A592" s="4"/>
      <c r="B592" s="4"/>
      <c r="C592" s="4"/>
      <c r="D592" s="65" t="s">
        <v>72</v>
      </c>
      <c r="E592" s="4"/>
      <c r="F592" s="16"/>
      <c r="G592" s="4"/>
      <c r="H592" s="4"/>
      <c r="I592" s="4"/>
      <c r="J592" s="4"/>
      <c r="K592" s="67">
        <f>K591*J588</f>
        <v>9.4916436177777754</v>
      </c>
      <c r="L592" s="67">
        <f>L591*K588</f>
        <v>8.7797703464444421</v>
      </c>
      <c r="M592" s="67">
        <f>M591*L588</f>
        <v>7.3560238037777754</v>
      </c>
      <c r="N592" s="67">
        <f>N591*M588</f>
        <v>5.5615099322916643</v>
      </c>
      <c r="O592" s="67">
        <f>O591*N588</f>
        <v>3.1144455620833322</v>
      </c>
    </row>
    <row r="593" spans="1:15" ht="12.75" customHeight="1">
      <c r="A593" s="4"/>
      <c r="B593" s="4"/>
      <c r="C593" s="4"/>
      <c r="D593" s="4"/>
      <c r="E593" s="4"/>
      <c r="F593" s="16"/>
      <c r="G593" s="4"/>
      <c r="H593" s="4"/>
      <c r="I593" s="4"/>
      <c r="J593" s="4"/>
      <c r="K593" s="4"/>
      <c r="L593" s="4"/>
      <c r="M593" s="4"/>
      <c r="N593" s="4"/>
      <c r="O593" s="4"/>
    </row>
    <row r="594" spans="1:15" ht="12.75" customHeight="1">
      <c r="A594" s="4"/>
      <c r="B594" s="4"/>
      <c r="C594" s="4"/>
      <c r="D594" s="4"/>
      <c r="E594" s="4"/>
      <c r="F594" s="16"/>
      <c r="G594" s="4"/>
      <c r="H594" s="4"/>
      <c r="I594" s="4"/>
      <c r="J594" s="4"/>
      <c r="K594" s="4"/>
      <c r="L594" s="4"/>
      <c r="M594" s="4"/>
      <c r="N594" s="4"/>
      <c r="O594" s="4"/>
    </row>
    <row r="595" spans="1:15">
      <c r="A595" s="4"/>
      <c r="B595" s="4"/>
      <c r="C595" s="65" t="s">
        <v>94</v>
      </c>
      <c r="D595" s="4"/>
      <c r="E595" s="4"/>
      <c r="F595" s="16"/>
      <c r="G595" s="4"/>
      <c r="H595" s="4"/>
      <c r="I595" s="4"/>
      <c r="J595" s="4"/>
      <c r="K595" s="4"/>
      <c r="L595" s="4"/>
      <c r="M595" s="4"/>
      <c r="N595" s="4"/>
      <c r="O595" s="4"/>
    </row>
    <row r="596" spans="1:15">
      <c r="A596" s="4"/>
      <c r="B596" s="4"/>
      <c r="C596" s="65"/>
      <c r="D596" s="4" t="s">
        <v>93</v>
      </c>
      <c r="E596" s="4"/>
      <c r="F596" s="16"/>
      <c r="G596" s="4"/>
      <c r="H596" s="4"/>
      <c r="I596" s="4"/>
      <c r="J596" s="4"/>
      <c r="K596" s="68">
        <f>E163</f>
        <v>0.01</v>
      </c>
      <c r="L596" s="68">
        <f>F163</f>
        <v>0.01</v>
      </c>
      <c r="M596" s="68">
        <f>G163</f>
        <v>0.01</v>
      </c>
      <c r="N596" s="68">
        <f>H163</f>
        <v>0.01</v>
      </c>
      <c r="O596" s="68">
        <f>I163</f>
        <v>0.01</v>
      </c>
    </row>
    <row r="597" spans="1:15" ht="6" customHeight="1">
      <c r="A597" s="4"/>
      <c r="B597" s="4"/>
      <c r="C597" s="65"/>
      <c r="D597" s="4"/>
      <c r="E597" s="4"/>
      <c r="F597" s="16"/>
      <c r="G597" s="4"/>
      <c r="H597" s="4"/>
      <c r="I597" s="4"/>
      <c r="J597" s="4"/>
      <c r="K597" s="4"/>
      <c r="L597" s="4"/>
      <c r="M597" s="4"/>
      <c r="N597" s="4"/>
      <c r="O597" s="4"/>
    </row>
    <row r="598" spans="1:15">
      <c r="A598" s="4"/>
      <c r="B598" s="4"/>
      <c r="C598" s="4"/>
      <c r="D598" s="4" t="s">
        <v>51</v>
      </c>
      <c r="E598" s="4"/>
      <c r="F598" s="16"/>
      <c r="G598" s="4"/>
      <c r="H598" s="4"/>
      <c r="I598" s="4"/>
      <c r="J598" s="4"/>
      <c r="K598" s="24">
        <f>J600</f>
        <v>197.7425753703703</v>
      </c>
      <c r="L598" s="24">
        <f>K600</f>
        <v>195.7651496166666</v>
      </c>
      <c r="M598" s="24">
        <f>L600</f>
        <v>193.78772386296291</v>
      </c>
      <c r="N598" s="24">
        <f>M600</f>
        <v>191.81029810925921</v>
      </c>
      <c r="O598" s="24">
        <f>N600</f>
        <v>189.83287235555551</v>
      </c>
    </row>
    <row r="599" spans="1:15">
      <c r="A599" s="4"/>
      <c r="B599" s="4"/>
      <c r="C599" s="4"/>
      <c r="D599" s="4" t="s">
        <v>76</v>
      </c>
      <c r="E599" s="4"/>
      <c r="F599" s="16"/>
      <c r="G599" s="4"/>
      <c r="H599" s="4"/>
      <c r="I599" s="4"/>
      <c r="J599" s="2"/>
      <c r="K599" s="601">
        <f>-$J$600*K596</f>
        <v>-1.977425753703703</v>
      </c>
      <c r="L599" s="601">
        <f>-$J$600*L596</f>
        <v>-1.977425753703703</v>
      </c>
      <c r="M599" s="601">
        <f>-$J$600*M596</f>
        <v>-1.977425753703703</v>
      </c>
      <c r="N599" s="601">
        <f>-$J$600*N596</f>
        <v>-1.977425753703703</v>
      </c>
      <c r="O599" s="601">
        <f>-$J$600*O596</f>
        <v>-1.977425753703703</v>
      </c>
    </row>
    <row r="600" spans="1:15">
      <c r="A600" s="4"/>
      <c r="B600" s="4"/>
      <c r="C600" s="4"/>
      <c r="D600" s="4" t="s">
        <v>47</v>
      </c>
      <c r="E600" s="4"/>
      <c r="F600" s="16"/>
      <c r="G600" s="4"/>
      <c r="H600" s="4"/>
      <c r="I600" s="76"/>
      <c r="J600" s="27">
        <f>F23</f>
        <v>197.7425753703703</v>
      </c>
      <c r="K600" s="27">
        <f>SUM(K598:K599)</f>
        <v>195.7651496166666</v>
      </c>
      <c r="L600" s="27">
        <f>SUM(L598:L599)</f>
        <v>193.78772386296291</v>
      </c>
      <c r="M600" s="27">
        <f>SUM(M598:M599)</f>
        <v>191.81029810925921</v>
      </c>
      <c r="N600" s="27">
        <f>SUM(N598:N599)</f>
        <v>189.83287235555551</v>
      </c>
      <c r="O600" s="27">
        <f>SUM(O598:O599)</f>
        <v>187.85544660185181</v>
      </c>
    </row>
    <row r="601" spans="1:15" ht="6" customHeight="1">
      <c r="A601" s="4"/>
      <c r="B601" s="4"/>
      <c r="C601" s="4"/>
      <c r="D601" s="4"/>
      <c r="E601" s="4"/>
      <c r="F601" s="16"/>
      <c r="G601" s="4"/>
      <c r="H601" s="4"/>
      <c r="I601" s="4"/>
      <c r="J601" s="4"/>
      <c r="K601" s="4"/>
      <c r="L601" s="4"/>
      <c r="M601" s="4"/>
      <c r="N601" s="4"/>
      <c r="O601" s="4"/>
    </row>
    <row r="602" spans="1:15">
      <c r="A602" s="4"/>
      <c r="B602" s="4"/>
      <c r="C602" s="4"/>
      <c r="D602" s="4" t="s">
        <v>74</v>
      </c>
      <c r="E602" s="4"/>
      <c r="F602" s="16"/>
      <c r="G602" s="4"/>
      <c r="H602" s="4"/>
      <c r="I602" s="4"/>
      <c r="J602" s="4"/>
      <c r="K602" s="75">
        <f>K590</f>
        <v>3.2500000000000001E-2</v>
      </c>
      <c r="L602" s="75">
        <f>L590</f>
        <v>3.2500000000000001E-2</v>
      </c>
      <c r="M602" s="75">
        <f>M590</f>
        <v>3.2500000000000001E-2</v>
      </c>
      <c r="N602" s="75">
        <f>N590</f>
        <v>2.75E-2</v>
      </c>
      <c r="O602" s="75">
        <f>O590</f>
        <v>2.5000000000000001E-2</v>
      </c>
    </row>
    <row r="603" spans="1:15">
      <c r="A603" s="4"/>
      <c r="B603" s="4"/>
      <c r="C603" s="4"/>
      <c r="D603" s="4" t="s">
        <v>73</v>
      </c>
      <c r="E603" s="4"/>
      <c r="F603" s="16"/>
      <c r="G603" s="4"/>
      <c r="H603" s="4"/>
      <c r="I603" s="4"/>
      <c r="J603" s="4"/>
      <c r="K603" s="75">
        <f>K602+K$570</f>
        <v>0.04</v>
      </c>
      <c r="L603" s="75">
        <f>L602+L$570</f>
        <v>0.04</v>
      </c>
      <c r="M603" s="75">
        <f>M602+M$570</f>
        <v>0.04</v>
      </c>
      <c r="N603" s="75">
        <f>N602+N$570</f>
        <v>3.7499999999999999E-2</v>
      </c>
      <c r="O603" s="75">
        <f>O602+O$570</f>
        <v>3.5000000000000003E-2</v>
      </c>
    </row>
    <row r="604" spans="1:15">
      <c r="A604" s="4"/>
      <c r="B604" s="4"/>
      <c r="C604" s="4"/>
      <c r="D604" s="65" t="s">
        <v>72</v>
      </c>
      <c r="E604" s="4"/>
      <c r="F604" s="16"/>
      <c r="G604" s="4"/>
      <c r="H604" s="4"/>
      <c r="I604" s="4"/>
      <c r="J604" s="4"/>
      <c r="K604" s="67">
        <f>K603*J600</f>
        <v>7.909703014814812</v>
      </c>
      <c r="L604" s="67">
        <f>L603*K600</f>
        <v>7.830605984666664</v>
      </c>
      <c r="M604" s="67">
        <f>M603*L600</f>
        <v>7.7515089545185161</v>
      </c>
      <c r="N604" s="67">
        <f>N603*M600</f>
        <v>7.1928861790972203</v>
      </c>
      <c r="O604" s="67">
        <f>O603*N600</f>
        <v>6.6441505324444439</v>
      </c>
    </row>
    <row r="605" spans="1:15">
      <c r="A605" s="4"/>
      <c r="B605" s="4"/>
      <c r="C605" s="4"/>
      <c r="D605" s="4"/>
      <c r="E605" s="4"/>
      <c r="F605" s="16"/>
      <c r="G605" s="4"/>
      <c r="H605" s="4"/>
      <c r="I605" s="4"/>
      <c r="J605" s="4"/>
      <c r="K605" s="4"/>
      <c r="L605" s="4"/>
      <c r="M605" s="4"/>
      <c r="N605" s="4"/>
      <c r="O605" s="4"/>
    </row>
    <row r="606" spans="1:15">
      <c r="A606" s="4"/>
      <c r="B606" s="2"/>
      <c r="C606" s="2"/>
      <c r="D606" s="2"/>
      <c r="E606" s="2"/>
      <c r="F606" s="3"/>
      <c r="G606" s="2"/>
      <c r="H606" s="2"/>
      <c r="I606" s="2"/>
      <c r="J606" s="2"/>
      <c r="K606" s="2"/>
      <c r="L606" s="2"/>
      <c r="M606" s="2"/>
      <c r="N606" s="2"/>
      <c r="O606" s="2"/>
    </row>
    <row r="607" spans="1:15">
      <c r="A607" s="4"/>
      <c r="B607" s="4"/>
      <c r="C607" s="4"/>
      <c r="D607" s="4"/>
      <c r="E607" s="4"/>
      <c r="F607" s="16"/>
      <c r="G607" s="4"/>
      <c r="H607" s="4"/>
      <c r="I607" s="4"/>
      <c r="J607" s="4"/>
      <c r="K607" s="4"/>
      <c r="L607" s="4"/>
      <c r="M607" s="4"/>
      <c r="N607" s="4"/>
      <c r="O607" s="4"/>
    </row>
    <row r="608" spans="1:15">
      <c r="A608" s="4"/>
      <c r="B608" s="4"/>
      <c r="C608" s="4"/>
      <c r="D608" s="4"/>
      <c r="E608" s="4"/>
      <c r="F608" s="16"/>
      <c r="G608" s="4"/>
      <c r="H608" s="4"/>
      <c r="I608" s="4"/>
      <c r="J608" s="4"/>
      <c r="K608" s="4"/>
      <c r="L608" s="4"/>
      <c r="M608" s="4"/>
      <c r="N608" s="4"/>
      <c r="O608" s="4"/>
    </row>
    <row r="609" spans="1:15" ht="12.75" customHeight="1">
      <c r="A609" s="4"/>
      <c r="B609" s="35"/>
      <c r="C609" s="20"/>
      <c r="D609" s="20"/>
      <c r="E609" s="20"/>
      <c r="F609" s="20"/>
      <c r="G609" s="20"/>
      <c r="H609" s="20"/>
      <c r="I609" s="20"/>
      <c r="J609" s="20"/>
      <c r="K609" s="20"/>
      <c r="L609" s="20"/>
      <c r="M609" s="20"/>
      <c r="N609" s="20"/>
      <c r="O609" s="36" t="str">
        <f>$O$235</f>
        <v>CURRENTLY RUNNING: BASE CASE SCENARIO</v>
      </c>
    </row>
    <row r="610" spans="1:15" ht="22.8" customHeight="1">
      <c r="A610" s="4"/>
      <c r="B610" s="35" t="str">
        <f>$B$3</f>
        <v>Lingoren Corp.</v>
      </c>
      <c r="C610" s="20"/>
      <c r="D610" s="20"/>
      <c r="E610" s="20"/>
      <c r="F610" s="20"/>
      <c r="G610" s="20"/>
      <c r="H610" s="20"/>
      <c r="I610" s="20"/>
      <c r="J610" s="20"/>
      <c r="K610" s="20"/>
      <c r="L610" s="20"/>
      <c r="M610" s="20"/>
      <c r="N610" s="20"/>
      <c r="O610" s="20"/>
    </row>
    <row r="611" spans="1:15" ht="18.75" customHeight="1">
      <c r="A611" s="4"/>
      <c r="B611" s="34" t="s">
        <v>92</v>
      </c>
      <c r="C611" s="20"/>
      <c r="D611" s="20"/>
      <c r="E611" s="20"/>
      <c r="F611" s="20"/>
      <c r="G611" s="20"/>
      <c r="H611" s="20"/>
      <c r="I611" s="20"/>
      <c r="J611" s="20"/>
      <c r="K611" s="20"/>
      <c r="L611" s="20"/>
      <c r="M611" s="20"/>
      <c r="N611" s="20"/>
      <c r="O611" s="20"/>
    </row>
    <row r="612" spans="1:15" ht="6" customHeight="1" thickBot="1">
      <c r="A612" s="4"/>
      <c r="B612" s="33"/>
      <c r="C612" s="32"/>
      <c r="D612" s="32"/>
      <c r="E612" s="32"/>
      <c r="F612" s="32"/>
      <c r="G612" s="32"/>
      <c r="H612" s="32"/>
      <c r="I612" s="32"/>
      <c r="J612" s="32"/>
      <c r="K612" s="32"/>
      <c r="L612" s="32"/>
      <c r="M612" s="32"/>
      <c r="N612" s="32"/>
      <c r="O612" s="32"/>
    </row>
    <row r="613" spans="1:15" ht="12.75" customHeight="1">
      <c r="A613" s="4"/>
      <c r="B613" s="31" t="s">
        <v>25</v>
      </c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30"/>
    </row>
    <row r="614" spans="1:15" ht="13.8">
      <c r="A614" s="4"/>
      <c r="B614" s="4"/>
      <c r="C614" s="4"/>
      <c r="D614" s="4"/>
      <c r="E614" s="4"/>
      <c r="F614" s="4"/>
      <c r="G614" s="4"/>
      <c r="H614" s="20"/>
      <c r="I614" s="20"/>
      <c r="J614" s="20"/>
      <c r="K614" s="14" t="s">
        <v>24</v>
      </c>
      <c r="L614" s="13"/>
      <c r="M614" s="13"/>
      <c r="N614" s="13"/>
      <c r="O614" s="13"/>
    </row>
    <row r="615" spans="1:15">
      <c r="A615" s="4"/>
      <c r="B615" s="4"/>
      <c r="C615" s="4"/>
      <c r="D615" s="4"/>
      <c r="E615" s="4"/>
      <c r="F615" s="4"/>
      <c r="G615" s="29"/>
      <c r="H615" s="28"/>
      <c r="I615" s="28"/>
      <c r="J615" s="670">
        <f>K615-1</f>
        <v>2018</v>
      </c>
      <c r="K615" s="10">
        <f t="shared" ref="K615:O615" si="59">K$241</f>
        <v>2019</v>
      </c>
      <c r="L615" s="10">
        <f t="shared" si="59"/>
        <v>2020</v>
      </c>
      <c r="M615" s="10">
        <f t="shared" si="59"/>
        <v>2021</v>
      </c>
      <c r="N615" s="10">
        <f t="shared" si="59"/>
        <v>2022</v>
      </c>
      <c r="O615" s="10">
        <f t="shared" si="59"/>
        <v>2023</v>
      </c>
    </row>
    <row r="616" spans="1:15" ht="6" customHeight="1">
      <c r="A616" s="4"/>
      <c r="B616" s="4"/>
      <c r="C616" s="4"/>
      <c r="D616" s="4"/>
      <c r="E616" s="4"/>
      <c r="F616" s="16"/>
      <c r="G616" s="4"/>
      <c r="H616" s="4"/>
      <c r="I616" s="4"/>
      <c r="J616" s="4"/>
      <c r="K616" s="4"/>
      <c r="L616" s="4"/>
      <c r="M616" s="4"/>
      <c r="N616" s="4"/>
      <c r="O616" s="4"/>
    </row>
    <row r="617" spans="1:15">
      <c r="A617" s="4"/>
      <c r="B617" s="84" t="s">
        <v>83</v>
      </c>
      <c r="C617" s="82"/>
      <c r="D617" s="82"/>
      <c r="E617" s="82"/>
      <c r="F617" s="83"/>
      <c r="G617" s="82"/>
      <c r="H617" s="82"/>
      <c r="I617" s="82"/>
      <c r="J617" s="82"/>
      <c r="K617" s="81">
        <f t="shared" ref="K617:O618" si="60">K570</f>
        <v>7.4999999999999997E-3</v>
      </c>
      <c r="L617" s="81">
        <f t="shared" si="60"/>
        <v>7.4999999999999997E-3</v>
      </c>
      <c r="M617" s="81">
        <f t="shared" si="60"/>
        <v>7.4999999999999997E-3</v>
      </c>
      <c r="N617" s="81">
        <f t="shared" si="60"/>
        <v>0.01</v>
      </c>
      <c r="O617" s="80">
        <f t="shared" si="60"/>
        <v>0.01</v>
      </c>
    </row>
    <row r="618" spans="1:15">
      <c r="A618" s="4"/>
      <c r="B618" s="79" t="s">
        <v>2</v>
      </c>
      <c r="C618" s="17"/>
      <c r="D618" s="17"/>
      <c r="E618" s="17"/>
      <c r="F618" s="18"/>
      <c r="G618" s="17"/>
      <c r="H618" s="17"/>
      <c r="I618" s="17"/>
      <c r="J618" s="26">
        <f>J571</f>
        <v>6</v>
      </c>
      <c r="K618" s="26">
        <f t="shared" si="60"/>
        <v>6.5270689839665028</v>
      </c>
      <c r="L618" s="26">
        <f t="shared" si="60"/>
        <v>5.4257870145427134</v>
      </c>
      <c r="M618" s="26">
        <f t="shared" si="60"/>
        <v>4.1291007505231017</v>
      </c>
      <c r="N618" s="26">
        <f t="shared" si="60"/>
        <v>3.3503724218847548</v>
      </c>
      <c r="O618" s="78">
        <f t="shared" si="60"/>
        <v>2.5688881967245165</v>
      </c>
    </row>
    <row r="619" spans="1:15" ht="12.75" customHeight="1">
      <c r="A619" s="4"/>
      <c r="B619" s="4"/>
      <c r="C619" s="4"/>
      <c r="D619" s="4"/>
      <c r="E619" s="4"/>
      <c r="F619" s="16"/>
      <c r="G619" s="4"/>
      <c r="H619" s="4"/>
      <c r="I619" s="4"/>
      <c r="J619" s="4"/>
      <c r="K619" s="4"/>
      <c r="L619" s="4"/>
      <c r="M619" s="4"/>
      <c r="N619" s="4"/>
      <c r="O619" s="4"/>
    </row>
    <row r="620" spans="1:15" ht="12.75" customHeight="1">
      <c r="A620" s="4"/>
      <c r="B620" s="4"/>
      <c r="C620" s="65" t="s">
        <v>41</v>
      </c>
      <c r="D620" s="4"/>
      <c r="E620" s="4"/>
      <c r="F620" s="16"/>
      <c r="G620" s="4"/>
      <c r="H620" s="4"/>
      <c r="I620" s="4"/>
      <c r="J620" s="4"/>
      <c r="K620" s="4"/>
      <c r="L620" s="4"/>
      <c r="M620" s="4"/>
      <c r="N620" s="4"/>
      <c r="O620" s="4"/>
    </row>
    <row r="621" spans="1:15">
      <c r="A621" s="4"/>
      <c r="B621" s="4"/>
      <c r="C621" s="4"/>
      <c r="D621" s="4" t="s">
        <v>51</v>
      </c>
      <c r="E621" s="4"/>
      <c r="F621" s="16"/>
      <c r="G621" s="4"/>
      <c r="H621" s="4"/>
      <c r="I621" s="4"/>
      <c r="J621" s="4"/>
      <c r="K621" s="24">
        <f>J623</f>
        <v>237.29109044444436</v>
      </c>
      <c r="L621" s="24">
        <f>K623</f>
        <v>237.29109044444436</v>
      </c>
      <c r="M621" s="24">
        <f>L623</f>
        <v>237.29109044444436</v>
      </c>
      <c r="N621" s="24">
        <f>M623</f>
        <v>237.29109044444436</v>
      </c>
      <c r="O621" s="24">
        <f>N623</f>
        <v>237.29109044444436</v>
      </c>
    </row>
    <row r="622" spans="1:15">
      <c r="A622" s="4"/>
      <c r="B622" s="4"/>
      <c r="C622" s="4"/>
      <c r="D622" s="4" t="s">
        <v>76</v>
      </c>
      <c r="E622" s="4"/>
      <c r="F622" s="16"/>
      <c r="G622" s="4"/>
      <c r="H622" s="4"/>
      <c r="I622" s="4"/>
      <c r="J622" s="2"/>
      <c r="K622" s="49">
        <f>I167</f>
        <v>0</v>
      </c>
      <c r="L622" s="49">
        <f>K622</f>
        <v>0</v>
      </c>
      <c r="M622" s="49">
        <f>L622</f>
        <v>0</v>
      </c>
      <c r="N622" s="49">
        <f>M622</f>
        <v>0</v>
      </c>
      <c r="O622" s="49">
        <f>N622</f>
        <v>0</v>
      </c>
    </row>
    <row r="623" spans="1:15">
      <c r="A623" s="4"/>
      <c r="B623" s="4"/>
      <c r="C623" s="4"/>
      <c r="D623" s="4" t="s">
        <v>47</v>
      </c>
      <c r="E623" s="4"/>
      <c r="F623" s="16"/>
      <c r="G623" s="4"/>
      <c r="H623" s="4"/>
      <c r="I623" s="76"/>
      <c r="J623" s="27">
        <f>J445</f>
        <v>237.29109044444436</v>
      </c>
      <c r="K623" s="27">
        <f>SUM(K621:K622)</f>
        <v>237.29109044444436</v>
      </c>
      <c r="L623" s="27">
        <f>SUM(L621:L622)</f>
        <v>237.29109044444436</v>
      </c>
      <c r="M623" s="27">
        <f>SUM(M621:M622)</f>
        <v>237.29109044444436</v>
      </c>
      <c r="N623" s="27">
        <f>SUM(N621:N622)</f>
        <v>237.29109044444436</v>
      </c>
      <c r="O623" s="27">
        <f>SUM(O621:O622)</f>
        <v>237.29109044444436</v>
      </c>
    </row>
    <row r="624" spans="1:15" ht="6" customHeight="1">
      <c r="A624" s="4"/>
      <c r="B624" s="4"/>
      <c r="C624" s="4"/>
      <c r="D624" s="4"/>
      <c r="E624" s="4"/>
      <c r="F624" s="16"/>
      <c r="G624" s="4"/>
      <c r="H624" s="4"/>
      <c r="I624" s="4"/>
      <c r="J624" s="4"/>
      <c r="K624" s="4"/>
      <c r="L624" s="4"/>
      <c r="M624" s="4"/>
      <c r="N624" s="4"/>
      <c r="O624" s="4"/>
    </row>
    <row r="625" spans="1:15">
      <c r="A625" s="4"/>
      <c r="B625" s="4"/>
      <c r="C625" s="4"/>
      <c r="D625" s="4" t="s">
        <v>91</v>
      </c>
      <c r="E625" s="4"/>
      <c r="F625" s="16"/>
      <c r="G625" s="4"/>
      <c r="H625" s="4"/>
      <c r="I625" s="4"/>
      <c r="J625" s="4"/>
      <c r="K625" s="75">
        <f>I24</f>
        <v>5.5E-2</v>
      </c>
      <c r="L625" s="85">
        <f>K625</f>
        <v>5.5E-2</v>
      </c>
      <c r="M625" s="85">
        <f>L625</f>
        <v>5.5E-2</v>
      </c>
      <c r="N625" s="85">
        <f>M625</f>
        <v>5.5E-2</v>
      </c>
      <c r="O625" s="85">
        <f>N625</f>
        <v>5.5E-2</v>
      </c>
    </row>
    <row r="626" spans="1:15">
      <c r="A626" s="4"/>
      <c r="B626" s="4"/>
      <c r="C626" s="4"/>
      <c r="D626" s="65" t="s">
        <v>72</v>
      </c>
      <c r="E626" s="4"/>
      <c r="F626" s="16"/>
      <c r="G626" s="4"/>
      <c r="H626" s="4"/>
      <c r="I626" s="4"/>
      <c r="J626" s="4"/>
      <c r="K626" s="67">
        <f>K625*J623</f>
        <v>13.05100997444444</v>
      </c>
      <c r="L626" s="67">
        <f>L625*K623</f>
        <v>13.05100997444444</v>
      </c>
      <c r="M626" s="67">
        <f>M625*L623</f>
        <v>13.05100997444444</v>
      </c>
      <c r="N626" s="67">
        <f>N625*M623</f>
        <v>13.05100997444444</v>
      </c>
      <c r="O626" s="67">
        <f>O625*N623</f>
        <v>13.05100997444444</v>
      </c>
    </row>
    <row r="627" spans="1:15" ht="12.75" customHeight="1">
      <c r="A627" s="4"/>
      <c r="B627" s="4"/>
      <c r="C627" s="4"/>
      <c r="D627" s="4"/>
      <c r="E627" s="4"/>
      <c r="F627" s="16"/>
      <c r="G627" s="4"/>
      <c r="H627" s="4"/>
      <c r="I627" s="4"/>
      <c r="J627" s="4"/>
      <c r="K627" s="4"/>
      <c r="L627" s="4"/>
      <c r="M627" s="4"/>
      <c r="N627" s="4"/>
      <c r="O627" s="4"/>
    </row>
    <row r="628" spans="1:15" ht="12.75" customHeight="1">
      <c r="A628" s="4"/>
      <c r="B628" s="4"/>
      <c r="C628" s="4"/>
      <c r="D628" s="4"/>
      <c r="E628" s="4"/>
      <c r="F628" s="16"/>
      <c r="G628" s="4"/>
      <c r="H628" s="4"/>
      <c r="I628" s="4"/>
      <c r="J628" s="4"/>
      <c r="K628" s="4"/>
      <c r="L628" s="4"/>
      <c r="M628" s="4"/>
      <c r="N628" s="4"/>
      <c r="O628" s="4"/>
    </row>
    <row r="629" spans="1:15">
      <c r="A629" s="4"/>
      <c r="B629" s="4"/>
      <c r="C629" s="65" t="s">
        <v>40</v>
      </c>
      <c r="D629" s="4"/>
      <c r="E629" s="4"/>
      <c r="F629" s="16"/>
      <c r="G629" s="4"/>
      <c r="H629" s="4"/>
      <c r="I629" s="4"/>
      <c r="J629" s="4"/>
      <c r="K629" s="4"/>
      <c r="L629" s="4"/>
      <c r="M629" s="4"/>
      <c r="N629" s="4"/>
      <c r="O629" s="4"/>
    </row>
    <row r="630" spans="1:15">
      <c r="A630" s="4"/>
      <c r="B630" s="4"/>
      <c r="C630" s="4"/>
      <c r="D630" s="4" t="s">
        <v>51</v>
      </c>
      <c r="E630" s="4"/>
      <c r="F630" s="16"/>
      <c r="G630" s="4"/>
      <c r="H630" s="4"/>
      <c r="I630" s="4"/>
      <c r="J630" s="4"/>
      <c r="K630" s="24">
        <f>J633</f>
        <v>197.7425753703703</v>
      </c>
      <c r="L630" s="24">
        <f>K633</f>
        <v>206.04776353592587</v>
      </c>
      <c r="M630" s="24">
        <f>L633</f>
        <v>214.70176960443476</v>
      </c>
      <c r="N630" s="24">
        <f>M633</f>
        <v>223.71924392782103</v>
      </c>
      <c r="O630" s="24">
        <f>N633</f>
        <v>223.71924392782103</v>
      </c>
    </row>
    <row r="631" spans="1:15">
      <c r="A631" s="4"/>
      <c r="B631" s="4"/>
      <c r="C631" s="4"/>
      <c r="D631" s="4" t="s">
        <v>90</v>
      </c>
      <c r="E631" s="4"/>
      <c r="F631" s="16"/>
      <c r="G631" s="4"/>
      <c r="H631" s="4"/>
      <c r="I631" s="4"/>
      <c r="J631" s="4"/>
      <c r="K631" s="24">
        <f>I172</f>
        <v>0</v>
      </c>
      <c r="L631" s="24">
        <f>K631</f>
        <v>0</v>
      </c>
      <c r="M631" s="24">
        <f>L631</f>
        <v>0</v>
      </c>
      <c r="N631" s="24">
        <f>M631</f>
        <v>0</v>
      </c>
      <c r="O631" s="24">
        <f>N631</f>
        <v>0</v>
      </c>
    </row>
    <row r="632" spans="1:15">
      <c r="A632" s="4"/>
      <c r="B632" s="4"/>
      <c r="C632" s="4"/>
      <c r="D632" s="4" t="s">
        <v>89</v>
      </c>
      <c r="E632" s="4"/>
      <c r="F632" s="16"/>
      <c r="G632" s="4"/>
      <c r="H632" s="4"/>
      <c r="I632" s="4"/>
      <c r="J632" s="2"/>
      <c r="K632" s="49">
        <f>K639</f>
        <v>8.3051881655555526</v>
      </c>
      <c r="L632" s="49">
        <f>L639</f>
        <v>8.6540060685088864</v>
      </c>
      <c r="M632" s="49">
        <f>M639</f>
        <v>9.01747432338626</v>
      </c>
      <c r="N632" s="49">
        <f>N639</f>
        <v>0</v>
      </c>
      <c r="O632" s="49">
        <f>O639</f>
        <v>0</v>
      </c>
    </row>
    <row r="633" spans="1:15">
      <c r="A633" s="4"/>
      <c r="B633" s="4"/>
      <c r="C633" s="4"/>
      <c r="D633" s="4" t="s">
        <v>47</v>
      </c>
      <c r="E633" s="4"/>
      <c r="F633" s="16"/>
      <c r="G633" s="4"/>
      <c r="H633" s="4"/>
      <c r="I633" s="76"/>
      <c r="J633" s="27">
        <f>J446</f>
        <v>197.7425753703703</v>
      </c>
      <c r="K633" s="27">
        <f>SUM(K630:K632)</f>
        <v>206.04776353592587</v>
      </c>
      <c r="L633" s="27">
        <f>SUM(L630:L632)</f>
        <v>214.70176960443476</v>
      </c>
      <c r="M633" s="27">
        <f>SUM(M630:M632)</f>
        <v>223.71924392782103</v>
      </c>
      <c r="N633" s="27">
        <f>SUM(N630:N632)</f>
        <v>223.71924392782103</v>
      </c>
      <c r="O633" s="27">
        <f>SUM(O630:O632)</f>
        <v>223.71924392782103</v>
      </c>
    </row>
    <row r="634" spans="1:15">
      <c r="A634" s="4"/>
      <c r="B634" s="4"/>
      <c r="C634" s="4"/>
      <c r="D634" s="4"/>
      <c r="E634" s="4"/>
      <c r="F634" s="16"/>
      <c r="G634" s="4"/>
      <c r="H634" s="4"/>
      <c r="I634" s="4"/>
      <c r="J634" s="4"/>
      <c r="K634" s="4"/>
      <c r="L634" s="4"/>
      <c r="M634" s="4"/>
      <c r="N634" s="4"/>
      <c r="O634" s="4"/>
    </row>
    <row r="635" spans="1:15">
      <c r="A635" s="4"/>
      <c r="B635" s="4"/>
      <c r="C635" s="4"/>
      <c r="D635" s="4" t="s">
        <v>88</v>
      </c>
      <c r="E635" s="4"/>
      <c r="F635" s="16"/>
      <c r="G635" s="4"/>
      <c r="H635" s="4"/>
      <c r="I635" s="4"/>
      <c r="J635" s="4"/>
      <c r="K635" s="68">
        <f>IF(J571&gt;$I$174,$I$173,0)</f>
        <v>0.6</v>
      </c>
      <c r="L635" s="68">
        <f>IF(K571&gt;$I$174,$I$173,0)</f>
        <v>0.6</v>
      </c>
      <c r="M635" s="68">
        <f>IF(L571&gt;$I$174,$I$173,0)</f>
        <v>0.6</v>
      </c>
      <c r="N635" s="68">
        <f>IF(M571&gt;$I$174,$I$173,0)</f>
        <v>0</v>
      </c>
      <c r="O635" s="68">
        <f>IF(N571&gt;$I$174,$I$173,0)</f>
        <v>0</v>
      </c>
    </row>
    <row r="636" spans="1:15">
      <c r="A636" s="4"/>
      <c r="B636" s="4"/>
      <c r="C636" s="4"/>
      <c r="D636" s="4" t="s">
        <v>87</v>
      </c>
      <c r="E636" s="4"/>
      <c r="F636" s="16"/>
      <c r="G636" s="4"/>
      <c r="H636" s="4"/>
      <c r="I636" s="4"/>
      <c r="J636" s="4"/>
      <c r="K636" s="68">
        <f>1-K635</f>
        <v>0.4</v>
      </c>
      <c r="L636" s="68">
        <f>1-L635</f>
        <v>0.4</v>
      </c>
      <c r="M636" s="68">
        <f>1-M635</f>
        <v>0.4</v>
      </c>
      <c r="N636" s="68">
        <f>1-N635</f>
        <v>1</v>
      </c>
      <c r="O636" s="68">
        <f>1-O635</f>
        <v>1</v>
      </c>
    </row>
    <row r="637" spans="1:15">
      <c r="A637" s="4"/>
      <c r="B637" s="4"/>
      <c r="C637" s="4"/>
      <c r="D637" s="4" t="s">
        <v>86</v>
      </c>
      <c r="E637" s="4"/>
      <c r="F637" s="16"/>
      <c r="G637" s="4"/>
      <c r="H637" s="4"/>
      <c r="I637" s="4"/>
      <c r="J637" s="4"/>
      <c r="K637" s="68">
        <f>I25</f>
        <v>7.0000000000000007E-2</v>
      </c>
      <c r="L637" s="68">
        <f>K637</f>
        <v>7.0000000000000007E-2</v>
      </c>
      <c r="M637" s="68">
        <f>L637</f>
        <v>7.0000000000000007E-2</v>
      </c>
      <c r="N637" s="68">
        <f>M637</f>
        <v>7.0000000000000007E-2</v>
      </c>
      <c r="O637" s="68">
        <f>N637</f>
        <v>7.0000000000000007E-2</v>
      </c>
    </row>
    <row r="638" spans="1:15">
      <c r="A638" s="4"/>
      <c r="B638" s="4"/>
      <c r="C638" s="4"/>
      <c r="D638" s="4"/>
      <c r="E638" s="4"/>
      <c r="F638" s="16"/>
      <c r="G638" s="4"/>
      <c r="H638" s="4"/>
      <c r="I638" s="4"/>
      <c r="J638" s="4"/>
      <c r="K638" s="4"/>
      <c r="L638" s="4"/>
      <c r="M638" s="4"/>
      <c r="N638" s="4"/>
      <c r="O638" s="4"/>
    </row>
    <row r="639" spans="1:15">
      <c r="A639" s="4"/>
      <c r="B639" s="4"/>
      <c r="C639" s="4"/>
      <c r="D639" s="4" t="s">
        <v>85</v>
      </c>
      <c r="E639" s="4"/>
      <c r="F639" s="16"/>
      <c r="G639" s="4"/>
      <c r="H639" s="4"/>
      <c r="I639" s="4"/>
      <c r="J639" s="4"/>
      <c r="K639" s="24">
        <f>K637*K635*J633</f>
        <v>8.3051881655555526</v>
      </c>
      <c r="L639" s="24">
        <f>L637*L635*K633</f>
        <v>8.6540060685088864</v>
      </c>
      <c r="M639" s="24">
        <f>M637*M635*L633</f>
        <v>9.01747432338626</v>
      </c>
      <c r="N639" s="24">
        <f>N637*N635*M633</f>
        <v>0</v>
      </c>
      <c r="O639" s="24">
        <f>O637*O635*N633</f>
        <v>0</v>
      </c>
    </row>
    <row r="640" spans="1:15">
      <c r="A640" s="4"/>
      <c r="B640" s="4"/>
      <c r="C640" s="4"/>
      <c r="D640" s="4" t="s">
        <v>5</v>
      </c>
      <c r="E640" s="4"/>
      <c r="F640" s="16"/>
      <c r="G640" s="4"/>
      <c r="H640" s="4"/>
      <c r="I640" s="4"/>
      <c r="J640" s="4"/>
      <c r="K640" s="24">
        <f>K637*K636*J633</f>
        <v>5.536792110370369</v>
      </c>
      <c r="L640" s="24">
        <f>L637*L636*K633</f>
        <v>5.7693373790059255</v>
      </c>
      <c r="M640" s="24">
        <f>M637*M636*L633</f>
        <v>6.0116495489241739</v>
      </c>
      <c r="N640" s="24">
        <f>N637*N636*M633</f>
        <v>15.660347074947474</v>
      </c>
      <c r="O640" s="24">
        <f>O637*O636*N633</f>
        <v>15.660347074947474</v>
      </c>
    </row>
    <row r="641" spans="1:15">
      <c r="A641" s="4"/>
      <c r="B641" s="4"/>
      <c r="C641" s="4"/>
      <c r="D641" s="65" t="s">
        <v>7</v>
      </c>
      <c r="E641" s="4"/>
      <c r="F641" s="16"/>
      <c r="G641" s="4"/>
      <c r="H641" s="4"/>
      <c r="I641" s="4"/>
      <c r="J641" s="4"/>
      <c r="K641" s="67">
        <f>SUM(K639:K640)</f>
        <v>13.841980275925922</v>
      </c>
      <c r="L641" s="67">
        <f>SUM(L639:L640)</f>
        <v>14.423343447514812</v>
      </c>
      <c r="M641" s="67">
        <f>SUM(M639:M640)</f>
        <v>15.029123872310434</v>
      </c>
      <c r="N641" s="67">
        <f>SUM(N639:N640)</f>
        <v>15.660347074947474</v>
      </c>
      <c r="O641" s="67">
        <f>SUM(O639:O640)</f>
        <v>15.660347074947474</v>
      </c>
    </row>
    <row r="642" spans="1:15">
      <c r="A642" s="4"/>
      <c r="B642" s="4"/>
      <c r="C642" s="65"/>
      <c r="D642" s="4"/>
      <c r="E642" s="4"/>
      <c r="F642" s="16"/>
      <c r="G642" s="4"/>
      <c r="H642" s="4"/>
      <c r="I642" s="4"/>
      <c r="J642" s="4"/>
      <c r="K642" s="4"/>
      <c r="L642" s="4"/>
      <c r="M642" s="4"/>
      <c r="N642" s="4"/>
      <c r="O642" s="4"/>
    </row>
    <row r="643" spans="1:15">
      <c r="A643" s="4"/>
      <c r="B643" s="2"/>
      <c r="C643" s="2"/>
      <c r="D643" s="2"/>
      <c r="E643" s="2"/>
      <c r="F643" s="3"/>
      <c r="G643" s="2"/>
      <c r="H643" s="2"/>
      <c r="I643" s="2"/>
      <c r="J643" s="2"/>
      <c r="K643" s="2"/>
      <c r="L643" s="2"/>
      <c r="M643" s="2"/>
      <c r="N643" s="2"/>
      <c r="O643" s="2"/>
    </row>
    <row r="644" spans="1:15">
      <c r="A644" s="4"/>
      <c r="B644" s="4"/>
      <c r="C644" s="65"/>
      <c r="D644" s="4"/>
      <c r="E644" s="4"/>
      <c r="F644" s="16"/>
      <c r="G644" s="4"/>
      <c r="H644" s="4"/>
      <c r="I644" s="4"/>
      <c r="J644" s="4"/>
      <c r="K644" s="4"/>
      <c r="L644" s="4"/>
      <c r="M644" s="4"/>
      <c r="N644" s="4"/>
      <c r="O644" s="4"/>
    </row>
    <row r="645" spans="1:15">
      <c r="A645" s="4"/>
      <c r="B645" s="4"/>
      <c r="C645" s="4"/>
      <c r="D645" s="4"/>
      <c r="E645" s="4"/>
      <c r="F645" s="16"/>
      <c r="G645" s="4"/>
      <c r="H645" s="4"/>
      <c r="I645" s="4"/>
      <c r="J645" s="4"/>
      <c r="K645" s="4"/>
      <c r="L645" s="4"/>
      <c r="M645" s="4"/>
      <c r="N645" s="4"/>
      <c r="O645" s="4"/>
    </row>
    <row r="646" spans="1:15" ht="12.75" customHeight="1">
      <c r="A646" s="4"/>
      <c r="B646" s="35"/>
      <c r="C646" s="20"/>
      <c r="D646" s="20"/>
      <c r="E646" s="20"/>
      <c r="F646" s="20"/>
      <c r="G646" s="20"/>
      <c r="H646" s="20"/>
      <c r="I646" s="20"/>
      <c r="J646" s="20"/>
      <c r="K646" s="20"/>
      <c r="L646" s="20"/>
      <c r="M646" s="20"/>
      <c r="N646" s="20"/>
      <c r="O646" s="36" t="str">
        <f>$O$235</f>
        <v>CURRENTLY RUNNING: BASE CASE SCENARIO</v>
      </c>
    </row>
    <row r="647" spans="1:15" ht="22.8" customHeight="1">
      <c r="A647" s="4"/>
      <c r="B647" s="35" t="str">
        <f>$B$3</f>
        <v>Lingoren Corp.</v>
      </c>
      <c r="C647" s="20"/>
      <c r="D647" s="20"/>
      <c r="E647" s="20"/>
      <c r="F647" s="20"/>
      <c r="G647" s="20"/>
      <c r="H647" s="20"/>
      <c r="I647" s="20"/>
      <c r="J647" s="20"/>
      <c r="K647" s="20"/>
      <c r="L647" s="20"/>
      <c r="M647" s="20"/>
      <c r="N647" s="20"/>
      <c r="O647" s="20"/>
    </row>
    <row r="648" spans="1:15" ht="18.75" customHeight="1">
      <c r="A648" s="4"/>
      <c r="B648" s="34" t="s">
        <v>84</v>
      </c>
      <c r="C648" s="20"/>
      <c r="D648" s="20"/>
      <c r="E648" s="20"/>
      <c r="F648" s="20"/>
      <c r="G648" s="20"/>
      <c r="H648" s="20"/>
      <c r="I648" s="20"/>
      <c r="J648" s="20"/>
      <c r="K648" s="20"/>
      <c r="L648" s="20"/>
      <c r="M648" s="20"/>
      <c r="N648" s="20"/>
      <c r="O648" s="20"/>
    </row>
    <row r="649" spans="1:15" ht="6" customHeight="1" thickBot="1">
      <c r="A649" s="4"/>
      <c r="B649" s="33"/>
      <c r="C649" s="32"/>
      <c r="D649" s="32"/>
      <c r="E649" s="32"/>
      <c r="F649" s="32"/>
      <c r="G649" s="32"/>
      <c r="H649" s="32"/>
      <c r="I649" s="32"/>
      <c r="J649" s="32"/>
      <c r="K649" s="32"/>
      <c r="L649" s="32"/>
      <c r="M649" s="32"/>
      <c r="N649" s="32"/>
      <c r="O649" s="32"/>
    </row>
    <row r="650" spans="1:15" ht="12.75" customHeight="1">
      <c r="A650" s="4"/>
      <c r="B650" s="31" t="s">
        <v>25</v>
      </c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30"/>
    </row>
    <row r="651" spans="1:15" ht="13.8">
      <c r="A651" s="4"/>
      <c r="B651" s="4"/>
      <c r="C651" s="4"/>
      <c r="D651" s="4"/>
      <c r="E651" s="4"/>
      <c r="F651" s="4"/>
      <c r="G651" s="4"/>
      <c r="H651" s="20"/>
      <c r="I651" s="20"/>
      <c r="J651" s="20"/>
      <c r="K651" s="14" t="s">
        <v>24</v>
      </c>
      <c r="L651" s="13"/>
      <c r="M651" s="13"/>
      <c r="N651" s="13"/>
      <c r="O651" s="13"/>
    </row>
    <row r="652" spans="1:15">
      <c r="A652" s="4"/>
      <c r="B652" s="4"/>
      <c r="C652" s="4"/>
      <c r="D652" s="4"/>
      <c r="E652" s="4"/>
      <c r="F652" s="4"/>
      <c r="G652" s="29"/>
      <c r="H652" s="28"/>
      <c r="I652" s="28"/>
      <c r="J652" s="670">
        <f>K652-1</f>
        <v>2018</v>
      </c>
      <c r="K652" s="10">
        <f t="shared" ref="K652:O652" si="61">K$241</f>
        <v>2019</v>
      </c>
      <c r="L652" s="10">
        <f t="shared" si="61"/>
        <v>2020</v>
      </c>
      <c r="M652" s="10">
        <f t="shared" si="61"/>
        <v>2021</v>
      </c>
      <c r="N652" s="10">
        <f t="shared" si="61"/>
        <v>2022</v>
      </c>
      <c r="O652" s="10">
        <f t="shared" si="61"/>
        <v>2023</v>
      </c>
    </row>
    <row r="653" spans="1:15" ht="6" customHeight="1">
      <c r="A653" s="4"/>
      <c r="B653" s="4"/>
      <c r="C653" s="4"/>
      <c r="D653" s="4"/>
      <c r="E653" s="4"/>
      <c r="F653" s="16"/>
      <c r="G653" s="4"/>
      <c r="H653" s="4"/>
      <c r="I653" s="4"/>
      <c r="J653" s="4"/>
      <c r="K653" s="4"/>
      <c r="L653" s="4"/>
      <c r="M653" s="4"/>
      <c r="N653" s="4"/>
      <c r="O653" s="4"/>
    </row>
    <row r="654" spans="1:15">
      <c r="A654" s="4"/>
      <c r="B654" s="84" t="s">
        <v>83</v>
      </c>
      <c r="C654" s="82"/>
      <c r="D654" s="82"/>
      <c r="E654" s="82"/>
      <c r="F654" s="83"/>
      <c r="G654" s="82"/>
      <c r="H654" s="82"/>
      <c r="I654" s="82"/>
      <c r="J654" s="82"/>
      <c r="K654" s="81">
        <f t="shared" ref="K654:O655" si="62">K617</f>
        <v>7.4999999999999997E-3</v>
      </c>
      <c r="L654" s="81">
        <f t="shared" si="62"/>
        <v>7.4999999999999997E-3</v>
      </c>
      <c r="M654" s="81">
        <f t="shared" si="62"/>
        <v>7.4999999999999997E-3</v>
      </c>
      <c r="N654" s="81">
        <f t="shared" si="62"/>
        <v>0.01</v>
      </c>
      <c r="O654" s="80">
        <f t="shared" si="62"/>
        <v>0.01</v>
      </c>
    </row>
    <row r="655" spans="1:15">
      <c r="A655" s="4"/>
      <c r="B655" s="79" t="s">
        <v>2</v>
      </c>
      <c r="C655" s="17"/>
      <c r="D655" s="17"/>
      <c r="E655" s="17"/>
      <c r="F655" s="18"/>
      <c r="G655" s="17"/>
      <c r="H655" s="17"/>
      <c r="I655" s="17"/>
      <c r="J655" s="26">
        <f>J618</f>
        <v>6</v>
      </c>
      <c r="K655" s="26">
        <f t="shared" si="62"/>
        <v>6.5270689839665028</v>
      </c>
      <c r="L655" s="26">
        <f t="shared" si="62"/>
        <v>5.4257870145427134</v>
      </c>
      <c r="M655" s="26">
        <f t="shared" si="62"/>
        <v>4.1291007505231017</v>
      </c>
      <c r="N655" s="26">
        <f t="shared" si="62"/>
        <v>3.3503724218847548</v>
      </c>
      <c r="O655" s="78">
        <f t="shared" si="62"/>
        <v>2.5688881967245165</v>
      </c>
    </row>
    <row r="656" spans="1:15" ht="12.75" customHeight="1">
      <c r="A656" s="4"/>
      <c r="B656" s="4"/>
      <c r="C656" s="4"/>
      <c r="D656" s="4"/>
      <c r="E656" s="4"/>
      <c r="F656" s="16"/>
      <c r="G656" s="4"/>
      <c r="H656" s="4"/>
      <c r="I656" s="4"/>
      <c r="J656" s="4"/>
      <c r="K656" s="4"/>
      <c r="L656" s="4"/>
      <c r="M656" s="4"/>
      <c r="N656" s="4"/>
      <c r="O656" s="4"/>
    </row>
    <row r="657" spans="1:15">
      <c r="A657" s="4"/>
      <c r="B657" s="4"/>
      <c r="C657" s="65" t="s">
        <v>82</v>
      </c>
      <c r="D657" s="4"/>
      <c r="E657" s="4"/>
      <c r="F657" s="16"/>
      <c r="G657" s="4"/>
      <c r="H657" s="4"/>
      <c r="I657" s="4"/>
      <c r="J657" s="4"/>
      <c r="K657" s="4"/>
      <c r="L657" s="4"/>
      <c r="M657" s="4"/>
      <c r="N657" s="4"/>
      <c r="O657" s="4"/>
    </row>
    <row r="658" spans="1:15">
      <c r="A658" s="4"/>
      <c r="B658" s="65"/>
      <c r="C658" s="4"/>
      <c r="D658" s="4" t="s">
        <v>81</v>
      </c>
      <c r="E658" s="4"/>
      <c r="F658" s="16"/>
      <c r="G658" s="4"/>
      <c r="H658" s="74"/>
      <c r="I658" s="74"/>
      <c r="J658" s="74"/>
      <c r="K658" s="73">
        <f>K394</f>
        <v>49.829871358886223</v>
      </c>
      <c r="L658" s="73">
        <f>L394</f>
        <v>72.48046248140534</v>
      </c>
      <c r="M658" s="73">
        <f>M394</f>
        <v>78.287558463236962</v>
      </c>
      <c r="N658" s="73">
        <f>N394</f>
        <v>79.491676646972024</v>
      </c>
      <c r="O658" s="73">
        <f>O394</f>
        <v>74.444832339817509</v>
      </c>
    </row>
    <row r="659" spans="1:15">
      <c r="A659" s="4"/>
      <c r="B659" s="65"/>
      <c r="C659" s="4"/>
      <c r="D659" s="4" t="s">
        <v>80</v>
      </c>
      <c r="E659" s="4"/>
      <c r="F659" s="16"/>
      <c r="G659" s="4"/>
      <c r="H659" s="74"/>
      <c r="I659" s="74"/>
      <c r="J659" s="74"/>
      <c r="K659" s="73">
        <f>K631+K622+K599+K587</f>
        <v>-19.77425753703703</v>
      </c>
      <c r="L659" s="73">
        <f>L631+L622+L599+L587</f>
        <v>-37.571089320370362</v>
      </c>
      <c r="M659" s="73">
        <f>M631+M622+M599+M587</f>
        <v>-37.571089320370362</v>
      </c>
      <c r="N659" s="73">
        <f>N631+N622+N599+N587</f>
        <v>-61.300198364814797</v>
      </c>
      <c r="O659" s="73">
        <f>O631+O622+O599+O587</f>
        <v>-90.961584670370343</v>
      </c>
    </row>
    <row r="660" spans="1:15">
      <c r="A660" s="4"/>
      <c r="B660" s="65"/>
      <c r="C660" s="4"/>
      <c r="D660" s="4" t="s">
        <v>79</v>
      </c>
      <c r="E660" s="4"/>
      <c r="F660" s="16"/>
      <c r="G660" s="4"/>
      <c r="H660" s="74"/>
      <c r="I660" s="74"/>
      <c r="J660" s="74"/>
      <c r="K660" s="602">
        <f>-K707-K717</f>
        <v>-8</v>
      </c>
      <c r="L660" s="602">
        <f>-L707-L717</f>
        <v>-8</v>
      </c>
      <c r="M660" s="602">
        <f>-M707-M717</f>
        <v>-8</v>
      </c>
      <c r="N660" s="602">
        <f>-N707-N717</f>
        <v>-8</v>
      </c>
      <c r="O660" s="602">
        <f>-O707-O717</f>
        <v>-8</v>
      </c>
    </row>
    <row r="661" spans="1:15">
      <c r="A661" s="4"/>
      <c r="B661" s="4"/>
      <c r="C661" s="4"/>
      <c r="D661" s="65" t="s">
        <v>78</v>
      </c>
      <c r="E661" s="4"/>
      <c r="F661" s="16"/>
      <c r="G661" s="4"/>
      <c r="H661" s="4"/>
      <c r="I661" s="4"/>
      <c r="J661" s="4"/>
      <c r="K661" s="64">
        <f>SUM(K658:K660)</f>
        <v>22.055613821849192</v>
      </c>
      <c r="L661" s="64">
        <f>SUM(L658:L660)</f>
        <v>26.909373161034978</v>
      </c>
      <c r="M661" s="64">
        <f>SUM(M658:M660)</f>
        <v>32.7164691428666</v>
      </c>
      <c r="N661" s="64">
        <f>SUM(N658:N660)</f>
        <v>10.191478282157227</v>
      </c>
      <c r="O661" s="64">
        <f>SUM(O658:O660)</f>
        <v>-24.516752330552833</v>
      </c>
    </row>
    <row r="662" spans="1:15">
      <c r="A662" s="4"/>
      <c r="B662" s="4"/>
      <c r="C662" s="65"/>
      <c r="D662" s="4"/>
      <c r="E662" s="4"/>
      <c r="F662" s="16"/>
      <c r="G662" s="4"/>
      <c r="H662" s="4"/>
      <c r="I662" s="4"/>
      <c r="J662" s="4"/>
      <c r="K662" s="4"/>
      <c r="L662" s="4"/>
      <c r="M662" s="4"/>
      <c r="N662" s="4"/>
      <c r="O662" s="4"/>
    </row>
    <row r="663" spans="1:15">
      <c r="A663" s="4"/>
      <c r="B663" s="4"/>
      <c r="C663" s="4"/>
      <c r="D663" s="4" t="s">
        <v>77</v>
      </c>
      <c r="E663" s="4"/>
      <c r="F663" s="16"/>
      <c r="G663" s="4"/>
      <c r="H663" s="4"/>
      <c r="I663" s="4"/>
      <c r="J663" s="4"/>
      <c r="K663" s="24">
        <f>J665</f>
        <v>79.097030148148121</v>
      </c>
      <c r="L663" s="24">
        <f>K665</f>
        <v>57.041416326298929</v>
      </c>
      <c r="M663" s="24">
        <f>L665</f>
        <v>30.132043165263951</v>
      </c>
      <c r="N663" s="24">
        <f>M665</f>
        <v>0</v>
      </c>
      <c r="O663" s="24">
        <f>N665</f>
        <v>0</v>
      </c>
    </row>
    <row r="664" spans="1:15">
      <c r="A664" s="4"/>
      <c r="B664" s="4"/>
      <c r="C664" s="4"/>
      <c r="D664" s="4" t="s">
        <v>76</v>
      </c>
      <c r="E664" s="4"/>
      <c r="F664" s="16"/>
      <c r="G664" s="4"/>
      <c r="H664" s="4"/>
      <c r="I664" s="4"/>
      <c r="J664" s="2"/>
      <c r="K664" s="601">
        <f>-MIN(K661+K574,K663)</f>
        <v>-22.055613821849192</v>
      </c>
      <c r="L664" s="601">
        <f>-MIN(L661+L574,L663)</f>
        <v>-26.909373161034978</v>
      </c>
      <c r="M664" s="601">
        <f>-MIN(M661+M574,M663)</f>
        <v>-30.132043165263951</v>
      </c>
      <c r="N664" s="601">
        <f>-MIN(N661+N574,N663)</f>
        <v>0</v>
      </c>
      <c r="O664" s="601">
        <f>-MIN(O661+O574,O663)</f>
        <v>11.740848070792964</v>
      </c>
    </row>
    <row r="665" spans="1:15">
      <c r="A665" s="4"/>
      <c r="B665" s="4"/>
      <c r="C665" s="4"/>
      <c r="D665" s="4" t="s">
        <v>75</v>
      </c>
      <c r="E665" s="4"/>
      <c r="F665" s="16"/>
      <c r="G665" s="4"/>
      <c r="H665" s="4"/>
      <c r="I665" s="76"/>
      <c r="J665" s="27">
        <f>J437</f>
        <v>79.097030148148121</v>
      </c>
      <c r="K665" s="27">
        <f>SUM(K663:K664)</f>
        <v>57.041416326298929</v>
      </c>
      <c r="L665" s="27">
        <f>SUM(L663:L664)</f>
        <v>30.132043165263951</v>
      </c>
      <c r="M665" s="27">
        <f>SUM(M663:M664)</f>
        <v>0</v>
      </c>
      <c r="N665" s="27">
        <f>SUM(N663:N664)</f>
        <v>0</v>
      </c>
      <c r="O665" s="27">
        <f>SUM(O663:O664)</f>
        <v>11.740848070792964</v>
      </c>
    </row>
    <row r="666" spans="1:15" ht="6" customHeight="1">
      <c r="A666" s="4"/>
      <c r="B666" s="4"/>
      <c r="C666" s="4"/>
      <c r="D666" s="4"/>
      <c r="E666" s="4"/>
      <c r="F666" s="16"/>
      <c r="G666" s="4"/>
      <c r="H666" s="4"/>
      <c r="I666" s="4"/>
      <c r="J666" s="4"/>
      <c r="K666" s="4"/>
      <c r="L666" s="4"/>
      <c r="M666" s="4"/>
      <c r="N666" s="4"/>
      <c r="O666" s="4"/>
    </row>
    <row r="667" spans="1:15">
      <c r="A667" s="4"/>
      <c r="B667" s="4"/>
      <c r="C667" s="4"/>
      <c r="D667" s="4" t="s">
        <v>74</v>
      </c>
      <c r="E667" s="4"/>
      <c r="F667" s="16"/>
      <c r="G667" s="4"/>
      <c r="H667" s="4"/>
      <c r="I667" s="4"/>
      <c r="J667" s="4"/>
      <c r="K667" s="75">
        <f>K590</f>
        <v>3.2500000000000001E-2</v>
      </c>
      <c r="L667" s="75">
        <f>L590</f>
        <v>3.2500000000000001E-2</v>
      </c>
      <c r="M667" s="75">
        <f>M590</f>
        <v>3.2500000000000001E-2</v>
      </c>
      <c r="N667" s="75">
        <f>N590</f>
        <v>2.75E-2</v>
      </c>
      <c r="O667" s="75">
        <f>O590</f>
        <v>2.5000000000000001E-2</v>
      </c>
    </row>
    <row r="668" spans="1:15">
      <c r="A668" s="4"/>
      <c r="B668" s="4"/>
      <c r="C668" s="4"/>
      <c r="D668" s="4" t="s">
        <v>73</v>
      </c>
      <c r="E668" s="4"/>
      <c r="F668" s="16"/>
      <c r="G668" s="4"/>
      <c r="H668" s="4"/>
      <c r="I668" s="4"/>
      <c r="J668" s="4"/>
      <c r="K668" s="75">
        <f>K667+K654</f>
        <v>0.04</v>
      </c>
      <c r="L668" s="75">
        <f>L667+L654</f>
        <v>0.04</v>
      </c>
      <c r="M668" s="75">
        <f>M667+M654</f>
        <v>0.04</v>
      </c>
      <c r="N668" s="75">
        <f>N667+N654</f>
        <v>3.7499999999999999E-2</v>
      </c>
      <c r="O668" s="75">
        <f>O667+O654</f>
        <v>3.5000000000000003E-2</v>
      </c>
    </row>
    <row r="669" spans="1:15">
      <c r="A669" s="4"/>
      <c r="B669" s="4"/>
      <c r="C669" s="4"/>
      <c r="D669" s="65" t="s">
        <v>72</v>
      </c>
      <c r="E669" s="4"/>
      <c r="F669" s="16"/>
      <c r="G669" s="4"/>
      <c r="H669" s="4"/>
      <c r="I669" s="4"/>
      <c r="J669" s="4"/>
      <c r="K669" s="67">
        <f>K668*J665</f>
        <v>3.1638812059259251</v>
      </c>
      <c r="L669" s="67">
        <f>L668*K665</f>
        <v>2.2816566530519573</v>
      </c>
      <c r="M669" s="67">
        <f>M668*L665</f>
        <v>1.205281726610558</v>
      </c>
      <c r="N669" s="67">
        <f>N668*M665</f>
        <v>0</v>
      </c>
      <c r="O669" s="67">
        <f>O668*N665</f>
        <v>0</v>
      </c>
    </row>
    <row r="670" spans="1:15" ht="6" customHeight="1">
      <c r="A670" s="4"/>
      <c r="B670" s="4"/>
      <c r="C670" s="4"/>
      <c r="D670" s="4"/>
      <c r="E670" s="4"/>
      <c r="F670" s="16"/>
      <c r="G670" s="4"/>
      <c r="H670" s="4"/>
      <c r="I670" s="4"/>
      <c r="J670" s="4"/>
      <c r="K670" s="4"/>
      <c r="L670" s="4"/>
      <c r="M670" s="4"/>
      <c r="N670" s="4"/>
      <c r="O670" s="4"/>
    </row>
    <row r="671" spans="1:15">
      <c r="A671" s="4"/>
      <c r="B671" s="4"/>
      <c r="C671" s="4"/>
      <c r="D671" s="4"/>
      <c r="E671" s="4"/>
      <c r="F671" s="16"/>
      <c r="G671" s="4"/>
      <c r="H671" s="4"/>
      <c r="I671" s="4"/>
      <c r="J671" s="4"/>
      <c r="K671" s="4"/>
      <c r="L671" s="4"/>
      <c r="M671" s="4"/>
      <c r="N671" s="4"/>
      <c r="O671" s="4"/>
    </row>
    <row r="672" spans="1:15">
      <c r="A672" s="4"/>
      <c r="B672" s="4"/>
      <c r="C672" s="65" t="s">
        <v>71</v>
      </c>
      <c r="D672" s="4"/>
      <c r="E672" s="4"/>
      <c r="F672" s="16"/>
      <c r="G672" s="4"/>
      <c r="H672" s="4"/>
      <c r="I672" s="4"/>
      <c r="J672" s="4"/>
      <c r="K672" s="4"/>
      <c r="L672" s="4"/>
      <c r="M672" s="4"/>
      <c r="N672" s="4"/>
      <c r="O672" s="4"/>
    </row>
    <row r="673" spans="1:15">
      <c r="A673" s="4"/>
      <c r="B673" s="65"/>
      <c r="C673" s="4"/>
      <c r="D673" s="4" t="s">
        <v>70</v>
      </c>
      <c r="E673" s="4"/>
      <c r="F673" s="16"/>
      <c r="G673" s="4"/>
      <c r="H673" s="74"/>
      <c r="I673" s="74"/>
      <c r="J673" s="73">
        <f t="shared" ref="J673:O673" si="63">$I$150*J552+$I$151*J553</f>
        <v>113.25</v>
      </c>
      <c r="K673" s="73">
        <f t="shared" si="63"/>
        <v>115.26507161522071</v>
      </c>
      <c r="L673" s="73">
        <f t="shared" si="63"/>
        <v>114.51739180459016</v>
      </c>
      <c r="M673" s="73">
        <f t="shared" si="63"/>
        <v>119.23996373212525</v>
      </c>
      <c r="N673" s="73">
        <f t="shared" si="63"/>
        <v>125.54124225014758</v>
      </c>
      <c r="O673" s="73">
        <f t="shared" si="63"/>
        <v>130.51064882123003</v>
      </c>
    </row>
    <row r="674" spans="1:15">
      <c r="A674" s="4"/>
      <c r="B674" s="65"/>
      <c r="C674" s="4"/>
      <c r="D674" s="4" t="s">
        <v>69</v>
      </c>
      <c r="E674" s="4"/>
      <c r="F674" s="16"/>
      <c r="G674" s="4"/>
      <c r="H674" s="74"/>
      <c r="I674" s="74"/>
      <c r="J674" s="73">
        <f>I147</f>
        <v>100</v>
      </c>
      <c r="K674" s="73">
        <f>MIN($J$674,J673)</f>
        <v>100</v>
      </c>
      <c r="L674" s="73">
        <f>MIN($J$674,K673)</f>
        <v>100</v>
      </c>
      <c r="M674" s="73">
        <f>MIN($J$674,L673)</f>
        <v>100</v>
      </c>
      <c r="N674" s="73">
        <f>MIN($J$674,M673)</f>
        <v>100</v>
      </c>
      <c r="O674" s="73">
        <f>MIN($J$674,N673)</f>
        <v>100</v>
      </c>
    </row>
    <row r="675" spans="1:15">
      <c r="A675" s="4"/>
      <c r="B675" s="65"/>
      <c r="C675" s="4"/>
      <c r="D675" s="4"/>
      <c r="E675" s="4"/>
      <c r="F675" s="16"/>
      <c r="G675" s="4"/>
      <c r="H675" s="74"/>
      <c r="I675" s="74"/>
      <c r="J675" s="74"/>
      <c r="K675" s="73"/>
      <c r="L675" s="73"/>
      <c r="M675" s="73"/>
      <c r="N675" s="73"/>
      <c r="O675" s="73"/>
    </row>
    <row r="676" spans="1:15">
      <c r="A676" s="4"/>
      <c r="B676" s="4"/>
      <c r="C676" s="4"/>
      <c r="D676" s="4" t="s">
        <v>68</v>
      </c>
      <c r="E676" s="4"/>
      <c r="F676" s="16"/>
      <c r="G676" s="4"/>
      <c r="H676" s="4"/>
      <c r="I676" s="4"/>
      <c r="J676" s="4"/>
      <c r="K676" s="24">
        <f>J679</f>
        <v>20.902969851851879</v>
      </c>
      <c r="L676" s="24">
        <f>K679</f>
        <v>42.958583673701071</v>
      </c>
      <c r="M676" s="24">
        <f>L679</f>
        <v>69.867956834736049</v>
      </c>
      <c r="N676" s="24">
        <f>M679</f>
        <v>100</v>
      </c>
      <c r="O676" s="24">
        <f>N679</f>
        <v>100</v>
      </c>
    </row>
    <row r="677" spans="1:15" ht="13.2" customHeight="1">
      <c r="A677" s="4"/>
      <c r="B677" s="4"/>
      <c r="C677" s="4"/>
      <c r="D677" s="4" t="s">
        <v>67</v>
      </c>
      <c r="E677" s="4"/>
      <c r="F677" s="16"/>
      <c r="G677" s="4"/>
      <c r="H677" s="4"/>
      <c r="I677" s="4"/>
      <c r="J677" s="4"/>
      <c r="K677" s="24">
        <f>-K664</f>
        <v>22.055613821849192</v>
      </c>
      <c r="L677" s="24">
        <f>-L664</f>
        <v>26.909373161034978</v>
      </c>
      <c r="M677" s="24">
        <f>-M664</f>
        <v>30.132043165263951</v>
      </c>
      <c r="N677" s="24">
        <f>-N664</f>
        <v>0</v>
      </c>
      <c r="O677" s="24">
        <f>-O664</f>
        <v>-11.740848070792964</v>
      </c>
    </row>
    <row r="678" spans="1:15" ht="13.2" customHeight="1">
      <c r="A678" s="4"/>
      <c r="B678" s="4"/>
      <c r="C678" s="4"/>
      <c r="D678" s="4" t="s">
        <v>66</v>
      </c>
      <c r="E678" s="4"/>
      <c r="F678" s="16"/>
      <c r="G678" s="4"/>
      <c r="H678" s="4"/>
      <c r="I678" s="4"/>
      <c r="J678" s="2"/>
      <c r="K678" s="49">
        <f>K674-J674</f>
        <v>0</v>
      </c>
      <c r="L678" s="49">
        <f>L674-K674</f>
        <v>0</v>
      </c>
      <c r="M678" s="49">
        <f>M674-L674</f>
        <v>0</v>
      </c>
      <c r="N678" s="49">
        <f>N674-M674</f>
        <v>0</v>
      </c>
      <c r="O678" s="49">
        <f>O674-N674</f>
        <v>0</v>
      </c>
    </row>
    <row r="679" spans="1:15" ht="13.2" customHeight="1">
      <c r="A679" s="4"/>
      <c r="B679" s="4"/>
      <c r="C679" s="4"/>
      <c r="D679" s="4" t="s">
        <v>65</v>
      </c>
      <c r="E679" s="4"/>
      <c r="F679" s="16"/>
      <c r="G679" s="4"/>
      <c r="H679" s="4"/>
      <c r="I679" s="76"/>
      <c r="J679" s="27">
        <f>J674-J665</f>
        <v>20.902969851851879</v>
      </c>
      <c r="K679" s="27">
        <f>SUM(K676:K678)</f>
        <v>42.958583673701071</v>
      </c>
      <c r="L679" s="27">
        <f>SUM(L676:L678)</f>
        <v>69.867956834736049</v>
      </c>
      <c r="M679" s="27">
        <f>SUM(M676:M678)</f>
        <v>100</v>
      </c>
      <c r="N679" s="27">
        <f>SUM(N676:N678)</f>
        <v>100</v>
      </c>
      <c r="O679" s="27">
        <f>SUM(O676:O678)</f>
        <v>88.259151929207036</v>
      </c>
    </row>
    <row r="680" spans="1:15" ht="13.2" customHeight="1">
      <c r="A680" s="4"/>
      <c r="B680" s="65"/>
      <c r="C680" s="4"/>
      <c r="D680" s="4"/>
      <c r="E680" s="4"/>
      <c r="F680" s="16"/>
      <c r="G680" s="4"/>
      <c r="H680" s="74"/>
      <c r="I680" s="74"/>
      <c r="J680" s="74"/>
      <c r="K680" s="73"/>
      <c r="L680" s="73"/>
      <c r="M680" s="73"/>
      <c r="N680" s="73"/>
      <c r="O680" s="73"/>
    </row>
    <row r="681" spans="1:15" ht="13.2" customHeight="1">
      <c r="A681" s="4"/>
      <c r="B681" s="4"/>
      <c r="C681" s="4"/>
      <c r="D681" s="4" t="s">
        <v>64</v>
      </c>
      <c r="E681" s="4"/>
      <c r="F681" s="16"/>
      <c r="G681" s="4"/>
      <c r="H681" s="4"/>
      <c r="I681" s="4"/>
      <c r="J681" s="4"/>
      <c r="K681" s="75">
        <f>I153</f>
        <v>2.5000000000000001E-3</v>
      </c>
      <c r="L681" s="75">
        <f>K681</f>
        <v>2.5000000000000001E-3</v>
      </c>
      <c r="M681" s="75">
        <f>L681</f>
        <v>2.5000000000000001E-3</v>
      </c>
      <c r="N681" s="75">
        <f>M681</f>
        <v>2.5000000000000001E-3</v>
      </c>
      <c r="O681" s="75">
        <f>N681</f>
        <v>2.5000000000000001E-3</v>
      </c>
    </row>
    <row r="682" spans="1:15" ht="13.2" customHeight="1">
      <c r="A682" s="4"/>
      <c r="B682" s="4"/>
      <c r="C682" s="4"/>
      <c r="D682" s="65" t="s">
        <v>63</v>
      </c>
      <c r="E682" s="4"/>
      <c r="F682" s="16"/>
      <c r="G682" s="4"/>
      <c r="H682" s="4"/>
      <c r="I682" s="4"/>
      <c r="J682" s="4"/>
      <c r="K682" s="67">
        <f>K681*J679</f>
        <v>5.2257424629629699E-2</v>
      </c>
      <c r="L682" s="67">
        <f>L681*K679</f>
        <v>0.10739645918425268</v>
      </c>
      <c r="M682" s="67">
        <f>M681*L679</f>
        <v>0.17466989208684011</v>
      </c>
      <c r="N682" s="67">
        <f>N681*M679</f>
        <v>0.25</v>
      </c>
      <c r="O682" s="67">
        <f>O681*N679</f>
        <v>0.25</v>
      </c>
    </row>
    <row r="683" spans="1:15" ht="13.2" customHeight="1">
      <c r="A683" s="4"/>
      <c r="B683" s="65"/>
      <c r="C683" s="4"/>
      <c r="D683" s="4"/>
      <c r="E683" s="4"/>
      <c r="F683" s="16"/>
      <c r="G683" s="4"/>
      <c r="H683" s="74"/>
      <c r="I683" s="74"/>
      <c r="J683" s="74"/>
      <c r="K683" s="73"/>
      <c r="L683" s="73"/>
      <c r="M683" s="73"/>
      <c r="N683" s="73"/>
      <c r="O683" s="73"/>
    </row>
    <row r="684" spans="1:15" ht="13.2" customHeight="1">
      <c r="A684" s="4"/>
      <c r="B684" s="65"/>
      <c r="C684" s="4"/>
      <c r="D684" s="4"/>
      <c r="E684" s="4"/>
      <c r="F684" s="16"/>
      <c r="G684" s="4"/>
      <c r="H684" s="74"/>
      <c r="I684" s="74"/>
      <c r="J684" s="74"/>
      <c r="K684" s="73"/>
      <c r="L684" s="73"/>
      <c r="M684" s="73"/>
      <c r="N684" s="73"/>
      <c r="O684" s="73"/>
    </row>
    <row r="685" spans="1:15" ht="13.2" customHeight="1">
      <c r="A685" s="4"/>
      <c r="B685" s="65"/>
      <c r="C685" s="65" t="s">
        <v>7</v>
      </c>
      <c r="D685" s="4"/>
      <c r="E685" s="4"/>
      <c r="F685" s="16"/>
      <c r="G685" s="4"/>
      <c r="H685" s="74"/>
      <c r="I685" s="74"/>
      <c r="J685" s="74"/>
      <c r="K685" s="73"/>
      <c r="L685" s="73"/>
      <c r="M685" s="73"/>
      <c r="N685" s="73"/>
      <c r="O685" s="73"/>
    </row>
    <row r="686" spans="1:15" ht="13.2" customHeight="1">
      <c r="A686" s="4"/>
      <c r="B686" s="4"/>
      <c r="C686" s="4"/>
      <c r="D686" s="4" t="s">
        <v>6</v>
      </c>
      <c r="E686" s="4"/>
      <c r="F686" s="16"/>
      <c r="G686" s="4"/>
      <c r="H686" s="4"/>
      <c r="I686" s="4"/>
      <c r="J686" s="4"/>
      <c r="K686" s="598">
        <f>K682+K669+K640+K626+K604+K592-K580</f>
        <v>39.205287347962951</v>
      </c>
      <c r="L686" s="598">
        <f>L682+L669+L640+L626+L604+L592-L580</f>
        <v>37.819776796797683</v>
      </c>
      <c r="M686" s="598">
        <f>M682+M669+M640+M626+M604+M592-M580</f>
        <v>35.550143900362308</v>
      </c>
      <c r="N686" s="598">
        <f>N682+N669+N640+N626+N604+N592-N580</f>
        <v>41.702831030892789</v>
      </c>
      <c r="O686" s="598">
        <f>O682+O669+O640+O626+O604+O592-O580</f>
        <v>38.656073622620887</v>
      </c>
    </row>
    <row r="687" spans="1:15" ht="13.2" customHeight="1">
      <c r="A687" s="4"/>
      <c r="B687" s="4"/>
      <c r="C687" s="4"/>
      <c r="D687" s="4" t="s">
        <v>62</v>
      </c>
      <c r="E687" s="4"/>
      <c r="F687" s="16"/>
      <c r="G687" s="4"/>
      <c r="H687" s="4"/>
      <c r="I687" s="4"/>
      <c r="J687" s="4"/>
      <c r="K687" s="601">
        <f>K639</f>
        <v>8.3051881655555526</v>
      </c>
      <c r="L687" s="601">
        <f>L639</f>
        <v>8.6540060685088864</v>
      </c>
      <c r="M687" s="601">
        <f>M639</f>
        <v>9.01747432338626</v>
      </c>
      <c r="N687" s="601">
        <f>N639</f>
        <v>0</v>
      </c>
      <c r="O687" s="601">
        <f>O639</f>
        <v>0</v>
      </c>
    </row>
    <row r="688" spans="1:15" ht="13.2" customHeight="1" thickBot="1">
      <c r="A688" s="4"/>
      <c r="B688" s="4"/>
      <c r="C688" s="65"/>
      <c r="D688" s="65" t="s">
        <v>61</v>
      </c>
      <c r="E688" s="4"/>
      <c r="F688" s="16"/>
      <c r="G688" s="4"/>
      <c r="H688" s="4"/>
      <c r="I688" s="4"/>
      <c r="J688" s="4"/>
      <c r="K688" s="72">
        <f>SUM(K686:K687)</f>
        <v>47.5104755135185</v>
      </c>
      <c r="L688" s="72">
        <f>SUM(L686:L687)</f>
        <v>46.473782865306568</v>
      </c>
      <c r="M688" s="72">
        <f>SUM(M686:M687)</f>
        <v>44.567618223748568</v>
      </c>
      <c r="N688" s="72">
        <f>SUM(N686:N687)</f>
        <v>41.702831030892789</v>
      </c>
      <c r="O688" s="72">
        <f>SUM(O686:O687)</f>
        <v>38.656073622620887</v>
      </c>
    </row>
    <row r="689" spans="1:15" ht="13.2" customHeight="1" thickTop="1">
      <c r="A689" s="4"/>
      <c r="B689" s="4"/>
      <c r="C689" s="4"/>
      <c r="D689" s="4"/>
      <c r="E689" s="4"/>
      <c r="F689" s="16"/>
      <c r="G689" s="4"/>
      <c r="H689" s="4"/>
      <c r="I689" s="4"/>
      <c r="J689" s="4"/>
      <c r="K689" s="24"/>
      <c r="L689" s="24"/>
      <c r="M689" s="24"/>
      <c r="N689" s="24"/>
      <c r="O689" s="24"/>
    </row>
    <row r="690" spans="1:15" ht="13.2" customHeight="1">
      <c r="A690" s="4"/>
      <c r="B690" s="2"/>
      <c r="C690" s="2"/>
      <c r="D690" s="2"/>
      <c r="E690" s="2"/>
      <c r="F690" s="3"/>
      <c r="G690" s="2"/>
      <c r="H690" s="2"/>
      <c r="I690" s="2"/>
      <c r="J690" s="2"/>
      <c r="K690" s="2"/>
      <c r="L690" s="2"/>
      <c r="M690" s="2"/>
      <c r="N690" s="2"/>
      <c r="O690" s="2"/>
    </row>
    <row r="691" spans="1:15" ht="13.2" customHeight="1">
      <c r="A691" s="4"/>
      <c r="B691" s="4"/>
      <c r="C691" s="4"/>
      <c r="D691" s="4"/>
      <c r="E691" s="4"/>
      <c r="F691" s="16"/>
      <c r="G691" s="4"/>
      <c r="H691" s="4"/>
      <c r="I691" s="4"/>
      <c r="J691" s="4"/>
      <c r="K691" s="24"/>
      <c r="L691" s="24"/>
      <c r="M691" s="24"/>
      <c r="N691" s="24"/>
      <c r="O691" s="24"/>
    </row>
    <row r="692" spans="1:15" ht="13.2" customHeight="1">
      <c r="A692" s="4"/>
      <c r="B692" s="4"/>
      <c r="C692" s="4"/>
      <c r="D692" s="4"/>
      <c r="E692" s="4"/>
      <c r="F692" s="16"/>
      <c r="G692" s="4"/>
      <c r="H692" s="4"/>
      <c r="I692" s="4"/>
      <c r="J692" s="4"/>
      <c r="K692" s="24"/>
      <c r="L692" s="24"/>
      <c r="M692" s="24"/>
      <c r="N692" s="24"/>
      <c r="O692" s="24"/>
    </row>
    <row r="693" spans="1:15" ht="13.2" customHeight="1">
      <c r="A693" s="4"/>
      <c r="B693" s="35"/>
      <c r="C693" s="20"/>
      <c r="D693" s="20"/>
      <c r="E693" s="20"/>
      <c r="F693" s="20"/>
      <c r="G693" s="20"/>
      <c r="H693" s="20"/>
      <c r="I693" s="20"/>
      <c r="J693" s="20"/>
      <c r="K693" s="20"/>
      <c r="L693" s="20"/>
      <c r="M693" s="20"/>
      <c r="N693" s="20"/>
      <c r="O693" s="36" t="str">
        <f>$O$235</f>
        <v>CURRENTLY RUNNING: BASE CASE SCENARIO</v>
      </c>
    </row>
    <row r="694" spans="1:15" ht="22.8" customHeight="1">
      <c r="A694" s="4"/>
      <c r="B694" s="35" t="str">
        <f>B563</f>
        <v>Lingoren Corp.</v>
      </c>
      <c r="C694" s="20"/>
      <c r="D694" s="20"/>
      <c r="E694" s="20"/>
      <c r="F694" s="20"/>
      <c r="G694" s="20"/>
      <c r="H694" s="20"/>
      <c r="I694" s="20"/>
      <c r="J694" s="20"/>
      <c r="K694" s="20"/>
      <c r="L694" s="20"/>
      <c r="M694" s="20"/>
      <c r="N694" s="20"/>
      <c r="O694" s="20"/>
    </row>
    <row r="695" spans="1:15" ht="18.75" customHeight="1">
      <c r="A695" s="4"/>
      <c r="B695" s="34" t="s">
        <v>60</v>
      </c>
      <c r="C695" s="20"/>
      <c r="D695" s="20"/>
      <c r="E695" s="20"/>
      <c r="F695" s="20"/>
      <c r="G695" s="20"/>
      <c r="H695" s="20"/>
      <c r="I695" s="20"/>
      <c r="J695" s="20"/>
      <c r="K695" s="20"/>
      <c r="L695" s="20"/>
      <c r="M695" s="20"/>
      <c r="N695" s="20"/>
      <c r="O695" s="20"/>
    </row>
    <row r="696" spans="1:15" ht="6" customHeight="1" thickBot="1">
      <c r="A696" s="4"/>
      <c r="B696" s="33"/>
      <c r="C696" s="32"/>
      <c r="D696" s="32"/>
      <c r="E696" s="32"/>
      <c r="F696" s="32"/>
      <c r="G696" s="32"/>
      <c r="H696" s="32"/>
      <c r="I696" s="32"/>
      <c r="J696" s="32"/>
      <c r="K696" s="32"/>
      <c r="L696" s="32"/>
      <c r="M696" s="32"/>
      <c r="N696" s="32"/>
      <c r="O696" s="32"/>
    </row>
    <row r="697" spans="1:15" ht="13.2" customHeight="1">
      <c r="A697" s="4"/>
      <c r="B697" s="31" t="s">
        <v>25</v>
      </c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30"/>
    </row>
    <row r="698" spans="1:15" ht="13.2" customHeight="1">
      <c r="A698" s="4"/>
      <c r="B698" s="4"/>
      <c r="C698" s="4"/>
      <c r="D698" s="4"/>
      <c r="E698" s="4"/>
      <c r="F698" s="4"/>
      <c r="G698" s="4"/>
      <c r="H698" s="20"/>
      <c r="I698" s="20"/>
      <c r="J698" s="20"/>
      <c r="K698" s="14" t="s">
        <v>24</v>
      </c>
      <c r="L698" s="13"/>
      <c r="M698" s="13"/>
      <c r="N698" s="13"/>
      <c r="O698" s="13"/>
    </row>
    <row r="699" spans="1:15" ht="13.2" customHeight="1">
      <c r="A699" s="4"/>
      <c r="B699" s="4"/>
      <c r="C699" s="4"/>
      <c r="D699" s="4"/>
      <c r="E699" s="4"/>
      <c r="F699" s="4"/>
      <c r="G699" s="29"/>
      <c r="H699" s="28"/>
      <c r="I699" s="28"/>
      <c r="J699" s="670">
        <f>K699-1</f>
        <v>2018</v>
      </c>
      <c r="K699" s="10">
        <f t="shared" ref="K699:O699" si="64">K$241</f>
        <v>2019</v>
      </c>
      <c r="L699" s="10">
        <f t="shared" si="64"/>
        <v>2020</v>
      </c>
      <c r="M699" s="10">
        <f t="shared" si="64"/>
        <v>2021</v>
      </c>
      <c r="N699" s="10">
        <f t="shared" si="64"/>
        <v>2022</v>
      </c>
      <c r="O699" s="10">
        <f t="shared" si="64"/>
        <v>2023</v>
      </c>
    </row>
    <row r="700" spans="1:15" ht="6" customHeight="1">
      <c r="A700" s="4"/>
      <c r="B700" s="4"/>
      <c r="C700" s="4"/>
      <c r="D700" s="4"/>
      <c r="E700" s="4"/>
      <c r="F700" s="16"/>
      <c r="G700" s="4"/>
      <c r="H700" s="4"/>
      <c r="I700" s="4"/>
      <c r="J700" s="4"/>
      <c r="K700" s="4"/>
      <c r="L700" s="4"/>
      <c r="M700" s="4"/>
      <c r="N700" s="4"/>
      <c r="O700" s="4"/>
    </row>
    <row r="701" spans="1:15" ht="13.2" customHeight="1">
      <c r="A701" s="4"/>
      <c r="B701" s="65"/>
      <c r="C701" s="65" t="s">
        <v>59</v>
      </c>
      <c r="D701" s="4"/>
      <c r="E701" s="4"/>
      <c r="F701" s="16"/>
      <c r="G701" s="4"/>
      <c r="H701" s="4"/>
      <c r="I701" s="4"/>
      <c r="J701" s="4"/>
      <c r="K701" s="4"/>
      <c r="L701" s="4"/>
      <c r="M701" s="4"/>
      <c r="N701" s="4"/>
      <c r="O701" s="4"/>
    </row>
    <row r="702" spans="1:15" ht="13.2" customHeight="1">
      <c r="A702" s="4"/>
      <c r="B702" s="4"/>
      <c r="C702" s="4"/>
      <c r="D702" s="4" t="s">
        <v>51</v>
      </c>
      <c r="E702" s="4"/>
      <c r="F702" s="16"/>
      <c r="G702" s="69"/>
      <c r="H702" s="4"/>
      <c r="I702" s="4"/>
      <c r="J702" s="4"/>
      <c r="K702" s="24">
        <f>J704</f>
        <v>100</v>
      </c>
      <c r="L702" s="24">
        <f>K704</f>
        <v>100</v>
      </c>
      <c r="M702" s="24">
        <f>L704</f>
        <v>100</v>
      </c>
      <c r="N702" s="24">
        <f>M704</f>
        <v>100</v>
      </c>
      <c r="O702" s="24">
        <f>N704</f>
        <v>100</v>
      </c>
    </row>
    <row r="703" spans="1:15" ht="13.2" customHeight="1">
      <c r="A703" s="4"/>
      <c r="B703" s="4"/>
      <c r="C703" s="4"/>
      <c r="D703" s="4" t="s">
        <v>58</v>
      </c>
      <c r="E703" s="4"/>
      <c r="F703" s="16"/>
      <c r="G703" s="4"/>
      <c r="H703" s="4"/>
      <c r="I703" s="4"/>
      <c r="J703" s="2"/>
      <c r="K703" s="49">
        <f>G128</f>
        <v>0</v>
      </c>
      <c r="L703" s="49">
        <f>H128</f>
        <v>0</v>
      </c>
      <c r="M703" s="49">
        <f>I128</f>
        <v>0</v>
      </c>
      <c r="N703" s="49">
        <f>J128</f>
        <v>0</v>
      </c>
      <c r="O703" s="49">
        <f>K128</f>
        <v>0</v>
      </c>
    </row>
    <row r="704" spans="1:15" ht="13.2" customHeight="1">
      <c r="A704" s="4"/>
      <c r="B704" s="4"/>
      <c r="C704" s="4"/>
      <c r="D704" s="4" t="s">
        <v>47</v>
      </c>
      <c r="E704" s="4"/>
      <c r="F704" s="16"/>
      <c r="G704" s="4"/>
      <c r="H704" s="4"/>
      <c r="I704" s="4"/>
      <c r="J704" s="27">
        <f>J451</f>
        <v>100</v>
      </c>
      <c r="K704" s="27">
        <f>SUM(K702:K703)</f>
        <v>100</v>
      </c>
      <c r="L704" s="27">
        <f>SUM(L702:L703)</f>
        <v>100</v>
      </c>
      <c r="M704" s="27">
        <f>SUM(M702:M703)</f>
        <v>100</v>
      </c>
      <c r="N704" s="27">
        <f>SUM(N702:N703)</f>
        <v>100</v>
      </c>
      <c r="O704" s="27">
        <f>SUM(O702:O703)</f>
        <v>100</v>
      </c>
    </row>
    <row r="705" spans="1:15" ht="13.2" customHeight="1">
      <c r="A705" s="4"/>
      <c r="B705" s="4"/>
      <c r="C705" s="4"/>
      <c r="D705" s="4"/>
      <c r="E705" s="4"/>
      <c r="F705" s="16"/>
      <c r="G705" s="4"/>
      <c r="H705" s="4"/>
      <c r="I705" s="4"/>
      <c r="J705" s="4"/>
      <c r="K705" s="4"/>
      <c r="L705" s="4"/>
      <c r="M705" s="4"/>
      <c r="N705" s="4"/>
      <c r="O705" s="4"/>
    </row>
    <row r="706" spans="1:15" ht="13.2" customHeight="1">
      <c r="A706" s="4"/>
      <c r="B706" s="4"/>
      <c r="C706" s="4"/>
      <c r="D706" s="4" t="s">
        <v>57</v>
      </c>
      <c r="E706" s="4"/>
      <c r="F706" s="16"/>
      <c r="G706" s="4"/>
      <c r="H706" s="4"/>
      <c r="I706" s="4"/>
      <c r="J706" s="4"/>
      <c r="K706" s="68">
        <f>E29</f>
        <v>0.08</v>
      </c>
      <c r="L706" s="68">
        <f>K706</f>
        <v>0.08</v>
      </c>
      <c r="M706" s="68">
        <f>L706</f>
        <v>0.08</v>
      </c>
      <c r="N706" s="68">
        <f>M706</f>
        <v>0.08</v>
      </c>
      <c r="O706" s="68">
        <f>N706</f>
        <v>0.08</v>
      </c>
    </row>
    <row r="707" spans="1:15" ht="13.2" customHeight="1">
      <c r="A707" s="4"/>
      <c r="B707" s="4"/>
      <c r="C707" s="65"/>
      <c r="D707" s="65" t="s">
        <v>49</v>
      </c>
      <c r="E707" s="4"/>
      <c r="F707" s="16"/>
      <c r="G707" s="4"/>
      <c r="H707" s="4"/>
      <c r="I707" s="4"/>
      <c r="J707" s="4"/>
      <c r="K707" s="67">
        <f>K706*AVERAGE(K704,K702)</f>
        <v>8</v>
      </c>
      <c r="L707" s="67">
        <f>L706*AVERAGE(L704,L702)</f>
        <v>8</v>
      </c>
      <c r="M707" s="67">
        <f>M706*AVERAGE(M704,M702)</f>
        <v>8</v>
      </c>
      <c r="N707" s="67">
        <f>N706*AVERAGE(N704,N702)</f>
        <v>8</v>
      </c>
      <c r="O707" s="67">
        <f>O706*AVERAGE(O704,O702)</f>
        <v>8</v>
      </c>
    </row>
    <row r="708" spans="1:15" ht="13.2" customHeight="1">
      <c r="A708" s="4"/>
      <c r="B708" s="4"/>
      <c r="C708" s="4"/>
      <c r="D708" s="4"/>
      <c r="E708" s="4"/>
      <c r="F708" s="16"/>
      <c r="G708" s="4"/>
      <c r="H708" s="4"/>
      <c r="I708" s="4"/>
      <c r="J708" s="4"/>
      <c r="K708" s="4"/>
      <c r="L708" s="4"/>
      <c r="M708" s="4"/>
      <c r="N708" s="4"/>
      <c r="O708" s="4"/>
    </row>
    <row r="709" spans="1:15" ht="13.2" customHeight="1">
      <c r="A709" s="4"/>
      <c r="B709" s="4"/>
      <c r="C709" s="4"/>
      <c r="D709" s="4"/>
      <c r="E709" s="4"/>
      <c r="F709" s="16"/>
      <c r="G709" s="4"/>
      <c r="H709" s="4"/>
      <c r="I709" s="4"/>
      <c r="J709" s="4"/>
      <c r="K709" s="4"/>
      <c r="L709" s="4"/>
      <c r="M709" s="4"/>
      <c r="N709" s="4"/>
      <c r="O709" s="4"/>
    </row>
    <row r="710" spans="1:15" ht="13.2" customHeight="1">
      <c r="A710" s="4"/>
      <c r="B710" s="65"/>
      <c r="C710" s="65" t="s">
        <v>56</v>
      </c>
      <c r="D710" s="4"/>
      <c r="E710" s="4"/>
      <c r="F710" s="16"/>
      <c r="G710" s="4"/>
      <c r="H710" s="4"/>
      <c r="I710" s="4"/>
      <c r="J710" s="4"/>
      <c r="K710" s="4"/>
      <c r="L710" s="4"/>
      <c r="M710" s="4"/>
      <c r="N710" s="4"/>
      <c r="O710" s="4"/>
    </row>
    <row r="711" spans="1:15" ht="13.2" customHeight="1">
      <c r="A711" s="4"/>
      <c r="B711" s="4"/>
      <c r="C711" s="4"/>
      <c r="D711" s="4" t="s">
        <v>51</v>
      </c>
      <c r="E711" s="4"/>
      <c r="F711" s="16"/>
      <c r="G711" s="69"/>
      <c r="H711" s="4"/>
      <c r="I711" s="4"/>
      <c r="J711" s="4"/>
      <c r="K711" s="24">
        <f>J713</f>
        <v>398.4242483329258</v>
      </c>
      <c r="L711" s="24">
        <f>K713</f>
        <v>398.4242483329258</v>
      </c>
      <c r="M711" s="24">
        <f>L713</f>
        <v>398.4242483329258</v>
      </c>
      <c r="N711" s="24">
        <f>M713</f>
        <v>398.4242483329258</v>
      </c>
      <c r="O711" s="24">
        <f>N713</f>
        <v>398.4242483329258</v>
      </c>
    </row>
    <row r="712" spans="1:15" ht="13.2" customHeight="1">
      <c r="A712" s="4"/>
      <c r="B712" s="4"/>
      <c r="C712" s="4"/>
      <c r="D712" s="4" t="s">
        <v>55</v>
      </c>
      <c r="E712" s="4"/>
      <c r="F712" s="16"/>
      <c r="G712" s="4"/>
      <c r="H712" s="4"/>
      <c r="I712" s="4"/>
      <c r="J712" s="2"/>
      <c r="K712" s="49">
        <f>G129</f>
        <v>0</v>
      </c>
      <c r="L712" s="49">
        <f>H129</f>
        <v>0</v>
      </c>
      <c r="M712" s="49">
        <f>I129</f>
        <v>0</v>
      </c>
      <c r="N712" s="49">
        <f>J129</f>
        <v>0</v>
      </c>
      <c r="O712" s="49">
        <f>K129</f>
        <v>0</v>
      </c>
    </row>
    <row r="713" spans="1:15" ht="13.2" customHeight="1">
      <c r="A713" s="4"/>
      <c r="B713" s="4"/>
      <c r="C713" s="4"/>
      <c r="D713" s="4" t="s">
        <v>47</v>
      </c>
      <c r="E713" s="4"/>
      <c r="F713" s="16"/>
      <c r="G713" s="4"/>
      <c r="H713" s="4"/>
      <c r="I713" s="4"/>
      <c r="J713" s="27">
        <f>J452</f>
        <v>398.4242483329258</v>
      </c>
      <c r="K713" s="27">
        <f>SUM(K711:K712)</f>
        <v>398.4242483329258</v>
      </c>
      <c r="L713" s="27">
        <f>SUM(L711:L712)</f>
        <v>398.4242483329258</v>
      </c>
      <c r="M713" s="27">
        <f>SUM(M711:M712)</f>
        <v>398.4242483329258</v>
      </c>
      <c r="N713" s="27">
        <f>SUM(N711:N712)</f>
        <v>398.4242483329258</v>
      </c>
      <c r="O713" s="27">
        <f>SUM(O711:O712)</f>
        <v>398.4242483329258</v>
      </c>
    </row>
    <row r="714" spans="1:15" ht="13.2" customHeight="1">
      <c r="A714" s="4"/>
      <c r="B714" s="4"/>
      <c r="C714" s="4"/>
      <c r="D714" s="4"/>
      <c r="E714" s="4"/>
      <c r="F714" s="16"/>
      <c r="G714" s="4"/>
      <c r="H714" s="4"/>
      <c r="I714" s="4"/>
      <c r="J714" s="4"/>
      <c r="K714" s="4"/>
      <c r="L714" s="4"/>
      <c r="M714" s="4"/>
      <c r="N714" s="4"/>
      <c r="O714" s="4"/>
    </row>
    <row r="715" spans="1:15" ht="13.2" customHeight="1">
      <c r="A715" s="4"/>
      <c r="B715" s="4"/>
      <c r="C715" s="4"/>
      <c r="D715" s="4" t="s">
        <v>54</v>
      </c>
      <c r="E715" s="4"/>
      <c r="F715" s="16"/>
      <c r="G715" s="4"/>
      <c r="H715" s="4"/>
      <c r="I715" s="4"/>
      <c r="J715" s="4"/>
      <c r="K715" s="68">
        <f>E30</f>
        <v>0</v>
      </c>
      <c r="L715" s="68">
        <f>K715</f>
        <v>0</v>
      </c>
      <c r="M715" s="68">
        <f>L715</f>
        <v>0</v>
      </c>
      <c r="N715" s="68">
        <f>M715</f>
        <v>0</v>
      </c>
      <c r="O715" s="68">
        <f>N715</f>
        <v>0</v>
      </c>
    </row>
    <row r="716" spans="1:15" ht="13.2" customHeight="1">
      <c r="A716" s="4"/>
      <c r="B716" s="4"/>
      <c r="C716" s="4"/>
      <c r="D716" s="4" t="s">
        <v>53</v>
      </c>
      <c r="E716" s="4"/>
      <c r="F716" s="16"/>
      <c r="G716" s="4"/>
      <c r="H716" s="4"/>
      <c r="I716" s="4"/>
      <c r="J716" s="4"/>
      <c r="K716" s="24">
        <f>K362</f>
        <v>12.255925760657352</v>
      </c>
      <c r="L716" s="24">
        <f>L362</f>
        <v>23.384693883234963</v>
      </c>
      <c r="M716" s="24">
        <f>M362</f>
        <v>46.288159431934567</v>
      </c>
      <c r="N716" s="24">
        <f>N362</f>
        <v>64.0931640385257</v>
      </c>
      <c r="O716" s="24">
        <f>O362</f>
        <v>87.788975207427342</v>
      </c>
    </row>
    <row r="717" spans="1:15" ht="13.2" customHeight="1">
      <c r="A717" s="4"/>
      <c r="B717" s="4"/>
      <c r="C717" s="65"/>
      <c r="D717" s="65" t="s">
        <v>48</v>
      </c>
      <c r="E717" s="4"/>
      <c r="F717" s="16"/>
      <c r="G717" s="4"/>
      <c r="H717" s="4"/>
      <c r="I717" s="4"/>
      <c r="J717" s="4"/>
      <c r="K717" s="67">
        <f>MAX(K716*K715,0)</f>
        <v>0</v>
      </c>
      <c r="L717" s="67">
        <f>MAX(L716*L715,0)</f>
        <v>0</v>
      </c>
      <c r="M717" s="67">
        <f>MAX(M716*M715,0)</f>
        <v>0</v>
      </c>
      <c r="N717" s="67">
        <f>MAX(N716*N715,0)</f>
        <v>0</v>
      </c>
      <c r="O717" s="67">
        <f>MAX(O716*O715,0)</f>
        <v>0</v>
      </c>
    </row>
    <row r="718" spans="1:15" ht="13.2" customHeight="1">
      <c r="A718" s="4"/>
      <c r="B718" s="4"/>
      <c r="C718" s="4"/>
      <c r="D718" s="4"/>
      <c r="E718" s="4"/>
      <c r="F718" s="16"/>
      <c r="G718" s="4"/>
      <c r="H718" s="4"/>
      <c r="I718" s="4"/>
      <c r="J718" s="4"/>
      <c r="K718" s="4"/>
      <c r="L718" s="4"/>
      <c r="M718" s="4"/>
      <c r="N718" s="4"/>
      <c r="O718" s="4"/>
    </row>
    <row r="719" spans="1:15" ht="13.2" customHeight="1">
      <c r="A719" s="4"/>
      <c r="B719" s="4"/>
      <c r="C719" s="4"/>
      <c r="D719" s="4"/>
      <c r="E719" s="4"/>
      <c r="F719" s="16"/>
      <c r="G719" s="4"/>
      <c r="H719" s="4"/>
      <c r="I719" s="4"/>
      <c r="J719" s="4"/>
      <c r="K719" s="4"/>
      <c r="L719" s="4"/>
      <c r="M719" s="4"/>
      <c r="N719" s="4"/>
      <c r="O719" s="4"/>
    </row>
    <row r="720" spans="1:15" ht="13.2" customHeight="1">
      <c r="A720" s="4"/>
      <c r="B720" s="65"/>
      <c r="C720" s="65" t="s">
        <v>52</v>
      </c>
      <c r="D720" s="4"/>
      <c r="E720" s="4"/>
      <c r="F720" s="16"/>
      <c r="G720" s="4"/>
      <c r="H720" s="4"/>
      <c r="I720" s="4"/>
      <c r="J720" s="4"/>
      <c r="K720" s="4"/>
      <c r="L720" s="4"/>
      <c r="M720" s="4"/>
      <c r="N720" s="4"/>
      <c r="O720" s="4"/>
    </row>
    <row r="721" spans="1:15" ht="13.2" customHeight="1">
      <c r="A721" s="4"/>
      <c r="B721" s="4"/>
      <c r="C721" s="4"/>
      <c r="D721" s="4" t="s">
        <v>51</v>
      </c>
      <c r="E721" s="4"/>
      <c r="F721" s="16"/>
      <c r="G721" s="4"/>
      <c r="H721" s="4"/>
      <c r="I721" s="4"/>
      <c r="J721" s="4"/>
      <c r="K721" s="24">
        <f>J725</f>
        <v>-23.842067444037014</v>
      </c>
      <c r="L721" s="24">
        <f>K725</f>
        <v>-11.586141683379662</v>
      </c>
      <c r="M721" s="24">
        <f>L725</f>
        <v>11.798552199855301</v>
      </c>
      <c r="N721" s="24">
        <f>M725</f>
        <v>58.086711631789868</v>
      </c>
      <c r="O721" s="24">
        <f>N725</f>
        <v>122.17987567031557</v>
      </c>
    </row>
    <row r="722" spans="1:15" ht="13.2" customHeight="1">
      <c r="A722" s="4"/>
      <c r="B722" s="4"/>
      <c r="C722" s="4"/>
      <c r="D722" s="4" t="s">
        <v>50</v>
      </c>
      <c r="E722" s="4"/>
      <c r="F722" s="16"/>
      <c r="G722" s="4"/>
      <c r="H722" s="4"/>
      <c r="I722" s="4"/>
      <c r="J722" s="4"/>
      <c r="K722" s="24">
        <f>K359</f>
        <v>20.255925760657352</v>
      </c>
      <c r="L722" s="24">
        <f>L359</f>
        <v>31.384693883234963</v>
      </c>
      <c r="M722" s="24">
        <f>M359</f>
        <v>54.288159431934567</v>
      </c>
      <c r="N722" s="24">
        <f>N359</f>
        <v>72.0931640385257</v>
      </c>
      <c r="O722" s="24">
        <f>O359</f>
        <v>95.788975207427342</v>
      </c>
    </row>
    <row r="723" spans="1:15" ht="13.2" customHeight="1">
      <c r="A723" s="4"/>
      <c r="B723" s="4"/>
      <c r="C723" s="4"/>
      <c r="D723" s="4" t="s">
        <v>49</v>
      </c>
      <c r="E723" s="4"/>
      <c r="F723" s="16"/>
      <c r="G723" s="4"/>
      <c r="H723" s="4"/>
      <c r="I723" s="4"/>
      <c r="J723" s="4"/>
      <c r="K723" s="24">
        <f>-K707</f>
        <v>-8</v>
      </c>
      <c r="L723" s="24">
        <f>-L707</f>
        <v>-8</v>
      </c>
      <c r="M723" s="24">
        <f>-M707</f>
        <v>-8</v>
      </c>
      <c r="N723" s="24">
        <f>-N707</f>
        <v>-8</v>
      </c>
      <c r="O723" s="24">
        <f>-O707</f>
        <v>-8</v>
      </c>
    </row>
    <row r="724" spans="1:15" ht="13.2" customHeight="1">
      <c r="A724" s="4"/>
      <c r="B724" s="4"/>
      <c r="C724" s="4"/>
      <c r="D724" s="4" t="s">
        <v>48</v>
      </c>
      <c r="E724" s="4"/>
      <c r="F724" s="16"/>
      <c r="G724" s="4"/>
      <c r="H724" s="4"/>
      <c r="I724" s="4"/>
      <c r="J724" s="2"/>
      <c r="K724" s="49">
        <f>-K717</f>
        <v>0</v>
      </c>
      <c r="L724" s="49">
        <f>-L717</f>
        <v>0</v>
      </c>
      <c r="M724" s="49">
        <f>-M717</f>
        <v>0</v>
      </c>
      <c r="N724" s="49">
        <f>-N717</f>
        <v>0</v>
      </c>
      <c r="O724" s="49">
        <f>-O717</f>
        <v>0</v>
      </c>
    </row>
    <row r="725" spans="1:15" ht="13.2" customHeight="1">
      <c r="A725" s="4"/>
      <c r="B725" s="4"/>
      <c r="C725" s="4"/>
      <c r="D725" s="65" t="s">
        <v>47</v>
      </c>
      <c r="E725" s="65"/>
      <c r="F725" s="66"/>
      <c r="G725" s="65"/>
      <c r="H725" s="65"/>
      <c r="I725" s="65"/>
      <c r="J725" s="64">
        <f>J453</f>
        <v>-23.842067444037014</v>
      </c>
      <c r="K725" s="64">
        <f>SUM(K721:K724)</f>
        <v>-11.586141683379662</v>
      </c>
      <c r="L725" s="64">
        <f>SUM(L721:L724)</f>
        <v>11.798552199855301</v>
      </c>
      <c r="M725" s="64">
        <f>SUM(M721:M724)</f>
        <v>58.086711631789868</v>
      </c>
      <c r="N725" s="64">
        <f>SUM(N721:N724)</f>
        <v>122.17987567031557</v>
      </c>
      <c r="O725" s="64">
        <f>SUM(O721:O724)</f>
        <v>209.96885087774291</v>
      </c>
    </row>
    <row r="726" spans="1:15" ht="13.2" customHeight="1">
      <c r="A726" s="4"/>
      <c r="B726" s="4"/>
      <c r="C726" s="4"/>
      <c r="D726" s="4"/>
      <c r="E726" s="4"/>
      <c r="F726" s="16"/>
      <c r="G726" s="4"/>
      <c r="H726" s="4"/>
      <c r="I726" s="4"/>
      <c r="J726" s="4"/>
      <c r="K726" s="4"/>
      <c r="L726" s="4"/>
      <c r="M726" s="4"/>
      <c r="N726" s="4"/>
      <c r="O726" s="4"/>
    </row>
    <row r="727" spans="1:15" ht="13.2" customHeight="1">
      <c r="A727" s="4"/>
      <c r="B727" s="2"/>
      <c r="C727" s="2"/>
      <c r="D727" s="2"/>
      <c r="E727" s="2"/>
      <c r="F727" s="3"/>
      <c r="G727" s="2"/>
      <c r="H727" s="2"/>
      <c r="I727" s="2"/>
      <c r="J727" s="2"/>
      <c r="K727" s="2"/>
      <c r="L727" s="2"/>
      <c r="M727" s="2"/>
      <c r="N727" s="2"/>
      <c r="O727" s="2"/>
    </row>
    <row r="728" spans="1:15" ht="13.2" customHeight="1">
      <c r="A728" s="4"/>
      <c r="B728" s="4"/>
      <c r="C728" s="4"/>
      <c r="D728" s="4"/>
      <c r="E728" s="4"/>
      <c r="F728" s="16"/>
      <c r="G728" s="4"/>
      <c r="H728" s="4"/>
      <c r="I728" s="4"/>
      <c r="J728" s="4"/>
      <c r="K728" s="4"/>
      <c r="L728" s="4"/>
      <c r="M728" s="4"/>
      <c r="N728" s="4"/>
      <c r="O728" s="4"/>
    </row>
    <row r="729" spans="1:15" ht="13.2" customHeight="1">
      <c r="A729" s="4"/>
      <c r="B729" s="4"/>
      <c r="C729" s="4"/>
      <c r="D729" s="4"/>
      <c r="E729" s="4"/>
      <c r="F729" s="16"/>
      <c r="G729" s="4"/>
      <c r="H729" s="4"/>
      <c r="I729" s="4"/>
      <c r="J729" s="4"/>
      <c r="K729" s="4"/>
      <c r="L729" s="4"/>
      <c r="M729" s="4"/>
      <c r="N729" s="4"/>
      <c r="O729" s="4"/>
    </row>
    <row r="730" spans="1:15" ht="13.2" customHeight="1">
      <c r="A730" s="4"/>
      <c r="B730" s="35"/>
      <c r="C730" s="20"/>
      <c r="D730" s="20"/>
      <c r="E730" s="20"/>
      <c r="F730" s="20"/>
      <c r="G730" s="20"/>
      <c r="H730" s="20"/>
      <c r="I730" s="20"/>
      <c r="J730" s="20"/>
      <c r="K730" s="20"/>
      <c r="L730" s="20"/>
      <c r="M730" s="20"/>
      <c r="N730" s="20"/>
      <c r="O730" s="36" t="str">
        <f>$O$235</f>
        <v>CURRENTLY RUNNING: BASE CASE SCENARIO</v>
      </c>
    </row>
    <row r="731" spans="1:15" ht="22.8" customHeight="1">
      <c r="A731" s="4"/>
      <c r="B731" s="35" t="str">
        <f>B236</f>
        <v>Lingoren Corp.</v>
      </c>
      <c r="C731" s="20"/>
      <c r="D731" s="20"/>
      <c r="E731" s="20"/>
      <c r="F731" s="20"/>
      <c r="G731" s="20"/>
      <c r="H731" s="20"/>
      <c r="I731" s="20"/>
      <c r="J731" s="20"/>
      <c r="K731" s="20"/>
      <c r="L731" s="20"/>
      <c r="M731" s="20"/>
      <c r="N731" s="20"/>
      <c r="O731" s="20"/>
    </row>
    <row r="732" spans="1:15" ht="18.75" customHeight="1">
      <c r="A732" s="4"/>
      <c r="B732" s="34" t="s">
        <v>46</v>
      </c>
      <c r="C732" s="20"/>
      <c r="D732" s="20"/>
      <c r="E732" s="20"/>
      <c r="F732" s="20"/>
      <c r="G732" s="20"/>
      <c r="H732" s="20"/>
      <c r="I732" s="20"/>
      <c r="J732" s="20"/>
      <c r="K732" s="20"/>
      <c r="L732" s="20"/>
      <c r="M732" s="20"/>
      <c r="N732" s="20"/>
      <c r="O732" s="20"/>
    </row>
    <row r="733" spans="1:15" ht="13.2" customHeight="1" thickBot="1">
      <c r="A733" s="4"/>
      <c r="B733" s="33"/>
      <c r="C733" s="32"/>
      <c r="D733" s="32"/>
      <c r="E733" s="32"/>
      <c r="F733" s="32"/>
      <c r="G733" s="32"/>
      <c r="H733" s="32"/>
      <c r="I733" s="32"/>
      <c r="J733" s="32"/>
      <c r="K733" s="32"/>
      <c r="L733" s="32"/>
      <c r="M733" s="32"/>
      <c r="N733" s="32"/>
      <c r="O733" s="32"/>
    </row>
    <row r="734" spans="1:15" ht="13.2" customHeight="1">
      <c r="A734" s="4"/>
      <c r="B734" s="31" t="s">
        <v>25</v>
      </c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30"/>
    </row>
    <row r="735" spans="1:15" ht="13.2" customHeight="1">
      <c r="A735" s="4"/>
      <c r="B735" s="4"/>
      <c r="C735" s="4"/>
      <c r="D735" s="4"/>
      <c r="E735" s="4"/>
      <c r="F735" s="4"/>
      <c r="G735" s="4"/>
      <c r="H735" s="20"/>
      <c r="I735" s="20"/>
      <c r="J735" s="20"/>
      <c r="K735" s="14" t="s">
        <v>24</v>
      </c>
      <c r="L735" s="13"/>
      <c r="M735" s="13"/>
      <c r="N735" s="13"/>
      <c r="O735" s="13"/>
    </row>
    <row r="736" spans="1:15" ht="13.2" customHeight="1">
      <c r="A736" s="4"/>
      <c r="B736" s="4"/>
      <c r="C736" s="4"/>
      <c r="D736" s="4"/>
      <c r="E736" s="4"/>
      <c r="F736" s="4"/>
      <c r="G736" s="29"/>
      <c r="H736" s="28"/>
      <c r="I736" s="20"/>
      <c r="J736" s="63" t="s">
        <v>45</v>
      </c>
      <c r="K736" s="10">
        <f>K$241</f>
        <v>2019</v>
      </c>
      <c r="L736" s="10">
        <f>L$241</f>
        <v>2020</v>
      </c>
      <c r="M736" s="10">
        <f>M$241</f>
        <v>2021</v>
      </c>
      <c r="N736" s="10">
        <f>N$241</f>
        <v>2022</v>
      </c>
      <c r="O736" s="10">
        <f>O$241</f>
        <v>2023</v>
      </c>
    </row>
    <row r="737" spans="1:15" ht="6" customHeight="1">
      <c r="A737" s="4"/>
      <c r="B737" s="4"/>
      <c r="C737" s="4"/>
      <c r="D737" s="4"/>
      <c r="E737" s="4"/>
      <c r="F737" s="16"/>
      <c r="G737" s="4"/>
      <c r="H737" s="4"/>
      <c r="I737" s="4"/>
      <c r="J737" s="4"/>
      <c r="K737" s="4"/>
      <c r="L737" s="4"/>
      <c r="M737" s="4"/>
      <c r="N737" s="4"/>
      <c r="O737" s="4"/>
    </row>
    <row r="738" spans="1:15" ht="13.2" customHeight="1">
      <c r="A738" s="4"/>
      <c r="B738" s="62" t="s">
        <v>44</v>
      </c>
      <c r="C738" s="61"/>
      <c r="D738" s="61"/>
      <c r="E738" s="61"/>
      <c r="F738" s="60"/>
      <c r="G738" s="59"/>
      <c r="H738" s="59"/>
      <c r="I738" s="59"/>
      <c r="J738" s="59"/>
      <c r="K738" s="59"/>
      <c r="L738" s="59"/>
      <c r="M738" s="59"/>
      <c r="N738" s="59"/>
      <c r="O738" s="58"/>
    </row>
    <row r="739" spans="1:15" ht="13.2" customHeight="1">
      <c r="A739" s="4"/>
      <c r="B739" s="56"/>
      <c r="C739" s="23" t="s">
        <v>43</v>
      </c>
      <c r="D739" s="23"/>
      <c r="E739" s="23"/>
      <c r="F739" s="25"/>
      <c r="G739" s="4"/>
      <c r="H739" s="4"/>
      <c r="I739" s="27"/>
      <c r="J739" s="27">
        <f t="shared" ref="J739:O739" si="65">J424</f>
        <v>0</v>
      </c>
      <c r="K739" s="27">
        <f t="shared" si="65"/>
        <v>0</v>
      </c>
      <c r="L739" s="27">
        <f t="shared" si="65"/>
        <v>0</v>
      </c>
      <c r="M739" s="27">
        <f t="shared" si="65"/>
        <v>2.584425977602649</v>
      </c>
      <c r="N739" s="27">
        <f t="shared" si="65"/>
        <v>12.775904259759869</v>
      </c>
      <c r="O739" s="57">
        <f t="shared" si="65"/>
        <v>0</v>
      </c>
    </row>
    <row r="740" spans="1:15" ht="13.2" customHeight="1">
      <c r="A740" s="4"/>
      <c r="B740" s="56"/>
      <c r="C740" s="23" t="s">
        <v>3</v>
      </c>
      <c r="D740" s="23"/>
      <c r="E740" s="23"/>
      <c r="F740" s="25"/>
      <c r="G740" s="4"/>
      <c r="H740" s="4"/>
      <c r="I740" s="24"/>
      <c r="J740" s="24">
        <f t="shared" ref="J740:O740" si="66">J437</f>
        <v>79.097030148148121</v>
      </c>
      <c r="K740" s="24">
        <f t="shared" si="66"/>
        <v>57.041416326298929</v>
      </c>
      <c r="L740" s="24">
        <f t="shared" si="66"/>
        <v>30.132043165263951</v>
      </c>
      <c r="M740" s="24">
        <f t="shared" si="66"/>
        <v>0</v>
      </c>
      <c r="N740" s="24">
        <f t="shared" si="66"/>
        <v>0</v>
      </c>
      <c r="O740" s="53">
        <f t="shared" si="66"/>
        <v>11.740848070792964</v>
      </c>
    </row>
    <row r="741" spans="1:15" ht="13.2" customHeight="1">
      <c r="A741" s="4"/>
      <c r="B741" s="56"/>
      <c r="C741" s="23" t="s">
        <v>42</v>
      </c>
      <c r="D741" s="23"/>
      <c r="E741" s="23"/>
      <c r="F741" s="25"/>
      <c r="G741" s="4"/>
      <c r="H741" s="4"/>
      <c r="I741" s="24"/>
      <c r="J741" s="24">
        <f t="shared" ref="J741:O741" si="67">J443+J444</f>
        <v>435.03366581481464</v>
      </c>
      <c r="K741" s="24">
        <f t="shared" si="67"/>
        <v>415.25940827777765</v>
      </c>
      <c r="L741" s="24">
        <f t="shared" si="67"/>
        <v>377.68831895740732</v>
      </c>
      <c r="M741" s="24">
        <f t="shared" si="67"/>
        <v>340.11722963703693</v>
      </c>
      <c r="N741" s="24">
        <f t="shared" si="67"/>
        <v>278.81703127222215</v>
      </c>
      <c r="O741" s="53">
        <f t="shared" si="67"/>
        <v>187.85544660185181</v>
      </c>
    </row>
    <row r="742" spans="1:15" ht="13.2" customHeight="1">
      <c r="A742" s="4"/>
      <c r="B742" s="56"/>
      <c r="C742" s="23" t="s">
        <v>41</v>
      </c>
      <c r="D742" s="23"/>
      <c r="E742" s="23"/>
      <c r="F742" s="25"/>
      <c r="G742" s="4"/>
      <c r="H742" s="4"/>
      <c r="I742" s="24"/>
      <c r="J742" s="24">
        <f t="shared" ref="J742:O743" si="68">J445</f>
        <v>237.29109044444436</v>
      </c>
      <c r="K742" s="24">
        <f t="shared" si="68"/>
        <v>237.29109044444436</v>
      </c>
      <c r="L742" s="24">
        <f t="shared" si="68"/>
        <v>237.29109044444436</v>
      </c>
      <c r="M742" s="24">
        <f t="shared" si="68"/>
        <v>237.29109044444436</v>
      </c>
      <c r="N742" s="24">
        <f t="shared" si="68"/>
        <v>237.29109044444436</v>
      </c>
      <c r="O742" s="53">
        <f t="shared" si="68"/>
        <v>237.29109044444436</v>
      </c>
    </row>
    <row r="743" spans="1:15" ht="13.2" customHeight="1">
      <c r="A743" s="4"/>
      <c r="B743" s="56"/>
      <c r="C743" s="23" t="s">
        <v>40</v>
      </c>
      <c r="D743" s="23"/>
      <c r="E743" s="23"/>
      <c r="F743" s="25"/>
      <c r="G743" s="4"/>
      <c r="H743" s="4"/>
      <c r="I743" s="24"/>
      <c r="J743" s="598">
        <f t="shared" si="68"/>
        <v>197.7425753703703</v>
      </c>
      <c r="K743" s="598">
        <f t="shared" si="68"/>
        <v>206.04776353592587</v>
      </c>
      <c r="L743" s="598">
        <f t="shared" si="68"/>
        <v>214.70176960443476</v>
      </c>
      <c r="M743" s="598">
        <f t="shared" si="68"/>
        <v>223.71924392782103</v>
      </c>
      <c r="N743" s="598">
        <f t="shared" si="68"/>
        <v>223.71924392782103</v>
      </c>
      <c r="O743" s="600">
        <f t="shared" si="68"/>
        <v>223.71924392782103</v>
      </c>
    </row>
    <row r="744" spans="1:15" ht="13.2" customHeight="1">
      <c r="A744" s="4"/>
      <c r="B744" s="54"/>
      <c r="C744" s="23" t="s">
        <v>1</v>
      </c>
      <c r="D744" s="23"/>
      <c r="E744" s="23"/>
      <c r="F744" s="25"/>
      <c r="G744" s="4"/>
      <c r="H744" s="4"/>
      <c r="I744" s="24"/>
      <c r="J744" s="24">
        <f t="shared" ref="J744:O744" si="69">SUM(J740:J743)</f>
        <v>949.16436177777746</v>
      </c>
      <c r="K744" s="24">
        <f t="shared" si="69"/>
        <v>915.63967858444676</v>
      </c>
      <c r="L744" s="24">
        <f t="shared" si="69"/>
        <v>859.81322217155036</v>
      </c>
      <c r="M744" s="24">
        <f t="shared" si="69"/>
        <v>801.12756400930232</v>
      </c>
      <c r="N744" s="24">
        <f t="shared" si="69"/>
        <v>739.8273656444876</v>
      </c>
      <c r="O744" s="53">
        <f t="shared" si="69"/>
        <v>660.60662904491016</v>
      </c>
    </row>
    <row r="745" spans="1:15" ht="13.2" customHeight="1">
      <c r="A745" s="4"/>
      <c r="B745" s="54"/>
      <c r="C745" s="23" t="s">
        <v>39</v>
      </c>
      <c r="D745" s="23"/>
      <c r="E745" s="23"/>
      <c r="F745" s="25"/>
      <c r="G745" s="4"/>
      <c r="H745" s="4"/>
      <c r="I745" s="24"/>
      <c r="J745" s="24">
        <f t="shared" ref="J745:O745" si="70">J744-J739</f>
        <v>949.16436177777746</v>
      </c>
      <c r="K745" s="24">
        <f t="shared" si="70"/>
        <v>915.63967858444676</v>
      </c>
      <c r="L745" s="24">
        <f t="shared" si="70"/>
        <v>859.81322217155036</v>
      </c>
      <c r="M745" s="24">
        <f t="shared" si="70"/>
        <v>798.54313803169964</v>
      </c>
      <c r="N745" s="24">
        <f t="shared" si="70"/>
        <v>727.05146138472776</v>
      </c>
      <c r="O745" s="53">
        <f t="shared" si="70"/>
        <v>660.60662904491016</v>
      </c>
    </row>
    <row r="746" spans="1:15" ht="13.2" customHeight="1">
      <c r="A746" s="4"/>
      <c r="B746" s="54"/>
      <c r="C746" s="23" t="s">
        <v>38</v>
      </c>
      <c r="D746" s="23"/>
      <c r="E746" s="23"/>
      <c r="F746" s="25"/>
      <c r="G746" s="4"/>
      <c r="H746" s="4"/>
      <c r="I746" s="24"/>
      <c r="J746" s="24">
        <f t="shared" ref="J746:O746" si="71">J454</f>
        <v>474.58218088888879</v>
      </c>
      <c r="K746" s="24">
        <f t="shared" si="71"/>
        <v>486.83810664954615</v>
      </c>
      <c r="L746" s="24">
        <f t="shared" si="71"/>
        <v>510.22280053278109</v>
      </c>
      <c r="M746" s="24">
        <f t="shared" si="71"/>
        <v>556.51095996471565</v>
      </c>
      <c r="N746" s="24">
        <f t="shared" si="71"/>
        <v>620.6041240032414</v>
      </c>
      <c r="O746" s="53">
        <f t="shared" si="71"/>
        <v>708.39309921066865</v>
      </c>
    </row>
    <row r="747" spans="1:15" ht="13.2" customHeight="1">
      <c r="A747" s="4"/>
      <c r="B747" s="54"/>
      <c r="C747" s="23" t="s">
        <v>37</v>
      </c>
      <c r="D747" s="23"/>
      <c r="E747" s="23"/>
      <c r="F747" s="25"/>
      <c r="G747" s="4"/>
      <c r="H747" s="4"/>
      <c r="I747" s="24"/>
      <c r="J747" s="24">
        <f t="shared" ref="J747:O747" si="72">J746+J745</f>
        <v>1423.7465426666663</v>
      </c>
      <c r="K747" s="24">
        <f t="shared" si="72"/>
        <v>1402.477785233993</v>
      </c>
      <c r="L747" s="24">
        <f t="shared" si="72"/>
        <v>1370.0360227043316</v>
      </c>
      <c r="M747" s="24">
        <f t="shared" si="72"/>
        <v>1355.0540979964153</v>
      </c>
      <c r="N747" s="24">
        <f t="shared" si="72"/>
        <v>1347.655585387969</v>
      </c>
      <c r="O747" s="53">
        <f t="shared" si="72"/>
        <v>1368.9997282555787</v>
      </c>
    </row>
    <row r="748" spans="1:15" ht="13.2" customHeight="1">
      <c r="A748" s="4"/>
      <c r="B748" s="54"/>
      <c r="C748" s="23"/>
      <c r="D748" s="23"/>
      <c r="E748" s="23"/>
      <c r="F748" s="25"/>
      <c r="G748" s="4"/>
      <c r="H748" s="4"/>
      <c r="I748" s="24"/>
      <c r="J748" s="24"/>
      <c r="K748" s="24"/>
      <c r="L748" s="24"/>
      <c r="M748" s="24"/>
      <c r="N748" s="24"/>
      <c r="O748" s="53"/>
    </row>
    <row r="749" spans="1:15" ht="13.2" customHeight="1">
      <c r="A749" s="4"/>
      <c r="B749" s="56" t="s">
        <v>36</v>
      </c>
      <c r="C749" s="23"/>
      <c r="D749" s="23"/>
      <c r="E749" s="23"/>
      <c r="F749" s="41"/>
      <c r="G749" s="4"/>
      <c r="H749" s="4"/>
      <c r="I749" s="4"/>
      <c r="J749" s="4"/>
      <c r="K749" s="4"/>
      <c r="L749" s="4"/>
      <c r="M749" s="4"/>
      <c r="N749" s="4"/>
      <c r="O749" s="55"/>
    </row>
    <row r="750" spans="1:15" ht="13.2" customHeight="1">
      <c r="A750" s="4"/>
      <c r="B750" s="54"/>
      <c r="C750" s="23" t="s">
        <v>23</v>
      </c>
      <c r="D750" s="23"/>
      <c r="E750" s="23"/>
      <c r="F750" s="25"/>
      <c r="G750" s="4"/>
      <c r="H750" s="4"/>
      <c r="I750" s="24"/>
      <c r="J750" s="24">
        <f t="shared" ref="J750:O750" si="73">J344</f>
        <v>158.19406029629624</v>
      </c>
      <c r="K750" s="24">
        <f t="shared" si="73"/>
        <v>140.28343822222212</v>
      </c>
      <c r="L750" s="24">
        <f t="shared" si="73"/>
        <v>158.46792730105267</v>
      </c>
      <c r="M750" s="24">
        <f t="shared" si="73"/>
        <v>194.01986350364791</v>
      </c>
      <c r="N750" s="24">
        <f t="shared" si="73"/>
        <v>220.81944109016308</v>
      </c>
      <c r="O750" s="53">
        <f t="shared" si="73"/>
        <v>257.15662903789371</v>
      </c>
    </row>
    <row r="751" spans="1:15" ht="13.2" customHeight="1">
      <c r="A751" s="4"/>
      <c r="B751" s="54"/>
      <c r="C751" s="23" t="s">
        <v>4</v>
      </c>
      <c r="D751" s="23"/>
      <c r="E751" s="23"/>
      <c r="F751" s="25"/>
      <c r="G751" s="4"/>
      <c r="H751" s="4"/>
      <c r="I751" s="24"/>
      <c r="J751" s="24"/>
      <c r="K751" s="24">
        <f>K351</f>
        <v>47.5104755135185</v>
      </c>
      <c r="L751" s="24">
        <f>L351</f>
        <v>46.473782865306568</v>
      </c>
      <c r="M751" s="24">
        <f>M351</f>
        <v>44.567618223748568</v>
      </c>
      <c r="N751" s="24">
        <f>N351</f>
        <v>41.702831030892789</v>
      </c>
      <c r="O751" s="53">
        <f>O351</f>
        <v>38.656073622620887</v>
      </c>
    </row>
    <row r="752" spans="1:15" ht="13.2" customHeight="1">
      <c r="A752" s="4"/>
      <c r="B752" s="52"/>
      <c r="C752" s="51" t="s">
        <v>35</v>
      </c>
      <c r="D752" s="51"/>
      <c r="E752" s="51"/>
      <c r="F752" s="50"/>
      <c r="G752" s="2"/>
      <c r="H752" s="2"/>
      <c r="I752" s="49"/>
      <c r="J752" s="49"/>
      <c r="K752" s="49">
        <f>-K390</f>
        <v>50</v>
      </c>
      <c r="L752" s="49">
        <f>-L390</f>
        <v>55</v>
      </c>
      <c r="M752" s="49">
        <f>-M390</f>
        <v>56.1</v>
      </c>
      <c r="N752" s="49">
        <f>-N390</f>
        <v>57.502499999999998</v>
      </c>
      <c r="O752" s="48">
        <f>-O390</f>
        <v>88.940062499999982</v>
      </c>
    </row>
    <row r="753" spans="1:17" ht="13.2" customHeight="1">
      <c r="A753" s="4"/>
      <c r="B753" s="4"/>
      <c r="C753" s="4"/>
      <c r="D753" s="4"/>
      <c r="E753" s="4"/>
      <c r="F753" s="16"/>
      <c r="G753" s="4"/>
      <c r="H753" s="4"/>
      <c r="I753" s="4"/>
      <c r="J753" s="4"/>
      <c r="K753" s="4"/>
      <c r="L753" s="4"/>
      <c r="M753" s="4"/>
      <c r="N753" s="4"/>
      <c r="O753" s="4"/>
    </row>
    <row r="754" spans="1:17" ht="13.2" customHeight="1">
      <c r="A754" s="4"/>
      <c r="B754" s="4"/>
      <c r="C754" s="4"/>
      <c r="D754" s="4"/>
      <c r="E754" s="4"/>
      <c r="F754" s="16"/>
      <c r="G754" s="4"/>
      <c r="H754" s="4"/>
      <c r="I754" s="4"/>
      <c r="J754" s="4"/>
      <c r="K754" s="4"/>
      <c r="L754" s="4"/>
      <c r="M754" s="4"/>
      <c r="N754" s="4"/>
      <c r="O754" s="4"/>
    </row>
    <row r="755" spans="1:17" ht="13.2" customHeight="1">
      <c r="A755" s="4"/>
      <c r="B755" s="4"/>
      <c r="C755" s="4"/>
      <c r="D755" s="4"/>
      <c r="E755" s="4"/>
      <c r="F755" s="16"/>
      <c r="G755" s="4"/>
      <c r="H755" s="4"/>
      <c r="I755" s="4"/>
      <c r="J755" s="4"/>
      <c r="K755" s="4"/>
      <c r="L755" s="4"/>
      <c r="M755" s="4"/>
      <c r="N755" s="4"/>
      <c r="O755" s="4"/>
    </row>
    <row r="756" spans="1:17" ht="13.2" customHeight="1">
      <c r="A756" s="4"/>
      <c r="B756" s="38" t="s">
        <v>34</v>
      </c>
      <c r="C756" s="4"/>
      <c r="D756" s="23"/>
      <c r="E756" s="23"/>
      <c r="F756" s="23"/>
      <c r="G756" s="4"/>
      <c r="H756" s="47" t="s">
        <v>32</v>
      </c>
      <c r="I756" s="46"/>
      <c r="J756" s="45">
        <f>I143</f>
        <v>3.25</v>
      </c>
      <c r="K756" s="45">
        <f>J756-$I$144</f>
        <v>3</v>
      </c>
      <c r="L756" s="45">
        <f>K756-$I$144</f>
        <v>2.75</v>
      </c>
      <c r="M756" s="45">
        <f>L756-$I$144</f>
        <v>2.5</v>
      </c>
      <c r="N756" s="45">
        <f>M756-$I$144</f>
        <v>2.25</v>
      </c>
      <c r="O756" s="44">
        <f>N756-$I$144</f>
        <v>2</v>
      </c>
    </row>
    <row r="757" spans="1:17" ht="6" customHeight="1">
      <c r="A757" s="4"/>
      <c r="B757" s="38"/>
      <c r="C757" s="4"/>
      <c r="D757" s="23"/>
      <c r="E757" s="23"/>
      <c r="F757" s="23"/>
      <c r="G757" s="4"/>
      <c r="H757" s="38"/>
      <c r="I757" s="4"/>
      <c r="J757" s="39"/>
      <c r="K757" s="39"/>
      <c r="L757" s="39"/>
      <c r="M757" s="39"/>
      <c r="N757" s="39"/>
      <c r="O757" s="39"/>
    </row>
    <row r="758" spans="1:17" ht="13.2" customHeight="1">
      <c r="A758" s="4"/>
      <c r="B758" s="38"/>
      <c r="C758" s="23" t="s">
        <v>34</v>
      </c>
      <c r="D758" s="23"/>
      <c r="E758" s="23"/>
      <c r="F758" s="23"/>
      <c r="G758" s="4"/>
      <c r="H758" s="23"/>
      <c r="I758" s="23"/>
      <c r="J758" s="37">
        <f t="shared" ref="J758:O758" si="74">(J741+J740)/J750</f>
        <v>3.25</v>
      </c>
      <c r="K758" s="37">
        <f t="shared" si="74"/>
        <v>3.3667611129968726</v>
      </c>
      <c r="L758" s="37">
        <f t="shared" si="74"/>
        <v>2.5735198854964905</v>
      </c>
      <c r="M758" s="37">
        <f t="shared" si="74"/>
        <v>1.7530021075942162</v>
      </c>
      <c r="N758" s="37">
        <f t="shared" si="74"/>
        <v>1.2626471197270082</v>
      </c>
      <c r="O758" s="37">
        <f t="shared" si="74"/>
        <v>0.77616624319349337</v>
      </c>
      <c r="Q758" s="4"/>
    </row>
    <row r="759" spans="1:17" ht="13.2" customHeight="1">
      <c r="A759" s="4"/>
      <c r="B759" s="4"/>
      <c r="C759" s="23"/>
      <c r="D759" s="43" t="s">
        <v>8</v>
      </c>
      <c r="E759" s="23"/>
      <c r="F759" s="41"/>
      <c r="G759" s="4"/>
      <c r="H759" s="23"/>
      <c r="I759" s="23"/>
      <c r="J759" s="42"/>
      <c r="K759" s="599">
        <f>K750-((K740+K741)/K756)</f>
        <v>-17.150169979136734</v>
      </c>
      <c r="L759" s="599">
        <f>L750-((L740+L741)/L756)</f>
        <v>10.169613801899487</v>
      </c>
      <c r="M759" s="599">
        <f>M750-((M740+M741)/M756)</f>
        <v>57.972971648833152</v>
      </c>
      <c r="N759" s="599">
        <f>N750-((N740+N741)/N756)</f>
        <v>96.900760524731012</v>
      </c>
      <c r="O759" s="599">
        <f>O750-((O740+O741)/O756)</f>
        <v>157.35848170157132</v>
      </c>
    </row>
    <row r="760" spans="1:17" ht="13.2" customHeight="1">
      <c r="A760" s="4"/>
      <c r="B760" s="4"/>
      <c r="C760" s="23"/>
      <c r="D760" s="23"/>
      <c r="E760" s="23"/>
      <c r="F760" s="41"/>
      <c r="G760" s="4"/>
      <c r="H760" s="23"/>
      <c r="I760" s="23"/>
      <c r="J760" s="4"/>
      <c r="K760" s="4"/>
      <c r="L760" s="4"/>
      <c r="M760" s="4"/>
      <c r="N760" s="4"/>
      <c r="O760" s="4"/>
    </row>
    <row r="761" spans="1:17" ht="13.2" customHeight="1">
      <c r="A761" s="4"/>
      <c r="B761" s="38" t="s">
        <v>33</v>
      </c>
      <c r="C761" s="4"/>
      <c r="D761" s="23"/>
      <c r="E761" s="23"/>
      <c r="F761" s="23"/>
      <c r="G761" s="4"/>
      <c r="H761" s="47" t="s">
        <v>32</v>
      </c>
      <c r="I761" s="46"/>
      <c r="J761" s="45">
        <f>I178</f>
        <v>3</v>
      </c>
      <c r="K761" s="45">
        <f>J761</f>
        <v>3</v>
      </c>
      <c r="L761" s="45">
        <f>K761</f>
        <v>3</v>
      </c>
      <c r="M761" s="45">
        <f>L761</f>
        <v>3</v>
      </c>
      <c r="N761" s="45">
        <f>M761</f>
        <v>3</v>
      </c>
      <c r="O761" s="44">
        <f>N761</f>
        <v>3</v>
      </c>
    </row>
    <row r="762" spans="1:17" ht="6" customHeight="1">
      <c r="A762" s="4"/>
      <c r="B762" s="38"/>
      <c r="C762" s="4"/>
      <c r="D762" s="23"/>
      <c r="E762" s="23"/>
      <c r="F762" s="23"/>
      <c r="G762" s="38"/>
      <c r="H762" s="4"/>
      <c r="I762" s="4"/>
      <c r="J762" s="39"/>
      <c r="K762" s="39"/>
      <c r="L762" s="39"/>
      <c r="M762" s="39"/>
      <c r="N762" s="39"/>
      <c r="O762" s="39"/>
    </row>
    <row r="763" spans="1:17" ht="13.2" customHeight="1">
      <c r="A763" s="4"/>
      <c r="B763" s="38"/>
      <c r="C763" s="23" t="s">
        <v>31</v>
      </c>
      <c r="D763" s="23"/>
      <c r="E763" s="23"/>
      <c r="F763" s="23"/>
      <c r="G763" s="23"/>
      <c r="H763" s="23"/>
      <c r="I763" s="4"/>
      <c r="J763" s="4"/>
      <c r="K763" s="37">
        <f>K750/K751</f>
        <v>2.9526843649945422</v>
      </c>
      <c r="L763" s="37">
        <f>L750/L751</f>
        <v>3.4098349118756919</v>
      </c>
      <c r="M763" s="37">
        <f>M750/M751</f>
        <v>4.353381922488766</v>
      </c>
      <c r="N763" s="37">
        <f>N750/N751</f>
        <v>5.2950707573445932</v>
      </c>
      <c r="O763" s="37">
        <f>O750/O751</f>
        <v>6.6524249603925103</v>
      </c>
      <c r="Q763" s="4"/>
    </row>
    <row r="764" spans="1:17" ht="13.2" customHeight="1">
      <c r="A764" s="4"/>
      <c r="B764" s="4"/>
      <c r="C764" s="23"/>
      <c r="D764" s="43" t="s">
        <v>8</v>
      </c>
      <c r="E764" s="23"/>
      <c r="F764" s="41"/>
      <c r="G764" s="23"/>
      <c r="H764" s="23"/>
      <c r="I764" s="4"/>
      <c r="J764" s="4"/>
      <c r="K764" s="42">
        <f>K750-(K751*K761)</f>
        <v>-2.2479883183333982</v>
      </c>
      <c r="L764" s="42">
        <f>L750-(L751*L761)</f>
        <v>19.046578705132958</v>
      </c>
      <c r="M764" s="42">
        <f>M750-(M751*M761)</f>
        <v>60.317008832402223</v>
      </c>
      <c r="N764" s="42">
        <f>N750-(N751*N761)</f>
        <v>95.710947997484709</v>
      </c>
      <c r="O764" s="42">
        <f>O750-(O751*O761)</f>
        <v>141.18840817003104</v>
      </c>
    </row>
    <row r="765" spans="1:17" ht="13.2" customHeight="1">
      <c r="A765" s="4"/>
      <c r="B765" s="4"/>
      <c r="C765" s="23"/>
      <c r="D765" s="23"/>
      <c r="E765" s="23"/>
      <c r="F765" s="41"/>
      <c r="G765" s="23"/>
      <c r="H765" s="23"/>
      <c r="I765" s="4"/>
      <c r="J765" s="4"/>
      <c r="K765" s="4"/>
      <c r="L765" s="4"/>
      <c r="M765" s="4"/>
      <c r="N765" s="4"/>
      <c r="O765" s="4"/>
    </row>
    <row r="766" spans="1:17" ht="13.2" customHeight="1">
      <c r="A766" s="4"/>
      <c r="B766" s="4"/>
      <c r="C766" s="23"/>
      <c r="D766" s="23"/>
      <c r="E766" s="23"/>
      <c r="F766" s="41"/>
      <c r="G766" s="23"/>
      <c r="H766" s="23"/>
      <c r="I766" s="4"/>
      <c r="J766" s="4"/>
      <c r="K766" s="4"/>
      <c r="L766" s="4"/>
      <c r="M766" s="4"/>
      <c r="N766" s="4"/>
      <c r="O766" s="4"/>
    </row>
    <row r="767" spans="1:17" ht="13.2" customHeight="1">
      <c r="A767" s="4"/>
      <c r="B767" s="38" t="s">
        <v>30</v>
      </c>
      <c r="C767" s="23"/>
      <c r="D767" s="23"/>
      <c r="E767" s="23"/>
      <c r="F767" s="41"/>
      <c r="G767" s="23"/>
      <c r="H767" s="23"/>
      <c r="I767" s="4"/>
      <c r="J767" s="4"/>
      <c r="K767" s="4"/>
      <c r="L767" s="4"/>
      <c r="M767" s="4"/>
      <c r="N767" s="4"/>
      <c r="O767" s="4"/>
    </row>
    <row r="768" spans="1:17" ht="6" customHeight="1">
      <c r="A768" s="4"/>
      <c r="B768" s="38"/>
      <c r="C768" s="4"/>
      <c r="D768" s="23"/>
      <c r="E768" s="23"/>
      <c r="F768" s="23"/>
      <c r="G768" s="38"/>
      <c r="H768" s="4"/>
      <c r="I768" s="4"/>
      <c r="J768" s="39"/>
      <c r="K768" s="39"/>
      <c r="L768" s="39"/>
      <c r="M768" s="39"/>
      <c r="N768" s="39"/>
      <c r="O768" s="39"/>
    </row>
    <row r="769" spans="1:15" ht="13.2" customHeight="1">
      <c r="A769" s="4"/>
      <c r="B769" s="38"/>
      <c r="C769" s="23" t="s">
        <v>29</v>
      </c>
      <c r="D769" s="23"/>
      <c r="E769" s="23"/>
      <c r="F769" s="23"/>
      <c r="G769" s="23"/>
      <c r="H769" s="23"/>
      <c r="I769" s="4"/>
      <c r="J769" s="37">
        <f t="shared" ref="J769:O769" si="75">J743/J750</f>
        <v>1.25</v>
      </c>
      <c r="K769" s="37">
        <f t="shared" si="75"/>
        <v>1.4687960756246001</v>
      </c>
      <c r="L769" s="37">
        <f t="shared" si="75"/>
        <v>1.3548594549138684</v>
      </c>
      <c r="M769" s="37">
        <f t="shared" si="75"/>
        <v>1.1530739167003625</v>
      </c>
      <c r="N769" s="37">
        <f t="shared" si="75"/>
        <v>1.0131320087730586</v>
      </c>
      <c r="O769" s="37">
        <f t="shared" si="75"/>
        <v>0.86997268849271836</v>
      </c>
    </row>
    <row r="770" spans="1:15" ht="6" customHeight="1">
      <c r="A770" s="4"/>
      <c r="B770" s="38"/>
      <c r="C770" s="4"/>
      <c r="D770" s="23"/>
      <c r="E770" s="23"/>
      <c r="F770" s="23"/>
      <c r="G770" s="38"/>
      <c r="H770" s="4"/>
      <c r="I770" s="4"/>
      <c r="J770" s="37"/>
      <c r="K770" s="37"/>
      <c r="L770" s="37"/>
      <c r="M770" s="37"/>
      <c r="N770" s="37"/>
      <c r="O770" s="37"/>
    </row>
    <row r="771" spans="1:15" ht="13.2" customHeight="1">
      <c r="A771" s="4"/>
      <c r="B771" s="38"/>
      <c r="C771" s="23" t="s">
        <v>2</v>
      </c>
      <c r="D771" s="23"/>
      <c r="E771" s="23"/>
      <c r="F771" s="23"/>
      <c r="G771" s="23"/>
      <c r="H771" s="23"/>
      <c r="I771" s="4"/>
      <c r="J771" s="37">
        <f t="shared" ref="J771:O771" si="76">J744/J750</f>
        <v>6</v>
      </c>
      <c r="K771" s="37">
        <f t="shared" si="76"/>
        <v>6.527068983966501</v>
      </c>
      <c r="L771" s="37">
        <f t="shared" si="76"/>
        <v>5.4257870145427134</v>
      </c>
      <c r="M771" s="37">
        <f t="shared" si="76"/>
        <v>4.1291007505231017</v>
      </c>
      <c r="N771" s="37">
        <f t="shared" si="76"/>
        <v>3.3503724218847548</v>
      </c>
      <c r="O771" s="37">
        <f t="shared" si="76"/>
        <v>2.5688881967245165</v>
      </c>
    </row>
    <row r="772" spans="1:15" ht="6" customHeight="1">
      <c r="A772" s="4"/>
      <c r="B772" s="38"/>
      <c r="C772" s="4"/>
      <c r="D772" s="23"/>
      <c r="E772" s="23"/>
      <c r="F772" s="23"/>
      <c r="G772" s="38"/>
      <c r="H772" s="4"/>
      <c r="I772" s="4"/>
      <c r="J772" s="39"/>
      <c r="K772" s="39"/>
      <c r="L772" s="39"/>
      <c r="M772" s="39"/>
      <c r="N772" s="39"/>
      <c r="O772" s="39"/>
    </row>
    <row r="773" spans="1:15" ht="13.2" customHeight="1">
      <c r="A773" s="4"/>
      <c r="B773" s="38"/>
      <c r="C773" s="23" t="s">
        <v>28</v>
      </c>
      <c r="D773" s="23"/>
      <c r="E773" s="23"/>
      <c r="F773" s="23"/>
      <c r="G773" s="23"/>
      <c r="H773" s="23"/>
      <c r="I773" s="4"/>
      <c r="J773" s="4"/>
      <c r="K773" s="40">
        <f>K745/K747</f>
        <v>0.65287285704256559</v>
      </c>
      <c r="L773" s="40">
        <f>L745/L747</f>
        <v>0.62758439042672332</v>
      </c>
      <c r="M773" s="40">
        <f>M745/M747</f>
        <v>0.58930720124932767</v>
      </c>
      <c r="N773" s="40">
        <f>N745/N747</f>
        <v>0.53949352436024745</v>
      </c>
      <c r="O773" s="40">
        <f>O745/O747</f>
        <v>0.48254693949915922</v>
      </c>
    </row>
    <row r="774" spans="1:15" ht="3" customHeight="1">
      <c r="A774" s="4"/>
      <c r="B774" s="38"/>
      <c r="C774" s="4"/>
      <c r="D774" s="23"/>
      <c r="E774" s="23"/>
      <c r="F774" s="23"/>
      <c r="G774" s="38"/>
      <c r="H774" s="4"/>
      <c r="I774" s="4"/>
      <c r="J774" s="4"/>
      <c r="K774" s="39"/>
      <c r="L774" s="39"/>
      <c r="M774" s="39"/>
      <c r="N774" s="39"/>
      <c r="O774" s="39"/>
    </row>
    <row r="775" spans="1:15" ht="13.2" customHeight="1">
      <c r="A775" s="4"/>
      <c r="B775" s="38"/>
      <c r="C775" s="23" t="s">
        <v>27</v>
      </c>
      <c r="D775" s="23"/>
      <c r="E775" s="23"/>
      <c r="F775" s="23"/>
      <c r="G775" s="23"/>
      <c r="H775" s="23"/>
      <c r="I775" s="4"/>
      <c r="J775" s="4"/>
      <c r="K775" s="37">
        <f>(K750-K752)/K751</f>
        <v>1.9002848792059157</v>
      </c>
      <c r="L775" s="37">
        <f>(L750-L752)/L751</f>
        <v>2.2263719654784797</v>
      </c>
      <c r="M775" s="37">
        <f>(M750-M752)/M751</f>
        <v>3.0946204666184092</v>
      </c>
      <c r="N775" s="37">
        <f>(N750-N752)/N751</f>
        <v>3.9162075344280707</v>
      </c>
      <c r="O775" s="37">
        <f>(O750-O752)/O751</f>
        <v>4.3516206063788179</v>
      </c>
    </row>
    <row r="776" spans="1:15" ht="13.2" customHeight="1">
      <c r="A776" s="4"/>
      <c r="B776" s="2"/>
      <c r="C776" s="2"/>
      <c r="D776" s="2"/>
      <c r="E776" s="2"/>
      <c r="F776" s="3"/>
      <c r="G776" s="2"/>
      <c r="H776" s="2"/>
      <c r="I776" s="2"/>
      <c r="J776" s="2"/>
      <c r="K776" s="2"/>
      <c r="L776" s="2"/>
      <c r="M776" s="2"/>
      <c r="N776" s="2"/>
      <c r="O776" s="2"/>
    </row>
    <row r="777" spans="1:15" ht="13.2" customHeight="1">
      <c r="A777" s="4"/>
      <c r="B777" s="4"/>
      <c r="C777" s="4"/>
      <c r="D777" s="4"/>
      <c r="E777" s="4"/>
      <c r="F777" s="16"/>
      <c r="G777" s="4"/>
      <c r="H777" s="4"/>
      <c r="I777" s="4"/>
      <c r="J777" s="4"/>
      <c r="K777" s="4"/>
      <c r="L777" s="4"/>
      <c r="M777" s="4"/>
      <c r="N777" s="4"/>
      <c r="O777" s="4"/>
    </row>
    <row r="778" spans="1:15" ht="13.2" customHeight="1">
      <c r="A778" s="4"/>
      <c r="B778" s="4"/>
      <c r="C778" s="4"/>
      <c r="D778" s="4"/>
      <c r="E778" s="4"/>
      <c r="F778" s="16"/>
      <c r="G778" s="4"/>
      <c r="H778" s="4"/>
      <c r="I778" s="4"/>
      <c r="J778" s="4"/>
      <c r="K778" s="4"/>
      <c r="L778" s="4"/>
      <c r="M778" s="4"/>
      <c r="N778" s="4"/>
      <c r="O778" s="4"/>
    </row>
    <row r="779" spans="1:15" ht="13.2" customHeight="1">
      <c r="A779" s="4"/>
      <c r="B779" s="35"/>
      <c r="C779" s="20"/>
      <c r="D779" s="20"/>
      <c r="E779" s="20"/>
      <c r="F779" s="20"/>
      <c r="G779" s="20"/>
      <c r="H779" s="20"/>
      <c r="I779" s="20"/>
      <c r="J779" s="20"/>
      <c r="K779" s="20"/>
      <c r="L779" s="20"/>
      <c r="M779" s="20"/>
      <c r="N779" s="20"/>
      <c r="O779" s="36" t="str">
        <f>$O$235</f>
        <v>CURRENTLY RUNNING: BASE CASE SCENARIO</v>
      </c>
    </row>
    <row r="780" spans="1:15" ht="22.8" customHeight="1">
      <c r="A780" s="4"/>
      <c r="B780" s="35" t="str">
        <f>B731</f>
        <v>Lingoren Corp.</v>
      </c>
      <c r="C780" s="20"/>
      <c r="D780" s="20"/>
      <c r="E780" s="20"/>
      <c r="F780" s="20"/>
      <c r="G780" s="20"/>
      <c r="H780" s="20"/>
      <c r="I780" s="20"/>
      <c r="J780" s="20"/>
      <c r="K780" s="20"/>
      <c r="L780" s="20"/>
      <c r="M780" s="20"/>
      <c r="N780" s="20"/>
      <c r="O780" s="20"/>
    </row>
    <row r="781" spans="1:15" ht="18.75" customHeight="1">
      <c r="A781" s="4"/>
      <c r="B781" s="34" t="s">
        <v>26</v>
      </c>
      <c r="C781" s="20"/>
      <c r="D781" s="20"/>
      <c r="E781" s="20"/>
      <c r="F781" s="20"/>
      <c r="G781" s="20"/>
      <c r="H781" s="20"/>
      <c r="I781" s="20"/>
      <c r="J781" s="20"/>
      <c r="K781" s="20"/>
      <c r="L781" s="20"/>
      <c r="M781" s="20"/>
      <c r="N781" s="20"/>
      <c r="O781" s="20"/>
    </row>
    <row r="782" spans="1:15" ht="13.2" customHeight="1" thickBot="1">
      <c r="A782" s="4"/>
      <c r="B782" s="33"/>
      <c r="C782" s="32"/>
      <c r="D782" s="32"/>
      <c r="E782" s="32"/>
      <c r="F782" s="32"/>
      <c r="G782" s="32"/>
      <c r="H782" s="32"/>
      <c r="I782" s="32"/>
      <c r="J782" s="32"/>
      <c r="K782" s="32"/>
      <c r="L782" s="32"/>
      <c r="M782" s="32"/>
      <c r="N782" s="32"/>
      <c r="O782" s="32"/>
    </row>
    <row r="783" spans="1:15" ht="13.2" customHeight="1">
      <c r="A783" s="4"/>
      <c r="B783" s="31" t="s">
        <v>25</v>
      </c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30"/>
    </row>
    <row r="784" spans="1:15" ht="13.2" customHeight="1">
      <c r="A784" s="4"/>
      <c r="B784" s="4"/>
      <c r="C784" s="4"/>
      <c r="D784" s="4"/>
      <c r="E784" s="4"/>
      <c r="F784" s="4"/>
      <c r="G784" s="4"/>
      <c r="H784" s="20"/>
      <c r="I784" s="20"/>
      <c r="J784" s="20"/>
      <c r="K784" s="14" t="s">
        <v>24</v>
      </c>
      <c r="L784" s="13"/>
      <c r="M784" s="13"/>
      <c r="N784" s="13"/>
      <c r="O784" s="13"/>
    </row>
    <row r="785" spans="1:15" ht="13.2" customHeight="1">
      <c r="A785" s="4"/>
      <c r="B785" s="4"/>
      <c r="C785" s="4"/>
      <c r="D785" s="4"/>
      <c r="E785" s="4"/>
      <c r="F785" s="4"/>
      <c r="G785" s="29"/>
      <c r="H785" s="28"/>
      <c r="I785" s="28"/>
      <c r="J785" s="20"/>
      <c r="K785" s="10">
        <f>K$241</f>
        <v>2019</v>
      </c>
      <c r="L785" s="10">
        <f>L$241</f>
        <v>2020</v>
      </c>
      <c r="M785" s="10">
        <f>M$241</f>
        <v>2021</v>
      </c>
      <c r="N785" s="10">
        <f>N$241</f>
        <v>2022</v>
      </c>
      <c r="O785" s="10">
        <f>O$241</f>
        <v>2023</v>
      </c>
    </row>
    <row r="786" spans="1:15" ht="13.2" customHeight="1">
      <c r="A786" s="4"/>
      <c r="B786" s="4"/>
      <c r="C786" s="4"/>
      <c r="D786" s="4"/>
      <c r="E786" s="4"/>
      <c r="F786" s="16"/>
      <c r="G786" s="4"/>
      <c r="H786" s="4"/>
      <c r="I786" s="4"/>
      <c r="J786" s="20"/>
      <c r="K786" s="4"/>
      <c r="L786" s="4"/>
      <c r="M786" s="4"/>
      <c r="N786" s="4"/>
      <c r="O786" s="4"/>
    </row>
    <row r="787" spans="1:15" ht="13.2" customHeight="1">
      <c r="A787" s="4"/>
      <c r="B787" s="23"/>
      <c r="C787" s="23" t="s">
        <v>23</v>
      </c>
      <c r="D787" s="23"/>
      <c r="E787" s="23"/>
      <c r="F787" s="25"/>
      <c r="G787" s="4"/>
      <c r="H787" s="4"/>
      <c r="I787" s="4"/>
      <c r="J787" s="20"/>
      <c r="K787" s="27">
        <f>K344</f>
        <v>140.28343822222212</v>
      </c>
      <c r="L787" s="27">
        <f>L344</f>
        <v>158.46792730105267</v>
      </c>
      <c r="M787" s="27">
        <f>M344</f>
        <v>194.01986350364791</v>
      </c>
      <c r="N787" s="27">
        <f>N344</f>
        <v>220.81944109016308</v>
      </c>
      <c r="O787" s="27">
        <f>O344</f>
        <v>257.15662903789371</v>
      </c>
    </row>
    <row r="788" spans="1:15" ht="13.2" customHeight="1">
      <c r="A788" s="4"/>
      <c r="B788" s="4"/>
      <c r="C788" s="23" t="s">
        <v>22</v>
      </c>
      <c r="D788" s="23"/>
      <c r="E788" s="23"/>
      <c r="F788" s="25"/>
      <c r="G788" s="4"/>
      <c r="H788" s="4"/>
      <c r="I788" s="4"/>
      <c r="J788" s="20"/>
      <c r="K788" s="26">
        <f>G10</f>
        <v>9</v>
      </c>
      <c r="L788" s="26">
        <f>K788</f>
        <v>9</v>
      </c>
      <c r="M788" s="26">
        <f>L788</f>
        <v>9</v>
      </c>
      <c r="N788" s="26">
        <f>M788</f>
        <v>9</v>
      </c>
      <c r="O788" s="26">
        <f>N788</f>
        <v>9</v>
      </c>
    </row>
    <row r="789" spans="1:15" ht="13.2" customHeight="1">
      <c r="A789" s="4"/>
      <c r="B789" s="4"/>
      <c r="C789" s="21" t="s">
        <v>21</v>
      </c>
      <c r="D789" s="4"/>
      <c r="E789" s="4"/>
      <c r="F789" s="16"/>
      <c r="G789" s="4"/>
      <c r="H789" s="4"/>
      <c r="I789" s="4"/>
      <c r="J789" s="20"/>
      <c r="K789" s="19">
        <f>K787*K788</f>
        <v>1262.5509439999992</v>
      </c>
      <c r="L789" s="19">
        <f>L787*L788</f>
        <v>1426.211345709474</v>
      </c>
      <c r="M789" s="19">
        <f>M787*M788</f>
        <v>1746.1787715328312</v>
      </c>
      <c r="N789" s="19">
        <f>N787*N788</f>
        <v>1987.3749698114677</v>
      </c>
      <c r="O789" s="19">
        <f>O787*O788</f>
        <v>2314.4096613410434</v>
      </c>
    </row>
    <row r="790" spans="1:15" ht="13.2" customHeight="1">
      <c r="A790" s="4"/>
      <c r="B790" s="4"/>
      <c r="C790" s="4"/>
      <c r="D790" s="4"/>
      <c r="E790" s="4"/>
      <c r="F790" s="16"/>
      <c r="G790" s="4"/>
      <c r="H790" s="4"/>
      <c r="I790" s="4"/>
      <c r="J790" s="4"/>
      <c r="K790" s="4"/>
      <c r="L790" s="4"/>
      <c r="M790" s="4"/>
      <c r="N790" s="4"/>
      <c r="O790" s="4"/>
    </row>
    <row r="791" spans="1:15" ht="13.2" customHeight="1">
      <c r="A791" s="4"/>
      <c r="B791" s="23"/>
      <c r="C791" s="23" t="s">
        <v>20</v>
      </c>
      <c r="D791" s="23"/>
      <c r="E791" s="23"/>
      <c r="F791" s="25"/>
      <c r="G791" s="4"/>
      <c r="H791" s="4"/>
      <c r="I791" s="4"/>
      <c r="J791" s="20"/>
      <c r="K791" s="598">
        <f>K745</f>
        <v>915.63967858444676</v>
      </c>
      <c r="L791" s="598">
        <f>L745</f>
        <v>859.81322217155036</v>
      </c>
      <c r="M791" s="598">
        <f>M745</f>
        <v>798.54313803169964</v>
      </c>
      <c r="N791" s="598">
        <f>N745</f>
        <v>727.05146138472776</v>
      </c>
      <c r="O791" s="598">
        <f>O745</f>
        <v>660.60662904491016</v>
      </c>
    </row>
    <row r="792" spans="1:15" ht="13.2" customHeight="1">
      <c r="A792" s="4"/>
      <c r="B792" s="4"/>
      <c r="C792" s="23" t="s">
        <v>19</v>
      </c>
      <c r="D792" s="23"/>
      <c r="E792" s="23"/>
      <c r="F792" s="25"/>
      <c r="G792" s="4"/>
      <c r="H792" s="4"/>
      <c r="I792" s="4"/>
      <c r="J792" s="20"/>
      <c r="K792" s="598">
        <f>K704</f>
        <v>100</v>
      </c>
      <c r="L792" s="598">
        <f>L704</f>
        <v>100</v>
      </c>
      <c r="M792" s="598">
        <f>M704</f>
        <v>100</v>
      </c>
      <c r="N792" s="598">
        <f>N704</f>
        <v>100</v>
      </c>
      <c r="O792" s="598">
        <f>O704</f>
        <v>100</v>
      </c>
    </row>
    <row r="793" spans="1:15" ht="13.2" customHeight="1">
      <c r="A793" s="4"/>
      <c r="B793" s="4"/>
      <c r="C793" s="21" t="s">
        <v>18</v>
      </c>
      <c r="D793" s="4"/>
      <c r="E793" s="4"/>
      <c r="F793" s="16"/>
      <c r="G793" s="4"/>
      <c r="H793" s="4"/>
      <c r="I793" s="4"/>
      <c r="J793" s="20"/>
      <c r="K793" s="19">
        <f>K789-K791-K792</f>
        <v>246.91126541555241</v>
      </c>
      <c r="L793" s="19">
        <f>L789-L791-L792</f>
        <v>466.39812353792365</v>
      </c>
      <c r="M793" s="19">
        <f>M789-M791-M792</f>
        <v>847.63563350113157</v>
      </c>
      <c r="N793" s="19">
        <f>N789-N791-N792</f>
        <v>1160.3235084267399</v>
      </c>
      <c r="O793" s="19">
        <f>O789-O791-O792</f>
        <v>1553.8030322961331</v>
      </c>
    </row>
    <row r="794" spans="1:15" ht="13.2" customHeight="1">
      <c r="A794" s="4"/>
      <c r="B794" s="4"/>
      <c r="C794" s="4"/>
      <c r="D794" s="4"/>
      <c r="E794" s="4"/>
      <c r="F794" s="16"/>
      <c r="G794" s="4"/>
      <c r="H794" s="4"/>
      <c r="I794" s="4"/>
      <c r="J794" s="4"/>
      <c r="K794" s="4"/>
      <c r="L794" s="4"/>
      <c r="M794" s="4"/>
      <c r="N794" s="4"/>
      <c r="O794" s="4"/>
    </row>
    <row r="795" spans="1:15" ht="13.2" customHeight="1">
      <c r="A795" s="4"/>
      <c r="B795" s="4"/>
      <c r="C795" s="23" t="s">
        <v>17</v>
      </c>
      <c r="D795" s="23"/>
      <c r="E795" s="4"/>
      <c r="F795" s="16"/>
      <c r="G795" s="4"/>
      <c r="H795" s="4"/>
      <c r="I795" s="4"/>
      <c r="J795" s="20"/>
      <c r="K795" s="22">
        <f>I31</f>
        <v>0.97490112601870571</v>
      </c>
      <c r="L795" s="22">
        <f>K795</f>
        <v>0.97490112601870571</v>
      </c>
      <c r="M795" s="22">
        <f>L795</f>
        <v>0.97490112601870571</v>
      </c>
      <c r="N795" s="22">
        <f>M795</f>
        <v>0.97490112601870571</v>
      </c>
      <c r="O795" s="22">
        <f>N795</f>
        <v>0.97490112601870571</v>
      </c>
    </row>
    <row r="796" spans="1:15" ht="13.2" customHeight="1">
      <c r="A796" s="4"/>
      <c r="B796" s="4"/>
      <c r="C796" s="21" t="s">
        <v>17</v>
      </c>
      <c r="D796" s="4"/>
      <c r="E796" s="4"/>
      <c r="F796" s="4"/>
      <c r="G796" s="4"/>
      <c r="H796" s="4"/>
      <c r="I796" s="4"/>
      <c r="J796" s="20"/>
      <c r="K796" s="19">
        <f>K795*K793</f>
        <v>240.71407068032556</v>
      </c>
      <c r="L796" s="19">
        <f>L795*L793</f>
        <v>454.69205581013318</v>
      </c>
      <c r="M796" s="19">
        <f>M795*M793</f>
        <v>826.36093355383207</v>
      </c>
      <c r="N796" s="19">
        <f>N795*N793</f>
        <v>1131.2006949112038</v>
      </c>
      <c r="O796" s="19">
        <f>O795*O793</f>
        <v>1514.8043257967795</v>
      </c>
    </row>
    <row r="797" spans="1:15" ht="13.2" customHeight="1">
      <c r="A797" s="4"/>
      <c r="B797" s="4"/>
      <c r="C797" s="4"/>
      <c r="D797" s="4"/>
      <c r="E797" s="4"/>
      <c r="F797" s="16"/>
      <c r="G797" s="4"/>
      <c r="H797" s="4"/>
      <c r="I797" s="4"/>
      <c r="J797" s="4"/>
      <c r="K797" s="4"/>
      <c r="L797" s="4"/>
      <c r="M797" s="4"/>
      <c r="N797" s="4"/>
      <c r="O797" s="4"/>
    </row>
    <row r="798" spans="1:15" ht="6" customHeight="1">
      <c r="A798" s="4"/>
      <c r="B798" s="4"/>
      <c r="C798" s="17"/>
      <c r="D798" s="17"/>
      <c r="E798" s="17"/>
      <c r="F798" s="18"/>
      <c r="G798" s="17"/>
      <c r="H798" s="17"/>
      <c r="I798" s="17"/>
      <c r="J798" s="17"/>
      <c r="K798" s="17"/>
      <c r="L798" s="17"/>
      <c r="M798" s="17"/>
      <c r="N798" s="17"/>
      <c r="O798" s="17"/>
    </row>
    <row r="799" spans="1:15" ht="6" customHeight="1">
      <c r="A799" s="4"/>
      <c r="B799" s="4"/>
      <c r="C799" s="4"/>
      <c r="D799" s="4"/>
      <c r="E799" s="4"/>
      <c r="F799" s="16"/>
      <c r="G799" s="4"/>
      <c r="H799" s="4"/>
      <c r="I799" s="4"/>
      <c r="J799" s="4"/>
      <c r="K799" s="4"/>
      <c r="L799" s="4"/>
      <c r="M799" s="4"/>
      <c r="N799" s="4"/>
      <c r="O799" s="4"/>
    </row>
    <row r="800" spans="1:15" ht="13.2" customHeight="1">
      <c r="A800" s="4"/>
      <c r="B800" s="4"/>
      <c r="C800" s="4"/>
      <c r="D800" s="4"/>
      <c r="E800" s="4"/>
      <c r="F800" s="16"/>
      <c r="G800" s="4"/>
      <c r="H800" s="4"/>
      <c r="I800" s="4"/>
      <c r="J800" s="4"/>
      <c r="K800" s="4"/>
      <c r="L800" s="4"/>
      <c r="M800" s="4"/>
      <c r="N800" s="4"/>
      <c r="O800" s="4"/>
    </row>
    <row r="801" spans="1:15" ht="13.2" customHeight="1">
      <c r="A801" s="4"/>
      <c r="B801" s="4"/>
      <c r="C801" s="4"/>
      <c r="D801" s="4"/>
      <c r="E801" s="4"/>
      <c r="F801" s="16"/>
      <c r="G801" s="15" t="s">
        <v>16</v>
      </c>
      <c r="H801" s="4"/>
      <c r="I801" s="4"/>
      <c r="J801" s="15" t="s">
        <v>15</v>
      </c>
      <c r="K801" s="14" t="s">
        <v>14</v>
      </c>
      <c r="L801" s="13"/>
      <c r="M801" s="13"/>
      <c r="N801" s="13"/>
      <c r="O801" s="13"/>
    </row>
    <row r="802" spans="1:15" ht="13.2" customHeight="1">
      <c r="A802" s="4"/>
      <c r="B802" s="4"/>
      <c r="C802" s="4"/>
      <c r="D802" s="4"/>
      <c r="E802" s="4"/>
      <c r="F802" s="12" t="s">
        <v>13</v>
      </c>
      <c r="G802" s="11" t="s">
        <v>12</v>
      </c>
      <c r="H802" s="4"/>
      <c r="I802" s="4"/>
      <c r="J802" s="11" t="s">
        <v>11</v>
      </c>
      <c r="K802" s="10">
        <f>K$241</f>
        <v>2019</v>
      </c>
      <c r="L802" s="10">
        <f>L$241</f>
        <v>2020</v>
      </c>
      <c r="M802" s="10">
        <f>M$241</f>
        <v>2021</v>
      </c>
      <c r="N802" s="10">
        <f>N$241</f>
        <v>2022</v>
      </c>
      <c r="O802" s="10">
        <f>O$241</f>
        <v>2023</v>
      </c>
    </row>
    <row r="803" spans="1:15" ht="13.2" customHeight="1">
      <c r="A803" s="4"/>
      <c r="B803" s="4"/>
      <c r="C803" s="4" t="str">
        <f>"Exit at the End of "&amp;K802</f>
        <v>Exit at the End of 2019</v>
      </c>
      <c r="D803" s="4"/>
      <c r="E803" s="4"/>
      <c r="F803" s="8">
        <f>IFERROR(IRR(J803:O803),"N/A")</f>
        <v>-0.38028052647731458</v>
      </c>
      <c r="G803" s="6">
        <f>SUM(J803:O803)</f>
        <v>-147.71017765260024</v>
      </c>
      <c r="H803" s="4"/>
      <c r="I803" s="4"/>
      <c r="J803" s="9">
        <f>-F31</f>
        <v>-388.4242483329258</v>
      </c>
      <c r="K803" s="5">
        <f>K$796</f>
        <v>240.71407068032556</v>
      </c>
      <c r="L803" s="4"/>
      <c r="M803" s="4"/>
      <c r="N803" s="4"/>
      <c r="O803" s="4"/>
    </row>
    <row r="804" spans="1:15" ht="13.2" customHeight="1">
      <c r="A804" s="4"/>
      <c r="B804" s="4"/>
      <c r="C804" s="4" t="str">
        <f>"Exit at the End of "&amp;L802</f>
        <v>Exit at the End of 2020</v>
      </c>
      <c r="D804" s="4"/>
      <c r="E804" s="4"/>
      <c r="F804" s="8">
        <f>IFERROR(IRR(J804:O804),"N/A")</f>
        <v>8.1945827099973778E-2</v>
      </c>
      <c r="G804" s="6">
        <f>SUM(J804:O804)</f>
        <v>66.267807477207384</v>
      </c>
      <c r="H804" s="4"/>
      <c r="I804" s="4"/>
      <c r="J804" s="6">
        <f>J803</f>
        <v>-388.4242483329258</v>
      </c>
      <c r="K804" s="597">
        <v>0</v>
      </c>
      <c r="L804" s="5">
        <f>L$796</f>
        <v>454.69205581013318</v>
      </c>
      <c r="M804" s="4"/>
      <c r="N804" s="4"/>
      <c r="O804" s="4"/>
    </row>
    <row r="805" spans="1:15" ht="13.2" customHeight="1">
      <c r="A805" s="4"/>
      <c r="B805" s="4"/>
      <c r="C805" s="4" t="str">
        <f>"Exit at the End of "&amp;M802</f>
        <v>Exit at the End of 2021</v>
      </c>
      <c r="D805" s="4"/>
      <c r="E805" s="4"/>
      <c r="F805" s="8">
        <f>IFERROR(IRR(J805:O805),"N/A")</f>
        <v>0.28613872418008546</v>
      </c>
      <c r="G805" s="6">
        <f>SUM(J805:O805)</f>
        <v>437.93668522090627</v>
      </c>
      <c r="H805" s="4"/>
      <c r="I805" s="4"/>
      <c r="J805" s="6">
        <f>J804</f>
        <v>-388.4242483329258</v>
      </c>
      <c r="K805" s="597">
        <v>0</v>
      </c>
      <c r="L805" s="597">
        <v>0</v>
      </c>
      <c r="M805" s="5">
        <f>M$796</f>
        <v>826.36093355383207</v>
      </c>
      <c r="N805" s="4"/>
      <c r="O805" s="4"/>
    </row>
    <row r="806" spans="1:15" ht="13.2" customHeight="1">
      <c r="A806" s="4"/>
      <c r="B806" s="4"/>
      <c r="C806" s="4" t="str">
        <f>"Exit at the End of "&amp;N802</f>
        <v>Exit at the End of 2022</v>
      </c>
      <c r="D806" s="4"/>
      <c r="E806" s="4"/>
      <c r="F806" s="8">
        <f>IFERROR(IRR(J806:O806),"N/A")</f>
        <v>0.36836277943499285</v>
      </c>
      <c r="G806" s="6">
        <f>SUM(J806:O806)</f>
        <v>832.77644657827796</v>
      </c>
      <c r="H806" s="4"/>
      <c r="I806" s="4"/>
      <c r="J806" s="6">
        <f>J805</f>
        <v>-388.4242483329258</v>
      </c>
      <c r="K806" s="597">
        <v>90</v>
      </c>
      <c r="L806" s="597">
        <v>0</v>
      </c>
      <c r="M806" s="597">
        <v>0</v>
      </c>
      <c r="N806" s="5">
        <f>N$796</f>
        <v>1131.2006949112038</v>
      </c>
      <c r="O806" s="4"/>
    </row>
    <row r="807" spans="1:15" ht="13.2" customHeight="1">
      <c r="A807" s="4"/>
      <c r="B807" s="4"/>
      <c r="C807" s="4" t="str">
        <f>"Exit at the End of "&amp;O802</f>
        <v>Exit at the End of 2023</v>
      </c>
      <c r="D807" s="4"/>
      <c r="E807" s="4"/>
      <c r="F807" s="7">
        <f>IFERROR(IRR(J807:O807),"N/A")</f>
        <v>0.3128346798905457</v>
      </c>
      <c r="G807" s="6">
        <f>SUM(J807:O807)</f>
        <v>1126.3800774638537</v>
      </c>
      <c r="H807" s="4"/>
      <c r="I807" s="4"/>
      <c r="J807" s="6">
        <f>J806</f>
        <v>-388.4242483329258</v>
      </c>
      <c r="K807" s="597">
        <v>0</v>
      </c>
      <c r="L807" s="597">
        <v>0</v>
      </c>
      <c r="M807" s="597">
        <v>0</v>
      </c>
      <c r="N807" s="597">
        <v>0</v>
      </c>
      <c r="O807" s="5">
        <f>O$796</f>
        <v>1514.8043257967795</v>
      </c>
    </row>
    <row r="808" spans="1:15" ht="6" customHeight="1">
      <c r="A808" s="4"/>
      <c r="B808" s="2"/>
      <c r="C808" s="2"/>
      <c r="D808" s="2"/>
      <c r="E808" s="2"/>
      <c r="F808" s="3"/>
      <c r="G808" s="2"/>
      <c r="H808" s="2"/>
      <c r="I808" s="2"/>
      <c r="J808" s="2"/>
      <c r="K808" s="2"/>
      <c r="L808" s="2"/>
      <c r="M808" s="2"/>
      <c r="N808" s="2"/>
      <c r="O808" s="2"/>
    </row>
    <row r="809" spans="1:15" ht="13.2" customHeight="1"/>
  </sheetData>
  <sheetProtection formatCells="0" formatColumns="0" formatRows="0" insertColumns="0" insertRows="0"/>
  <conditionalFormatting sqref="J758:O758">
    <cfRule type="expression" dxfId="1" priority="2" stopIfTrue="1">
      <formula>J758&gt;J756</formula>
    </cfRule>
  </conditionalFormatting>
  <conditionalFormatting sqref="K763:O763">
    <cfRule type="expression" dxfId="0" priority="1" stopIfTrue="1">
      <formula>K763&lt;K761</formula>
    </cfRule>
  </conditionalFormatting>
  <printOptions horizontalCentered="1"/>
  <pageMargins left="0.25" right="0.25" top="0.25" bottom="0.5" header="0.25" footer="0.25"/>
  <pageSetup scale="10" orientation="landscape" r:id="rId1"/>
  <headerFooter alignWithMargins="0">
    <oddFooter>&amp;L&amp;"Times New Roman,Bold"&amp;9The Marquee Group
&amp;"Times New Roman,Regular"C:\My Documents\Hudson LBO Model.xls&amp;C&amp;"Times New Roman,Regular"&amp;9Page &amp;P of &amp;N&amp;R&amp;"Times New Roman,Regular"&amp;9&amp;D  &amp;T</oddFooter>
  </headerFooter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4100" r:id="rId4" name="Drop Down 4">
              <controlPr defaultSize="0" autoLine="0" autoPict="0">
                <anchor moveWithCells="1">
                  <from>
                    <xdr:col>4</xdr:col>
                    <xdr:colOff>670560</xdr:colOff>
                    <xdr:row>187</xdr:row>
                    <xdr:rowOff>99060</xdr:rowOff>
                  </from>
                  <to>
                    <xdr:col>6</xdr:col>
                    <xdr:colOff>60960</xdr:colOff>
                    <xdr:row>189</xdr:row>
                    <xdr:rowOff>30480</xdr:rowOff>
                  </to>
                </anchor>
              </controlPr>
            </control>
          </mc:Choice>
        </mc:AlternateContent>
      </controls>
    </mc:Choice>
  </mc:AlternateContent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CaseData</vt:lpstr>
      <vt:lpstr>CaseKey</vt:lpstr>
    </vt:vector>
  </TitlesOfParts>
  <Company>The Marquee Group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Ian Schnoor</dc:creator>
  <cp:lastModifiedBy>Luc Nicod</cp:lastModifiedBy>
  <cp:lastPrinted>2018-05-24T19:31:02Z</cp:lastPrinted>
  <dcterms:created xsi:type="dcterms:W3CDTF">2018-05-21T22:41:19Z</dcterms:created>
  <dcterms:modified xsi:type="dcterms:W3CDTF">2026-10-05T21:30:04Z</dcterms:modified>
</cp:coreProperties>
</file>