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3"/>
  <workbookPr filterPrivacy="1" defaultThemeVersion="124226"/>
  <xr:revisionPtr revIDLastSave="250" documentId="13_ncr:1_{AA597A0C-9A62-4C58-B246-EC15516CE69C}" xr6:coauthVersionLast="47" xr6:coauthVersionMax="47" xr10:uidLastSave="{07EFB932-FB98-41E3-9C04-32E40DEB8B6F}"/>
  <bookViews>
    <workbookView xWindow="28680" yWindow="-120" windowWidth="29040" windowHeight="16440" tabRatio="832" activeTab="3" xr2:uid="{00000000-000D-0000-FFFF-FFFF00000000}"/>
  </bookViews>
  <sheets>
    <sheet name="Cover" sheetId="43" r:id="rId1"/>
    <sheet name="Notes" sheetId="44" r:id="rId2"/>
    <sheet name="Revenue" sheetId="42" r:id="rId3"/>
    <sheet name="Price" sheetId="41" r:id="rId4"/>
    <sheet name="Volume" sheetId="40" r:id="rId5"/>
    <sheet name="Time" sheetId="39" r:id="rId6"/>
    <sheet name="CaseData" sheetId="36" r:id="rId7"/>
    <sheet name="CaseSolution" sheetId="37" r:id="rId8"/>
  </sheets>
  <definedNames>
    <definedName name="company">CaseData!$J$3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lstCountries">CaseData!$D$10:$D$17</definedName>
    <definedName name="lstCurrencies">CaseData!$B$47:$B$52</definedName>
    <definedName name="lstStoreCurrencies">CaseData!$E$10:$E$17</definedName>
    <definedName name="lstStores">CaseData!$C$10:$C$17</definedName>
    <definedName name="periods">CaseData!$J$5</definedName>
    <definedName name="start_date">CaseData!$J$4</definedName>
    <definedName name="topic">"CFM Topic: " &amp; CaseData!$J$6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9" l="1" a="1"/>
  <c r="J11" i="39" a="1"/>
  <c r="J18" i="39" a="1"/>
  <c r="J8" i="41" a="1"/>
  <c r="F40" i="41" a="1"/>
  <c r="J40" i="41" a="1"/>
  <c r="J18" i="41" a="1"/>
  <c r="F50" i="41" a="1"/>
  <c r="J50" i="41" a="1"/>
  <c r="J30" i="40" a="1"/>
  <c r="J39" i="40" a="1"/>
  <c r="F41" i="40"/>
  <c r="J42" i="40" a="1"/>
  <c r="J45" i="40" a="1"/>
  <c r="J28" i="41" a="1"/>
  <c r="F60" i="41" a="1"/>
  <c r="J60" i="41" a="1"/>
  <c r="J8" i="40" a="1"/>
  <c r="J18" i="40" a="1"/>
  <c r="J16" i="42" a="1"/>
  <c r="J40" i="42" a="1"/>
  <c r="J48" i="42" a="1"/>
  <c r="H40" i="42" a="1"/>
  <c r="J10" i="42" a="1"/>
  <c r="J33" i="42" a="1"/>
  <c r="J36" i="42" a="1"/>
  <c r="H33" i="42" a="1"/>
  <c r="J7" i="42" a="1"/>
  <c r="J30" i="42" a="1"/>
  <c r="H30" i="42" a="1"/>
  <c r="H7" i="42" a="1"/>
  <c r="J24" i="42" a="1"/>
  <c r="H16" i="42" a="1"/>
  <c r="J13" i="42" a="1"/>
  <c r="H10" i="42" a="1"/>
  <c r="J87" i="36" a="1"/>
  <c r="K87" i="36" a="1"/>
  <c r="F7" i="39"/>
  <c r="E30" i="40" a="1"/>
  <c r="E8" i="40" a="1"/>
  <c r="E18" i="40" a="1"/>
  <c r="J9" i="39" a="1"/>
  <c r="J12" i="39" a="1"/>
  <c r="J13" i="39" a="1"/>
  <c r="E18" i="39" a="1"/>
  <c r="F18" i="39" a="1"/>
  <c r="J10" i="39" a="1"/>
  <c r="E8" i="41" a="1"/>
  <c r="G8" i="41" a="1"/>
  <c r="E28" i="41" a="1"/>
  <c r="G28" i="41" a="1"/>
  <c r="E18" i="41" a="1"/>
  <c r="G18" i="41" a="1"/>
  <c r="E28" i="39" a="1"/>
  <c r="F28" i="39" a="1"/>
  <c r="J28" i="39" a="1"/>
  <c r="A2" i="44" a="1"/>
  <c r="A1" i="44"/>
  <c r="E16" i="43" a="1"/>
  <c r="E15" i="43"/>
  <c r="E40" i="42" a="1"/>
  <c r="E16" i="42" a="1"/>
  <c r="J3" i="42" a="1"/>
  <c r="J2" i="42" a="1"/>
  <c r="A2" i="42" a="1"/>
  <c r="A1" i="42"/>
  <c r="E60" i="41" a="1"/>
  <c r="E50" i="41" a="1"/>
  <c r="E40" i="41" a="1"/>
  <c r="J3" i="41" a="1"/>
  <c r="J2" i="41" a="1"/>
  <c r="A2" i="41" a="1"/>
  <c r="A1" i="41"/>
  <c r="E45" i="40" a="1"/>
  <c r="G41" i="40"/>
  <c r="E41" i="40"/>
  <c r="J3" i="40" a="1"/>
  <c r="J2" i="40" a="1"/>
  <c r="A2" i="40" a="1"/>
  <c r="A1" i="40"/>
  <c r="J28" i="42" a="1"/>
  <c r="E7" i="39"/>
  <c r="J3" i="39" a="1"/>
  <c r="J2" i="39" a="1"/>
  <c r="A2" i="39" a="1"/>
  <c r="A1" i="39"/>
  <c r="B35" i="36"/>
  <c r="B28" i="36"/>
  <c r="B29" i="36"/>
  <c r="B83" i="37"/>
  <c r="B30" i="36"/>
  <c r="B31" i="36"/>
  <c r="B48" i="37"/>
  <c r="B32" i="36"/>
  <c r="B51" i="37"/>
  <c r="B33" i="36"/>
  <c r="B34" i="36"/>
  <c r="C41" i="37"/>
  <c r="C44" i="37"/>
  <c r="C47" i="37"/>
  <c r="C50" i="37"/>
  <c r="C53" i="37"/>
  <c r="C56" i="37"/>
  <c r="C59" i="37"/>
  <c r="C62" i="37"/>
  <c r="C32" i="36"/>
  <c r="D32" i="36"/>
  <c r="E32" i="36"/>
  <c r="C33" i="36"/>
  <c r="D33" i="36"/>
  <c r="E33" i="36"/>
  <c r="C34" i="36"/>
  <c r="D34" i="36"/>
  <c r="E34" i="36"/>
  <c r="C35" i="36"/>
  <c r="D35" i="36"/>
  <c r="E35" i="36"/>
  <c r="G5" i="37"/>
  <c r="G6" i="37"/>
  <c r="H5" i="37"/>
  <c r="H6" i="37"/>
  <c r="I5" i="37"/>
  <c r="I6" i="37"/>
  <c r="J5" i="37"/>
  <c r="J6" i="37"/>
  <c r="K5" i="37"/>
  <c r="K6" i="37"/>
  <c r="L5" i="37"/>
  <c r="L6" i="37"/>
  <c r="M5" i="37"/>
  <c r="M6" i="37"/>
  <c r="N5" i="37"/>
  <c r="N6" i="37"/>
  <c r="O5" i="37"/>
  <c r="C74" i="36"/>
  <c r="B58" i="36"/>
  <c r="C58" i="36"/>
  <c r="B71" i="37"/>
  <c r="B72" i="37"/>
  <c r="B73" i="37"/>
  <c r="B74" i="37"/>
  <c r="H8" i="37"/>
  <c r="D65" i="37"/>
  <c r="H65" i="37"/>
  <c r="I8" i="37"/>
  <c r="D66" i="37"/>
  <c r="D67" i="37"/>
  <c r="D68" i="37"/>
  <c r="C114" i="37"/>
  <c r="C117" i="37"/>
  <c r="C120" i="37"/>
  <c r="C123" i="37"/>
  <c r="C126" i="37"/>
  <c r="C129" i="37"/>
  <c r="C132" i="37"/>
  <c r="C135" i="37"/>
  <c r="C105" i="37"/>
  <c r="BN107" i="37"/>
  <c r="C80" i="37"/>
  <c r="C81" i="37"/>
  <c r="C84" i="37"/>
  <c r="C87" i="37"/>
  <c r="C90" i="37"/>
  <c r="C93" i="37"/>
  <c r="C96" i="37"/>
  <c r="C99" i="37"/>
  <c r="C82" i="37"/>
  <c r="C85" i="37"/>
  <c r="C88" i="37"/>
  <c r="B39" i="37"/>
  <c r="B80" i="37"/>
  <c r="B81" i="37"/>
  <c r="B82" i="37"/>
  <c r="C39" i="37"/>
  <c r="C40" i="37"/>
  <c r="B42" i="37"/>
  <c r="B43" i="37"/>
  <c r="C43" i="37"/>
  <c r="C46" i="37"/>
  <c r="C49" i="37"/>
  <c r="C52" i="37"/>
  <c r="C55" i="37"/>
  <c r="C58" i="37"/>
  <c r="C61" i="37"/>
  <c r="B84" i="37"/>
  <c r="B85" i="37"/>
  <c r="B45" i="37"/>
  <c r="B86" i="37"/>
  <c r="B87" i="37"/>
  <c r="B88" i="37"/>
  <c r="B49" i="37"/>
  <c r="B50" i="37"/>
  <c r="B92" i="37"/>
  <c r="B93" i="37"/>
  <c r="B94" i="37"/>
  <c r="B57" i="37"/>
  <c r="B98" i="37"/>
  <c r="B99" i="37"/>
  <c r="B100" i="37"/>
  <c r="C83" i="37"/>
  <c r="C86" i="37"/>
  <c r="C89" i="37"/>
  <c r="C92" i="37"/>
  <c r="C95" i="37"/>
  <c r="C98" i="37"/>
  <c r="C101" i="37"/>
  <c r="C91" i="37"/>
  <c r="C94" i="37"/>
  <c r="C97" i="37"/>
  <c r="C100" i="37"/>
  <c r="C103" i="37"/>
  <c r="C102" i="37"/>
  <c r="C145" i="37"/>
  <c r="C148" i="37"/>
  <c r="C151" i="37"/>
  <c r="C154" i="37"/>
  <c r="C157" i="37"/>
  <c r="C160" i="37"/>
  <c r="C163" i="37"/>
  <c r="C166" i="37"/>
  <c r="B75" i="36"/>
  <c r="B86" i="36"/>
  <c r="B171" i="37"/>
  <c r="B76" i="36"/>
  <c r="B87" i="36"/>
  <c r="B172" i="37"/>
  <c r="B77" i="36"/>
  <c r="B78" i="36"/>
  <c r="B211" i="37"/>
  <c r="B89" i="36"/>
  <c r="B174" i="37"/>
  <c r="B79" i="36"/>
  <c r="B212" i="37"/>
  <c r="B80" i="36"/>
  <c r="B91" i="36"/>
  <c r="B176" i="37"/>
  <c r="C85" i="36"/>
  <c r="D85" i="36"/>
  <c r="E85" i="36"/>
  <c r="F85" i="36"/>
  <c r="G85" i="36"/>
  <c r="B208" i="37"/>
  <c r="B209" i="37"/>
  <c r="B213" i="37"/>
  <c r="D74" i="36"/>
  <c r="E74" i="36"/>
  <c r="F74" i="36"/>
  <c r="G74" i="36"/>
  <c r="D75" i="36"/>
  <c r="E75" i="36"/>
  <c r="F75" i="36"/>
  <c r="G75" i="36"/>
  <c r="BM107" i="37"/>
  <c r="BL107" i="37"/>
  <c r="BL39" i="37"/>
  <c r="BK107" i="37"/>
  <c r="BK50" i="37"/>
  <c r="BK39" i="37"/>
  <c r="BK43" i="37"/>
  <c r="BJ107" i="37"/>
  <c r="BJ50" i="37"/>
  <c r="BJ39" i="37"/>
  <c r="BJ43" i="37"/>
  <c r="BI107" i="37"/>
  <c r="BI50" i="37"/>
  <c r="BI39" i="37"/>
  <c r="BI49" i="37"/>
  <c r="BH107" i="37"/>
  <c r="BH43" i="37"/>
  <c r="BH49" i="37"/>
  <c r="BG107" i="37"/>
  <c r="BG50" i="37"/>
  <c r="BG43" i="37"/>
  <c r="BG49" i="37"/>
  <c r="BF107" i="37"/>
  <c r="BF39" i="37"/>
  <c r="BF49" i="37"/>
  <c r="BE107" i="37"/>
  <c r="BE50" i="37"/>
  <c r="BE39" i="37"/>
  <c r="BE43" i="37"/>
  <c r="BE49" i="37"/>
  <c r="BD107" i="37"/>
  <c r="BD50" i="37"/>
  <c r="BD39" i="37"/>
  <c r="BD43" i="37"/>
  <c r="BD49" i="37"/>
  <c r="BC107" i="37"/>
  <c r="BC50" i="37"/>
  <c r="BC39" i="37"/>
  <c r="BC43" i="37"/>
  <c r="BC49" i="37"/>
  <c r="BB107" i="37"/>
  <c r="BB50" i="37"/>
  <c r="BB39" i="37"/>
  <c r="BB43" i="37"/>
  <c r="BB49" i="37"/>
  <c r="BA107" i="37"/>
  <c r="BA50" i="37"/>
  <c r="BA39" i="37"/>
  <c r="BA43" i="37"/>
  <c r="BA49" i="37"/>
  <c r="AZ107" i="37"/>
  <c r="AZ50" i="37"/>
  <c r="AZ39" i="37"/>
  <c r="AZ43" i="37"/>
  <c r="AZ49" i="37"/>
  <c r="AY107" i="37"/>
  <c r="AY50" i="37"/>
  <c r="AY39" i="37"/>
  <c r="AY43" i="37"/>
  <c r="AY49" i="37"/>
  <c r="AX107" i="37"/>
  <c r="AX50" i="37"/>
  <c r="AX39" i="37"/>
  <c r="AX43" i="37"/>
  <c r="AX49" i="37"/>
  <c r="AW107" i="37"/>
  <c r="AW50" i="37"/>
  <c r="AW39" i="37"/>
  <c r="AW43" i="37"/>
  <c r="AW49" i="37"/>
  <c r="AV107" i="37"/>
  <c r="AV50" i="37"/>
  <c r="AV39" i="37"/>
  <c r="AV43" i="37"/>
  <c r="AV49" i="37"/>
  <c r="AU107" i="37"/>
  <c r="AU50" i="37"/>
  <c r="AU39" i="37"/>
  <c r="AU43" i="37"/>
  <c r="AU49" i="37"/>
  <c r="AT107" i="37"/>
  <c r="AT50" i="37"/>
  <c r="AT39" i="37"/>
  <c r="AT43" i="37"/>
  <c r="AT49" i="37"/>
  <c r="AS107" i="37"/>
  <c r="AS50" i="37"/>
  <c r="AS39" i="37"/>
  <c r="AS43" i="37"/>
  <c r="AS49" i="37"/>
  <c r="AR107" i="37"/>
  <c r="AR50" i="37"/>
  <c r="AR39" i="37"/>
  <c r="AR43" i="37"/>
  <c r="AR49" i="37"/>
  <c r="AQ107" i="37"/>
  <c r="AQ50" i="37"/>
  <c r="AQ39" i="37"/>
  <c r="AQ43" i="37"/>
  <c r="AQ49" i="37"/>
  <c r="AP107" i="37"/>
  <c r="AP50" i="37"/>
  <c r="AP39" i="37"/>
  <c r="AP43" i="37"/>
  <c r="AP49" i="37"/>
  <c r="AO107" i="37"/>
  <c r="AO50" i="37"/>
  <c r="AO39" i="37"/>
  <c r="AO43" i="37"/>
  <c r="AO49" i="37"/>
  <c r="AN107" i="37"/>
  <c r="AN50" i="37"/>
  <c r="AN39" i="37"/>
  <c r="AN43" i="37"/>
  <c r="AN49" i="37"/>
  <c r="AM107" i="37"/>
  <c r="AM50" i="37"/>
  <c r="AM39" i="37"/>
  <c r="AM43" i="37"/>
  <c r="AM49" i="37"/>
  <c r="AL107" i="37"/>
  <c r="AL50" i="37"/>
  <c r="AL39" i="37"/>
  <c r="AL43" i="37"/>
  <c r="AL49" i="37"/>
  <c r="AK107" i="37"/>
  <c r="AK50" i="37"/>
  <c r="AK39" i="37"/>
  <c r="AK43" i="37"/>
  <c r="AK49" i="37"/>
  <c r="AJ107" i="37"/>
  <c r="AJ50" i="37"/>
  <c r="AJ39" i="37"/>
  <c r="AJ43" i="37"/>
  <c r="AJ49" i="37"/>
  <c r="AI107" i="37"/>
  <c r="AI50" i="37"/>
  <c r="AI39" i="37"/>
  <c r="AI43" i="37"/>
  <c r="AI49" i="37"/>
  <c r="AH107" i="37"/>
  <c r="AH50" i="37"/>
  <c r="AH39" i="37"/>
  <c r="AH43" i="37"/>
  <c r="AH49" i="37"/>
  <c r="AG107" i="37"/>
  <c r="AG50" i="37"/>
  <c r="AG39" i="37"/>
  <c r="AG43" i="37"/>
  <c r="AG49" i="37"/>
  <c r="AF107" i="37"/>
  <c r="AF50" i="37"/>
  <c r="AF39" i="37"/>
  <c r="AF43" i="37"/>
  <c r="AF49" i="37"/>
  <c r="AE107" i="37"/>
  <c r="AE50" i="37"/>
  <c r="AE39" i="37"/>
  <c r="AE43" i="37"/>
  <c r="AE49" i="37"/>
  <c r="AD107" i="37"/>
  <c r="AD50" i="37"/>
  <c r="AD39" i="37"/>
  <c r="AD43" i="37"/>
  <c r="AD49" i="37"/>
  <c r="AC107" i="37"/>
  <c r="AC50" i="37"/>
  <c r="AC39" i="37"/>
  <c r="AC43" i="37"/>
  <c r="AC49" i="37"/>
  <c r="AB107" i="37"/>
  <c r="AB50" i="37"/>
  <c r="AB39" i="37"/>
  <c r="AB43" i="37"/>
  <c r="AB49" i="37"/>
  <c r="AA107" i="37"/>
  <c r="AA50" i="37"/>
  <c r="AA39" i="37"/>
  <c r="AA43" i="37"/>
  <c r="AA49" i="37"/>
  <c r="Z107" i="37"/>
  <c r="Z50" i="37"/>
  <c r="Z39" i="37"/>
  <c r="Z43" i="37"/>
  <c r="Z49" i="37"/>
  <c r="Y107" i="37"/>
  <c r="Y50" i="37"/>
  <c r="Y39" i="37"/>
  <c r="Y43" i="37"/>
  <c r="Y49" i="37"/>
  <c r="X107" i="37"/>
  <c r="X50" i="37"/>
  <c r="X39" i="37"/>
  <c r="X43" i="37"/>
  <c r="X49" i="37"/>
  <c r="W107" i="37"/>
  <c r="W50" i="37"/>
  <c r="W39" i="37"/>
  <c r="W43" i="37"/>
  <c r="W49" i="37"/>
  <c r="V107" i="37"/>
  <c r="V50" i="37"/>
  <c r="V39" i="37"/>
  <c r="V43" i="37"/>
  <c r="V49" i="37"/>
  <c r="U107" i="37"/>
  <c r="U50" i="37"/>
  <c r="U39" i="37"/>
  <c r="U43" i="37"/>
  <c r="U49" i="37"/>
  <c r="T107" i="37"/>
  <c r="T50" i="37"/>
  <c r="T39" i="37"/>
  <c r="T43" i="37"/>
  <c r="T49" i="37"/>
  <c r="S107" i="37"/>
  <c r="S50" i="37"/>
  <c r="S39" i="37"/>
  <c r="S43" i="37"/>
  <c r="S49" i="37"/>
  <c r="R107" i="37"/>
  <c r="R50" i="37"/>
  <c r="R39" i="37"/>
  <c r="R43" i="37"/>
  <c r="R49" i="37"/>
  <c r="Q107" i="37"/>
  <c r="Q50" i="37"/>
  <c r="Q39" i="37"/>
  <c r="Q43" i="37"/>
  <c r="Q49" i="37"/>
  <c r="P107" i="37"/>
  <c r="P50" i="37"/>
  <c r="P39" i="37"/>
  <c r="P43" i="37"/>
  <c r="P49" i="37"/>
  <c r="O107" i="37"/>
  <c r="O50" i="37"/>
  <c r="O39" i="37"/>
  <c r="O43" i="37"/>
  <c r="O49" i="37"/>
  <c r="N107" i="37"/>
  <c r="N50" i="37"/>
  <c r="N39" i="37"/>
  <c r="N43" i="37"/>
  <c r="N49" i="37"/>
  <c r="N213" i="37"/>
  <c r="M107" i="37"/>
  <c r="M50" i="37"/>
  <c r="M39" i="37"/>
  <c r="M43" i="37"/>
  <c r="M49" i="37"/>
  <c r="M213" i="37"/>
  <c r="L107" i="37"/>
  <c r="L50" i="37"/>
  <c r="L39" i="37"/>
  <c r="L43" i="37"/>
  <c r="L49" i="37"/>
  <c r="L213" i="37"/>
  <c r="K107" i="37"/>
  <c r="K50" i="37"/>
  <c r="K39" i="37"/>
  <c r="K43" i="37"/>
  <c r="K49" i="37"/>
  <c r="K213" i="37"/>
  <c r="J107" i="37"/>
  <c r="J50" i="37"/>
  <c r="J39" i="37"/>
  <c r="J43" i="37"/>
  <c r="J49" i="37"/>
  <c r="J213" i="37"/>
  <c r="I68" i="37"/>
  <c r="I74" i="37"/>
  <c r="I107" i="37"/>
  <c r="I50" i="37"/>
  <c r="I39" i="37"/>
  <c r="I43" i="37"/>
  <c r="I49" i="37"/>
  <c r="I66" i="37"/>
  <c r="I72" i="37"/>
  <c r="I67" i="37"/>
  <c r="I73" i="37"/>
  <c r="I213" i="37"/>
  <c r="H68" i="37"/>
  <c r="H74" i="37"/>
  <c r="H107" i="37"/>
  <c r="H50" i="37"/>
  <c r="H39" i="37"/>
  <c r="H43" i="37"/>
  <c r="H49" i="37"/>
  <c r="H71" i="37"/>
  <c r="H66" i="37"/>
  <c r="H72" i="37"/>
  <c r="H67" i="37"/>
  <c r="H73" i="37"/>
  <c r="H213" i="37"/>
  <c r="G76" i="37"/>
  <c r="G68" i="37"/>
  <c r="G74" i="37"/>
  <c r="G107" i="37"/>
  <c r="G50" i="37"/>
  <c r="G39" i="37"/>
  <c r="G80" i="37"/>
  <c r="G43" i="37"/>
  <c r="G84" i="37"/>
  <c r="G49" i="37"/>
  <c r="G65" i="37"/>
  <c r="G71" i="37"/>
  <c r="G66" i="37"/>
  <c r="G72" i="37"/>
  <c r="G67" i="37"/>
  <c r="G73" i="37"/>
  <c r="G168" i="37"/>
  <c r="G213" i="37"/>
  <c r="C220" i="37"/>
  <c r="C223" i="37"/>
  <c r="C226" i="37"/>
  <c r="C229" i="37"/>
  <c r="C232" i="37"/>
  <c r="C235" i="37"/>
  <c r="C238" i="37"/>
  <c r="C241" i="37"/>
  <c r="C113" i="37"/>
  <c r="C116" i="37"/>
  <c r="C119" i="37"/>
  <c r="C122" i="37"/>
  <c r="C125" i="37"/>
  <c r="C128" i="37"/>
  <c r="C131" i="37"/>
  <c r="C134" i="37"/>
  <c r="C144" i="37"/>
  <c r="C147" i="37"/>
  <c r="C150" i="37"/>
  <c r="C153" i="37"/>
  <c r="C156" i="37"/>
  <c r="C159" i="37"/>
  <c r="C162" i="37"/>
  <c r="C165" i="37"/>
  <c r="C219" i="37"/>
  <c r="C222" i="37"/>
  <c r="C225" i="37"/>
  <c r="C228" i="37"/>
  <c r="C231" i="37"/>
  <c r="C234" i="37"/>
  <c r="C237" i="37"/>
  <c r="C240" i="37"/>
  <c r="C112" i="37"/>
  <c r="C115" i="37"/>
  <c r="C118" i="37"/>
  <c r="C121" i="37"/>
  <c r="C124" i="37"/>
  <c r="C127" i="37"/>
  <c r="C130" i="37"/>
  <c r="C133" i="37"/>
  <c r="C143" i="37"/>
  <c r="C146" i="37"/>
  <c r="C149" i="37"/>
  <c r="C152" i="37"/>
  <c r="C218" i="37"/>
  <c r="C221" i="37"/>
  <c r="C224" i="37"/>
  <c r="C227" i="37"/>
  <c r="C230" i="37"/>
  <c r="C233" i="37"/>
  <c r="C236" i="37"/>
  <c r="C239" i="37"/>
  <c r="B161" i="37"/>
  <c r="B199" i="37"/>
  <c r="B200" i="37"/>
  <c r="B201" i="37"/>
  <c r="D201" i="37"/>
  <c r="B236" i="37"/>
  <c r="B237" i="37"/>
  <c r="B238" i="37"/>
  <c r="N212" i="37"/>
  <c r="M212" i="37"/>
  <c r="L212" i="37"/>
  <c r="K212" i="37"/>
  <c r="J212" i="37"/>
  <c r="I212" i="37"/>
  <c r="H212" i="37"/>
  <c r="G212" i="37"/>
  <c r="D200" i="37"/>
  <c r="D199" i="37"/>
  <c r="D236" i="37"/>
  <c r="E236" i="37"/>
  <c r="B158" i="37"/>
  <c r="B196" i="37"/>
  <c r="B197" i="37"/>
  <c r="B198" i="37"/>
  <c r="D198" i="37"/>
  <c r="B233" i="37"/>
  <c r="B234" i="37"/>
  <c r="N211" i="37"/>
  <c r="M211" i="37"/>
  <c r="L211" i="37"/>
  <c r="K211" i="37"/>
  <c r="J211" i="37"/>
  <c r="I211" i="37"/>
  <c r="H211" i="37"/>
  <c r="G211" i="37"/>
  <c r="D197" i="37"/>
  <c r="E234" i="37"/>
  <c r="D196" i="37"/>
  <c r="D233" i="37"/>
  <c r="E233" i="37"/>
  <c r="B155" i="37"/>
  <c r="B156" i="37"/>
  <c r="B157" i="37"/>
  <c r="D157" i="37"/>
  <c r="B193" i="37"/>
  <c r="B194" i="37"/>
  <c r="B195" i="37"/>
  <c r="D195" i="37"/>
  <c r="B230" i="37"/>
  <c r="B231" i="37"/>
  <c r="B232" i="37"/>
  <c r="D232" i="37"/>
  <c r="D156" i="37"/>
  <c r="D194" i="37"/>
  <c r="D231" i="37"/>
  <c r="BJ156" i="37"/>
  <c r="BH156" i="37"/>
  <c r="BF156" i="37"/>
  <c r="BD156" i="37"/>
  <c r="BB156" i="37"/>
  <c r="AZ156" i="37"/>
  <c r="AX156" i="37"/>
  <c r="AT156" i="37"/>
  <c r="AR156" i="37"/>
  <c r="AP156" i="37"/>
  <c r="AN156" i="37"/>
  <c r="AL156" i="37"/>
  <c r="AJ156" i="37"/>
  <c r="AH156" i="37"/>
  <c r="AD156" i="37"/>
  <c r="AB156" i="37"/>
  <c r="Z156" i="37"/>
  <c r="X156" i="37"/>
  <c r="V156" i="37"/>
  <c r="T156" i="37"/>
  <c r="R156" i="37"/>
  <c r="N156" i="37"/>
  <c r="L156" i="37"/>
  <c r="J156" i="37"/>
  <c r="H156" i="37"/>
  <c r="E231" i="37"/>
  <c r="D155" i="37"/>
  <c r="D193" i="37"/>
  <c r="D230" i="37"/>
  <c r="E230" i="37"/>
  <c r="B152" i="37"/>
  <c r="B153" i="37"/>
  <c r="B154" i="37"/>
  <c r="D154" i="37"/>
  <c r="BN154" i="37"/>
  <c r="B190" i="37"/>
  <c r="B191" i="37"/>
  <c r="B227" i="37"/>
  <c r="B228" i="37"/>
  <c r="B229" i="37"/>
  <c r="E229" i="37"/>
  <c r="D229" i="37"/>
  <c r="BD154" i="37"/>
  <c r="AN154" i="37"/>
  <c r="AC154" i="37"/>
  <c r="AB154" i="37"/>
  <c r="N209" i="37"/>
  <c r="M209" i="37"/>
  <c r="L209" i="37"/>
  <c r="K209" i="37"/>
  <c r="J209" i="37"/>
  <c r="I209" i="37"/>
  <c r="H209" i="37"/>
  <c r="G209" i="37"/>
  <c r="D153" i="37"/>
  <c r="D228" i="37"/>
  <c r="E228" i="37"/>
  <c r="D152" i="37"/>
  <c r="BI152" i="37"/>
  <c r="D190" i="37"/>
  <c r="D227" i="37"/>
  <c r="BG152" i="37"/>
  <c r="BC152" i="37"/>
  <c r="AQ152" i="37"/>
  <c r="AM152" i="37"/>
  <c r="Q152" i="37"/>
  <c r="K152" i="37"/>
  <c r="E227" i="37"/>
  <c r="B149" i="37"/>
  <c r="B150" i="37"/>
  <c r="D150" i="37"/>
  <c r="BN150" i="37"/>
  <c r="B187" i="37"/>
  <c r="B188" i="37"/>
  <c r="B189" i="37"/>
  <c r="D189" i="37"/>
  <c r="B224" i="37"/>
  <c r="B225" i="37"/>
  <c r="D225" i="37"/>
  <c r="N208" i="37"/>
  <c r="M208" i="37"/>
  <c r="L208" i="37"/>
  <c r="K208" i="37"/>
  <c r="J208" i="37"/>
  <c r="I208" i="37"/>
  <c r="H208" i="37"/>
  <c r="G208" i="37"/>
  <c r="D188" i="37"/>
  <c r="BM150" i="37"/>
  <c r="BK150" i="37"/>
  <c r="BI150" i="37"/>
  <c r="BG150" i="37"/>
  <c r="BE150" i="37"/>
  <c r="BC150" i="37"/>
  <c r="BA150" i="37"/>
  <c r="AY150" i="37"/>
  <c r="AW150" i="37"/>
  <c r="AU150" i="37"/>
  <c r="AS150" i="37"/>
  <c r="AQ150" i="37"/>
  <c r="AO150" i="37"/>
  <c r="AM150" i="37"/>
  <c r="AK150" i="37"/>
  <c r="AI150" i="37"/>
  <c r="AG150" i="37"/>
  <c r="AE150" i="37"/>
  <c r="AC150" i="37"/>
  <c r="AA150" i="37"/>
  <c r="Y150" i="37"/>
  <c r="W150" i="37"/>
  <c r="U150" i="37"/>
  <c r="S150" i="37"/>
  <c r="Q150" i="37"/>
  <c r="O150" i="37"/>
  <c r="M150" i="37"/>
  <c r="K150" i="37"/>
  <c r="I150" i="37"/>
  <c r="G150" i="37"/>
  <c r="D149" i="37"/>
  <c r="BN149" i="37"/>
  <c r="D187" i="37"/>
  <c r="D224" i="37"/>
  <c r="BM149" i="37"/>
  <c r="BL149" i="37"/>
  <c r="BK149" i="37"/>
  <c r="BJ149" i="37"/>
  <c r="BI149" i="37"/>
  <c r="BH149" i="37"/>
  <c r="BG149" i="37"/>
  <c r="BF149" i="37"/>
  <c r="BE149" i="37"/>
  <c r="BD149" i="37"/>
  <c r="BC149" i="37"/>
  <c r="BB149" i="37"/>
  <c r="BA149" i="37"/>
  <c r="AZ149" i="37"/>
  <c r="AY149" i="37"/>
  <c r="AX149" i="37"/>
  <c r="AW149" i="37"/>
  <c r="AV149" i="37"/>
  <c r="AU149" i="37"/>
  <c r="AT149" i="37"/>
  <c r="AS149" i="37"/>
  <c r="AR149" i="37"/>
  <c r="AQ149" i="37"/>
  <c r="AP149" i="37"/>
  <c r="AO149" i="37"/>
  <c r="AN149" i="37"/>
  <c r="AM149" i="37"/>
  <c r="AL149" i="37"/>
  <c r="AK149" i="37"/>
  <c r="AJ149" i="37"/>
  <c r="AI149" i="37"/>
  <c r="AH149" i="37"/>
  <c r="AG149" i="37"/>
  <c r="AF149" i="37"/>
  <c r="AE149" i="37"/>
  <c r="AD149" i="37"/>
  <c r="AC149" i="37"/>
  <c r="AB149" i="37"/>
  <c r="AA149" i="37"/>
  <c r="Z149" i="37"/>
  <c r="Y149" i="37"/>
  <c r="X149" i="37"/>
  <c r="W149" i="37"/>
  <c r="V149" i="37"/>
  <c r="U149" i="37"/>
  <c r="T149" i="37"/>
  <c r="S149" i="37"/>
  <c r="R149" i="37"/>
  <c r="Q149" i="37"/>
  <c r="P149" i="37"/>
  <c r="O149" i="37"/>
  <c r="N149" i="37"/>
  <c r="M149" i="37"/>
  <c r="L149" i="37"/>
  <c r="K149" i="37"/>
  <c r="J149" i="37"/>
  <c r="I149" i="37"/>
  <c r="H149" i="37"/>
  <c r="G149" i="37"/>
  <c r="E224" i="37"/>
  <c r="B146" i="37"/>
  <c r="B147" i="37"/>
  <c r="B148" i="37"/>
  <c r="D148" i="37"/>
  <c r="B184" i="37"/>
  <c r="B185" i="37"/>
  <c r="D185" i="37"/>
  <c r="B186" i="37"/>
  <c r="D186" i="37"/>
  <c r="B221" i="37"/>
  <c r="B222" i="37"/>
  <c r="B223" i="37"/>
  <c r="D223" i="37"/>
  <c r="V148" i="37"/>
  <c r="U148" i="37"/>
  <c r="S148" i="37"/>
  <c r="R148" i="37"/>
  <c r="Q148" i="37"/>
  <c r="P148" i="37"/>
  <c r="O148" i="37"/>
  <c r="N148" i="37"/>
  <c r="M148" i="37"/>
  <c r="K148" i="37"/>
  <c r="J148" i="37"/>
  <c r="I148" i="37"/>
  <c r="H148" i="37"/>
  <c r="G148" i="37"/>
  <c r="E223" i="37"/>
  <c r="D147" i="37"/>
  <c r="BN147" i="37"/>
  <c r="D222" i="37"/>
  <c r="BM147" i="37"/>
  <c r="BL147" i="37"/>
  <c r="BK147" i="37"/>
  <c r="BJ147" i="37"/>
  <c r="BI147" i="37"/>
  <c r="BH147" i="37"/>
  <c r="BG147" i="37"/>
  <c r="BF147" i="37"/>
  <c r="BE147" i="37"/>
  <c r="BD147" i="37"/>
  <c r="BC147" i="37"/>
  <c r="BB147" i="37"/>
  <c r="BA147" i="37"/>
  <c r="AZ147" i="37"/>
  <c r="AY147" i="37"/>
  <c r="AX147" i="37"/>
  <c r="AW147" i="37"/>
  <c r="AV147" i="37"/>
  <c r="AU147" i="37"/>
  <c r="AT147" i="37"/>
  <c r="AS147" i="37"/>
  <c r="AR147" i="37"/>
  <c r="AQ147" i="37"/>
  <c r="AP147" i="37"/>
  <c r="AO147" i="37"/>
  <c r="AN147" i="37"/>
  <c r="AM147" i="37"/>
  <c r="AL147" i="37"/>
  <c r="AK147" i="37"/>
  <c r="AJ147" i="37"/>
  <c r="AI147" i="37"/>
  <c r="AH147" i="37"/>
  <c r="AG147" i="37"/>
  <c r="AF147" i="37"/>
  <c r="AE147" i="37"/>
  <c r="AD147" i="37"/>
  <c r="AC147" i="37"/>
  <c r="AB147" i="37"/>
  <c r="AA147" i="37"/>
  <c r="Z147" i="37"/>
  <c r="Y147" i="37"/>
  <c r="X147" i="37"/>
  <c r="W147" i="37"/>
  <c r="V147" i="37"/>
  <c r="U147" i="37"/>
  <c r="T147" i="37"/>
  <c r="S147" i="37"/>
  <c r="R147" i="37"/>
  <c r="Q147" i="37"/>
  <c r="P147" i="37"/>
  <c r="O147" i="37"/>
  <c r="N147" i="37"/>
  <c r="M147" i="37"/>
  <c r="L147" i="37"/>
  <c r="K147" i="37"/>
  <c r="J147" i="37"/>
  <c r="I147" i="37"/>
  <c r="H147" i="37"/>
  <c r="G116" i="37"/>
  <c r="G147" i="37"/>
  <c r="G185" i="37"/>
  <c r="G222" i="37"/>
  <c r="E222" i="37"/>
  <c r="D146" i="37"/>
  <c r="BN146" i="37"/>
  <c r="D184" i="37"/>
  <c r="D221" i="37"/>
  <c r="BM146" i="37"/>
  <c r="BL146" i="37"/>
  <c r="BK146" i="37"/>
  <c r="BJ146" i="37"/>
  <c r="BI146" i="37"/>
  <c r="BH146" i="37"/>
  <c r="BG146" i="37"/>
  <c r="BF146" i="37"/>
  <c r="BE146" i="37"/>
  <c r="BD146" i="37"/>
  <c r="BC146" i="37"/>
  <c r="BB146" i="37"/>
  <c r="BA146" i="37"/>
  <c r="AZ146" i="37"/>
  <c r="AY146" i="37"/>
  <c r="AX146" i="37"/>
  <c r="AW146" i="37"/>
  <c r="AV146" i="37"/>
  <c r="AU146" i="37"/>
  <c r="AT146" i="37"/>
  <c r="AS146" i="37"/>
  <c r="AR146" i="37"/>
  <c r="AQ146" i="37"/>
  <c r="AP146" i="37"/>
  <c r="AO146" i="37"/>
  <c r="AN146" i="37"/>
  <c r="AM146" i="37"/>
  <c r="AL146" i="37"/>
  <c r="AK146" i="37"/>
  <c r="AJ146" i="37"/>
  <c r="AI146" i="37"/>
  <c r="AH146" i="37"/>
  <c r="AG146" i="37"/>
  <c r="AF146" i="37"/>
  <c r="AE146" i="37"/>
  <c r="AD146" i="37"/>
  <c r="AC146" i="37"/>
  <c r="AB146" i="37"/>
  <c r="AA146" i="37"/>
  <c r="Z146" i="37"/>
  <c r="Y146" i="37"/>
  <c r="X146" i="37"/>
  <c r="W146" i="37"/>
  <c r="V146" i="37"/>
  <c r="U146" i="37"/>
  <c r="T146" i="37"/>
  <c r="S146" i="37"/>
  <c r="R146" i="37"/>
  <c r="Q146" i="37"/>
  <c r="P146" i="37"/>
  <c r="O146" i="37"/>
  <c r="N146" i="37"/>
  <c r="M146" i="37"/>
  <c r="L146" i="37"/>
  <c r="K146" i="37"/>
  <c r="J146" i="37"/>
  <c r="I146" i="37"/>
  <c r="H146" i="37"/>
  <c r="G146" i="37"/>
  <c r="E221" i="37"/>
  <c r="B143" i="37"/>
  <c r="B144" i="37"/>
  <c r="B181" i="37"/>
  <c r="B182" i="37"/>
  <c r="B183" i="37"/>
  <c r="D183" i="37"/>
  <c r="B218" i="37"/>
  <c r="B219" i="37"/>
  <c r="D182" i="37"/>
  <c r="E219" i="37"/>
  <c r="D143" i="37"/>
  <c r="BM143" i="37"/>
  <c r="D181" i="37"/>
  <c r="D218" i="37"/>
  <c r="BL143" i="37"/>
  <c r="BJ143" i="37"/>
  <c r="BH143" i="37"/>
  <c r="BG143" i="37"/>
  <c r="BF143" i="37"/>
  <c r="BE143" i="37"/>
  <c r="BD143" i="37"/>
  <c r="BC143" i="37"/>
  <c r="BB143" i="37"/>
  <c r="BA143" i="37"/>
  <c r="AZ143" i="37"/>
  <c r="AY143" i="37"/>
  <c r="AX143" i="37"/>
  <c r="AW143" i="37"/>
  <c r="AV143" i="37"/>
  <c r="AU143" i="37"/>
  <c r="AT143" i="37"/>
  <c r="AS143" i="37"/>
  <c r="AR143" i="37"/>
  <c r="AQ143" i="37"/>
  <c r="AP143" i="37"/>
  <c r="AO143" i="37"/>
  <c r="AN143" i="37"/>
  <c r="AM143" i="37"/>
  <c r="AL143" i="37"/>
  <c r="AK143" i="37"/>
  <c r="AJ143" i="37"/>
  <c r="AI143" i="37"/>
  <c r="AH143" i="37"/>
  <c r="AG143" i="37"/>
  <c r="AF143" i="37"/>
  <c r="AE143" i="37"/>
  <c r="AD143" i="37"/>
  <c r="AC143" i="37"/>
  <c r="AB143" i="37"/>
  <c r="AA143" i="37"/>
  <c r="Z143" i="37"/>
  <c r="Y143" i="37"/>
  <c r="X143" i="37"/>
  <c r="W143" i="37"/>
  <c r="V143" i="37"/>
  <c r="U143" i="37"/>
  <c r="T143" i="37"/>
  <c r="S143" i="37"/>
  <c r="R143" i="37"/>
  <c r="Q143" i="37"/>
  <c r="P143" i="37"/>
  <c r="O143" i="37"/>
  <c r="N143" i="37"/>
  <c r="M143" i="37"/>
  <c r="L143" i="37"/>
  <c r="K143" i="37"/>
  <c r="J143" i="37"/>
  <c r="I143" i="37"/>
  <c r="H143" i="37"/>
  <c r="G112" i="37"/>
  <c r="G143" i="37"/>
  <c r="G181" i="37"/>
  <c r="G218" i="37"/>
  <c r="E218" i="37"/>
  <c r="C183" i="37"/>
  <c r="C186" i="37"/>
  <c r="C189" i="37"/>
  <c r="C192" i="37"/>
  <c r="C195" i="37"/>
  <c r="C198" i="37"/>
  <c r="C201" i="37"/>
  <c r="C204" i="37"/>
  <c r="C182" i="37"/>
  <c r="C185" i="37"/>
  <c r="C188" i="37"/>
  <c r="C191" i="37"/>
  <c r="C194" i="37"/>
  <c r="C197" i="37"/>
  <c r="C200" i="37"/>
  <c r="C203" i="37"/>
  <c r="C181" i="37"/>
  <c r="C184" i="37"/>
  <c r="C187" i="37"/>
  <c r="C190" i="37"/>
  <c r="C193" i="37"/>
  <c r="C196" i="37"/>
  <c r="C199" i="37"/>
  <c r="C202" i="37"/>
  <c r="C137" i="37"/>
  <c r="D137" i="37"/>
  <c r="B133" i="37"/>
  <c r="B134" i="37"/>
  <c r="B135" i="37"/>
  <c r="B130" i="37"/>
  <c r="B131" i="37"/>
  <c r="B132" i="37"/>
  <c r="B127" i="37"/>
  <c r="B128" i="37"/>
  <c r="B129" i="37"/>
  <c r="B124" i="37"/>
  <c r="B125" i="37"/>
  <c r="B126" i="37"/>
  <c r="B121" i="37"/>
  <c r="B122" i="37"/>
  <c r="B123" i="37"/>
  <c r="B118" i="37"/>
  <c r="B119" i="37"/>
  <c r="B120" i="37"/>
  <c r="B115" i="37"/>
  <c r="B116" i="37"/>
  <c r="B117" i="37"/>
  <c r="B112" i="37"/>
  <c r="B113" i="37"/>
  <c r="B114" i="37"/>
  <c r="B68" i="37"/>
  <c r="B67" i="37"/>
  <c r="B66" i="37"/>
  <c r="B65" i="37"/>
  <c r="BP5" i="37"/>
  <c r="BP6" i="37"/>
  <c r="BQ5" i="37"/>
  <c r="G7" i="37"/>
  <c r="H7" i="37"/>
  <c r="I7" i="37"/>
  <c r="B33" i="37"/>
  <c r="J7" i="37"/>
  <c r="K7" i="37"/>
  <c r="L7" i="37"/>
  <c r="M7" i="37"/>
  <c r="N7" i="37"/>
  <c r="O7" i="37"/>
  <c r="BP7" i="37"/>
  <c r="B32" i="37"/>
  <c r="B31" i="37"/>
  <c r="B30" i="37"/>
  <c r="B29" i="37"/>
  <c r="B28" i="37"/>
  <c r="B27" i="37"/>
  <c r="B26" i="37"/>
  <c r="B23" i="37"/>
  <c r="B22" i="37"/>
  <c r="B21" i="37"/>
  <c r="B18" i="37"/>
  <c r="B17" i="37"/>
  <c r="B16" i="37"/>
  <c r="B15" i="37"/>
  <c r="B14" i="37"/>
  <c r="B13" i="37"/>
  <c r="B12" i="37"/>
  <c r="B11" i="37"/>
  <c r="B2" i="37"/>
  <c r="G17" i="36"/>
  <c r="B11" i="36"/>
  <c r="B12" i="36"/>
  <c r="B13" i="36"/>
  <c r="B14" i="36"/>
  <c r="B15" i="36"/>
  <c r="B16" i="36"/>
  <c r="B17" i="36"/>
  <c r="G16" i="36"/>
  <c r="G15" i="36"/>
  <c r="G14" i="36"/>
  <c r="A1" i="36"/>
  <c r="BQ7" i="37"/>
  <c r="BQ6" i="37"/>
  <c r="BR5" i="37"/>
  <c r="O6" i="37"/>
  <c r="P5" i="37"/>
  <c r="O213" i="37"/>
  <c r="O212" i="37"/>
  <c r="O211" i="37"/>
  <c r="O209" i="37"/>
  <c r="O208" i="37"/>
  <c r="BM153" i="37"/>
  <c r="BK153" i="37"/>
  <c r="BI153" i="37"/>
  <c r="BG153" i="37"/>
  <c r="BE153" i="37"/>
  <c r="BC153" i="37"/>
  <c r="BA153" i="37"/>
  <c r="AY153" i="37"/>
  <c r="AW153" i="37"/>
  <c r="AU153" i="37"/>
  <c r="AS153" i="37"/>
  <c r="AQ153" i="37"/>
  <c r="AO153" i="37"/>
  <c r="AM153" i="37"/>
  <c r="AK153" i="37"/>
  <c r="AI153" i="37"/>
  <c r="AG153" i="37"/>
  <c r="AE153" i="37"/>
  <c r="AC153" i="37"/>
  <c r="AA153" i="37"/>
  <c r="Y153" i="37"/>
  <c r="W153" i="37"/>
  <c r="U153" i="37"/>
  <c r="S153" i="37"/>
  <c r="Q153" i="37"/>
  <c r="O153" i="37"/>
  <c r="M153" i="37"/>
  <c r="K153" i="37"/>
  <c r="I153" i="37"/>
  <c r="G153" i="37"/>
  <c r="BN153" i="37"/>
  <c r="BB153" i="37"/>
  <c r="AL153" i="37"/>
  <c r="V153" i="37"/>
  <c r="BL153" i="37"/>
  <c r="AV153" i="37"/>
  <c r="AF153" i="37"/>
  <c r="P153" i="37"/>
  <c r="BF153" i="37"/>
  <c r="AP153" i="37"/>
  <c r="Z153" i="37"/>
  <c r="J153" i="37"/>
  <c r="AZ153" i="37"/>
  <c r="AJ153" i="37"/>
  <c r="T153" i="37"/>
  <c r="BJ153" i="37"/>
  <c r="AT153" i="37"/>
  <c r="AD153" i="37"/>
  <c r="N153" i="37"/>
  <c r="H153" i="37"/>
  <c r="AX153" i="37"/>
  <c r="AH153" i="37"/>
  <c r="R153" i="37"/>
  <c r="BH153" i="37"/>
  <c r="BD153" i="37"/>
  <c r="AR153" i="37"/>
  <c r="AN153" i="37"/>
  <c r="AB153" i="37"/>
  <c r="BM148" i="37"/>
  <c r="BK148" i="37"/>
  <c r="BI148" i="37"/>
  <c r="BG148" i="37"/>
  <c r="BE148" i="37"/>
  <c r="BC148" i="37"/>
  <c r="BA148" i="37"/>
  <c r="AY148" i="37"/>
  <c r="AW148" i="37"/>
  <c r="AU148" i="37"/>
  <c r="AS148" i="37"/>
  <c r="AQ148" i="37"/>
  <c r="AO148" i="37"/>
  <c r="AM148" i="37"/>
  <c r="AK148" i="37"/>
  <c r="AI148" i="37"/>
  <c r="AG148" i="37"/>
  <c r="AE148" i="37"/>
  <c r="AC148" i="37"/>
  <c r="AA148" i="37"/>
  <c r="Y148" i="37"/>
  <c r="W148" i="37"/>
  <c r="BN148" i="37"/>
  <c r="BL148" i="37"/>
  <c r="BJ148" i="37"/>
  <c r="BH148" i="37"/>
  <c r="BF148" i="37"/>
  <c r="BD148" i="37"/>
  <c r="BB148" i="37"/>
  <c r="AZ148" i="37"/>
  <c r="AX148" i="37"/>
  <c r="AV148" i="37"/>
  <c r="AT148" i="37"/>
  <c r="AR148" i="37"/>
  <c r="AP148" i="37"/>
  <c r="AN148" i="37"/>
  <c r="AL148" i="37"/>
  <c r="AJ148" i="37"/>
  <c r="AH148" i="37"/>
  <c r="AF148" i="37"/>
  <c r="AD148" i="37"/>
  <c r="AB148" i="37"/>
  <c r="Z148" i="37"/>
  <c r="X148" i="37"/>
  <c r="B145" i="37"/>
  <c r="D145" i="37"/>
  <c r="D144" i="37"/>
  <c r="L153" i="37"/>
  <c r="X153" i="37"/>
  <c r="D219" i="37"/>
  <c r="B220" i="37"/>
  <c r="L148" i="37"/>
  <c r="T148" i="37"/>
  <c r="BN157" i="37"/>
  <c r="BM157" i="37"/>
  <c r="BC157" i="37"/>
  <c r="AY157" i="37"/>
  <c r="AQ157" i="37"/>
  <c r="AI157" i="37"/>
  <c r="AA157" i="37"/>
  <c r="S157" i="37"/>
  <c r="K157" i="37"/>
  <c r="BJ157" i="37"/>
  <c r="BB157" i="37"/>
  <c r="AT157" i="37"/>
  <c r="AL157" i="37"/>
  <c r="AD157" i="37"/>
  <c r="V157" i="37"/>
  <c r="N157" i="37"/>
  <c r="BH157" i="37"/>
  <c r="AZ157" i="37"/>
  <c r="AR157" i="37"/>
  <c r="AJ157" i="37"/>
  <c r="AB157" i="37"/>
  <c r="T157" i="37"/>
  <c r="L157" i="37"/>
  <c r="BL157" i="37"/>
  <c r="BG157" i="37"/>
  <c r="AU157" i="37"/>
  <c r="AM157" i="37"/>
  <c r="AN157" i="37"/>
  <c r="AK157" i="37"/>
  <c r="AF157" i="37"/>
  <c r="AW157" i="37"/>
  <c r="AH157" i="37"/>
  <c r="AC157" i="37"/>
  <c r="X157" i="37"/>
  <c r="BF157" i="37"/>
  <c r="AP157" i="37"/>
  <c r="AE157" i="37"/>
  <c r="Z157" i="37"/>
  <c r="U157" i="37"/>
  <c r="P157" i="37"/>
  <c r="AS157" i="37"/>
  <c r="W157" i="37"/>
  <c r="R157" i="37"/>
  <c r="M157" i="37"/>
  <c r="H157" i="37"/>
  <c r="BD157" i="37"/>
  <c r="AV157" i="37"/>
  <c r="AG157" i="37"/>
  <c r="O157" i="37"/>
  <c r="J157" i="37"/>
  <c r="BK157" i="37"/>
  <c r="BI157" i="37"/>
  <c r="AO157" i="37"/>
  <c r="Y157" i="37"/>
  <c r="G157" i="37"/>
  <c r="BA157" i="37"/>
  <c r="I157" i="37"/>
  <c r="AX157" i="37"/>
  <c r="Q157" i="37"/>
  <c r="BE157" i="37"/>
  <c r="E225" i="37"/>
  <c r="J150" i="37"/>
  <c r="N150" i="37"/>
  <c r="R150" i="37"/>
  <c r="V150" i="37"/>
  <c r="Z150" i="37"/>
  <c r="AD150" i="37"/>
  <c r="AH150" i="37"/>
  <c r="AL150" i="37"/>
  <c r="AP150" i="37"/>
  <c r="AT150" i="37"/>
  <c r="AX150" i="37"/>
  <c r="BB150" i="37"/>
  <c r="BF150" i="37"/>
  <c r="BJ150" i="37"/>
  <c r="B226" i="37"/>
  <c r="C155" i="37"/>
  <c r="BE152" i="37"/>
  <c r="AO152" i="37"/>
  <c r="I152" i="37"/>
  <c r="AY152" i="37"/>
  <c r="AI152" i="37"/>
  <c r="O152" i="37"/>
  <c r="BN143" i="37"/>
  <c r="AG152" i="37"/>
  <c r="AW152" i="37"/>
  <c r="BI143" i="37"/>
  <c r="BK143" i="37"/>
  <c r="H150" i="37"/>
  <c r="L150" i="37"/>
  <c r="P150" i="37"/>
  <c r="T150" i="37"/>
  <c r="X150" i="37"/>
  <c r="AB150" i="37"/>
  <c r="AF150" i="37"/>
  <c r="AJ150" i="37"/>
  <c r="AN150" i="37"/>
  <c r="AR150" i="37"/>
  <c r="AV150" i="37"/>
  <c r="AZ150" i="37"/>
  <c r="BD150" i="37"/>
  <c r="BH150" i="37"/>
  <c r="BL150" i="37"/>
  <c r="G152" i="37"/>
  <c r="BM152" i="37"/>
  <c r="BG154" i="37"/>
  <c r="AU154" i="37"/>
  <c r="AM154" i="37"/>
  <c r="AE154" i="37"/>
  <c r="W154" i="37"/>
  <c r="O154" i="37"/>
  <c r="G154" i="37"/>
  <c r="BF154" i="37"/>
  <c r="AX154" i="37"/>
  <c r="AP154" i="37"/>
  <c r="AH154" i="37"/>
  <c r="Z154" i="37"/>
  <c r="R154" i="37"/>
  <c r="AV154" i="37"/>
  <c r="AT154" i="37"/>
  <c r="AR154" i="37"/>
  <c r="P154" i="37"/>
  <c r="N154" i="37"/>
  <c r="L154" i="37"/>
  <c r="J154" i="37"/>
  <c r="AK154" i="37"/>
  <c r="AI154" i="37"/>
  <c r="AG154" i="37"/>
  <c r="BH154" i="37"/>
  <c r="BB154" i="37"/>
  <c r="AZ154" i="37"/>
  <c r="X154" i="37"/>
  <c r="V154" i="37"/>
  <c r="T154" i="37"/>
  <c r="H154" i="37"/>
  <c r="BI154" i="37"/>
  <c r="BC154" i="37"/>
  <c r="AS154" i="37"/>
  <c r="AQ154" i="37"/>
  <c r="AO154" i="37"/>
  <c r="M154" i="37"/>
  <c r="BJ154" i="37"/>
  <c r="BK154" i="37"/>
  <c r="BE154" i="37"/>
  <c r="BA154" i="37"/>
  <c r="AY154" i="37"/>
  <c r="AW154" i="37"/>
  <c r="U154" i="37"/>
  <c r="S154" i="37"/>
  <c r="Q154" i="37"/>
  <c r="I154" i="37"/>
  <c r="B151" i="37"/>
  <c r="D151" i="37"/>
  <c r="U152" i="37"/>
  <c r="Y152" i="37"/>
  <c r="AC152" i="37"/>
  <c r="AS152" i="37"/>
  <c r="Y154" i="37"/>
  <c r="AD154" i="37"/>
  <c r="AJ154" i="37"/>
  <c r="BL154" i="37"/>
  <c r="BM154" i="37"/>
  <c r="BN152" i="37"/>
  <c r="BL152" i="37"/>
  <c r="BJ152" i="37"/>
  <c r="BH152" i="37"/>
  <c r="BF152" i="37"/>
  <c r="BD152" i="37"/>
  <c r="BB152" i="37"/>
  <c r="AZ152" i="37"/>
  <c r="AX152" i="37"/>
  <c r="AV152" i="37"/>
  <c r="AT152" i="37"/>
  <c r="AR152" i="37"/>
  <c r="AP152" i="37"/>
  <c r="AN152" i="37"/>
  <c r="AL152" i="37"/>
  <c r="AJ152" i="37"/>
  <c r="AH152" i="37"/>
  <c r="AF152" i="37"/>
  <c r="AD152" i="37"/>
  <c r="AB152" i="37"/>
  <c r="Z152" i="37"/>
  <c r="X152" i="37"/>
  <c r="V152" i="37"/>
  <c r="T152" i="37"/>
  <c r="R152" i="37"/>
  <c r="P152" i="37"/>
  <c r="N152" i="37"/>
  <c r="L152" i="37"/>
  <c r="J152" i="37"/>
  <c r="H152" i="37"/>
  <c r="K154" i="37"/>
  <c r="S152" i="37"/>
  <c r="AE152" i="37"/>
  <c r="AU152" i="37"/>
  <c r="BK152" i="37"/>
  <c r="AA154" i="37"/>
  <c r="AF154" i="37"/>
  <c r="AL154" i="37"/>
  <c r="M152" i="37"/>
  <c r="W152" i="37"/>
  <c r="AA152" i="37"/>
  <c r="AK152" i="37"/>
  <c r="BA152" i="37"/>
  <c r="Y155" i="37"/>
  <c r="AO155" i="37"/>
  <c r="BE155" i="37"/>
  <c r="BL155" i="37"/>
  <c r="BJ155" i="37"/>
  <c r="BH155" i="37"/>
  <c r="BF155" i="37"/>
  <c r="BD155" i="37"/>
  <c r="BB155" i="37"/>
  <c r="AZ155" i="37"/>
  <c r="AX155" i="37"/>
  <c r="AV155" i="37"/>
  <c r="AT155" i="37"/>
  <c r="AR155" i="37"/>
  <c r="AP155" i="37"/>
  <c r="AN155" i="37"/>
  <c r="AL155" i="37"/>
  <c r="AJ155" i="37"/>
  <c r="AH155" i="37"/>
  <c r="AF155" i="37"/>
  <c r="AD155" i="37"/>
  <c r="AB155" i="37"/>
  <c r="Z155" i="37"/>
  <c r="X155" i="37"/>
  <c r="V155" i="37"/>
  <c r="T155" i="37"/>
  <c r="R155" i="37"/>
  <c r="P155" i="37"/>
  <c r="N155" i="37"/>
  <c r="L155" i="37"/>
  <c r="J155" i="37"/>
  <c r="H155" i="37"/>
  <c r="AC155" i="37"/>
  <c r="AS155" i="37"/>
  <c r="BI155" i="37"/>
  <c r="BM156" i="37"/>
  <c r="BK156" i="37"/>
  <c r="BI156" i="37"/>
  <c r="BG156" i="37"/>
  <c r="BE156" i="37"/>
  <c r="BC156" i="37"/>
  <c r="BA156" i="37"/>
  <c r="AY156" i="37"/>
  <c r="AW156" i="37"/>
  <c r="AU156" i="37"/>
  <c r="AS156" i="37"/>
  <c r="AQ156" i="37"/>
  <c r="AO156" i="37"/>
  <c r="AM156" i="37"/>
  <c r="AK156" i="37"/>
  <c r="AI156" i="37"/>
  <c r="AG156" i="37"/>
  <c r="AE156" i="37"/>
  <c r="AC156" i="37"/>
  <c r="AA156" i="37"/>
  <c r="Y156" i="37"/>
  <c r="W156" i="37"/>
  <c r="U156" i="37"/>
  <c r="S156" i="37"/>
  <c r="Q156" i="37"/>
  <c r="O156" i="37"/>
  <c r="M156" i="37"/>
  <c r="K156" i="37"/>
  <c r="I156" i="37"/>
  <c r="G156" i="37"/>
  <c r="BN156" i="37"/>
  <c r="D191" i="37"/>
  <c r="B192" i="37"/>
  <c r="D192" i="37"/>
  <c r="W155" i="37"/>
  <c r="AM155" i="37"/>
  <c r="BC155" i="37"/>
  <c r="P156" i="37"/>
  <c r="AF156" i="37"/>
  <c r="AV156" i="37"/>
  <c r="BL156" i="37"/>
  <c r="B235" i="37"/>
  <c r="D234" i="37"/>
  <c r="D238" i="37"/>
  <c r="E238" i="37"/>
  <c r="E237" i="37"/>
  <c r="D237" i="37"/>
  <c r="E232" i="37"/>
  <c r="B159" i="37"/>
  <c r="D158" i="37"/>
  <c r="B162" i="37"/>
  <c r="D161" i="37"/>
  <c r="B58" i="37"/>
  <c r="B46" i="37"/>
  <c r="BM39" i="37"/>
  <c r="C42" i="37"/>
  <c r="BG39" i="37"/>
  <c r="J8" i="37"/>
  <c r="I65" i="37"/>
  <c r="I71" i="37"/>
  <c r="B239" i="37"/>
  <c r="B101" i="37"/>
  <c r="B102" i="37"/>
  <c r="B103" i="37"/>
  <c r="B164" i="37"/>
  <c r="B202" i="37"/>
  <c r="B60" i="37"/>
  <c r="BN50" i="37"/>
  <c r="BM50" i="37"/>
  <c r="BL50" i="37"/>
  <c r="BF50" i="37"/>
  <c r="BN49" i="37"/>
  <c r="BM49" i="37"/>
  <c r="BL49" i="37"/>
  <c r="BJ49" i="37"/>
  <c r="B95" i="37"/>
  <c r="B96" i="37"/>
  <c r="B97" i="37"/>
  <c r="B54" i="37"/>
  <c r="BH39" i="37"/>
  <c r="BI43" i="37"/>
  <c r="BK49" i="37"/>
  <c r="BN43" i="37"/>
  <c r="BM43" i="37"/>
  <c r="B44" i="37"/>
  <c r="BL43" i="37"/>
  <c r="BF43" i="37"/>
  <c r="B59" i="36"/>
  <c r="C59" i="36"/>
  <c r="B60" i="36"/>
  <c r="C60" i="36"/>
  <c r="B88" i="36"/>
  <c r="B173" i="37"/>
  <c r="B210" i="37"/>
  <c r="BH50" i="37"/>
  <c r="B52" i="37"/>
  <c r="B89" i="37"/>
  <c r="B90" i="37"/>
  <c r="B91" i="37"/>
  <c r="G91" i="37"/>
  <c r="B90" i="36"/>
  <c r="B175" i="37"/>
  <c r="B40" i="37"/>
  <c r="BN39" i="37"/>
  <c r="B53" i="37"/>
  <c r="BN52" i="37"/>
  <c r="BL52" i="37"/>
  <c r="BK52" i="37"/>
  <c r="BG52" i="37"/>
  <c r="BH52" i="37"/>
  <c r="BE52" i="37"/>
  <c r="BM52" i="37"/>
  <c r="BI52" i="37"/>
  <c r="BC52" i="37"/>
  <c r="BJ52" i="37"/>
  <c r="AX52" i="37"/>
  <c r="AT52" i="37"/>
  <c r="BF52" i="37"/>
  <c r="AZ52" i="37"/>
  <c r="AV52" i="37"/>
  <c r="BD52" i="37"/>
  <c r="BB52" i="37"/>
  <c r="BA52" i="37"/>
  <c r="AW52" i="37"/>
  <c r="AP52" i="37"/>
  <c r="AY52" i="37"/>
  <c r="AU52" i="37"/>
  <c r="AQ52" i="37"/>
  <c r="AM52" i="37"/>
  <c r="AK52" i="37"/>
  <c r="AG52" i="37"/>
  <c r="AC52" i="37"/>
  <c r="AL52" i="37"/>
  <c r="AH52" i="37"/>
  <c r="AD52" i="37"/>
  <c r="AR52" i="37"/>
  <c r="AN52" i="37"/>
  <c r="AI52" i="37"/>
  <c r="AE52" i="37"/>
  <c r="AJ52" i="37"/>
  <c r="AF52" i="37"/>
  <c r="W52" i="37"/>
  <c r="X52" i="37"/>
  <c r="Y52" i="37"/>
  <c r="Z52" i="37"/>
  <c r="AS52" i="37"/>
  <c r="S52" i="37"/>
  <c r="R52" i="37"/>
  <c r="Q52" i="37"/>
  <c r="P52" i="37"/>
  <c r="O52" i="37"/>
  <c r="N52" i="37"/>
  <c r="M52" i="37"/>
  <c r="AA52" i="37"/>
  <c r="AO52" i="37"/>
  <c r="U52" i="37"/>
  <c r="L52" i="37"/>
  <c r="K52" i="37"/>
  <c r="J52" i="37"/>
  <c r="AB52" i="37"/>
  <c r="I52" i="37"/>
  <c r="H52" i="37"/>
  <c r="H76" i="37"/>
  <c r="H93" i="37"/>
  <c r="H125" i="37"/>
  <c r="T52" i="37"/>
  <c r="V52" i="37"/>
  <c r="G52" i="37"/>
  <c r="G93" i="37"/>
  <c r="G125" i="37"/>
  <c r="G194" i="37"/>
  <c r="I76" i="37"/>
  <c r="I168" i="37"/>
  <c r="H168" i="37"/>
  <c r="B55" i="37"/>
  <c r="B165" i="37"/>
  <c r="D164" i="37"/>
  <c r="B240" i="37"/>
  <c r="D239" i="37"/>
  <c r="E239" i="37"/>
  <c r="C158" i="37"/>
  <c r="C161" i="37"/>
  <c r="C164" i="37"/>
  <c r="Q155" i="37"/>
  <c r="I155" i="37"/>
  <c r="AY155" i="37"/>
  <c r="AI155" i="37"/>
  <c r="S155" i="37"/>
  <c r="K155" i="37"/>
  <c r="BK155" i="37"/>
  <c r="AU155" i="37"/>
  <c r="AE155" i="37"/>
  <c r="BA155" i="37"/>
  <c r="AK155" i="37"/>
  <c r="U155" i="37"/>
  <c r="M155" i="37"/>
  <c r="AQ155" i="37"/>
  <c r="G155" i="37"/>
  <c r="AA155" i="37"/>
  <c r="BM155" i="37"/>
  <c r="O155" i="37"/>
  <c r="AW155" i="37"/>
  <c r="BG155" i="37"/>
  <c r="AG155" i="37"/>
  <c r="D220" i="37"/>
  <c r="E220" i="37"/>
  <c r="BL144" i="37"/>
  <c r="BJ144" i="37"/>
  <c r="BH144" i="37"/>
  <c r="BF144" i="37"/>
  <c r="BD144" i="37"/>
  <c r="BB144" i="37"/>
  <c r="AZ144" i="37"/>
  <c r="AX144" i="37"/>
  <c r="AV144" i="37"/>
  <c r="AT144" i="37"/>
  <c r="AR144" i="37"/>
  <c r="AP144" i="37"/>
  <c r="AN144" i="37"/>
  <c r="AL144" i="37"/>
  <c r="AJ144" i="37"/>
  <c r="AH144" i="37"/>
  <c r="AF144" i="37"/>
  <c r="AD144" i="37"/>
  <c r="AB144" i="37"/>
  <c r="Z144" i="37"/>
  <c r="X144" i="37"/>
  <c r="V144" i="37"/>
  <c r="T144" i="37"/>
  <c r="R144" i="37"/>
  <c r="P144" i="37"/>
  <c r="N144" i="37"/>
  <c r="L144" i="37"/>
  <c r="J144" i="37"/>
  <c r="H144" i="37"/>
  <c r="BM144" i="37"/>
  <c r="BK144" i="37"/>
  <c r="BI144" i="37"/>
  <c r="BG144" i="37"/>
  <c r="BE144" i="37"/>
  <c r="BC144" i="37"/>
  <c r="BA144" i="37"/>
  <c r="AY144" i="37"/>
  <c r="AW144" i="37"/>
  <c r="AU144" i="37"/>
  <c r="AS144" i="37"/>
  <c r="AQ144" i="37"/>
  <c r="AO144" i="37"/>
  <c r="AM144" i="37"/>
  <c r="AK144" i="37"/>
  <c r="AI144" i="37"/>
  <c r="AG144" i="37"/>
  <c r="AE144" i="37"/>
  <c r="AC144" i="37"/>
  <c r="AA144" i="37"/>
  <c r="Y144" i="37"/>
  <c r="W144" i="37"/>
  <c r="U144" i="37"/>
  <c r="S144" i="37"/>
  <c r="Q144" i="37"/>
  <c r="O144" i="37"/>
  <c r="M144" i="37"/>
  <c r="K144" i="37"/>
  <c r="I144" i="37"/>
  <c r="G144" i="37"/>
  <c r="BN144" i="37"/>
  <c r="D226" i="37"/>
  <c r="E226" i="37"/>
  <c r="BM145" i="37"/>
  <c r="BK145" i="37"/>
  <c r="BI145" i="37"/>
  <c r="BG145" i="37"/>
  <c r="BE145" i="37"/>
  <c r="BC145" i="37"/>
  <c r="BA145" i="37"/>
  <c r="AY145" i="37"/>
  <c r="AW145" i="37"/>
  <c r="AU145" i="37"/>
  <c r="AS145" i="37"/>
  <c r="AQ145" i="37"/>
  <c r="AO145" i="37"/>
  <c r="AM145" i="37"/>
  <c r="AK145" i="37"/>
  <c r="AI145" i="37"/>
  <c r="AG145" i="37"/>
  <c r="AE145" i="37"/>
  <c r="AC145" i="37"/>
  <c r="AA145" i="37"/>
  <c r="Y145" i="37"/>
  <c r="W145" i="37"/>
  <c r="U145" i="37"/>
  <c r="S145" i="37"/>
  <c r="Q145" i="37"/>
  <c r="O145" i="37"/>
  <c r="M145" i="37"/>
  <c r="K145" i="37"/>
  <c r="I145" i="37"/>
  <c r="G145" i="37"/>
  <c r="BN145" i="37"/>
  <c r="BL145" i="37"/>
  <c r="BJ145" i="37"/>
  <c r="BH145" i="37"/>
  <c r="BF145" i="37"/>
  <c r="BD145" i="37"/>
  <c r="BB145" i="37"/>
  <c r="AZ145" i="37"/>
  <c r="AX145" i="37"/>
  <c r="AV145" i="37"/>
  <c r="AT145" i="37"/>
  <c r="AR145" i="37"/>
  <c r="AP145" i="37"/>
  <c r="AN145" i="37"/>
  <c r="AL145" i="37"/>
  <c r="AJ145" i="37"/>
  <c r="AH145" i="37"/>
  <c r="AF145" i="37"/>
  <c r="AD145" i="37"/>
  <c r="AB145" i="37"/>
  <c r="Z145" i="37"/>
  <c r="X145" i="37"/>
  <c r="V145" i="37"/>
  <c r="T145" i="37"/>
  <c r="R145" i="37"/>
  <c r="P145" i="37"/>
  <c r="N145" i="37"/>
  <c r="L145" i="37"/>
  <c r="J145" i="37"/>
  <c r="H145" i="37"/>
  <c r="P6" i="37"/>
  <c r="Q5" i="37"/>
  <c r="P213" i="37"/>
  <c r="P212" i="37"/>
  <c r="P209" i="37"/>
  <c r="P211" i="37"/>
  <c r="P208" i="37"/>
  <c r="P7" i="37"/>
  <c r="K8" i="37"/>
  <c r="J65" i="37"/>
  <c r="J71" i="37"/>
  <c r="J68" i="37"/>
  <c r="J74" i="37"/>
  <c r="J66" i="37"/>
  <c r="J72" i="37"/>
  <c r="J67" i="37"/>
  <c r="J73" i="37"/>
  <c r="B160" i="37"/>
  <c r="D160" i="37"/>
  <c r="D159" i="37"/>
  <c r="BK58" i="37"/>
  <c r="BJ58" i="37"/>
  <c r="BF58" i="37"/>
  <c r="BN58" i="37"/>
  <c r="BM58" i="37"/>
  <c r="BL58" i="37"/>
  <c r="B59" i="37"/>
  <c r="BI58" i="37"/>
  <c r="BH58" i="37"/>
  <c r="BB58" i="37"/>
  <c r="AY58" i="37"/>
  <c r="AU58" i="37"/>
  <c r="BG58" i="37"/>
  <c r="BE58" i="37"/>
  <c r="BC58" i="37"/>
  <c r="BD58" i="37"/>
  <c r="BA58" i="37"/>
  <c r="AW58" i="37"/>
  <c r="AX58" i="37"/>
  <c r="AV58" i="37"/>
  <c r="AQ58" i="37"/>
  <c r="AM58" i="37"/>
  <c r="AZ58" i="37"/>
  <c r="AR58" i="37"/>
  <c r="AN58" i="37"/>
  <c r="AL58" i="37"/>
  <c r="AH58" i="37"/>
  <c r="AD58" i="37"/>
  <c r="AS58" i="37"/>
  <c r="AO58" i="37"/>
  <c r="AI58" i="37"/>
  <c r="AE58" i="37"/>
  <c r="AJ58" i="37"/>
  <c r="AF58" i="37"/>
  <c r="AT58" i="37"/>
  <c r="AP58" i="37"/>
  <c r="AK58" i="37"/>
  <c r="AG58" i="37"/>
  <c r="AC58" i="37"/>
  <c r="Y58" i="37"/>
  <c r="Z58" i="37"/>
  <c r="AA58" i="37"/>
  <c r="T58" i="37"/>
  <c r="S58" i="37"/>
  <c r="R58" i="37"/>
  <c r="Q58" i="37"/>
  <c r="P58" i="37"/>
  <c r="O58" i="37"/>
  <c r="N58" i="37"/>
  <c r="U58" i="37"/>
  <c r="M58" i="37"/>
  <c r="AB58" i="37"/>
  <c r="V58" i="37"/>
  <c r="W58" i="37"/>
  <c r="K58" i="37"/>
  <c r="J58" i="37"/>
  <c r="I58" i="37"/>
  <c r="H58" i="37"/>
  <c r="H99" i="37"/>
  <c r="H131" i="37"/>
  <c r="X58" i="37"/>
  <c r="L58" i="37"/>
  <c r="G58" i="37"/>
  <c r="G99" i="37"/>
  <c r="G131" i="37"/>
  <c r="BN46" i="37"/>
  <c r="BJ46" i="37"/>
  <c r="BL46" i="37"/>
  <c r="BH46" i="37"/>
  <c r="BE46" i="37"/>
  <c r="BK46" i="37"/>
  <c r="BD46" i="37"/>
  <c r="B47" i="37"/>
  <c r="BC46" i="37"/>
  <c r="BA46" i="37"/>
  <c r="BM46" i="37"/>
  <c r="AY46" i="37"/>
  <c r="AU46" i="37"/>
  <c r="BG46" i="37"/>
  <c r="AZ46" i="37"/>
  <c r="AV46" i="37"/>
  <c r="BI46" i="37"/>
  <c r="BB46" i="37"/>
  <c r="AP46" i="37"/>
  <c r="AL46" i="37"/>
  <c r="AX46" i="37"/>
  <c r="AT46" i="37"/>
  <c r="AQ46" i="37"/>
  <c r="AM46" i="37"/>
  <c r="AR46" i="37"/>
  <c r="AN46" i="37"/>
  <c r="BF46" i="37"/>
  <c r="AS46" i="37"/>
  <c r="AO46" i="37"/>
  <c r="AH46" i="37"/>
  <c r="AD46" i="37"/>
  <c r="AW46" i="37"/>
  <c r="AI46" i="37"/>
  <c r="AE46" i="37"/>
  <c r="X46" i="37"/>
  <c r="AF46" i="37"/>
  <c r="AB46" i="37"/>
  <c r="Y46" i="37"/>
  <c r="Z46" i="37"/>
  <c r="AK46" i="37"/>
  <c r="AC46" i="37"/>
  <c r="S46" i="37"/>
  <c r="R46" i="37"/>
  <c r="Q46" i="37"/>
  <c r="P46" i="37"/>
  <c r="O46" i="37"/>
  <c r="N46" i="37"/>
  <c r="M46" i="37"/>
  <c r="AA46" i="37"/>
  <c r="T46" i="37"/>
  <c r="AG46" i="37"/>
  <c r="U46" i="37"/>
  <c r="V46" i="37"/>
  <c r="J46" i="37"/>
  <c r="L46" i="37"/>
  <c r="I46" i="37"/>
  <c r="I87" i="37"/>
  <c r="I119" i="37"/>
  <c r="I188" i="37"/>
  <c r="I225" i="37"/>
  <c r="H46" i="37"/>
  <c r="H87" i="37"/>
  <c r="H119" i="37"/>
  <c r="H188" i="37"/>
  <c r="H225" i="37"/>
  <c r="G46" i="37"/>
  <c r="G87" i="37"/>
  <c r="G119" i="37"/>
  <c r="G188" i="37"/>
  <c r="G225" i="37"/>
  <c r="AJ46" i="37"/>
  <c r="W46" i="37"/>
  <c r="K46" i="37"/>
  <c r="B41" i="37"/>
  <c r="BN40" i="37"/>
  <c r="BK40" i="37"/>
  <c r="BJ40" i="37"/>
  <c r="BE40" i="37"/>
  <c r="BH40" i="37"/>
  <c r="BI40" i="37"/>
  <c r="BD40" i="37"/>
  <c r="BF40" i="37"/>
  <c r="BC40" i="37"/>
  <c r="BA40" i="37"/>
  <c r="BM40" i="37"/>
  <c r="BG40" i="37"/>
  <c r="AY40" i="37"/>
  <c r="AU40" i="37"/>
  <c r="AZ40" i="37"/>
  <c r="AV40" i="37"/>
  <c r="BL40" i="37"/>
  <c r="BB40" i="37"/>
  <c r="AP40" i="37"/>
  <c r="AL40" i="37"/>
  <c r="AW40" i="37"/>
  <c r="AQ40" i="37"/>
  <c r="AM40" i="37"/>
  <c r="AR40" i="37"/>
  <c r="AN40" i="37"/>
  <c r="AX40" i="37"/>
  <c r="AT40" i="37"/>
  <c r="AS40" i="37"/>
  <c r="AO40" i="37"/>
  <c r="AH40" i="37"/>
  <c r="AD40" i="37"/>
  <c r="AI40" i="37"/>
  <c r="AE40" i="37"/>
  <c r="AK40" i="37"/>
  <c r="X40" i="37"/>
  <c r="Y40" i="37"/>
  <c r="AG40" i="37"/>
  <c r="Z40" i="37"/>
  <c r="S40" i="37"/>
  <c r="R40" i="37"/>
  <c r="Q40" i="37"/>
  <c r="P40" i="37"/>
  <c r="O40" i="37"/>
  <c r="N40" i="37"/>
  <c r="M40" i="37"/>
  <c r="AJ40" i="37"/>
  <c r="AB40" i="37"/>
  <c r="AA40" i="37"/>
  <c r="T40" i="37"/>
  <c r="L40" i="37"/>
  <c r="U40" i="37"/>
  <c r="AF40" i="37"/>
  <c r="V40" i="37"/>
  <c r="J40" i="37"/>
  <c r="I40" i="37"/>
  <c r="H40" i="37"/>
  <c r="H81" i="37"/>
  <c r="H113" i="37"/>
  <c r="G40" i="37"/>
  <c r="G81" i="37"/>
  <c r="W40" i="37"/>
  <c r="AC40" i="37"/>
  <c r="K40" i="37"/>
  <c r="B61" i="36"/>
  <c r="BM161" i="37"/>
  <c r="BK161" i="37"/>
  <c r="BI161" i="37"/>
  <c r="BG161" i="37"/>
  <c r="BE161" i="37"/>
  <c r="BC161" i="37"/>
  <c r="BA161" i="37"/>
  <c r="AY161" i="37"/>
  <c r="AW161" i="37"/>
  <c r="AU161" i="37"/>
  <c r="AS161" i="37"/>
  <c r="AQ161" i="37"/>
  <c r="AO161" i="37"/>
  <c r="AM161" i="37"/>
  <c r="AK161" i="37"/>
  <c r="AI161" i="37"/>
  <c r="AG161" i="37"/>
  <c r="AE161" i="37"/>
  <c r="AC161" i="37"/>
  <c r="AA161" i="37"/>
  <c r="Y161" i="37"/>
  <c r="W161" i="37"/>
  <c r="U161" i="37"/>
  <c r="S161" i="37"/>
  <c r="Q161" i="37"/>
  <c r="O161" i="37"/>
  <c r="M161" i="37"/>
  <c r="K161" i="37"/>
  <c r="I161" i="37"/>
  <c r="G161" i="37"/>
  <c r="BL161" i="37"/>
  <c r="BH161" i="37"/>
  <c r="BD161" i="37"/>
  <c r="AZ161" i="37"/>
  <c r="AV161" i="37"/>
  <c r="AR161" i="37"/>
  <c r="AN161" i="37"/>
  <c r="AJ161" i="37"/>
  <c r="AF161" i="37"/>
  <c r="AB161" i="37"/>
  <c r="X161" i="37"/>
  <c r="T161" i="37"/>
  <c r="P161" i="37"/>
  <c r="L161" i="37"/>
  <c r="H161" i="37"/>
  <c r="BN161" i="37"/>
  <c r="BF161" i="37"/>
  <c r="AX161" i="37"/>
  <c r="AP161" i="37"/>
  <c r="AH161" i="37"/>
  <c r="Z161" i="37"/>
  <c r="R161" i="37"/>
  <c r="J161" i="37"/>
  <c r="AT161" i="37"/>
  <c r="V161" i="37"/>
  <c r="BJ161" i="37"/>
  <c r="AL161" i="37"/>
  <c r="N161" i="37"/>
  <c r="BB161" i="37"/>
  <c r="AD161" i="37"/>
  <c r="M210" i="37"/>
  <c r="P210" i="37"/>
  <c r="H210" i="37"/>
  <c r="N210" i="37"/>
  <c r="I210" i="37"/>
  <c r="K210" i="37"/>
  <c r="Q210" i="37"/>
  <c r="G210" i="37"/>
  <c r="O210" i="37"/>
  <c r="L210" i="37"/>
  <c r="J210" i="37"/>
  <c r="BN44" i="37"/>
  <c r="BM44" i="37"/>
  <c r="BK44" i="37"/>
  <c r="BJ44" i="37"/>
  <c r="BL44" i="37"/>
  <c r="BI44" i="37"/>
  <c r="BE44" i="37"/>
  <c r="BD44" i="37"/>
  <c r="BG44" i="37"/>
  <c r="BC44" i="37"/>
  <c r="BA44" i="37"/>
  <c r="AY44" i="37"/>
  <c r="AU44" i="37"/>
  <c r="BF44" i="37"/>
  <c r="AZ44" i="37"/>
  <c r="AV44" i="37"/>
  <c r="BH44" i="37"/>
  <c r="AP44" i="37"/>
  <c r="AL44" i="37"/>
  <c r="AX44" i="37"/>
  <c r="AT44" i="37"/>
  <c r="AQ44" i="37"/>
  <c r="AM44" i="37"/>
  <c r="AW44" i="37"/>
  <c r="AR44" i="37"/>
  <c r="AN44" i="37"/>
  <c r="AS44" i="37"/>
  <c r="AO44" i="37"/>
  <c r="BB44" i="37"/>
  <c r="AH44" i="37"/>
  <c r="AD44" i="37"/>
  <c r="AI44" i="37"/>
  <c r="AE44" i="37"/>
  <c r="AJ44" i="37"/>
  <c r="X44" i="37"/>
  <c r="Y44" i="37"/>
  <c r="AF44" i="37"/>
  <c r="Z44" i="37"/>
  <c r="AC44" i="37"/>
  <c r="S44" i="37"/>
  <c r="R44" i="37"/>
  <c r="Q44" i="37"/>
  <c r="P44" i="37"/>
  <c r="O44" i="37"/>
  <c r="N44" i="37"/>
  <c r="M44" i="37"/>
  <c r="AA44" i="37"/>
  <c r="T44" i="37"/>
  <c r="L44" i="37"/>
  <c r="AK44" i="37"/>
  <c r="U44" i="37"/>
  <c r="V44" i="37"/>
  <c r="J44" i="37"/>
  <c r="W44" i="37"/>
  <c r="I44" i="37"/>
  <c r="H44" i="37"/>
  <c r="H85" i="37"/>
  <c r="G44" i="37"/>
  <c r="G85" i="37"/>
  <c r="AB44" i="37"/>
  <c r="AG44" i="37"/>
  <c r="K44" i="37"/>
  <c r="BN158" i="37"/>
  <c r="BK158" i="37"/>
  <c r="BG158" i="37"/>
  <c r="BC158" i="37"/>
  <c r="AY158" i="37"/>
  <c r="AU158" i="37"/>
  <c r="AQ158" i="37"/>
  <c r="AM158" i="37"/>
  <c r="AI158" i="37"/>
  <c r="AE158" i="37"/>
  <c r="AA158" i="37"/>
  <c r="W158" i="37"/>
  <c r="S158" i="37"/>
  <c r="O158" i="37"/>
  <c r="K158" i="37"/>
  <c r="G158" i="37"/>
  <c r="BJ158" i="37"/>
  <c r="BF158" i="37"/>
  <c r="BB158" i="37"/>
  <c r="AX158" i="37"/>
  <c r="AT158" i="37"/>
  <c r="AP158" i="37"/>
  <c r="AL158" i="37"/>
  <c r="AH158" i="37"/>
  <c r="AD158" i="37"/>
  <c r="Z158" i="37"/>
  <c r="V158" i="37"/>
  <c r="R158" i="37"/>
  <c r="N158" i="37"/>
  <c r="J158" i="37"/>
  <c r="BM158" i="37"/>
  <c r="BI158" i="37"/>
  <c r="BE158" i="37"/>
  <c r="BA158" i="37"/>
  <c r="AW158" i="37"/>
  <c r="AS158" i="37"/>
  <c r="AO158" i="37"/>
  <c r="AK158" i="37"/>
  <c r="AG158" i="37"/>
  <c r="AC158" i="37"/>
  <c r="Y158" i="37"/>
  <c r="U158" i="37"/>
  <c r="Q158" i="37"/>
  <c r="M158" i="37"/>
  <c r="I158" i="37"/>
  <c r="BL158" i="37"/>
  <c r="BD158" i="37"/>
  <c r="AV158" i="37"/>
  <c r="AN158" i="37"/>
  <c r="AF158" i="37"/>
  <c r="X158" i="37"/>
  <c r="P158" i="37"/>
  <c r="H158" i="37"/>
  <c r="BH158" i="37"/>
  <c r="AZ158" i="37"/>
  <c r="AR158" i="37"/>
  <c r="AJ158" i="37"/>
  <c r="AB158" i="37"/>
  <c r="T158" i="37"/>
  <c r="L158" i="37"/>
  <c r="BL42" i="37"/>
  <c r="BK42" i="37"/>
  <c r="C45" i="37"/>
  <c r="BJ42" i="37"/>
  <c r="BI42" i="37"/>
  <c r="BG42" i="37"/>
  <c r="BE42" i="37"/>
  <c r="BN42" i="37"/>
  <c r="BD42" i="37"/>
  <c r="BM42" i="37"/>
  <c r="BC42" i="37"/>
  <c r="BB42" i="37"/>
  <c r="AX42" i="37"/>
  <c r="AT42" i="37"/>
  <c r="BA42" i="37"/>
  <c r="AY42" i="37"/>
  <c r="AU42" i="37"/>
  <c r="BF42" i="37"/>
  <c r="AZ42" i="37"/>
  <c r="AS42" i="37"/>
  <c r="AO42" i="37"/>
  <c r="BH42" i="37"/>
  <c r="AW42" i="37"/>
  <c r="AP42" i="37"/>
  <c r="AL42" i="37"/>
  <c r="AQ42" i="37"/>
  <c r="AM42" i="37"/>
  <c r="AR42" i="37"/>
  <c r="AN42" i="37"/>
  <c r="AK42" i="37"/>
  <c r="AG42" i="37"/>
  <c r="AC42" i="37"/>
  <c r="AV42" i="37"/>
  <c r="AH42" i="37"/>
  <c r="AD42" i="37"/>
  <c r="AI42" i="37"/>
  <c r="V42" i="37"/>
  <c r="W42" i="37"/>
  <c r="AE42" i="37"/>
  <c r="X42" i="37"/>
  <c r="Y42" i="37"/>
  <c r="Z42" i="37"/>
  <c r="AJ42" i="37"/>
  <c r="AB42" i="37"/>
  <c r="AA42" i="37"/>
  <c r="T42" i="37"/>
  <c r="L42" i="37"/>
  <c r="P42" i="37"/>
  <c r="M42" i="37"/>
  <c r="K42" i="37"/>
  <c r="S42" i="37"/>
  <c r="O42" i="37"/>
  <c r="J42" i="37"/>
  <c r="I42" i="37"/>
  <c r="R42" i="37"/>
  <c r="N42" i="37"/>
  <c r="H42" i="37"/>
  <c r="H83" i="37"/>
  <c r="H115" i="37"/>
  <c r="H184" i="37"/>
  <c r="H221" i="37"/>
  <c r="AF42" i="37"/>
  <c r="Q42" i="37"/>
  <c r="U42" i="37"/>
  <c r="G42" i="37"/>
  <c r="G83" i="37"/>
  <c r="G115" i="37"/>
  <c r="G184" i="37"/>
  <c r="G221" i="37"/>
  <c r="B61" i="37"/>
  <c r="B163" i="37"/>
  <c r="D163" i="37"/>
  <c r="D162" i="37"/>
  <c r="B203" i="37"/>
  <c r="D202" i="37"/>
  <c r="G90" i="37"/>
  <c r="G122" i="37"/>
  <c r="G191" i="37"/>
  <c r="G228" i="37"/>
  <c r="E235" i="37"/>
  <c r="D235" i="37"/>
  <c r="BH151" i="37"/>
  <c r="AZ151" i="37"/>
  <c r="AR151" i="37"/>
  <c r="AJ151" i="37"/>
  <c r="AB151" i="37"/>
  <c r="T151" i="37"/>
  <c r="L151" i="37"/>
  <c r="BG151" i="37"/>
  <c r="AU151" i="37"/>
  <c r="AM151" i="37"/>
  <c r="BF151" i="37"/>
  <c r="AX151" i="37"/>
  <c r="AP151" i="37"/>
  <c r="AH151" i="37"/>
  <c r="BC151" i="37"/>
  <c r="BA151" i="37"/>
  <c r="AV151" i="37"/>
  <c r="AQ151" i="37"/>
  <c r="AL151" i="37"/>
  <c r="AG151" i="37"/>
  <c r="Y151" i="37"/>
  <c r="W151" i="37"/>
  <c r="N151" i="37"/>
  <c r="I151" i="37"/>
  <c r="BJ151" i="37"/>
  <c r="AS151" i="37"/>
  <c r="AN151" i="37"/>
  <c r="AI151" i="37"/>
  <c r="U151" i="37"/>
  <c r="BD151" i="37"/>
  <c r="AK151" i="37"/>
  <c r="AF151" i="37"/>
  <c r="AD151" i="37"/>
  <c r="S151" i="37"/>
  <c r="G151" i="37"/>
  <c r="BK151" i="37"/>
  <c r="Z151" i="37"/>
  <c r="Q151" i="37"/>
  <c r="O151" i="37"/>
  <c r="BE151" i="37"/>
  <c r="X151" i="37"/>
  <c r="AY151" i="37"/>
  <c r="P151" i="37"/>
  <c r="AW151" i="37"/>
  <c r="AC151" i="37"/>
  <c r="K151" i="37"/>
  <c r="H151" i="37"/>
  <c r="BB151" i="37"/>
  <c r="AO151" i="37"/>
  <c r="R151" i="37"/>
  <c r="BN151" i="37"/>
  <c r="BM151" i="37"/>
  <c r="V151" i="37"/>
  <c r="M151" i="37"/>
  <c r="J151" i="37"/>
  <c r="BL151" i="37"/>
  <c r="BI151" i="37"/>
  <c r="AT151" i="37"/>
  <c r="AA151" i="37"/>
  <c r="AE151" i="37"/>
  <c r="BN155" i="37"/>
  <c r="BR6" i="37"/>
  <c r="BS5" i="37"/>
  <c r="BR7" i="37"/>
  <c r="C61" i="36"/>
  <c r="B62" i="36"/>
  <c r="BN59" i="37"/>
  <c r="BL59" i="37"/>
  <c r="BK59" i="37"/>
  <c r="BG59" i="37"/>
  <c r="BJ59" i="37"/>
  <c r="BF59" i="37"/>
  <c r="BE59" i="37"/>
  <c r="BM59" i="37"/>
  <c r="BH59" i="37"/>
  <c r="AX59" i="37"/>
  <c r="BI59" i="37"/>
  <c r="BB59" i="37"/>
  <c r="BC59" i="37"/>
  <c r="AZ59" i="37"/>
  <c r="AV59" i="37"/>
  <c r="BD59" i="37"/>
  <c r="BA59" i="37"/>
  <c r="AW59" i="37"/>
  <c r="AY59" i="37"/>
  <c r="AU59" i="37"/>
  <c r="AT59" i="37"/>
  <c r="AP59" i="37"/>
  <c r="AQ59" i="37"/>
  <c r="AM59" i="37"/>
  <c r="AK59" i="37"/>
  <c r="AG59" i="37"/>
  <c r="AC59" i="37"/>
  <c r="AL59" i="37"/>
  <c r="AH59" i="37"/>
  <c r="AD59" i="37"/>
  <c r="AS59" i="37"/>
  <c r="AO59" i="37"/>
  <c r="AI59" i="37"/>
  <c r="AJ59" i="37"/>
  <c r="AF59" i="37"/>
  <c r="AN59" i="37"/>
  <c r="W59" i="37"/>
  <c r="X59" i="37"/>
  <c r="AE59" i="37"/>
  <c r="Y59" i="37"/>
  <c r="Z59" i="37"/>
  <c r="AA59" i="37"/>
  <c r="AR59" i="37"/>
  <c r="U59" i="37"/>
  <c r="M59" i="37"/>
  <c r="T59" i="37"/>
  <c r="P59" i="37"/>
  <c r="L59" i="37"/>
  <c r="S59" i="37"/>
  <c r="O59" i="37"/>
  <c r="K59" i="37"/>
  <c r="J59" i="37"/>
  <c r="AB59" i="37"/>
  <c r="R59" i="37"/>
  <c r="N59" i="37"/>
  <c r="I59" i="37"/>
  <c r="I100" i="37"/>
  <c r="G59" i="37"/>
  <c r="G100" i="37"/>
  <c r="V59" i="37"/>
  <c r="H59" i="37"/>
  <c r="H100" i="37"/>
  <c r="Q59" i="37"/>
  <c r="B62" i="37"/>
  <c r="BM61" i="37"/>
  <c r="BI61" i="37"/>
  <c r="BH61" i="37"/>
  <c r="BL61" i="37"/>
  <c r="BF61" i="37"/>
  <c r="BE61" i="37"/>
  <c r="BN61" i="37"/>
  <c r="BK61" i="37"/>
  <c r="BC61" i="37"/>
  <c r="AZ61" i="37"/>
  <c r="AV61" i="37"/>
  <c r="BG61" i="37"/>
  <c r="BJ61" i="37"/>
  <c r="AX61" i="37"/>
  <c r="BB61" i="37"/>
  <c r="AY61" i="37"/>
  <c r="AU61" i="37"/>
  <c r="BD61" i="37"/>
  <c r="AW61" i="37"/>
  <c r="AR61" i="37"/>
  <c r="AN61" i="37"/>
  <c r="BA61" i="37"/>
  <c r="AS61" i="37"/>
  <c r="AO61" i="37"/>
  <c r="AI61" i="37"/>
  <c r="AE61" i="37"/>
  <c r="AJ61" i="37"/>
  <c r="AF61" i="37"/>
  <c r="AQ61" i="37"/>
  <c r="AK61" i="37"/>
  <c r="AG61" i="37"/>
  <c r="AL61" i="37"/>
  <c r="AH61" i="37"/>
  <c r="AD61" i="37"/>
  <c r="AM61" i="37"/>
  <c r="AA61" i="37"/>
  <c r="T61" i="37"/>
  <c r="S61" i="37"/>
  <c r="R61" i="37"/>
  <c r="Q61" i="37"/>
  <c r="P61" i="37"/>
  <c r="O61" i="37"/>
  <c r="N61" i="37"/>
  <c r="U61" i="37"/>
  <c r="M61" i="37"/>
  <c r="AB61" i="37"/>
  <c r="V61" i="37"/>
  <c r="W61" i="37"/>
  <c r="AT61" i="37"/>
  <c r="X61" i="37"/>
  <c r="AC61" i="37"/>
  <c r="Y61" i="37"/>
  <c r="I61" i="37"/>
  <c r="I102" i="37"/>
  <c r="I134" i="37"/>
  <c r="H61" i="37"/>
  <c r="H102" i="37"/>
  <c r="H134" i="37"/>
  <c r="AP61" i="37"/>
  <c r="G61" i="37"/>
  <c r="G102" i="37"/>
  <c r="G134" i="37"/>
  <c r="Z61" i="37"/>
  <c r="L61" i="37"/>
  <c r="J61" i="37"/>
  <c r="K61" i="37"/>
  <c r="BL47" i="37"/>
  <c r="BK47" i="37"/>
  <c r="BM47" i="37"/>
  <c r="BJ47" i="37"/>
  <c r="BN47" i="37"/>
  <c r="BE47" i="37"/>
  <c r="BD47" i="37"/>
  <c r="BI47" i="37"/>
  <c r="BG47" i="37"/>
  <c r="BH47" i="37"/>
  <c r="BB47" i="37"/>
  <c r="AX47" i="37"/>
  <c r="AT47" i="37"/>
  <c r="BC47" i="37"/>
  <c r="BF47" i="37"/>
  <c r="BA47" i="37"/>
  <c r="AY47" i="37"/>
  <c r="AU47" i="37"/>
  <c r="AZ47" i="37"/>
  <c r="AS47" i="37"/>
  <c r="AO47" i="37"/>
  <c r="AV47" i="37"/>
  <c r="AP47" i="37"/>
  <c r="AL47" i="37"/>
  <c r="AQ47" i="37"/>
  <c r="AM47" i="37"/>
  <c r="AR47" i="37"/>
  <c r="AN47" i="37"/>
  <c r="AK47" i="37"/>
  <c r="AG47" i="37"/>
  <c r="AC47" i="37"/>
  <c r="AH47" i="37"/>
  <c r="AD47" i="37"/>
  <c r="AB47" i="37"/>
  <c r="V47" i="37"/>
  <c r="AJ47" i="37"/>
  <c r="W47" i="37"/>
  <c r="X47" i="37"/>
  <c r="AW47" i="37"/>
  <c r="AF47" i="37"/>
  <c r="Y47" i="37"/>
  <c r="Z47" i="37"/>
  <c r="AI47" i="37"/>
  <c r="AA47" i="37"/>
  <c r="T47" i="37"/>
  <c r="L47" i="37"/>
  <c r="R47" i="37"/>
  <c r="N47" i="37"/>
  <c r="K47" i="37"/>
  <c r="J47" i="37"/>
  <c r="U47" i="37"/>
  <c r="Q47" i="37"/>
  <c r="I47" i="37"/>
  <c r="I88" i="37"/>
  <c r="AE47" i="37"/>
  <c r="H47" i="37"/>
  <c r="H88" i="37"/>
  <c r="P47" i="37"/>
  <c r="M47" i="37"/>
  <c r="G47" i="37"/>
  <c r="G88" i="37"/>
  <c r="O47" i="37"/>
  <c r="S47" i="37"/>
  <c r="BL162" i="37"/>
  <c r="BJ162" i="37"/>
  <c r="BH162" i="37"/>
  <c r="BF162" i="37"/>
  <c r="BD162" i="37"/>
  <c r="BB162" i="37"/>
  <c r="AZ162" i="37"/>
  <c r="AX162" i="37"/>
  <c r="AV162" i="37"/>
  <c r="AT162" i="37"/>
  <c r="AR162" i="37"/>
  <c r="AP162" i="37"/>
  <c r="AN162" i="37"/>
  <c r="AL162" i="37"/>
  <c r="AJ162" i="37"/>
  <c r="AH162" i="37"/>
  <c r="AF162" i="37"/>
  <c r="AD162" i="37"/>
  <c r="AB162" i="37"/>
  <c r="Z162" i="37"/>
  <c r="X162" i="37"/>
  <c r="V162" i="37"/>
  <c r="T162" i="37"/>
  <c r="R162" i="37"/>
  <c r="P162" i="37"/>
  <c r="N162" i="37"/>
  <c r="L162" i="37"/>
  <c r="J162" i="37"/>
  <c r="H162" i="37"/>
  <c r="BK162" i="37"/>
  <c r="BG162" i="37"/>
  <c r="BC162" i="37"/>
  <c r="AY162" i="37"/>
  <c r="AU162" i="37"/>
  <c r="AQ162" i="37"/>
  <c r="AM162" i="37"/>
  <c r="AI162" i="37"/>
  <c r="AE162" i="37"/>
  <c r="AA162" i="37"/>
  <c r="W162" i="37"/>
  <c r="S162" i="37"/>
  <c r="O162" i="37"/>
  <c r="K162" i="37"/>
  <c r="G162" i="37"/>
  <c r="BN162" i="37"/>
  <c r="BM162" i="37"/>
  <c r="BI162" i="37"/>
  <c r="BE162" i="37"/>
  <c r="BA162" i="37"/>
  <c r="AW162" i="37"/>
  <c r="AS162" i="37"/>
  <c r="AO162" i="37"/>
  <c r="AK162" i="37"/>
  <c r="AG162" i="37"/>
  <c r="AC162" i="37"/>
  <c r="Y162" i="37"/>
  <c r="U162" i="37"/>
  <c r="Q162" i="37"/>
  <c r="M162" i="37"/>
  <c r="I162" i="37"/>
  <c r="I83" i="37"/>
  <c r="I115" i="37"/>
  <c r="I184" i="37"/>
  <c r="I221" i="37"/>
  <c r="I81" i="37"/>
  <c r="I113" i="37"/>
  <c r="I182" i="37"/>
  <c r="I219" i="37"/>
  <c r="C48" i="37"/>
  <c r="BC45" i="37"/>
  <c r="BA45" i="37"/>
  <c r="BB45" i="37"/>
  <c r="BI45" i="37"/>
  <c r="BF45" i="37"/>
  <c r="BD45" i="37"/>
  <c r="BL45" i="37"/>
  <c r="BE45" i="37"/>
  <c r="BH45" i="37"/>
  <c r="AZ45" i="37"/>
  <c r="AV45" i="37"/>
  <c r="AW45" i="37"/>
  <c r="AQ45" i="37"/>
  <c r="AM45" i="37"/>
  <c r="AX45" i="37"/>
  <c r="AT45" i="37"/>
  <c r="AR45" i="37"/>
  <c r="AN45" i="37"/>
  <c r="AS45" i="37"/>
  <c r="AO45" i="37"/>
  <c r="AP45" i="37"/>
  <c r="AI45" i="37"/>
  <c r="AE45" i="37"/>
  <c r="AL45" i="37"/>
  <c r="AJ45" i="37"/>
  <c r="AF45" i="37"/>
  <c r="AY45" i="37"/>
  <c r="Z45" i="37"/>
  <c r="AD45" i="37"/>
  <c r="S45" i="37"/>
  <c r="R45" i="37"/>
  <c r="Q45" i="37"/>
  <c r="P45" i="37"/>
  <c r="O45" i="37"/>
  <c r="N45" i="37"/>
  <c r="AK45" i="37"/>
  <c r="AH45" i="37"/>
  <c r="AC45" i="37"/>
  <c r="AA45" i="37"/>
  <c r="T45" i="37"/>
  <c r="U45" i="37"/>
  <c r="AG45" i="37"/>
  <c r="V45" i="37"/>
  <c r="AU45" i="37"/>
  <c r="W45" i="37"/>
  <c r="X45" i="37"/>
  <c r="AB45" i="37"/>
  <c r="L45" i="37"/>
  <c r="H45" i="37"/>
  <c r="H86" i="37"/>
  <c r="H118" i="37"/>
  <c r="H187" i="37"/>
  <c r="H224" i="37"/>
  <c r="G45" i="37"/>
  <c r="G86" i="37"/>
  <c r="G118" i="37"/>
  <c r="G187" i="37"/>
  <c r="G224" i="37"/>
  <c r="M45" i="37"/>
  <c r="Y45" i="37"/>
  <c r="K45" i="37"/>
  <c r="J45" i="37"/>
  <c r="I45" i="37"/>
  <c r="I86" i="37"/>
  <c r="I118" i="37"/>
  <c r="I187" i="37"/>
  <c r="I224" i="37"/>
  <c r="BJ45" i="37"/>
  <c r="BM45" i="37"/>
  <c r="BK45" i="37"/>
  <c r="BG45" i="37"/>
  <c r="BN45" i="37"/>
  <c r="H90" i="37"/>
  <c r="H122" i="37"/>
  <c r="H191" i="37"/>
  <c r="H228" i="37"/>
  <c r="H91" i="37"/>
  <c r="H84" i="37"/>
  <c r="H116" i="37"/>
  <c r="H185" i="37"/>
  <c r="H222" i="37"/>
  <c r="H80" i="37"/>
  <c r="K65" i="37"/>
  <c r="K71" i="37"/>
  <c r="L8" i="37"/>
  <c r="K68" i="37"/>
  <c r="K74" i="37"/>
  <c r="K66" i="37"/>
  <c r="K72" i="37"/>
  <c r="K67" i="37"/>
  <c r="K73" i="37"/>
  <c r="BM164" i="37"/>
  <c r="BK164" i="37"/>
  <c r="BI164" i="37"/>
  <c r="BG164" i="37"/>
  <c r="BE164" i="37"/>
  <c r="BC164" i="37"/>
  <c r="BA164" i="37"/>
  <c r="AY164" i="37"/>
  <c r="AW164" i="37"/>
  <c r="AU164" i="37"/>
  <c r="AS164" i="37"/>
  <c r="AQ164" i="37"/>
  <c r="AO164" i="37"/>
  <c r="AM164" i="37"/>
  <c r="AK164" i="37"/>
  <c r="AI164" i="37"/>
  <c r="AG164" i="37"/>
  <c r="AE164" i="37"/>
  <c r="AC164" i="37"/>
  <c r="AA164" i="37"/>
  <c r="Y164" i="37"/>
  <c r="W164" i="37"/>
  <c r="U164" i="37"/>
  <c r="S164" i="37"/>
  <c r="Q164" i="37"/>
  <c r="O164" i="37"/>
  <c r="M164" i="37"/>
  <c r="K164" i="37"/>
  <c r="I164" i="37"/>
  <c r="G164" i="37"/>
  <c r="BN164" i="37"/>
  <c r="BH164" i="37"/>
  <c r="AR164" i="37"/>
  <c r="BB164" i="37"/>
  <c r="BL164" i="37"/>
  <c r="AV164" i="37"/>
  <c r="AL164" i="37"/>
  <c r="AH164" i="37"/>
  <c r="AD164" i="37"/>
  <c r="Z164" i="37"/>
  <c r="V164" i="37"/>
  <c r="R164" i="37"/>
  <c r="N164" i="37"/>
  <c r="J164" i="37"/>
  <c r="BF164" i="37"/>
  <c r="AP164" i="37"/>
  <c r="AZ164" i="37"/>
  <c r="L164" i="37"/>
  <c r="AF164" i="37"/>
  <c r="BD164" i="37"/>
  <c r="T164" i="37"/>
  <c r="AB164" i="37"/>
  <c r="P164" i="37"/>
  <c r="BJ164" i="37"/>
  <c r="AJ164" i="37"/>
  <c r="H164" i="37"/>
  <c r="AX164" i="37"/>
  <c r="AT164" i="37"/>
  <c r="AN164" i="37"/>
  <c r="X164" i="37"/>
  <c r="BS7" i="37"/>
  <c r="BS6" i="37"/>
  <c r="BT5" i="37"/>
  <c r="B204" i="37"/>
  <c r="D204" i="37"/>
  <c r="D203" i="37"/>
  <c r="BL163" i="37"/>
  <c r="BD163" i="37"/>
  <c r="AV163" i="37"/>
  <c r="AN163" i="37"/>
  <c r="AF163" i="37"/>
  <c r="BJ163" i="37"/>
  <c r="BB163" i="37"/>
  <c r="AT163" i="37"/>
  <c r="AL163" i="37"/>
  <c r="BH163" i="37"/>
  <c r="AZ163" i="37"/>
  <c r="AR163" i="37"/>
  <c r="AJ163" i="37"/>
  <c r="BN163" i="37"/>
  <c r="BF163" i="37"/>
  <c r="AY163" i="37"/>
  <c r="AB163" i="37"/>
  <c r="W163" i="37"/>
  <c r="O163" i="37"/>
  <c r="G163" i="37"/>
  <c r="BM163" i="37"/>
  <c r="BC163" i="37"/>
  <c r="AQ163" i="37"/>
  <c r="Z163" i="37"/>
  <c r="R163" i="37"/>
  <c r="J163" i="37"/>
  <c r="BG163" i="37"/>
  <c r="BA163" i="37"/>
  <c r="AI163" i="37"/>
  <c r="AG163" i="37"/>
  <c r="U163" i="37"/>
  <c r="M163" i="37"/>
  <c r="BK163" i="37"/>
  <c r="AU163" i="37"/>
  <c r="AP163" i="37"/>
  <c r="AK163" i="37"/>
  <c r="AC163" i="37"/>
  <c r="AA163" i="37"/>
  <c r="S163" i="37"/>
  <c r="K163" i="37"/>
  <c r="BI163" i="37"/>
  <c r="BE163" i="37"/>
  <c r="AW163" i="37"/>
  <c r="AH163" i="37"/>
  <c r="Q163" i="37"/>
  <c r="AD163" i="37"/>
  <c r="T163" i="37"/>
  <c r="H163" i="37"/>
  <c r="P163" i="37"/>
  <c r="Y163" i="37"/>
  <c r="AS163" i="37"/>
  <c r="N163" i="37"/>
  <c r="AO163" i="37"/>
  <c r="I163" i="37"/>
  <c r="AX163" i="37"/>
  <c r="AE163" i="37"/>
  <c r="X163" i="37"/>
  <c r="AM163" i="37"/>
  <c r="V163" i="37"/>
  <c r="L163" i="37"/>
  <c r="G200" i="37"/>
  <c r="G237" i="37"/>
  <c r="BN55" i="37"/>
  <c r="BL55" i="37"/>
  <c r="BG55" i="37"/>
  <c r="BE55" i="37"/>
  <c r="BJ55" i="37"/>
  <c r="BF55" i="37"/>
  <c r="BK55" i="37"/>
  <c r="BD55" i="37"/>
  <c r="BC55" i="37"/>
  <c r="BH55" i="37"/>
  <c r="B56" i="37"/>
  <c r="BI55" i="37"/>
  <c r="BM55" i="37"/>
  <c r="AY55" i="37"/>
  <c r="AU55" i="37"/>
  <c r="BB55" i="37"/>
  <c r="AZ55" i="37"/>
  <c r="AV55" i="37"/>
  <c r="BA55" i="37"/>
  <c r="AP55" i="37"/>
  <c r="AX55" i="37"/>
  <c r="AT55" i="37"/>
  <c r="AQ55" i="37"/>
  <c r="AM55" i="37"/>
  <c r="AW55" i="37"/>
  <c r="AR55" i="37"/>
  <c r="AN55" i="37"/>
  <c r="AS55" i="37"/>
  <c r="AO55" i="37"/>
  <c r="AL55" i="37"/>
  <c r="AH55" i="37"/>
  <c r="AD55" i="37"/>
  <c r="AI55" i="37"/>
  <c r="AE55" i="37"/>
  <c r="AK55" i="37"/>
  <c r="X55" i="37"/>
  <c r="Y55" i="37"/>
  <c r="AG55" i="37"/>
  <c r="AC55" i="37"/>
  <c r="Z55" i="37"/>
  <c r="S55" i="37"/>
  <c r="R55" i="37"/>
  <c r="Q55" i="37"/>
  <c r="P55" i="37"/>
  <c r="O55" i="37"/>
  <c r="N55" i="37"/>
  <c r="AJ55" i="37"/>
  <c r="AA55" i="37"/>
  <c r="T55" i="37"/>
  <c r="M55" i="37"/>
  <c r="U55" i="37"/>
  <c r="AF55" i="37"/>
  <c r="AB55" i="37"/>
  <c r="V55" i="37"/>
  <c r="K55" i="37"/>
  <c r="W55" i="37"/>
  <c r="J55" i="37"/>
  <c r="I55" i="37"/>
  <c r="I96" i="37"/>
  <c r="I128" i="37"/>
  <c r="H55" i="37"/>
  <c r="H96" i="37"/>
  <c r="H128" i="37"/>
  <c r="G55" i="37"/>
  <c r="G96" i="37"/>
  <c r="G128" i="37"/>
  <c r="L55" i="37"/>
  <c r="G231" i="37"/>
  <c r="BK160" i="37"/>
  <c r="BC160" i="37"/>
  <c r="AY160" i="37"/>
  <c r="AQ160" i="37"/>
  <c r="BJ160" i="37"/>
  <c r="BB160" i="37"/>
  <c r="AT160" i="37"/>
  <c r="AL160" i="37"/>
  <c r="AD160" i="37"/>
  <c r="BN160" i="37"/>
  <c r="BI160" i="37"/>
  <c r="BF160" i="37"/>
  <c r="AI160" i="37"/>
  <c r="AG160" i="37"/>
  <c r="U160" i="37"/>
  <c r="M160" i="37"/>
  <c r="BM160" i="37"/>
  <c r="AR160" i="37"/>
  <c r="AP160" i="37"/>
  <c r="AE160" i="37"/>
  <c r="X160" i="37"/>
  <c r="P160" i="37"/>
  <c r="H160" i="37"/>
  <c r="BG160" i="37"/>
  <c r="BA160" i="37"/>
  <c r="AN160" i="37"/>
  <c r="AC160" i="37"/>
  <c r="S160" i="37"/>
  <c r="K160" i="37"/>
  <c r="BH160" i="37"/>
  <c r="BD160" i="37"/>
  <c r="AZ160" i="37"/>
  <c r="AH160" i="37"/>
  <c r="Y160" i="37"/>
  <c r="Q160" i="37"/>
  <c r="I160" i="37"/>
  <c r="AF160" i="37"/>
  <c r="J160" i="37"/>
  <c r="G160" i="37"/>
  <c r="AU160" i="37"/>
  <c r="AM160" i="37"/>
  <c r="AB160" i="37"/>
  <c r="O160" i="37"/>
  <c r="L160" i="37"/>
  <c r="BL160" i="37"/>
  <c r="AX160" i="37"/>
  <c r="AA160" i="37"/>
  <c r="N160" i="37"/>
  <c r="AO160" i="37"/>
  <c r="T160" i="37"/>
  <c r="Z160" i="37"/>
  <c r="AV160" i="37"/>
  <c r="R160" i="37"/>
  <c r="AS160" i="37"/>
  <c r="W160" i="37"/>
  <c r="AK160" i="37"/>
  <c r="AJ160" i="37"/>
  <c r="V160" i="37"/>
  <c r="BE160" i="37"/>
  <c r="AW160" i="37"/>
  <c r="B241" i="37"/>
  <c r="E240" i="37"/>
  <c r="D240" i="37"/>
  <c r="I84" i="37"/>
  <c r="I116" i="37"/>
  <c r="I185" i="37"/>
  <c r="I222" i="37"/>
  <c r="I90" i="37"/>
  <c r="I122" i="37"/>
  <c r="I191" i="37"/>
  <c r="I228" i="37"/>
  <c r="I80" i="37"/>
  <c r="I91" i="37"/>
  <c r="G113" i="37"/>
  <c r="I85" i="37"/>
  <c r="H182" i="37"/>
  <c r="H219" i="37"/>
  <c r="BN41" i="37"/>
  <c r="BK41" i="37"/>
  <c r="BJ41" i="37"/>
  <c r="BH41" i="37"/>
  <c r="BM41" i="37"/>
  <c r="BG41" i="37"/>
  <c r="BE41" i="37"/>
  <c r="BC41" i="37"/>
  <c r="BA41" i="37"/>
  <c r="BL41" i="37"/>
  <c r="BI41" i="37"/>
  <c r="BB41" i="37"/>
  <c r="BD41" i="37"/>
  <c r="BF41" i="37"/>
  <c r="AZ41" i="37"/>
  <c r="AV41" i="37"/>
  <c r="AW41" i="37"/>
  <c r="AQ41" i="37"/>
  <c r="AM41" i="37"/>
  <c r="AY41" i="37"/>
  <c r="AX41" i="37"/>
  <c r="AU41" i="37"/>
  <c r="AT41" i="37"/>
  <c r="AR41" i="37"/>
  <c r="AN41" i="37"/>
  <c r="AS41" i="37"/>
  <c r="AO41" i="37"/>
  <c r="AP41" i="37"/>
  <c r="AI41" i="37"/>
  <c r="AE41" i="37"/>
  <c r="AL41" i="37"/>
  <c r="AJ41" i="37"/>
  <c r="AF41" i="37"/>
  <c r="Z41" i="37"/>
  <c r="S41" i="37"/>
  <c r="R41" i="37"/>
  <c r="Q41" i="37"/>
  <c r="P41" i="37"/>
  <c r="O41" i="37"/>
  <c r="N41" i="37"/>
  <c r="AC41" i="37"/>
  <c r="AA41" i="37"/>
  <c r="T41" i="37"/>
  <c r="AD41" i="37"/>
  <c r="U41" i="37"/>
  <c r="AK41" i="37"/>
  <c r="V41" i="37"/>
  <c r="AB41" i="37"/>
  <c r="W41" i="37"/>
  <c r="AH41" i="37"/>
  <c r="AG41" i="37"/>
  <c r="X41" i="37"/>
  <c r="Y41" i="37"/>
  <c r="H41" i="37"/>
  <c r="H82" i="37"/>
  <c r="G41" i="37"/>
  <c r="G82" i="37"/>
  <c r="M41" i="37"/>
  <c r="K41" i="37"/>
  <c r="L41" i="37"/>
  <c r="J41" i="37"/>
  <c r="I41" i="37"/>
  <c r="I82" i="37"/>
  <c r="H200" i="37"/>
  <c r="H237" i="37"/>
  <c r="Q6" i="37"/>
  <c r="R5" i="37"/>
  <c r="Q213" i="37"/>
  <c r="Q212" i="37"/>
  <c r="Q209" i="37"/>
  <c r="Q211" i="37"/>
  <c r="Q208" i="37"/>
  <c r="Q7" i="37"/>
  <c r="B166" i="37"/>
  <c r="D166" i="37"/>
  <c r="D165" i="37"/>
  <c r="H194" i="37"/>
  <c r="H231" i="37"/>
  <c r="I99" i="37"/>
  <c r="I131" i="37"/>
  <c r="I200" i="37"/>
  <c r="I237" i="37"/>
  <c r="BK159" i="37"/>
  <c r="BG159" i="37"/>
  <c r="BC159" i="37"/>
  <c r="AY159" i="37"/>
  <c r="AU159" i="37"/>
  <c r="AQ159" i="37"/>
  <c r="AM159" i="37"/>
  <c r="AI159" i="37"/>
  <c r="AE159" i="37"/>
  <c r="AA159" i="37"/>
  <c r="W159" i="37"/>
  <c r="S159" i="37"/>
  <c r="O159" i="37"/>
  <c r="K159" i="37"/>
  <c r="G159" i="37"/>
  <c r="BN159" i="37"/>
  <c r="BF159" i="37"/>
  <c r="AX159" i="37"/>
  <c r="AP159" i="37"/>
  <c r="AH159" i="37"/>
  <c r="Z159" i="37"/>
  <c r="R159" i="37"/>
  <c r="J159" i="37"/>
  <c r="BM159" i="37"/>
  <c r="BE159" i="37"/>
  <c r="AW159" i="37"/>
  <c r="AO159" i="37"/>
  <c r="AG159" i="37"/>
  <c r="Y159" i="37"/>
  <c r="Q159" i="37"/>
  <c r="I159" i="37"/>
  <c r="BL159" i="37"/>
  <c r="BD159" i="37"/>
  <c r="AV159" i="37"/>
  <c r="AN159" i="37"/>
  <c r="AF159" i="37"/>
  <c r="X159" i="37"/>
  <c r="P159" i="37"/>
  <c r="H159" i="37"/>
  <c r="BJ159" i="37"/>
  <c r="BB159" i="37"/>
  <c r="AT159" i="37"/>
  <c r="AL159" i="37"/>
  <c r="AD159" i="37"/>
  <c r="V159" i="37"/>
  <c r="N159" i="37"/>
  <c r="BI159" i="37"/>
  <c r="BA159" i="37"/>
  <c r="AS159" i="37"/>
  <c r="AK159" i="37"/>
  <c r="AC159" i="37"/>
  <c r="U159" i="37"/>
  <c r="M159" i="37"/>
  <c r="AJ159" i="37"/>
  <c r="BH159" i="37"/>
  <c r="AB159" i="37"/>
  <c r="AZ159" i="37"/>
  <c r="T159" i="37"/>
  <c r="AR159" i="37"/>
  <c r="L159" i="37"/>
  <c r="I93" i="37"/>
  <c r="I125" i="37"/>
  <c r="I194" i="37"/>
  <c r="I231" i="37"/>
  <c r="BM53" i="37"/>
  <c r="BN53" i="37"/>
  <c r="BL53" i="37"/>
  <c r="BH53" i="37"/>
  <c r="BI53" i="37"/>
  <c r="BJ53" i="37"/>
  <c r="BG53" i="37"/>
  <c r="BD53" i="37"/>
  <c r="BK53" i="37"/>
  <c r="BB53" i="37"/>
  <c r="BA53" i="37"/>
  <c r="AW53" i="37"/>
  <c r="BC53" i="37"/>
  <c r="BF53" i="37"/>
  <c r="AY53" i="37"/>
  <c r="AU53" i="37"/>
  <c r="BE53" i="37"/>
  <c r="AZ53" i="37"/>
  <c r="AV53" i="37"/>
  <c r="AS53" i="37"/>
  <c r="AO53" i="37"/>
  <c r="AP53" i="37"/>
  <c r="AJ53" i="37"/>
  <c r="AF53" i="37"/>
  <c r="AX53" i="37"/>
  <c r="AK53" i="37"/>
  <c r="AG53" i="37"/>
  <c r="AC53" i="37"/>
  <c r="AT53" i="37"/>
  <c r="AR53" i="37"/>
  <c r="AN53" i="37"/>
  <c r="AL53" i="37"/>
  <c r="AH53" i="37"/>
  <c r="AI53" i="37"/>
  <c r="AE53" i="37"/>
  <c r="AM53" i="37"/>
  <c r="U53" i="37"/>
  <c r="AB53" i="37"/>
  <c r="V53" i="37"/>
  <c r="W53" i="37"/>
  <c r="X53" i="37"/>
  <c r="Y53" i="37"/>
  <c r="AD53" i="37"/>
  <c r="Z53" i="37"/>
  <c r="AQ53" i="37"/>
  <c r="S53" i="37"/>
  <c r="R53" i="37"/>
  <c r="Q53" i="37"/>
  <c r="P53" i="37"/>
  <c r="O53" i="37"/>
  <c r="N53" i="37"/>
  <c r="M53" i="37"/>
  <c r="L53" i="37"/>
  <c r="K53" i="37"/>
  <c r="J53" i="37"/>
  <c r="I53" i="37"/>
  <c r="I94" i="37"/>
  <c r="T53" i="37"/>
  <c r="AA53" i="37"/>
  <c r="G53" i="37"/>
  <c r="G94" i="37"/>
  <c r="H53" i="37"/>
  <c r="H94" i="37"/>
  <c r="BN166" i="37"/>
  <c r="BL166" i="37"/>
  <c r="BK166" i="37"/>
  <c r="BM166" i="37"/>
  <c r="BJ166" i="37"/>
  <c r="BF166" i="37"/>
  <c r="BE166" i="37"/>
  <c r="BD166" i="37"/>
  <c r="BI166" i="37"/>
  <c r="BG166" i="37"/>
  <c r="BB166" i="37"/>
  <c r="AX166" i="37"/>
  <c r="BH166" i="37"/>
  <c r="BC166" i="37"/>
  <c r="AY166" i="37"/>
  <c r="AU166" i="37"/>
  <c r="AZ166" i="37"/>
  <c r="AS166" i="37"/>
  <c r="AO166" i="37"/>
  <c r="AT166" i="37"/>
  <c r="AP166" i="37"/>
  <c r="AW166" i="37"/>
  <c r="BA166" i="37"/>
  <c r="AV166" i="37"/>
  <c r="AQ166" i="37"/>
  <c r="AM166" i="37"/>
  <c r="AR166" i="37"/>
  <c r="AN166" i="37"/>
  <c r="AK166" i="37"/>
  <c r="AG166" i="37"/>
  <c r="AC166" i="37"/>
  <c r="AL166" i="37"/>
  <c r="AH166" i="37"/>
  <c r="AD166" i="37"/>
  <c r="AB166" i="37"/>
  <c r="V166" i="37"/>
  <c r="AJ166" i="37"/>
  <c r="W166" i="37"/>
  <c r="AI166" i="37"/>
  <c r="X166" i="37"/>
  <c r="AF166" i="37"/>
  <c r="Y166" i="37"/>
  <c r="Z166" i="37"/>
  <c r="AE166" i="37"/>
  <c r="AA166" i="37"/>
  <c r="T166" i="37"/>
  <c r="S166" i="37"/>
  <c r="R166" i="37"/>
  <c r="Q166" i="37"/>
  <c r="P166" i="37"/>
  <c r="O166" i="37"/>
  <c r="N166" i="37"/>
  <c r="M166" i="37"/>
  <c r="G166" i="37"/>
  <c r="L166" i="37"/>
  <c r="K166" i="37"/>
  <c r="J166" i="37"/>
  <c r="I166" i="37"/>
  <c r="U166" i="37"/>
  <c r="H166" i="37"/>
  <c r="BT7" i="37"/>
  <c r="BT6" i="37"/>
  <c r="M8" i="37"/>
  <c r="L65" i="37"/>
  <c r="L71" i="37"/>
  <c r="L68" i="37"/>
  <c r="L74" i="37"/>
  <c r="L66" i="37"/>
  <c r="L72" i="37"/>
  <c r="L67" i="37"/>
  <c r="L73" i="37"/>
  <c r="I112" i="37"/>
  <c r="H112" i="37"/>
  <c r="C51" i="37"/>
  <c r="BN48" i="37"/>
  <c r="BL48" i="37"/>
  <c r="BK48" i="37"/>
  <c r="BM48" i="37"/>
  <c r="BI48" i="37"/>
  <c r="BH48" i="37"/>
  <c r="BD48" i="37"/>
  <c r="BJ48" i="37"/>
  <c r="BE48" i="37"/>
  <c r="BF48" i="37"/>
  <c r="BB48" i="37"/>
  <c r="BA48" i="37"/>
  <c r="AX48" i="37"/>
  <c r="AT48" i="37"/>
  <c r="AY48" i="37"/>
  <c r="AU48" i="37"/>
  <c r="BG48" i="37"/>
  <c r="BC48" i="37"/>
  <c r="AZ48" i="37"/>
  <c r="AV48" i="37"/>
  <c r="AS48" i="37"/>
  <c r="AO48" i="37"/>
  <c r="AP48" i="37"/>
  <c r="AL48" i="37"/>
  <c r="AQ48" i="37"/>
  <c r="AM48" i="37"/>
  <c r="AW48" i="37"/>
  <c r="AR48" i="37"/>
  <c r="AN48" i="37"/>
  <c r="AK48" i="37"/>
  <c r="AG48" i="37"/>
  <c r="AC48" i="37"/>
  <c r="AH48" i="37"/>
  <c r="AD48" i="37"/>
  <c r="AJ48" i="37"/>
  <c r="V48" i="37"/>
  <c r="W48" i="37"/>
  <c r="AI48" i="37"/>
  <c r="AF48" i="37"/>
  <c r="AB48" i="37"/>
  <c r="X48" i="37"/>
  <c r="Y48" i="37"/>
  <c r="AE48" i="37"/>
  <c r="Z48" i="37"/>
  <c r="AA48" i="37"/>
  <c r="T48" i="37"/>
  <c r="L48" i="37"/>
  <c r="U48" i="37"/>
  <c r="Q48" i="37"/>
  <c r="K48" i="37"/>
  <c r="P48" i="37"/>
  <c r="J48" i="37"/>
  <c r="M48" i="37"/>
  <c r="I48" i="37"/>
  <c r="I89" i="37"/>
  <c r="I121" i="37"/>
  <c r="I190" i="37"/>
  <c r="I227" i="37"/>
  <c r="S48" i="37"/>
  <c r="O48" i="37"/>
  <c r="H48" i="37"/>
  <c r="H89" i="37"/>
  <c r="H121" i="37"/>
  <c r="H190" i="37"/>
  <c r="H227" i="37"/>
  <c r="G48" i="37"/>
  <c r="G89" i="37"/>
  <c r="G121" i="37"/>
  <c r="G190" i="37"/>
  <c r="G227" i="37"/>
  <c r="R48" i="37"/>
  <c r="N48" i="37"/>
  <c r="R6" i="37"/>
  <c r="S5" i="37"/>
  <c r="R213" i="37"/>
  <c r="R211" i="37"/>
  <c r="R212" i="37"/>
  <c r="R209" i="37"/>
  <c r="R208" i="37"/>
  <c r="R7" i="37"/>
  <c r="R210" i="37"/>
  <c r="G182" i="37"/>
  <c r="G219" i="37"/>
  <c r="C62" i="36"/>
  <c r="B63" i="36"/>
  <c r="G197" i="37"/>
  <c r="G234" i="37"/>
  <c r="BL62" i="37"/>
  <c r="BN62" i="37"/>
  <c r="BK62" i="37"/>
  <c r="BG62" i="37"/>
  <c r="BI62" i="37"/>
  <c r="BE62" i="37"/>
  <c r="BH62" i="37"/>
  <c r="BC62" i="37"/>
  <c r="BM62" i="37"/>
  <c r="AX62" i="37"/>
  <c r="AT62" i="37"/>
  <c r="BJ62" i="37"/>
  <c r="BB62" i="37"/>
  <c r="BD62" i="37"/>
  <c r="BA62" i="37"/>
  <c r="AZ62" i="37"/>
  <c r="AV62" i="37"/>
  <c r="AW62" i="37"/>
  <c r="AP62" i="37"/>
  <c r="AL62" i="37"/>
  <c r="BF62" i="37"/>
  <c r="AQ62" i="37"/>
  <c r="AM62" i="37"/>
  <c r="AU62" i="37"/>
  <c r="AK62" i="37"/>
  <c r="AG62" i="37"/>
  <c r="AC62" i="37"/>
  <c r="AS62" i="37"/>
  <c r="AO62" i="37"/>
  <c r="AH62" i="37"/>
  <c r="AD62" i="37"/>
  <c r="AI62" i="37"/>
  <c r="AE62" i="37"/>
  <c r="AY62" i="37"/>
  <c r="AR62" i="37"/>
  <c r="AN62" i="37"/>
  <c r="AJ62" i="37"/>
  <c r="AF62" i="37"/>
  <c r="AB62" i="37"/>
  <c r="X62" i="37"/>
  <c r="Y62" i="37"/>
  <c r="Z62" i="37"/>
  <c r="S62" i="37"/>
  <c r="R62" i="37"/>
  <c r="Q62" i="37"/>
  <c r="P62" i="37"/>
  <c r="O62" i="37"/>
  <c r="N62" i="37"/>
  <c r="M62" i="37"/>
  <c r="T62" i="37"/>
  <c r="L62" i="37"/>
  <c r="AA62" i="37"/>
  <c r="U62" i="37"/>
  <c r="V62" i="37"/>
  <c r="J62" i="37"/>
  <c r="I62" i="37"/>
  <c r="I103" i="37"/>
  <c r="H62" i="37"/>
  <c r="H103" i="37"/>
  <c r="G62" i="37"/>
  <c r="G103" i="37"/>
  <c r="K62" i="37"/>
  <c r="K76" i="37"/>
  <c r="K103" i="37"/>
  <c r="W62" i="37"/>
  <c r="K100" i="37"/>
  <c r="J76" i="37"/>
  <c r="J86" i="37"/>
  <c r="J118" i="37"/>
  <c r="J168" i="37"/>
  <c r="J187" i="37"/>
  <c r="J224" i="37"/>
  <c r="K168" i="37"/>
  <c r="K94" i="37"/>
  <c r="H197" i="37"/>
  <c r="H234" i="37"/>
  <c r="H165" i="37"/>
  <c r="H203" i="37"/>
  <c r="H240" i="37"/>
  <c r="H22" i="37"/>
  <c r="BN56" i="37"/>
  <c r="BL56" i="37"/>
  <c r="BK56" i="37"/>
  <c r="BM56" i="37"/>
  <c r="BH56" i="37"/>
  <c r="BG56" i="37"/>
  <c r="BI56" i="37"/>
  <c r="BE56" i="37"/>
  <c r="BD56" i="37"/>
  <c r="BF56" i="37"/>
  <c r="AX56" i="37"/>
  <c r="AT56" i="37"/>
  <c r="BJ56" i="37"/>
  <c r="AY56" i="37"/>
  <c r="AU56" i="37"/>
  <c r="BB56" i="37"/>
  <c r="AZ56" i="37"/>
  <c r="BA56" i="37"/>
  <c r="AS56" i="37"/>
  <c r="AO56" i="37"/>
  <c r="BC56" i="37"/>
  <c r="AP56" i="37"/>
  <c r="AQ56" i="37"/>
  <c r="AM56" i="37"/>
  <c r="AV56" i="37"/>
  <c r="AR56" i="37"/>
  <c r="AN56" i="37"/>
  <c r="AK56" i="37"/>
  <c r="AG56" i="37"/>
  <c r="AC56" i="37"/>
  <c r="AL56" i="37"/>
  <c r="AH56" i="37"/>
  <c r="AD56" i="37"/>
  <c r="AW56" i="37"/>
  <c r="AE56" i="37"/>
  <c r="AB56" i="37"/>
  <c r="V56" i="37"/>
  <c r="W56" i="37"/>
  <c r="X56" i="37"/>
  <c r="Y56" i="37"/>
  <c r="Z56" i="37"/>
  <c r="AJ56" i="37"/>
  <c r="AI56" i="37"/>
  <c r="AA56" i="37"/>
  <c r="T56" i="37"/>
  <c r="M56" i="37"/>
  <c r="S56" i="37"/>
  <c r="O56" i="37"/>
  <c r="L56" i="37"/>
  <c r="AF56" i="37"/>
  <c r="R56" i="37"/>
  <c r="N56" i="37"/>
  <c r="K56" i="37"/>
  <c r="K97" i="37"/>
  <c r="U56" i="37"/>
  <c r="J56" i="37"/>
  <c r="J97" i="37"/>
  <c r="Q56" i="37"/>
  <c r="I56" i="37"/>
  <c r="I97" i="37"/>
  <c r="I106" i="37"/>
  <c r="I108" i="37"/>
  <c r="H56" i="37"/>
  <c r="H97" i="37"/>
  <c r="H106" i="37"/>
  <c r="H108" i="37"/>
  <c r="P56" i="37"/>
  <c r="G56" i="37"/>
  <c r="G97" i="37"/>
  <c r="K86" i="37"/>
  <c r="K118" i="37"/>
  <c r="K187" i="37"/>
  <c r="K224" i="37"/>
  <c r="BN165" i="37"/>
  <c r="BL165" i="37"/>
  <c r="BJ165" i="37"/>
  <c r="BH165" i="37"/>
  <c r="BF165" i="37"/>
  <c r="BD165" i="37"/>
  <c r="BB165" i="37"/>
  <c r="AZ165" i="37"/>
  <c r="AX165" i="37"/>
  <c r="AV165" i="37"/>
  <c r="AT165" i="37"/>
  <c r="AR165" i="37"/>
  <c r="AP165" i="37"/>
  <c r="AN165" i="37"/>
  <c r="AL165" i="37"/>
  <c r="AJ165" i="37"/>
  <c r="AH165" i="37"/>
  <c r="AF165" i="37"/>
  <c r="AD165" i="37"/>
  <c r="AB165" i="37"/>
  <c r="Z165" i="37"/>
  <c r="X165" i="37"/>
  <c r="V165" i="37"/>
  <c r="T165" i="37"/>
  <c r="R165" i="37"/>
  <c r="P165" i="37"/>
  <c r="N165" i="37"/>
  <c r="L165" i="37"/>
  <c r="J165" i="37"/>
  <c r="BG165" i="37"/>
  <c r="AQ165" i="37"/>
  <c r="AA165" i="37"/>
  <c r="K165" i="37"/>
  <c r="BA165" i="37"/>
  <c r="AK165" i="37"/>
  <c r="U165" i="37"/>
  <c r="BK165" i="37"/>
  <c r="AU165" i="37"/>
  <c r="AE165" i="37"/>
  <c r="O165" i="37"/>
  <c r="BE165" i="37"/>
  <c r="AO165" i="37"/>
  <c r="Y165" i="37"/>
  <c r="I165" i="37"/>
  <c r="I203" i="37"/>
  <c r="I240" i="37"/>
  <c r="AY165" i="37"/>
  <c r="AI165" i="37"/>
  <c r="S165" i="37"/>
  <c r="BM165" i="37"/>
  <c r="G165" i="37"/>
  <c r="G203" i="37"/>
  <c r="G240" i="37"/>
  <c r="BI165" i="37"/>
  <c r="AW165" i="37"/>
  <c r="AS165" i="37"/>
  <c r="AG165" i="37"/>
  <c r="M165" i="37"/>
  <c r="BC165" i="37"/>
  <c r="W165" i="37"/>
  <c r="Q165" i="37"/>
  <c r="AM165" i="37"/>
  <c r="AC165" i="37"/>
  <c r="K82" i="37"/>
  <c r="D241" i="37"/>
  <c r="E241" i="37"/>
  <c r="I197" i="37"/>
  <c r="I234" i="37"/>
  <c r="I22" i="37"/>
  <c r="H117" i="37"/>
  <c r="H186" i="37"/>
  <c r="H223" i="37"/>
  <c r="H27" i="37"/>
  <c r="H132" i="37"/>
  <c r="H201" i="37"/>
  <c r="H238" i="37"/>
  <c r="H120" i="37"/>
  <c r="H189" i="37"/>
  <c r="H226" i="37"/>
  <c r="H126" i="37"/>
  <c r="H195" i="37"/>
  <c r="H232" i="37"/>
  <c r="H123" i="37"/>
  <c r="H192" i="37"/>
  <c r="H229" i="37"/>
  <c r="H114" i="37"/>
  <c r="I114" i="37"/>
  <c r="I120" i="37"/>
  <c r="I189" i="37"/>
  <c r="I226" i="37"/>
  <c r="I126" i="37"/>
  <c r="I195" i="37"/>
  <c r="I232" i="37"/>
  <c r="I117" i="37"/>
  <c r="I186" i="37"/>
  <c r="I223" i="37"/>
  <c r="I123" i="37"/>
  <c r="I192" i="37"/>
  <c r="I229" i="37"/>
  <c r="I132" i="37"/>
  <c r="I201" i="37"/>
  <c r="I238" i="37"/>
  <c r="J103" i="37"/>
  <c r="K88" i="37"/>
  <c r="K89" i="37"/>
  <c r="K121" i="37"/>
  <c r="K190" i="37"/>
  <c r="K227" i="37"/>
  <c r="S6" i="37"/>
  <c r="T5" i="37"/>
  <c r="S176" i="37"/>
  <c r="S213" i="37"/>
  <c r="S76" i="37"/>
  <c r="S168" i="37"/>
  <c r="S174" i="37"/>
  <c r="S212" i="37"/>
  <c r="S211" i="37"/>
  <c r="S172" i="37"/>
  <c r="S171" i="37"/>
  <c r="S208" i="37"/>
  <c r="S209" i="37"/>
  <c r="S7" i="37"/>
  <c r="S175" i="37"/>
  <c r="S173" i="37"/>
  <c r="S210" i="37"/>
  <c r="H14" i="37"/>
  <c r="H29" i="37"/>
  <c r="C54" i="37"/>
  <c r="BI51" i="37"/>
  <c r="BC51" i="37"/>
  <c r="BL51" i="37"/>
  <c r="BG51" i="37"/>
  <c r="BE51" i="37"/>
  <c r="BB51" i="37"/>
  <c r="BD51" i="37"/>
  <c r="BJ51" i="37"/>
  <c r="AZ51" i="37"/>
  <c r="AV51" i="37"/>
  <c r="BH51" i="37"/>
  <c r="AW51" i="37"/>
  <c r="BA51" i="37"/>
  <c r="BK51" i="37"/>
  <c r="AQ51" i="37"/>
  <c r="AM51" i="37"/>
  <c r="AY51" i="37"/>
  <c r="AU51" i="37"/>
  <c r="AR51" i="37"/>
  <c r="AN51" i="37"/>
  <c r="AS51" i="37"/>
  <c r="AO51" i="37"/>
  <c r="AP51" i="37"/>
  <c r="AX51" i="37"/>
  <c r="AI51" i="37"/>
  <c r="AE51" i="37"/>
  <c r="AT51" i="37"/>
  <c r="AJ51" i="37"/>
  <c r="AF51" i="37"/>
  <c r="Z51" i="37"/>
  <c r="S51" i="37"/>
  <c r="R51" i="37"/>
  <c r="Q51" i="37"/>
  <c r="P51" i="37"/>
  <c r="O51" i="37"/>
  <c r="N51" i="37"/>
  <c r="AL51" i="37"/>
  <c r="AA51" i="37"/>
  <c r="T51" i="37"/>
  <c r="U51" i="37"/>
  <c r="AH51" i="37"/>
  <c r="AD51" i="37"/>
  <c r="AB51" i="37"/>
  <c r="V51" i="37"/>
  <c r="AK51" i="37"/>
  <c r="W51" i="37"/>
  <c r="AC51" i="37"/>
  <c r="X51" i="37"/>
  <c r="H51" i="37"/>
  <c r="H92" i="37"/>
  <c r="H124" i="37"/>
  <c r="H193" i="37"/>
  <c r="H230" i="37"/>
  <c r="G51" i="37"/>
  <c r="G92" i="37"/>
  <c r="G124" i="37"/>
  <c r="G193" i="37"/>
  <c r="G230" i="37"/>
  <c r="AG51" i="37"/>
  <c r="M51" i="37"/>
  <c r="K51" i="37"/>
  <c r="K92" i="37"/>
  <c r="K124" i="37"/>
  <c r="K193" i="37"/>
  <c r="K230" i="37"/>
  <c r="L51" i="37"/>
  <c r="Y51" i="37"/>
  <c r="I51" i="37"/>
  <c r="I92" i="37"/>
  <c r="I124" i="37"/>
  <c r="I193" i="37"/>
  <c r="I230" i="37"/>
  <c r="J51" i="37"/>
  <c r="J92" i="37"/>
  <c r="J124" i="37"/>
  <c r="J193" i="37"/>
  <c r="J230" i="37"/>
  <c r="BN51" i="37"/>
  <c r="BM51" i="37"/>
  <c r="BF51" i="37"/>
  <c r="N8" i="37"/>
  <c r="M65" i="37"/>
  <c r="M71" i="37"/>
  <c r="M66" i="37"/>
  <c r="M72" i="37"/>
  <c r="M68" i="37"/>
  <c r="M74" i="37"/>
  <c r="M67" i="37"/>
  <c r="M73" i="37"/>
  <c r="H129" i="37"/>
  <c r="H198" i="37"/>
  <c r="H235" i="37"/>
  <c r="I129" i="37"/>
  <c r="I198" i="37"/>
  <c r="I235" i="37"/>
  <c r="K85" i="37"/>
  <c r="K91" i="37"/>
  <c r="K106" i="37"/>
  <c r="K108" i="37"/>
  <c r="K126" i="37"/>
  <c r="K195" i="37"/>
  <c r="K232" i="37"/>
  <c r="J91" i="37"/>
  <c r="J84" i="37"/>
  <c r="J116" i="37"/>
  <c r="J185" i="37"/>
  <c r="J222" i="37"/>
  <c r="J90" i="37"/>
  <c r="J122" i="37"/>
  <c r="J191" i="37"/>
  <c r="J228" i="37"/>
  <c r="J80" i="37"/>
  <c r="J85" i="37"/>
  <c r="J87" i="37"/>
  <c r="J119" i="37"/>
  <c r="J188" i="37"/>
  <c r="J225" i="37"/>
  <c r="J93" i="37"/>
  <c r="J125" i="37"/>
  <c r="J194" i="37"/>
  <c r="J231" i="37"/>
  <c r="J99" i="37"/>
  <c r="J131" i="37"/>
  <c r="J200" i="37"/>
  <c r="J237" i="37"/>
  <c r="J83" i="37"/>
  <c r="J115" i="37"/>
  <c r="J184" i="37"/>
  <c r="J221" i="37"/>
  <c r="J81" i="37"/>
  <c r="J113" i="37"/>
  <c r="J182" i="37"/>
  <c r="J219" i="37"/>
  <c r="J102" i="37"/>
  <c r="J134" i="37"/>
  <c r="J203" i="37"/>
  <c r="J240" i="37"/>
  <c r="J94" i="37"/>
  <c r="J100" i="37"/>
  <c r="J88" i="37"/>
  <c r="I14" i="37"/>
  <c r="I29" i="37"/>
  <c r="J96" i="37"/>
  <c r="J128" i="37"/>
  <c r="J197" i="37"/>
  <c r="J234" i="37"/>
  <c r="H135" i="37"/>
  <c r="H204" i="37"/>
  <c r="H241" i="37"/>
  <c r="H12" i="37"/>
  <c r="J82" i="37"/>
  <c r="C63" i="36"/>
  <c r="B64" i="36"/>
  <c r="I181" i="37"/>
  <c r="I218" i="37"/>
  <c r="K80" i="37"/>
  <c r="K84" i="37"/>
  <c r="K116" i="37"/>
  <c r="K185" i="37"/>
  <c r="K222" i="37"/>
  <c r="K90" i="37"/>
  <c r="K122" i="37"/>
  <c r="K191" i="37"/>
  <c r="K228" i="37"/>
  <c r="K81" i="37"/>
  <c r="K113" i="37"/>
  <c r="K182" i="37"/>
  <c r="K219" i="37"/>
  <c r="K99" i="37"/>
  <c r="K131" i="37"/>
  <c r="K200" i="37"/>
  <c r="K237" i="37"/>
  <c r="K83" i="37"/>
  <c r="K115" i="37"/>
  <c r="K184" i="37"/>
  <c r="K221" i="37"/>
  <c r="K93" i="37"/>
  <c r="K125" i="37"/>
  <c r="K194" i="37"/>
  <c r="K231" i="37"/>
  <c r="K87" i="37"/>
  <c r="K119" i="37"/>
  <c r="K188" i="37"/>
  <c r="K225" i="37"/>
  <c r="I135" i="37"/>
  <c r="I204" i="37"/>
  <c r="I241" i="37"/>
  <c r="G22" i="37"/>
  <c r="J89" i="37"/>
  <c r="J121" i="37"/>
  <c r="J190" i="37"/>
  <c r="J227" i="37"/>
  <c r="H181" i="37"/>
  <c r="H218" i="37"/>
  <c r="K96" i="37"/>
  <c r="K128" i="37"/>
  <c r="K197" i="37"/>
  <c r="K234" i="37"/>
  <c r="K102" i="37"/>
  <c r="K134" i="37"/>
  <c r="K203" i="37"/>
  <c r="K240" i="37"/>
  <c r="G106" i="37"/>
  <c r="G108" i="37"/>
  <c r="G129" i="37"/>
  <c r="G198" i="37"/>
  <c r="G235" i="37"/>
  <c r="G135" i="37"/>
  <c r="G204" i="37"/>
  <c r="G241" i="37"/>
  <c r="K135" i="37"/>
  <c r="K204" i="37"/>
  <c r="K241" i="37"/>
  <c r="K120" i="37"/>
  <c r="K189" i="37"/>
  <c r="K226" i="37"/>
  <c r="K13" i="37"/>
  <c r="I15" i="37"/>
  <c r="I30" i="37"/>
  <c r="C57" i="37"/>
  <c r="BH54" i="37"/>
  <c r="AT54" i="37"/>
  <c r="BG54" i="37"/>
  <c r="AJ54" i="37"/>
  <c r="AH54" i="37"/>
  <c r="N54" i="37"/>
  <c r="X54" i="37"/>
  <c r="J54" i="37"/>
  <c r="J95" i="37"/>
  <c r="J127" i="37"/>
  <c r="J196" i="37"/>
  <c r="J233" i="37"/>
  <c r="BJ54" i="37"/>
  <c r="BF54" i="37"/>
  <c r="AW54" i="37"/>
  <c r="AF54" i="37"/>
  <c r="AD54" i="37"/>
  <c r="M54" i="37"/>
  <c r="Y54" i="37"/>
  <c r="BL54" i="37"/>
  <c r="AY54" i="37"/>
  <c r="AO54" i="37"/>
  <c r="BE54" i="37"/>
  <c r="S54" i="37"/>
  <c r="T54" i="37"/>
  <c r="Z54" i="37"/>
  <c r="BK54" i="37"/>
  <c r="AX54" i="37"/>
  <c r="AN54" i="37"/>
  <c r="AL54" i="37"/>
  <c r="W54" i="37"/>
  <c r="AZ54" i="37"/>
  <c r="AU54" i="37"/>
  <c r="AQ54" i="37"/>
  <c r="BA54" i="37"/>
  <c r="R54" i="37"/>
  <c r="U54" i="37"/>
  <c r="L54" i="37"/>
  <c r="AE54" i="37"/>
  <c r="O54" i="37"/>
  <c r="H54" i="37"/>
  <c r="H95" i="37"/>
  <c r="BN54" i="37"/>
  <c r="BC54" i="37"/>
  <c r="AS54" i="37"/>
  <c r="AP54" i="37"/>
  <c r="AC54" i="37"/>
  <c r="AA54" i="37"/>
  <c r="G54" i="37"/>
  <c r="G95" i="37"/>
  <c r="BM54" i="37"/>
  <c r="AV54" i="37"/>
  <c r="BD54" i="37"/>
  <c r="AM54" i="37"/>
  <c r="AK54" i="37"/>
  <c r="Q54" i="37"/>
  <c r="AB54" i="37"/>
  <c r="K54" i="37"/>
  <c r="K95" i="37"/>
  <c r="K127" i="37"/>
  <c r="K196" i="37"/>
  <c r="K233" i="37"/>
  <c r="BI54" i="37"/>
  <c r="BB54" i="37"/>
  <c r="AR54" i="37"/>
  <c r="AI54" i="37"/>
  <c r="AG54" i="37"/>
  <c r="P54" i="37"/>
  <c r="V54" i="37"/>
  <c r="I54" i="37"/>
  <c r="I95" i="37"/>
  <c r="K112" i="37"/>
  <c r="K123" i="37"/>
  <c r="K192" i="37"/>
  <c r="K229" i="37"/>
  <c r="J22" i="37"/>
  <c r="H13" i="37"/>
  <c r="H28" i="37"/>
  <c r="C64" i="36"/>
  <c r="B65" i="36"/>
  <c r="K114" i="37"/>
  <c r="K14" i="37"/>
  <c r="K29" i="37"/>
  <c r="I12" i="37"/>
  <c r="I27" i="37"/>
  <c r="K15" i="37"/>
  <c r="K30" i="37"/>
  <c r="K129" i="37"/>
  <c r="K198" i="37"/>
  <c r="K235" i="37"/>
  <c r="L168" i="37"/>
  <c r="M76" i="37"/>
  <c r="L76" i="37"/>
  <c r="M168" i="37"/>
  <c r="S80" i="37"/>
  <c r="S90" i="37"/>
  <c r="S122" i="37"/>
  <c r="S191" i="37"/>
  <c r="S228" i="37"/>
  <c r="S84" i="37"/>
  <c r="S116" i="37"/>
  <c r="S185" i="37"/>
  <c r="S222" i="37"/>
  <c r="S91" i="37"/>
  <c r="S85" i="37"/>
  <c r="S81" i="37"/>
  <c r="S113" i="37"/>
  <c r="S182" i="37"/>
  <c r="S219" i="37"/>
  <c r="S83" i="37"/>
  <c r="S115" i="37"/>
  <c r="S184" i="37"/>
  <c r="S221" i="37"/>
  <c r="S87" i="37"/>
  <c r="S119" i="37"/>
  <c r="S188" i="37"/>
  <c r="S225" i="37"/>
  <c r="S88" i="37"/>
  <c r="S82" i="37"/>
  <c r="S86" i="37"/>
  <c r="S118" i="37"/>
  <c r="S187" i="37"/>
  <c r="S224" i="37"/>
  <c r="I13" i="37"/>
  <c r="I28" i="37"/>
  <c r="K132" i="37"/>
  <c r="K201" i="37"/>
  <c r="K238" i="37"/>
  <c r="G123" i="37"/>
  <c r="G192" i="37"/>
  <c r="G229" i="37"/>
  <c r="G117" i="37"/>
  <c r="G186" i="37"/>
  <c r="G223" i="37"/>
  <c r="G114" i="37"/>
  <c r="G120" i="37"/>
  <c r="G189" i="37"/>
  <c r="G226" i="37"/>
  <c r="G132" i="37"/>
  <c r="G201" i="37"/>
  <c r="G238" i="37"/>
  <c r="G126" i="37"/>
  <c r="G195" i="37"/>
  <c r="G232" i="37"/>
  <c r="G30" i="37"/>
  <c r="K117" i="37"/>
  <c r="K186" i="37"/>
  <c r="K223" i="37"/>
  <c r="K12" i="37"/>
  <c r="J106" i="37"/>
  <c r="J108" i="37"/>
  <c r="J129" i="37"/>
  <c r="J198" i="37"/>
  <c r="J235" i="37"/>
  <c r="J114" i="37"/>
  <c r="S89" i="37"/>
  <c r="S121" i="37"/>
  <c r="S190" i="37"/>
  <c r="S227" i="37"/>
  <c r="I183" i="37"/>
  <c r="I220" i="37"/>
  <c r="I23" i="37"/>
  <c r="I137" i="37"/>
  <c r="I138" i="37"/>
  <c r="N65" i="37"/>
  <c r="N71" i="37"/>
  <c r="N66" i="37"/>
  <c r="N72" i="37"/>
  <c r="O8" i="37"/>
  <c r="N67" i="37"/>
  <c r="N73" i="37"/>
  <c r="N68" i="37"/>
  <c r="N74" i="37"/>
  <c r="G15" i="37"/>
  <c r="H183" i="37"/>
  <c r="H220" i="37"/>
  <c r="H23" i="37"/>
  <c r="H137" i="37"/>
  <c r="H138" i="37"/>
  <c r="K22" i="37"/>
  <c r="J112" i="37"/>
  <c r="H15" i="37"/>
  <c r="H30" i="37"/>
  <c r="T6" i="37"/>
  <c r="U5" i="37"/>
  <c r="T176" i="37"/>
  <c r="T213" i="37"/>
  <c r="T168" i="37"/>
  <c r="T174" i="37"/>
  <c r="T212" i="37"/>
  <c r="T76" i="37"/>
  <c r="T209" i="37"/>
  <c r="T211" i="37"/>
  <c r="T172" i="37"/>
  <c r="T171" i="37"/>
  <c r="T208" i="37"/>
  <c r="T7" i="37"/>
  <c r="T175" i="37"/>
  <c r="T210" i="37"/>
  <c r="T173" i="37"/>
  <c r="K28" i="37"/>
  <c r="J181" i="37"/>
  <c r="J218" i="37"/>
  <c r="J117" i="37"/>
  <c r="J186" i="37"/>
  <c r="J223" i="37"/>
  <c r="I11" i="37"/>
  <c r="M91" i="37"/>
  <c r="M90" i="37"/>
  <c r="M122" i="37"/>
  <c r="M191" i="37"/>
  <c r="M228" i="37"/>
  <c r="M80" i="37"/>
  <c r="M84" i="37"/>
  <c r="M116" i="37"/>
  <c r="M185" i="37"/>
  <c r="M222" i="37"/>
  <c r="M99" i="37"/>
  <c r="M131" i="37"/>
  <c r="M200" i="37"/>
  <c r="M237" i="37"/>
  <c r="M87" i="37"/>
  <c r="M119" i="37"/>
  <c r="M188" i="37"/>
  <c r="M225" i="37"/>
  <c r="M83" i="37"/>
  <c r="M115" i="37"/>
  <c r="M184" i="37"/>
  <c r="M221" i="37"/>
  <c r="M81" i="37"/>
  <c r="M113" i="37"/>
  <c r="M182" i="37"/>
  <c r="M219" i="37"/>
  <c r="M93" i="37"/>
  <c r="M125" i="37"/>
  <c r="M194" i="37"/>
  <c r="M231" i="37"/>
  <c r="M96" i="37"/>
  <c r="M128" i="37"/>
  <c r="M197" i="37"/>
  <c r="M234" i="37"/>
  <c r="M102" i="37"/>
  <c r="M134" i="37"/>
  <c r="M203" i="37"/>
  <c r="M240" i="37"/>
  <c r="M22" i="37"/>
  <c r="M85" i="37"/>
  <c r="M86" i="37"/>
  <c r="M118" i="37"/>
  <c r="M187" i="37"/>
  <c r="M224" i="37"/>
  <c r="M94" i="37"/>
  <c r="M100" i="37"/>
  <c r="M88" i="37"/>
  <c r="M82" i="37"/>
  <c r="M103" i="37"/>
  <c r="M97" i="37"/>
  <c r="M89" i="37"/>
  <c r="M121" i="37"/>
  <c r="M190" i="37"/>
  <c r="M227" i="37"/>
  <c r="K183" i="37"/>
  <c r="K220" i="37"/>
  <c r="K23" i="37"/>
  <c r="K137" i="37"/>
  <c r="K138" i="37"/>
  <c r="C65" i="36"/>
  <c r="B66" i="36"/>
  <c r="J123" i="37"/>
  <c r="J192" i="37"/>
  <c r="J229" i="37"/>
  <c r="K181" i="37"/>
  <c r="K218" i="37"/>
  <c r="J16" i="37"/>
  <c r="J31" i="37"/>
  <c r="C60" i="37"/>
  <c r="BB57" i="37"/>
  <c r="BE57" i="37"/>
  <c r="BC57" i="37"/>
  <c r="BA57" i="37"/>
  <c r="AW57" i="37"/>
  <c r="BD57" i="37"/>
  <c r="AX57" i="37"/>
  <c r="BF57" i="37"/>
  <c r="AR57" i="37"/>
  <c r="AN57" i="37"/>
  <c r="AZ57" i="37"/>
  <c r="AS57" i="37"/>
  <c r="AO57" i="37"/>
  <c r="AP57" i="37"/>
  <c r="AQ57" i="37"/>
  <c r="AM57" i="37"/>
  <c r="AJ57" i="37"/>
  <c r="AF57" i="37"/>
  <c r="AU57" i="37"/>
  <c r="AK57" i="37"/>
  <c r="AG57" i="37"/>
  <c r="AC57" i="37"/>
  <c r="AA57" i="37"/>
  <c r="T57" i="37"/>
  <c r="M57" i="37"/>
  <c r="M98" i="37"/>
  <c r="M130" i="37"/>
  <c r="M199" i="37"/>
  <c r="M236" i="37"/>
  <c r="AE57" i="37"/>
  <c r="AD57" i="37"/>
  <c r="U57" i="37"/>
  <c r="AB57" i="37"/>
  <c r="V57" i="37"/>
  <c r="AY57" i="37"/>
  <c r="W57" i="37"/>
  <c r="AT57" i="37"/>
  <c r="X57" i="37"/>
  <c r="AL57" i="37"/>
  <c r="Y57" i="37"/>
  <c r="Z57" i="37"/>
  <c r="AV57" i="37"/>
  <c r="S57" i="37"/>
  <c r="O57" i="37"/>
  <c r="G57" i="37"/>
  <c r="G98" i="37"/>
  <c r="G130" i="37"/>
  <c r="G199" i="37"/>
  <c r="G236" i="37"/>
  <c r="AH57" i="37"/>
  <c r="R57" i="37"/>
  <c r="N57" i="37"/>
  <c r="L57" i="37"/>
  <c r="L98" i="37"/>
  <c r="L130" i="37"/>
  <c r="L199" i="37"/>
  <c r="L236" i="37"/>
  <c r="K57" i="37"/>
  <c r="K98" i="37"/>
  <c r="K130" i="37"/>
  <c r="K199" i="37"/>
  <c r="K236" i="37"/>
  <c r="AI57" i="37"/>
  <c r="Q57" i="37"/>
  <c r="J57" i="37"/>
  <c r="J98" i="37"/>
  <c r="H57" i="37"/>
  <c r="H98" i="37"/>
  <c r="H130" i="37"/>
  <c r="H199" i="37"/>
  <c r="H236" i="37"/>
  <c r="I57" i="37"/>
  <c r="I98" i="37"/>
  <c r="I130" i="37"/>
  <c r="I199" i="37"/>
  <c r="I236" i="37"/>
  <c r="P57" i="37"/>
  <c r="BI57" i="37"/>
  <c r="BJ57" i="37"/>
  <c r="BN57" i="37"/>
  <c r="BM57" i="37"/>
  <c r="BK57" i="37"/>
  <c r="BL57" i="37"/>
  <c r="BH57" i="37"/>
  <c r="BG57" i="37"/>
  <c r="J183" i="37"/>
  <c r="J220" i="37"/>
  <c r="U6" i="37"/>
  <c r="V5" i="37"/>
  <c r="U176" i="37"/>
  <c r="U168" i="37"/>
  <c r="U213" i="37"/>
  <c r="U76" i="37"/>
  <c r="U212" i="37"/>
  <c r="U211" i="37"/>
  <c r="U174" i="37"/>
  <c r="U209" i="37"/>
  <c r="U172" i="37"/>
  <c r="U208" i="37"/>
  <c r="U171" i="37"/>
  <c r="U7" i="37"/>
  <c r="U210" i="37"/>
  <c r="U173" i="37"/>
  <c r="U175" i="37"/>
  <c r="J126" i="37"/>
  <c r="J195" i="37"/>
  <c r="J232" i="37"/>
  <c r="K27" i="37"/>
  <c r="G13" i="37"/>
  <c r="G28" i="37"/>
  <c r="S112" i="37"/>
  <c r="M92" i="37"/>
  <c r="M124" i="37"/>
  <c r="M193" i="37"/>
  <c r="M230" i="37"/>
  <c r="M95" i="37"/>
  <c r="M127" i="37"/>
  <c r="M196" i="37"/>
  <c r="M233" i="37"/>
  <c r="O66" i="37"/>
  <c r="O72" i="37"/>
  <c r="O65" i="37"/>
  <c r="O71" i="37"/>
  <c r="P8" i="37"/>
  <c r="O67" i="37"/>
  <c r="O73" i="37"/>
  <c r="O68" i="37"/>
  <c r="O74" i="37"/>
  <c r="G27" i="37"/>
  <c r="G12" i="37"/>
  <c r="G14" i="37"/>
  <c r="G29" i="37"/>
  <c r="I26" i="37"/>
  <c r="T91" i="37"/>
  <c r="T84" i="37"/>
  <c r="T116" i="37"/>
  <c r="T185" i="37"/>
  <c r="T222" i="37"/>
  <c r="T80" i="37"/>
  <c r="T90" i="37"/>
  <c r="T122" i="37"/>
  <c r="T191" i="37"/>
  <c r="T228" i="37"/>
  <c r="T87" i="37"/>
  <c r="T119" i="37"/>
  <c r="T188" i="37"/>
  <c r="T225" i="37"/>
  <c r="T83" i="37"/>
  <c r="T115" i="37"/>
  <c r="T184" i="37"/>
  <c r="T221" i="37"/>
  <c r="T81" i="37"/>
  <c r="T113" i="37"/>
  <c r="T182" i="37"/>
  <c r="T219" i="37"/>
  <c r="T85" i="37"/>
  <c r="T88" i="37"/>
  <c r="T82" i="37"/>
  <c r="T86" i="37"/>
  <c r="T118" i="37"/>
  <c r="T187" i="37"/>
  <c r="T224" i="37"/>
  <c r="T89" i="37"/>
  <c r="T121" i="37"/>
  <c r="T190" i="37"/>
  <c r="T227" i="37"/>
  <c r="J135" i="37"/>
  <c r="J204" i="37"/>
  <c r="J241" i="37"/>
  <c r="G183" i="37"/>
  <c r="G220" i="37"/>
  <c r="G137" i="37"/>
  <c r="J132" i="37"/>
  <c r="J201" i="37"/>
  <c r="J238" i="37"/>
  <c r="L91" i="37"/>
  <c r="L90" i="37"/>
  <c r="L122" i="37"/>
  <c r="L191" i="37"/>
  <c r="L228" i="37"/>
  <c r="L84" i="37"/>
  <c r="L116" i="37"/>
  <c r="L185" i="37"/>
  <c r="L222" i="37"/>
  <c r="L80" i="37"/>
  <c r="L99" i="37"/>
  <c r="L131" i="37"/>
  <c r="L200" i="37"/>
  <c r="L237" i="37"/>
  <c r="L85" i="37"/>
  <c r="L81" i="37"/>
  <c r="L113" i="37"/>
  <c r="L182" i="37"/>
  <c r="L219" i="37"/>
  <c r="L83" i="37"/>
  <c r="L115" i="37"/>
  <c r="L184" i="37"/>
  <c r="L221" i="37"/>
  <c r="L87" i="37"/>
  <c r="L119" i="37"/>
  <c r="L188" i="37"/>
  <c r="L225" i="37"/>
  <c r="L93" i="37"/>
  <c r="L125" i="37"/>
  <c r="L194" i="37"/>
  <c r="L231" i="37"/>
  <c r="L102" i="37"/>
  <c r="L134" i="37"/>
  <c r="L203" i="37"/>
  <c r="L240" i="37"/>
  <c r="L94" i="37"/>
  <c r="L82" i="37"/>
  <c r="L100" i="37"/>
  <c r="L96" i="37"/>
  <c r="L128" i="37"/>
  <c r="L197" i="37"/>
  <c r="L234" i="37"/>
  <c r="L86" i="37"/>
  <c r="L118" i="37"/>
  <c r="L187" i="37"/>
  <c r="L224" i="37"/>
  <c r="L88" i="37"/>
  <c r="L103" i="37"/>
  <c r="L97" i="37"/>
  <c r="L89" i="37"/>
  <c r="L121" i="37"/>
  <c r="L190" i="37"/>
  <c r="L227" i="37"/>
  <c r="H11" i="37"/>
  <c r="H127" i="37"/>
  <c r="H26" i="37"/>
  <c r="I127" i="37"/>
  <c r="K16" i="37"/>
  <c r="K31" i="37"/>
  <c r="G127" i="37"/>
  <c r="G196" i="37"/>
  <c r="G233" i="37"/>
  <c r="L92" i="37"/>
  <c r="L124" i="37"/>
  <c r="L193" i="37"/>
  <c r="L230" i="37"/>
  <c r="J120" i="37"/>
  <c r="J189" i="37"/>
  <c r="J226" i="37"/>
  <c r="J28" i="37"/>
  <c r="L95" i="37"/>
  <c r="L127" i="37"/>
  <c r="L196" i="37"/>
  <c r="L233" i="37"/>
  <c r="AR60" i="37"/>
  <c r="T60" i="37"/>
  <c r="BM60" i="37"/>
  <c r="BI60" i="37"/>
  <c r="BC60" i="37"/>
  <c r="AN60" i="37"/>
  <c r="AM60" i="37"/>
  <c r="V60" i="37"/>
  <c r="P60" i="37"/>
  <c r="H60" i="37"/>
  <c r="H101" i="37"/>
  <c r="BA60" i="37"/>
  <c r="AJ60" i="37"/>
  <c r="W60" i="37"/>
  <c r="Q60" i="37"/>
  <c r="BH60" i="37"/>
  <c r="BF60" i="37"/>
  <c r="AS60" i="37"/>
  <c r="AX60" i="37"/>
  <c r="AI60" i="37"/>
  <c r="X60" i="37"/>
  <c r="I60" i="37"/>
  <c r="I101" i="37"/>
  <c r="BN60" i="37"/>
  <c r="AZ60" i="37"/>
  <c r="AL60" i="37"/>
  <c r="G60" i="37"/>
  <c r="G101" i="37"/>
  <c r="O60" i="37"/>
  <c r="BK60" i="37"/>
  <c r="BE60" i="37"/>
  <c r="AO60" i="37"/>
  <c r="AK60" i="37"/>
  <c r="AE60" i="37"/>
  <c r="Y60" i="37"/>
  <c r="L60" i="37"/>
  <c r="L101" i="37"/>
  <c r="L133" i="37"/>
  <c r="L202" i="37"/>
  <c r="L239" i="37"/>
  <c r="BJ60" i="37"/>
  <c r="AY60" i="37"/>
  <c r="AP60" i="37"/>
  <c r="AC60" i="37"/>
  <c r="M60" i="37"/>
  <c r="M101" i="37"/>
  <c r="M133" i="37"/>
  <c r="M202" i="37"/>
  <c r="M239" i="37"/>
  <c r="AA60" i="37"/>
  <c r="R60" i="37"/>
  <c r="N60" i="37"/>
  <c r="BL60" i="37"/>
  <c r="AW60" i="37"/>
  <c r="AV60" i="37"/>
  <c r="AF60" i="37"/>
  <c r="AH60" i="37"/>
  <c r="AD60" i="37"/>
  <c r="S60" i="37"/>
  <c r="J60" i="37"/>
  <c r="J101" i="37"/>
  <c r="J133" i="37"/>
  <c r="J202" i="37"/>
  <c r="J239" i="37"/>
  <c r="BG60" i="37"/>
  <c r="BB60" i="37"/>
  <c r="AT60" i="37"/>
  <c r="AG60" i="37"/>
  <c r="U60" i="37"/>
  <c r="Z60" i="37"/>
  <c r="K60" i="37"/>
  <c r="K101" i="37"/>
  <c r="K133" i="37"/>
  <c r="K202" i="37"/>
  <c r="K239" i="37"/>
  <c r="BD60" i="37"/>
  <c r="AU60" i="37"/>
  <c r="AQ60" i="37"/>
  <c r="AB60" i="37"/>
  <c r="M112" i="37"/>
  <c r="M79" i="37"/>
  <c r="L106" i="37"/>
  <c r="L108" i="37"/>
  <c r="L135" i="37"/>
  <c r="L204" i="37"/>
  <c r="L241" i="37"/>
  <c r="U90" i="37"/>
  <c r="U122" i="37"/>
  <c r="U191" i="37"/>
  <c r="U228" i="37"/>
  <c r="U91" i="37"/>
  <c r="U80" i="37"/>
  <c r="U84" i="37"/>
  <c r="U116" i="37"/>
  <c r="U185" i="37"/>
  <c r="U222" i="37"/>
  <c r="U83" i="37"/>
  <c r="U115" i="37"/>
  <c r="U184" i="37"/>
  <c r="U221" i="37"/>
  <c r="U85" i="37"/>
  <c r="U87" i="37"/>
  <c r="U119" i="37"/>
  <c r="U188" i="37"/>
  <c r="U225" i="37"/>
  <c r="U81" i="37"/>
  <c r="U113" i="37"/>
  <c r="U182" i="37"/>
  <c r="U219" i="37"/>
  <c r="U86" i="37"/>
  <c r="U118" i="37"/>
  <c r="U187" i="37"/>
  <c r="U224" i="37"/>
  <c r="U88" i="37"/>
  <c r="U82" i="37"/>
  <c r="U89" i="37"/>
  <c r="U121" i="37"/>
  <c r="U190" i="37"/>
  <c r="U227" i="37"/>
  <c r="K111" i="37"/>
  <c r="I196" i="37"/>
  <c r="I233" i="37"/>
  <c r="L126" i="37"/>
  <c r="L195" i="37"/>
  <c r="L232" i="37"/>
  <c r="L112" i="37"/>
  <c r="L79" i="37"/>
  <c r="J13" i="37"/>
  <c r="K17" i="37"/>
  <c r="K32" i="37"/>
  <c r="K26" i="37"/>
  <c r="K217" i="37"/>
  <c r="K11" i="37"/>
  <c r="K21" i="37"/>
  <c r="K20" i="37"/>
  <c r="C66" i="36"/>
  <c r="B67" i="36"/>
  <c r="M106" i="37"/>
  <c r="M108" i="37"/>
  <c r="M114" i="37"/>
  <c r="M123" i="37"/>
  <c r="M192" i="37"/>
  <c r="M229" i="37"/>
  <c r="J26" i="37"/>
  <c r="J11" i="37"/>
  <c r="L129" i="37"/>
  <c r="L198" i="37"/>
  <c r="L235" i="37"/>
  <c r="L16" i="37"/>
  <c r="N168" i="37"/>
  <c r="N76" i="37"/>
  <c r="M120" i="37"/>
  <c r="M189" i="37"/>
  <c r="M226" i="37"/>
  <c r="G138" i="37"/>
  <c r="J14" i="37"/>
  <c r="J29" i="37"/>
  <c r="M132" i="37"/>
  <c r="M201" i="37"/>
  <c r="M238" i="37"/>
  <c r="L15" i="37"/>
  <c r="L30" i="37"/>
  <c r="L120" i="37"/>
  <c r="L189" i="37"/>
  <c r="L226" i="37"/>
  <c r="L13" i="37"/>
  <c r="L123" i="37"/>
  <c r="L192" i="37"/>
  <c r="L229" i="37"/>
  <c r="L14" i="37"/>
  <c r="G23" i="37"/>
  <c r="G26" i="37"/>
  <c r="G11" i="37"/>
  <c r="T112" i="37"/>
  <c r="J30" i="37"/>
  <c r="J15" i="37"/>
  <c r="V6" i="37"/>
  <c r="W5" i="37"/>
  <c r="V176" i="37"/>
  <c r="V168" i="37"/>
  <c r="V213" i="37"/>
  <c r="V76" i="37"/>
  <c r="V174" i="37"/>
  <c r="V211" i="37"/>
  <c r="V212" i="37"/>
  <c r="V208" i="37"/>
  <c r="V209" i="37"/>
  <c r="V172" i="37"/>
  <c r="V171" i="37"/>
  <c r="V7" i="37"/>
  <c r="V175" i="37"/>
  <c r="V173" i="37"/>
  <c r="V210" i="37"/>
  <c r="J137" i="37"/>
  <c r="J138" i="37"/>
  <c r="I17" i="37"/>
  <c r="I32" i="37"/>
  <c r="M126" i="37"/>
  <c r="M195" i="37"/>
  <c r="M232" i="37"/>
  <c r="M30" i="37"/>
  <c r="G16" i="37"/>
  <c r="G31" i="37"/>
  <c r="J23" i="37"/>
  <c r="H17" i="37"/>
  <c r="H32" i="37"/>
  <c r="M13" i="37"/>
  <c r="M28" i="37"/>
  <c r="J12" i="37"/>
  <c r="J27" i="37"/>
  <c r="H196" i="37"/>
  <c r="H233" i="37"/>
  <c r="L22" i="37"/>
  <c r="P66" i="37"/>
  <c r="P72" i="37"/>
  <c r="P65" i="37"/>
  <c r="P71" i="37"/>
  <c r="Q8" i="37"/>
  <c r="P67" i="37"/>
  <c r="P73" i="37"/>
  <c r="P68" i="37"/>
  <c r="P74" i="37"/>
  <c r="S181" i="37"/>
  <c r="S218" i="37"/>
  <c r="J130" i="37"/>
  <c r="J199" i="37"/>
  <c r="J236" i="37"/>
  <c r="J217" i="37"/>
  <c r="J79" i="37"/>
  <c r="G17" i="37"/>
  <c r="G32" i="37"/>
  <c r="M17" i="37"/>
  <c r="M32" i="37"/>
  <c r="M14" i="37"/>
  <c r="M29" i="37"/>
  <c r="M183" i="37"/>
  <c r="M220" i="37"/>
  <c r="M135" i="37"/>
  <c r="M204" i="37"/>
  <c r="M241" i="37"/>
  <c r="K18" i="37"/>
  <c r="K33" i="37"/>
  <c r="L28" i="37"/>
  <c r="T181" i="37"/>
  <c r="T218" i="37"/>
  <c r="W176" i="37"/>
  <c r="W6" i="37"/>
  <c r="X5" i="37"/>
  <c r="W76" i="37"/>
  <c r="W168" i="37"/>
  <c r="W213" i="37"/>
  <c r="W212" i="37"/>
  <c r="W211" i="37"/>
  <c r="W172" i="37"/>
  <c r="W171" i="37"/>
  <c r="W208" i="37"/>
  <c r="W174" i="37"/>
  <c r="W209" i="37"/>
  <c r="W7" i="37"/>
  <c r="W173" i="37"/>
  <c r="W175" i="37"/>
  <c r="W210" i="37"/>
  <c r="L181" i="37"/>
  <c r="L218" i="37"/>
  <c r="M181" i="37"/>
  <c r="M218" i="37"/>
  <c r="N84" i="37"/>
  <c r="N116" i="37"/>
  <c r="N185" i="37"/>
  <c r="N222" i="37"/>
  <c r="N91" i="37"/>
  <c r="N90" i="37"/>
  <c r="N122" i="37"/>
  <c r="N191" i="37"/>
  <c r="N228" i="37"/>
  <c r="N80" i="37"/>
  <c r="N93" i="37"/>
  <c r="N125" i="37"/>
  <c r="N194" i="37"/>
  <c r="N231" i="37"/>
  <c r="N99" i="37"/>
  <c r="N131" i="37"/>
  <c r="N200" i="37"/>
  <c r="N237" i="37"/>
  <c r="N85" i="37"/>
  <c r="N81" i="37"/>
  <c r="N113" i="37"/>
  <c r="N182" i="37"/>
  <c r="N219" i="37"/>
  <c r="N87" i="37"/>
  <c r="N119" i="37"/>
  <c r="N188" i="37"/>
  <c r="N225" i="37"/>
  <c r="N83" i="37"/>
  <c r="N115" i="37"/>
  <c r="N184" i="37"/>
  <c r="N221" i="37"/>
  <c r="N94" i="37"/>
  <c r="N82" i="37"/>
  <c r="N86" i="37"/>
  <c r="N118" i="37"/>
  <c r="N187" i="37"/>
  <c r="N224" i="37"/>
  <c r="N88" i="37"/>
  <c r="N102" i="37"/>
  <c r="N134" i="37"/>
  <c r="N203" i="37"/>
  <c r="N240" i="37"/>
  <c r="N100" i="37"/>
  <c r="N96" i="37"/>
  <c r="N128" i="37"/>
  <c r="N197" i="37"/>
  <c r="N234" i="37"/>
  <c r="N97" i="37"/>
  <c r="N89" i="37"/>
  <c r="N121" i="37"/>
  <c r="N190" i="37"/>
  <c r="N227" i="37"/>
  <c r="N103" i="37"/>
  <c r="N92" i="37"/>
  <c r="N124" i="37"/>
  <c r="N193" i="37"/>
  <c r="N230" i="37"/>
  <c r="N95" i="37"/>
  <c r="N127" i="37"/>
  <c r="N196" i="37"/>
  <c r="N233" i="37"/>
  <c r="J17" i="37"/>
  <c r="J18" i="37"/>
  <c r="J10" i="37"/>
  <c r="J32" i="37"/>
  <c r="R8" i="37"/>
  <c r="Q65" i="37"/>
  <c r="Q71" i="37"/>
  <c r="Q66" i="37"/>
  <c r="Q72" i="37"/>
  <c r="Q67" i="37"/>
  <c r="Q73" i="37"/>
  <c r="Q68" i="37"/>
  <c r="Q74" i="37"/>
  <c r="H16" i="37"/>
  <c r="H31" i="37"/>
  <c r="K10" i="37"/>
  <c r="M129" i="37"/>
  <c r="M198" i="37"/>
  <c r="M235" i="37"/>
  <c r="M18" i="37"/>
  <c r="M33" i="37"/>
  <c r="L29" i="37"/>
  <c r="K79" i="37"/>
  <c r="I133" i="37"/>
  <c r="I79" i="37"/>
  <c r="L117" i="37"/>
  <c r="L186" i="37"/>
  <c r="L223" i="37"/>
  <c r="M117" i="37"/>
  <c r="M186" i="37"/>
  <c r="M223" i="37"/>
  <c r="K25" i="37"/>
  <c r="L114" i="37"/>
  <c r="L132" i="37"/>
  <c r="L201" i="37"/>
  <c r="L238" i="37"/>
  <c r="M15" i="37"/>
  <c r="V91" i="37"/>
  <c r="V84" i="37"/>
  <c r="V116" i="37"/>
  <c r="V185" i="37"/>
  <c r="V222" i="37"/>
  <c r="V90" i="37"/>
  <c r="V122" i="37"/>
  <c r="V191" i="37"/>
  <c r="V228" i="37"/>
  <c r="V80" i="37"/>
  <c r="V87" i="37"/>
  <c r="V119" i="37"/>
  <c r="V188" i="37"/>
  <c r="V225" i="37"/>
  <c r="V81" i="37"/>
  <c r="V113" i="37"/>
  <c r="V182" i="37"/>
  <c r="V219" i="37"/>
  <c r="V83" i="37"/>
  <c r="V115" i="37"/>
  <c r="V184" i="37"/>
  <c r="V221" i="37"/>
  <c r="V85" i="37"/>
  <c r="V82" i="37"/>
  <c r="V86" i="37"/>
  <c r="V118" i="37"/>
  <c r="V187" i="37"/>
  <c r="V224" i="37"/>
  <c r="V88" i="37"/>
  <c r="V89" i="37"/>
  <c r="V121" i="37"/>
  <c r="V190" i="37"/>
  <c r="V227" i="37"/>
  <c r="N98" i="37"/>
  <c r="N130" i="37"/>
  <c r="N199" i="37"/>
  <c r="N236" i="37"/>
  <c r="U112" i="37"/>
  <c r="I16" i="37"/>
  <c r="I31" i="37"/>
  <c r="L31" i="37"/>
  <c r="H133" i="37"/>
  <c r="H79" i="37"/>
  <c r="J21" i="37"/>
  <c r="J20" i="37"/>
  <c r="C67" i="36"/>
  <c r="B68" i="36"/>
  <c r="J111" i="37"/>
  <c r="J33" i="37"/>
  <c r="J25" i="37"/>
  <c r="N101" i="37"/>
  <c r="N133" i="37"/>
  <c r="N202" i="37"/>
  <c r="N239" i="37"/>
  <c r="L18" i="37"/>
  <c r="L33" i="37"/>
  <c r="G133" i="37"/>
  <c r="G79" i="37"/>
  <c r="L183" i="37"/>
  <c r="L220" i="37"/>
  <c r="L23" i="37"/>
  <c r="L137" i="37"/>
  <c r="M16" i="37"/>
  <c r="M31" i="37"/>
  <c r="S8" i="37"/>
  <c r="R65" i="37"/>
  <c r="R71" i="37"/>
  <c r="R66" i="37"/>
  <c r="R72" i="37"/>
  <c r="R67" i="37"/>
  <c r="R73" i="37"/>
  <c r="R68" i="37"/>
  <c r="R74" i="37"/>
  <c r="M137" i="37"/>
  <c r="M138" i="37"/>
  <c r="P76" i="37"/>
  <c r="H202" i="37"/>
  <c r="H239" i="37"/>
  <c r="H111" i="37"/>
  <c r="M12" i="37"/>
  <c r="M27" i="37"/>
  <c r="M111" i="37"/>
  <c r="W91" i="37"/>
  <c r="W90" i="37"/>
  <c r="W122" i="37"/>
  <c r="W191" i="37"/>
  <c r="W228" i="37"/>
  <c r="W80" i="37"/>
  <c r="W84" i="37"/>
  <c r="W116" i="37"/>
  <c r="W185" i="37"/>
  <c r="W222" i="37"/>
  <c r="W81" i="37"/>
  <c r="W113" i="37"/>
  <c r="W182" i="37"/>
  <c r="W219" i="37"/>
  <c r="W87" i="37"/>
  <c r="W119" i="37"/>
  <c r="W188" i="37"/>
  <c r="W225" i="37"/>
  <c r="W85" i="37"/>
  <c r="W83" i="37"/>
  <c r="W115" i="37"/>
  <c r="W184" i="37"/>
  <c r="W221" i="37"/>
  <c r="W88" i="37"/>
  <c r="W86" i="37"/>
  <c r="W118" i="37"/>
  <c r="W187" i="37"/>
  <c r="W224" i="37"/>
  <c r="W82" i="37"/>
  <c r="W89" i="37"/>
  <c r="W121" i="37"/>
  <c r="W190" i="37"/>
  <c r="W227" i="37"/>
  <c r="M23" i="37"/>
  <c r="G202" i="37"/>
  <c r="G239" i="37"/>
  <c r="G111" i="37"/>
  <c r="L12" i="37"/>
  <c r="L27" i="37"/>
  <c r="N106" i="37"/>
  <c r="N108" i="37"/>
  <c r="N132" i="37"/>
  <c r="N201" i="37"/>
  <c r="N238" i="37"/>
  <c r="N32" i="37"/>
  <c r="N22" i="37"/>
  <c r="M217" i="37"/>
  <c r="M26" i="37"/>
  <c r="M25" i="37"/>
  <c r="M11" i="37"/>
  <c r="M10" i="37"/>
  <c r="M21" i="37"/>
  <c r="M20" i="37"/>
  <c r="X6" i="37"/>
  <c r="Y5" i="37"/>
  <c r="X176" i="37"/>
  <c r="X76" i="37"/>
  <c r="X168" i="37"/>
  <c r="X213" i="37"/>
  <c r="X172" i="37"/>
  <c r="X211" i="37"/>
  <c r="X174" i="37"/>
  <c r="X212" i="37"/>
  <c r="X171" i="37"/>
  <c r="X208" i="37"/>
  <c r="X209" i="37"/>
  <c r="X7" i="37"/>
  <c r="X175" i="37"/>
  <c r="X210" i="37"/>
  <c r="X173" i="37"/>
  <c r="U181" i="37"/>
  <c r="U218" i="37"/>
  <c r="C68" i="36"/>
  <c r="B69" i="36"/>
  <c r="C69" i="36"/>
  <c r="N120" i="37"/>
  <c r="N189" i="37"/>
  <c r="N226" i="37"/>
  <c r="N13" i="37"/>
  <c r="L26" i="37"/>
  <c r="L217" i="37"/>
  <c r="L11" i="37"/>
  <c r="L21" i="37"/>
  <c r="L20" i="37"/>
  <c r="V112" i="37"/>
  <c r="L111" i="37"/>
  <c r="L32" i="37"/>
  <c r="L17" i="37"/>
  <c r="I202" i="37"/>
  <c r="I239" i="37"/>
  <c r="I111" i="37"/>
  <c r="N117" i="37"/>
  <c r="N186" i="37"/>
  <c r="N223" i="37"/>
  <c r="N114" i="37"/>
  <c r="N79" i="37"/>
  <c r="N112" i="37"/>
  <c r="N27" i="37"/>
  <c r="N12" i="37"/>
  <c r="N183" i="37"/>
  <c r="N220" i="37"/>
  <c r="I18" i="37"/>
  <c r="I10" i="37"/>
  <c r="I33" i="37"/>
  <c r="I25" i="37"/>
  <c r="I217" i="37"/>
  <c r="I21" i="37"/>
  <c r="I20" i="37"/>
  <c r="L25" i="37"/>
  <c r="O76" i="37"/>
  <c r="Q76" i="37"/>
  <c r="R76" i="37"/>
  <c r="O168" i="37"/>
  <c r="P168" i="37"/>
  <c r="Q168" i="37"/>
  <c r="N17" i="37"/>
  <c r="P80" i="37"/>
  <c r="P91" i="37"/>
  <c r="P84" i="37"/>
  <c r="P116" i="37"/>
  <c r="P185" i="37"/>
  <c r="P222" i="37"/>
  <c r="P90" i="37"/>
  <c r="P122" i="37"/>
  <c r="P191" i="37"/>
  <c r="P228" i="37"/>
  <c r="P87" i="37"/>
  <c r="P119" i="37"/>
  <c r="P85" i="37"/>
  <c r="P81" i="37"/>
  <c r="P113" i="37"/>
  <c r="P99" i="37"/>
  <c r="P131" i="37"/>
  <c r="P83" i="37"/>
  <c r="P115" i="37"/>
  <c r="P93" i="37"/>
  <c r="P125" i="37"/>
  <c r="P194" i="37"/>
  <c r="P231" i="37"/>
  <c r="P100" i="37"/>
  <c r="P82" i="37"/>
  <c r="P102" i="37"/>
  <c r="P134" i="37"/>
  <c r="P203" i="37"/>
  <c r="P240" i="37"/>
  <c r="P88" i="37"/>
  <c r="P94" i="37"/>
  <c r="P86" i="37"/>
  <c r="P118" i="37"/>
  <c r="P187" i="37"/>
  <c r="P224" i="37"/>
  <c r="P96" i="37"/>
  <c r="P128" i="37"/>
  <c r="P197" i="37"/>
  <c r="P234" i="37"/>
  <c r="P89" i="37"/>
  <c r="P121" i="37"/>
  <c r="P190" i="37"/>
  <c r="P227" i="37"/>
  <c r="P97" i="37"/>
  <c r="P103" i="37"/>
  <c r="P92" i="37"/>
  <c r="P124" i="37"/>
  <c r="P193" i="37"/>
  <c r="P230" i="37"/>
  <c r="P95" i="37"/>
  <c r="P127" i="37"/>
  <c r="P196" i="37"/>
  <c r="P233" i="37"/>
  <c r="P98" i="37"/>
  <c r="P130" i="37"/>
  <c r="P199" i="37"/>
  <c r="P236" i="37"/>
  <c r="P101" i="37"/>
  <c r="P133" i="37"/>
  <c r="P202" i="37"/>
  <c r="P239" i="37"/>
  <c r="L138" i="37"/>
  <c r="N129" i="37"/>
  <c r="N198" i="37"/>
  <c r="N235" i="37"/>
  <c r="N126" i="37"/>
  <c r="N195" i="37"/>
  <c r="N232" i="37"/>
  <c r="N123" i="37"/>
  <c r="N192" i="37"/>
  <c r="N229" i="37"/>
  <c r="S65" i="37"/>
  <c r="S71" i="37"/>
  <c r="T8" i="37"/>
  <c r="S66" i="37"/>
  <c r="S72" i="37"/>
  <c r="S67" i="37"/>
  <c r="S73" i="37"/>
  <c r="S68" i="37"/>
  <c r="S74" i="37"/>
  <c r="V181" i="37"/>
  <c r="V218" i="37"/>
  <c r="X91" i="37"/>
  <c r="X84" i="37"/>
  <c r="X116" i="37"/>
  <c r="X185" i="37"/>
  <c r="X222" i="37"/>
  <c r="X90" i="37"/>
  <c r="X122" i="37"/>
  <c r="X191" i="37"/>
  <c r="X228" i="37"/>
  <c r="X80" i="37"/>
  <c r="X83" i="37"/>
  <c r="X115" i="37"/>
  <c r="X184" i="37"/>
  <c r="X221" i="37"/>
  <c r="X85" i="37"/>
  <c r="X87" i="37"/>
  <c r="X119" i="37"/>
  <c r="X188" i="37"/>
  <c r="X225" i="37"/>
  <c r="X81" i="37"/>
  <c r="X113" i="37"/>
  <c r="X182" i="37"/>
  <c r="X219" i="37"/>
  <c r="X82" i="37"/>
  <c r="X88" i="37"/>
  <c r="X86" i="37"/>
  <c r="X118" i="37"/>
  <c r="X187" i="37"/>
  <c r="X224" i="37"/>
  <c r="X89" i="37"/>
  <c r="X121" i="37"/>
  <c r="X190" i="37"/>
  <c r="X227" i="37"/>
  <c r="G18" i="37"/>
  <c r="G33" i="37"/>
  <c r="G217" i="37"/>
  <c r="G21" i="37"/>
  <c r="W112" i="37"/>
  <c r="N135" i="37"/>
  <c r="N204" i="37"/>
  <c r="N241" i="37"/>
  <c r="Y6" i="37"/>
  <c r="Z5" i="37"/>
  <c r="Y176" i="37"/>
  <c r="Y76" i="37"/>
  <c r="Y168" i="37"/>
  <c r="Y213" i="37"/>
  <c r="Y212" i="37"/>
  <c r="Y209" i="37"/>
  <c r="Y211" i="37"/>
  <c r="Y174" i="37"/>
  <c r="Y171" i="37"/>
  <c r="Y172" i="37"/>
  <c r="Y208" i="37"/>
  <c r="Y7" i="37"/>
  <c r="Y175" i="37"/>
  <c r="Y173" i="37"/>
  <c r="Y210" i="37"/>
  <c r="H18" i="37"/>
  <c r="H10" i="37"/>
  <c r="H33" i="37"/>
  <c r="H25" i="37"/>
  <c r="H21" i="37"/>
  <c r="H20" i="37"/>
  <c r="H217" i="37"/>
  <c r="N28" i="37"/>
  <c r="L10" i="37"/>
  <c r="N181" i="37"/>
  <c r="N218" i="37"/>
  <c r="R168" i="37"/>
  <c r="N18" i="37"/>
  <c r="N33" i="37"/>
  <c r="W181" i="37"/>
  <c r="W218" i="37"/>
  <c r="G20" i="37"/>
  <c r="G10" i="37"/>
  <c r="S92" i="37"/>
  <c r="S94" i="37"/>
  <c r="S93" i="37"/>
  <c r="S125" i="37"/>
  <c r="S194" i="37"/>
  <c r="S231" i="37"/>
  <c r="N16" i="37"/>
  <c r="N31" i="37"/>
  <c r="P106" i="37"/>
  <c r="P108" i="37"/>
  <c r="P135" i="37"/>
  <c r="P204" i="37"/>
  <c r="P241" i="37"/>
  <c r="P114" i="37"/>
  <c r="R80" i="37"/>
  <c r="R91" i="37"/>
  <c r="R84" i="37"/>
  <c r="R116" i="37"/>
  <c r="R185" i="37"/>
  <c r="R222" i="37"/>
  <c r="R90" i="37"/>
  <c r="R122" i="37"/>
  <c r="R191" i="37"/>
  <c r="R228" i="37"/>
  <c r="R93" i="37"/>
  <c r="R125" i="37"/>
  <c r="R194" i="37"/>
  <c r="R231" i="37"/>
  <c r="R87" i="37"/>
  <c r="R119" i="37"/>
  <c r="R188" i="37"/>
  <c r="R225" i="37"/>
  <c r="R85" i="37"/>
  <c r="R83" i="37"/>
  <c r="R115" i="37"/>
  <c r="R184" i="37"/>
  <c r="R221" i="37"/>
  <c r="R81" i="37"/>
  <c r="R113" i="37"/>
  <c r="R182" i="37"/>
  <c r="R219" i="37"/>
  <c r="R99" i="37"/>
  <c r="R131" i="37"/>
  <c r="R200" i="37"/>
  <c r="R237" i="37"/>
  <c r="R100" i="37"/>
  <c r="R86" i="37"/>
  <c r="R118" i="37"/>
  <c r="R187" i="37"/>
  <c r="R224" i="37"/>
  <c r="R82" i="37"/>
  <c r="R94" i="37"/>
  <c r="R88" i="37"/>
  <c r="R102" i="37"/>
  <c r="R134" i="37"/>
  <c r="R203" i="37"/>
  <c r="R240" i="37"/>
  <c r="R96" i="37"/>
  <c r="R128" i="37"/>
  <c r="R197" i="37"/>
  <c r="R234" i="37"/>
  <c r="R103" i="37"/>
  <c r="R89" i="37"/>
  <c r="R121" i="37"/>
  <c r="R190" i="37"/>
  <c r="R227" i="37"/>
  <c r="R97" i="37"/>
  <c r="R92" i="37"/>
  <c r="R124" i="37"/>
  <c r="R193" i="37"/>
  <c r="R230" i="37"/>
  <c r="R95" i="37"/>
  <c r="R127" i="37"/>
  <c r="R196" i="37"/>
  <c r="R233" i="37"/>
  <c r="R98" i="37"/>
  <c r="R130" i="37"/>
  <c r="R199" i="37"/>
  <c r="R236" i="37"/>
  <c r="R101" i="37"/>
  <c r="R133" i="37"/>
  <c r="R202" i="37"/>
  <c r="R239" i="37"/>
  <c r="P129" i="37"/>
  <c r="P198" i="37"/>
  <c r="P235" i="37"/>
  <c r="P132" i="37"/>
  <c r="P201" i="37"/>
  <c r="P238" i="37"/>
  <c r="Q90" i="37"/>
  <c r="Q122" i="37"/>
  <c r="Q191" i="37"/>
  <c r="Q228" i="37"/>
  <c r="Q80" i="37"/>
  <c r="Q91" i="37"/>
  <c r="Q84" i="37"/>
  <c r="Q116" i="37"/>
  <c r="Q185" i="37"/>
  <c r="Q222" i="37"/>
  <c r="Q81" i="37"/>
  <c r="Q113" i="37"/>
  <c r="Q182" i="37"/>
  <c r="Q219" i="37"/>
  <c r="Q85" i="37"/>
  <c r="Q99" i="37"/>
  <c r="Q131" i="37"/>
  <c r="Q200" i="37"/>
  <c r="Q237" i="37"/>
  <c r="Q87" i="37"/>
  <c r="Q119" i="37"/>
  <c r="Q188" i="37"/>
  <c r="Q225" i="37"/>
  <c r="Q83" i="37"/>
  <c r="Q115" i="37"/>
  <c r="Q184" i="37"/>
  <c r="Q221" i="37"/>
  <c r="Q93" i="37"/>
  <c r="Q125" i="37"/>
  <c r="Q194" i="37"/>
  <c r="Q231" i="37"/>
  <c r="Q86" i="37"/>
  <c r="Q118" i="37"/>
  <c r="Q187" i="37"/>
  <c r="Q224" i="37"/>
  <c r="Q88" i="37"/>
  <c r="Q100" i="37"/>
  <c r="Q94" i="37"/>
  <c r="Q102" i="37"/>
  <c r="Q134" i="37"/>
  <c r="Q203" i="37"/>
  <c r="Q240" i="37"/>
  <c r="Q82" i="37"/>
  <c r="Q96" i="37"/>
  <c r="Q128" i="37"/>
  <c r="Q197" i="37"/>
  <c r="Q234" i="37"/>
  <c r="Q103" i="37"/>
  <c r="Q89" i="37"/>
  <c r="Q121" i="37"/>
  <c r="Q190" i="37"/>
  <c r="Q227" i="37"/>
  <c r="Q97" i="37"/>
  <c r="Q92" i="37"/>
  <c r="Q124" i="37"/>
  <c r="Q193" i="37"/>
  <c r="Q230" i="37"/>
  <c r="Q95" i="37"/>
  <c r="Q127" i="37"/>
  <c r="Q196" i="37"/>
  <c r="Q233" i="37"/>
  <c r="Q98" i="37"/>
  <c r="Q130" i="37"/>
  <c r="Q199" i="37"/>
  <c r="Q236" i="37"/>
  <c r="Q101" i="37"/>
  <c r="Q133" i="37"/>
  <c r="Q202" i="37"/>
  <c r="Q239" i="37"/>
  <c r="N137" i="37"/>
  <c r="N138" i="37"/>
  <c r="P123" i="37"/>
  <c r="P192" i="37"/>
  <c r="P229" i="37"/>
  <c r="P14" i="37"/>
  <c r="P29" i="37"/>
  <c r="O84" i="37"/>
  <c r="O116" i="37"/>
  <c r="O185" i="37"/>
  <c r="O222" i="37"/>
  <c r="O91" i="37"/>
  <c r="O80" i="37"/>
  <c r="O90" i="37"/>
  <c r="O122" i="37"/>
  <c r="O191" i="37"/>
  <c r="O228" i="37"/>
  <c r="O83" i="37"/>
  <c r="O115" i="37"/>
  <c r="O184" i="37"/>
  <c r="O221" i="37"/>
  <c r="O87" i="37"/>
  <c r="O119" i="37"/>
  <c r="O188" i="37"/>
  <c r="O225" i="37"/>
  <c r="O93" i="37"/>
  <c r="O125" i="37"/>
  <c r="O194" i="37"/>
  <c r="O231" i="37"/>
  <c r="O81" i="37"/>
  <c r="O113" i="37"/>
  <c r="O182" i="37"/>
  <c r="O219" i="37"/>
  <c r="O99" i="37"/>
  <c r="O131" i="37"/>
  <c r="O200" i="37"/>
  <c r="O237" i="37"/>
  <c r="O85" i="37"/>
  <c r="O100" i="37"/>
  <c r="O82" i="37"/>
  <c r="O86" i="37"/>
  <c r="O118" i="37"/>
  <c r="O187" i="37"/>
  <c r="O224" i="37"/>
  <c r="O88" i="37"/>
  <c r="O102" i="37"/>
  <c r="O134" i="37"/>
  <c r="O203" i="37"/>
  <c r="O240" i="37"/>
  <c r="O94" i="37"/>
  <c r="O96" i="37"/>
  <c r="O128" i="37"/>
  <c r="O197" i="37"/>
  <c r="O234" i="37"/>
  <c r="O89" i="37"/>
  <c r="O121" i="37"/>
  <c r="O190" i="37"/>
  <c r="O227" i="37"/>
  <c r="O103" i="37"/>
  <c r="O97" i="37"/>
  <c r="O92" i="37"/>
  <c r="O124" i="37"/>
  <c r="O193" i="37"/>
  <c r="O230" i="37"/>
  <c r="O95" i="37"/>
  <c r="O127" i="37"/>
  <c r="O196" i="37"/>
  <c r="O233" i="37"/>
  <c r="O98" i="37"/>
  <c r="O130" i="37"/>
  <c r="O199" i="37"/>
  <c r="O236" i="37"/>
  <c r="O101" i="37"/>
  <c r="O133" i="37"/>
  <c r="O202" i="37"/>
  <c r="O239" i="37"/>
  <c r="N23" i="37"/>
  <c r="P184" i="37"/>
  <c r="P221" i="37"/>
  <c r="P112" i="37"/>
  <c r="P79" i="37"/>
  <c r="N111" i="37"/>
  <c r="N217" i="37"/>
  <c r="N26" i="37"/>
  <c r="N11" i="37"/>
  <c r="N21" i="37"/>
  <c r="N20" i="37"/>
  <c r="Z6" i="37"/>
  <c r="AA5" i="37"/>
  <c r="Z176" i="37"/>
  <c r="Z76" i="37"/>
  <c r="Z168" i="37"/>
  <c r="Z174" i="37"/>
  <c r="Z211" i="37"/>
  <c r="Z212" i="37"/>
  <c r="Z172" i="37"/>
  <c r="Z209" i="37"/>
  <c r="Z171" i="37"/>
  <c r="Z213" i="37"/>
  <c r="Z7" i="37"/>
  <c r="Z208" i="37"/>
  <c r="Z175" i="37"/>
  <c r="Z210" i="37"/>
  <c r="Z173" i="37"/>
  <c r="S103" i="37"/>
  <c r="S102" i="37"/>
  <c r="S134" i="37"/>
  <c r="S203" i="37"/>
  <c r="S240" i="37"/>
  <c r="S101" i="37"/>
  <c r="S133" i="37"/>
  <c r="S202" i="37"/>
  <c r="S239" i="37"/>
  <c r="N30" i="37"/>
  <c r="N15" i="37"/>
  <c r="P200" i="37"/>
  <c r="P237" i="37"/>
  <c r="P17" i="37"/>
  <c r="P32" i="37"/>
  <c r="P126" i="37"/>
  <c r="P195" i="37"/>
  <c r="P232" i="37"/>
  <c r="P30" i="37"/>
  <c r="P182" i="37"/>
  <c r="P219" i="37"/>
  <c r="P16" i="37"/>
  <c r="P31" i="37"/>
  <c r="P120" i="37"/>
  <c r="P189" i="37"/>
  <c r="P226" i="37"/>
  <c r="P117" i="37"/>
  <c r="P186" i="37"/>
  <c r="P223" i="37"/>
  <c r="N14" i="37"/>
  <c r="N29" i="37"/>
  <c r="Y90" i="37"/>
  <c r="Y122" i="37"/>
  <c r="Y191" i="37"/>
  <c r="Y228" i="37"/>
  <c r="Y80" i="37"/>
  <c r="Y91" i="37"/>
  <c r="Y84" i="37"/>
  <c r="Y116" i="37"/>
  <c r="Y185" i="37"/>
  <c r="Y222" i="37"/>
  <c r="Y85" i="37"/>
  <c r="Y83" i="37"/>
  <c r="Y115" i="37"/>
  <c r="Y184" i="37"/>
  <c r="Y221" i="37"/>
  <c r="Y87" i="37"/>
  <c r="Y119" i="37"/>
  <c r="Y188" i="37"/>
  <c r="Y225" i="37"/>
  <c r="Y81" i="37"/>
  <c r="Y113" i="37"/>
  <c r="Y182" i="37"/>
  <c r="Y219" i="37"/>
  <c r="Y88" i="37"/>
  <c r="Y86" i="37"/>
  <c r="Y118" i="37"/>
  <c r="Y187" i="37"/>
  <c r="Y224" i="37"/>
  <c r="Y82" i="37"/>
  <c r="Y89" i="37"/>
  <c r="Y121" i="37"/>
  <c r="Y190" i="37"/>
  <c r="Y227" i="37"/>
  <c r="S99" i="37"/>
  <c r="S131" i="37"/>
  <c r="S200" i="37"/>
  <c r="S237" i="37"/>
  <c r="S100" i="37"/>
  <c r="S98" i="37"/>
  <c r="S130" i="37"/>
  <c r="S199" i="37"/>
  <c r="S236" i="37"/>
  <c r="X112" i="37"/>
  <c r="S97" i="37"/>
  <c r="S96" i="37"/>
  <c r="S128" i="37"/>
  <c r="S197" i="37"/>
  <c r="S234" i="37"/>
  <c r="S95" i="37"/>
  <c r="S127" i="37"/>
  <c r="S196" i="37"/>
  <c r="S233" i="37"/>
  <c r="G25" i="37"/>
  <c r="T67" i="37"/>
  <c r="T73" i="37"/>
  <c r="U8" i="37"/>
  <c r="T66" i="37"/>
  <c r="T72" i="37"/>
  <c r="T65" i="37"/>
  <c r="T71" i="37"/>
  <c r="T68" i="37"/>
  <c r="T74" i="37"/>
  <c r="P188" i="37"/>
  <c r="P225" i="37"/>
  <c r="P28" i="37"/>
  <c r="P18" i="37"/>
  <c r="P33" i="37"/>
  <c r="O106" i="37"/>
  <c r="O108" i="37"/>
  <c r="O135" i="37"/>
  <c r="O204" i="37"/>
  <c r="O241" i="37"/>
  <c r="O114" i="37"/>
  <c r="Q106" i="37"/>
  <c r="Q108" i="37"/>
  <c r="Q135" i="37"/>
  <c r="Q204" i="37"/>
  <c r="Q241" i="37"/>
  <c r="Q18" i="37"/>
  <c r="Q114" i="37"/>
  <c r="S106" i="37"/>
  <c r="S108" i="37"/>
  <c r="S126" i="37"/>
  <c r="S195" i="37"/>
  <c r="S232" i="37"/>
  <c r="O79" i="37"/>
  <c r="O112" i="37"/>
  <c r="R22" i="37"/>
  <c r="R79" i="37"/>
  <c r="R112" i="37"/>
  <c r="S124" i="37"/>
  <c r="S193" i="37"/>
  <c r="S230" i="37"/>
  <c r="S79" i="37"/>
  <c r="O117" i="37"/>
  <c r="O186" i="37"/>
  <c r="O223" i="37"/>
  <c r="O12" i="37"/>
  <c r="O123" i="37"/>
  <c r="O192" i="37"/>
  <c r="O229" i="37"/>
  <c r="O14" i="37"/>
  <c r="Q126" i="37"/>
  <c r="Q195" i="37"/>
  <c r="Q232" i="37"/>
  <c r="Q117" i="37"/>
  <c r="Q186" i="37"/>
  <c r="Q223" i="37"/>
  <c r="P183" i="37"/>
  <c r="P220" i="37"/>
  <c r="P23" i="37"/>
  <c r="P137" i="37"/>
  <c r="P138" i="37"/>
  <c r="Q33" i="37"/>
  <c r="Q79" i="37"/>
  <c r="Q112" i="37"/>
  <c r="P12" i="37"/>
  <c r="P27" i="37"/>
  <c r="Q12" i="37"/>
  <c r="Q27" i="37"/>
  <c r="P15" i="37"/>
  <c r="AA6" i="37"/>
  <c r="AB5" i="37"/>
  <c r="AA176" i="37"/>
  <c r="AA213" i="37"/>
  <c r="AA76" i="37"/>
  <c r="AA168" i="37"/>
  <c r="AA174" i="37"/>
  <c r="AA212" i="37"/>
  <c r="AA211" i="37"/>
  <c r="AA209" i="37"/>
  <c r="AA208" i="37"/>
  <c r="AA171" i="37"/>
  <c r="AA172" i="37"/>
  <c r="AA7" i="37"/>
  <c r="AA173" i="37"/>
  <c r="AA210" i="37"/>
  <c r="AA175" i="37"/>
  <c r="Q15" i="37"/>
  <c r="Q30" i="37"/>
  <c r="Q132" i="37"/>
  <c r="Q201" i="37"/>
  <c r="Q238" i="37"/>
  <c r="Q17" i="37"/>
  <c r="Q22" i="37"/>
  <c r="T100" i="37"/>
  <c r="T99" i="37"/>
  <c r="T131" i="37"/>
  <c r="T200" i="37"/>
  <c r="T237" i="37"/>
  <c r="T98" i="37"/>
  <c r="T130" i="37"/>
  <c r="T199" i="37"/>
  <c r="T236" i="37"/>
  <c r="P181" i="37"/>
  <c r="P218" i="37"/>
  <c r="P111" i="37"/>
  <c r="O120" i="37"/>
  <c r="O189" i="37"/>
  <c r="O226" i="37"/>
  <c r="N10" i="37"/>
  <c r="O13" i="37"/>
  <c r="O28" i="37"/>
  <c r="S22" i="37"/>
  <c r="X181" i="37"/>
  <c r="X218" i="37"/>
  <c r="N25" i="37"/>
  <c r="Z84" i="37"/>
  <c r="Z116" i="37"/>
  <c r="Z185" i="37"/>
  <c r="Z222" i="37"/>
  <c r="Z90" i="37"/>
  <c r="Z122" i="37"/>
  <c r="Z191" i="37"/>
  <c r="Z228" i="37"/>
  <c r="Z91" i="37"/>
  <c r="Z80" i="37"/>
  <c r="Z85" i="37"/>
  <c r="Z81" i="37"/>
  <c r="Z113" i="37"/>
  <c r="Z182" i="37"/>
  <c r="Z219" i="37"/>
  <c r="Z83" i="37"/>
  <c r="Z115" i="37"/>
  <c r="Z184" i="37"/>
  <c r="Z221" i="37"/>
  <c r="Z87" i="37"/>
  <c r="Z119" i="37"/>
  <c r="Z188" i="37"/>
  <c r="Z225" i="37"/>
  <c r="Z88" i="37"/>
  <c r="Z86" i="37"/>
  <c r="Z118" i="37"/>
  <c r="Z187" i="37"/>
  <c r="Z224" i="37"/>
  <c r="Z82" i="37"/>
  <c r="Z89" i="37"/>
  <c r="Z121" i="37"/>
  <c r="Z190" i="37"/>
  <c r="Z227" i="37"/>
  <c r="T103" i="37"/>
  <c r="T102" i="37"/>
  <c r="T134" i="37"/>
  <c r="T203" i="37"/>
  <c r="T240" i="37"/>
  <c r="T101" i="37"/>
  <c r="T133" i="37"/>
  <c r="T202" i="37"/>
  <c r="T239" i="37"/>
  <c r="S135" i="37"/>
  <c r="S204" i="37"/>
  <c r="S241" i="37"/>
  <c r="S18" i="37"/>
  <c r="T92" i="37"/>
  <c r="T93" i="37"/>
  <c r="T125" i="37"/>
  <c r="T194" i="37"/>
  <c r="T231" i="37"/>
  <c r="T94" i="37"/>
  <c r="P13" i="37"/>
  <c r="T97" i="37"/>
  <c r="T96" i="37"/>
  <c r="T128" i="37"/>
  <c r="T197" i="37"/>
  <c r="T234" i="37"/>
  <c r="T95" i="37"/>
  <c r="T127" i="37"/>
  <c r="T196" i="37"/>
  <c r="T233" i="37"/>
  <c r="S132" i="37"/>
  <c r="S201" i="37"/>
  <c r="S238" i="37"/>
  <c r="S17" i="37"/>
  <c r="S32" i="37"/>
  <c r="O126" i="37"/>
  <c r="O195" i="37"/>
  <c r="O232" i="37"/>
  <c r="O30" i="37"/>
  <c r="O22" i="37"/>
  <c r="Q129" i="37"/>
  <c r="Q198" i="37"/>
  <c r="Q235" i="37"/>
  <c r="Q31" i="37"/>
  <c r="Q120" i="37"/>
  <c r="Q189" i="37"/>
  <c r="Q226" i="37"/>
  <c r="R106" i="37"/>
  <c r="R108" i="37"/>
  <c r="R126" i="37"/>
  <c r="R195" i="37"/>
  <c r="R232" i="37"/>
  <c r="O15" i="37"/>
  <c r="U67" i="37"/>
  <c r="U73" i="37"/>
  <c r="U66" i="37"/>
  <c r="U72" i="37"/>
  <c r="U65" i="37"/>
  <c r="U71" i="37"/>
  <c r="V8" i="37"/>
  <c r="U68" i="37"/>
  <c r="U74" i="37"/>
  <c r="Y112" i="37"/>
  <c r="P22" i="37"/>
  <c r="Q123" i="37"/>
  <c r="Q192" i="37"/>
  <c r="Q229" i="37"/>
  <c r="Q29" i="37"/>
  <c r="Q13" i="37"/>
  <c r="Q28" i="37"/>
  <c r="Q14" i="37"/>
  <c r="R15" i="37"/>
  <c r="R30" i="37"/>
  <c r="R120" i="37"/>
  <c r="R189" i="37"/>
  <c r="R226" i="37"/>
  <c r="O18" i="37"/>
  <c r="O33" i="37"/>
  <c r="R13" i="37"/>
  <c r="R28" i="37"/>
  <c r="Q16" i="37"/>
  <c r="T106" i="37"/>
  <c r="T108" i="37"/>
  <c r="T132" i="37"/>
  <c r="T201" i="37"/>
  <c r="T238" i="37"/>
  <c r="O183" i="37"/>
  <c r="O220" i="37"/>
  <c r="T22" i="37"/>
  <c r="Q32" i="37"/>
  <c r="S123" i="37"/>
  <c r="S192" i="37"/>
  <c r="S229" i="37"/>
  <c r="S117" i="37"/>
  <c r="S186" i="37"/>
  <c r="S223" i="37"/>
  <c r="S120" i="37"/>
  <c r="S189" i="37"/>
  <c r="S226" i="37"/>
  <c r="S114" i="37"/>
  <c r="Y181" i="37"/>
  <c r="Y218" i="37"/>
  <c r="S129" i="37"/>
  <c r="S198" i="37"/>
  <c r="S235" i="37"/>
  <c r="T124" i="37"/>
  <c r="T193" i="37"/>
  <c r="T230" i="37"/>
  <c r="T79" i="37"/>
  <c r="AA80" i="37"/>
  <c r="AA90" i="37"/>
  <c r="AA122" i="37"/>
  <c r="AA191" i="37"/>
  <c r="AA228" i="37"/>
  <c r="AA91" i="37"/>
  <c r="AA84" i="37"/>
  <c r="AA116" i="37"/>
  <c r="AA185" i="37"/>
  <c r="AA222" i="37"/>
  <c r="AA87" i="37"/>
  <c r="AA119" i="37"/>
  <c r="AA188" i="37"/>
  <c r="AA225" i="37"/>
  <c r="AA81" i="37"/>
  <c r="AA113" i="37"/>
  <c r="AA182" i="37"/>
  <c r="AA219" i="37"/>
  <c r="AA85" i="37"/>
  <c r="AA83" i="37"/>
  <c r="AA115" i="37"/>
  <c r="AA184" i="37"/>
  <c r="AA221" i="37"/>
  <c r="AA86" i="37"/>
  <c r="AA118" i="37"/>
  <c r="AA187" i="37"/>
  <c r="AA224" i="37"/>
  <c r="AA88" i="37"/>
  <c r="AA82" i="37"/>
  <c r="AA89" i="37"/>
  <c r="AA121" i="37"/>
  <c r="AA190" i="37"/>
  <c r="AA227" i="37"/>
  <c r="O29" i="37"/>
  <c r="R123" i="37"/>
  <c r="R192" i="37"/>
  <c r="R229" i="37"/>
  <c r="O129" i="37"/>
  <c r="O198" i="37"/>
  <c r="O235" i="37"/>
  <c r="U96" i="37"/>
  <c r="U128" i="37"/>
  <c r="U197" i="37"/>
  <c r="U234" i="37"/>
  <c r="U97" i="37"/>
  <c r="U95" i="37"/>
  <c r="U127" i="37"/>
  <c r="U196" i="37"/>
  <c r="U233" i="37"/>
  <c r="Z112" i="37"/>
  <c r="O181" i="37"/>
  <c r="O218" i="37"/>
  <c r="R135" i="37"/>
  <c r="R204" i="37"/>
  <c r="R241" i="37"/>
  <c r="U98" i="37"/>
  <c r="U130" i="37"/>
  <c r="U199" i="37"/>
  <c r="U236" i="37"/>
  <c r="U100" i="37"/>
  <c r="U99" i="37"/>
  <c r="U131" i="37"/>
  <c r="U200" i="37"/>
  <c r="U237" i="37"/>
  <c r="Q183" i="37"/>
  <c r="Q220" i="37"/>
  <c r="Q23" i="37"/>
  <c r="Q137" i="37"/>
  <c r="Q138" i="37"/>
  <c r="U102" i="37"/>
  <c r="U134" i="37"/>
  <c r="U203" i="37"/>
  <c r="U240" i="37"/>
  <c r="U103" i="37"/>
  <c r="U101" i="37"/>
  <c r="U133" i="37"/>
  <c r="U202" i="37"/>
  <c r="U239" i="37"/>
  <c r="R114" i="37"/>
  <c r="V65" i="37"/>
  <c r="V71" i="37"/>
  <c r="V67" i="37"/>
  <c r="V73" i="37"/>
  <c r="W8" i="37"/>
  <c r="V66" i="37"/>
  <c r="V72" i="37"/>
  <c r="V68" i="37"/>
  <c r="V74" i="37"/>
  <c r="R132" i="37"/>
  <c r="R201" i="37"/>
  <c r="R238" i="37"/>
  <c r="T129" i="37"/>
  <c r="T198" i="37"/>
  <c r="T235" i="37"/>
  <c r="T16" i="37"/>
  <c r="R129" i="37"/>
  <c r="R198" i="37"/>
  <c r="R235" i="37"/>
  <c r="R117" i="37"/>
  <c r="R186" i="37"/>
  <c r="R223" i="37"/>
  <c r="AB6" i="37"/>
  <c r="AC5" i="37"/>
  <c r="AB168" i="37"/>
  <c r="AB76" i="37"/>
  <c r="AB213" i="37"/>
  <c r="AB174" i="37"/>
  <c r="AB212" i="37"/>
  <c r="AB211" i="37"/>
  <c r="AB209" i="37"/>
  <c r="AB208" i="37"/>
  <c r="AB172" i="37"/>
  <c r="AB171" i="37"/>
  <c r="AB7" i="37"/>
  <c r="AB176" i="37"/>
  <c r="AB210" i="37"/>
  <c r="AB175" i="37"/>
  <c r="AB173" i="37"/>
  <c r="S33" i="37"/>
  <c r="O27" i="37"/>
  <c r="S15" i="37"/>
  <c r="S30" i="37"/>
  <c r="S21" i="37"/>
  <c r="O132" i="37"/>
  <c r="O201" i="37"/>
  <c r="O238" i="37"/>
  <c r="P26" i="37"/>
  <c r="P25" i="37"/>
  <c r="P11" i="37"/>
  <c r="P10" i="37"/>
  <c r="P217" i="37"/>
  <c r="P21" i="37"/>
  <c r="P20" i="37"/>
  <c r="T31" i="37"/>
  <c r="U93" i="37"/>
  <c r="U125" i="37"/>
  <c r="U194" i="37"/>
  <c r="U231" i="37"/>
  <c r="U22" i="37"/>
  <c r="U94" i="37"/>
  <c r="U92" i="37"/>
  <c r="T135" i="37"/>
  <c r="T204" i="37"/>
  <c r="T241" i="37"/>
  <c r="T33" i="37"/>
  <c r="Q181" i="37"/>
  <c r="Q218" i="37"/>
  <c r="Q111" i="37"/>
  <c r="R181" i="37"/>
  <c r="R218" i="37"/>
  <c r="R111" i="37"/>
  <c r="T17" i="37"/>
  <c r="T32" i="37"/>
  <c r="S16" i="37"/>
  <c r="S31" i="37"/>
  <c r="Q217" i="37"/>
  <c r="Q26" i="37"/>
  <c r="Q25" i="37"/>
  <c r="Q11" i="37"/>
  <c r="Q10" i="37"/>
  <c r="Q21" i="37"/>
  <c r="Q20" i="37"/>
  <c r="AB80" i="37"/>
  <c r="AB90" i="37"/>
  <c r="AB122" i="37"/>
  <c r="AB191" i="37"/>
  <c r="AB228" i="37"/>
  <c r="AB91" i="37"/>
  <c r="AB84" i="37"/>
  <c r="AB116" i="37"/>
  <c r="AB185" i="37"/>
  <c r="AB222" i="37"/>
  <c r="AB87" i="37"/>
  <c r="AB119" i="37"/>
  <c r="AB188" i="37"/>
  <c r="AB225" i="37"/>
  <c r="AB83" i="37"/>
  <c r="AB115" i="37"/>
  <c r="AB184" i="37"/>
  <c r="AB221" i="37"/>
  <c r="AB81" i="37"/>
  <c r="AB113" i="37"/>
  <c r="AB182" i="37"/>
  <c r="AB219" i="37"/>
  <c r="AB85" i="37"/>
  <c r="AB82" i="37"/>
  <c r="AB88" i="37"/>
  <c r="AB86" i="37"/>
  <c r="AB118" i="37"/>
  <c r="AB187" i="37"/>
  <c r="AB224" i="37"/>
  <c r="AB89" i="37"/>
  <c r="AB121" i="37"/>
  <c r="AB190" i="37"/>
  <c r="AB227" i="37"/>
  <c r="V97" i="37"/>
  <c r="V95" i="37"/>
  <c r="V127" i="37"/>
  <c r="V196" i="37"/>
  <c r="V233" i="37"/>
  <c r="V96" i="37"/>
  <c r="V128" i="37"/>
  <c r="V197" i="37"/>
  <c r="V234" i="37"/>
  <c r="V102" i="37"/>
  <c r="V134" i="37"/>
  <c r="V203" i="37"/>
  <c r="V240" i="37"/>
  <c r="V103" i="37"/>
  <c r="V101" i="37"/>
  <c r="V133" i="37"/>
  <c r="V202" i="37"/>
  <c r="V239" i="37"/>
  <c r="T18" i="37"/>
  <c r="AA112" i="37"/>
  <c r="W66" i="37"/>
  <c r="W72" i="37"/>
  <c r="W65" i="37"/>
  <c r="W71" i="37"/>
  <c r="W67" i="37"/>
  <c r="W73" i="37"/>
  <c r="X8" i="37"/>
  <c r="W68" i="37"/>
  <c r="W74" i="37"/>
  <c r="R18" i="37"/>
  <c r="R33" i="37"/>
  <c r="AC6" i="37"/>
  <c r="AD5" i="37"/>
  <c r="AC76" i="37"/>
  <c r="AC168" i="37"/>
  <c r="AC213" i="37"/>
  <c r="AC174" i="37"/>
  <c r="AC211" i="37"/>
  <c r="AC172" i="37"/>
  <c r="AC209" i="37"/>
  <c r="AC212" i="37"/>
  <c r="AC171" i="37"/>
  <c r="AC208" i="37"/>
  <c r="AC7" i="37"/>
  <c r="AC176" i="37"/>
  <c r="AC173" i="37"/>
  <c r="AC175" i="37"/>
  <c r="AC210" i="37"/>
  <c r="V98" i="37"/>
  <c r="V130" i="37"/>
  <c r="V199" i="37"/>
  <c r="V236" i="37"/>
  <c r="V99" i="37"/>
  <c r="V131" i="37"/>
  <c r="V200" i="37"/>
  <c r="V237" i="37"/>
  <c r="V100" i="37"/>
  <c r="O111" i="37"/>
  <c r="S183" i="37"/>
  <c r="S220" i="37"/>
  <c r="S137" i="37"/>
  <c r="S138" i="37"/>
  <c r="S111" i="37"/>
  <c r="O137" i="37"/>
  <c r="O138" i="37"/>
  <c r="R27" i="37"/>
  <c r="R12" i="37"/>
  <c r="V92" i="37"/>
  <c r="V94" i="37"/>
  <c r="V93" i="37"/>
  <c r="V125" i="37"/>
  <c r="V194" i="37"/>
  <c r="V231" i="37"/>
  <c r="O217" i="37"/>
  <c r="O26" i="37"/>
  <c r="O11" i="37"/>
  <c r="O21" i="37"/>
  <c r="S13" i="37"/>
  <c r="S28" i="37"/>
  <c r="O23" i="37"/>
  <c r="U124" i="37"/>
  <c r="U193" i="37"/>
  <c r="U230" i="37"/>
  <c r="U79" i="37"/>
  <c r="U106" i="37"/>
  <c r="U108" i="37"/>
  <c r="U135" i="37"/>
  <c r="U204" i="37"/>
  <c r="U241" i="37"/>
  <c r="R31" i="37"/>
  <c r="R16" i="37"/>
  <c r="R183" i="37"/>
  <c r="R220" i="37"/>
  <c r="R23" i="37"/>
  <c r="R137" i="37"/>
  <c r="R138" i="37"/>
  <c r="S12" i="37"/>
  <c r="S27" i="37"/>
  <c r="Z181" i="37"/>
  <c r="Z218" i="37"/>
  <c r="O16" i="37"/>
  <c r="O31" i="37"/>
  <c r="S14" i="37"/>
  <c r="S29" i="37"/>
  <c r="T117" i="37"/>
  <c r="T186" i="37"/>
  <c r="T223" i="37"/>
  <c r="T123" i="37"/>
  <c r="T192" i="37"/>
  <c r="T229" i="37"/>
  <c r="T120" i="37"/>
  <c r="T189" i="37"/>
  <c r="T226" i="37"/>
  <c r="T114" i="37"/>
  <c r="O32" i="37"/>
  <c r="O17" i="37"/>
  <c r="R26" i="37"/>
  <c r="R11" i="37"/>
  <c r="R217" i="37"/>
  <c r="R21" i="37"/>
  <c r="R20" i="37"/>
  <c r="R17" i="37"/>
  <c r="R32" i="37"/>
  <c r="U132" i="37"/>
  <c r="U201" i="37"/>
  <c r="U238" i="37"/>
  <c r="U17" i="37"/>
  <c r="R14" i="37"/>
  <c r="R29" i="37"/>
  <c r="T126" i="37"/>
  <c r="T195" i="37"/>
  <c r="T232" i="37"/>
  <c r="T30" i="37"/>
  <c r="T21" i="37"/>
  <c r="T15" i="37"/>
  <c r="U18" i="37"/>
  <c r="U33" i="37"/>
  <c r="T29" i="37"/>
  <c r="T14" i="37"/>
  <c r="T12" i="37"/>
  <c r="T27" i="37"/>
  <c r="V22" i="37"/>
  <c r="AD6" i="37"/>
  <c r="AE5" i="37"/>
  <c r="AD172" i="37"/>
  <c r="AD76" i="37"/>
  <c r="AD213" i="37"/>
  <c r="AD168" i="37"/>
  <c r="AD212" i="37"/>
  <c r="AD208" i="37"/>
  <c r="AD211" i="37"/>
  <c r="AD209" i="37"/>
  <c r="AD7" i="37"/>
  <c r="AD176" i="37"/>
  <c r="AD171" i="37"/>
  <c r="AD174" i="37"/>
  <c r="AD175" i="37"/>
  <c r="AD210" i="37"/>
  <c r="AD173" i="37"/>
  <c r="R10" i="37"/>
  <c r="R25" i="37"/>
  <c r="V106" i="37"/>
  <c r="V108" i="37"/>
  <c r="AA181" i="37"/>
  <c r="AA218" i="37"/>
  <c r="AC84" i="37"/>
  <c r="AC116" i="37"/>
  <c r="AC185" i="37"/>
  <c r="AC222" i="37"/>
  <c r="AC91" i="37"/>
  <c r="AC90" i="37"/>
  <c r="AC122" i="37"/>
  <c r="AC191" i="37"/>
  <c r="AC228" i="37"/>
  <c r="AC80" i="37"/>
  <c r="AC83" i="37"/>
  <c r="AC115" i="37"/>
  <c r="AC184" i="37"/>
  <c r="AC221" i="37"/>
  <c r="AC87" i="37"/>
  <c r="AC119" i="37"/>
  <c r="AC188" i="37"/>
  <c r="AC225" i="37"/>
  <c r="AC81" i="37"/>
  <c r="AC113" i="37"/>
  <c r="AC182" i="37"/>
  <c r="AC219" i="37"/>
  <c r="AC85" i="37"/>
  <c r="AC88" i="37"/>
  <c r="AC82" i="37"/>
  <c r="AC86" i="37"/>
  <c r="AC118" i="37"/>
  <c r="AC187" i="37"/>
  <c r="AC224" i="37"/>
  <c r="AC89" i="37"/>
  <c r="AC121" i="37"/>
  <c r="AC190" i="37"/>
  <c r="AC227" i="37"/>
  <c r="V124" i="37"/>
  <c r="V193" i="37"/>
  <c r="V230" i="37"/>
  <c r="V79" i="37"/>
  <c r="V129" i="37"/>
  <c r="V198" i="37"/>
  <c r="V235" i="37"/>
  <c r="V16" i="37"/>
  <c r="V31" i="37"/>
  <c r="U120" i="37"/>
  <c r="U189" i="37"/>
  <c r="U226" i="37"/>
  <c r="U123" i="37"/>
  <c r="U192" i="37"/>
  <c r="U229" i="37"/>
  <c r="U114" i="37"/>
  <c r="U117" i="37"/>
  <c r="U186" i="37"/>
  <c r="U223" i="37"/>
  <c r="W101" i="37"/>
  <c r="W133" i="37"/>
  <c r="W202" i="37"/>
  <c r="W239" i="37"/>
  <c r="W103" i="37"/>
  <c r="W102" i="37"/>
  <c r="W134" i="37"/>
  <c r="W203" i="37"/>
  <c r="W240" i="37"/>
  <c r="U126" i="37"/>
  <c r="U195" i="37"/>
  <c r="U232" i="37"/>
  <c r="U30" i="37"/>
  <c r="U129" i="37"/>
  <c r="U198" i="37"/>
  <c r="U235" i="37"/>
  <c r="S23" i="37"/>
  <c r="S20" i="37"/>
  <c r="S26" i="37"/>
  <c r="S217" i="37"/>
  <c r="S11" i="37"/>
  <c r="S10" i="37"/>
  <c r="X66" i="37"/>
  <c r="X72" i="37"/>
  <c r="Y8" i="37"/>
  <c r="X65" i="37"/>
  <c r="X71" i="37"/>
  <c r="X67" i="37"/>
  <c r="X73" i="37"/>
  <c r="X68" i="37"/>
  <c r="X74" i="37"/>
  <c r="AB112" i="37"/>
  <c r="U32" i="37"/>
  <c r="W99" i="37"/>
  <c r="W131" i="37"/>
  <c r="W200" i="37"/>
  <c r="W237" i="37"/>
  <c r="W98" i="37"/>
  <c r="W130" i="37"/>
  <c r="W199" i="37"/>
  <c r="W236" i="37"/>
  <c r="W100" i="37"/>
  <c r="V135" i="37"/>
  <c r="V204" i="37"/>
  <c r="V241" i="37"/>
  <c r="V18" i="37"/>
  <c r="O20" i="37"/>
  <c r="U21" i="37"/>
  <c r="O10" i="37"/>
  <c r="W93" i="37"/>
  <c r="W125" i="37"/>
  <c r="W194" i="37"/>
  <c r="W231" i="37"/>
  <c r="W92" i="37"/>
  <c r="W94" i="37"/>
  <c r="T183" i="37"/>
  <c r="T220" i="37"/>
  <c r="T137" i="37"/>
  <c r="T138" i="37"/>
  <c r="T111" i="37"/>
  <c r="T13" i="37"/>
  <c r="T28" i="37"/>
  <c r="O25" i="37"/>
  <c r="V132" i="37"/>
  <c r="V201" i="37"/>
  <c r="V238" i="37"/>
  <c r="V17" i="37"/>
  <c r="W95" i="37"/>
  <c r="W127" i="37"/>
  <c r="W196" i="37"/>
  <c r="W233" i="37"/>
  <c r="W96" i="37"/>
  <c r="W128" i="37"/>
  <c r="W197" i="37"/>
  <c r="W234" i="37"/>
  <c r="W97" i="37"/>
  <c r="AB181" i="37"/>
  <c r="AB218" i="37"/>
  <c r="X92" i="37"/>
  <c r="X94" i="37"/>
  <c r="X93" i="37"/>
  <c r="X125" i="37"/>
  <c r="X194" i="37"/>
  <c r="X231" i="37"/>
  <c r="U31" i="37"/>
  <c r="U16" i="37"/>
  <c r="U183" i="37"/>
  <c r="U220" i="37"/>
  <c r="U137" i="37"/>
  <c r="U138" i="37"/>
  <c r="U111" i="37"/>
  <c r="Z8" i="37"/>
  <c r="Y66" i="37"/>
  <c r="Y72" i="37"/>
  <c r="Y65" i="37"/>
  <c r="Y71" i="37"/>
  <c r="Y67" i="37"/>
  <c r="Y73" i="37"/>
  <c r="Y68" i="37"/>
  <c r="Y74" i="37"/>
  <c r="U14" i="37"/>
  <c r="U29" i="37"/>
  <c r="AC112" i="37"/>
  <c r="W106" i="37"/>
  <c r="W108" i="37"/>
  <c r="W129" i="37"/>
  <c r="W198" i="37"/>
  <c r="W235" i="37"/>
  <c r="W16" i="37"/>
  <c r="V123" i="37"/>
  <c r="V192" i="37"/>
  <c r="V229" i="37"/>
  <c r="V120" i="37"/>
  <c r="V189" i="37"/>
  <c r="V226" i="37"/>
  <c r="V117" i="37"/>
  <c r="V186" i="37"/>
  <c r="V223" i="37"/>
  <c r="V114" i="37"/>
  <c r="AD84" i="37"/>
  <c r="AD116" i="37"/>
  <c r="AD185" i="37"/>
  <c r="AD222" i="37"/>
  <c r="AD90" i="37"/>
  <c r="AD122" i="37"/>
  <c r="AD191" i="37"/>
  <c r="AD228" i="37"/>
  <c r="AD91" i="37"/>
  <c r="AD80" i="37"/>
  <c r="AD83" i="37"/>
  <c r="AD115" i="37"/>
  <c r="AD184" i="37"/>
  <c r="AD221" i="37"/>
  <c r="AD85" i="37"/>
  <c r="AD81" i="37"/>
  <c r="AD113" i="37"/>
  <c r="AD182" i="37"/>
  <c r="AD219" i="37"/>
  <c r="AD87" i="37"/>
  <c r="AD119" i="37"/>
  <c r="AD188" i="37"/>
  <c r="AD225" i="37"/>
  <c r="AD88" i="37"/>
  <c r="AD82" i="37"/>
  <c r="AD86" i="37"/>
  <c r="AD118" i="37"/>
  <c r="AD187" i="37"/>
  <c r="AD224" i="37"/>
  <c r="AD89" i="37"/>
  <c r="AD121" i="37"/>
  <c r="AD190" i="37"/>
  <c r="AD227" i="37"/>
  <c r="X95" i="37"/>
  <c r="X127" i="37"/>
  <c r="X196" i="37"/>
  <c r="X233" i="37"/>
  <c r="X96" i="37"/>
  <c r="X128" i="37"/>
  <c r="X197" i="37"/>
  <c r="X234" i="37"/>
  <c r="X97" i="37"/>
  <c r="U15" i="37"/>
  <c r="V126" i="37"/>
  <c r="V195" i="37"/>
  <c r="V232" i="37"/>
  <c r="V15" i="37"/>
  <c r="X99" i="37"/>
  <c r="X131" i="37"/>
  <c r="X200" i="37"/>
  <c r="X237" i="37"/>
  <c r="X98" i="37"/>
  <c r="X130" i="37"/>
  <c r="X199" i="37"/>
  <c r="X236" i="37"/>
  <c r="X100" i="37"/>
  <c r="W126" i="37"/>
  <c r="W195" i="37"/>
  <c r="W232" i="37"/>
  <c r="V33" i="37"/>
  <c r="V21" i="37"/>
  <c r="AE6" i="37"/>
  <c r="AF5" i="37"/>
  <c r="AE213" i="37"/>
  <c r="AE168" i="37"/>
  <c r="AE76" i="37"/>
  <c r="AE211" i="37"/>
  <c r="AE212" i="37"/>
  <c r="AE209" i="37"/>
  <c r="AE208" i="37"/>
  <c r="AE7" i="37"/>
  <c r="AE210" i="37"/>
  <c r="AE175" i="37"/>
  <c r="AE174" i="37"/>
  <c r="AE173" i="37"/>
  <c r="AE172" i="37"/>
  <c r="AE171" i="37"/>
  <c r="AE176" i="37"/>
  <c r="U12" i="37"/>
  <c r="U27" i="37"/>
  <c r="T23" i="37"/>
  <c r="T20" i="37"/>
  <c r="T26" i="37"/>
  <c r="T25" i="37"/>
  <c r="T217" i="37"/>
  <c r="T11" i="37"/>
  <c r="T10" i="37"/>
  <c r="W124" i="37"/>
  <c r="W193" i="37"/>
  <c r="W230" i="37"/>
  <c r="W79" i="37"/>
  <c r="V32" i="37"/>
  <c r="U13" i="37"/>
  <c r="U28" i="37"/>
  <c r="W31" i="37"/>
  <c r="W22" i="37"/>
  <c r="X103" i="37"/>
  <c r="X102" i="37"/>
  <c r="X134" i="37"/>
  <c r="X203" i="37"/>
  <c r="X240" i="37"/>
  <c r="X101" i="37"/>
  <c r="X133" i="37"/>
  <c r="X202" i="37"/>
  <c r="X239" i="37"/>
  <c r="S25" i="37"/>
  <c r="W114" i="37"/>
  <c r="W117" i="37"/>
  <c r="W186" i="37"/>
  <c r="W223" i="37"/>
  <c r="W120" i="37"/>
  <c r="W189" i="37"/>
  <c r="W226" i="37"/>
  <c r="W123" i="37"/>
  <c r="W192" i="37"/>
  <c r="W229" i="37"/>
  <c r="V183" i="37"/>
  <c r="V220" i="37"/>
  <c r="V137" i="37"/>
  <c r="V138" i="37"/>
  <c r="V111" i="37"/>
  <c r="AF6" i="37"/>
  <c r="AG5" i="37"/>
  <c r="AF168" i="37"/>
  <c r="AF213" i="37"/>
  <c r="AF76" i="37"/>
  <c r="AF212" i="37"/>
  <c r="AF211" i="37"/>
  <c r="AF209" i="37"/>
  <c r="AF208" i="37"/>
  <c r="AF7" i="37"/>
  <c r="AF210" i="37"/>
  <c r="AF171" i="37"/>
  <c r="AF176" i="37"/>
  <c r="AF174" i="37"/>
  <c r="AF173" i="37"/>
  <c r="AF175" i="37"/>
  <c r="AF172" i="37"/>
  <c r="V12" i="37"/>
  <c r="V27" i="37"/>
  <c r="X22" i="37"/>
  <c r="V13" i="37"/>
  <c r="V28" i="37"/>
  <c r="Y102" i="37"/>
  <c r="Y134" i="37"/>
  <c r="Y203" i="37"/>
  <c r="Y240" i="37"/>
  <c r="Y101" i="37"/>
  <c r="Y133" i="37"/>
  <c r="Y202" i="37"/>
  <c r="Y239" i="37"/>
  <c r="Y103" i="37"/>
  <c r="X106" i="37"/>
  <c r="X108" i="37"/>
  <c r="W15" i="37"/>
  <c r="W30" i="37"/>
  <c r="W21" i="37"/>
  <c r="AD112" i="37"/>
  <c r="V14" i="37"/>
  <c r="V29" i="37"/>
  <c r="Y98" i="37"/>
  <c r="Y130" i="37"/>
  <c r="Y199" i="37"/>
  <c r="Y236" i="37"/>
  <c r="Y100" i="37"/>
  <c r="Y99" i="37"/>
  <c r="Y131" i="37"/>
  <c r="Y200" i="37"/>
  <c r="Y237" i="37"/>
  <c r="X124" i="37"/>
  <c r="X193" i="37"/>
  <c r="X230" i="37"/>
  <c r="X79" i="37"/>
  <c r="X135" i="37"/>
  <c r="X204" i="37"/>
  <c r="X241" i="37"/>
  <c r="X18" i="37"/>
  <c r="V30" i="37"/>
  <c r="Y93" i="37"/>
  <c r="Y125" i="37"/>
  <c r="Y194" i="37"/>
  <c r="Y231" i="37"/>
  <c r="Y96" i="37"/>
  <c r="Y128" i="37"/>
  <c r="Y197" i="37"/>
  <c r="Y234" i="37"/>
  <c r="Y22" i="37"/>
  <c r="Y94" i="37"/>
  <c r="Y92" i="37"/>
  <c r="Y97" i="37"/>
  <c r="Y95" i="37"/>
  <c r="Y127" i="37"/>
  <c r="Y196" i="37"/>
  <c r="Y233" i="37"/>
  <c r="AE84" i="37"/>
  <c r="AE116" i="37"/>
  <c r="AE185" i="37"/>
  <c r="AE222" i="37"/>
  <c r="AE90" i="37"/>
  <c r="AE122" i="37"/>
  <c r="AE191" i="37"/>
  <c r="AE228" i="37"/>
  <c r="AE80" i="37"/>
  <c r="AE91" i="37"/>
  <c r="AE87" i="37"/>
  <c r="AE119" i="37"/>
  <c r="AE188" i="37"/>
  <c r="AE225" i="37"/>
  <c r="AE85" i="37"/>
  <c r="AE83" i="37"/>
  <c r="AE115" i="37"/>
  <c r="AE184" i="37"/>
  <c r="AE221" i="37"/>
  <c r="AE81" i="37"/>
  <c r="AE113" i="37"/>
  <c r="AE182" i="37"/>
  <c r="AE219" i="37"/>
  <c r="AE82" i="37"/>
  <c r="AE88" i="37"/>
  <c r="AE86" i="37"/>
  <c r="AE118" i="37"/>
  <c r="AE187" i="37"/>
  <c r="AE224" i="37"/>
  <c r="AE89" i="37"/>
  <c r="AE121" i="37"/>
  <c r="AE190" i="37"/>
  <c r="AE227" i="37"/>
  <c r="W135" i="37"/>
  <c r="W204" i="37"/>
  <c r="W241" i="37"/>
  <c r="AC181" i="37"/>
  <c r="AC218" i="37"/>
  <c r="AA8" i="37"/>
  <c r="Z65" i="37"/>
  <c r="Z71" i="37"/>
  <c r="Z66" i="37"/>
  <c r="Z72" i="37"/>
  <c r="Z67" i="37"/>
  <c r="Z73" i="37"/>
  <c r="Z68" i="37"/>
  <c r="Z74" i="37"/>
  <c r="U23" i="37"/>
  <c r="U20" i="37"/>
  <c r="U26" i="37"/>
  <c r="U25" i="37"/>
  <c r="U217" i="37"/>
  <c r="U11" i="37"/>
  <c r="U10" i="37"/>
  <c r="W132" i="37"/>
  <c r="W201" i="37"/>
  <c r="W238" i="37"/>
  <c r="AE112" i="37"/>
  <c r="Y106" i="37"/>
  <c r="Y108" i="37"/>
  <c r="AF91" i="37"/>
  <c r="AF84" i="37"/>
  <c r="AF116" i="37"/>
  <c r="AF185" i="37"/>
  <c r="AF222" i="37"/>
  <c r="AF80" i="37"/>
  <c r="AF90" i="37"/>
  <c r="AF122" i="37"/>
  <c r="AF191" i="37"/>
  <c r="AF228" i="37"/>
  <c r="AF85" i="37"/>
  <c r="AF81" i="37"/>
  <c r="AF113" i="37"/>
  <c r="AF182" i="37"/>
  <c r="AF219" i="37"/>
  <c r="AF83" i="37"/>
  <c r="AF115" i="37"/>
  <c r="AF184" i="37"/>
  <c r="AF221" i="37"/>
  <c r="AF87" i="37"/>
  <c r="AF119" i="37"/>
  <c r="AF188" i="37"/>
  <c r="AF225" i="37"/>
  <c r="AF86" i="37"/>
  <c r="AF118" i="37"/>
  <c r="AF187" i="37"/>
  <c r="AF224" i="37"/>
  <c r="AF88" i="37"/>
  <c r="AF82" i="37"/>
  <c r="AF89" i="37"/>
  <c r="AF121" i="37"/>
  <c r="AF190" i="37"/>
  <c r="AF227" i="37"/>
  <c r="Z103" i="37"/>
  <c r="Z101" i="37"/>
  <c r="Z133" i="37"/>
  <c r="Z202" i="37"/>
  <c r="Z239" i="37"/>
  <c r="Z102" i="37"/>
  <c r="Z134" i="37"/>
  <c r="Z203" i="37"/>
  <c r="Z240" i="37"/>
  <c r="V23" i="37"/>
  <c r="V20" i="37"/>
  <c r="V217" i="37"/>
  <c r="V26" i="37"/>
  <c r="V25" i="37"/>
  <c r="V11" i="37"/>
  <c r="V10" i="37"/>
  <c r="Y124" i="37"/>
  <c r="Y193" i="37"/>
  <c r="Y230" i="37"/>
  <c r="Y79" i="37"/>
  <c r="Z96" i="37"/>
  <c r="Z128" i="37"/>
  <c r="Z197" i="37"/>
  <c r="Z234" i="37"/>
  <c r="Z97" i="37"/>
  <c r="Z95" i="37"/>
  <c r="Z127" i="37"/>
  <c r="Z196" i="37"/>
  <c r="Z233" i="37"/>
  <c r="X123" i="37"/>
  <c r="X192" i="37"/>
  <c r="X229" i="37"/>
  <c r="X120" i="37"/>
  <c r="X189" i="37"/>
  <c r="X226" i="37"/>
  <c r="X114" i="37"/>
  <c r="X117" i="37"/>
  <c r="X186" i="37"/>
  <c r="X223" i="37"/>
  <c r="Y129" i="37"/>
  <c r="Y198" i="37"/>
  <c r="Y235" i="37"/>
  <c r="W18" i="37"/>
  <c r="W33" i="37"/>
  <c r="W17" i="37"/>
  <c r="W32" i="37"/>
  <c r="Z93" i="37"/>
  <c r="Z125" i="37"/>
  <c r="Z194" i="37"/>
  <c r="Z231" i="37"/>
  <c r="Z92" i="37"/>
  <c r="Z94" i="37"/>
  <c r="X129" i="37"/>
  <c r="X198" i="37"/>
  <c r="X235" i="37"/>
  <c r="Y132" i="37"/>
  <c r="Y201" i="37"/>
  <c r="Y238" i="37"/>
  <c r="X126" i="37"/>
  <c r="X195" i="37"/>
  <c r="X232" i="37"/>
  <c r="AG6" i="37"/>
  <c r="AH5" i="37"/>
  <c r="AG76" i="37"/>
  <c r="AG168" i="37"/>
  <c r="AG213" i="37"/>
  <c r="AG212" i="37"/>
  <c r="AG211" i="37"/>
  <c r="AG209" i="37"/>
  <c r="AG208" i="37"/>
  <c r="AG7" i="37"/>
  <c r="AG210" i="37"/>
  <c r="AG171" i="37"/>
  <c r="AG175" i="37"/>
  <c r="AG174" i="37"/>
  <c r="AG173" i="37"/>
  <c r="AG172" i="37"/>
  <c r="AG176" i="37"/>
  <c r="W14" i="37"/>
  <c r="W29" i="37"/>
  <c r="AA68" i="37"/>
  <c r="AA74" i="37"/>
  <c r="AA65" i="37"/>
  <c r="AA71" i="37"/>
  <c r="AA66" i="37"/>
  <c r="AA72" i="37"/>
  <c r="AB8" i="37"/>
  <c r="AA67" i="37"/>
  <c r="AA73" i="37"/>
  <c r="X132" i="37"/>
  <c r="X201" i="37"/>
  <c r="X238" i="37"/>
  <c r="Y17" i="37"/>
  <c r="Y32" i="37"/>
  <c r="Y135" i="37"/>
  <c r="Y204" i="37"/>
  <c r="Y241" i="37"/>
  <c r="Y18" i="37"/>
  <c r="W28" i="37"/>
  <c r="W13" i="37"/>
  <c r="Z98" i="37"/>
  <c r="Z130" i="37"/>
  <c r="Z199" i="37"/>
  <c r="Z236" i="37"/>
  <c r="Z100" i="37"/>
  <c r="Z99" i="37"/>
  <c r="Z131" i="37"/>
  <c r="Z200" i="37"/>
  <c r="Z237" i="37"/>
  <c r="Y16" i="37"/>
  <c r="Y31" i="37"/>
  <c r="X33" i="37"/>
  <c r="W12" i="37"/>
  <c r="W27" i="37"/>
  <c r="AD181" i="37"/>
  <c r="AD218" i="37"/>
  <c r="X15" i="37"/>
  <c r="X30" i="37"/>
  <c r="X21" i="37"/>
  <c r="W183" i="37"/>
  <c r="W220" i="37"/>
  <c r="W137" i="37"/>
  <c r="W138" i="37"/>
  <c r="W111" i="37"/>
  <c r="X27" i="37"/>
  <c r="X12" i="37"/>
  <c r="AA100" i="37"/>
  <c r="AA98" i="37"/>
  <c r="AA130" i="37"/>
  <c r="AA199" i="37"/>
  <c r="AA236" i="37"/>
  <c r="AA99" i="37"/>
  <c r="AA131" i="37"/>
  <c r="AA200" i="37"/>
  <c r="AA237" i="37"/>
  <c r="AG91" i="37"/>
  <c r="AG84" i="37"/>
  <c r="AG116" i="37"/>
  <c r="AG185" i="37"/>
  <c r="AG222" i="37"/>
  <c r="AG90" i="37"/>
  <c r="AG122" i="37"/>
  <c r="AG191" i="37"/>
  <c r="AG228" i="37"/>
  <c r="AG80" i="37"/>
  <c r="AG85" i="37"/>
  <c r="AG87" i="37"/>
  <c r="AG119" i="37"/>
  <c r="AG188" i="37"/>
  <c r="AG225" i="37"/>
  <c r="AG81" i="37"/>
  <c r="AG113" i="37"/>
  <c r="AG182" i="37"/>
  <c r="AG219" i="37"/>
  <c r="AG83" i="37"/>
  <c r="AG115" i="37"/>
  <c r="AG184" i="37"/>
  <c r="AG221" i="37"/>
  <c r="AG86" i="37"/>
  <c r="AG118" i="37"/>
  <c r="AG187" i="37"/>
  <c r="AG224" i="37"/>
  <c r="AG82" i="37"/>
  <c r="AG88" i="37"/>
  <c r="AG89" i="37"/>
  <c r="AG121" i="37"/>
  <c r="AG190" i="37"/>
  <c r="AG227" i="37"/>
  <c r="Z124" i="37"/>
  <c r="Z193" i="37"/>
  <c r="Z230" i="37"/>
  <c r="Z79" i="37"/>
  <c r="X183" i="37"/>
  <c r="X220" i="37"/>
  <c r="X137" i="37"/>
  <c r="X138" i="37"/>
  <c r="X111" i="37"/>
  <c r="Z106" i="37"/>
  <c r="Z108" i="37"/>
  <c r="Z135" i="37"/>
  <c r="Z204" i="37"/>
  <c r="Z241" i="37"/>
  <c r="AB68" i="37"/>
  <c r="AB74" i="37"/>
  <c r="AB67" i="37"/>
  <c r="AB73" i="37"/>
  <c r="AB65" i="37"/>
  <c r="AB71" i="37"/>
  <c r="AB66" i="37"/>
  <c r="AB72" i="37"/>
  <c r="AC8" i="37"/>
  <c r="AH6" i="37"/>
  <c r="AI5" i="37"/>
  <c r="AH76" i="37"/>
  <c r="AH168" i="37"/>
  <c r="AH213" i="37"/>
  <c r="AH212" i="37"/>
  <c r="AH211" i="37"/>
  <c r="AH209" i="37"/>
  <c r="AH208" i="37"/>
  <c r="AH7" i="37"/>
  <c r="AH210" i="37"/>
  <c r="AH176" i="37"/>
  <c r="AH175" i="37"/>
  <c r="AH171" i="37"/>
  <c r="AH174" i="37"/>
  <c r="AH172" i="37"/>
  <c r="AH173" i="37"/>
  <c r="Z22" i="37"/>
  <c r="X13" i="37"/>
  <c r="X28" i="37"/>
  <c r="AA97" i="37"/>
  <c r="AA95" i="37"/>
  <c r="AA127" i="37"/>
  <c r="AA196" i="37"/>
  <c r="AA233" i="37"/>
  <c r="AA96" i="37"/>
  <c r="AA128" i="37"/>
  <c r="AA197" i="37"/>
  <c r="AA234" i="37"/>
  <c r="X29" i="37"/>
  <c r="X14" i="37"/>
  <c r="Y123" i="37"/>
  <c r="Y192" i="37"/>
  <c r="Y229" i="37"/>
  <c r="Y117" i="37"/>
  <c r="Y186" i="37"/>
  <c r="Y223" i="37"/>
  <c r="Y114" i="37"/>
  <c r="Y120" i="37"/>
  <c r="Y189" i="37"/>
  <c r="Y226" i="37"/>
  <c r="Z132" i="37"/>
  <c r="Z201" i="37"/>
  <c r="Z238" i="37"/>
  <c r="Z17" i="37"/>
  <c r="AA92" i="37"/>
  <c r="AA93" i="37"/>
  <c r="AA125" i="37"/>
  <c r="AA194" i="37"/>
  <c r="AA231" i="37"/>
  <c r="AA102" i="37"/>
  <c r="AA134" i="37"/>
  <c r="AA203" i="37"/>
  <c r="AA240" i="37"/>
  <c r="AA22" i="37"/>
  <c r="AA94" i="37"/>
  <c r="Y126" i="37"/>
  <c r="Y195" i="37"/>
  <c r="Y232" i="37"/>
  <c r="Y30" i="37"/>
  <c r="Z32" i="37"/>
  <c r="X17" i="37"/>
  <c r="X32" i="37"/>
  <c r="AA103" i="37"/>
  <c r="AA101" i="37"/>
  <c r="AA133" i="37"/>
  <c r="AA202" i="37"/>
  <c r="AA239" i="37"/>
  <c r="X31" i="37"/>
  <c r="X16" i="37"/>
  <c r="AE181" i="37"/>
  <c r="AE218" i="37"/>
  <c r="W23" i="37"/>
  <c r="W20" i="37"/>
  <c r="W217" i="37"/>
  <c r="W26" i="37"/>
  <c r="W25" i="37"/>
  <c r="W11" i="37"/>
  <c r="W10" i="37"/>
  <c r="Y33" i="37"/>
  <c r="Y15" i="37"/>
  <c r="Y21" i="37"/>
  <c r="AF112" i="37"/>
  <c r="Z18" i="37"/>
  <c r="Z33" i="37"/>
  <c r="Y14" i="37"/>
  <c r="Y29" i="37"/>
  <c r="AB98" i="37"/>
  <c r="AB130" i="37"/>
  <c r="AB199" i="37"/>
  <c r="AB236" i="37"/>
  <c r="AB99" i="37"/>
  <c r="AB131" i="37"/>
  <c r="AB200" i="37"/>
  <c r="AB237" i="37"/>
  <c r="AB100" i="37"/>
  <c r="AA124" i="37"/>
  <c r="AA193" i="37"/>
  <c r="AA230" i="37"/>
  <c r="AA79" i="37"/>
  <c r="AB101" i="37"/>
  <c r="AB133" i="37"/>
  <c r="AB202" i="37"/>
  <c r="AB239" i="37"/>
  <c r="AB103" i="37"/>
  <c r="AB102" i="37"/>
  <c r="AB134" i="37"/>
  <c r="AB203" i="37"/>
  <c r="AB240" i="37"/>
  <c r="Y27" i="37"/>
  <c r="Y12" i="37"/>
  <c r="Z120" i="37"/>
  <c r="Z189" i="37"/>
  <c r="Z226" i="37"/>
  <c r="Z123" i="37"/>
  <c r="Z192" i="37"/>
  <c r="Z229" i="37"/>
  <c r="Z114" i="37"/>
  <c r="Z117" i="37"/>
  <c r="Z186" i="37"/>
  <c r="Z223" i="37"/>
  <c r="AG112" i="37"/>
  <c r="AH91" i="37"/>
  <c r="AH80" i="37"/>
  <c r="AH84" i="37"/>
  <c r="AH116" i="37"/>
  <c r="AH185" i="37"/>
  <c r="AH222" i="37"/>
  <c r="AH90" i="37"/>
  <c r="AH122" i="37"/>
  <c r="AH191" i="37"/>
  <c r="AH228" i="37"/>
  <c r="AH83" i="37"/>
  <c r="AH115" i="37"/>
  <c r="AH184" i="37"/>
  <c r="AH221" i="37"/>
  <c r="AH87" i="37"/>
  <c r="AH119" i="37"/>
  <c r="AH188" i="37"/>
  <c r="AH225" i="37"/>
  <c r="AH81" i="37"/>
  <c r="AH113" i="37"/>
  <c r="AH182" i="37"/>
  <c r="AH219" i="37"/>
  <c r="AH85" i="37"/>
  <c r="AH82" i="37"/>
  <c r="AH86" i="37"/>
  <c r="AH118" i="37"/>
  <c r="AH187" i="37"/>
  <c r="AH224" i="37"/>
  <c r="AH88" i="37"/>
  <c r="AH89" i="37"/>
  <c r="AH121" i="37"/>
  <c r="AH190" i="37"/>
  <c r="AH227" i="37"/>
  <c r="Z126" i="37"/>
  <c r="Z195" i="37"/>
  <c r="Z232" i="37"/>
  <c r="X23" i="37"/>
  <c r="X20" i="37"/>
  <c r="X26" i="37"/>
  <c r="X25" i="37"/>
  <c r="X217" i="37"/>
  <c r="X11" i="37"/>
  <c r="X10" i="37"/>
  <c r="AF181" i="37"/>
  <c r="AF218" i="37"/>
  <c r="AI6" i="37"/>
  <c r="AJ5" i="37"/>
  <c r="AI213" i="37"/>
  <c r="AI168" i="37"/>
  <c r="AI76" i="37"/>
  <c r="AI211" i="37"/>
  <c r="AI212" i="37"/>
  <c r="AI209" i="37"/>
  <c r="AI208" i="37"/>
  <c r="AI7" i="37"/>
  <c r="AI210" i="37"/>
  <c r="AI175" i="37"/>
  <c r="AI173" i="37"/>
  <c r="AI174" i="37"/>
  <c r="AI171" i="37"/>
  <c r="AI176" i="37"/>
  <c r="AI172" i="37"/>
  <c r="Y28" i="37"/>
  <c r="Y13" i="37"/>
  <c r="AC68" i="37"/>
  <c r="AC74" i="37"/>
  <c r="AC67" i="37"/>
  <c r="AC73" i="37"/>
  <c r="AC65" i="37"/>
  <c r="AC71" i="37"/>
  <c r="AC66" i="37"/>
  <c r="AC72" i="37"/>
  <c r="AD8" i="37"/>
  <c r="Z15" i="37"/>
  <c r="Z30" i="37"/>
  <c r="Z21" i="37"/>
  <c r="AA106" i="37"/>
  <c r="AA108" i="37"/>
  <c r="AA126" i="37"/>
  <c r="AA195" i="37"/>
  <c r="AA232" i="37"/>
  <c r="AB94" i="37"/>
  <c r="AB93" i="37"/>
  <c r="AB125" i="37"/>
  <c r="AB194" i="37"/>
  <c r="AB231" i="37"/>
  <c r="AB96" i="37"/>
  <c r="AB128" i="37"/>
  <c r="AB197" i="37"/>
  <c r="AB234" i="37"/>
  <c r="AB22" i="37"/>
  <c r="AB92" i="37"/>
  <c r="Z129" i="37"/>
  <c r="Z198" i="37"/>
  <c r="Z235" i="37"/>
  <c r="Y183" i="37"/>
  <c r="Y220" i="37"/>
  <c r="Y137" i="37"/>
  <c r="Y138" i="37"/>
  <c r="Y111" i="37"/>
  <c r="AB95" i="37"/>
  <c r="AB127" i="37"/>
  <c r="AB196" i="37"/>
  <c r="AB233" i="37"/>
  <c r="AB97" i="37"/>
  <c r="AB106" i="37"/>
  <c r="AB108" i="37"/>
  <c r="AA117" i="37"/>
  <c r="AA186" i="37"/>
  <c r="AA223" i="37"/>
  <c r="AA114" i="37"/>
  <c r="AA123" i="37"/>
  <c r="AA192" i="37"/>
  <c r="AA229" i="37"/>
  <c r="AA120" i="37"/>
  <c r="AA189" i="37"/>
  <c r="AA226" i="37"/>
  <c r="AD65" i="37"/>
  <c r="AD71" i="37"/>
  <c r="AD67" i="37"/>
  <c r="AD73" i="37"/>
  <c r="AD68" i="37"/>
  <c r="AD74" i="37"/>
  <c r="AD66" i="37"/>
  <c r="AD72" i="37"/>
  <c r="AE8" i="37"/>
  <c r="AI80" i="37"/>
  <c r="AI91" i="37"/>
  <c r="AI90" i="37"/>
  <c r="AI122" i="37"/>
  <c r="AI191" i="37"/>
  <c r="AI228" i="37"/>
  <c r="AI84" i="37"/>
  <c r="AI116" i="37"/>
  <c r="AI185" i="37"/>
  <c r="AI222" i="37"/>
  <c r="AI83" i="37"/>
  <c r="AI115" i="37"/>
  <c r="AI184" i="37"/>
  <c r="AI221" i="37"/>
  <c r="AI87" i="37"/>
  <c r="AI119" i="37"/>
  <c r="AI188" i="37"/>
  <c r="AI225" i="37"/>
  <c r="AI85" i="37"/>
  <c r="AI81" i="37"/>
  <c r="AI113" i="37"/>
  <c r="AI182" i="37"/>
  <c r="AI219" i="37"/>
  <c r="AI86" i="37"/>
  <c r="AI118" i="37"/>
  <c r="AI187" i="37"/>
  <c r="AI224" i="37"/>
  <c r="AI88" i="37"/>
  <c r="AI82" i="37"/>
  <c r="AI89" i="37"/>
  <c r="AI121" i="37"/>
  <c r="AI190" i="37"/>
  <c r="AI227" i="37"/>
  <c r="AA129" i="37"/>
  <c r="AA198" i="37"/>
  <c r="AA235" i="37"/>
  <c r="AA15" i="37"/>
  <c r="AA30" i="37"/>
  <c r="AA21" i="37"/>
  <c r="AB135" i="37"/>
  <c r="AB204" i="37"/>
  <c r="AB241" i="37"/>
  <c r="AB33" i="37"/>
  <c r="AC96" i="37"/>
  <c r="AC128" i="37"/>
  <c r="AC197" i="37"/>
  <c r="AC234" i="37"/>
  <c r="AC95" i="37"/>
  <c r="AC127" i="37"/>
  <c r="AC196" i="37"/>
  <c r="AC233" i="37"/>
  <c r="AC97" i="37"/>
  <c r="AC93" i="37"/>
  <c r="AC125" i="37"/>
  <c r="AC194" i="37"/>
  <c r="AC231" i="37"/>
  <c r="AC94" i="37"/>
  <c r="AC92" i="37"/>
  <c r="AH112" i="37"/>
  <c r="Z12" i="37"/>
  <c r="Z27" i="37"/>
  <c r="Y23" i="37"/>
  <c r="Y20" i="37"/>
  <c r="Y217" i="37"/>
  <c r="Y26" i="37"/>
  <c r="Y25" i="37"/>
  <c r="Y11" i="37"/>
  <c r="Y10" i="37"/>
  <c r="AC100" i="37"/>
  <c r="AC98" i="37"/>
  <c r="AC130" i="37"/>
  <c r="AC199" i="37"/>
  <c r="AC236" i="37"/>
  <c r="AC99" i="37"/>
  <c r="AC131" i="37"/>
  <c r="AC200" i="37"/>
  <c r="AC237" i="37"/>
  <c r="AJ6" i="37"/>
  <c r="AK5" i="37"/>
  <c r="AJ168" i="37"/>
  <c r="AJ213" i="37"/>
  <c r="AJ76" i="37"/>
  <c r="AJ212" i="37"/>
  <c r="AJ211" i="37"/>
  <c r="AJ209" i="37"/>
  <c r="AJ208" i="37"/>
  <c r="AJ7" i="37"/>
  <c r="AJ210" i="37"/>
  <c r="AJ175" i="37"/>
  <c r="AJ174" i="37"/>
  <c r="AJ173" i="37"/>
  <c r="AJ171" i="37"/>
  <c r="AJ172" i="37"/>
  <c r="AJ176" i="37"/>
  <c r="Z183" i="37"/>
  <c r="Z220" i="37"/>
  <c r="Z137" i="37"/>
  <c r="Z138" i="37"/>
  <c r="Z111" i="37"/>
  <c r="AA132" i="37"/>
  <c r="AA201" i="37"/>
  <c r="AA238" i="37"/>
  <c r="AG181" i="37"/>
  <c r="AG218" i="37"/>
  <c r="AC101" i="37"/>
  <c r="AC133" i="37"/>
  <c r="AC202" i="37"/>
  <c r="AC239" i="37"/>
  <c r="AC102" i="37"/>
  <c r="AC134" i="37"/>
  <c r="AC203" i="37"/>
  <c r="AC240" i="37"/>
  <c r="AC103" i="37"/>
  <c r="AA135" i="37"/>
  <c r="AA204" i="37"/>
  <c r="AA241" i="37"/>
  <c r="Z29" i="37"/>
  <c r="Z14" i="37"/>
  <c r="AB132" i="37"/>
  <c r="AB201" i="37"/>
  <c r="AB238" i="37"/>
  <c r="AB17" i="37"/>
  <c r="Z16" i="37"/>
  <c r="Z31" i="37"/>
  <c r="AB129" i="37"/>
  <c r="AB198" i="37"/>
  <c r="AB235" i="37"/>
  <c r="AB16" i="37"/>
  <c r="AB124" i="37"/>
  <c r="AB193" i="37"/>
  <c r="AB230" i="37"/>
  <c r="AB79" i="37"/>
  <c r="Z13" i="37"/>
  <c r="Z28" i="37"/>
  <c r="AB18" i="37"/>
  <c r="AD94" i="37"/>
  <c r="AD92" i="37"/>
  <c r="AD93" i="37"/>
  <c r="AD125" i="37"/>
  <c r="AD194" i="37"/>
  <c r="AD231" i="37"/>
  <c r="AK6" i="37"/>
  <c r="AL5" i="37"/>
  <c r="AK76" i="37"/>
  <c r="AK168" i="37"/>
  <c r="AK213" i="37"/>
  <c r="AK211" i="37"/>
  <c r="AK212" i="37"/>
  <c r="AK209" i="37"/>
  <c r="AK208" i="37"/>
  <c r="AK7" i="37"/>
  <c r="AK210" i="37"/>
  <c r="AK174" i="37"/>
  <c r="AK173" i="37"/>
  <c r="AK175" i="37"/>
  <c r="AK171" i="37"/>
  <c r="AK176" i="37"/>
  <c r="AK172" i="37"/>
  <c r="AA16" i="37"/>
  <c r="AA31" i="37"/>
  <c r="AI112" i="37"/>
  <c r="AA14" i="37"/>
  <c r="AA29" i="37"/>
  <c r="AB114" i="37"/>
  <c r="AB123" i="37"/>
  <c r="AB192" i="37"/>
  <c r="AB229" i="37"/>
  <c r="AB117" i="37"/>
  <c r="AB186" i="37"/>
  <c r="AB223" i="37"/>
  <c r="AB120" i="37"/>
  <c r="AB189" i="37"/>
  <c r="AB226" i="37"/>
  <c r="Z23" i="37"/>
  <c r="Z20" i="37"/>
  <c r="Z217" i="37"/>
  <c r="Z11" i="37"/>
  <c r="Z10" i="37"/>
  <c r="Z26" i="37"/>
  <c r="Z25" i="37"/>
  <c r="AC124" i="37"/>
  <c r="AC193" i="37"/>
  <c r="AC230" i="37"/>
  <c r="AC79" i="37"/>
  <c r="AA183" i="37"/>
  <c r="AA220" i="37"/>
  <c r="AA137" i="37"/>
  <c r="AA138" i="37"/>
  <c r="AA111" i="37"/>
  <c r="AB126" i="37"/>
  <c r="AB195" i="37"/>
  <c r="AB232" i="37"/>
  <c r="AH181" i="37"/>
  <c r="AH218" i="37"/>
  <c r="AC106" i="37"/>
  <c r="AC108" i="37"/>
  <c r="AE66" i="37"/>
  <c r="AE72" i="37"/>
  <c r="AE65" i="37"/>
  <c r="AE71" i="37"/>
  <c r="AE67" i="37"/>
  <c r="AE73" i="37"/>
  <c r="AE68" i="37"/>
  <c r="AE74" i="37"/>
  <c r="AF8" i="37"/>
  <c r="AA12" i="37"/>
  <c r="AA27" i="37"/>
  <c r="AB31" i="37"/>
  <c r="AA28" i="37"/>
  <c r="AA13" i="37"/>
  <c r="AA17" i="37"/>
  <c r="AA32" i="37"/>
  <c r="AC22" i="37"/>
  <c r="AD96" i="37"/>
  <c r="AD128" i="37"/>
  <c r="AD197" i="37"/>
  <c r="AD234" i="37"/>
  <c r="AD97" i="37"/>
  <c r="AD95" i="37"/>
  <c r="AD127" i="37"/>
  <c r="AD196" i="37"/>
  <c r="AD233" i="37"/>
  <c r="AB32" i="37"/>
  <c r="AB15" i="37"/>
  <c r="AB30" i="37"/>
  <c r="AB21" i="37"/>
  <c r="AA18" i="37"/>
  <c r="AA33" i="37"/>
  <c r="AD102" i="37"/>
  <c r="AD134" i="37"/>
  <c r="AD203" i="37"/>
  <c r="AD240" i="37"/>
  <c r="AD101" i="37"/>
  <c r="AD133" i="37"/>
  <c r="AD202" i="37"/>
  <c r="AD239" i="37"/>
  <c r="AD103" i="37"/>
  <c r="AJ80" i="37"/>
  <c r="AJ84" i="37"/>
  <c r="AJ116" i="37"/>
  <c r="AJ185" i="37"/>
  <c r="AJ222" i="37"/>
  <c r="AJ90" i="37"/>
  <c r="AJ122" i="37"/>
  <c r="AJ191" i="37"/>
  <c r="AJ228" i="37"/>
  <c r="AJ91" i="37"/>
  <c r="AJ87" i="37"/>
  <c r="AJ119" i="37"/>
  <c r="AJ188" i="37"/>
  <c r="AJ225" i="37"/>
  <c r="AJ85" i="37"/>
  <c r="AJ81" i="37"/>
  <c r="AJ113" i="37"/>
  <c r="AJ182" i="37"/>
  <c r="AJ219" i="37"/>
  <c r="AJ83" i="37"/>
  <c r="AJ115" i="37"/>
  <c r="AJ184" i="37"/>
  <c r="AJ221" i="37"/>
  <c r="AJ82" i="37"/>
  <c r="AJ88" i="37"/>
  <c r="AJ86" i="37"/>
  <c r="AJ118" i="37"/>
  <c r="AJ187" i="37"/>
  <c r="AJ224" i="37"/>
  <c r="AJ89" i="37"/>
  <c r="AJ121" i="37"/>
  <c r="AJ190" i="37"/>
  <c r="AJ227" i="37"/>
  <c r="AD99" i="37"/>
  <c r="AD131" i="37"/>
  <c r="AD200" i="37"/>
  <c r="AD237" i="37"/>
  <c r="AD100" i="37"/>
  <c r="AD98" i="37"/>
  <c r="AD130" i="37"/>
  <c r="AD199" i="37"/>
  <c r="AD236" i="37"/>
  <c r="AC120" i="37"/>
  <c r="AC189" i="37"/>
  <c r="AC226" i="37"/>
  <c r="AC114" i="37"/>
  <c r="AC123" i="37"/>
  <c r="AC192" i="37"/>
  <c r="AC229" i="37"/>
  <c r="AC117" i="37"/>
  <c r="AC186" i="37"/>
  <c r="AC223" i="37"/>
  <c r="AB183" i="37"/>
  <c r="AB220" i="37"/>
  <c r="AB137" i="37"/>
  <c r="AB138" i="37"/>
  <c r="AB111" i="37"/>
  <c r="AC132" i="37"/>
  <c r="AC201" i="37"/>
  <c r="AC238" i="37"/>
  <c r="AC126" i="37"/>
  <c r="AC195" i="37"/>
  <c r="AC232" i="37"/>
  <c r="AC30" i="37"/>
  <c r="AB29" i="37"/>
  <c r="AB14" i="37"/>
  <c r="AA23" i="37"/>
  <c r="AA20" i="37"/>
  <c r="AA26" i="37"/>
  <c r="AA25" i="37"/>
  <c r="AA217" i="37"/>
  <c r="AA11" i="37"/>
  <c r="AA10" i="37"/>
  <c r="AD106" i="37"/>
  <c r="AD108" i="37"/>
  <c r="AD132" i="37"/>
  <c r="AD201" i="37"/>
  <c r="AD238" i="37"/>
  <c r="AD17" i="37"/>
  <c r="AF66" i="37"/>
  <c r="AF72" i="37"/>
  <c r="AG8" i="37"/>
  <c r="AF67" i="37"/>
  <c r="AF73" i="37"/>
  <c r="AF68" i="37"/>
  <c r="AF74" i="37"/>
  <c r="AF65" i="37"/>
  <c r="AF71" i="37"/>
  <c r="AE101" i="37"/>
  <c r="AE133" i="37"/>
  <c r="AE202" i="37"/>
  <c r="AE239" i="37"/>
  <c r="AE102" i="37"/>
  <c r="AE134" i="37"/>
  <c r="AE203" i="37"/>
  <c r="AE240" i="37"/>
  <c r="AE103" i="37"/>
  <c r="AD22" i="37"/>
  <c r="AE98" i="37"/>
  <c r="AE130" i="37"/>
  <c r="AE199" i="37"/>
  <c r="AE236" i="37"/>
  <c r="AE99" i="37"/>
  <c r="AE131" i="37"/>
  <c r="AE200" i="37"/>
  <c r="AE237" i="37"/>
  <c r="AE100" i="37"/>
  <c r="AC135" i="37"/>
  <c r="AC204" i="37"/>
  <c r="AC241" i="37"/>
  <c r="AI181" i="37"/>
  <c r="AI218" i="37"/>
  <c r="AD124" i="37"/>
  <c r="AD193" i="37"/>
  <c r="AD230" i="37"/>
  <c r="AD79" i="37"/>
  <c r="AL6" i="37"/>
  <c r="AM5" i="37"/>
  <c r="AL76" i="37"/>
  <c r="AL168" i="37"/>
  <c r="AL213" i="37"/>
  <c r="AL212" i="37"/>
  <c r="AL211" i="37"/>
  <c r="AL209" i="37"/>
  <c r="AL208" i="37"/>
  <c r="AL7" i="37"/>
  <c r="AL210" i="37"/>
  <c r="AL171" i="37"/>
  <c r="AL172" i="37"/>
  <c r="AL173" i="37"/>
  <c r="AL176" i="37"/>
  <c r="AL174" i="37"/>
  <c r="AL175" i="37"/>
  <c r="AC129" i="37"/>
  <c r="AC198" i="37"/>
  <c r="AC235" i="37"/>
  <c r="AE93" i="37"/>
  <c r="AE125" i="37"/>
  <c r="AE194" i="37"/>
  <c r="AE231" i="37"/>
  <c r="AE92" i="37"/>
  <c r="AE94" i="37"/>
  <c r="AC15" i="37"/>
  <c r="AC21" i="37"/>
  <c r="AB13" i="37"/>
  <c r="AB28" i="37"/>
  <c r="AD135" i="37"/>
  <c r="AD204" i="37"/>
  <c r="AD241" i="37"/>
  <c r="AK91" i="37"/>
  <c r="AK84" i="37"/>
  <c r="AK116" i="37"/>
  <c r="AK185" i="37"/>
  <c r="AK222" i="37"/>
  <c r="AK90" i="37"/>
  <c r="AK122" i="37"/>
  <c r="AK191" i="37"/>
  <c r="AK228" i="37"/>
  <c r="AK80" i="37"/>
  <c r="AK83" i="37"/>
  <c r="AK115" i="37"/>
  <c r="AK184" i="37"/>
  <c r="AK221" i="37"/>
  <c r="AK85" i="37"/>
  <c r="AK87" i="37"/>
  <c r="AK119" i="37"/>
  <c r="AK188" i="37"/>
  <c r="AK225" i="37"/>
  <c r="AK81" i="37"/>
  <c r="AK113" i="37"/>
  <c r="AK182" i="37"/>
  <c r="AK219" i="37"/>
  <c r="AK86" i="37"/>
  <c r="AK118" i="37"/>
  <c r="AK187" i="37"/>
  <c r="AK224" i="37"/>
  <c r="AK88" i="37"/>
  <c r="AK82" i="37"/>
  <c r="AK89" i="37"/>
  <c r="AK121" i="37"/>
  <c r="AK190" i="37"/>
  <c r="AK227" i="37"/>
  <c r="AJ112" i="37"/>
  <c r="AE95" i="37"/>
  <c r="AE127" i="37"/>
  <c r="AE196" i="37"/>
  <c r="AE233" i="37"/>
  <c r="AE96" i="37"/>
  <c r="AE128" i="37"/>
  <c r="AE197" i="37"/>
  <c r="AE234" i="37"/>
  <c r="AE97" i="37"/>
  <c r="AB12" i="37"/>
  <c r="AB27" i="37"/>
  <c r="AD18" i="37"/>
  <c r="AD33" i="37"/>
  <c r="AE106" i="37"/>
  <c r="AE108" i="37"/>
  <c r="AE132" i="37"/>
  <c r="AE201" i="37"/>
  <c r="AE238" i="37"/>
  <c r="AB23" i="37"/>
  <c r="AB20" i="37"/>
  <c r="AB26" i="37"/>
  <c r="AB25" i="37"/>
  <c r="AB217" i="37"/>
  <c r="AB11" i="37"/>
  <c r="AB10" i="37"/>
  <c r="AD126" i="37"/>
  <c r="AD195" i="37"/>
  <c r="AD232" i="37"/>
  <c r="AE124" i="37"/>
  <c r="AE193" i="37"/>
  <c r="AE230" i="37"/>
  <c r="AE79" i="37"/>
  <c r="AD32" i="37"/>
  <c r="AC17" i="37"/>
  <c r="AC32" i="37"/>
  <c r="AC12" i="37"/>
  <c r="AC27" i="37"/>
  <c r="AE22" i="37"/>
  <c r="AF92" i="37"/>
  <c r="AF94" i="37"/>
  <c r="AF93" i="37"/>
  <c r="AF125" i="37"/>
  <c r="AF194" i="37"/>
  <c r="AF231" i="37"/>
  <c r="AC14" i="37"/>
  <c r="AC29" i="37"/>
  <c r="AE129" i="37"/>
  <c r="AE198" i="37"/>
  <c r="AE235" i="37"/>
  <c r="AC18" i="37"/>
  <c r="AC33" i="37"/>
  <c r="AF103" i="37"/>
  <c r="AF102" i="37"/>
  <c r="AF134" i="37"/>
  <c r="AF203" i="37"/>
  <c r="AF240" i="37"/>
  <c r="AF101" i="37"/>
  <c r="AF133" i="37"/>
  <c r="AF202" i="37"/>
  <c r="AF239" i="37"/>
  <c r="AC183" i="37"/>
  <c r="AC220" i="37"/>
  <c r="AC137" i="37"/>
  <c r="AC138" i="37"/>
  <c r="AC111" i="37"/>
  <c r="AM6" i="37"/>
  <c r="AN5" i="37"/>
  <c r="AM76" i="37"/>
  <c r="AM213" i="37"/>
  <c r="AM168" i="37"/>
  <c r="AM211" i="37"/>
  <c r="AM212" i="37"/>
  <c r="AM209" i="37"/>
  <c r="AM208" i="37"/>
  <c r="AM7" i="37"/>
  <c r="AM210" i="37"/>
  <c r="AM173" i="37"/>
  <c r="AM174" i="37"/>
  <c r="AM171" i="37"/>
  <c r="AM175" i="37"/>
  <c r="AM176" i="37"/>
  <c r="AM172" i="37"/>
  <c r="AK112" i="37"/>
  <c r="AD15" i="37"/>
  <c r="AD30" i="37"/>
  <c r="AD21" i="37"/>
  <c r="AF100" i="37"/>
  <c r="AF98" i="37"/>
  <c r="AF130" i="37"/>
  <c r="AF199" i="37"/>
  <c r="AF236" i="37"/>
  <c r="AF99" i="37"/>
  <c r="AF131" i="37"/>
  <c r="AF200" i="37"/>
  <c r="AF237" i="37"/>
  <c r="AC28" i="37"/>
  <c r="AC13" i="37"/>
  <c r="AD123" i="37"/>
  <c r="AD192" i="37"/>
  <c r="AD229" i="37"/>
  <c r="AD120" i="37"/>
  <c r="AD189" i="37"/>
  <c r="AD226" i="37"/>
  <c r="AD117" i="37"/>
  <c r="AD186" i="37"/>
  <c r="AD223" i="37"/>
  <c r="AD114" i="37"/>
  <c r="AE16" i="37"/>
  <c r="AE31" i="37"/>
  <c r="AD129" i="37"/>
  <c r="AD198" i="37"/>
  <c r="AD235" i="37"/>
  <c r="AJ181" i="37"/>
  <c r="AJ218" i="37"/>
  <c r="AC16" i="37"/>
  <c r="AC31" i="37"/>
  <c r="AH8" i="37"/>
  <c r="AG67" i="37"/>
  <c r="AG73" i="37"/>
  <c r="AG66" i="37"/>
  <c r="AG72" i="37"/>
  <c r="AG68" i="37"/>
  <c r="AG74" i="37"/>
  <c r="AG65" i="37"/>
  <c r="AG71" i="37"/>
  <c r="AL91" i="37"/>
  <c r="AL80" i="37"/>
  <c r="AL84" i="37"/>
  <c r="AL116" i="37"/>
  <c r="AL185" i="37"/>
  <c r="AL222" i="37"/>
  <c r="AL90" i="37"/>
  <c r="AL122" i="37"/>
  <c r="AL191" i="37"/>
  <c r="AL228" i="37"/>
  <c r="AL87" i="37"/>
  <c r="AL119" i="37"/>
  <c r="AL188" i="37"/>
  <c r="AL225" i="37"/>
  <c r="AL83" i="37"/>
  <c r="AL115" i="37"/>
  <c r="AL184" i="37"/>
  <c r="AL221" i="37"/>
  <c r="AL85" i="37"/>
  <c r="AL81" i="37"/>
  <c r="AL113" i="37"/>
  <c r="AL182" i="37"/>
  <c r="AL219" i="37"/>
  <c r="AL86" i="37"/>
  <c r="AL118" i="37"/>
  <c r="AL187" i="37"/>
  <c r="AL224" i="37"/>
  <c r="AL82" i="37"/>
  <c r="AL88" i="37"/>
  <c r="AL89" i="37"/>
  <c r="AL121" i="37"/>
  <c r="AL190" i="37"/>
  <c r="AL227" i="37"/>
  <c r="AE135" i="37"/>
  <c r="AE204" i="37"/>
  <c r="AE241" i="37"/>
  <c r="AE18" i="37"/>
  <c r="AF97" i="37"/>
  <c r="AF95" i="37"/>
  <c r="AF127" i="37"/>
  <c r="AF196" i="37"/>
  <c r="AF233" i="37"/>
  <c r="AF96" i="37"/>
  <c r="AF128" i="37"/>
  <c r="AF197" i="37"/>
  <c r="AF234" i="37"/>
  <c r="AE17" i="37"/>
  <c r="AE32" i="37"/>
  <c r="AG99" i="37"/>
  <c r="AG131" i="37"/>
  <c r="AG200" i="37"/>
  <c r="AG237" i="37"/>
  <c r="AG100" i="37"/>
  <c r="AG98" i="37"/>
  <c r="AG130" i="37"/>
  <c r="AG199" i="37"/>
  <c r="AG236" i="37"/>
  <c r="AD31" i="37"/>
  <c r="AD16" i="37"/>
  <c r="AC23" i="37"/>
  <c r="AC20" i="37"/>
  <c r="AC11" i="37"/>
  <c r="AC10" i="37"/>
  <c r="AC217" i="37"/>
  <c r="AC26" i="37"/>
  <c r="AC25" i="37"/>
  <c r="AF124" i="37"/>
  <c r="AF193" i="37"/>
  <c r="AF230" i="37"/>
  <c r="AF79" i="37"/>
  <c r="AM84" i="37"/>
  <c r="AM116" i="37"/>
  <c r="AM185" i="37"/>
  <c r="AM222" i="37"/>
  <c r="AM90" i="37"/>
  <c r="AM122" i="37"/>
  <c r="AM191" i="37"/>
  <c r="AM228" i="37"/>
  <c r="AM91" i="37"/>
  <c r="AM80" i="37"/>
  <c r="AM83" i="37"/>
  <c r="AM115" i="37"/>
  <c r="AM184" i="37"/>
  <c r="AM221" i="37"/>
  <c r="AM87" i="37"/>
  <c r="AM119" i="37"/>
  <c r="AM188" i="37"/>
  <c r="AM225" i="37"/>
  <c r="AM85" i="37"/>
  <c r="AM81" i="37"/>
  <c r="AM113" i="37"/>
  <c r="AM182" i="37"/>
  <c r="AM219" i="37"/>
  <c r="AM86" i="37"/>
  <c r="AM118" i="37"/>
  <c r="AM187" i="37"/>
  <c r="AM224" i="37"/>
  <c r="AM88" i="37"/>
  <c r="AM82" i="37"/>
  <c r="AM89" i="37"/>
  <c r="AM121" i="37"/>
  <c r="AM190" i="37"/>
  <c r="AM227" i="37"/>
  <c r="AL112" i="37"/>
  <c r="AD183" i="37"/>
  <c r="AD220" i="37"/>
  <c r="AD137" i="37"/>
  <c r="AD138" i="37"/>
  <c r="AD111" i="37"/>
  <c r="AK181" i="37"/>
  <c r="AK218" i="37"/>
  <c r="AN6" i="37"/>
  <c r="AO5" i="37"/>
  <c r="AN213" i="37"/>
  <c r="AN76" i="37"/>
  <c r="AN168" i="37"/>
  <c r="AN212" i="37"/>
  <c r="AN211" i="37"/>
  <c r="AN209" i="37"/>
  <c r="AN208" i="37"/>
  <c r="AN7" i="37"/>
  <c r="AN210" i="37"/>
  <c r="AN173" i="37"/>
  <c r="AN171" i="37"/>
  <c r="AN176" i="37"/>
  <c r="AN174" i="37"/>
  <c r="AN172" i="37"/>
  <c r="AN175" i="37"/>
  <c r="AF106" i="37"/>
  <c r="AF108" i="37"/>
  <c r="AF135" i="37"/>
  <c r="AF204" i="37"/>
  <c r="AF241" i="37"/>
  <c r="AF18" i="37"/>
  <c r="AE114" i="37"/>
  <c r="AE117" i="37"/>
  <c r="AE186" i="37"/>
  <c r="AE223" i="37"/>
  <c r="AE123" i="37"/>
  <c r="AE192" i="37"/>
  <c r="AE229" i="37"/>
  <c r="AE120" i="37"/>
  <c r="AE189" i="37"/>
  <c r="AE226" i="37"/>
  <c r="AE21" i="37"/>
  <c r="AE126" i="37"/>
  <c r="AE195" i="37"/>
  <c r="AE232" i="37"/>
  <c r="AE15" i="37"/>
  <c r="AD12" i="37"/>
  <c r="AD27" i="37"/>
  <c r="AG92" i="37"/>
  <c r="AG94" i="37"/>
  <c r="AG93" i="37"/>
  <c r="AG125" i="37"/>
  <c r="AG194" i="37"/>
  <c r="AG231" i="37"/>
  <c r="AG96" i="37"/>
  <c r="AG128" i="37"/>
  <c r="AG197" i="37"/>
  <c r="AG234" i="37"/>
  <c r="AG102" i="37"/>
  <c r="AG134" i="37"/>
  <c r="AG203" i="37"/>
  <c r="AG240" i="37"/>
  <c r="AG22" i="37"/>
  <c r="AD13" i="37"/>
  <c r="AD28" i="37"/>
  <c r="AE33" i="37"/>
  <c r="AG97" i="37"/>
  <c r="AG95" i="37"/>
  <c r="AG127" i="37"/>
  <c r="AG196" i="37"/>
  <c r="AG233" i="37"/>
  <c r="AF126" i="37"/>
  <c r="AF195" i="37"/>
  <c r="AF232" i="37"/>
  <c r="AF132" i="37"/>
  <c r="AF201" i="37"/>
  <c r="AF238" i="37"/>
  <c r="AI8" i="37"/>
  <c r="AH68" i="37"/>
  <c r="AH74" i="37"/>
  <c r="AH65" i="37"/>
  <c r="AH71" i="37"/>
  <c r="AH66" i="37"/>
  <c r="AH72" i="37"/>
  <c r="AH67" i="37"/>
  <c r="AH73" i="37"/>
  <c r="AG101" i="37"/>
  <c r="AG133" i="37"/>
  <c r="AG202" i="37"/>
  <c r="AG239" i="37"/>
  <c r="AG103" i="37"/>
  <c r="AD14" i="37"/>
  <c r="AD29" i="37"/>
  <c r="AF22" i="37"/>
  <c r="AF17" i="37"/>
  <c r="AF32" i="37"/>
  <c r="AF33" i="37"/>
  <c r="AM112" i="37"/>
  <c r="AH98" i="37"/>
  <c r="AH130" i="37"/>
  <c r="AH199" i="37"/>
  <c r="AH236" i="37"/>
  <c r="AH100" i="37"/>
  <c r="AH99" i="37"/>
  <c r="AH131" i="37"/>
  <c r="AH200" i="37"/>
  <c r="AH237" i="37"/>
  <c r="AH97" i="37"/>
  <c r="AH95" i="37"/>
  <c r="AH127" i="37"/>
  <c r="AH196" i="37"/>
  <c r="AH233" i="37"/>
  <c r="AH96" i="37"/>
  <c r="AH128" i="37"/>
  <c r="AH197" i="37"/>
  <c r="AH234" i="37"/>
  <c r="AG124" i="37"/>
  <c r="AG193" i="37"/>
  <c r="AG230" i="37"/>
  <c r="AG79" i="37"/>
  <c r="AG106" i="37"/>
  <c r="AG108" i="37"/>
  <c r="AG129" i="37"/>
  <c r="AG198" i="37"/>
  <c r="AG235" i="37"/>
  <c r="AG16" i="37"/>
  <c r="AE28" i="37"/>
  <c r="AE13" i="37"/>
  <c r="AO6" i="37"/>
  <c r="AP5" i="37"/>
  <c r="AO76" i="37"/>
  <c r="AO168" i="37"/>
  <c r="AO213" i="37"/>
  <c r="AO212" i="37"/>
  <c r="AO209" i="37"/>
  <c r="AO211" i="37"/>
  <c r="AO208" i="37"/>
  <c r="AO7" i="37"/>
  <c r="AO210" i="37"/>
  <c r="AO172" i="37"/>
  <c r="AO171" i="37"/>
  <c r="AO176" i="37"/>
  <c r="AO173" i="37"/>
  <c r="AO174" i="37"/>
  <c r="AO175" i="37"/>
  <c r="AF15" i="37"/>
  <c r="AF30" i="37"/>
  <c r="AF21" i="37"/>
  <c r="AG132" i="37"/>
  <c r="AG201" i="37"/>
  <c r="AG238" i="37"/>
  <c r="AG17" i="37"/>
  <c r="AG126" i="37"/>
  <c r="AG195" i="37"/>
  <c r="AG232" i="37"/>
  <c r="AG135" i="37"/>
  <c r="AG204" i="37"/>
  <c r="AG241" i="37"/>
  <c r="AH101" i="37"/>
  <c r="AH133" i="37"/>
  <c r="AH202" i="37"/>
  <c r="AH239" i="37"/>
  <c r="AH102" i="37"/>
  <c r="AH134" i="37"/>
  <c r="AH203" i="37"/>
  <c r="AH240" i="37"/>
  <c r="AH103" i="37"/>
  <c r="AE14" i="37"/>
  <c r="AE29" i="37"/>
  <c r="AD23" i="37"/>
  <c r="AD20" i="37"/>
  <c r="AD217" i="37"/>
  <c r="AD26" i="37"/>
  <c r="AD25" i="37"/>
  <c r="AD11" i="37"/>
  <c r="AD10" i="37"/>
  <c r="AF129" i="37"/>
  <c r="AF198" i="37"/>
  <c r="AF235" i="37"/>
  <c r="AH94" i="37"/>
  <c r="AH93" i="37"/>
  <c r="AH125" i="37"/>
  <c r="AH194" i="37"/>
  <c r="AH231" i="37"/>
  <c r="AH92" i="37"/>
  <c r="AI68" i="37"/>
  <c r="AI74" i="37"/>
  <c r="AI66" i="37"/>
  <c r="AI72" i="37"/>
  <c r="AJ8" i="37"/>
  <c r="AI65" i="37"/>
  <c r="AI71" i="37"/>
  <c r="AI67" i="37"/>
  <c r="AI73" i="37"/>
  <c r="AE30" i="37"/>
  <c r="AE12" i="37"/>
  <c r="AE27" i="37"/>
  <c r="AN91" i="37"/>
  <c r="AN90" i="37"/>
  <c r="AN122" i="37"/>
  <c r="AN191" i="37"/>
  <c r="AN228" i="37"/>
  <c r="AN84" i="37"/>
  <c r="AN116" i="37"/>
  <c r="AN185" i="37"/>
  <c r="AN222" i="37"/>
  <c r="AN80" i="37"/>
  <c r="AN83" i="37"/>
  <c r="AN115" i="37"/>
  <c r="AN184" i="37"/>
  <c r="AN221" i="37"/>
  <c r="AN85" i="37"/>
  <c r="AN81" i="37"/>
  <c r="AN113" i="37"/>
  <c r="AN182" i="37"/>
  <c r="AN219" i="37"/>
  <c r="AN87" i="37"/>
  <c r="AN119" i="37"/>
  <c r="AN188" i="37"/>
  <c r="AN225" i="37"/>
  <c r="AN88" i="37"/>
  <c r="AN86" i="37"/>
  <c r="AN118" i="37"/>
  <c r="AN187" i="37"/>
  <c r="AN224" i="37"/>
  <c r="AN82" i="37"/>
  <c r="AN89" i="37"/>
  <c r="AN121" i="37"/>
  <c r="AN190" i="37"/>
  <c r="AN227" i="37"/>
  <c r="AL181" i="37"/>
  <c r="AL218" i="37"/>
  <c r="AF114" i="37"/>
  <c r="AF117" i="37"/>
  <c r="AF186" i="37"/>
  <c r="AF223" i="37"/>
  <c r="AF123" i="37"/>
  <c r="AF192" i="37"/>
  <c r="AF229" i="37"/>
  <c r="AF120" i="37"/>
  <c r="AF189" i="37"/>
  <c r="AF226" i="37"/>
  <c r="AE183" i="37"/>
  <c r="AE220" i="37"/>
  <c r="AE137" i="37"/>
  <c r="AE138" i="37"/>
  <c r="AE111" i="37"/>
  <c r="AG33" i="37"/>
  <c r="AG18" i="37"/>
  <c r="AG15" i="37"/>
  <c r="AG30" i="37"/>
  <c r="AG21" i="37"/>
  <c r="AI102" i="37"/>
  <c r="AI134" i="37"/>
  <c r="AI203" i="37"/>
  <c r="AI240" i="37"/>
  <c r="AI101" i="37"/>
  <c r="AI133" i="37"/>
  <c r="AI202" i="37"/>
  <c r="AI239" i="37"/>
  <c r="AI103" i="37"/>
  <c r="AF16" i="37"/>
  <c r="AF31" i="37"/>
  <c r="AG32" i="37"/>
  <c r="AJ68" i="37"/>
  <c r="AJ74" i="37"/>
  <c r="AJ65" i="37"/>
  <c r="AJ71" i="37"/>
  <c r="AJ66" i="37"/>
  <c r="AJ72" i="37"/>
  <c r="AK8" i="37"/>
  <c r="AJ67" i="37"/>
  <c r="AJ73" i="37"/>
  <c r="AM181" i="37"/>
  <c r="AM218" i="37"/>
  <c r="AF14" i="37"/>
  <c r="AF29" i="37"/>
  <c r="AO80" i="37"/>
  <c r="AO91" i="37"/>
  <c r="AO84" i="37"/>
  <c r="AO116" i="37"/>
  <c r="AO185" i="37"/>
  <c r="AO222" i="37"/>
  <c r="AO90" i="37"/>
  <c r="AO122" i="37"/>
  <c r="AO191" i="37"/>
  <c r="AO228" i="37"/>
  <c r="AO85" i="37"/>
  <c r="AO87" i="37"/>
  <c r="AO119" i="37"/>
  <c r="AO188" i="37"/>
  <c r="AO225" i="37"/>
  <c r="AO83" i="37"/>
  <c r="AO115" i="37"/>
  <c r="AO184" i="37"/>
  <c r="AO221" i="37"/>
  <c r="AO81" i="37"/>
  <c r="AO113" i="37"/>
  <c r="AO182" i="37"/>
  <c r="AO219" i="37"/>
  <c r="AO88" i="37"/>
  <c r="AO82" i="37"/>
  <c r="AO86" i="37"/>
  <c r="AO118" i="37"/>
  <c r="AO187" i="37"/>
  <c r="AO224" i="37"/>
  <c r="AO89" i="37"/>
  <c r="AO121" i="37"/>
  <c r="AO190" i="37"/>
  <c r="AO227" i="37"/>
  <c r="AF12" i="37"/>
  <c r="AF27" i="37"/>
  <c r="AH124" i="37"/>
  <c r="AH193" i="37"/>
  <c r="AH230" i="37"/>
  <c r="AH79" i="37"/>
  <c r="AP6" i="37"/>
  <c r="AQ5" i="37"/>
  <c r="AP76" i="37"/>
  <c r="AP168" i="37"/>
  <c r="AP213" i="37"/>
  <c r="AP212" i="37"/>
  <c r="AP211" i="37"/>
  <c r="AP209" i="37"/>
  <c r="AP208" i="37"/>
  <c r="AP7" i="37"/>
  <c r="AP210" i="37"/>
  <c r="AP176" i="37"/>
  <c r="AP173" i="37"/>
  <c r="AP174" i="37"/>
  <c r="AP175" i="37"/>
  <c r="AP172" i="37"/>
  <c r="AP171" i="37"/>
  <c r="AI97" i="37"/>
  <c r="AI95" i="37"/>
  <c r="AI127" i="37"/>
  <c r="AI196" i="37"/>
  <c r="AI233" i="37"/>
  <c r="AI96" i="37"/>
  <c r="AI128" i="37"/>
  <c r="AI197" i="37"/>
  <c r="AI234" i="37"/>
  <c r="AF13" i="37"/>
  <c r="AF28" i="37"/>
  <c r="AF183" i="37"/>
  <c r="AF220" i="37"/>
  <c r="AF137" i="37"/>
  <c r="AF138" i="37"/>
  <c r="AF111" i="37"/>
  <c r="AN112" i="37"/>
  <c r="AI100" i="37"/>
  <c r="AI98" i="37"/>
  <c r="AI130" i="37"/>
  <c r="AI199" i="37"/>
  <c r="AI236" i="37"/>
  <c r="AI99" i="37"/>
  <c r="AI131" i="37"/>
  <c r="AI200" i="37"/>
  <c r="AI237" i="37"/>
  <c r="AH22" i="37"/>
  <c r="AG31" i="37"/>
  <c r="AE23" i="37"/>
  <c r="AE20" i="37"/>
  <c r="AE11" i="37"/>
  <c r="AE10" i="37"/>
  <c r="AE217" i="37"/>
  <c r="AE26" i="37"/>
  <c r="AE25" i="37"/>
  <c r="AI92" i="37"/>
  <c r="AI94" i="37"/>
  <c r="AI93" i="37"/>
  <c r="AI125" i="37"/>
  <c r="AI194" i="37"/>
  <c r="AI231" i="37"/>
  <c r="AI22" i="37"/>
  <c r="AH106" i="37"/>
  <c r="AH108" i="37"/>
  <c r="AH126" i="37"/>
  <c r="AH195" i="37"/>
  <c r="AH232" i="37"/>
  <c r="AH135" i="37"/>
  <c r="AH204" i="37"/>
  <c r="AH241" i="37"/>
  <c r="AG120" i="37"/>
  <c r="AG189" i="37"/>
  <c r="AG226" i="37"/>
  <c r="AG114" i="37"/>
  <c r="AG123" i="37"/>
  <c r="AG192" i="37"/>
  <c r="AG229" i="37"/>
  <c r="AG117" i="37"/>
  <c r="AG186" i="37"/>
  <c r="AG223" i="37"/>
  <c r="AH18" i="37"/>
  <c r="AH33" i="37"/>
  <c r="AG13" i="37"/>
  <c r="AG28" i="37"/>
  <c r="AP90" i="37"/>
  <c r="AP122" i="37"/>
  <c r="AP191" i="37"/>
  <c r="AP228" i="37"/>
  <c r="AP91" i="37"/>
  <c r="AP80" i="37"/>
  <c r="AP84" i="37"/>
  <c r="AP116" i="37"/>
  <c r="AP185" i="37"/>
  <c r="AP222" i="37"/>
  <c r="AP83" i="37"/>
  <c r="AP115" i="37"/>
  <c r="AP184" i="37"/>
  <c r="AP221" i="37"/>
  <c r="AP85" i="37"/>
  <c r="AP87" i="37"/>
  <c r="AP119" i="37"/>
  <c r="AP188" i="37"/>
  <c r="AP225" i="37"/>
  <c r="AP81" i="37"/>
  <c r="AP113" i="37"/>
  <c r="AP182" i="37"/>
  <c r="AP219" i="37"/>
  <c r="AP88" i="37"/>
  <c r="AP82" i="37"/>
  <c r="AP86" i="37"/>
  <c r="AP118" i="37"/>
  <c r="AP187" i="37"/>
  <c r="AP224" i="37"/>
  <c r="AP89" i="37"/>
  <c r="AP121" i="37"/>
  <c r="AP190" i="37"/>
  <c r="AP227" i="37"/>
  <c r="AJ102" i="37"/>
  <c r="AJ134" i="37"/>
  <c r="AJ203" i="37"/>
  <c r="AJ240" i="37"/>
  <c r="AJ103" i="37"/>
  <c r="AJ101" i="37"/>
  <c r="AJ133" i="37"/>
  <c r="AJ202" i="37"/>
  <c r="AJ239" i="37"/>
  <c r="AH114" i="37"/>
  <c r="AH117" i="37"/>
  <c r="AH186" i="37"/>
  <c r="AH223" i="37"/>
  <c r="AH123" i="37"/>
  <c r="AH192" i="37"/>
  <c r="AH229" i="37"/>
  <c r="AH120" i="37"/>
  <c r="AH189" i="37"/>
  <c r="AH226" i="37"/>
  <c r="AQ6" i="37"/>
  <c r="AR5" i="37"/>
  <c r="AQ76" i="37"/>
  <c r="AQ213" i="37"/>
  <c r="AQ168" i="37"/>
  <c r="AQ212" i="37"/>
  <c r="AQ211" i="37"/>
  <c r="AQ209" i="37"/>
  <c r="AQ208" i="37"/>
  <c r="AQ7" i="37"/>
  <c r="AQ210" i="37"/>
  <c r="AQ172" i="37"/>
  <c r="AQ176" i="37"/>
  <c r="AQ171" i="37"/>
  <c r="AQ175" i="37"/>
  <c r="AQ174" i="37"/>
  <c r="AQ173" i="37"/>
  <c r="AH132" i="37"/>
  <c r="AH201" i="37"/>
  <c r="AH238" i="37"/>
  <c r="AJ99" i="37"/>
  <c r="AJ131" i="37"/>
  <c r="AJ200" i="37"/>
  <c r="AJ237" i="37"/>
  <c r="AJ100" i="37"/>
  <c r="AJ98" i="37"/>
  <c r="AJ130" i="37"/>
  <c r="AJ199" i="37"/>
  <c r="AJ236" i="37"/>
  <c r="AH15" i="37"/>
  <c r="AH30" i="37"/>
  <c r="AH21" i="37"/>
  <c r="AH129" i="37"/>
  <c r="AH198" i="37"/>
  <c r="AH235" i="37"/>
  <c r="AO112" i="37"/>
  <c r="AK65" i="37"/>
  <c r="AK71" i="37"/>
  <c r="AK66" i="37"/>
  <c r="AK72" i="37"/>
  <c r="AL8" i="37"/>
  <c r="AK67" i="37"/>
  <c r="AK73" i="37"/>
  <c r="AK68" i="37"/>
  <c r="AK74" i="37"/>
  <c r="AG29" i="37"/>
  <c r="AG14" i="37"/>
  <c r="AJ95" i="37"/>
  <c r="AJ127" i="37"/>
  <c r="AJ196" i="37"/>
  <c r="AJ233" i="37"/>
  <c r="AJ96" i="37"/>
  <c r="AJ128" i="37"/>
  <c r="AJ197" i="37"/>
  <c r="AJ234" i="37"/>
  <c r="AJ97" i="37"/>
  <c r="AI106" i="37"/>
  <c r="AI108" i="37"/>
  <c r="AN181" i="37"/>
  <c r="AN218" i="37"/>
  <c r="AG12" i="37"/>
  <c r="AG27" i="37"/>
  <c r="AI124" i="37"/>
  <c r="AI193" i="37"/>
  <c r="AI230" i="37"/>
  <c r="AI79" i="37"/>
  <c r="AG183" i="37"/>
  <c r="AG220" i="37"/>
  <c r="AG137" i="37"/>
  <c r="AG138" i="37"/>
  <c r="AG111" i="37"/>
  <c r="AF23" i="37"/>
  <c r="AF20" i="37"/>
  <c r="AF11" i="37"/>
  <c r="AF10" i="37"/>
  <c r="AF26" i="37"/>
  <c r="AF25" i="37"/>
  <c r="AF217" i="37"/>
  <c r="AJ94" i="37"/>
  <c r="AJ92" i="37"/>
  <c r="AJ93" i="37"/>
  <c r="AJ125" i="37"/>
  <c r="AJ194" i="37"/>
  <c r="AJ231" i="37"/>
  <c r="AJ22" i="37"/>
  <c r="AI135" i="37"/>
  <c r="AI204" i="37"/>
  <c r="AI241" i="37"/>
  <c r="AI18" i="37"/>
  <c r="AK99" i="37"/>
  <c r="AK131" i="37"/>
  <c r="AK200" i="37"/>
  <c r="AK237" i="37"/>
  <c r="AK100" i="37"/>
  <c r="AK98" i="37"/>
  <c r="AK130" i="37"/>
  <c r="AK199" i="37"/>
  <c r="AK236" i="37"/>
  <c r="AH17" i="37"/>
  <c r="AH32" i="37"/>
  <c r="AH14" i="37"/>
  <c r="AH29" i="37"/>
  <c r="AP112" i="37"/>
  <c r="AL65" i="37"/>
  <c r="AL71" i="37"/>
  <c r="AL67" i="37"/>
  <c r="AL73" i="37"/>
  <c r="AL66" i="37"/>
  <c r="AL72" i="37"/>
  <c r="AM8" i="37"/>
  <c r="AL68" i="37"/>
  <c r="AL74" i="37"/>
  <c r="AH27" i="37"/>
  <c r="AH12" i="37"/>
  <c r="AK93" i="37"/>
  <c r="AK125" i="37"/>
  <c r="AK194" i="37"/>
  <c r="AK231" i="37"/>
  <c r="AK94" i="37"/>
  <c r="AK92" i="37"/>
  <c r="AQ84" i="37"/>
  <c r="AQ116" i="37"/>
  <c r="AQ185" i="37"/>
  <c r="AQ222" i="37"/>
  <c r="AQ90" i="37"/>
  <c r="AQ122" i="37"/>
  <c r="AQ191" i="37"/>
  <c r="AQ228" i="37"/>
  <c r="AQ91" i="37"/>
  <c r="AQ80" i="37"/>
  <c r="AQ85" i="37"/>
  <c r="AQ87" i="37"/>
  <c r="AQ119" i="37"/>
  <c r="AQ188" i="37"/>
  <c r="AQ225" i="37"/>
  <c r="AQ81" i="37"/>
  <c r="AQ113" i="37"/>
  <c r="AQ182" i="37"/>
  <c r="AQ219" i="37"/>
  <c r="AQ83" i="37"/>
  <c r="AQ115" i="37"/>
  <c r="AQ184" i="37"/>
  <c r="AQ221" i="37"/>
  <c r="AQ88" i="37"/>
  <c r="AQ86" i="37"/>
  <c r="AQ118" i="37"/>
  <c r="AQ187" i="37"/>
  <c r="AQ224" i="37"/>
  <c r="AQ82" i="37"/>
  <c r="AQ89" i="37"/>
  <c r="AQ121" i="37"/>
  <c r="AQ190" i="37"/>
  <c r="AQ227" i="37"/>
  <c r="AJ124" i="37"/>
  <c r="AJ193" i="37"/>
  <c r="AJ230" i="37"/>
  <c r="AJ79" i="37"/>
  <c r="AH16" i="37"/>
  <c r="AH31" i="37"/>
  <c r="AH183" i="37"/>
  <c r="AH220" i="37"/>
  <c r="AH137" i="37"/>
  <c r="AH138" i="37"/>
  <c r="AH111" i="37"/>
  <c r="AR6" i="37"/>
  <c r="AS5" i="37"/>
  <c r="AR213" i="37"/>
  <c r="AR76" i="37"/>
  <c r="AR168" i="37"/>
  <c r="AR212" i="37"/>
  <c r="AR209" i="37"/>
  <c r="AR208" i="37"/>
  <c r="AR211" i="37"/>
  <c r="AR7" i="37"/>
  <c r="AR210" i="37"/>
  <c r="AR174" i="37"/>
  <c r="AR173" i="37"/>
  <c r="AR171" i="37"/>
  <c r="AR175" i="37"/>
  <c r="AR176" i="37"/>
  <c r="AR172" i="37"/>
  <c r="AI33" i="37"/>
  <c r="AJ106" i="37"/>
  <c r="AJ108" i="37"/>
  <c r="AJ132" i="37"/>
  <c r="AJ201" i="37"/>
  <c r="AJ238" i="37"/>
  <c r="AK97" i="37"/>
  <c r="AK96" i="37"/>
  <c r="AK128" i="37"/>
  <c r="AK197" i="37"/>
  <c r="AK234" i="37"/>
  <c r="AK95" i="37"/>
  <c r="AK127" i="37"/>
  <c r="AK196" i="37"/>
  <c r="AK233" i="37"/>
  <c r="AG23" i="37"/>
  <c r="AG20" i="37"/>
  <c r="AG11" i="37"/>
  <c r="AG10" i="37"/>
  <c r="AG217" i="37"/>
  <c r="AG26" i="37"/>
  <c r="AG25" i="37"/>
  <c r="AI114" i="37"/>
  <c r="AI123" i="37"/>
  <c r="AI192" i="37"/>
  <c r="AI229" i="37"/>
  <c r="AI120" i="37"/>
  <c r="AI189" i="37"/>
  <c r="AI226" i="37"/>
  <c r="AI117" i="37"/>
  <c r="AI186" i="37"/>
  <c r="AI223" i="37"/>
  <c r="AI132" i="37"/>
  <c r="AI201" i="37"/>
  <c r="AI238" i="37"/>
  <c r="AO181" i="37"/>
  <c r="AO218" i="37"/>
  <c r="AI129" i="37"/>
  <c r="AI198" i="37"/>
  <c r="AI235" i="37"/>
  <c r="AI126" i="37"/>
  <c r="AI195" i="37"/>
  <c r="AI232" i="37"/>
  <c r="AI30" i="37"/>
  <c r="AI15" i="37"/>
  <c r="AI21" i="37"/>
  <c r="AJ129" i="37"/>
  <c r="AJ198" i="37"/>
  <c r="AJ235" i="37"/>
  <c r="AJ16" i="37"/>
  <c r="AK103" i="37"/>
  <c r="AK102" i="37"/>
  <c r="AK134" i="37"/>
  <c r="AK203" i="37"/>
  <c r="AK240" i="37"/>
  <c r="AK101" i="37"/>
  <c r="AK133" i="37"/>
  <c r="AK202" i="37"/>
  <c r="AK239" i="37"/>
  <c r="AH13" i="37"/>
  <c r="AH28" i="37"/>
  <c r="AJ135" i="37"/>
  <c r="AJ204" i="37"/>
  <c r="AJ241" i="37"/>
  <c r="AJ18" i="37"/>
  <c r="AJ17" i="37"/>
  <c r="AJ32" i="37"/>
  <c r="AR91" i="37"/>
  <c r="AR84" i="37"/>
  <c r="AR116" i="37"/>
  <c r="AR185" i="37"/>
  <c r="AR222" i="37"/>
  <c r="AR80" i="37"/>
  <c r="AR90" i="37"/>
  <c r="AR122" i="37"/>
  <c r="AR191" i="37"/>
  <c r="AR228" i="37"/>
  <c r="AR83" i="37"/>
  <c r="AR115" i="37"/>
  <c r="AR184" i="37"/>
  <c r="AR221" i="37"/>
  <c r="AR87" i="37"/>
  <c r="AR119" i="37"/>
  <c r="AR188" i="37"/>
  <c r="AR225" i="37"/>
  <c r="AR85" i="37"/>
  <c r="AR81" i="37"/>
  <c r="AR113" i="37"/>
  <c r="AR182" i="37"/>
  <c r="AR219" i="37"/>
  <c r="AR82" i="37"/>
  <c r="AR86" i="37"/>
  <c r="AR118" i="37"/>
  <c r="AR187" i="37"/>
  <c r="AR224" i="37"/>
  <c r="AR88" i="37"/>
  <c r="AR89" i="37"/>
  <c r="AR121" i="37"/>
  <c r="AR190" i="37"/>
  <c r="AR227" i="37"/>
  <c r="AI17" i="37"/>
  <c r="AI32" i="37"/>
  <c r="AJ126" i="37"/>
  <c r="AJ195" i="37"/>
  <c r="AJ232" i="37"/>
  <c r="AQ112" i="37"/>
  <c r="AL97" i="37"/>
  <c r="AL96" i="37"/>
  <c r="AL128" i="37"/>
  <c r="AL197" i="37"/>
  <c r="AL234" i="37"/>
  <c r="AL95" i="37"/>
  <c r="AL127" i="37"/>
  <c r="AL196" i="37"/>
  <c r="AL233" i="37"/>
  <c r="AI16" i="37"/>
  <c r="AI31" i="37"/>
  <c r="AL100" i="37"/>
  <c r="AL98" i="37"/>
  <c r="AL130" i="37"/>
  <c r="AL199" i="37"/>
  <c r="AL236" i="37"/>
  <c r="AL99" i="37"/>
  <c r="AL131" i="37"/>
  <c r="AL200" i="37"/>
  <c r="AL237" i="37"/>
  <c r="AL93" i="37"/>
  <c r="AL125" i="37"/>
  <c r="AL194" i="37"/>
  <c r="AL231" i="37"/>
  <c r="AL94" i="37"/>
  <c r="AL92" i="37"/>
  <c r="AJ15" i="37"/>
  <c r="AJ30" i="37"/>
  <c r="AJ21" i="37"/>
  <c r="AJ31" i="37"/>
  <c r="AI27" i="37"/>
  <c r="AI12" i="37"/>
  <c r="AS6" i="37"/>
  <c r="AT5" i="37"/>
  <c r="AS76" i="37"/>
  <c r="AS168" i="37"/>
  <c r="AS213" i="37"/>
  <c r="AS211" i="37"/>
  <c r="AS212" i="37"/>
  <c r="AS209" i="37"/>
  <c r="AS208" i="37"/>
  <c r="AS7" i="37"/>
  <c r="AS210" i="37"/>
  <c r="AS172" i="37"/>
  <c r="AS174" i="37"/>
  <c r="AS176" i="37"/>
  <c r="AS171" i="37"/>
  <c r="AS173" i="37"/>
  <c r="AS175" i="37"/>
  <c r="AJ33" i="37"/>
  <c r="AI13" i="37"/>
  <c r="AI28" i="37"/>
  <c r="AK124" i="37"/>
  <c r="AK193" i="37"/>
  <c r="AK230" i="37"/>
  <c r="AK79" i="37"/>
  <c r="AP181" i="37"/>
  <c r="AP218" i="37"/>
  <c r="AI29" i="37"/>
  <c r="AI14" i="37"/>
  <c r="AK106" i="37"/>
  <c r="AK108" i="37"/>
  <c r="AK135" i="37"/>
  <c r="AK204" i="37"/>
  <c r="AK241" i="37"/>
  <c r="AL102" i="37"/>
  <c r="AL134" i="37"/>
  <c r="AL203" i="37"/>
  <c r="AL240" i="37"/>
  <c r="AL101" i="37"/>
  <c r="AL133" i="37"/>
  <c r="AL202" i="37"/>
  <c r="AL239" i="37"/>
  <c r="AL103" i="37"/>
  <c r="AI183" i="37"/>
  <c r="AI220" i="37"/>
  <c r="AI137" i="37"/>
  <c r="AI138" i="37"/>
  <c r="AI111" i="37"/>
  <c r="AJ114" i="37"/>
  <c r="AJ120" i="37"/>
  <c r="AJ189" i="37"/>
  <c r="AJ226" i="37"/>
  <c r="AJ123" i="37"/>
  <c r="AJ192" i="37"/>
  <c r="AJ229" i="37"/>
  <c r="AJ117" i="37"/>
  <c r="AJ186" i="37"/>
  <c r="AJ223" i="37"/>
  <c r="AH23" i="37"/>
  <c r="AH20" i="37"/>
  <c r="AH26" i="37"/>
  <c r="AH25" i="37"/>
  <c r="AH11" i="37"/>
  <c r="AH10" i="37"/>
  <c r="AH217" i="37"/>
  <c r="AK22" i="37"/>
  <c r="AM66" i="37"/>
  <c r="AM72" i="37"/>
  <c r="AM65" i="37"/>
  <c r="AM71" i="37"/>
  <c r="AM67" i="37"/>
  <c r="AM73" i="37"/>
  <c r="AM68" i="37"/>
  <c r="AM74" i="37"/>
  <c r="AN8" i="37"/>
  <c r="AK33" i="37"/>
  <c r="AK18" i="37"/>
  <c r="AM92" i="37"/>
  <c r="AM93" i="37"/>
  <c r="AM125" i="37"/>
  <c r="AM194" i="37"/>
  <c r="AM231" i="37"/>
  <c r="AM94" i="37"/>
  <c r="AK21" i="37"/>
  <c r="AL124" i="37"/>
  <c r="AL193" i="37"/>
  <c r="AL230" i="37"/>
  <c r="AL79" i="37"/>
  <c r="AQ181" i="37"/>
  <c r="AQ218" i="37"/>
  <c r="AJ183" i="37"/>
  <c r="AJ220" i="37"/>
  <c r="AJ137" i="37"/>
  <c r="AJ138" i="37"/>
  <c r="AJ111" i="37"/>
  <c r="AN66" i="37"/>
  <c r="AN72" i="37"/>
  <c r="AN67" i="37"/>
  <c r="AN73" i="37"/>
  <c r="AN68" i="37"/>
  <c r="AN74" i="37"/>
  <c r="AN65" i="37"/>
  <c r="AN71" i="37"/>
  <c r="AO8" i="37"/>
  <c r="AL106" i="37"/>
  <c r="AL108" i="37"/>
  <c r="AK117" i="37"/>
  <c r="AK186" i="37"/>
  <c r="AK223" i="37"/>
  <c r="AK114" i="37"/>
  <c r="AK120" i="37"/>
  <c r="AK189" i="37"/>
  <c r="AK226" i="37"/>
  <c r="AK123" i="37"/>
  <c r="AK192" i="37"/>
  <c r="AK229" i="37"/>
  <c r="AL22" i="37"/>
  <c r="AM100" i="37"/>
  <c r="AM98" i="37"/>
  <c r="AM130" i="37"/>
  <c r="AM199" i="37"/>
  <c r="AM236" i="37"/>
  <c r="AM99" i="37"/>
  <c r="AM131" i="37"/>
  <c r="AM200" i="37"/>
  <c r="AM237" i="37"/>
  <c r="AI23" i="37"/>
  <c r="AI20" i="37"/>
  <c r="AI26" i="37"/>
  <c r="AI25" i="37"/>
  <c r="AI217" i="37"/>
  <c r="AI11" i="37"/>
  <c r="AI10" i="37"/>
  <c r="AK126" i="37"/>
  <c r="AK195" i="37"/>
  <c r="AK232" i="37"/>
  <c r="AK30" i="37"/>
  <c r="AR112" i="37"/>
  <c r="AM95" i="37"/>
  <c r="AM127" i="37"/>
  <c r="AM196" i="37"/>
  <c r="AM233" i="37"/>
  <c r="AM96" i="37"/>
  <c r="AM128" i="37"/>
  <c r="AM197" i="37"/>
  <c r="AM234" i="37"/>
  <c r="AM97" i="37"/>
  <c r="AS91" i="37"/>
  <c r="AS84" i="37"/>
  <c r="AS116" i="37"/>
  <c r="AS185" i="37"/>
  <c r="AS222" i="37"/>
  <c r="AS90" i="37"/>
  <c r="AS122" i="37"/>
  <c r="AS191" i="37"/>
  <c r="AS228" i="37"/>
  <c r="AS80" i="37"/>
  <c r="AS83" i="37"/>
  <c r="AS115" i="37"/>
  <c r="AS184" i="37"/>
  <c r="AS221" i="37"/>
  <c r="AS85" i="37"/>
  <c r="AS81" i="37"/>
  <c r="AS113" i="37"/>
  <c r="AS182" i="37"/>
  <c r="AS219" i="37"/>
  <c r="AS87" i="37"/>
  <c r="AS119" i="37"/>
  <c r="AS188" i="37"/>
  <c r="AS225" i="37"/>
  <c r="AS88" i="37"/>
  <c r="AS86" i="37"/>
  <c r="AS118" i="37"/>
  <c r="AS187" i="37"/>
  <c r="AS224" i="37"/>
  <c r="AS82" i="37"/>
  <c r="AS89" i="37"/>
  <c r="AS121" i="37"/>
  <c r="AS190" i="37"/>
  <c r="AS227" i="37"/>
  <c r="AM102" i="37"/>
  <c r="AM134" i="37"/>
  <c r="AM203" i="37"/>
  <c r="AM240" i="37"/>
  <c r="AM101" i="37"/>
  <c r="AM133" i="37"/>
  <c r="AM202" i="37"/>
  <c r="AM239" i="37"/>
  <c r="AM103" i="37"/>
  <c r="AK129" i="37"/>
  <c r="AK198" i="37"/>
  <c r="AK235" i="37"/>
  <c r="AJ14" i="37"/>
  <c r="AJ29" i="37"/>
  <c r="AK132" i="37"/>
  <c r="AK201" i="37"/>
  <c r="AK238" i="37"/>
  <c r="AT6" i="37"/>
  <c r="AU5" i="37"/>
  <c r="AT76" i="37"/>
  <c r="AT168" i="37"/>
  <c r="AT213" i="37"/>
  <c r="AT212" i="37"/>
  <c r="AT211" i="37"/>
  <c r="AT208" i="37"/>
  <c r="AT209" i="37"/>
  <c r="AT7" i="37"/>
  <c r="AT210" i="37"/>
  <c r="AT173" i="37"/>
  <c r="AT174" i="37"/>
  <c r="AT172" i="37"/>
  <c r="AT171" i="37"/>
  <c r="AT175" i="37"/>
  <c r="AT176" i="37"/>
  <c r="AL132" i="37"/>
  <c r="AL201" i="37"/>
  <c r="AL238" i="37"/>
  <c r="AL17" i="37"/>
  <c r="AL129" i="37"/>
  <c r="AL198" i="37"/>
  <c r="AL235" i="37"/>
  <c r="AL16" i="37"/>
  <c r="AJ27" i="37"/>
  <c r="AJ12" i="37"/>
  <c r="AJ13" i="37"/>
  <c r="AJ28" i="37"/>
  <c r="AL135" i="37"/>
  <c r="AL204" i="37"/>
  <c r="AL241" i="37"/>
  <c r="AL18" i="37"/>
  <c r="AK14" i="37"/>
  <c r="AK29" i="37"/>
  <c r="AJ23" i="37"/>
  <c r="AJ20" i="37"/>
  <c r="AJ11" i="37"/>
  <c r="AJ10" i="37"/>
  <c r="AJ26" i="37"/>
  <c r="AJ25" i="37"/>
  <c r="AJ217" i="37"/>
  <c r="AK15" i="37"/>
  <c r="AK13" i="37"/>
  <c r="AK28" i="37"/>
  <c r="AP8" i="37"/>
  <c r="AO67" i="37"/>
  <c r="AO73" i="37"/>
  <c r="AO68" i="37"/>
  <c r="AO74" i="37"/>
  <c r="AO65" i="37"/>
  <c r="AO71" i="37"/>
  <c r="AO66" i="37"/>
  <c r="AO72" i="37"/>
  <c r="AL33" i="37"/>
  <c r="AR181" i="37"/>
  <c r="AR218" i="37"/>
  <c r="AK183" i="37"/>
  <c r="AK220" i="37"/>
  <c r="AK137" i="37"/>
  <c r="AK138" i="37"/>
  <c r="AK111" i="37"/>
  <c r="AN92" i="37"/>
  <c r="AN93" i="37"/>
  <c r="AN125" i="37"/>
  <c r="AN194" i="37"/>
  <c r="AN231" i="37"/>
  <c r="AN94" i="37"/>
  <c r="AM106" i="37"/>
  <c r="AM108" i="37"/>
  <c r="AM132" i="37"/>
  <c r="AM201" i="37"/>
  <c r="AM238" i="37"/>
  <c r="AM17" i="37"/>
  <c r="AK27" i="37"/>
  <c r="AK12" i="37"/>
  <c r="AN102" i="37"/>
  <c r="AN134" i="37"/>
  <c r="AN203" i="37"/>
  <c r="AN240" i="37"/>
  <c r="AN101" i="37"/>
  <c r="AN133" i="37"/>
  <c r="AN202" i="37"/>
  <c r="AN239" i="37"/>
  <c r="AN103" i="37"/>
  <c r="AM135" i="37"/>
  <c r="AM204" i="37"/>
  <c r="AM241" i="37"/>
  <c r="AN100" i="37"/>
  <c r="AN98" i="37"/>
  <c r="AN130" i="37"/>
  <c r="AN199" i="37"/>
  <c r="AN236" i="37"/>
  <c r="AN99" i="37"/>
  <c r="AN131" i="37"/>
  <c r="AN200" i="37"/>
  <c r="AN237" i="37"/>
  <c r="AL21" i="37"/>
  <c r="AM22" i="37"/>
  <c r="AK17" i="37"/>
  <c r="AK32" i="37"/>
  <c r="AS112" i="37"/>
  <c r="AN96" i="37"/>
  <c r="AN128" i="37"/>
  <c r="AN197" i="37"/>
  <c r="AN234" i="37"/>
  <c r="AN97" i="37"/>
  <c r="AN95" i="37"/>
  <c r="AN127" i="37"/>
  <c r="AN196" i="37"/>
  <c r="AN233" i="37"/>
  <c r="AM124" i="37"/>
  <c r="AM193" i="37"/>
  <c r="AM230" i="37"/>
  <c r="AM79" i="37"/>
  <c r="AT91" i="37"/>
  <c r="AT84" i="37"/>
  <c r="AT116" i="37"/>
  <c r="AT185" i="37"/>
  <c r="AT222" i="37"/>
  <c r="AT80" i="37"/>
  <c r="AT90" i="37"/>
  <c r="AT122" i="37"/>
  <c r="AT191" i="37"/>
  <c r="AT228" i="37"/>
  <c r="AT83" i="37"/>
  <c r="AT115" i="37"/>
  <c r="AT184" i="37"/>
  <c r="AT221" i="37"/>
  <c r="AT85" i="37"/>
  <c r="AT81" i="37"/>
  <c r="AT113" i="37"/>
  <c r="AT182" i="37"/>
  <c r="AT219" i="37"/>
  <c r="AT87" i="37"/>
  <c r="AT119" i="37"/>
  <c r="AT188" i="37"/>
  <c r="AT225" i="37"/>
  <c r="AT86" i="37"/>
  <c r="AT118" i="37"/>
  <c r="AT187" i="37"/>
  <c r="AT224" i="37"/>
  <c r="AT82" i="37"/>
  <c r="AT88" i="37"/>
  <c r="AT89" i="37"/>
  <c r="AT121" i="37"/>
  <c r="AT190" i="37"/>
  <c r="AT227" i="37"/>
  <c r="AL32" i="37"/>
  <c r="AL31" i="37"/>
  <c r="AL123" i="37"/>
  <c r="AL192" i="37"/>
  <c r="AL229" i="37"/>
  <c r="AL117" i="37"/>
  <c r="AL186" i="37"/>
  <c r="AL223" i="37"/>
  <c r="AL114" i="37"/>
  <c r="AL120" i="37"/>
  <c r="AL189" i="37"/>
  <c r="AL226" i="37"/>
  <c r="AU6" i="37"/>
  <c r="AV5" i="37"/>
  <c r="AU76" i="37"/>
  <c r="AU168" i="37"/>
  <c r="AU213" i="37"/>
  <c r="AU211" i="37"/>
  <c r="AU212" i="37"/>
  <c r="AU209" i="37"/>
  <c r="AU208" i="37"/>
  <c r="AU7" i="37"/>
  <c r="AU210" i="37"/>
  <c r="AU172" i="37"/>
  <c r="AU176" i="37"/>
  <c r="AU171" i="37"/>
  <c r="AU175" i="37"/>
  <c r="AU173" i="37"/>
  <c r="AU174" i="37"/>
  <c r="AK16" i="37"/>
  <c r="AK31" i="37"/>
  <c r="AL126" i="37"/>
  <c r="AL195" i="37"/>
  <c r="AL232" i="37"/>
  <c r="AL15" i="37"/>
  <c r="AM18" i="37"/>
  <c r="AM33" i="37"/>
  <c r="AL14" i="37"/>
  <c r="AL29" i="37"/>
  <c r="AT112" i="37"/>
  <c r="AM126" i="37"/>
  <c r="AM195" i="37"/>
  <c r="AM232" i="37"/>
  <c r="AN124" i="37"/>
  <c r="AN193" i="37"/>
  <c r="AN230" i="37"/>
  <c r="AN79" i="37"/>
  <c r="AO98" i="37"/>
  <c r="AO130" i="37"/>
  <c r="AO199" i="37"/>
  <c r="AO236" i="37"/>
  <c r="AO99" i="37"/>
  <c r="AO131" i="37"/>
  <c r="AO200" i="37"/>
  <c r="AO237" i="37"/>
  <c r="AO100" i="37"/>
  <c r="AQ8" i="37"/>
  <c r="AP67" i="37"/>
  <c r="AP73" i="37"/>
  <c r="AP68" i="37"/>
  <c r="AP74" i="37"/>
  <c r="AP65" i="37"/>
  <c r="AP71" i="37"/>
  <c r="AP66" i="37"/>
  <c r="AP72" i="37"/>
  <c r="AU80" i="37"/>
  <c r="AU90" i="37"/>
  <c r="AU122" i="37"/>
  <c r="AU191" i="37"/>
  <c r="AU228" i="37"/>
  <c r="AU84" i="37"/>
  <c r="AU116" i="37"/>
  <c r="AU185" i="37"/>
  <c r="AU222" i="37"/>
  <c r="AU91" i="37"/>
  <c r="AU87" i="37"/>
  <c r="AU119" i="37"/>
  <c r="AU188" i="37"/>
  <c r="AU225" i="37"/>
  <c r="AU85" i="37"/>
  <c r="AU81" i="37"/>
  <c r="AU113" i="37"/>
  <c r="AU182" i="37"/>
  <c r="AU219" i="37"/>
  <c r="AU83" i="37"/>
  <c r="AU115" i="37"/>
  <c r="AU184" i="37"/>
  <c r="AU221" i="37"/>
  <c r="AU82" i="37"/>
  <c r="AU86" i="37"/>
  <c r="AU118" i="37"/>
  <c r="AU187" i="37"/>
  <c r="AU224" i="37"/>
  <c r="AU88" i="37"/>
  <c r="AU89" i="37"/>
  <c r="AU121" i="37"/>
  <c r="AU190" i="37"/>
  <c r="AU227" i="37"/>
  <c r="AS181" i="37"/>
  <c r="AS218" i="37"/>
  <c r="AL30" i="37"/>
  <c r="AV6" i="37"/>
  <c r="AW5" i="37"/>
  <c r="AV213" i="37"/>
  <c r="AV168" i="37"/>
  <c r="AV76" i="37"/>
  <c r="AV212" i="37"/>
  <c r="AV211" i="37"/>
  <c r="AV209" i="37"/>
  <c r="AV208" i="37"/>
  <c r="AV7" i="37"/>
  <c r="AV210" i="37"/>
  <c r="AV175" i="37"/>
  <c r="AV176" i="37"/>
  <c r="AV172" i="37"/>
  <c r="AV173" i="37"/>
  <c r="AV174" i="37"/>
  <c r="AV171" i="37"/>
  <c r="AK23" i="37"/>
  <c r="AK20" i="37"/>
  <c r="AK217" i="37"/>
  <c r="AK26" i="37"/>
  <c r="AK25" i="37"/>
  <c r="AK11" i="37"/>
  <c r="AK10" i="37"/>
  <c r="AM32" i="37"/>
  <c r="AM129" i="37"/>
  <c r="AM198" i="37"/>
  <c r="AM235" i="37"/>
  <c r="AL13" i="37"/>
  <c r="AL28" i="37"/>
  <c r="AM15" i="37"/>
  <c r="AM30" i="37"/>
  <c r="AM21" i="37"/>
  <c r="AO97" i="37"/>
  <c r="AO96" i="37"/>
  <c r="AO128" i="37"/>
  <c r="AO197" i="37"/>
  <c r="AO234" i="37"/>
  <c r="AO95" i="37"/>
  <c r="AO127" i="37"/>
  <c r="AO196" i="37"/>
  <c r="AO233" i="37"/>
  <c r="AN106" i="37"/>
  <c r="AN108" i="37"/>
  <c r="AO94" i="37"/>
  <c r="AO93" i="37"/>
  <c r="AO125" i="37"/>
  <c r="AO194" i="37"/>
  <c r="AO231" i="37"/>
  <c r="AO92" i="37"/>
  <c r="AL183" i="37"/>
  <c r="AL220" i="37"/>
  <c r="AL137" i="37"/>
  <c r="AL138" i="37"/>
  <c r="AL111" i="37"/>
  <c r="AL12" i="37"/>
  <c r="AL27" i="37"/>
  <c r="AM120" i="37"/>
  <c r="AM189" i="37"/>
  <c r="AM226" i="37"/>
  <c r="AM123" i="37"/>
  <c r="AM192" i="37"/>
  <c r="AM229" i="37"/>
  <c r="AM114" i="37"/>
  <c r="AM117" i="37"/>
  <c r="AM186" i="37"/>
  <c r="AM223" i="37"/>
  <c r="AN22" i="37"/>
  <c r="AO102" i="37"/>
  <c r="AO134" i="37"/>
  <c r="AO203" i="37"/>
  <c r="AO240" i="37"/>
  <c r="AO101" i="37"/>
  <c r="AO133" i="37"/>
  <c r="AO202" i="37"/>
  <c r="AO239" i="37"/>
  <c r="AO103" i="37"/>
  <c r="AP100" i="37"/>
  <c r="AP98" i="37"/>
  <c r="AP130" i="37"/>
  <c r="AP199" i="37"/>
  <c r="AP236" i="37"/>
  <c r="AP99" i="37"/>
  <c r="AP131" i="37"/>
  <c r="AP200" i="37"/>
  <c r="AP237" i="37"/>
  <c r="AL23" i="37"/>
  <c r="AL20" i="37"/>
  <c r="AL11" i="37"/>
  <c r="AL10" i="37"/>
  <c r="AL217" i="37"/>
  <c r="AL26" i="37"/>
  <c r="AL25" i="37"/>
  <c r="AV80" i="37"/>
  <c r="AV90" i="37"/>
  <c r="AV122" i="37"/>
  <c r="AV191" i="37"/>
  <c r="AV228" i="37"/>
  <c r="AV84" i="37"/>
  <c r="AV116" i="37"/>
  <c r="AV185" i="37"/>
  <c r="AV222" i="37"/>
  <c r="AV91" i="37"/>
  <c r="AV87" i="37"/>
  <c r="AV119" i="37"/>
  <c r="AV188" i="37"/>
  <c r="AV225" i="37"/>
  <c r="AV83" i="37"/>
  <c r="AV115" i="37"/>
  <c r="AV184" i="37"/>
  <c r="AV221" i="37"/>
  <c r="AV85" i="37"/>
  <c r="AV81" i="37"/>
  <c r="AV113" i="37"/>
  <c r="AV182" i="37"/>
  <c r="AV219" i="37"/>
  <c r="AV88" i="37"/>
  <c r="AV82" i="37"/>
  <c r="AV86" i="37"/>
  <c r="AV118" i="37"/>
  <c r="AV187" i="37"/>
  <c r="AV224" i="37"/>
  <c r="AV89" i="37"/>
  <c r="AV121" i="37"/>
  <c r="AV190" i="37"/>
  <c r="AV227" i="37"/>
  <c r="AQ68" i="37"/>
  <c r="AQ74" i="37"/>
  <c r="AQ67" i="37"/>
  <c r="AQ73" i="37"/>
  <c r="AQ66" i="37"/>
  <c r="AQ72" i="37"/>
  <c r="AQ65" i="37"/>
  <c r="AQ71" i="37"/>
  <c r="AR8" i="37"/>
  <c r="AN21" i="37"/>
  <c r="AM12" i="37"/>
  <c r="AM27" i="37"/>
  <c r="AM183" i="37"/>
  <c r="AM220" i="37"/>
  <c r="AM137" i="37"/>
  <c r="AM138" i="37"/>
  <c r="AM111" i="37"/>
  <c r="AN117" i="37"/>
  <c r="AN186" i="37"/>
  <c r="AN223" i="37"/>
  <c r="AN123" i="37"/>
  <c r="AN192" i="37"/>
  <c r="AN229" i="37"/>
  <c r="AN114" i="37"/>
  <c r="AN120" i="37"/>
  <c r="AN189" i="37"/>
  <c r="AN226" i="37"/>
  <c r="AN135" i="37"/>
  <c r="AN204" i="37"/>
  <c r="AN241" i="37"/>
  <c r="AM29" i="37"/>
  <c r="AM14" i="37"/>
  <c r="AM28" i="37"/>
  <c r="AM13" i="37"/>
  <c r="AO124" i="37"/>
  <c r="AO193" i="37"/>
  <c r="AO230" i="37"/>
  <c r="AO79" i="37"/>
  <c r="AN126" i="37"/>
  <c r="AN195" i="37"/>
  <c r="AN232" i="37"/>
  <c r="AN15" i="37"/>
  <c r="AT181" i="37"/>
  <c r="AT218" i="37"/>
  <c r="AN132" i="37"/>
  <c r="AN201" i="37"/>
  <c r="AN238" i="37"/>
  <c r="AN129" i="37"/>
  <c r="AN198" i="37"/>
  <c r="AN235" i="37"/>
  <c r="AO22" i="37"/>
  <c r="AM31" i="37"/>
  <c r="AM16" i="37"/>
  <c r="AW6" i="37"/>
  <c r="AX5" i="37"/>
  <c r="AW168" i="37"/>
  <c r="AW76" i="37"/>
  <c r="AW213" i="37"/>
  <c r="AW211" i="37"/>
  <c r="AW212" i="37"/>
  <c r="AW209" i="37"/>
  <c r="AW208" i="37"/>
  <c r="AW7" i="37"/>
  <c r="AW210" i="37"/>
  <c r="AW175" i="37"/>
  <c r="AW174" i="37"/>
  <c r="AW172" i="37"/>
  <c r="AW173" i="37"/>
  <c r="AW176" i="37"/>
  <c r="AW171" i="37"/>
  <c r="AU112" i="37"/>
  <c r="AO106" i="37"/>
  <c r="AO108" i="37"/>
  <c r="AP95" i="37"/>
  <c r="AP127" i="37"/>
  <c r="AP196" i="37"/>
  <c r="AP233" i="37"/>
  <c r="AP97" i="37"/>
  <c r="AP96" i="37"/>
  <c r="AP128" i="37"/>
  <c r="AP197" i="37"/>
  <c r="AP234" i="37"/>
  <c r="AP92" i="37"/>
  <c r="AP93" i="37"/>
  <c r="AP125" i="37"/>
  <c r="AP194" i="37"/>
  <c r="AP231" i="37"/>
  <c r="AP102" i="37"/>
  <c r="AP134" i="37"/>
  <c r="AP203" i="37"/>
  <c r="AP240" i="37"/>
  <c r="AP22" i="37"/>
  <c r="AP94" i="37"/>
  <c r="AP101" i="37"/>
  <c r="AP133" i="37"/>
  <c r="AP202" i="37"/>
  <c r="AP239" i="37"/>
  <c r="AP103" i="37"/>
  <c r="AN13" i="37"/>
  <c r="AN28" i="37"/>
  <c r="AQ102" i="37"/>
  <c r="AQ134" i="37"/>
  <c r="AQ203" i="37"/>
  <c r="AQ240" i="37"/>
  <c r="AQ101" i="37"/>
  <c r="AQ133" i="37"/>
  <c r="AQ202" i="37"/>
  <c r="AQ239" i="37"/>
  <c r="AQ103" i="37"/>
  <c r="AN183" i="37"/>
  <c r="AN220" i="37"/>
  <c r="AN137" i="37"/>
  <c r="AN138" i="37"/>
  <c r="AN111" i="37"/>
  <c r="AO120" i="37"/>
  <c r="AO189" i="37"/>
  <c r="AO226" i="37"/>
  <c r="AO123" i="37"/>
  <c r="AO192" i="37"/>
  <c r="AO229" i="37"/>
  <c r="AO114" i="37"/>
  <c r="AO117" i="37"/>
  <c r="AO186" i="37"/>
  <c r="AO223" i="37"/>
  <c r="AN14" i="37"/>
  <c r="AN29" i="37"/>
  <c r="AN30" i="37"/>
  <c r="AP106" i="37"/>
  <c r="AP108" i="37"/>
  <c r="AP132" i="37"/>
  <c r="AP201" i="37"/>
  <c r="AP238" i="37"/>
  <c r="AO132" i="37"/>
  <c r="AO201" i="37"/>
  <c r="AO238" i="37"/>
  <c r="AO126" i="37"/>
  <c r="AO195" i="37"/>
  <c r="AO232" i="37"/>
  <c r="AN16" i="37"/>
  <c r="AN31" i="37"/>
  <c r="AN12" i="37"/>
  <c r="AN27" i="37"/>
  <c r="AV112" i="37"/>
  <c r="AO135" i="37"/>
  <c r="AO204" i="37"/>
  <c r="AO241" i="37"/>
  <c r="AN33" i="37"/>
  <c r="AN18" i="37"/>
  <c r="AR68" i="37"/>
  <c r="AR74" i="37"/>
  <c r="AS8" i="37"/>
  <c r="AR65" i="37"/>
  <c r="AR71" i="37"/>
  <c r="AR67" i="37"/>
  <c r="AR73" i="37"/>
  <c r="AR66" i="37"/>
  <c r="AR72" i="37"/>
  <c r="AW90" i="37"/>
  <c r="AW122" i="37"/>
  <c r="AW191" i="37"/>
  <c r="AW228" i="37"/>
  <c r="AW84" i="37"/>
  <c r="AW116" i="37"/>
  <c r="AW185" i="37"/>
  <c r="AW222" i="37"/>
  <c r="AW91" i="37"/>
  <c r="AW80" i="37"/>
  <c r="AW81" i="37"/>
  <c r="AW113" i="37"/>
  <c r="AW182" i="37"/>
  <c r="AW219" i="37"/>
  <c r="AW85" i="37"/>
  <c r="AW87" i="37"/>
  <c r="AW119" i="37"/>
  <c r="AW188" i="37"/>
  <c r="AW225" i="37"/>
  <c r="AW83" i="37"/>
  <c r="AW115" i="37"/>
  <c r="AW184" i="37"/>
  <c r="AW221" i="37"/>
  <c r="AW88" i="37"/>
  <c r="AW82" i="37"/>
  <c r="AW86" i="37"/>
  <c r="AW118" i="37"/>
  <c r="AW187" i="37"/>
  <c r="AW224" i="37"/>
  <c r="AW89" i="37"/>
  <c r="AW121" i="37"/>
  <c r="AW190" i="37"/>
  <c r="AW227" i="37"/>
  <c r="AN17" i="37"/>
  <c r="AN32" i="37"/>
  <c r="AQ92" i="37"/>
  <c r="AQ93" i="37"/>
  <c r="AQ125" i="37"/>
  <c r="AQ194" i="37"/>
  <c r="AQ231" i="37"/>
  <c r="AQ94" i="37"/>
  <c r="AU181" i="37"/>
  <c r="AU218" i="37"/>
  <c r="AM23" i="37"/>
  <c r="AM20" i="37"/>
  <c r="AM217" i="37"/>
  <c r="AM26" i="37"/>
  <c r="AM25" i="37"/>
  <c r="AM11" i="37"/>
  <c r="AM10" i="37"/>
  <c r="AQ95" i="37"/>
  <c r="AQ127" i="37"/>
  <c r="AQ196" i="37"/>
  <c r="AQ233" i="37"/>
  <c r="AQ96" i="37"/>
  <c r="AQ128" i="37"/>
  <c r="AQ197" i="37"/>
  <c r="AQ234" i="37"/>
  <c r="AQ97" i="37"/>
  <c r="AP124" i="37"/>
  <c r="AP193" i="37"/>
  <c r="AP230" i="37"/>
  <c r="AP79" i="37"/>
  <c r="AP135" i="37"/>
  <c r="AP204" i="37"/>
  <c r="AP241" i="37"/>
  <c r="AP18" i="37"/>
  <c r="AX6" i="37"/>
  <c r="AY5" i="37"/>
  <c r="AX76" i="37"/>
  <c r="AX213" i="37"/>
  <c r="AX168" i="37"/>
  <c r="AX212" i="37"/>
  <c r="AX211" i="37"/>
  <c r="AX209" i="37"/>
  <c r="AX208" i="37"/>
  <c r="AX7" i="37"/>
  <c r="AX210" i="37"/>
  <c r="AX176" i="37"/>
  <c r="AX173" i="37"/>
  <c r="AX171" i="37"/>
  <c r="AX175" i="37"/>
  <c r="AX172" i="37"/>
  <c r="AX174" i="37"/>
  <c r="AO15" i="37"/>
  <c r="AO30" i="37"/>
  <c r="AO21" i="37"/>
  <c r="AQ100" i="37"/>
  <c r="AQ98" i="37"/>
  <c r="AQ130" i="37"/>
  <c r="AQ199" i="37"/>
  <c r="AQ236" i="37"/>
  <c r="AQ99" i="37"/>
  <c r="AQ131" i="37"/>
  <c r="AQ200" i="37"/>
  <c r="AQ237" i="37"/>
  <c r="AO129" i="37"/>
  <c r="AO198" i="37"/>
  <c r="AO235" i="37"/>
  <c r="AP17" i="37"/>
  <c r="AP32" i="37"/>
  <c r="AO16" i="37"/>
  <c r="AO31" i="37"/>
  <c r="AP21" i="37"/>
  <c r="AP129" i="37"/>
  <c r="AP198" i="37"/>
  <c r="AP235" i="37"/>
  <c r="AR97" i="37"/>
  <c r="AR96" i="37"/>
  <c r="AR128" i="37"/>
  <c r="AR197" i="37"/>
  <c r="AR234" i="37"/>
  <c r="AR95" i="37"/>
  <c r="AR127" i="37"/>
  <c r="AR196" i="37"/>
  <c r="AR233" i="37"/>
  <c r="AO14" i="37"/>
  <c r="AO29" i="37"/>
  <c r="AQ106" i="37"/>
  <c r="AQ108" i="37"/>
  <c r="AR99" i="37"/>
  <c r="AR131" i="37"/>
  <c r="AR200" i="37"/>
  <c r="AR237" i="37"/>
  <c r="AR98" i="37"/>
  <c r="AR130" i="37"/>
  <c r="AR199" i="37"/>
  <c r="AR236" i="37"/>
  <c r="AR100" i="37"/>
  <c r="AO13" i="37"/>
  <c r="AO28" i="37"/>
  <c r="AX80" i="37"/>
  <c r="AX90" i="37"/>
  <c r="AX122" i="37"/>
  <c r="AX191" i="37"/>
  <c r="AX228" i="37"/>
  <c r="AX84" i="37"/>
  <c r="AX116" i="37"/>
  <c r="AX185" i="37"/>
  <c r="AX222" i="37"/>
  <c r="AX91" i="37"/>
  <c r="AX83" i="37"/>
  <c r="AX115" i="37"/>
  <c r="AX184" i="37"/>
  <c r="AX221" i="37"/>
  <c r="AX85" i="37"/>
  <c r="AX87" i="37"/>
  <c r="AX119" i="37"/>
  <c r="AX188" i="37"/>
  <c r="AX225" i="37"/>
  <c r="AX81" i="37"/>
  <c r="AX113" i="37"/>
  <c r="AX182" i="37"/>
  <c r="AX219" i="37"/>
  <c r="AX82" i="37"/>
  <c r="AX86" i="37"/>
  <c r="AX118" i="37"/>
  <c r="AX187" i="37"/>
  <c r="AX224" i="37"/>
  <c r="AX88" i="37"/>
  <c r="AX89" i="37"/>
  <c r="AX121" i="37"/>
  <c r="AX190" i="37"/>
  <c r="AX227" i="37"/>
  <c r="AQ22" i="37"/>
  <c r="AW112" i="37"/>
  <c r="AR94" i="37"/>
  <c r="AR93" i="37"/>
  <c r="AR125" i="37"/>
  <c r="AR194" i="37"/>
  <c r="AR231" i="37"/>
  <c r="AR92" i="37"/>
  <c r="AQ135" i="37"/>
  <c r="AQ204" i="37"/>
  <c r="AQ241" i="37"/>
  <c r="AY6" i="37"/>
  <c r="AZ5" i="37"/>
  <c r="AY76" i="37"/>
  <c r="AY168" i="37"/>
  <c r="AY213" i="37"/>
  <c r="AY212" i="37"/>
  <c r="AY211" i="37"/>
  <c r="AY209" i="37"/>
  <c r="AY208" i="37"/>
  <c r="AY7" i="37"/>
  <c r="AY210" i="37"/>
  <c r="AY173" i="37"/>
  <c r="AY175" i="37"/>
  <c r="AY174" i="37"/>
  <c r="AY176" i="37"/>
  <c r="AY172" i="37"/>
  <c r="AY171" i="37"/>
  <c r="AQ124" i="37"/>
  <c r="AQ193" i="37"/>
  <c r="AQ230" i="37"/>
  <c r="AQ79" i="37"/>
  <c r="AS66" i="37"/>
  <c r="AS72" i="37"/>
  <c r="AT8" i="37"/>
  <c r="AS68" i="37"/>
  <c r="AS74" i="37"/>
  <c r="AS65" i="37"/>
  <c r="AS71" i="37"/>
  <c r="AS67" i="37"/>
  <c r="AS73" i="37"/>
  <c r="AV181" i="37"/>
  <c r="AV218" i="37"/>
  <c r="AQ18" i="37"/>
  <c r="AQ33" i="37"/>
  <c r="AQ132" i="37"/>
  <c r="AQ201" i="37"/>
  <c r="AQ238" i="37"/>
  <c r="AP33" i="37"/>
  <c r="AR101" i="37"/>
  <c r="AR133" i="37"/>
  <c r="AR202" i="37"/>
  <c r="AR239" i="37"/>
  <c r="AR103" i="37"/>
  <c r="AR102" i="37"/>
  <c r="AR134" i="37"/>
  <c r="AR203" i="37"/>
  <c r="AR240" i="37"/>
  <c r="AQ129" i="37"/>
  <c r="AQ198" i="37"/>
  <c r="AQ235" i="37"/>
  <c r="AO17" i="37"/>
  <c r="AO32" i="37"/>
  <c r="AP120" i="37"/>
  <c r="AP189" i="37"/>
  <c r="AP226" i="37"/>
  <c r="AP123" i="37"/>
  <c r="AP192" i="37"/>
  <c r="AP229" i="37"/>
  <c r="AP117" i="37"/>
  <c r="AP186" i="37"/>
  <c r="AP223" i="37"/>
  <c r="AP114" i="37"/>
  <c r="AO12" i="37"/>
  <c r="AO27" i="37"/>
  <c r="AQ17" i="37"/>
  <c r="AQ32" i="37"/>
  <c r="AQ16" i="37"/>
  <c r="AQ31" i="37"/>
  <c r="AO18" i="37"/>
  <c r="AO33" i="37"/>
  <c r="AP126" i="37"/>
  <c r="AP195" i="37"/>
  <c r="AP232" i="37"/>
  <c r="AP15" i="37"/>
  <c r="AO183" i="37"/>
  <c r="AO220" i="37"/>
  <c r="AO137" i="37"/>
  <c r="AO138" i="37"/>
  <c r="AO111" i="37"/>
  <c r="AN23" i="37"/>
  <c r="AN20" i="37"/>
  <c r="AN26" i="37"/>
  <c r="AN25" i="37"/>
  <c r="AN11" i="37"/>
  <c r="AN10" i="37"/>
  <c r="AN217" i="37"/>
  <c r="AS103" i="37"/>
  <c r="AS102" i="37"/>
  <c r="AS134" i="37"/>
  <c r="AS203" i="37"/>
  <c r="AS240" i="37"/>
  <c r="AS101" i="37"/>
  <c r="AS133" i="37"/>
  <c r="AS202" i="37"/>
  <c r="AS239" i="37"/>
  <c r="AR22" i="37"/>
  <c r="AT65" i="37"/>
  <c r="AT71" i="37"/>
  <c r="AT67" i="37"/>
  <c r="AT73" i="37"/>
  <c r="AT66" i="37"/>
  <c r="AT72" i="37"/>
  <c r="AU8" i="37"/>
  <c r="AT68" i="37"/>
  <c r="AT74" i="37"/>
  <c r="AR106" i="37"/>
  <c r="AR108" i="37"/>
  <c r="AP30" i="37"/>
  <c r="AS97" i="37"/>
  <c r="AS96" i="37"/>
  <c r="AS128" i="37"/>
  <c r="AS197" i="37"/>
  <c r="AS234" i="37"/>
  <c r="AS95" i="37"/>
  <c r="AS127" i="37"/>
  <c r="AS196" i="37"/>
  <c r="AS233" i="37"/>
  <c r="AP183" i="37"/>
  <c r="AP220" i="37"/>
  <c r="AP137" i="37"/>
  <c r="AP138" i="37"/>
  <c r="AP111" i="37"/>
  <c r="AW181" i="37"/>
  <c r="AW218" i="37"/>
  <c r="AP14" i="37"/>
  <c r="AP29" i="37"/>
  <c r="AY80" i="37"/>
  <c r="AY90" i="37"/>
  <c r="AY122" i="37"/>
  <c r="AY191" i="37"/>
  <c r="AY228" i="37"/>
  <c r="AY84" i="37"/>
  <c r="AY116" i="37"/>
  <c r="AY185" i="37"/>
  <c r="AY222" i="37"/>
  <c r="AY91" i="37"/>
  <c r="AY81" i="37"/>
  <c r="AY113" i="37"/>
  <c r="AY182" i="37"/>
  <c r="AY219" i="37"/>
  <c r="AY87" i="37"/>
  <c r="AY119" i="37"/>
  <c r="AY188" i="37"/>
  <c r="AY225" i="37"/>
  <c r="AY85" i="37"/>
  <c r="AY83" i="37"/>
  <c r="AY115" i="37"/>
  <c r="AY184" i="37"/>
  <c r="AY221" i="37"/>
  <c r="AY88" i="37"/>
  <c r="AY86" i="37"/>
  <c r="AY118" i="37"/>
  <c r="AY187" i="37"/>
  <c r="AY224" i="37"/>
  <c r="AY82" i="37"/>
  <c r="AY89" i="37"/>
  <c r="AY121" i="37"/>
  <c r="AY190" i="37"/>
  <c r="AY227" i="37"/>
  <c r="AX112" i="37"/>
  <c r="AR129" i="37"/>
  <c r="AR198" i="37"/>
  <c r="AR235" i="37"/>
  <c r="AR16" i="37"/>
  <c r="AR31" i="37"/>
  <c r="AO23" i="37"/>
  <c r="AO20" i="37"/>
  <c r="AO11" i="37"/>
  <c r="AO10" i="37"/>
  <c r="AO217" i="37"/>
  <c r="AO26" i="37"/>
  <c r="AO25" i="37"/>
  <c r="AP28" i="37"/>
  <c r="AP13" i="37"/>
  <c r="AQ21" i="37"/>
  <c r="AZ6" i="37"/>
  <c r="BA5" i="37"/>
  <c r="AZ213" i="37"/>
  <c r="AZ76" i="37"/>
  <c r="AZ168" i="37"/>
  <c r="AZ212" i="37"/>
  <c r="AZ211" i="37"/>
  <c r="AZ209" i="37"/>
  <c r="AZ208" i="37"/>
  <c r="AZ7" i="37"/>
  <c r="AZ210" i="37"/>
  <c r="AZ172" i="37"/>
  <c r="AZ174" i="37"/>
  <c r="AZ171" i="37"/>
  <c r="AZ176" i="37"/>
  <c r="AZ175" i="37"/>
  <c r="AZ173" i="37"/>
  <c r="AQ123" i="37"/>
  <c r="AQ192" i="37"/>
  <c r="AQ229" i="37"/>
  <c r="AQ117" i="37"/>
  <c r="AQ186" i="37"/>
  <c r="AQ223" i="37"/>
  <c r="AQ114" i="37"/>
  <c r="AQ120" i="37"/>
  <c r="AQ189" i="37"/>
  <c r="AQ226" i="37"/>
  <c r="AS99" i="37"/>
  <c r="AS131" i="37"/>
  <c r="AS200" i="37"/>
  <c r="AS237" i="37"/>
  <c r="AS100" i="37"/>
  <c r="AS98" i="37"/>
  <c r="AS130" i="37"/>
  <c r="AS199" i="37"/>
  <c r="AS236" i="37"/>
  <c r="AQ126" i="37"/>
  <c r="AQ195" i="37"/>
  <c r="AQ232" i="37"/>
  <c r="AQ15" i="37"/>
  <c r="AP12" i="37"/>
  <c r="AP27" i="37"/>
  <c r="AS94" i="37"/>
  <c r="AS92" i="37"/>
  <c r="AS93" i="37"/>
  <c r="AS125" i="37"/>
  <c r="AS194" i="37"/>
  <c r="AS231" i="37"/>
  <c r="AS22" i="37"/>
  <c r="AR124" i="37"/>
  <c r="AR193" i="37"/>
  <c r="AR230" i="37"/>
  <c r="AR79" i="37"/>
  <c r="AP16" i="37"/>
  <c r="AP31" i="37"/>
  <c r="AQ183" i="37"/>
  <c r="AQ220" i="37"/>
  <c r="AQ137" i="37"/>
  <c r="AQ138" i="37"/>
  <c r="AQ111" i="37"/>
  <c r="AU66" i="37"/>
  <c r="AU72" i="37"/>
  <c r="AU65" i="37"/>
  <c r="AU71" i="37"/>
  <c r="AU67" i="37"/>
  <c r="AU73" i="37"/>
  <c r="AV8" i="37"/>
  <c r="AU68" i="37"/>
  <c r="AU74" i="37"/>
  <c r="AQ12" i="37"/>
  <c r="AQ27" i="37"/>
  <c r="AZ80" i="37"/>
  <c r="AZ84" i="37"/>
  <c r="AZ116" i="37"/>
  <c r="AZ185" i="37"/>
  <c r="AZ222" i="37"/>
  <c r="AZ91" i="37"/>
  <c r="AZ90" i="37"/>
  <c r="AZ122" i="37"/>
  <c r="AZ191" i="37"/>
  <c r="AZ228" i="37"/>
  <c r="AZ81" i="37"/>
  <c r="AZ113" i="37"/>
  <c r="AZ182" i="37"/>
  <c r="AZ219" i="37"/>
  <c r="AZ87" i="37"/>
  <c r="AZ119" i="37"/>
  <c r="AZ188" i="37"/>
  <c r="AZ225" i="37"/>
  <c r="AZ83" i="37"/>
  <c r="AZ115" i="37"/>
  <c r="AZ184" i="37"/>
  <c r="AZ221" i="37"/>
  <c r="AZ85" i="37"/>
  <c r="AZ88" i="37"/>
  <c r="AZ82" i="37"/>
  <c r="AZ86" i="37"/>
  <c r="AZ118" i="37"/>
  <c r="AZ187" i="37"/>
  <c r="AZ224" i="37"/>
  <c r="AZ89" i="37"/>
  <c r="AZ121" i="37"/>
  <c r="AZ190" i="37"/>
  <c r="AZ227" i="37"/>
  <c r="AT96" i="37"/>
  <c r="AT128" i="37"/>
  <c r="AT197" i="37"/>
  <c r="AT234" i="37"/>
  <c r="AT95" i="37"/>
  <c r="AT127" i="37"/>
  <c r="AT196" i="37"/>
  <c r="AT233" i="37"/>
  <c r="AT97" i="37"/>
  <c r="AR126" i="37"/>
  <c r="AR195" i="37"/>
  <c r="AR232" i="37"/>
  <c r="AR15" i="37"/>
  <c r="AR21" i="37"/>
  <c r="AT98" i="37"/>
  <c r="AT130" i="37"/>
  <c r="AT199" i="37"/>
  <c r="AT236" i="37"/>
  <c r="AT99" i="37"/>
  <c r="AT131" i="37"/>
  <c r="AT200" i="37"/>
  <c r="AT237" i="37"/>
  <c r="AT100" i="37"/>
  <c r="AT93" i="37"/>
  <c r="AT125" i="37"/>
  <c r="AT194" i="37"/>
  <c r="AT231" i="37"/>
  <c r="AT94" i="37"/>
  <c r="AT92" i="37"/>
  <c r="AS106" i="37"/>
  <c r="AS108" i="37"/>
  <c r="AS132" i="37"/>
  <c r="AS201" i="37"/>
  <c r="AS238" i="37"/>
  <c r="AS32" i="37"/>
  <c r="AR120" i="37"/>
  <c r="AR189" i="37"/>
  <c r="AR226" i="37"/>
  <c r="AR114" i="37"/>
  <c r="AR123" i="37"/>
  <c r="AR192" i="37"/>
  <c r="AR229" i="37"/>
  <c r="AR117" i="37"/>
  <c r="AR186" i="37"/>
  <c r="AR223" i="37"/>
  <c r="AR135" i="37"/>
  <c r="AR204" i="37"/>
  <c r="AR241" i="37"/>
  <c r="AQ14" i="37"/>
  <c r="AQ29" i="37"/>
  <c r="AS124" i="37"/>
  <c r="AS193" i="37"/>
  <c r="AS230" i="37"/>
  <c r="AS79" i="37"/>
  <c r="AQ30" i="37"/>
  <c r="AS129" i="37"/>
  <c r="AS198" i="37"/>
  <c r="AS235" i="37"/>
  <c r="AS31" i="37"/>
  <c r="AR30" i="37"/>
  <c r="AS135" i="37"/>
  <c r="AS204" i="37"/>
  <c r="AS241" i="37"/>
  <c r="AS18" i="37"/>
  <c r="AS17" i="37"/>
  <c r="AS126" i="37"/>
  <c r="AS195" i="37"/>
  <c r="AS232" i="37"/>
  <c r="AX181" i="37"/>
  <c r="AX218" i="37"/>
  <c r="AP23" i="37"/>
  <c r="AP20" i="37"/>
  <c r="AP26" i="37"/>
  <c r="AP25" i="37"/>
  <c r="AP11" i="37"/>
  <c r="AP10" i="37"/>
  <c r="AP217" i="37"/>
  <c r="AR132" i="37"/>
  <c r="AR201" i="37"/>
  <c r="AR238" i="37"/>
  <c r="BA6" i="37"/>
  <c r="BB5" i="37"/>
  <c r="BA168" i="37"/>
  <c r="BA76" i="37"/>
  <c r="BA211" i="37"/>
  <c r="BA212" i="37"/>
  <c r="BA208" i="37"/>
  <c r="BA209" i="37"/>
  <c r="BA213" i="37"/>
  <c r="BA7" i="37"/>
  <c r="BA210" i="37"/>
  <c r="BA172" i="37"/>
  <c r="BA175" i="37"/>
  <c r="BA176" i="37"/>
  <c r="BA173" i="37"/>
  <c r="BA171" i="37"/>
  <c r="BA174" i="37"/>
  <c r="AQ13" i="37"/>
  <c r="AQ28" i="37"/>
  <c r="AY112" i="37"/>
  <c r="AS16" i="37"/>
  <c r="AT103" i="37"/>
  <c r="AT101" i="37"/>
  <c r="AT133" i="37"/>
  <c r="AT202" i="37"/>
  <c r="AT239" i="37"/>
  <c r="AT102" i="37"/>
  <c r="AT134" i="37"/>
  <c r="AT203" i="37"/>
  <c r="AT240" i="37"/>
  <c r="AS33" i="37"/>
  <c r="AT106" i="37"/>
  <c r="AT108" i="37"/>
  <c r="AV66" i="37"/>
  <c r="AV72" i="37"/>
  <c r="AV65" i="37"/>
  <c r="AV71" i="37"/>
  <c r="AW8" i="37"/>
  <c r="AV68" i="37"/>
  <c r="AV74" i="37"/>
  <c r="AV67" i="37"/>
  <c r="AV73" i="37"/>
  <c r="AT135" i="37"/>
  <c r="AT204" i="37"/>
  <c r="AT241" i="37"/>
  <c r="AT18" i="37"/>
  <c r="BB6" i="37"/>
  <c r="BC5" i="37"/>
  <c r="BB168" i="37"/>
  <c r="BB76" i="37"/>
  <c r="BB213" i="37"/>
  <c r="BB212" i="37"/>
  <c r="BB208" i="37"/>
  <c r="BB211" i="37"/>
  <c r="BB209" i="37"/>
  <c r="BB7" i="37"/>
  <c r="BB210" i="37"/>
  <c r="BB174" i="37"/>
  <c r="BB176" i="37"/>
  <c r="BB173" i="37"/>
  <c r="BB171" i="37"/>
  <c r="BB175" i="37"/>
  <c r="BB172" i="37"/>
  <c r="AT22" i="37"/>
  <c r="AT132" i="37"/>
  <c r="AT201" i="37"/>
  <c r="AT238" i="37"/>
  <c r="AT129" i="37"/>
  <c r="AT198" i="37"/>
  <c r="AT235" i="37"/>
  <c r="AU98" i="37"/>
  <c r="AU130" i="37"/>
  <c r="AU199" i="37"/>
  <c r="AU236" i="37"/>
  <c r="AU100" i="37"/>
  <c r="AU99" i="37"/>
  <c r="AU131" i="37"/>
  <c r="AU200" i="37"/>
  <c r="AU237" i="37"/>
  <c r="AT16" i="37"/>
  <c r="AT31" i="37"/>
  <c r="AU94" i="37"/>
  <c r="AU93" i="37"/>
  <c r="AU125" i="37"/>
  <c r="AU194" i="37"/>
  <c r="AU231" i="37"/>
  <c r="AU92" i="37"/>
  <c r="AT33" i="37"/>
  <c r="AR17" i="37"/>
  <c r="AR32" i="37"/>
  <c r="AR18" i="37"/>
  <c r="AR33" i="37"/>
  <c r="AR12" i="37"/>
  <c r="AR27" i="37"/>
  <c r="AT17" i="37"/>
  <c r="AT32" i="37"/>
  <c r="AZ112" i="37"/>
  <c r="AU96" i="37"/>
  <c r="AU128" i="37"/>
  <c r="AU197" i="37"/>
  <c r="AU234" i="37"/>
  <c r="AU95" i="37"/>
  <c r="AU127" i="37"/>
  <c r="AU196" i="37"/>
  <c r="AU233" i="37"/>
  <c r="AU97" i="37"/>
  <c r="AY181" i="37"/>
  <c r="AY218" i="37"/>
  <c r="AS117" i="37"/>
  <c r="AS186" i="37"/>
  <c r="AS223" i="37"/>
  <c r="AS114" i="37"/>
  <c r="AS123" i="37"/>
  <c r="AS192" i="37"/>
  <c r="AS229" i="37"/>
  <c r="AS120" i="37"/>
  <c r="AS189" i="37"/>
  <c r="AS226" i="37"/>
  <c r="AR14" i="37"/>
  <c r="AR29" i="37"/>
  <c r="AR28" i="37"/>
  <c r="AR13" i="37"/>
  <c r="AR183" i="37"/>
  <c r="AR220" i="37"/>
  <c r="AR137" i="37"/>
  <c r="AR138" i="37"/>
  <c r="AR111" i="37"/>
  <c r="BA80" i="37"/>
  <c r="BA84" i="37"/>
  <c r="BA116" i="37"/>
  <c r="BA185" i="37"/>
  <c r="BA222" i="37"/>
  <c r="BA90" i="37"/>
  <c r="BA122" i="37"/>
  <c r="BA191" i="37"/>
  <c r="BA228" i="37"/>
  <c r="BA91" i="37"/>
  <c r="BA87" i="37"/>
  <c r="BA119" i="37"/>
  <c r="BA188" i="37"/>
  <c r="BA225" i="37"/>
  <c r="BA83" i="37"/>
  <c r="BA115" i="37"/>
  <c r="BA184" i="37"/>
  <c r="BA221" i="37"/>
  <c r="BA85" i="37"/>
  <c r="BA81" i="37"/>
  <c r="BA113" i="37"/>
  <c r="BA182" i="37"/>
  <c r="BA219" i="37"/>
  <c r="BA88" i="37"/>
  <c r="BA82" i="37"/>
  <c r="BA86" i="37"/>
  <c r="BA118" i="37"/>
  <c r="BA187" i="37"/>
  <c r="BA224" i="37"/>
  <c r="BA89" i="37"/>
  <c r="BA121" i="37"/>
  <c r="BA190" i="37"/>
  <c r="BA227" i="37"/>
  <c r="AS15" i="37"/>
  <c r="AS30" i="37"/>
  <c r="AS21" i="37"/>
  <c r="AT124" i="37"/>
  <c r="AT193" i="37"/>
  <c r="AT230" i="37"/>
  <c r="AT79" i="37"/>
  <c r="AU101" i="37"/>
  <c r="AU133" i="37"/>
  <c r="AU202" i="37"/>
  <c r="AU239" i="37"/>
  <c r="AU103" i="37"/>
  <c r="AU102" i="37"/>
  <c r="AU134" i="37"/>
  <c r="AU203" i="37"/>
  <c r="AU240" i="37"/>
  <c r="AQ23" i="37"/>
  <c r="AQ20" i="37"/>
  <c r="AQ26" i="37"/>
  <c r="AQ25" i="37"/>
  <c r="AQ217" i="37"/>
  <c r="AQ11" i="37"/>
  <c r="AQ10" i="37"/>
  <c r="AV99" i="37"/>
  <c r="AV131" i="37"/>
  <c r="AV200" i="37"/>
  <c r="AV237" i="37"/>
  <c r="AV100" i="37"/>
  <c r="AV98" i="37"/>
  <c r="AV130" i="37"/>
  <c r="AV199" i="37"/>
  <c r="AV236" i="37"/>
  <c r="AZ181" i="37"/>
  <c r="AZ218" i="37"/>
  <c r="AV101" i="37"/>
  <c r="AV133" i="37"/>
  <c r="AV202" i="37"/>
  <c r="AV239" i="37"/>
  <c r="AV103" i="37"/>
  <c r="AV102" i="37"/>
  <c r="AV134" i="37"/>
  <c r="AV203" i="37"/>
  <c r="AV240" i="37"/>
  <c r="BA112" i="37"/>
  <c r="AX8" i="37"/>
  <c r="AW68" i="37"/>
  <c r="AW74" i="37"/>
  <c r="AW65" i="37"/>
  <c r="AW71" i="37"/>
  <c r="AW66" i="37"/>
  <c r="AW72" i="37"/>
  <c r="AW67" i="37"/>
  <c r="AW73" i="37"/>
  <c r="AS13" i="37"/>
  <c r="AS28" i="37"/>
  <c r="AU124" i="37"/>
  <c r="AU193" i="37"/>
  <c r="AU230" i="37"/>
  <c r="AU79" i="37"/>
  <c r="BB90" i="37"/>
  <c r="BB122" i="37"/>
  <c r="BB191" i="37"/>
  <c r="BB228" i="37"/>
  <c r="BB91" i="37"/>
  <c r="BB84" i="37"/>
  <c r="BB116" i="37"/>
  <c r="BB185" i="37"/>
  <c r="BB222" i="37"/>
  <c r="BB80" i="37"/>
  <c r="BB83" i="37"/>
  <c r="BB115" i="37"/>
  <c r="BB184" i="37"/>
  <c r="BB221" i="37"/>
  <c r="BB85" i="37"/>
  <c r="BB87" i="37"/>
  <c r="BB119" i="37"/>
  <c r="BB188" i="37"/>
  <c r="BB225" i="37"/>
  <c r="BB81" i="37"/>
  <c r="BB113" i="37"/>
  <c r="BB182" i="37"/>
  <c r="BB219" i="37"/>
  <c r="BB86" i="37"/>
  <c r="BB118" i="37"/>
  <c r="BB187" i="37"/>
  <c r="BB224" i="37"/>
  <c r="BB88" i="37"/>
  <c r="BB82" i="37"/>
  <c r="BB89" i="37"/>
  <c r="BB121" i="37"/>
  <c r="BB190" i="37"/>
  <c r="BB227" i="37"/>
  <c r="AV92" i="37"/>
  <c r="AV94" i="37"/>
  <c r="AV93" i="37"/>
  <c r="AV125" i="37"/>
  <c r="AV194" i="37"/>
  <c r="AV231" i="37"/>
  <c r="AV96" i="37"/>
  <c r="AV128" i="37"/>
  <c r="AV197" i="37"/>
  <c r="AV234" i="37"/>
  <c r="AV22" i="37"/>
  <c r="AS14" i="37"/>
  <c r="AS29" i="37"/>
  <c r="AU22" i="37"/>
  <c r="AV95" i="37"/>
  <c r="AV127" i="37"/>
  <c r="AV196" i="37"/>
  <c r="AV233" i="37"/>
  <c r="AV97" i="37"/>
  <c r="AT21" i="37"/>
  <c r="AS183" i="37"/>
  <c r="AS220" i="37"/>
  <c r="AS137" i="37"/>
  <c r="AS138" i="37"/>
  <c r="AS111" i="37"/>
  <c r="AU106" i="37"/>
  <c r="AU108" i="37"/>
  <c r="AU129" i="37"/>
  <c r="AU198" i="37"/>
  <c r="AU235" i="37"/>
  <c r="AU126" i="37"/>
  <c r="AU195" i="37"/>
  <c r="AU232" i="37"/>
  <c r="AU135" i="37"/>
  <c r="AU204" i="37"/>
  <c r="AU241" i="37"/>
  <c r="BC6" i="37"/>
  <c r="BD5" i="37"/>
  <c r="BC213" i="37"/>
  <c r="BC168" i="37"/>
  <c r="BC76" i="37"/>
  <c r="BC212" i="37"/>
  <c r="BC211" i="37"/>
  <c r="BC209" i="37"/>
  <c r="BC208" i="37"/>
  <c r="BC7" i="37"/>
  <c r="BC210" i="37"/>
  <c r="BC174" i="37"/>
  <c r="BC176" i="37"/>
  <c r="BC171" i="37"/>
  <c r="BC175" i="37"/>
  <c r="BC173" i="37"/>
  <c r="BC172" i="37"/>
  <c r="AT117" i="37"/>
  <c r="AT186" i="37"/>
  <c r="AT223" i="37"/>
  <c r="AT123" i="37"/>
  <c r="AT192" i="37"/>
  <c r="AT229" i="37"/>
  <c r="AT120" i="37"/>
  <c r="AT189" i="37"/>
  <c r="AT226" i="37"/>
  <c r="AT114" i="37"/>
  <c r="AR23" i="37"/>
  <c r="AR20" i="37"/>
  <c r="AR11" i="37"/>
  <c r="AR10" i="37"/>
  <c r="AR26" i="37"/>
  <c r="AR25" i="37"/>
  <c r="AR217" i="37"/>
  <c r="AS12" i="37"/>
  <c r="AS27" i="37"/>
  <c r="AU16" i="37"/>
  <c r="AU31" i="37"/>
  <c r="AT126" i="37"/>
  <c r="AT195" i="37"/>
  <c r="AT232" i="37"/>
  <c r="AT15" i="37"/>
  <c r="AU33" i="37"/>
  <c r="AU18" i="37"/>
  <c r="AT13" i="37"/>
  <c r="AT28" i="37"/>
  <c r="AS23" i="37"/>
  <c r="AS20" i="37"/>
  <c r="AS217" i="37"/>
  <c r="AS26" i="37"/>
  <c r="AS25" i="37"/>
  <c r="AS11" i="37"/>
  <c r="AS10" i="37"/>
  <c r="BC91" i="37"/>
  <c r="BC80" i="37"/>
  <c r="BC84" i="37"/>
  <c r="BC116" i="37"/>
  <c r="BC185" i="37"/>
  <c r="BC222" i="37"/>
  <c r="BC90" i="37"/>
  <c r="BC122" i="37"/>
  <c r="BC191" i="37"/>
  <c r="BC228" i="37"/>
  <c r="BC81" i="37"/>
  <c r="BC113" i="37"/>
  <c r="BC182" i="37"/>
  <c r="BC219" i="37"/>
  <c r="BC85" i="37"/>
  <c r="BC83" i="37"/>
  <c r="BC115" i="37"/>
  <c r="BC184" i="37"/>
  <c r="BC221" i="37"/>
  <c r="BC87" i="37"/>
  <c r="BC119" i="37"/>
  <c r="BC188" i="37"/>
  <c r="BC225" i="37"/>
  <c r="BC86" i="37"/>
  <c r="BC118" i="37"/>
  <c r="BC187" i="37"/>
  <c r="BC224" i="37"/>
  <c r="BC82" i="37"/>
  <c r="BC88" i="37"/>
  <c r="BC89" i="37"/>
  <c r="BC121" i="37"/>
  <c r="BC190" i="37"/>
  <c r="BC227" i="37"/>
  <c r="AY8" i="37"/>
  <c r="AX67" i="37"/>
  <c r="AX73" i="37"/>
  <c r="AX68" i="37"/>
  <c r="AX74" i="37"/>
  <c r="AX65" i="37"/>
  <c r="AX71" i="37"/>
  <c r="AX66" i="37"/>
  <c r="AX72" i="37"/>
  <c r="AT12" i="37"/>
  <c r="AT27" i="37"/>
  <c r="BD6" i="37"/>
  <c r="BE5" i="37"/>
  <c r="BD76" i="37"/>
  <c r="BD168" i="37"/>
  <c r="BD213" i="37"/>
  <c r="BD209" i="37"/>
  <c r="BD212" i="37"/>
  <c r="BD211" i="37"/>
  <c r="BD208" i="37"/>
  <c r="BD7" i="37"/>
  <c r="BD210" i="37"/>
  <c r="BD174" i="37"/>
  <c r="BD171" i="37"/>
  <c r="BD173" i="37"/>
  <c r="BD172" i="37"/>
  <c r="BD175" i="37"/>
  <c r="BD176" i="37"/>
  <c r="AU15" i="37"/>
  <c r="AU30" i="37"/>
  <c r="AU21" i="37"/>
  <c r="AT183" i="37"/>
  <c r="AT220" i="37"/>
  <c r="AT137" i="37"/>
  <c r="AT138" i="37"/>
  <c r="AT111" i="37"/>
  <c r="AT14" i="37"/>
  <c r="AT29" i="37"/>
  <c r="AU120" i="37"/>
  <c r="AU189" i="37"/>
  <c r="AU226" i="37"/>
  <c r="AU114" i="37"/>
  <c r="AU123" i="37"/>
  <c r="AU192" i="37"/>
  <c r="AU229" i="37"/>
  <c r="AU117" i="37"/>
  <c r="AU186" i="37"/>
  <c r="AU223" i="37"/>
  <c r="AW100" i="37"/>
  <c r="AW98" i="37"/>
  <c r="AW130" i="37"/>
  <c r="AW199" i="37"/>
  <c r="AW236" i="37"/>
  <c r="AW99" i="37"/>
  <c r="AW131" i="37"/>
  <c r="AW200" i="37"/>
  <c r="AW237" i="37"/>
  <c r="AV124" i="37"/>
  <c r="AV193" i="37"/>
  <c r="AV230" i="37"/>
  <c r="AV79" i="37"/>
  <c r="BB112" i="37"/>
  <c r="AW96" i="37"/>
  <c r="AW128" i="37"/>
  <c r="AW197" i="37"/>
  <c r="AW234" i="37"/>
  <c r="AW97" i="37"/>
  <c r="AW95" i="37"/>
  <c r="AW127" i="37"/>
  <c r="AW196" i="37"/>
  <c r="AW233" i="37"/>
  <c r="BA181" i="37"/>
  <c r="BA218" i="37"/>
  <c r="AW93" i="37"/>
  <c r="AW125" i="37"/>
  <c r="AW194" i="37"/>
  <c r="AW231" i="37"/>
  <c r="AW94" i="37"/>
  <c r="AW92" i="37"/>
  <c r="AT30" i="37"/>
  <c r="AV106" i="37"/>
  <c r="AV108" i="37"/>
  <c r="AW101" i="37"/>
  <c r="AW133" i="37"/>
  <c r="AW202" i="37"/>
  <c r="AW239" i="37"/>
  <c r="AW102" i="37"/>
  <c r="AW134" i="37"/>
  <c r="AW203" i="37"/>
  <c r="AW240" i="37"/>
  <c r="AW103" i="37"/>
  <c r="AU132" i="37"/>
  <c r="AU201" i="37"/>
  <c r="AU238" i="37"/>
  <c r="AW22" i="37"/>
  <c r="AV21" i="37"/>
  <c r="AU27" i="37"/>
  <c r="AU12" i="37"/>
  <c r="AT23" i="37"/>
  <c r="AT20" i="37"/>
  <c r="AT26" i="37"/>
  <c r="AT25" i="37"/>
  <c r="AT11" i="37"/>
  <c r="AT10" i="37"/>
  <c r="AT217" i="37"/>
  <c r="AX95" i="37"/>
  <c r="AX127" i="37"/>
  <c r="AX196" i="37"/>
  <c r="AX233" i="37"/>
  <c r="AX97" i="37"/>
  <c r="AX96" i="37"/>
  <c r="AX128" i="37"/>
  <c r="AX197" i="37"/>
  <c r="AX234" i="37"/>
  <c r="AU14" i="37"/>
  <c r="AU29" i="37"/>
  <c r="AX93" i="37"/>
  <c r="AX125" i="37"/>
  <c r="AX194" i="37"/>
  <c r="AX231" i="37"/>
  <c r="AX94" i="37"/>
  <c r="AX92" i="37"/>
  <c r="AV117" i="37"/>
  <c r="AV186" i="37"/>
  <c r="AV223" i="37"/>
  <c r="AV114" i="37"/>
  <c r="AV123" i="37"/>
  <c r="AV192" i="37"/>
  <c r="AV229" i="37"/>
  <c r="AV120" i="37"/>
  <c r="AV189" i="37"/>
  <c r="AV226" i="37"/>
  <c r="AV132" i="37"/>
  <c r="AV201" i="37"/>
  <c r="AV238" i="37"/>
  <c r="AU13" i="37"/>
  <c r="AU28" i="37"/>
  <c r="AX100" i="37"/>
  <c r="AX98" i="37"/>
  <c r="AX130" i="37"/>
  <c r="AX199" i="37"/>
  <c r="AX236" i="37"/>
  <c r="AX99" i="37"/>
  <c r="AX131" i="37"/>
  <c r="AX200" i="37"/>
  <c r="AX237" i="37"/>
  <c r="BC112" i="37"/>
  <c r="AX102" i="37"/>
  <c r="AX134" i="37"/>
  <c r="AX203" i="37"/>
  <c r="AX240" i="37"/>
  <c r="AX101" i="37"/>
  <c r="AX133" i="37"/>
  <c r="AX202" i="37"/>
  <c r="AX239" i="37"/>
  <c r="AX103" i="37"/>
  <c r="AV129" i="37"/>
  <c r="AV198" i="37"/>
  <c r="AV235" i="37"/>
  <c r="BD91" i="37"/>
  <c r="BD80" i="37"/>
  <c r="BD84" i="37"/>
  <c r="BD116" i="37"/>
  <c r="BD185" i="37"/>
  <c r="BD222" i="37"/>
  <c r="BD90" i="37"/>
  <c r="BD122" i="37"/>
  <c r="BD191" i="37"/>
  <c r="BD228" i="37"/>
  <c r="BD81" i="37"/>
  <c r="BD113" i="37"/>
  <c r="BD182" i="37"/>
  <c r="BD219" i="37"/>
  <c r="BD85" i="37"/>
  <c r="BD87" i="37"/>
  <c r="BD119" i="37"/>
  <c r="BD188" i="37"/>
  <c r="BD225" i="37"/>
  <c r="BD83" i="37"/>
  <c r="BD115" i="37"/>
  <c r="BD184" i="37"/>
  <c r="BD221" i="37"/>
  <c r="BD82" i="37"/>
  <c r="BD86" i="37"/>
  <c r="BD118" i="37"/>
  <c r="BD187" i="37"/>
  <c r="BD224" i="37"/>
  <c r="BD88" i="37"/>
  <c r="BD89" i="37"/>
  <c r="BD121" i="37"/>
  <c r="BD190" i="37"/>
  <c r="BD227" i="37"/>
  <c r="AY68" i="37"/>
  <c r="AY74" i="37"/>
  <c r="AY67" i="37"/>
  <c r="AY73" i="37"/>
  <c r="AY65" i="37"/>
  <c r="AY71" i="37"/>
  <c r="AY66" i="37"/>
  <c r="AY72" i="37"/>
  <c r="AZ8" i="37"/>
  <c r="AW106" i="37"/>
  <c r="AW108" i="37"/>
  <c r="AW132" i="37"/>
  <c r="AW201" i="37"/>
  <c r="AW238" i="37"/>
  <c r="AW17" i="37"/>
  <c r="BE6" i="37"/>
  <c r="BF5" i="37"/>
  <c r="BE168" i="37"/>
  <c r="BE213" i="37"/>
  <c r="BE76" i="37"/>
  <c r="BE212" i="37"/>
  <c r="BE211" i="37"/>
  <c r="BE209" i="37"/>
  <c r="BE208" i="37"/>
  <c r="BE7" i="37"/>
  <c r="BE210" i="37"/>
  <c r="BE176" i="37"/>
  <c r="BE173" i="37"/>
  <c r="BE175" i="37"/>
  <c r="BE174" i="37"/>
  <c r="BE171" i="37"/>
  <c r="BE172" i="37"/>
  <c r="BB181" i="37"/>
  <c r="BB218" i="37"/>
  <c r="AU183" i="37"/>
  <c r="AU220" i="37"/>
  <c r="AU137" i="37"/>
  <c r="AU138" i="37"/>
  <c r="AU111" i="37"/>
  <c r="AV126" i="37"/>
  <c r="AV195" i="37"/>
  <c r="AV232" i="37"/>
  <c r="AV15" i="37"/>
  <c r="AU17" i="37"/>
  <c r="AU32" i="37"/>
  <c r="AV135" i="37"/>
  <c r="AV204" i="37"/>
  <c r="AV241" i="37"/>
  <c r="AW124" i="37"/>
  <c r="AW193" i="37"/>
  <c r="AW230" i="37"/>
  <c r="AW79" i="37"/>
  <c r="AW129" i="37"/>
  <c r="AW198" i="37"/>
  <c r="AW235" i="37"/>
  <c r="AW16" i="37"/>
  <c r="AW31" i="37"/>
  <c r="AW21" i="37"/>
  <c r="BF6" i="37"/>
  <c r="BG5" i="37"/>
  <c r="BF76" i="37"/>
  <c r="BF213" i="37"/>
  <c r="BF168" i="37"/>
  <c r="BF212" i="37"/>
  <c r="BF211" i="37"/>
  <c r="BF208" i="37"/>
  <c r="BF209" i="37"/>
  <c r="BF7" i="37"/>
  <c r="BF210" i="37"/>
  <c r="BF176" i="37"/>
  <c r="BF173" i="37"/>
  <c r="BF171" i="37"/>
  <c r="BF174" i="37"/>
  <c r="BF175" i="37"/>
  <c r="BF172" i="37"/>
  <c r="AY102" i="37"/>
  <c r="AY134" i="37"/>
  <c r="AY203" i="37"/>
  <c r="AY240" i="37"/>
  <c r="AY103" i="37"/>
  <c r="AY101" i="37"/>
  <c r="AY133" i="37"/>
  <c r="AY202" i="37"/>
  <c r="AY239" i="37"/>
  <c r="AV14" i="37"/>
  <c r="AV29" i="37"/>
  <c r="AV16" i="37"/>
  <c r="AV31" i="37"/>
  <c r="AV183" i="37"/>
  <c r="AV220" i="37"/>
  <c r="AV137" i="37"/>
  <c r="AV138" i="37"/>
  <c r="AV111" i="37"/>
  <c r="AV12" i="37"/>
  <c r="AV27" i="37"/>
  <c r="AV18" i="37"/>
  <c r="AV33" i="37"/>
  <c r="AZ68" i="37"/>
  <c r="AZ74" i="37"/>
  <c r="AZ67" i="37"/>
  <c r="AZ73" i="37"/>
  <c r="AZ66" i="37"/>
  <c r="AZ72" i="37"/>
  <c r="AZ65" i="37"/>
  <c r="AZ71" i="37"/>
  <c r="BA8" i="37"/>
  <c r="AU23" i="37"/>
  <c r="AU20" i="37"/>
  <c r="AU217" i="37"/>
  <c r="AU11" i="37"/>
  <c r="AU10" i="37"/>
  <c r="AU26" i="37"/>
  <c r="AU25" i="37"/>
  <c r="BE84" i="37"/>
  <c r="BE116" i="37"/>
  <c r="BE185" i="37"/>
  <c r="BE222" i="37"/>
  <c r="BE90" i="37"/>
  <c r="BE122" i="37"/>
  <c r="BE191" i="37"/>
  <c r="BE228" i="37"/>
  <c r="BE80" i="37"/>
  <c r="BE91" i="37"/>
  <c r="BE81" i="37"/>
  <c r="BE113" i="37"/>
  <c r="BE182" i="37"/>
  <c r="BE219" i="37"/>
  <c r="BE85" i="37"/>
  <c r="BE83" i="37"/>
  <c r="BE115" i="37"/>
  <c r="BE184" i="37"/>
  <c r="BE221" i="37"/>
  <c r="BE87" i="37"/>
  <c r="BE119" i="37"/>
  <c r="BE188" i="37"/>
  <c r="BE225" i="37"/>
  <c r="BE86" i="37"/>
  <c r="BE118" i="37"/>
  <c r="BE187" i="37"/>
  <c r="BE224" i="37"/>
  <c r="BE88" i="37"/>
  <c r="BE82" i="37"/>
  <c r="BE89" i="37"/>
  <c r="BE121" i="37"/>
  <c r="BE190" i="37"/>
  <c r="BE227" i="37"/>
  <c r="AY97" i="37"/>
  <c r="AY96" i="37"/>
  <c r="AY128" i="37"/>
  <c r="AY197" i="37"/>
  <c r="AY234" i="37"/>
  <c r="AY95" i="37"/>
  <c r="AY127" i="37"/>
  <c r="AY196" i="37"/>
  <c r="AY233" i="37"/>
  <c r="AX124" i="37"/>
  <c r="AX193" i="37"/>
  <c r="AX230" i="37"/>
  <c r="AX79" i="37"/>
  <c r="AV30" i="37"/>
  <c r="AW32" i="37"/>
  <c r="AY92" i="37"/>
  <c r="AY93" i="37"/>
  <c r="AY125" i="37"/>
  <c r="AY194" i="37"/>
  <c r="AY231" i="37"/>
  <c r="AY94" i="37"/>
  <c r="AV32" i="37"/>
  <c r="AV17" i="37"/>
  <c r="AX106" i="37"/>
  <c r="AX108" i="37"/>
  <c r="AX126" i="37"/>
  <c r="AX195" i="37"/>
  <c r="AX232" i="37"/>
  <c r="AX132" i="37"/>
  <c r="AX201" i="37"/>
  <c r="AX238" i="37"/>
  <c r="AW114" i="37"/>
  <c r="AW120" i="37"/>
  <c r="AW189" i="37"/>
  <c r="AW226" i="37"/>
  <c r="AW123" i="37"/>
  <c r="AW192" i="37"/>
  <c r="AW229" i="37"/>
  <c r="AW117" i="37"/>
  <c r="AW186" i="37"/>
  <c r="AW223" i="37"/>
  <c r="AW126" i="37"/>
  <c r="AW195" i="37"/>
  <c r="AW232" i="37"/>
  <c r="AW15" i="37"/>
  <c r="AW135" i="37"/>
  <c r="AW204" i="37"/>
  <c r="AW241" i="37"/>
  <c r="AY99" i="37"/>
  <c r="AY131" i="37"/>
  <c r="AY200" i="37"/>
  <c r="AY237" i="37"/>
  <c r="AY100" i="37"/>
  <c r="AY98" i="37"/>
  <c r="AY130" i="37"/>
  <c r="AY199" i="37"/>
  <c r="AY236" i="37"/>
  <c r="BD112" i="37"/>
  <c r="BC181" i="37"/>
  <c r="BC218" i="37"/>
  <c r="AV13" i="37"/>
  <c r="AV28" i="37"/>
  <c r="AX22" i="37"/>
  <c r="AX17" i="37"/>
  <c r="AX32" i="37"/>
  <c r="AW18" i="37"/>
  <c r="AW33" i="37"/>
  <c r="BE112" i="37"/>
  <c r="AX129" i="37"/>
  <c r="AX198" i="37"/>
  <c r="AX235" i="37"/>
  <c r="AV23" i="37"/>
  <c r="AV20" i="37"/>
  <c r="AV217" i="37"/>
  <c r="AV26" i="37"/>
  <c r="AV25" i="37"/>
  <c r="AV11" i="37"/>
  <c r="AV10" i="37"/>
  <c r="BF90" i="37"/>
  <c r="BF122" i="37"/>
  <c r="BF191" i="37"/>
  <c r="BF228" i="37"/>
  <c r="BF80" i="37"/>
  <c r="BF91" i="37"/>
  <c r="BF84" i="37"/>
  <c r="BF116" i="37"/>
  <c r="BF185" i="37"/>
  <c r="BF222" i="37"/>
  <c r="BF85" i="37"/>
  <c r="BF87" i="37"/>
  <c r="BF119" i="37"/>
  <c r="BF188" i="37"/>
  <c r="BF225" i="37"/>
  <c r="BF83" i="37"/>
  <c r="BF115" i="37"/>
  <c r="BF184" i="37"/>
  <c r="BF221" i="37"/>
  <c r="BF81" i="37"/>
  <c r="BF113" i="37"/>
  <c r="BF182" i="37"/>
  <c r="BF219" i="37"/>
  <c r="BF82" i="37"/>
  <c r="BF88" i="37"/>
  <c r="BF86" i="37"/>
  <c r="BF118" i="37"/>
  <c r="BF187" i="37"/>
  <c r="BF224" i="37"/>
  <c r="BF89" i="37"/>
  <c r="BF121" i="37"/>
  <c r="BF190" i="37"/>
  <c r="BF227" i="37"/>
  <c r="AY124" i="37"/>
  <c r="AY193" i="37"/>
  <c r="AY230" i="37"/>
  <c r="AY79" i="37"/>
  <c r="BD181" i="37"/>
  <c r="BD218" i="37"/>
  <c r="BG6" i="37"/>
  <c r="BH5" i="37"/>
  <c r="BG213" i="37"/>
  <c r="BG168" i="37"/>
  <c r="BG76" i="37"/>
  <c r="BG211" i="37"/>
  <c r="BG212" i="37"/>
  <c r="BG209" i="37"/>
  <c r="BG208" i="37"/>
  <c r="BG7" i="37"/>
  <c r="BG210" i="37"/>
  <c r="BG172" i="37"/>
  <c r="BG174" i="37"/>
  <c r="BG175" i="37"/>
  <c r="BG171" i="37"/>
  <c r="BG176" i="37"/>
  <c r="BG173" i="37"/>
  <c r="BA68" i="37"/>
  <c r="BA74" i="37"/>
  <c r="BA67" i="37"/>
  <c r="BA73" i="37"/>
  <c r="BA66" i="37"/>
  <c r="BA72" i="37"/>
  <c r="BA65" i="37"/>
  <c r="BA71" i="37"/>
  <c r="BB8" i="37"/>
  <c r="AW12" i="37"/>
  <c r="AW27" i="37"/>
  <c r="AW13" i="37"/>
  <c r="AW28" i="37"/>
  <c r="AZ93" i="37"/>
  <c r="AZ125" i="37"/>
  <c r="AZ194" i="37"/>
  <c r="AZ231" i="37"/>
  <c r="AZ96" i="37"/>
  <c r="AZ128" i="37"/>
  <c r="AZ197" i="37"/>
  <c r="AZ234" i="37"/>
  <c r="AZ99" i="37"/>
  <c r="AZ131" i="37"/>
  <c r="AZ200" i="37"/>
  <c r="AZ237" i="37"/>
  <c r="AZ102" i="37"/>
  <c r="AZ134" i="37"/>
  <c r="AZ203" i="37"/>
  <c r="AZ240" i="37"/>
  <c r="AZ22" i="37"/>
  <c r="AZ92" i="37"/>
  <c r="AZ94" i="37"/>
  <c r="AW30" i="37"/>
  <c r="AW14" i="37"/>
  <c r="AW29" i="37"/>
  <c r="AW183" i="37"/>
  <c r="AW220" i="37"/>
  <c r="AW137" i="37"/>
  <c r="AW138" i="37"/>
  <c r="AW111" i="37"/>
  <c r="AZ95" i="37"/>
  <c r="AZ127" i="37"/>
  <c r="AZ196" i="37"/>
  <c r="AZ233" i="37"/>
  <c r="AZ97" i="37"/>
  <c r="AX117" i="37"/>
  <c r="AX186" i="37"/>
  <c r="AX223" i="37"/>
  <c r="AX120" i="37"/>
  <c r="AX189" i="37"/>
  <c r="AX226" i="37"/>
  <c r="AX123" i="37"/>
  <c r="AX192" i="37"/>
  <c r="AX229" i="37"/>
  <c r="AX114" i="37"/>
  <c r="AY106" i="37"/>
  <c r="AY108" i="37"/>
  <c r="AX15" i="37"/>
  <c r="AX30" i="37"/>
  <c r="AX21" i="37"/>
  <c r="AZ100" i="37"/>
  <c r="AZ98" i="37"/>
  <c r="AZ130" i="37"/>
  <c r="AZ199" i="37"/>
  <c r="AZ236" i="37"/>
  <c r="AX135" i="37"/>
  <c r="AX204" i="37"/>
  <c r="AX241" i="37"/>
  <c r="AY22" i="37"/>
  <c r="AZ101" i="37"/>
  <c r="AZ133" i="37"/>
  <c r="AZ202" i="37"/>
  <c r="AZ239" i="37"/>
  <c r="AZ103" i="37"/>
  <c r="AY123" i="37"/>
  <c r="AY192" i="37"/>
  <c r="AY229" i="37"/>
  <c r="AY117" i="37"/>
  <c r="AY186" i="37"/>
  <c r="AY223" i="37"/>
  <c r="AY114" i="37"/>
  <c r="AY120" i="37"/>
  <c r="AY189" i="37"/>
  <c r="AY226" i="37"/>
  <c r="AY21" i="37"/>
  <c r="AY126" i="37"/>
  <c r="AY195" i="37"/>
  <c r="AY232" i="37"/>
  <c r="AY15" i="37"/>
  <c r="BB65" i="37"/>
  <c r="BB71" i="37"/>
  <c r="BB67" i="37"/>
  <c r="BB73" i="37"/>
  <c r="BC8" i="37"/>
  <c r="BB68" i="37"/>
  <c r="BB74" i="37"/>
  <c r="BB66" i="37"/>
  <c r="BB72" i="37"/>
  <c r="BG84" i="37"/>
  <c r="BG116" i="37"/>
  <c r="BG185" i="37"/>
  <c r="BG222" i="37"/>
  <c r="BG90" i="37"/>
  <c r="BG122" i="37"/>
  <c r="BG191" i="37"/>
  <c r="BG228" i="37"/>
  <c r="BG91" i="37"/>
  <c r="BG80" i="37"/>
  <c r="BG83" i="37"/>
  <c r="BG115" i="37"/>
  <c r="BG184" i="37"/>
  <c r="BG221" i="37"/>
  <c r="BG87" i="37"/>
  <c r="BG119" i="37"/>
  <c r="BG188" i="37"/>
  <c r="BG225" i="37"/>
  <c r="BG81" i="37"/>
  <c r="BG113" i="37"/>
  <c r="BG182" i="37"/>
  <c r="BG219" i="37"/>
  <c r="BG85" i="37"/>
  <c r="BG86" i="37"/>
  <c r="BG118" i="37"/>
  <c r="BG187" i="37"/>
  <c r="BG224" i="37"/>
  <c r="BG82" i="37"/>
  <c r="BG88" i="37"/>
  <c r="BG89" i="37"/>
  <c r="BG121" i="37"/>
  <c r="BG190" i="37"/>
  <c r="BG227" i="37"/>
  <c r="AY135" i="37"/>
  <c r="AY204" i="37"/>
  <c r="AY241" i="37"/>
  <c r="AX183" i="37"/>
  <c r="AX220" i="37"/>
  <c r="AX137" i="37"/>
  <c r="AX138" i="37"/>
  <c r="AX111" i="37"/>
  <c r="BA92" i="37"/>
  <c r="BA93" i="37"/>
  <c r="BA125" i="37"/>
  <c r="BA194" i="37"/>
  <c r="BA231" i="37"/>
  <c r="BA94" i="37"/>
  <c r="AX14" i="37"/>
  <c r="AX29" i="37"/>
  <c r="BA95" i="37"/>
  <c r="BA127" i="37"/>
  <c r="BA196" i="37"/>
  <c r="BA233" i="37"/>
  <c r="BA96" i="37"/>
  <c r="BA128" i="37"/>
  <c r="BA197" i="37"/>
  <c r="BA234" i="37"/>
  <c r="BA97" i="37"/>
  <c r="AY129" i="37"/>
  <c r="AY198" i="37"/>
  <c r="AY235" i="37"/>
  <c r="AX13" i="37"/>
  <c r="AX28" i="37"/>
  <c r="BA98" i="37"/>
  <c r="BA130" i="37"/>
  <c r="BA199" i="37"/>
  <c r="BA236" i="37"/>
  <c r="BA99" i="37"/>
  <c r="BA131" i="37"/>
  <c r="BA200" i="37"/>
  <c r="BA237" i="37"/>
  <c r="BA100" i="37"/>
  <c r="BH6" i="37"/>
  <c r="BI5" i="37"/>
  <c r="BH168" i="37"/>
  <c r="BH76" i="37"/>
  <c r="BH213" i="37"/>
  <c r="BH212" i="37"/>
  <c r="BH211" i="37"/>
  <c r="BH208" i="37"/>
  <c r="BH209" i="37"/>
  <c r="BH7" i="37"/>
  <c r="BH210" i="37"/>
  <c r="BH175" i="37"/>
  <c r="BH172" i="37"/>
  <c r="BH176" i="37"/>
  <c r="BH173" i="37"/>
  <c r="BH171" i="37"/>
  <c r="BH174" i="37"/>
  <c r="BA103" i="37"/>
  <c r="BA102" i="37"/>
  <c r="BA134" i="37"/>
  <c r="BA203" i="37"/>
  <c r="BA240" i="37"/>
  <c r="BA101" i="37"/>
  <c r="BA133" i="37"/>
  <c r="BA202" i="37"/>
  <c r="BA239" i="37"/>
  <c r="AX18" i="37"/>
  <c r="AX33" i="37"/>
  <c r="AX27" i="37"/>
  <c r="AX12" i="37"/>
  <c r="AY132" i="37"/>
  <c r="AY201" i="37"/>
  <c r="AY238" i="37"/>
  <c r="AW23" i="37"/>
  <c r="AW20" i="37"/>
  <c r="AW26" i="37"/>
  <c r="AW25" i="37"/>
  <c r="AW217" i="37"/>
  <c r="AW11" i="37"/>
  <c r="AW10" i="37"/>
  <c r="AZ106" i="37"/>
  <c r="AZ108" i="37"/>
  <c r="AZ135" i="37"/>
  <c r="AZ204" i="37"/>
  <c r="AZ241" i="37"/>
  <c r="AX16" i="37"/>
  <c r="AX31" i="37"/>
  <c r="AZ124" i="37"/>
  <c r="AZ193" i="37"/>
  <c r="AZ230" i="37"/>
  <c r="AZ79" i="37"/>
  <c r="BF112" i="37"/>
  <c r="BE181" i="37"/>
  <c r="BE218" i="37"/>
  <c r="AZ18" i="37"/>
  <c r="AZ33" i="37"/>
  <c r="BA124" i="37"/>
  <c r="BA193" i="37"/>
  <c r="BA230" i="37"/>
  <c r="BA79" i="37"/>
  <c r="BH90" i="37"/>
  <c r="BH122" i="37"/>
  <c r="BH191" i="37"/>
  <c r="BH228" i="37"/>
  <c r="BH84" i="37"/>
  <c r="BH116" i="37"/>
  <c r="BH185" i="37"/>
  <c r="BH222" i="37"/>
  <c r="BH80" i="37"/>
  <c r="BH91" i="37"/>
  <c r="BH83" i="37"/>
  <c r="BH115" i="37"/>
  <c r="BH184" i="37"/>
  <c r="BH221" i="37"/>
  <c r="BH81" i="37"/>
  <c r="BH113" i="37"/>
  <c r="BH182" i="37"/>
  <c r="BH219" i="37"/>
  <c r="BH87" i="37"/>
  <c r="BH119" i="37"/>
  <c r="BH188" i="37"/>
  <c r="BH225" i="37"/>
  <c r="BH85" i="37"/>
  <c r="BH86" i="37"/>
  <c r="BH118" i="37"/>
  <c r="BH187" i="37"/>
  <c r="BH224" i="37"/>
  <c r="BH88" i="37"/>
  <c r="BH82" i="37"/>
  <c r="BH89" i="37"/>
  <c r="BH121" i="37"/>
  <c r="BH190" i="37"/>
  <c r="BH227" i="37"/>
  <c r="AY16" i="37"/>
  <c r="AY31" i="37"/>
  <c r="BB97" i="37"/>
  <c r="BB96" i="37"/>
  <c r="BB128" i="37"/>
  <c r="BB197" i="37"/>
  <c r="BB234" i="37"/>
  <c r="BB95" i="37"/>
  <c r="BB127" i="37"/>
  <c r="BB196" i="37"/>
  <c r="BB233" i="37"/>
  <c r="AY30" i="37"/>
  <c r="AY18" i="37"/>
  <c r="AY33" i="37"/>
  <c r="BF181" i="37"/>
  <c r="BF218" i="37"/>
  <c r="AZ132" i="37"/>
  <c r="AZ201" i="37"/>
  <c r="AZ238" i="37"/>
  <c r="AX23" i="37"/>
  <c r="AX20" i="37"/>
  <c r="AX26" i="37"/>
  <c r="AX25" i="37"/>
  <c r="AX11" i="37"/>
  <c r="AX10" i="37"/>
  <c r="AX217" i="37"/>
  <c r="BB103" i="37"/>
  <c r="BB102" i="37"/>
  <c r="BB134" i="37"/>
  <c r="BB203" i="37"/>
  <c r="BB240" i="37"/>
  <c r="BB101" i="37"/>
  <c r="BB133" i="37"/>
  <c r="BB202" i="37"/>
  <c r="BB239" i="37"/>
  <c r="AZ126" i="37"/>
  <c r="AZ195" i="37"/>
  <c r="AZ232" i="37"/>
  <c r="BI6" i="37"/>
  <c r="BJ5" i="37"/>
  <c r="BI213" i="37"/>
  <c r="BI168" i="37"/>
  <c r="BI76" i="37"/>
  <c r="BI211" i="37"/>
  <c r="BI212" i="37"/>
  <c r="BI208" i="37"/>
  <c r="BI209" i="37"/>
  <c r="BI7" i="37"/>
  <c r="BI210" i="37"/>
  <c r="BI171" i="37"/>
  <c r="BI175" i="37"/>
  <c r="BI173" i="37"/>
  <c r="BI172" i="37"/>
  <c r="BI176" i="37"/>
  <c r="BI174" i="37"/>
  <c r="BC66" i="37"/>
  <c r="BC72" i="37"/>
  <c r="BC65" i="37"/>
  <c r="BC71" i="37"/>
  <c r="BC67" i="37"/>
  <c r="BC73" i="37"/>
  <c r="BD8" i="37"/>
  <c r="BC68" i="37"/>
  <c r="BC74" i="37"/>
  <c r="AY28" i="37"/>
  <c r="AY13" i="37"/>
  <c r="BB99" i="37"/>
  <c r="BB131" i="37"/>
  <c r="BB200" i="37"/>
  <c r="BB237" i="37"/>
  <c r="BB100" i="37"/>
  <c r="BB98" i="37"/>
  <c r="BB130" i="37"/>
  <c r="BB199" i="37"/>
  <c r="BB236" i="37"/>
  <c r="AY183" i="37"/>
  <c r="AY220" i="37"/>
  <c r="AY137" i="37"/>
  <c r="AY138" i="37"/>
  <c r="AY111" i="37"/>
  <c r="AZ117" i="37"/>
  <c r="AZ186" i="37"/>
  <c r="AZ223" i="37"/>
  <c r="AZ120" i="37"/>
  <c r="AZ189" i="37"/>
  <c r="AZ226" i="37"/>
  <c r="AZ123" i="37"/>
  <c r="AZ192" i="37"/>
  <c r="AZ229" i="37"/>
  <c r="AZ114" i="37"/>
  <c r="BA106" i="37"/>
  <c r="BA108" i="37"/>
  <c r="BG112" i="37"/>
  <c r="BB93" i="37"/>
  <c r="BB125" i="37"/>
  <c r="BB194" i="37"/>
  <c r="BB231" i="37"/>
  <c r="BB22" i="37"/>
  <c r="BB92" i="37"/>
  <c r="BB94" i="37"/>
  <c r="AY27" i="37"/>
  <c r="AY12" i="37"/>
  <c r="AZ15" i="37"/>
  <c r="AZ30" i="37"/>
  <c r="AZ21" i="37"/>
  <c r="AY32" i="37"/>
  <c r="AY17" i="37"/>
  <c r="BA22" i="37"/>
  <c r="AZ129" i="37"/>
  <c r="AZ198" i="37"/>
  <c r="AZ235" i="37"/>
  <c r="AY14" i="37"/>
  <c r="AY29" i="37"/>
  <c r="AZ13" i="37"/>
  <c r="AZ28" i="37"/>
  <c r="AZ12" i="37"/>
  <c r="AZ27" i="37"/>
  <c r="BC98" i="37"/>
  <c r="BC130" i="37"/>
  <c r="BC199" i="37"/>
  <c r="BC236" i="37"/>
  <c r="BC99" i="37"/>
  <c r="BC131" i="37"/>
  <c r="BC200" i="37"/>
  <c r="BC237" i="37"/>
  <c r="BC100" i="37"/>
  <c r="BD66" i="37"/>
  <c r="BD72" i="37"/>
  <c r="BE8" i="37"/>
  <c r="BD68" i="37"/>
  <c r="BD74" i="37"/>
  <c r="BD67" i="37"/>
  <c r="BD73" i="37"/>
  <c r="BD65" i="37"/>
  <c r="BD71" i="37"/>
  <c r="BA117" i="37"/>
  <c r="BA186" i="37"/>
  <c r="BA223" i="37"/>
  <c r="BA114" i="37"/>
  <c r="BA120" i="37"/>
  <c r="BA189" i="37"/>
  <c r="BA226" i="37"/>
  <c r="BA123" i="37"/>
  <c r="BA192" i="37"/>
  <c r="BA229" i="37"/>
  <c r="BC94" i="37"/>
  <c r="BC93" i="37"/>
  <c r="BC125" i="37"/>
  <c r="BC194" i="37"/>
  <c r="BC231" i="37"/>
  <c r="BC92" i="37"/>
  <c r="BB106" i="37"/>
  <c r="BB108" i="37"/>
  <c r="BA126" i="37"/>
  <c r="BA195" i="37"/>
  <c r="BA232" i="37"/>
  <c r="BA15" i="37"/>
  <c r="BC95" i="37"/>
  <c r="BC127" i="37"/>
  <c r="BC196" i="37"/>
  <c r="BC233" i="37"/>
  <c r="BC96" i="37"/>
  <c r="BC128" i="37"/>
  <c r="BC197" i="37"/>
  <c r="BC234" i="37"/>
  <c r="BC97" i="37"/>
  <c r="BI80" i="37"/>
  <c r="BI90" i="37"/>
  <c r="BI122" i="37"/>
  <c r="BI191" i="37"/>
  <c r="BI228" i="37"/>
  <c r="BI91" i="37"/>
  <c r="BI84" i="37"/>
  <c r="BI116" i="37"/>
  <c r="BI185" i="37"/>
  <c r="BI222" i="37"/>
  <c r="BI81" i="37"/>
  <c r="BI113" i="37"/>
  <c r="BI182" i="37"/>
  <c r="BI219" i="37"/>
  <c r="BI85" i="37"/>
  <c r="BI87" i="37"/>
  <c r="BI119" i="37"/>
  <c r="BI188" i="37"/>
  <c r="BI225" i="37"/>
  <c r="BI83" i="37"/>
  <c r="BI115" i="37"/>
  <c r="BI184" i="37"/>
  <c r="BI221" i="37"/>
  <c r="BI88" i="37"/>
  <c r="BI86" i="37"/>
  <c r="BI118" i="37"/>
  <c r="BI187" i="37"/>
  <c r="BI224" i="37"/>
  <c r="BI82" i="37"/>
  <c r="BI89" i="37"/>
  <c r="BI121" i="37"/>
  <c r="BI190" i="37"/>
  <c r="BI227" i="37"/>
  <c r="BB124" i="37"/>
  <c r="BB193" i="37"/>
  <c r="BB230" i="37"/>
  <c r="BB79" i="37"/>
  <c r="AY23" i="37"/>
  <c r="AY20" i="37"/>
  <c r="AY11" i="37"/>
  <c r="AY10" i="37"/>
  <c r="AY217" i="37"/>
  <c r="AY26" i="37"/>
  <c r="AY25" i="37"/>
  <c r="BA132" i="37"/>
  <c r="BA201" i="37"/>
  <c r="BA238" i="37"/>
  <c r="BB135" i="37"/>
  <c r="BB204" i="37"/>
  <c r="BB241" i="37"/>
  <c r="BB18" i="37"/>
  <c r="BB33" i="37"/>
  <c r="AZ17" i="37"/>
  <c r="AZ32" i="37"/>
  <c r="BA135" i="37"/>
  <c r="BA204" i="37"/>
  <c r="BA241" i="37"/>
  <c r="BB129" i="37"/>
  <c r="BB198" i="37"/>
  <c r="BB235" i="37"/>
  <c r="BB16" i="37"/>
  <c r="BH112" i="37"/>
  <c r="BA21" i="37"/>
  <c r="BB132" i="37"/>
  <c r="BB201" i="37"/>
  <c r="BB238" i="37"/>
  <c r="BB17" i="37"/>
  <c r="AZ31" i="37"/>
  <c r="AZ16" i="37"/>
  <c r="AZ183" i="37"/>
  <c r="AZ220" i="37"/>
  <c r="AZ137" i="37"/>
  <c r="AZ138" i="37"/>
  <c r="AZ111" i="37"/>
  <c r="BB32" i="37"/>
  <c r="BA129" i="37"/>
  <c r="BA198" i="37"/>
  <c r="BA235" i="37"/>
  <c r="BJ6" i="37"/>
  <c r="BK5" i="37"/>
  <c r="BJ168" i="37"/>
  <c r="BJ76" i="37"/>
  <c r="BJ213" i="37"/>
  <c r="BJ212" i="37"/>
  <c r="BJ211" i="37"/>
  <c r="BJ209" i="37"/>
  <c r="BJ208" i="37"/>
  <c r="BJ7" i="37"/>
  <c r="BJ210" i="37"/>
  <c r="BJ176" i="37"/>
  <c r="BJ172" i="37"/>
  <c r="BJ175" i="37"/>
  <c r="BJ171" i="37"/>
  <c r="BJ173" i="37"/>
  <c r="BJ174" i="37"/>
  <c r="BG181" i="37"/>
  <c r="BG218" i="37"/>
  <c r="AZ14" i="37"/>
  <c r="AZ29" i="37"/>
  <c r="BC102" i="37"/>
  <c r="BC134" i="37"/>
  <c r="BC203" i="37"/>
  <c r="BC240" i="37"/>
  <c r="BC101" i="37"/>
  <c r="BC133" i="37"/>
  <c r="BC202" i="37"/>
  <c r="BC239" i="37"/>
  <c r="BC103" i="37"/>
  <c r="BB123" i="37"/>
  <c r="BB192" i="37"/>
  <c r="BB229" i="37"/>
  <c r="BB114" i="37"/>
  <c r="BB120" i="37"/>
  <c r="BB189" i="37"/>
  <c r="BB226" i="37"/>
  <c r="BB117" i="37"/>
  <c r="BB186" i="37"/>
  <c r="BB223" i="37"/>
  <c r="BA183" i="37"/>
  <c r="BA220" i="37"/>
  <c r="BA137" i="37"/>
  <c r="BA138" i="37"/>
  <c r="BA111" i="37"/>
  <c r="BB126" i="37"/>
  <c r="BB195" i="37"/>
  <c r="BB232" i="37"/>
  <c r="BB30" i="37"/>
  <c r="BB21" i="37"/>
  <c r="BC106" i="37"/>
  <c r="BC108" i="37"/>
  <c r="BC132" i="37"/>
  <c r="BC201" i="37"/>
  <c r="BC238" i="37"/>
  <c r="BC32" i="37"/>
  <c r="BA17" i="37"/>
  <c r="BA32" i="37"/>
  <c r="BB15" i="37"/>
  <c r="BA12" i="37"/>
  <c r="BA27" i="37"/>
  <c r="BA30" i="37"/>
  <c r="BB31" i="37"/>
  <c r="BD92" i="37"/>
  <c r="BD93" i="37"/>
  <c r="BD125" i="37"/>
  <c r="BD194" i="37"/>
  <c r="BD231" i="37"/>
  <c r="BD94" i="37"/>
  <c r="BA16" i="37"/>
  <c r="BA31" i="37"/>
  <c r="AZ23" i="37"/>
  <c r="AZ20" i="37"/>
  <c r="AZ26" i="37"/>
  <c r="AZ25" i="37"/>
  <c r="AZ11" i="37"/>
  <c r="AZ10" i="37"/>
  <c r="AZ217" i="37"/>
  <c r="BA18" i="37"/>
  <c r="BA33" i="37"/>
  <c r="BI112" i="37"/>
  <c r="BC124" i="37"/>
  <c r="BC193" i="37"/>
  <c r="BC230" i="37"/>
  <c r="BC79" i="37"/>
  <c r="BD100" i="37"/>
  <c r="BD98" i="37"/>
  <c r="BD130" i="37"/>
  <c r="BD199" i="37"/>
  <c r="BD236" i="37"/>
  <c r="BD99" i="37"/>
  <c r="BD131" i="37"/>
  <c r="BD200" i="37"/>
  <c r="BD237" i="37"/>
  <c r="BA13" i="37"/>
  <c r="BA28" i="37"/>
  <c r="BC22" i="37"/>
  <c r="BD103" i="37"/>
  <c r="BD102" i="37"/>
  <c r="BD134" i="37"/>
  <c r="BD203" i="37"/>
  <c r="BD240" i="37"/>
  <c r="BD101" i="37"/>
  <c r="BD133" i="37"/>
  <c r="BD202" i="37"/>
  <c r="BD239" i="37"/>
  <c r="BJ91" i="37"/>
  <c r="BJ84" i="37"/>
  <c r="BJ116" i="37"/>
  <c r="BJ185" i="37"/>
  <c r="BJ222" i="37"/>
  <c r="BJ80" i="37"/>
  <c r="BJ90" i="37"/>
  <c r="BJ122" i="37"/>
  <c r="BJ191" i="37"/>
  <c r="BJ228" i="37"/>
  <c r="BJ81" i="37"/>
  <c r="BJ113" i="37"/>
  <c r="BJ182" i="37"/>
  <c r="BJ219" i="37"/>
  <c r="BJ83" i="37"/>
  <c r="BJ115" i="37"/>
  <c r="BJ184" i="37"/>
  <c r="BJ221" i="37"/>
  <c r="BJ85" i="37"/>
  <c r="BJ87" i="37"/>
  <c r="BJ119" i="37"/>
  <c r="BJ188" i="37"/>
  <c r="BJ225" i="37"/>
  <c r="BJ82" i="37"/>
  <c r="BJ86" i="37"/>
  <c r="BJ118" i="37"/>
  <c r="BJ187" i="37"/>
  <c r="BJ224" i="37"/>
  <c r="BJ88" i="37"/>
  <c r="BJ89" i="37"/>
  <c r="BJ121" i="37"/>
  <c r="BJ190" i="37"/>
  <c r="BJ227" i="37"/>
  <c r="BH181" i="37"/>
  <c r="BH218" i="37"/>
  <c r="BC129" i="37"/>
  <c r="BC198" i="37"/>
  <c r="BC235" i="37"/>
  <c r="BF8" i="37"/>
  <c r="BE66" i="37"/>
  <c r="BE72" i="37"/>
  <c r="BE65" i="37"/>
  <c r="BE71" i="37"/>
  <c r="BE67" i="37"/>
  <c r="BE73" i="37"/>
  <c r="BE68" i="37"/>
  <c r="BE74" i="37"/>
  <c r="BK6" i="37"/>
  <c r="BL5" i="37"/>
  <c r="BK76" i="37"/>
  <c r="BK168" i="37"/>
  <c r="BK212" i="37"/>
  <c r="BK211" i="37"/>
  <c r="BK209" i="37"/>
  <c r="BK208" i="37"/>
  <c r="BK7" i="37"/>
  <c r="BK213" i="37"/>
  <c r="BK210" i="37"/>
  <c r="BK174" i="37"/>
  <c r="BK172" i="37"/>
  <c r="BK176" i="37"/>
  <c r="BK171" i="37"/>
  <c r="BK173" i="37"/>
  <c r="BK175" i="37"/>
  <c r="BA14" i="37"/>
  <c r="BA29" i="37"/>
  <c r="BD97" i="37"/>
  <c r="BD96" i="37"/>
  <c r="BD128" i="37"/>
  <c r="BD197" i="37"/>
  <c r="BD234" i="37"/>
  <c r="BD95" i="37"/>
  <c r="BD127" i="37"/>
  <c r="BD196" i="37"/>
  <c r="BD233" i="37"/>
  <c r="BC16" i="37"/>
  <c r="BC31" i="37"/>
  <c r="BD22" i="37"/>
  <c r="BB13" i="37"/>
  <c r="BB28" i="37"/>
  <c r="BE92" i="37"/>
  <c r="BE93" i="37"/>
  <c r="BE125" i="37"/>
  <c r="BE194" i="37"/>
  <c r="BE231" i="37"/>
  <c r="BE94" i="37"/>
  <c r="BJ112" i="37"/>
  <c r="BD124" i="37"/>
  <c r="BD193" i="37"/>
  <c r="BD230" i="37"/>
  <c r="BD79" i="37"/>
  <c r="BB183" i="37"/>
  <c r="BB220" i="37"/>
  <c r="BB137" i="37"/>
  <c r="BB138" i="37"/>
  <c r="BB111" i="37"/>
  <c r="BE100" i="37"/>
  <c r="BE98" i="37"/>
  <c r="BE130" i="37"/>
  <c r="BE199" i="37"/>
  <c r="BE236" i="37"/>
  <c r="BE99" i="37"/>
  <c r="BE131" i="37"/>
  <c r="BE200" i="37"/>
  <c r="BE237" i="37"/>
  <c r="BE96" i="37"/>
  <c r="BE128" i="37"/>
  <c r="BE197" i="37"/>
  <c r="BE234" i="37"/>
  <c r="BE95" i="37"/>
  <c r="BE127" i="37"/>
  <c r="BE196" i="37"/>
  <c r="BE233" i="37"/>
  <c r="BE97" i="37"/>
  <c r="BC21" i="37"/>
  <c r="BB14" i="37"/>
  <c r="BB29" i="37"/>
  <c r="BG8" i="37"/>
  <c r="BF65" i="37"/>
  <c r="BF71" i="37"/>
  <c r="BF66" i="37"/>
  <c r="BF72" i="37"/>
  <c r="BF68" i="37"/>
  <c r="BF74" i="37"/>
  <c r="BF67" i="37"/>
  <c r="BF73" i="37"/>
  <c r="BC114" i="37"/>
  <c r="BC117" i="37"/>
  <c r="BC186" i="37"/>
  <c r="BC223" i="37"/>
  <c r="BC120" i="37"/>
  <c r="BC189" i="37"/>
  <c r="BC226" i="37"/>
  <c r="BC123" i="37"/>
  <c r="BC192" i="37"/>
  <c r="BC229" i="37"/>
  <c r="BI181" i="37"/>
  <c r="BI218" i="37"/>
  <c r="BK91" i="37"/>
  <c r="BK80" i="37"/>
  <c r="BK84" i="37"/>
  <c r="BK116" i="37"/>
  <c r="BK185" i="37"/>
  <c r="BK222" i="37"/>
  <c r="BK90" i="37"/>
  <c r="BK122" i="37"/>
  <c r="BK191" i="37"/>
  <c r="BK228" i="37"/>
  <c r="BK85" i="37"/>
  <c r="BK81" i="37"/>
  <c r="BK113" i="37"/>
  <c r="BK182" i="37"/>
  <c r="BK219" i="37"/>
  <c r="BK83" i="37"/>
  <c r="BK115" i="37"/>
  <c r="BK184" i="37"/>
  <c r="BK221" i="37"/>
  <c r="BK87" i="37"/>
  <c r="BK119" i="37"/>
  <c r="BK188" i="37"/>
  <c r="BK225" i="37"/>
  <c r="BK86" i="37"/>
  <c r="BK118" i="37"/>
  <c r="BK187" i="37"/>
  <c r="BK224" i="37"/>
  <c r="BK88" i="37"/>
  <c r="BK82" i="37"/>
  <c r="BK89" i="37"/>
  <c r="BK121" i="37"/>
  <c r="BK190" i="37"/>
  <c r="BK227" i="37"/>
  <c r="BC126" i="37"/>
  <c r="BC195" i="37"/>
  <c r="BC232" i="37"/>
  <c r="BC15" i="37"/>
  <c r="BL6" i="37"/>
  <c r="BM5" i="37"/>
  <c r="BL213" i="37"/>
  <c r="BL76" i="37"/>
  <c r="BL168" i="37"/>
  <c r="BL212" i="37"/>
  <c r="BL211" i="37"/>
  <c r="BL209" i="37"/>
  <c r="BL208" i="37"/>
  <c r="BL7" i="37"/>
  <c r="BL210" i="37"/>
  <c r="BL171" i="37"/>
  <c r="BL175" i="37"/>
  <c r="BL174" i="37"/>
  <c r="BL172" i="37"/>
  <c r="BL173" i="37"/>
  <c r="BL176" i="37"/>
  <c r="BC135" i="37"/>
  <c r="BC204" i="37"/>
  <c r="BC241" i="37"/>
  <c r="BA23" i="37"/>
  <c r="BA20" i="37"/>
  <c r="BA26" i="37"/>
  <c r="BA25" i="37"/>
  <c r="BA11" i="37"/>
  <c r="BA10" i="37"/>
  <c r="BA217" i="37"/>
  <c r="BC17" i="37"/>
  <c r="BE102" i="37"/>
  <c r="BE134" i="37"/>
  <c r="BE203" i="37"/>
  <c r="BE240" i="37"/>
  <c r="BE101" i="37"/>
  <c r="BE133" i="37"/>
  <c r="BE202" i="37"/>
  <c r="BE239" i="37"/>
  <c r="BE103" i="37"/>
  <c r="BD106" i="37"/>
  <c r="BD108" i="37"/>
  <c r="BD129" i="37"/>
  <c r="BD198" i="37"/>
  <c r="BD235" i="37"/>
  <c r="BB12" i="37"/>
  <c r="BB27" i="37"/>
  <c r="BD16" i="37"/>
  <c r="BD31" i="37"/>
  <c r="BE22" i="37"/>
  <c r="BD135" i="37"/>
  <c r="BD204" i="37"/>
  <c r="BD241" i="37"/>
  <c r="BM76" i="37"/>
  <c r="BM168" i="37"/>
  <c r="BM6" i="37"/>
  <c r="BN5" i="37"/>
  <c r="BM213" i="37"/>
  <c r="BM212" i="37"/>
  <c r="BM211" i="37"/>
  <c r="BM209" i="37"/>
  <c r="BM208" i="37"/>
  <c r="BM7" i="37"/>
  <c r="BM210" i="37"/>
  <c r="BM176" i="37"/>
  <c r="BM171" i="37"/>
  <c r="BM174" i="37"/>
  <c r="BM175" i="37"/>
  <c r="BM173" i="37"/>
  <c r="BM172" i="37"/>
  <c r="BE124" i="37"/>
  <c r="BE193" i="37"/>
  <c r="BE230" i="37"/>
  <c r="BE79" i="37"/>
  <c r="BD126" i="37"/>
  <c r="BD195" i="37"/>
  <c r="BD232" i="37"/>
  <c r="BD30" i="37"/>
  <c r="BD21" i="37"/>
  <c r="BF99" i="37"/>
  <c r="BF131" i="37"/>
  <c r="BF200" i="37"/>
  <c r="BF237" i="37"/>
  <c r="BF100" i="37"/>
  <c r="BF98" i="37"/>
  <c r="BF130" i="37"/>
  <c r="BF199" i="37"/>
  <c r="BF236" i="37"/>
  <c r="BJ181" i="37"/>
  <c r="BJ218" i="37"/>
  <c r="BC183" i="37"/>
  <c r="BC220" i="37"/>
  <c r="BC137" i="37"/>
  <c r="BC138" i="37"/>
  <c r="BC111" i="37"/>
  <c r="BF103" i="37"/>
  <c r="BF102" i="37"/>
  <c r="BF134" i="37"/>
  <c r="BF203" i="37"/>
  <c r="BF240" i="37"/>
  <c r="BF101" i="37"/>
  <c r="BF133" i="37"/>
  <c r="BF202" i="37"/>
  <c r="BF239" i="37"/>
  <c r="BK112" i="37"/>
  <c r="BC29" i="37"/>
  <c r="BC14" i="37"/>
  <c r="BF97" i="37"/>
  <c r="BF96" i="37"/>
  <c r="BF128" i="37"/>
  <c r="BF197" i="37"/>
  <c r="BF234" i="37"/>
  <c r="BF95" i="37"/>
  <c r="BF127" i="37"/>
  <c r="BF196" i="37"/>
  <c r="BF233" i="37"/>
  <c r="BC30" i="37"/>
  <c r="BD123" i="37"/>
  <c r="BD192" i="37"/>
  <c r="BD229" i="37"/>
  <c r="BD117" i="37"/>
  <c r="BD186" i="37"/>
  <c r="BD223" i="37"/>
  <c r="BD120" i="37"/>
  <c r="BD189" i="37"/>
  <c r="BD226" i="37"/>
  <c r="BD114" i="37"/>
  <c r="BC18" i="37"/>
  <c r="BC33" i="37"/>
  <c r="BD15" i="37"/>
  <c r="BC13" i="37"/>
  <c r="BC28" i="37"/>
  <c r="BF94" i="37"/>
  <c r="BF92" i="37"/>
  <c r="BF93" i="37"/>
  <c r="BF125" i="37"/>
  <c r="BF194" i="37"/>
  <c r="BF231" i="37"/>
  <c r="BL80" i="37"/>
  <c r="BL90" i="37"/>
  <c r="BL122" i="37"/>
  <c r="BL191" i="37"/>
  <c r="BL228" i="37"/>
  <c r="BL84" i="37"/>
  <c r="BL116" i="37"/>
  <c r="BL185" i="37"/>
  <c r="BL222" i="37"/>
  <c r="BL91" i="37"/>
  <c r="BL87" i="37"/>
  <c r="BL119" i="37"/>
  <c r="BL188" i="37"/>
  <c r="BL225" i="37"/>
  <c r="BL83" i="37"/>
  <c r="BL115" i="37"/>
  <c r="BL184" i="37"/>
  <c r="BL221" i="37"/>
  <c r="BL81" i="37"/>
  <c r="BL113" i="37"/>
  <c r="BL182" i="37"/>
  <c r="BL219" i="37"/>
  <c r="BL85" i="37"/>
  <c r="BL82" i="37"/>
  <c r="BL86" i="37"/>
  <c r="BL118" i="37"/>
  <c r="BL187" i="37"/>
  <c r="BL224" i="37"/>
  <c r="BL88" i="37"/>
  <c r="BL89" i="37"/>
  <c r="BL121" i="37"/>
  <c r="BL190" i="37"/>
  <c r="BL227" i="37"/>
  <c r="BD132" i="37"/>
  <c r="BD201" i="37"/>
  <c r="BD238" i="37"/>
  <c r="BC12" i="37"/>
  <c r="BC27" i="37"/>
  <c r="BG68" i="37"/>
  <c r="BG74" i="37"/>
  <c r="BG65" i="37"/>
  <c r="BG71" i="37"/>
  <c r="BG66" i="37"/>
  <c r="BG72" i="37"/>
  <c r="BH8" i="37"/>
  <c r="BG67" i="37"/>
  <c r="BG73" i="37"/>
  <c r="BB23" i="37"/>
  <c r="BB20" i="37"/>
  <c r="BB217" i="37"/>
  <c r="BB11" i="37"/>
  <c r="BB10" i="37"/>
  <c r="BB26" i="37"/>
  <c r="BB25" i="37"/>
  <c r="BE106" i="37"/>
  <c r="BE108" i="37"/>
  <c r="BE132" i="37"/>
  <c r="BE201" i="37"/>
  <c r="BE238" i="37"/>
  <c r="BE32" i="37"/>
  <c r="BE17" i="37"/>
  <c r="BG95" i="37"/>
  <c r="BG127" i="37"/>
  <c r="BG196" i="37"/>
  <c r="BG233" i="37"/>
  <c r="BG97" i="37"/>
  <c r="BG96" i="37"/>
  <c r="BG128" i="37"/>
  <c r="BG197" i="37"/>
  <c r="BG234" i="37"/>
  <c r="BF22" i="37"/>
  <c r="BM90" i="37"/>
  <c r="BM122" i="37"/>
  <c r="BM191" i="37"/>
  <c r="BM228" i="37"/>
  <c r="BM84" i="37"/>
  <c r="BM116" i="37"/>
  <c r="BM185" i="37"/>
  <c r="BM222" i="37"/>
  <c r="BM80" i="37"/>
  <c r="BM91" i="37"/>
  <c r="BM83" i="37"/>
  <c r="BM115" i="37"/>
  <c r="BM184" i="37"/>
  <c r="BM221" i="37"/>
  <c r="BM81" i="37"/>
  <c r="BM113" i="37"/>
  <c r="BM182" i="37"/>
  <c r="BM219" i="37"/>
  <c r="BM85" i="37"/>
  <c r="BM87" i="37"/>
  <c r="BM119" i="37"/>
  <c r="BM188" i="37"/>
  <c r="BM225" i="37"/>
  <c r="BM86" i="37"/>
  <c r="BM118" i="37"/>
  <c r="BM187" i="37"/>
  <c r="BM224" i="37"/>
  <c r="BM88" i="37"/>
  <c r="BM82" i="37"/>
  <c r="BM89" i="37"/>
  <c r="BM121" i="37"/>
  <c r="BM190" i="37"/>
  <c r="BM227" i="37"/>
  <c r="BF124" i="37"/>
  <c r="BF193" i="37"/>
  <c r="BF230" i="37"/>
  <c r="BF79" i="37"/>
  <c r="BD183" i="37"/>
  <c r="BD220" i="37"/>
  <c r="BD137" i="37"/>
  <c r="BD138" i="37"/>
  <c r="BD111" i="37"/>
  <c r="BD18" i="37"/>
  <c r="BD33" i="37"/>
  <c r="BG103" i="37"/>
  <c r="BG102" i="37"/>
  <c r="BG134" i="37"/>
  <c r="BG203" i="37"/>
  <c r="BG240" i="37"/>
  <c r="BG101" i="37"/>
  <c r="BG133" i="37"/>
  <c r="BG202" i="37"/>
  <c r="BG239" i="37"/>
  <c r="BF106" i="37"/>
  <c r="BF108" i="37"/>
  <c r="BF129" i="37"/>
  <c r="BF198" i="37"/>
  <c r="BF235" i="37"/>
  <c r="BD28" i="37"/>
  <c r="BD13" i="37"/>
  <c r="BC23" i="37"/>
  <c r="BC20" i="37"/>
  <c r="BC26" i="37"/>
  <c r="BC25" i="37"/>
  <c r="BC217" i="37"/>
  <c r="BC11" i="37"/>
  <c r="BC10" i="37"/>
  <c r="BE114" i="37"/>
  <c r="BE117" i="37"/>
  <c r="BE186" i="37"/>
  <c r="BE223" i="37"/>
  <c r="BE123" i="37"/>
  <c r="BE192" i="37"/>
  <c r="BE229" i="37"/>
  <c r="BE120" i="37"/>
  <c r="BE189" i="37"/>
  <c r="BE226" i="37"/>
  <c r="BH68" i="37"/>
  <c r="BH74" i="37"/>
  <c r="BH67" i="37"/>
  <c r="BH73" i="37"/>
  <c r="BH65" i="37"/>
  <c r="BH71" i="37"/>
  <c r="BH66" i="37"/>
  <c r="BH72" i="37"/>
  <c r="BI8" i="37"/>
  <c r="BD12" i="37"/>
  <c r="BD27" i="37"/>
  <c r="BK181" i="37"/>
  <c r="BK218" i="37"/>
  <c r="BF135" i="37"/>
  <c r="BF204" i="37"/>
  <c r="BF241" i="37"/>
  <c r="BF18" i="37"/>
  <c r="BE21" i="37"/>
  <c r="BE126" i="37"/>
  <c r="BE195" i="37"/>
  <c r="BE232" i="37"/>
  <c r="BE15" i="37"/>
  <c r="BG94" i="37"/>
  <c r="BG92" i="37"/>
  <c r="BG93" i="37"/>
  <c r="BG125" i="37"/>
  <c r="BG194" i="37"/>
  <c r="BG231" i="37"/>
  <c r="BG99" i="37"/>
  <c r="BG131" i="37"/>
  <c r="BG200" i="37"/>
  <c r="BG237" i="37"/>
  <c r="BG22" i="37"/>
  <c r="BD14" i="37"/>
  <c r="BD29" i="37"/>
  <c r="BL112" i="37"/>
  <c r="BE129" i="37"/>
  <c r="BE198" i="37"/>
  <c r="BE235" i="37"/>
  <c r="BD32" i="37"/>
  <c r="BD17" i="37"/>
  <c r="BE135" i="37"/>
  <c r="BE204" i="37"/>
  <c r="BE241" i="37"/>
  <c r="BG100" i="37"/>
  <c r="BG98" i="37"/>
  <c r="BG130" i="37"/>
  <c r="BG199" i="37"/>
  <c r="BG236" i="37"/>
  <c r="BN168" i="37"/>
  <c r="BN209" i="37"/>
  <c r="BN76" i="37"/>
  <c r="BN212" i="37"/>
  <c r="BN7" i="37"/>
  <c r="BN6" i="37"/>
  <c r="BN211" i="37"/>
  <c r="BN213" i="37"/>
  <c r="BN208" i="37"/>
  <c r="BN210" i="37"/>
  <c r="BN171" i="37"/>
  <c r="BN172" i="37"/>
  <c r="BN173" i="37"/>
  <c r="BN176" i="37"/>
  <c r="BN174" i="37"/>
  <c r="BN175" i="37"/>
  <c r="BF31" i="37"/>
  <c r="BF16" i="37"/>
  <c r="BG124" i="37"/>
  <c r="BG193" i="37"/>
  <c r="BG230" i="37"/>
  <c r="BG79" i="37"/>
  <c r="BH101" i="37"/>
  <c r="BH133" i="37"/>
  <c r="BH202" i="37"/>
  <c r="BH239" i="37"/>
  <c r="BH103" i="37"/>
  <c r="BH102" i="37"/>
  <c r="BH134" i="37"/>
  <c r="BH203" i="37"/>
  <c r="BH240" i="37"/>
  <c r="BF33" i="37"/>
  <c r="BG106" i="37"/>
  <c r="BG108" i="37"/>
  <c r="BG132" i="37"/>
  <c r="BG201" i="37"/>
  <c r="BG238" i="37"/>
  <c r="BG17" i="37"/>
  <c r="BE28" i="37"/>
  <c r="BE13" i="37"/>
  <c r="BE14" i="37"/>
  <c r="BE29" i="37"/>
  <c r="BG135" i="37"/>
  <c r="BG204" i="37"/>
  <c r="BG241" i="37"/>
  <c r="BG18" i="37"/>
  <c r="BR11" i="37"/>
  <c r="BR12" i="37"/>
  <c r="BR17" i="37"/>
  <c r="BR31" i="37"/>
  <c r="BR13" i="37"/>
  <c r="BR14" i="37"/>
  <c r="BS14" i="37"/>
  <c r="BR27" i="37"/>
  <c r="BS30" i="37"/>
  <c r="BS18" i="37"/>
  <c r="BR29" i="37"/>
  <c r="BR28" i="37"/>
  <c r="BR33" i="37"/>
  <c r="BR30" i="37"/>
  <c r="BR22" i="37"/>
  <c r="BS31" i="37"/>
  <c r="BR21" i="37"/>
  <c r="BR23" i="37"/>
  <c r="BR20" i="37"/>
  <c r="BR26" i="37"/>
  <c r="BS28" i="37"/>
  <c r="BS21" i="37"/>
  <c r="BS22" i="37"/>
  <c r="BS23" i="37"/>
  <c r="BS20" i="37"/>
  <c r="BS16" i="37"/>
  <c r="BS11" i="37"/>
  <c r="BR15" i="37"/>
  <c r="BR16" i="37"/>
  <c r="BS13" i="37"/>
  <c r="BR18" i="37"/>
  <c r="BS17" i="37"/>
  <c r="BS26" i="37"/>
  <c r="BS29" i="37"/>
  <c r="BS12" i="37"/>
  <c r="BS32" i="37"/>
  <c r="BS33" i="37"/>
  <c r="BR32" i="37"/>
  <c r="BS27" i="37"/>
  <c r="BS15" i="37"/>
  <c r="BP17" i="37"/>
  <c r="BP18" i="37"/>
  <c r="BP26" i="37"/>
  <c r="BP11" i="37"/>
  <c r="BP21" i="37"/>
  <c r="BN80" i="37"/>
  <c r="BN91" i="37"/>
  <c r="BN84" i="37"/>
  <c r="BN116" i="37"/>
  <c r="BN185" i="37"/>
  <c r="BN222" i="37"/>
  <c r="BN90" i="37"/>
  <c r="BN122" i="37"/>
  <c r="BN191" i="37"/>
  <c r="BN228" i="37"/>
  <c r="BN85" i="37"/>
  <c r="BN83" i="37"/>
  <c r="BN115" i="37"/>
  <c r="BN184" i="37"/>
  <c r="BN221" i="37"/>
  <c r="BN81" i="37"/>
  <c r="BN113" i="37"/>
  <c r="BN182" i="37"/>
  <c r="BN219" i="37"/>
  <c r="BN87" i="37"/>
  <c r="BN119" i="37"/>
  <c r="BN188" i="37"/>
  <c r="BN225" i="37"/>
  <c r="BN86" i="37"/>
  <c r="BN118" i="37"/>
  <c r="BN187" i="37"/>
  <c r="BN224" i="37"/>
  <c r="BN82" i="37"/>
  <c r="BN88" i="37"/>
  <c r="BN89" i="37"/>
  <c r="BN121" i="37"/>
  <c r="BN190" i="37"/>
  <c r="BN227" i="37"/>
  <c r="BG32" i="37"/>
  <c r="BE12" i="37"/>
  <c r="BE27" i="37"/>
  <c r="BG129" i="37"/>
  <c r="BG198" i="37"/>
  <c r="BG235" i="37"/>
  <c r="BG31" i="37"/>
  <c r="BE33" i="37"/>
  <c r="BE18" i="37"/>
  <c r="BE30" i="37"/>
  <c r="BI68" i="37"/>
  <c r="BI74" i="37"/>
  <c r="BI67" i="37"/>
  <c r="BI73" i="37"/>
  <c r="BI65" i="37"/>
  <c r="BI71" i="37"/>
  <c r="BJ8" i="37"/>
  <c r="BI66" i="37"/>
  <c r="BI72" i="37"/>
  <c r="BE183" i="37"/>
  <c r="BE220" i="37"/>
  <c r="BE137" i="37"/>
  <c r="BE138" i="37"/>
  <c r="BE111" i="37"/>
  <c r="BF114" i="37"/>
  <c r="BF117" i="37"/>
  <c r="BF186" i="37"/>
  <c r="BF223" i="37"/>
  <c r="BF123" i="37"/>
  <c r="BF192" i="37"/>
  <c r="BF229" i="37"/>
  <c r="BF120" i="37"/>
  <c r="BF189" i="37"/>
  <c r="BF226" i="37"/>
  <c r="BD23" i="37"/>
  <c r="BD20" i="37"/>
  <c r="BD26" i="37"/>
  <c r="BD25" i="37"/>
  <c r="BD217" i="37"/>
  <c r="BD11" i="37"/>
  <c r="BD10" i="37"/>
  <c r="BG16" i="37"/>
  <c r="BH99" i="37"/>
  <c r="BH131" i="37"/>
  <c r="BH200" i="37"/>
  <c r="BH237" i="37"/>
  <c r="BH100" i="37"/>
  <c r="BH98" i="37"/>
  <c r="BH130" i="37"/>
  <c r="BH199" i="37"/>
  <c r="BH236" i="37"/>
  <c r="BE16" i="37"/>
  <c r="BE31" i="37"/>
  <c r="BH97" i="37"/>
  <c r="BH96" i="37"/>
  <c r="BH128" i="37"/>
  <c r="BH197" i="37"/>
  <c r="BH234" i="37"/>
  <c r="BH95" i="37"/>
  <c r="BH127" i="37"/>
  <c r="BH196" i="37"/>
  <c r="BH233" i="37"/>
  <c r="BF132" i="37"/>
  <c r="BF201" i="37"/>
  <c r="BF238" i="37"/>
  <c r="BF126" i="37"/>
  <c r="BF195" i="37"/>
  <c r="BF232" i="37"/>
  <c r="BM112" i="37"/>
  <c r="BL181" i="37"/>
  <c r="BL218" i="37"/>
  <c r="BH94" i="37"/>
  <c r="BH93" i="37"/>
  <c r="BH125" i="37"/>
  <c r="BH194" i="37"/>
  <c r="BH231" i="37"/>
  <c r="BH92" i="37"/>
  <c r="BF15" i="37"/>
  <c r="BF30" i="37"/>
  <c r="BF21" i="37"/>
  <c r="BM181" i="37"/>
  <c r="BM218" i="37"/>
  <c r="BF13" i="37"/>
  <c r="BF28" i="37"/>
  <c r="BJ65" i="37"/>
  <c r="BJ71" i="37"/>
  <c r="BJ67" i="37"/>
  <c r="BJ73" i="37"/>
  <c r="BJ68" i="37"/>
  <c r="BJ74" i="37"/>
  <c r="BK8" i="37"/>
  <c r="BJ66" i="37"/>
  <c r="BJ72" i="37"/>
  <c r="BF14" i="37"/>
  <c r="BF29" i="37"/>
  <c r="BI93" i="37"/>
  <c r="BI125" i="37"/>
  <c r="BI194" i="37"/>
  <c r="BI231" i="37"/>
  <c r="BI94" i="37"/>
  <c r="BI92" i="37"/>
  <c r="BR25" i="37"/>
  <c r="BI95" i="37"/>
  <c r="BI127" i="37"/>
  <c r="BI196" i="37"/>
  <c r="BI233" i="37"/>
  <c r="BI96" i="37"/>
  <c r="BI128" i="37"/>
  <c r="BI197" i="37"/>
  <c r="BI234" i="37"/>
  <c r="BI97" i="37"/>
  <c r="BI100" i="37"/>
  <c r="BI98" i="37"/>
  <c r="BI130" i="37"/>
  <c r="BI199" i="37"/>
  <c r="BI236" i="37"/>
  <c r="BI99" i="37"/>
  <c r="BI131" i="37"/>
  <c r="BI200" i="37"/>
  <c r="BI237" i="37"/>
  <c r="BS25" i="37"/>
  <c r="BG33" i="37"/>
  <c r="BF12" i="37"/>
  <c r="BF27" i="37"/>
  <c r="BF183" i="37"/>
  <c r="BF220" i="37"/>
  <c r="BF137" i="37"/>
  <c r="BF138" i="37"/>
  <c r="BF111" i="37"/>
  <c r="BI101" i="37"/>
  <c r="BI133" i="37"/>
  <c r="BI202" i="37"/>
  <c r="BI239" i="37"/>
  <c r="BI102" i="37"/>
  <c r="BI134" i="37"/>
  <c r="BI203" i="37"/>
  <c r="BI240" i="37"/>
  <c r="BI103" i="37"/>
  <c r="BR10" i="37"/>
  <c r="BH22" i="37"/>
  <c r="BG120" i="37"/>
  <c r="BG189" i="37"/>
  <c r="BG226" i="37"/>
  <c r="BG123" i="37"/>
  <c r="BG192" i="37"/>
  <c r="BG229" i="37"/>
  <c r="BG117" i="37"/>
  <c r="BG186" i="37"/>
  <c r="BG223" i="37"/>
  <c r="BG114" i="37"/>
  <c r="BG126" i="37"/>
  <c r="BG195" i="37"/>
  <c r="BG232" i="37"/>
  <c r="BG30" i="37"/>
  <c r="BG21" i="37"/>
  <c r="BH124" i="37"/>
  <c r="BH193" i="37"/>
  <c r="BH230" i="37"/>
  <c r="BH79" i="37"/>
  <c r="BH106" i="37"/>
  <c r="BH108" i="37"/>
  <c r="BH129" i="37"/>
  <c r="BH198" i="37"/>
  <c r="BH235" i="37"/>
  <c r="BF32" i="37"/>
  <c r="BF17" i="37"/>
  <c r="BN112" i="37"/>
  <c r="BS10" i="37"/>
  <c r="BG15" i="37"/>
  <c r="BH135" i="37"/>
  <c r="BH204" i="37"/>
  <c r="BH241" i="37"/>
  <c r="BE23" i="37"/>
  <c r="BE20" i="37"/>
  <c r="BE217" i="37"/>
  <c r="BE26" i="37"/>
  <c r="BE25" i="37"/>
  <c r="BE11" i="37"/>
  <c r="BH18" i="37"/>
  <c r="BH33" i="37"/>
  <c r="BH16" i="37"/>
  <c r="BH31" i="37"/>
  <c r="BN181" i="37"/>
  <c r="BN218" i="37"/>
  <c r="BI22" i="37"/>
  <c r="BJ94" i="37"/>
  <c r="BJ92" i="37"/>
  <c r="BJ93" i="37"/>
  <c r="BJ125" i="37"/>
  <c r="BJ194" i="37"/>
  <c r="BJ231" i="37"/>
  <c r="BJ100" i="37"/>
  <c r="BJ99" i="37"/>
  <c r="BJ131" i="37"/>
  <c r="BJ200" i="37"/>
  <c r="BJ237" i="37"/>
  <c r="BJ98" i="37"/>
  <c r="BJ130" i="37"/>
  <c r="BJ199" i="37"/>
  <c r="BJ236" i="37"/>
  <c r="BG13" i="37"/>
  <c r="BG28" i="37"/>
  <c r="BH21" i="37"/>
  <c r="BH120" i="37"/>
  <c r="BH189" i="37"/>
  <c r="BH226" i="37"/>
  <c r="BH123" i="37"/>
  <c r="BH192" i="37"/>
  <c r="BH229" i="37"/>
  <c r="BH117" i="37"/>
  <c r="BH186" i="37"/>
  <c r="BH223" i="37"/>
  <c r="BH114" i="37"/>
  <c r="BG183" i="37"/>
  <c r="BG220" i="37"/>
  <c r="BG137" i="37"/>
  <c r="BG138" i="37"/>
  <c r="BG111" i="37"/>
  <c r="BJ96" i="37"/>
  <c r="BJ128" i="37"/>
  <c r="BJ197" i="37"/>
  <c r="BJ234" i="37"/>
  <c r="BJ95" i="37"/>
  <c r="BJ127" i="37"/>
  <c r="BJ196" i="37"/>
  <c r="BJ233" i="37"/>
  <c r="BJ97" i="37"/>
  <c r="BI106" i="37"/>
  <c r="BI108" i="37"/>
  <c r="BI135" i="37"/>
  <c r="BI204" i="37"/>
  <c r="BI241" i="37"/>
  <c r="BH126" i="37"/>
  <c r="BH195" i="37"/>
  <c r="BH232" i="37"/>
  <c r="BH15" i="37"/>
  <c r="BF23" i="37"/>
  <c r="BF20" i="37"/>
  <c r="BF26" i="37"/>
  <c r="BF25" i="37"/>
  <c r="BF11" i="37"/>
  <c r="BF10" i="37"/>
  <c r="BF217" i="37"/>
  <c r="BK66" i="37"/>
  <c r="BK72" i="37"/>
  <c r="BK65" i="37"/>
  <c r="BK71" i="37"/>
  <c r="BK67" i="37"/>
  <c r="BK73" i="37"/>
  <c r="BK68" i="37"/>
  <c r="BK74" i="37"/>
  <c r="BL8" i="37"/>
  <c r="BG27" i="37"/>
  <c r="BG12" i="37"/>
  <c r="BE10" i="37"/>
  <c r="BH132" i="37"/>
  <c r="BH201" i="37"/>
  <c r="BH238" i="37"/>
  <c r="BG29" i="37"/>
  <c r="BG14" i="37"/>
  <c r="BI124" i="37"/>
  <c r="BI193" i="37"/>
  <c r="BI230" i="37"/>
  <c r="BI79" i="37"/>
  <c r="BJ102" i="37"/>
  <c r="BJ134" i="37"/>
  <c r="BJ203" i="37"/>
  <c r="BJ240" i="37"/>
  <c r="BJ101" i="37"/>
  <c r="BJ133" i="37"/>
  <c r="BJ202" i="37"/>
  <c r="BJ239" i="37"/>
  <c r="BJ103" i="37"/>
  <c r="BI18" i="37"/>
  <c r="BI33" i="37"/>
  <c r="BL66" i="37"/>
  <c r="BL72" i="37"/>
  <c r="BM8" i="37"/>
  <c r="BL67" i="37"/>
  <c r="BL73" i="37"/>
  <c r="BL68" i="37"/>
  <c r="BL74" i="37"/>
  <c r="BL65" i="37"/>
  <c r="BL71" i="37"/>
  <c r="BH29" i="37"/>
  <c r="BH14" i="37"/>
  <c r="BJ22" i="37"/>
  <c r="BK101" i="37"/>
  <c r="BK133" i="37"/>
  <c r="BK202" i="37"/>
  <c r="BK239" i="37"/>
  <c r="BK103" i="37"/>
  <c r="BK102" i="37"/>
  <c r="BK134" i="37"/>
  <c r="BK203" i="37"/>
  <c r="BK240" i="37"/>
  <c r="BH28" i="37"/>
  <c r="BH13" i="37"/>
  <c r="BH30" i="37"/>
  <c r="BJ124" i="37"/>
  <c r="BJ193" i="37"/>
  <c r="BJ230" i="37"/>
  <c r="BJ79" i="37"/>
  <c r="BK100" i="37"/>
  <c r="BK99" i="37"/>
  <c r="BK131" i="37"/>
  <c r="BK200" i="37"/>
  <c r="BK237" i="37"/>
  <c r="BK98" i="37"/>
  <c r="BK130" i="37"/>
  <c r="BK199" i="37"/>
  <c r="BK236" i="37"/>
  <c r="BJ106" i="37"/>
  <c r="BJ108" i="37"/>
  <c r="BJ129" i="37"/>
  <c r="BJ198" i="37"/>
  <c r="BJ235" i="37"/>
  <c r="BK92" i="37"/>
  <c r="BK93" i="37"/>
  <c r="BK125" i="37"/>
  <c r="BK194" i="37"/>
  <c r="BK231" i="37"/>
  <c r="BK94" i="37"/>
  <c r="BH12" i="37"/>
  <c r="BH27" i="37"/>
  <c r="BK96" i="37"/>
  <c r="BK128" i="37"/>
  <c r="BK197" i="37"/>
  <c r="BK234" i="37"/>
  <c r="BK97" i="37"/>
  <c r="BK95" i="37"/>
  <c r="BK127" i="37"/>
  <c r="BK196" i="37"/>
  <c r="BK233" i="37"/>
  <c r="BH32" i="37"/>
  <c r="BH17" i="37"/>
  <c r="BI126" i="37"/>
  <c r="BI195" i="37"/>
  <c r="BI232" i="37"/>
  <c r="BI15" i="37"/>
  <c r="BI21" i="37"/>
  <c r="BI114" i="37"/>
  <c r="BI117" i="37"/>
  <c r="BI186" i="37"/>
  <c r="BI223" i="37"/>
  <c r="BI123" i="37"/>
  <c r="BI192" i="37"/>
  <c r="BI229" i="37"/>
  <c r="BI120" i="37"/>
  <c r="BI189" i="37"/>
  <c r="BI226" i="37"/>
  <c r="BG23" i="37"/>
  <c r="BG20" i="37"/>
  <c r="BG217" i="37"/>
  <c r="BG26" i="37"/>
  <c r="BG11" i="37"/>
  <c r="BI129" i="37"/>
  <c r="BI198" i="37"/>
  <c r="BI235" i="37"/>
  <c r="BI132" i="37"/>
  <c r="BI201" i="37"/>
  <c r="BI238" i="37"/>
  <c r="BJ135" i="37"/>
  <c r="BJ204" i="37"/>
  <c r="BJ241" i="37"/>
  <c r="BJ18" i="37"/>
  <c r="BI30" i="37"/>
  <c r="BH183" i="37"/>
  <c r="BH220" i="37"/>
  <c r="BH137" i="37"/>
  <c r="BH138" i="37"/>
  <c r="BH111" i="37"/>
  <c r="BJ31" i="37"/>
  <c r="BJ16" i="37"/>
  <c r="BJ33" i="37"/>
  <c r="BJ132" i="37"/>
  <c r="BJ201" i="37"/>
  <c r="BJ238" i="37"/>
  <c r="BI13" i="37"/>
  <c r="BI28" i="37"/>
  <c r="BK106" i="37"/>
  <c r="BK108" i="37"/>
  <c r="BK126" i="37"/>
  <c r="BK195" i="37"/>
  <c r="BK232" i="37"/>
  <c r="BK132" i="37"/>
  <c r="BK201" i="37"/>
  <c r="BK238" i="37"/>
  <c r="BK22" i="37"/>
  <c r="BK135" i="37"/>
  <c r="BK204" i="37"/>
  <c r="BK241" i="37"/>
  <c r="BK33" i="37"/>
  <c r="BL97" i="37"/>
  <c r="BL96" i="37"/>
  <c r="BL128" i="37"/>
  <c r="BL197" i="37"/>
  <c r="BL234" i="37"/>
  <c r="BL95" i="37"/>
  <c r="BL127" i="37"/>
  <c r="BL196" i="37"/>
  <c r="BL233" i="37"/>
  <c r="BI17" i="37"/>
  <c r="BI32" i="37"/>
  <c r="BK124" i="37"/>
  <c r="BK193" i="37"/>
  <c r="BK230" i="37"/>
  <c r="BK79" i="37"/>
  <c r="BJ21" i="37"/>
  <c r="BK18" i="37"/>
  <c r="BL92" i="37"/>
  <c r="BL93" i="37"/>
  <c r="BL125" i="37"/>
  <c r="BL194" i="37"/>
  <c r="BL231" i="37"/>
  <c r="BL94" i="37"/>
  <c r="BI12" i="37"/>
  <c r="BI27" i="37"/>
  <c r="BK129" i="37"/>
  <c r="BK198" i="37"/>
  <c r="BK235" i="37"/>
  <c r="BK16" i="37"/>
  <c r="BK31" i="37"/>
  <c r="BJ114" i="37"/>
  <c r="BJ120" i="37"/>
  <c r="BJ189" i="37"/>
  <c r="BJ226" i="37"/>
  <c r="BJ117" i="37"/>
  <c r="BJ186" i="37"/>
  <c r="BJ223" i="37"/>
  <c r="BJ123" i="37"/>
  <c r="BJ192" i="37"/>
  <c r="BJ229" i="37"/>
  <c r="BL101" i="37"/>
  <c r="BL133" i="37"/>
  <c r="BL202" i="37"/>
  <c r="BL239" i="37"/>
  <c r="BL103" i="37"/>
  <c r="BL102" i="37"/>
  <c r="BL134" i="37"/>
  <c r="BL203" i="37"/>
  <c r="BL240" i="37"/>
  <c r="BI183" i="37"/>
  <c r="BI220" i="37"/>
  <c r="BI137" i="37"/>
  <c r="BI138" i="37"/>
  <c r="BI111" i="37"/>
  <c r="BH23" i="37"/>
  <c r="BH11" i="37"/>
  <c r="BH10" i="37"/>
  <c r="BH26" i="37"/>
  <c r="BH25" i="37"/>
  <c r="BH217" i="37"/>
  <c r="BG10" i="37"/>
  <c r="BJ126" i="37"/>
  <c r="BJ195" i="37"/>
  <c r="BJ232" i="37"/>
  <c r="BJ15" i="37"/>
  <c r="BL99" i="37"/>
  <c r="BL131" i="37"/>
  <c r="BL200" i="37"/>
  <c r="BL237" i="37"/>
  <c r="BL98" i="37"/>
  <c r="BL130" i="37"/>
  <c r="BL199" i="37"/>
  <c r="BL236" i="37"/>
  <c r="BL100" i="37"/>
  <c r="BI14" i="37"/>
  <c r="BI29" i="37"/>
  <c r="BI16" i="37"/>
  <c r="BI31" i="37"/>
  <c r="BG25" i="37"/>
  <c r="BN8" i="37"/>
  <c r="BM67" i="37"/>
  <c r="BM73" i="37"/>
  <c r="BM66" i="37"/>
  <c r="BM72" i="37"/>
  <c r="BM65" i="37"/>
  <c r="BM71" i="37"/>
  <c r="BM68" i="37"/>
  <c r="BM74" i="37"/>
  <c r="BK32" i="37"/>
  <c r="BK17" i="37"/>
  <c r="BL106" i="37"/>
  <c r="BL108" i="37"/>
  <c r="BL135" i="37"/>
  <c r="BL204" i="37"/>
  <c r="BL241" i="37"/>
  <c r="BL33" i="37"/>
  <c r="BJ30" i="37"/>
  <c r="BM94" i="37"/>
  <c r="BM92" i="37"/>
  <c r="BM93" i="37"/>
  <c r="BM125" i="37"/>
  <c r="BM194" i="37"/>
  <c r="BM231" i="37"/>
  <c r="BL129" i="37"/>
  <c r="BL198" i="37"/>
  <c r="BL235" i="37"/>
  <c r="BJ17" i="37"/>
  <c r="BJ32" i="37"/>
  <c r="BL16" i="37"/>
  <c r="BL31" i="37"/>
  <c r="BM97" i="37"/>
  <c r="BM95" i="37"/>
  <c r="BM127" i="37"/>
  <c r="BM196" i="37"/>
  <c r="BM233" i="37"/>
  <c r="BM96" i="37"/>
  <c r="BM128" i="37"/>
  <c r="BM197" i="37"/>
  <c r="BM234" i="37"/>
  <c r="BH20" i="37"/>
  <c r="BJ29" i="37"/>
  <c r="BJ14" i="37"/>
  <c r="BL126" i="37"/>
  <c r="BL195" i="37"/>
  <c r="BL232" i="37"/>
  <c r="BL132" i="37"/>
  <c r="BL201" i="37"/>
  <c r="BL238" i="37"/>
  <c r="BJ12" i="37"/>
  <c r="BJ27" i="37"/>
  <c r="BL22" i="37"/>
  <c r="BK15" i="37"/>
  <c r="BK30" i="37"/>
  <c r="BK21" i="37"/>
  <c r="BM103" i="37"/>
  <c r="BM102" i="37"/>
  <c r="BM134" i="37"/>
  <c r="BM203" i="37"/>
  <c r="BM240" i="37"/>
  <c r="BM101" i="37"/>
  <c r="BM133" i="37"/>
  <c r="BM202" i="37"/>
  <c r="BM239" i="37"/>
  <c r="BN65" i="37"/>
  <c r="BN71" i="37"/>
  <c r="BN67" i="37"/>
  <c r="BN73" i="37"/>
  <c r="BN68" i="37"/>
  <c r="BN74" i="37"/>
  <c r="BN66" i="37"/>
  <c r="BN72" i="37"/>
  <c r="BJ13" i="37"/>
  <c r="BJ28" i="37"/>
  <c r="BL124" i="37"/>
  <c r="BL193" i="37"/>
  <c r="BL230" i="37"/>
  <c r="BL79" i="37"/>
  <c r="BL18" i="37"/>
  <c r="BM99" i="37"/>
  <c r="BM131" i="37"/>
  <c r="BM200" i="37"/>
  <c r="BM237" i="37"/>
  <c r="BM98" i="37"/>
  <c r="BM130" i="37"/>
  <c r="BM199" i="37"/>
  <c r="BM236" i="37"/>
  <c r="BM100" i="37"/>
  <c r="BI23" i="37"/>
  <c r="BI20" i="37"/>
  <c r="BI26" i="37"/>
  <c r="BI11" i="37"/>
  <c r="BI10" i="37"/>
  <c r="BI217" i="37"/>
  <c r="BJ183" i="37"/>
  <c r="BJ220" i="37"/>
  <c r="BJ137" i="37"/>
  <c r="BJ138" i="37"/>
  <c r="BJ111" i="37"/>
  <c r="BK123" i="37"/>
  <c r="BK192" i="37"/>
  <c r="BK229" i="37"/>
  <c r="BK120" i="37"/>
  <c r="BK189" i="37"/>
  <c r="BK226" i="37"/>
  <c r="BK114" i="37"/>
  <c r="BK117" i="37"/>
  <c r="BK186" i="37"/>
  <c r="BK223" i="37"/>
  <c r="BL17" i="37"/>
  <c r="BL32" i="37"/>
  <c r="BN101" i="37"/>
  <c r="BN133" i="37"/>
  <c r="BN202" i="37"/>
  <c r="BN239" i="37"/>
  <c r="BN102" i="37"/>
  <c r="BN134" i="37"/>
  <c r="BN203" i="37"/>
  <c r="BN240" i="37"/>
  <c r="BN103" i="37"/>
  <c r="BN100" i="37"/>
  <c r="BN98" i="37"/>
  <c r="BN130" i="37"/>
  <c r="BN199" i="37"/>
  <c r="BN236" i="37"/>
  <c r="BN99" i="37"/>
  <c r="BN131" i="37"/>
  <c r="BN200" i="37"/>
  <c r="BN237" i="37"/>
  <c r="BN96" i="37"/>
  <c r="BN128" i="37"/>
  <c r="BN197" i="37"/>
  <c r="BN234" i="37"/>
  <c r="BN97" i="37"/>
  <c r="BN95" i="37"/>
  <c r="BN127" i="37"/>
  <c r="BN196" i="37"/>
  <c r="BN233" i="37"/>
  <c r="BJ23" i="37"/>
  <c r="BJ20" i="37"/>
  <c r="BJ217" i="37"/>
  <c r="BJ11" i="37"/>
  <c r="BJ10" i="37"/>
  <c r="BJ26" i="37"/>
  <c r="BJ25" i="37"/>
  <c r="BK27" i="37"/>
  <c r="BK12" i="37"/>
  <c r="BI25" i="37"/>
  <c r="BM22" i="37"/>
  <c r="BK183" i="37"/>
  <c r="BK220" i="37"/>
  <c r="BK137" i="37"/>
  <c r="BK138" i="37"/>
  <c r="BK111" i="37"/>
  <c r="BL15" i="37"/>
  <c r="BL30" i="37"/>
  <c r="BL21" i="37"/>
  <c r="BM124" i="37"/>
  <c r="BM193" i="37"/>
  <c r="BM230" i="37"/>
  <c r="BM79" i="37"/>
  <c r="BN92" i="37"/>
  <c r="BN93" i="37"/>
  <c r="BN125" i="37"/>
  <c r="BN194" i="37"/>
  <c r="BN231" i="37"/>
  <c r="BN22" i="37"/>
  <c r="BN94" i="37"/>
  <c r="BK13" i="37"/>
  <c r="BK28" i="37"/>
  <c r="BK14" i="37"/>
  <c r="BK29" i="37"/>
  <c r="BL117" i="37"/>
  <c r="BL186" i="37"/>
  <c r="BL223" i="37"/>
  <c r="BL120" i="37"/>
  <c r="BL189" i="37"/>
  <c r="BL226" i="37"/>
  <c r="BL123" i="37"/>
  <c r="BL192" i="37"/>
  <c r="BL229" i="37"/>
  <c r="BL114" i="37"/>
  <c r="BM106" i="37"/>
  <c r="BM108" i="37"/>
  <c r="BM126" i="37"/>
  <c r="BM195" i="37"/>
  <c r="BM232" i="37"/>
  <c r="BQ22" i="37"/>
  <c r="BP22" i="37"/>
  <c r="BT22" i="37"/>
  <c r="BL13" i="37"/>
  <c r="BL28" i="37"/>
  <c r="BN106" i="37"/>
  <c r="BN108" i="37"/>
  <c r="BN129" i="37"/>
  <c r="BN198" i="37"/>
  <c r="BN235" i="37"/>
  <c r="BM135" i="37"/>
  <c r="BM204" i="37"/>
  <c r="BM241" i="37"/>
  <c r="BN124" i="37"/>
  <c r="BN193" i="37"/>
  <c r="BN230" i="37"/>
  <c r="BN79" i="37"/>
  <c r="BL27" i="37"/>
  <c r="BL12" i="37"/>
  <c r="BM114" i="37"/>
  <c r="BM120" i="37"/>
  <c r="BM189" i="37"/>
  <c r="BM226" i="37"/>
  <c r="BM117" i="37"/>
  <c r="BM186" i="37"/>
  <c r="BM223" i="37"/>
  <c r="BM123" i="37"/>
  <c r="BM192" i="37"/>
  <c r="BM229" i="37"/>
  <c r="BM15" i="37"/>
  <c r="BM30" i="37"/>
  <c r="BM21" i="37"/>
  <c r="BL14" i="37"/>
  <c r="BL29" i="37"/>
  <c r="BK23" i="37"/>
  <c r="BK20" i="37"/>
  <c r="BK26" i="37"/>
  <c r="BK25" i="37"/>
  <c r="BK217" i="37"/>
  <c r="BK11" i="37"/>
  <c r="BK10" i="37"/>
  <c r="BM129" i="37"/>
  <c r="BM198" i="37"/>
  <c r="BM235" i="37"/>
  <c r="BL183" i="37"/>
  <c r="BL220" i="37"/>
  <c r="BL137" i="37"/>
  <c r="BL138" i="37"/>
  <c r="BL111" i="37"/>
  <c r="BM132" i="37"/>
  <c r="BM201" i="37"/>
  <c r="BM238" i="37"/>
  <c r="BN16" i="37"/>
  <c r="BN31" i="37"/>
  <c r="BM13" i="37"/>
  <c r="BM28" i="37"/>
  <c r="BN126" i="37"/>
  <c r="BN195" i="37"/>
  <c r="BN232" i="37"/>
  <c r="BN30" i="37"/>
  <c r="BN21" i="37"/>
  <c r="BM33" i="37"/>
  <c r="BM18" i="37"/>
  <c r="BM12" i="37"/>
  <c r="BM27" i="37"/>
  <c r="BN114" i="37"/>
  <c r="BN117" i="37"/>
  <c r="BN186" i="37"/>
  <c r="BN223" i="37"/>
  <c r="BN123" i="37"/>
  <c r="BN192" i="37"/>
  <c r="BN229" i="37"/>
  <c r="BN120" i="37"/>
  <c r="BN189" i="37"/>
  <c r="BN226" i="37"/>
  <c r="BM16" i="37"/>
  <c r="BM31" i="37"/>
  <c r="BN15" i="37"/>
  <c r="BL23" i="37"/>
  <c r="BL20" i="37"/>
  <c r="BL217" i="37"/>
  <c r="BL26" i="37"/>
  <c r="BL25" i="37"/>
  <c r="BL11" i="37"/>
  <c r="BL10" i="37"/>
  <c r="BM17" i="37"/>
  <c r="BM32" i="37"/>
  <c r="BM183" i="37"/>
  <c r="BM220" i="37"/>
  <c r="BM137" i="37"/>
  <c r="BM138" i="37"/>
  <c r="BM111" i="37"/>
  <c r="BN132" i="37"/>
  <c r="BN201" i="37"/>
  <c r="BN238" i="37"/>
  <c r="BM29" i="37"/>
  <c r="BM14" i="37"/>
  <c r="BN135" i="37"/>
  <c r="BN204" i="37"/>
  <c r="BN241" i="37"/>
  <c r="BQ15" i="37"/>
  <c r="BP15" i="37"/>
  <c r="BT15" i="37"/>
  <c r="BQ21" i="37"/>
  <c r="BT21" i="37"/>
  <c r="BN28" i="37"/>
  <c r="BN13" i="37"/>
  <c r="BN12" i="37"/>
  <c r="BN27" i="37"/>
  <c r="BN183" i="37"/>
  <c r="BN220" i="37"/>
  <c r="BN137" i="37"/>
  <c r="BN111" i="37"/>
  <c r="BN32" i="37"/>
  <c r="BN17" i="37"/>
  <c r="BQ30" i="37"/>
  <c r="BP30" i="37"/>
  <c r="BT30" i="37"/>
  <c r="BM23" i="37"/>
  <c r="BM20" i="37"/>
  <c r="BM26" i="37"/>
  <c r="BM25" i="37"/>
  <c r="BM11" i="37"/>
  <c r="BM10" i="37"/>
  <c r="BM217" i="37"/>
  <c r="BQ31" i="37"/>
  <c r="BP31" i="37"/>
  <c r="BT31" i="37"/>
  <c r="BN14" i="37"/>
  <c r="BN29" i="37"/>
  <c r="BN33" i="37"/>
  <c r="BN18" i="37"/>
  <c r="BP16" i="37"/>
  <c r="BQ16" i="37"/>
  <c r="BT16" i="37"/>
  <c r="BP13" i="37"/>
  <c r="BQ13" i="37"/>
  <c r="BT13" i="37"/>
  <c r="BQ17" i="37"/>
  <c r="BT17" i="37"/>
  <c r="BP28" i="37"/>
  <c r="BQ28" i="37"/>
  <c r="BT28" i="37"/>
  <c r="BQ33" i="37"/>
  <c r="BP33" i="37"/>
  <c r="BT33" i="37"/>
  <c r="BN138" i="37"/>
  <c r="E137" i="37"/>
  <c r="BP29" i="37"/>
  <c r="BQ29" i="37"/>
  <c r="BT29" i="37"/>
  <c r="BN23" i="37"/>
  <c r="BN217" i="37"/>
  <c r="BN26" i="37"/>
  <c r="BN11" i="37"/>
  <c r="BP32" i="37"/>
  <c r="BQ32" i="37"/>
  <c r="BT32" i="37"/>
  <c r="BP27" i="37"/>
  <c r="BQ27" i="37"/>
  <c r="BT27" i="37"/>
  <c r="BQ18" i="37"/>
  <c r="BT18" i="37"/>
  <c r="BQ14" i="37"/>
  <c r="BP14" i="37"/>
  <c r="BT14" i="37"/>
  <c r="BP12" i="37"/>
  <c r="BQ12" i="37"/>
  <c r="BT12" i="37"/>
  <c r="BN10" i="37"/>
  <c r="BQ11" i="37"/>
  <c r="BQ10" i="37"/>
  <c r="BT11" i="37"/>
  <c r="BT10" i="37"/>
  <c r="BN25" i="37"/>
  <c r="BQ26" i="37"/>
  <c r="BQ25" i="37"/>
  <c r="BT26" i="37"/>
  <c r="BT25" i="37"/>
  <c r="BQ23" i="37"/>
  <c r="BQ20" i="37"/>
  <c r="BP23" i="37"/>
  <c r="BP20" i="37"/>
  <c r="BT23" i="37"/>
  <c r="BT20" i="37"/>
  <c r="BN20" i="37"/>
  <c r="BP10" i="37"/>
  <c r="BP25" i="3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<sst xmlns="http://schemas.openxmlformats.org/spreadsheetml/2006/main" count="316" uniqueCount="138">
  <si>
    <t>Month</t>
  </si>
  <si>
    <t>Volume</t>
  </si>
  <si>
    <t>Company Name:</t>
  </si>
  <si>
    <t>Fashion Boutique</t>
  </si>
  <si>
    <t>1. Store Data</t>
  </si>
  <si>
    <t>#</t>
  </si>
  <si>
    <t>Store</t>
  </si>
  <si>
    <t>Country</t>
  </si>
  <si>
    <t>Currency</t>
  </si>
  <si>
    <t>Opening Month</t>
  </si>
  <si>
    <t>MOO</t>
  </si>
  <si>
    <t>Capacity</t>
  </si>
  <si>
    <t>Paris</t>
  </si>
  <si>
    <t>France</t>
  </si>
  <si>
    <t>EUR</t>
  </si>
  <si>
    <t>1 = first month of operations, 2 = second month of operations, …</t>
  </si>
  <si>
    <t>Milano</t>
  </si>
  <si>
    <t>Italy</t>
  </si>
  <si>
    <t>Madrid</t>
  </si>
  <si>
    <t>Spain</t>
  </si>
  <si>
    <t>London</t>
  </si>
  <si>
    <t>UK</t>
  </si>
  <si>
    <t>GBP</t>
  </si>
  <si>
    <t>New York</t>
  </si>
  <si>
    <t>US</t>
  </si>
  <si>
    <t>USD</t>
  </si>
  <si>
    <t>Montreal</t>
  </si>
  <si>
    <t>Canada</t>
  </si>
  <si>
    <t>CAD</t>
  </si>
  <si>
    <t>Zurich</t>
  </si>
  <si>
    <t>Switzerland</t>
  </si>
  <si>
    <t>CHF</t>
  </si>
  <si>
    <t>Moscow</t>
  </si>
  <si>
    <t>Russia</t>
  </si>
  <si>
    <t>RUB</t>
  </si>
  <si>
    <t>2. Unit Sales per Month - Base Case</t>
  </si>
  <si>
    <t>Women's</t>
  </si>
  <si>
    <t>Men's</t>
  </si>
  <si>
    <t>Accessories</t>
  </si>
  <si>
    <t>Same as</t>
  </si>
  <si>
    <t>3. Maximum Unit Sales Capacity per Month</t>
  </si>
  <si>
    <t>Max Capacity</t>
  </si>
  <si>
    <t>4. Average Local Currency Prices - Base Case</t>
  </si>
  <si>
    <t>5. Sales Seasonality</t>
  </si>
  <si>
    <t>Discount</t>
  </si>
  <si>
    <t>6. FX Rates to EUR</t>
  </si>
  <si>
    <t>7. Inflation Rates</t>
  </si>
  <si>
    <t>n.a.</t>
  </si>
  <si>
    <t>Check</t>
  </si>
  <si>
    <t>MOO = Month of Operations (for a new store)</t>
  </si>
  <si>
    <t>Monthly Data</t>
  </si>
  <si>
    <t>Annual Summaries</t>
  </si>
  <si>
    <t>Start Date</t>
  </si>
  <si>
    <t>End Date</t>
  </si>
  <si>
    <t>Year</t>
  </si>
  <si>
    <t>Period #</t>
  </si>
  <si>
    <t>Total Sales by Store</t>
  </si>
  <si>
    <t>Total Sales by Category</t>
  </si>
  <si>
    <t>Total Sales by Country</t>
  </si>
  <si>
    <t>A. Support Calculations. Unit Sales</t>
  </si>
  <si>
    <t>Unit Sales - Base Case (Before Seasonality and MOO Adjustments)</t>
  </si>
  <si>
    <t>Type</t>
  </si>
  <si>
    <t>New Store MOO</t>
  </si>
  <si>
    <t>New Store Capacity</t>
  </si>
  <si>
    <t>Sales Seasonality</t>
  </si>
  <si>
    <t>Possible Unit Sales</t>
  </si>
  <si>
    <t>Max Unit Sales</t>
  </si>
  <si>
    <t>Pro-Rata Allocation</t>
  </si>
  <si>
    <t>Total Unit Sales After Capacity Adjustments</t>
  </si>
  <si>
    <t>B. Support Calculations. Nominal Sales</t>
  </si>
  <si>
    <t>Nominal Local Currency Prices - Base Case (Before Discount and Inflation Adjustments)</t>
  </si>
  <si>
    <t>Monthly Discount</t>
  </si>
  <si>
    <t>Inflation Indices</t>
  </si>
  <si>
    <t>Nominal Local Currency Sales</t>
  </si>
  <si>
    <t>FX Rates</t>
  </si>
  <si>
    <t>Nominal Reporting Currency Sales (EUR)</t>
  </si>
  <si>
    <t>Unit Sales Before Capacity Adjustments</t>
  </si>
  <si>
    <t>Model periods:</t>
  </si>
  <si>
    <t>Model topic</t>
  </si>
  <si>
    <t>Revenue</t>
  </si>
  <si>
    <t>TIME</t>
  </si>
  <si>
    <t>Model period beginning</t>
  </si>
  <si>
    <t>Unit</t>
  </si>
  <si>
    <t>Total</t>
  </si>
  <si>
    <t>Constant</t>
  </si>
  <si>
    <t>date</t>
  </si>
  <si>
    <t>Model period ending</t>
  </si>
  <si>
    <t>Model period counter</t>
  </si>
  <si>
    <t>counter</t>
  </si>
  <si>
    <t>Model periodic counter</t>
  </si>
  <si>
    <t>Model start date</t>
  </si>
  <si>
    <t>TIME SCHEDULE</t>
  </si>
  <si>
    <t>Operating flag</t>
  </si>
  <si>
    <t>month</t>
  </si>
  <si>
    <t>Capacity flag</t>
  </si>
  <si>
    <t>VOLUME SCHEDULE</t>
  </si>
  <si>
    <t>units</t>
  </si>
  <si>
    <t xml:space="preserve"> </t>
  </si>
  <si>
    <t>Total maximum demand</t>
  </si>
  <si>
    <t>Capacity constraint</t>
  </si>
  <si>
    <t>%</t>
  </si>
  <si>
    <t>End of schedule</t>
  </si>
  <si>
    <t>Accessories (capacity constrained)</t>
  </si>
  <si>
    <t>PRICE SCHEDULE</t>
  </si>
  <si>
    <t>SECTION 2: UNIT SALES</t>
  </si>
  <si>
    <t>SECTION 3: MAXIMUM UNIT CAPACITY</t>
  </si>
  <si>
    <t>SECTION 1: STORE DATA</t>
  </si>
  <si>
    <t>SECTION 6: AVERAGE PRICE IN CONSOLIDATION CURRENCY</t>
  </si>
  <si>
    <t>REVENUE SCHEDULE</t>
  </si>
  <si>
    <t>MONTHLY REVENUE</t>
  </si>
  <si>
    <t>SECTION 4, 5 AND 7: AVERAGE LOCAL CURRENCY PRICE ADJUSTED FOR SEASONALITY AND INFLATION</t>
  </si>
  <si>
    <t>iii. Total sales split by country</t>
  </si>
  <si>
    <t>Total sales split by country</t>
  </si>
  <si>
    <t>ii. Total sales split by category</t>
  </si>
  <si>
    <t>Total sales split by category</t>
  </si>
  <si>
    <t>i Total sales</t>
  </si>
  <si>
    <t>ANNUAL REVENUE</t>
  </si>
  <si>
    <t>Calendar year</t>
  </si>
  <si>
    <t>years</t>
  </si>
  <si>
    <t>Annual timeline</t>
  </si>
  <si>
    <t>NOTES</t>
  </si>
  <si>
    <t>GENERAL NOTES</t>
  </si>
  <si>
    <t>- keeping arrays of similar size throughout the model pays off</t>
  </si>
  <si>
    <t>- need more practice with da formulas for Time sheet</t>
  </si>
  <si>
    <t>COMPOUNDED INFLATION</t>
  </si>
  <si>
    <t>• bug in original Price!J8: IF(rate="n.a.",1, 1*(1+rate)) only applies the current year's rate once, so each year resets to 1 instead of compounding</t>
  </si>
  <si>
    <t>• correct logic (per CaseSolution): inflation index = product of (1 + rate) for every year from start through the current year</t>
  </si>
  <si>
    <t>• key insight: the column axis is SEQUENTIAL (year j depends on year j-1), not independent — so BYROW / BYCOL / MAP don't work, because they require scalar returns and treat elements in isolation</t>
  </si>
  <si>
    <t>• SCAN is the right primitive: SCAN(1, rates_row, LAMBDA(s,c, s*(1+c))) carries the accumulator forward along one dimension</t>
  </si>
  <si>
    <t>• to spill the full grid (currencies × years), wrap SCAN in MAKEARRAY: each (i,j) call re-runs SCAN over row i and picks element j</t>
  </si>
  <si>
    <t>• MAKEARRAY(rows, cols, LAMBDA(i,j, ...)): Excel calls the LAMBDA once per output cell, passing in row index i and column index j</t>
  </si>
  <si>
    <t>• final formula in CaseData!I86 spills 6×5 grid; lookup against currency/year happens at the consumer (e.g. Price!J8), not inside the grid formula</t>
  </si>
  <si>
    <t>PRICE FORMULA</t>
  </si>
  <si>
    <t>- unified operating flag. Very useful.</t>
  </si>
  <si>
    <t>- calculation of the unit price at each store</t>
  </si>
  <si>
    <t>- calculation of the discount, XLOOKUP</t>
  </si>
  <si>
    <t>- calculation of the compounded inflation</t>
  </si>
  <si>
    <r>
      <t xml:space="preserve">- </t>
    </r>
    <r>
      <rPr>
        <b/>
        <sz val="9.35"/>
        <color theme="1"/>
        <rFont val="Arial"/>
        <family val="2"/>
      </rPr>
      <t>this is the most important formula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</si>
</sst>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0.0%"/>
    <numFmt numFmtId="178" formatCode="mmm"/>
    <numFmt numFmtId="179" formatCode="0%;\(0%\);\-"/>
    <numFmt numFmtId="180" formatCode="0.0000"/>
    <numFmt numFmtId="181" formatCode="#,##0.0000"/>
    <numFmt numFmtId="182" formatCode="0.0%;\(0.0%\);\-"/>
    <numFmt numFmtId="183" formatCode="#,##0_);\(#,##0\);\–_);General_)"/>
    <numFmt numFmtId="184" formatCode="0.0%;\(0.0%\);\–_%"/>
    <numFmt numFmtId="185" formatCode="0%;\(0%\);\–_%"/>
    <numFmt numFmtId="186" formatCode="#,##0.0000_);\(#,##0.0000\);\–_);General_)"/>
    <numFmt numFmtId="187" formatCode="#,##0_);\(#,##0\);&quot;-  &quot;;&quot; &quot;@"/>
    <numFmt numFmtId="188" formatCode="0.00%\ ;\-0.00%\ _);&quot;-  &quot;;&quot; &quot;@&quot; &quot;"/>
    <numFmt numFmtId="189" formatCode="#,##0.0000_);\(#,##0.0000\);&quot;-  &quot;;&quot; &quot;@&quot; &quot;"/>
    <numFmt numFmtId="190" formatCode="dd\ mmm\ yyyy_);\(###0\);&quot;-  &quot;;&quot; &quot;@&quot; &quot;"/>
    <numFmt numFmtId="191" formatCode="dd\ mmm\ yy_);\(###0\);&quot;-  &quot;;&quot; &quot;@&quot; &quot;"/>
    <numFmt numFmtId="192" formatCode="###0_);\(###0\);&quot;-  &quot;;&quot; &quot;@&quot; &quot;"/>
  </numFmts>
  <fonts count="46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rgb="FF3F3F76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u/>
      <sz val="11"/>
      <color theme="1"/>
      <name val="Arial"/>
      <family val="2"/>
    </font>
    <font>
      <sz val="45"/>
      <color theme="3"/>
      <name val="Arial"/>
      <family val="2"/>
    </font>
    <font>
      <sz val="35"/>
      <color theme="1"/>
      <name val="Arial"/>
      <family val="2"/>
    </font>
    <font>
      <b/>
      <sz val="11"/>
      <color theme="1"/>
      <name val="Arial"/>
      <family val="2"/>
    </font>
    <font>
      <b/>
      <sz val="9.35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/>
      <bottom style="thin">
        <color rgb="FF7F7F7F"/>
      </bottom>
      <diagonal/>
    </border>
    <border>
      <left style="thin">
        <color indexed="64"/>
      </left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</borders>
  <cellStyleXfs count="56">
    <xf numFmtId="187" fontId="0" fillId="0" borderId="0" applyFont="0" applyFill="0" applyBorder="0" applyProtection="0">
      <alignment vertical="top"/>
    </xf>
    <xf numFmtId="0" fontId="2" fillId="0" borderId="0"/>
    <xf numFmtId="165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4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6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8" fontId="1" fillId="0" borderId="0" applyBorder="0"/>
    <xf numFmtId="4" fontId="7" fillId="4" borderId="2">
      <alignment horizontal="left"/>
    </xf>
    <xf numFmtId="167" fontId="11" fillId="0" borderId="0" applyFill="0" applyBorder="0"/>
    <xf numFmtId="168" fontId="9" fillId="0" borderId="0" applyBorder="0"/>
    <xf numFmtId="0" fontId="12" fillId="0" borderId="0" applyNumberFormat="0" applyFill="0" applyBorder="0">
      <alignment horizontal="right"/>
    </xf>
    <xf numFmtId="168" fontId="12" fillId="5" borderId="8">
      <protection locked="0"/>
    </xf>
    <xf numFmtId="169" fontId="12" fillId="5" borderId="8">
      <protection locked="0"/>
    </xf>
    <xf numFmtId="170" fontId="12" fillId="5" borderId="8">
      <protection locked="0"/>
    </xf>
    <xf numFmtId="171" fontId="1" fillId="0" borderId="0" applyBorder="0"/>
    <xf numFmtId="171" fontId="12" fillId="5" borderId="8">
      <protection locked="0"/>
    </xf>
    <xf numFmtId="168" fontId="12" fillId="0" borderId="8"/>
    <xf numFmtId="15" fontId="8" fillId="0" borderId="0" applyFill="0" applyBorder="0" applyAlignment="0"/>
    <xf numFmtId="172" fontId="13" fillId="0" borderId="9">
      <alignment horizontal="center"/>
    </xf>
    <xf numFmtId="168" fontId="14" fillId="7" borderId="0" applyBorder="0" applyAlignment="0"/>
    <xf numFmtId="172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7" fontId="18" fillId="6" borderId="8" applyNumberFormat="0" applyAlignment="0">
      <protection locked="0"/>
    </xf>
    <xf numFmtId="173" fontId="19" fillId="5" borderId="8">
      <alignment horizontal="center"/>
      <protection locked="0"/>
    </xf>
    <xf numFmtId="174" fontId="19" fillId="5" borderId="8">
      <alignment horizontal="center"/>
      <protection locked="0"/>
    </xf>
    <xf numFmtId="169" fontId="1" fillId="0" borderId="0" applyBorder="0"/>
    <xf numFmtId="174" fontId="20" fillId="0" borderId="11" applyFill="0">
      <alignment horizontal="center"/>
    </xf>
    <xf numFmtId="173" fontId="19" fillId="0" borderId="11">
      <alignment horizontal="center"/>
    </xf>
    <xf numFmtId="170" fontId="2" fillId="0" borderId="0" applyFill="0" applyBorder="0" applyAlignment="0"/>
    <xf numFmtId="168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5" fontId="1" fillId="0" borderId="0" applyBorder="0"/>
    <xf numFmtId="176" fontId="1" fillId="0" borderId="0" applyBorder="0"/>
    <xf numFmtId="175" fontId="12" fillId="5" borderId="8">
      <protection locked="0"/>
    </xf>
    <xf numFmtId="0" fontId="25" fillId="2" borderId="7" applyNumberFormat="0" applyAlignment="0" applyProtection="0"/>
    <xf numFmtId="165" fontId="22" fillId="0" borderId="0" applyFont="0" applyFill="0" applyBorder="0" applyAlignment="0" applyProtection="0"/>
    <xf numFmtId="0" fontId="29" fillId="2" borderId="7" applyNumberFormat="0" applyAlignment="0" applyProtection="0"/>
    <xf numFmtId="4" fontId="7" fillId="4" borderId="28">
      <alignment horizontal="left"/>
    </xf>
    <xf numFmtId="188" fontId="24" fillId="0" borderId="0" applyFont="0" applyFill="0" applyBorder="0" applyProtection="0">
      <alignment vertical="top"/>
    </xf>
    <xf numFmtId="189" fontId="24" fillId="0" borderId="0" applyFont="0" applyFill="0" applyBorder="0" applyProtection="0">
      <alignment vertical="top"/>
    </xf>
    <xf numFmtId="190" fontId="24" fillId="0" borderId="0" applyFont="0" applyFill="0" applyBorder="0" applyProtection="0">
      <alignment vertical="top"/>
    </xf>
    <xf numFmtId="191" fontId="24" fillId="0" borderId="0" applyFont="0" applyFill="0" applyBorder="0" applyProtection="0">
      <alignment vertical="top"/>
    </xf>
    <xf numFmtId="192" fontId="24" fillId="0" borderId="0" applyFont="0" applyFill="0" applyBorder="0" applyProtection="0">
      <alignment vertical="top"/>
    </xf>
  </cellStyleXfs>
  <cellXfs count="123">
    <xf numFmtId="187" fontId="0" fillId="0" borderId="0" xfId="0">
      <alignment vertical="top"/>
    </xf>
    <xf numFmtId="187" fontId="0" fillId="0" borderId="12" xfId="0" applyBorder="1">
      <alignment vertical="top"/>
    </xf>
    <xf numFmtId="187" fontId="26" fillId="10" borderId="18" xfId="0" applyFont="1" applyFill="1" applyBorder="1">
      <alignment vertical="top"/>
    </xf>
    <xf numFmtId="187" fontId="27" fillId="0" borderId="0" xfId="0" applyFont="1">
      <alignment vertical="top"/>
    </xf>
    <xf numFmtId="15" fontId="28" fillId="0" borderId="0" xfId="47" applyNumberFormat="1" applyFont="1" applyFill="1" applyBorder="1" applyAlignment="1">
      <alignment horizontal="center"/>
    </xf>
    <xf numFmtId="187" fontId="27" fillId="0" borderId="1" xfId="0" applyFont="1" applyBorder="1" applyAlignment="1">
      <alignment horizontal="center"/>
    </xf>
    <xf numFmtId="187" fontId="27" fillId="0" borderId="1" xfId="0" applyFont="1" applyBorder="1">
      <alignment vertical="top"/>
    </xf>
    <xf numFmtId="187" fontId="0" fillId="0" borderId="13" xfId="0" applyBorder="1" applyAlignment="1">
      <alignment horizontal="center"/>
    </xf>
    <xf numFmtId="15" fontId="28" fillId="11" borderId="19" xfId="47" applyNumberFormat="1" applyFont="1" applyFill="1" applyBorder="1" applyAlignment="1">
      <alignment horizontal="left"/>
    </xf>
    <xf numFmtId="15" fontId="28" fillId="11" borderId="19" xfId="47" applyNumberFormat="1" applyFont="1" applyFill="1" applyBorder="1" applyAlignment="1">
      <alignment horizontal="center"/>
    </xf>
    <xf numFmtId="187" fontId="0" fillId="0" borderId="14" xfId="0" applyBorder="1">
      <alignment vertical="top"/>
    </xf>
    <xf numFmtId="177" fontId="28" fillId="11" borderId="20" xfId="47" applyNumberFormat="1" applyFont="1" applyFill="1" applyBorder="1" applyAlignment="1">
      <alignment horizontal="center"/>
    </xf>
    <xf numFmtId="187" fontId="0" fillId="0" borderId="16" xfId="0" applyBorder="1" applyAlignment="1">
      <alignment horizontal="center"/>
    </xf>
    <xf numFmtId="15" fontId="28" fillId="11" borderId="7" xfId="47" applyNumberFormat="1" applyFont="1" applyFill="1" applyAlignment="1">
      <alignment horizontal="left"/>
    </xf>
    <xf numFmtId="15" fontId="28" fillId="11" borderId="7" xfId="47" applyNumberFormat="1" applyFont="1" applyFill="1" applyAlignment="1">
      <alignment horizontal="center"/>
    </xf>
    <xf numFmtId="177" fontId="28" fillId="11" borderId="21" xfId="47" applyNumberFormat="1" applyFont="1" applyFill="1" applyBorder="1" applyAlignment="1">
      <alignment horizontal="center"/>
    </xf>
    <xf numFmtId="0" fontId="28" fillId="11" borderId="7" xfId="47" applyNumberFormat="1" applyFont="1" applyFill="1" applyAlignment="1">
      <alignment horizontal="center"/>
    </xf>
    <xf numFmtId="15" fontId="0" fillId="0" borderId="12" xfId="0" applyNumberFormat="1" applyBorder="1" applyAlignment="1">
      <alignment horizontal="center"/>
    </xf>
    <xf numFmtId="187" fontId="0" fillId="0" borderId="22" xfId="0" applyBorder="1" applyAlignment="1">
      <alignment horizontal="center"/>
    </xf>
    <xf numFmtId="15" fontId="28" fillId="11" borderId="23" xfId="47" applyNumberFormat="1" applyFont="1" applyFill="1" applyBorder="1" applyAlignment="1">
      <alignment horizontal="left"/>
    </xf>
    <xf numFmtId="15" fontId="28" fillId="11" borderId="23" xfId="47" applyNumberFormat="1" applyFont="1" applyFill="1" applyBorder="1" applyAlignment="1">
      <alignment horizontal="center"/>
    </xf>
    <xf numFmtId="0" fontId="28" fillId="11" borderId="23" xfId="47" applyNumberFormat="1" applyFont="1" applyFill="1" applyBorder="1" applyAlignment="1">
      <alignment horizontal="center"/>
    </xf>
    <xf numFmtId="15" fontId="0" fillId="0" borderId="24" xfId="0" applyNumberFormat="1" applyBorder="1" applyAlignment="1">
      <alignment horizontal="center"/>
    </xf>
    <xf numFmtId="177" fontId="28" fillId="11" borderId="24" xfId="47" applyNumberFormat="1" applyFont="1" applyFill="1" applyBorder="1" applyAlignment="1">
      <alignment horizontal="center"/>
    </xf>
    <xf numFmtId="187" fontId="0" fillId="0" borderId="0" xfId="0" applyAlignment="1">
      <alignment horizontal="center"/>
    </xf>
    <xf numFmtId="177" fontId="28" fillId="0" borderId="0" xfId="47" applyNumberFormat="1" applyFont="1" applyFill="1" applyBorder="1" applyAlignment="1">
      <alignment horizontal="center"/>
    </xf>
    <xf numFmtId="15" fontId="0" fillId="0" borderId="13" xfId="0" applyNumberFormat="1" applyBorder="1">
      <alignment vertical="top"/>
    </xf>
    <xf numFmtId="3" fontId="28" fillId="11" borderId="19" xfId="47" applyNumberFormat="1" applyFont="1" applyFill="1" applyBorder="1" applyAlignment="1">
      <alignment horizontal="center"/>
    </xf>
    <xf numFmtId="3" fontId="28" fillId="11" borderId="20" xfId="47" applyNumberFormat="1" applyFont="1" applyFill="1" applyBorder="1" applyAlignment="1">
      <alignment horizontal="center"/>
    </xf>
    <xf numFmtId="15" fontId="0" fillId="0" borderId="16" xfId="0" applyNumberFormat="1" applyBorder="1">
      <alignment vertical="top"/>
    </xf>
    <xf numFmtId="3" fontId="28" fillId="11" borderId="7" xfId="47" applyNumberFormat="1" applyFont="1" applyFill="1" applyAlignment="1">
      <alignment horizontal="center"/>
    </xf>
    <xf numFmtId="3" fontId="28" fillId="11" borderId="25" xfId="47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2" xfId="0" applyNumberFormat="1" applyBorder="1" applyAlignment="1">
      <alignment horizontal="center"/>
    </xf>
    <xf numFmtId="15" fontId="0" fillId="0" borderId="15" xfId="0" applyNumberFormat="1" applyBorder="1">
      <alignment vertical="top"/>
    </xf>
    <xf numFmtId="3" fontId="0" fillId="0" borderId="1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15" fontId="0" fillId="0" borderId="0" xfId="0" applyNumberFormat="1">
      <alignment vertical="top"/>
    </xf>
    <xf numFmtId="187" fontId="27" fillId="0" borderId="0" xfId="0" applyFont="1" applyAlignment="1">
      <alignment horizontal="left"/>
    </xf>
    <xf numFmtId="1" fontId="0" fillId="0" borderId="0" xfId="0" applyNumberFormat="1">
      <alignment vertical="top"/>
    </xf>
    <xf numFmtId="3" fontId="28" fillId="11" borderId="23" xfId="47" applyNumberFormat="1" applyFont="1" applyFill="1" applyBorder="1" applyAlignment="1">
      <alignment horizontal="center"/>
    </xf>
    <xf numFmtId="178" fontId="0" fillId="0" borderId="13" xfId="0" applyNumberFormat="1" applyBorder="1" applyAlignment="1">
      <alignment horizontal="center"/>
    </xf>
    <xf numFmtId="179" fontId="28" fillId="11" borderId="19" xfId="47" applyNumberFormat="1" applyFont="1" applyFill="1" applyBorder="1" applyAlignment="1">
      <alignment horizontal="center"/>
    </xf>
    <xf numFmtId="178" fontId="0" fillId="0" borderId="16" xfId="0" applyNumberFormat="1" applyBorder="1" applyAlignment="1">
      <alignment horizontal="center"/>
    </xf>
    <xf numFmtId="179" fontId="28" fillId="11" borderId="7" xfId="47" applyNumberFormat="1" applyFont="1" applyFill="1" applyAlignment="1">
      <alignment horizontal="center"/>
    </xf>
    <xf numFmtId="178" fontId="0" fillId="0" borderId="15" xfId="0" applyNumberFormat="1" applyBorder="1" applyAlignment="1">
      <alignment horizontal="center"/>
    </xf>
    <xf numFmtId="187" fontId="0" fillId="0" borderId="1" xfId="0" applyBorder="1" applyAlignment="1">
      <alignment horizontal="center"/>
    </xf>
    <xf numFmtId="179" fontId="28" fillId="11" borderId="23" xfId="47" applyNumberFormat="1" applyFont="1" applyFill="1" applyBorder="1" applyAlignment="1">
      <alignment horizontal="center"/>
    </xf>
    <xf numFmtId="15" fontId="0" fillId="0" borderId="13" xfId="0" applyNumberFormat="1" applyBorder="1" applyAlignment="1">
      <alignment horizontal="center"/>
    </xf>
    <xf numFmtId="180" fontId="0" fillId="0" borderId="14" xfId="0" applyNumberFormat="1" applyBorder="1" applyAlignment="1">
      <alignment horizontal="center"/>
    </xf>
    <xf numFmtId="181" fontId="28" fillId="11" borderId="7" xfId="47" applyNumberFormat="1" applyFont="1" applyFill="1" applyAlignment="1">
      <alignment horizontal="center"/>
    </xf>
    <xf numFmtId="181" fontId="28" fillId="11" borderId="25" xfId="47" applyNumberFormat="1" applyFont="1" applyFill="1" applyBorder="1" applyAlignment="1">
      <alignment horizontal="center"/>
    </xf>
    <xf numFmtId="187" fontId="0" fillId="0" borderId="15" xfId="0" applyBorder="1" applyAlignment="1">
      <alignment horizontal="center"/>
    </xf>
    <xf numFmtId="181" fontId="28" fillId="11" borderId="23" xfId="47" applyNumberFormat="1" applyFont="1" applyFill="1" applyBorder="1" applyAlignment="1">
      <alignment horizontal="center"/>
    </xf>
    <xf numFmtId="181" fontId="28" fillId="11" borderId="26" xfId="47" applyNumberFormat="1" applyFont="1" applyFill="1" applyBorder="1" applyAlignment="1">
      <alignment horizontal="center"/>
    </xf>
    <xf numFmtId="182" fontId="28" fillId="11" borderId="19" xfId="47" applyNumberFormat="1" applyFont="1" applyFill="1" applyBorder="1" applyAlignment="1">
      <alignment horizontal="center"/>
    </xf>
    <xf numFmtId="182" fontId="28" fillId="11" borderId="7" xfId="47" applyNumberFormat="1" applyFont="1" applyFill="1" applyAlignment="1">
      <alignment horizontal="center"/>
    </xf>
    <xf numFmtId="187" fontId="0" fillId="0" borderId="27" xfId="0" applyBorder="1" applyAlignment="1">
      <alignment horizontal="center"/>
    </xf>
    <xf numFmtId="182" fontId="28" fillId="11" borderId="23" xfId="47" applyNumberFormat="1" applyFont="1" applyFill="1" applyBorder="1" applyAlignment="1">
      <alignment horizontal="center"/>
    </xf>
    <xf numFmtId="187" fontId="27" fillId="12" borderId="18" xfId="0" applyFont="1" applyFill="1" applyBorder="1">
      <alignment vertical="top"/>
    </xf>
    <xf numFmtId="187" fontId="0" fillId="12" borderId="18" xfId="0" applyFill="1" applyBorder="1">
      <alignment vertical="top"/>
    </xf>
    <xf numFmtId="187" fontId="27" fillId="12" borderId="18" xfId="0" applyFont="1" applyFill="1" applyBorder="1" applyAlignment="1">
      <alignment horizontal="left"/>
    </xf>
    <xf numFmtId="187" fontId="27" fillId="0" borderId="0" xfId="0" applyFont="1" applyAlignment="1">
      <alignment horizontal="center"/>
    </xf>
    <xf numFmtId="187" fontId="0" fillId="0" borderId="29" xfId="0" applyBorder="1">
      <alignment vertical="top"/>
    </xf>
    <xf numFmtId="187" fontId="0" fillId="0" borderId="29" xfId="0" applyBorder="1" applyAlignment="1">
      <alignment horizontal="center"/>
    </xf>
    <xf numFmtId="180" fontId="28" fillId="0" borderId="29" xfId="0" applyNumberFormat="1" applyFont="1" applyBorder="1" applyAlignment="1">
      <alignment horizontal="center"/>
    </xf>
    <xf numFmtId="180" fontId="0" fillId="0" borderId="29" xfId="0" applyNumberFormat="1" applyBorder="1" applyAlignment="1">
      <alignment horizontal="center"/>
    </xf>
    <xf numFmtId="187" fontId="26" fillId="13" borderId="0" xfId="0" applyFont="1" applyFill="1">
      <alignment vertical="top"/>
    </xf>
    <xf numFmtId="187" fontId="30" fillId="0" borderId="0" xfId="0" applyFont="1">
      <alignment vertical="top"/>
    </xf>
    <xf numFmtId="183" fontId="31" fillId="0" borderId="0" xfId="0" applyNumberFormat="1" applyFont="1">
      <alignment vertical="top"/>
    </xf>
    <xf numFmtId="183" fontId="27" fillId="0" borderId="0" xfId="0" applyNumberFormat="1" applyFont="1">
      <alignment vertical="top"/>
    </xf>
    <xf numFmtId="183" fontId="32" fillId="0" borderId="0" xfId="0" applyNumberFormat="1" applyFont="1">
      <alignment vertical="top"/>
    </xf>
    <xf numFmtId="183" fontId="0" fillId="0" borderId="0" xfId="0" applyNumberFormat="1">
      <alignment vertical="top"/>
    </xf>
    <xf numFmtId="184" fontId="0" fillId="0" borderId="0" xfId="0" applyNumberFormat="1">
      <alignment vertical="top"/>
    </xf>
    <xf numFmtId="185" fontId="0" fillId="0" borderId="0" xfId="0" applyNumberFormat="1">
      <alignment vertical="top"/>
    </xf>
    <xf numFmtId="3" fontId="27" fillId="0" borderId="0" xfId="0" applyNumberFormat="1" applyFont="1">
      <alignment vertical="top"/>
    </xf>
    <xf numFmtId="187" fontId="33" fillId="0" borderId="0" xfId="0" applyFont="1">
      <alignment vertical="top"/>
    </xf>
    <xf numFmtId="183" fontId="33" fillId="0" borderId="0" xfId="0" applyNumberFormat="1" applyFont="1">
      <alignment vertical="top"/>
    </xf>
    <xf numFmtId="185" fontId="33" fillId="0" borderId="0" xfId="0" applyNumberFormat="1" applyFont="1">
      <alignment vertical="top"/>
    </xf>
    <xf numFmtId="186" fontId="28" fillId="0" borderId="0" xfId="0" applyNumberFormat="1" applyFont="1">
      <alignment vertical="top"/>
    </xf>
    <xf numFmtId="186" fontId="0" fillId="0" borderId="0" xfId="0" applyNumberFormat="1">
      <alignment vertical="top"/>
    </xf>
    <xf numFmtId="187" fontId="31" fillId="10" borderId="18" xfId="0" applyFont="1" applyFill="1" applyBorder="1">
      <alignment vertical="top"/>
    </xf>
    <xf numFmtId="187" fontId="32" fillId="0" borderId="0" xfId="0" applyFont="1">
      <alignment vertical="top"/>
    </xf>
    <xf numFmtId="187" fontId="31" fillId="0" borderId="0" xfId="0" applyFont="1" applyAlignment="1">
      <alignment horizontal="left"/>
    </xf>
    <xf numFmtId="3" fontId="2" fillId="0" borderId="30" xfId="23" applyNumberFormat="1" applyFont="1" applyBorder="1" applyAlignment="1">
      <alignment horizontal="center"/>
    </xf>
    <xf numFmtId="3" fontId="2" fillId="0" borderId="0" xfId="23" applyNumberFormat="1" applyFont="1" applyBorder="1" applyAlignment="1">
      <alignment horizontal="center"/>
    </xf>
    <xf numFmtId="183" fontId="34" fillId="0" borderId="0" xfId="0" applyNumberFormat="1" applyFont="1">
      <alignment vertical="top"/>
    </xf>
    <xf numFmtId="187" fontId="31" fillId="0" borderId="0" xfId="0" applyFont="1">
      <alignment vertical="top"/>
    </xf>
    <xf numFmtId="187" fontId="35" fillId="0" borderId="0" xfId="0" applyFont="1">
      <alignment vertical="top"/>
    </xf>
    <xf numFmtId="187" fontId="36" fillId="0" borderId="0" xfId="0" applyFont="1">
      <alignment vertical="top"/>
    </xf>
    <xf numFmtId="15" fontId="35" fillId="0" borderId="0" xfId="0" applyNumberFormat="1" applyFont="1">
      <alignment vertical="top"/>
    </xf>
    <xf numFmtId="3" fontId="37" fillId="0" borderId="0" xfId="0" applyNumberFormat="1" applyFont="1">
      <alignment vertical="top"/>
    </xf>
    <xf numFmtId="3" fontId="35" fillId="0" borderId="0" xfId="0" applyNumberFormat="1" applyFont="1">
      <alignment vertical="top"/>
    </xf>
    <xf numFmtId="187" fontId="28" fillId="0" borderId="0" xfId="0" applyFont="1">
      <alignment vertical="top"/>
    </xf>
    <xf numFmtId="190" fontId="0" fillId="0" borderId="0" xfId="53" applyFont="1">
      <alignment vertical="top"/>
    </xf>
    <xf numFmtId="187" fontId="38" fillId="15" borderId="0" xfId="0" applyFont="1" applyFill="1">
      <alignment vertical="top"/>
    </xf>
    <xf numFmtId="190" fontId="39" fillId="0" borderId="0" xfId="53" applyFont="1">
      <alignment vertical="top"/>
    </xf>
    <xf numFmtId="187" fontId="40" fillId="14" borderId="0" xfId="0" applyFont="1" applyFill="1">
      <alignment vertical="top"/>
    </xf>
    <xf numFmtId="187" fontId="0" fillId="15" borderId="0" xfId="0" applyFill="1">
      <alignment vertical="top"/>
    </xf>
    <xf numFmtId="187" fontId="38" fillId="0" borderId="0" xfId="0" applyFont="1">
      <alignment vertical="top"/>
    </xf>
    <xf numFmtId="190" fontId="40" fillId="14" borderId="0" xfId="53" applyFont="1" applyFill="1">
      <alignment vertical="top"/>
    </xf>
    <xf numFmtId="187" fontId="41" fillId="0" borderId="0" xfId="0" applyFont="1">
      <alignment vertical="top"/>
    </xf>
    <xf numFmtId="187" fontId="39" fillId="0" borderId="0" xfId="0" applyFont="1">
      <alignment vertical="top"/>
    </xf>
    <xf numFmtId="188" fontId="0" fillId="0" borderId="0" xfId="51" applyFont="1">
      <alignment vertical="top"/>
    </xf>
    <xf numFmtId="192" fontId="0" fillId="0" borderId="0" xfId="55" applyFont="1">
      <alignment vertical="top"/>
    </xf>
    <xf numFmtId="192" fontId="0" fillId="15" borderId="0" xfId="55" applyFont="1" applyFill="1">
      <alignment vertical="top"/>
    </xf>
    <xf numFmtId="187" fontId="38" fillId="0" borderId="0" xfId="0" applyFont="1" applyFill="1">
      <alignment vertical="top"/>
    </xf>
    <xf numFmtId="187" fontId="0" fillId="0" borderId="0" xfId="0" applyFill="1">
      <alignment vertical="top"/>
    </xf>
    <xf numFmtId="187" fontId="42" fillId="0" borderId="0" xfId="0" applyFont="1">
      <alignment vertical="top"/>
    </xf>
    <xf numFmtId="187" fontId="43" fillId="0" borderId="0" xfId="0" applyFont="1">
      <alignment vertical="top"/>
    </xf>
    <xf numFmtId="192" fontId="0" fillId="0" borderId="1" xfId="55" applyFont="1" applyBorder="1">
      <alignment vertical="top"/>
    </xf>
    <xf numFmtId="192" fontId="0" fillId="0" borderId="0" xfId="55" applyFont="1" applyBorder="1">
      <alignment vertical="top"/>
    </xf>
    <xf numFmtId="187" fontId="0" fillId="0" borderId="0" xfId="0" quotePrefix="1">
      <alignment vertical="top"/>
    </xf>
    <xf numFmtId="187" fontId="0" fillId="0" borderId="0" xfId="0" applyFont="1">
      <alignment vertical="top"/>
    </xf>
    <xf numFmtId="189" fontId="0" fillId="0" borderId="0" xfId="52" applyFont="1">
      <alignment vertical="top"/>
    </xf>
    <xf numFmtId="192" fontId="27" fillId="0" borderId="1" xfId="55" applyFont="1" applyBorder="1">
      <alignment vertical="top"/>
    </xf>
    <xf numFmtId="187" fontId="44" fillId="15" borderId="0" xfId="0" applyFont="1" applyFill="1">
      <alignment vertical="top"/>
    </xf>
    <xf numFmtId="187" fontId="38" fillId="0" borderId="0" xfId="0" quotePrefix="1" applyFont="1">
      <alignment vertical="top"/>
    </xf>
    <xf numFmtId="187" fontId="0" fillId="0" borderId="0" xfId="0" applyAlignment="1"/>
    <xf numFmtId="0" fontId="0" fillId="0" borderId="0" xfId="0" applyNumberFormat="1" applyAlignment="1"/>
    <xf numFmtId="187" fontId="0" fillId="16" borderId="0" xfId="0" applyFill="1">
      <alignment vertical="top"/>
    </xf>
    <xf numFmtId="187" fontId="0" fillId="16" borderId="0" xfId="0" applyFont="1" applyFill="1">
      <alignment vertical="top"/>
    </xf>
    <xf numFmtId="192" fontId="0" fillId="16" borderId="0" xfId="55" applyFont="1" applyFill="1">
      <alignment vertical="top"/>
    </xf>
  </cellXfs>
  <cellStyles count="56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omma 3" xfId="48" xr:uid="{3570D88B-62A3-40C8-909A-C17A3140EBF0}"/>
    <cellStyle name="Currency [2]" xfId="6" xr:uid="{00000000-0005-0000-0000-000004000000}"/>
    <cellStyle name="DateLong" xfId="53" xr:uid="{CE7ED552-EB13-427E-884C-F7C7B0738D5B}"/>
    <cellStyle name="DateShort" xfId="54" xr:uid="{BA8BA784-ADA9-4410-960B-DD04AB51D157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Section Header 2" xfId="50" xr:uid="{18B3665B-19FF-46C4-8B82-732D8E4E6C6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2" xr:uid="{6FC24DB4-3D99-4913-A321-DA3B90B55429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" xfId="47" builtinId="20"/>
    <cellStyle name="Input 2" xfId="40" xr:uid="{00000000-0005-0000-0000-000025000000}"/>
    <cellStyle name="Input 3" xfId="49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1" builtinId="5" customBuiltin="1"/>
    <cellStyle name="Percent 2" xfId="11" xr:uid="{00000000-0005-0000-0000-00002E000000}"/>
    <cellStyle name="Year" xfId="55" xr:uid="{B6842247-0EF6-4706-8BE7-7E1DA743303C}"/>
  </cellStyles>
  <dxfs count="0"/>
  <tableStyles count="0" defaultTableStyle="TableStyleMedium2" defaultPivotStyle="PivotStyleLight16"/>
  <colors>
    <mruColors>
      <color rgb="FFFFD966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37427</xdr:colOff>
      <xdr:row>22</xdr:row>
      <xdr:rowOff>20506</xdr:rowOff>
    </xdr:from>
    <xdr:to>
      <xdr:col>7</xdr:col>
      <xdr:colOff>347458</xdr:colOff>
      <xdr:row>23</xdr:row>
      <xdr:rowOff>86061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493FC-E698-1E0F-B13A-95B6AD082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0339" y="3718447"/>
          <a:ext cx="2024531" cy="233643"/>
        </a:xfrm>
        <a:prstGeom prst="rect">
          <a:avLst/>
        </a:prstGeom>
      </xdr:spPr>
    </xdr:pic>
    <xdr:clientData/>
  </xdr:twoCellAnchor>
  <xdr:twoCellAnchor editAs="oneCell">
    <xdr:from>
      <xdr:col>5</xdr:col>
      <xdr:colOff>27902</xdr:colOff>
      <xdr:row>24</xdr:row>
      <xdr:rowOff>108247</xdr:rowOff>
    </xdr:from>
    <xdr:to>
      <xdr:col>18</xdr:col>
      <xdr:colOff>479761</xdr:colOff>
      <xdr:row>32</xdr:row>
      <xdr:rowOff>44822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49B90A-5A10-9C7C-141B-1B3EB967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0814" y="4142365"/>
          <a:ext cx="11893065" cy="1281281"/>
        </a:xfrm>
        <a:prstGeom prst="rect">
          <a:avLst/>
        </a:prstGeom>
      </xdr:spPr>
    </xdr:pic>
    <xdr:clientData/>
  </xdr:twoCellAnchor>
  <xdr:twoCellAnchor editAs="oneCell">
    <xdr:from>
      <xdr:col>5</xdr:col>
      <xdr:colOff>15016</xdr:colOff>
      <xdr:row>33</xdr:row>
      <xdr:rowOff>41013</xdr:rowOff>
    </xdr:from>
    <xdr:to>
      <xdr:col>13</xdr:col>
      <xdr:colOff>970611</xdr:colOff>
      <xdr:row>39</xdr:row>
      <xdr:rowOff>25996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E2C982-990F-540A-1A91-A5489E73C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7928" y="5587925"/>
          <a:ext cx="7522242" cy="99351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22</xdr:col>
      <xdr:colOff>378207</xdr:colOff>
      <xdr:row>21</xdr:row>
      <xdr:rowOff>20260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17879-4DD8-EF14-4962-C2BC6293E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89559" y="2521324"/>
          <a:ext cx="9152413" cy="102878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22</xdr:col>
      <xdr:colOff>378207</xdr:colOff>
      <xdr:row>21</xdr:row>
      <xdr:rowOff>20260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1E3C72-610F-9DF2-E0A2-A2064829B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89559" y="2521324"/>
          <a:ext cx="9152413" cy="102878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18</xdr:col>
      <xdr:colOff>640972</xdr:colOff>
      <xdr:row>49</xdr:row>
      <xdr:rowOff>134470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FFA3E2-541E-A9D9-169E-8284658E0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22912" y="7059706"/>
          <a:ext cx="12082178" cy="1311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2ABFE8-82E9-43CF-9645-0B8433A546C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970df1a-d713-40c9-9470-bc7a14b937b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5C7A-C004-4EC4-99ED-16FF3361281E}">
  <sheetPr>
    <tabColor theme="3"/>
    <pageSetUpPr autoPageBreaks="0"/>
  </sheetPr>
  <dimension ref="E1:BQ37"/>
  <sheetViews>
    <sheetView showGridLines="0" zoomScale="85" zoomScaleNormal="85" workbookViewId="0">
      <pane xSplit="9" ySplit="3" topLeftCell="J4" activePane="bottomRight" state="frozen"/>
      <selection activeCell="N16" sqref="N16"/>
      <selection pane="topRight" activeCell="N16" sqref="N16"/>
      <selection pane="bottomLeft" activeCell="N16" sqref="N16"/>
      <selection pane="bottomRight" activeCell="N16" sqref="N16"/>
    </sheetView>
  </sheetViews>
  <sheetFormatPr defaultColWidth="12.69921875" defaultRowHeight="13.8"/>
  <cols>
    <col min="1" max="4" width="1.69921875" customWidth="1"/>
    <col min="5" max="5" width="45.69921875" customWidth="1"/>
    <col min="6" max="6" width="11.69921875" customWidth="1"/>
    <col min="7" max="8" width="10.69921875" customWidth="1"/>
    <col min="9" max="9" width="1.69921875" customWidth="1"/>
  </cols>
  <sheetData>
    <row r="1" spans="5:69" s="97" customFormat="1"/>
    <row r="2" spans="5:69" s="97" customFormat="1"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</row>
    <row r="3" spans="5:69" s="97" customFormat="1"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</row>
    <row r="15" spans="5:69" ht="55.2">
      <c r="E15" s="108" t="str">
        <f>company</f>
        <v>Fashion Boutique</v>
      </c>
    </row>
    <row r="16" spans="5:69" ht="43.2">
      <c r="E16" s="109" t="str" cm="1">
        <f t="array" ref="E16">topic</f>
        <v>CFM Topic: Revenue</v>
      </c>
    </row>
    <row r="37" s="98" customFormat="1"/>
  </sheetData>
  <printOptions horizontalCentered="1"/>
  <pageMargins left="0.15748031496062992" right="0.15748031496062992" top="0.39370078740157483" bottom="0.39370078740157483" header="0.15748031496062992" footer="0.15748031496062992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0431-A28A-402F-80A3-A2AFF67AB4F8}">
  <sheetPr>
    <tabColor theme="3"/>
    <pageSetUpPr autoPageBreaks="0"/>
  </sheetPr>
  <dimension ref="A1:BQ52"/>
  <sheetViews>
    <sheetView zoomScale="85" zoomScaleNormal="85" workbookViewId="0">
      <pane xSplit="9" ySplit="3" topLeftCell="J4" activePane="bottomRight" state="frozen"/>
      <selection activeCell="N16" sqref="N16"/>
      <selection pane="topRight" activeCell="N16" sqref="N16"/>
      <selection pane="bottomLeft" activeCell="N16" sqref="N16"/>
      <selection pane="bottomRight" activeCell="E48" sqref="E48"/>
    </sheetView>
  </sheetViews>
  <sheetFormatPr defaultColWidth="12.69921875" defaultRowHeight="13.8"/>
  <cols>
    <col min="1" max="4" width="1.69921875" customWidth="1"/>
    <col min="5" max="5" width="45.69921875" customWidth="1"/>
    <col min="6" max="6" width="11.69921875" customWidth="1"/>
    <col min="7" max="8" width="10.69921875" customWidth="1"/>
    <col min="9" max="9" width="1.69921875" customWidth="1"/>
  </cols>
  <sheetData>
    <row r="1" spans="1:69" s="97" customFormat="1">
      <c r="A1" s="97" t="str">
        <f>company</f>
        <v>Fashion Boutique</v>
      </c>
    </row>
    <row r="2" spans="1:69" s="97" customFormat="1">
      <c r="A2" s="97" t="str" cm="1">
        <f t="array" ref="A2">topic</f>
        <v>CFM Topic: Revenue</v>
      </c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</row>
    <row r="3" spans="1:69" s="97" customFormat="1">
      <c r="A3" s="97" t="s">
        <v>120</v>
      </c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</row>
    <row r="5" spans="1:69" s="98" customFormat="1">
      <c r="A5" s="95" t="s">
        <v>121</v>
      </c>
    </row>
    <row r="7" spans="1:69">
      <c r="E7" s="112" t="s">
        <v>122</v>
      </c>
    </row>
    <row r="8" spans="1:69">
      <c r="E8" s="112" t="s">
        <v>123</v>
      </c>
    </row>
    <row r="10" spans="1:69">
      <c r="A10" s="116" t="s">
        <v>124</v>
      </c>
      <c r="B10" s="98"/>
      <c r="C10" s="98"/>
      <c r="D10" s="98"/>
      <c r="E10" s="98"/>
    </row>
    <row r="12" spans="1:69">
      <c r="E12" t="s">
        <v>125</v>
      </c>
    </row>
    <row r="13" spans="1:69">
      <c r="E13" t="s">
        <v>126</v>
      </c>
    </row>
    <row r="14" spans="1:69">
      <c r="E14" t="s">
        <v>127</v>
      </c>
    </row>
    <row r="15" spans="1:69">
      <c r="E15" t="s">
        <v>128</v>
      </c>
    </row>
    <row r="16" spans="1:69">
      <c r="E16" t="s">
        <v>129</v>
      </c>
    </row>
    <row r="17" spans="1:5">
      <c r="E17" t="s">
        <v>130</v>
      </c>
    </row>
    <row r="18" spans="1:5">
      <c r="E18" t="s">
        <v>131</v>
      </c>
    </row>
    <row r="21" spans="1:5" s="98" customFormat="1">
      <c r="A21" s="95" t="s">
        <v>132</v>
      </c>
    </row>
    <row r="23" spans="1:5">
      <c r="E23" s="112" t="s">
        <v>133</v>
      </c>
    </row>
    <row r="26" spans="1:5">
      <c r="E26" s="112" t="s">
        <v>134</v>
      </c>
    </row>
    <row r="35" spans="5:5">
      <c r="E35" s="112" t="s">
        <v>135</v>
      </c>
    </row>
    <row r="37" spans="5:5" s="107" customFormat="1"/>
    <row r="41" spans="5:5">
      <c r="E41" s="112" t="s">
        <v>136</v>
      </c>
    </row>
    <row r="43" spans="5:5">
      <c r="E43" s="117" t="s">
        <v>137</v>
      </c>
    </row>
    <row r="52" s="98" customFormat="1"/>
  </sheetData>
  <printOptions horizontalCentered="1"/>
  <pageMargins left="0.15748031496062992" right="0.15748031496062992" top="0.39370078740157483" bottom="0.39370078740157483" header="0.15748031496062992" footer="0.15748031496062992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87F9-C472-4F17-B92A-7918240F4EB1}">
  <sheetPr>
    <tabColor theme="3"/>
    <pageSetUpPr autoPageBreaks="0"/>
  </sheetPr>
  <dimension ref="A1:BQ50"/>
  <sheetViews>
    <sheetView showGridLines="0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10" sqref="J10"/>
    </sheetView>
  </sheetViews>
  <sheetFormatPr defaultColWidth="12.69921875" defaultRowHeight="13.8"/>
  <cols>
    <col min="1" max="4" width="1.69921875" customWidth="1"/>
    <col min="5" max="5" width="45.69921875" customWidth="1"/>
    <col min="6" max="6" width="11.69921875" customWidth="1"/>
    <col min="7" max="7" width="10.69921875" customWidth="1"/>
    <col min="8" max="8" width="12.59765625" customWidth="1"/>
    <col min="9" max="9" width="1.69921875" customWidth="1"/>
  </cols>
  <sheetData>
    <row r="1" spans="1:69" s="97" customFormat="1">
      <c r="A1" s="97" t="str">
        <f>company</f>
        <v>Fashion Boutique</v>
      </c>
    </row>
    <row r="2" spans="1:69" s="97" customFormat="1">
      <c r="A2" s="97" t="str" cm="1">
        <f t="array" ref="A2">topic</f>
        <v>CFM Topic: Revenue</v>
      </c>
      <c r="J2" s="100" cm="1">
        <f t="array" ref="J2:BQ2" xml:space="preserve"> EDATE( start_date, _xlfn.SEQUENCE( 1, periods, 0, 1 ) )</f>
        <v>44562</v>
      </c>
      <c r="K2" s="100">
        <v>44593</v>
      </c>
      <c r="L2" s="100">
        <v>44621</v>
      </c>
      <c r="M2" s="100">
        <v>44652</v>
      </c>
      <c r="N2" s="100">
        <v>44682</v>
      </c>
      <c r="O2" s="100">
        <v>44713</v>
      </c>
      <c r="P2" s="100">
        <v>44743</v>
      </c>
      <c r="Q2" s="100">
        <v>44774</v>
      </c>
      <c r="R2" s="100">
        <v>44805</v>
      </c>
      <c r="S2" s="100">
        <v>44835</v>
      </c>
      <c r="T2" s="100">
        <v>44866</v>
      </c>
      <c r="U2" s="100">
        <v>44896</v>
      </c>
      <c r="V2" s="100">
        <v>44927</v>
      </c>
      <c r="W2" s="100">
        <v>44958</v>
      </c>
      <c r="X2" s="100">
        <v>44986</v>
      </c>
      <c r="Y2" s="100">
        <v>45017</v>
      </c>
      <c r="Z2" s="100">
        <v>45047</v>
      </c>
      <c r="AA2" s="100">
        <v>45078</v>
      </c>
      <c r="AB2" s="100">
        <v>45108</v>
      </c>
      <c r="AC2" s="100">
        <v>45139</v>
      </c>
      <c r="AD2" s="100">
        <v>45170</v>
      </c>
      <c r="AE2" s="100">
        <v>45200</v>
      </c>
      <c r="AF2" s="100">
        <v>45231</v>
      </c>
      <c r="AG2" s="100">
        <v>45261</v>
      </c>
      <c r="AH2" s="100">
        <v>45292</v>
      </c>
      <c r="AI2" s="100">
        <v>45323</v>
      </c>
      <c r="AJ2" s="100">
        <v>45352</v>
      </c>
      <c r="AK2" s="100">
        <v>45383</v>
      </c>
      <c r="AL2" s="100">
        <v>45413</v>
      </c>
      <c r="AM2" s="100">
        <v>45444</v>
      </c>
      <c r="AN2" s="100">
        <v>45474</v>
      </c>
      <c r="AO2" s="100">
        <v>45505</v>
      </c>
      <c r="AP2" s="100">
        <v>45536</v>
      </c>
      <c r="AQ2" s="100">
        <v>45566</v>
      </c>
      <c r="AR2" s="100">
        <v>45597</v>
      </c>
      <c r="AS2" s="100">
        <v>45627</v>
      </c>
      <c r="AT2" s="100">
        <v>45658</v>
      </c>
      <c r="AU2" s="100">
        <v>45689</v>
      </c>
      <c r="AV2" s="100">
        <v>45717</v>
      </c>
      <c r="AW2" s="100">
        <v>45748</v>
      </c>
      <c r="AX2" s="100">
        <v>45778</v>
      </c>
      <c r="AY2" s="100">
        <v>45809</v>
      </c>
      <c r="AZ2" s="100">
        <v>45839</v>
      </c>
      <c r="BA2" s="100">
        <v>45870</v>
      </c>
      <c r="BB2" s="100">
        <v>45901</v>
      </c>
      <c r="BC2" s="100">
        <v>45931</v>
      </c>
      <c r="BD2" s="100">
        <v>45962</v>
      </c>
      <c r="BE2" s="100">
        <v>45992</v>
      </c>
      <c r="BF2" s="100">
        <v>46023</v>
      </c>
      <c r="BG2" s="100">
        <v>46054</v>
      </c>
      <c r="BH2" s="100">
        <v>46082</v>
      </c>
      <c r="BI2" s="100">
        <v>46113</v>
      </c>
      <c r="BJ2" s="100">
        <v>46143</v>
      </c>
      <c r="BK2" s="100">
        <v>46174</v>
      </c>
      <c r="BL2" s="100">
        <v>46204</v>
      </c>
      <c r="BM2" s="100">
        <v>46235</v>
      </c>
      <c r="BN2" s="100">
        <v>46266</v>
      </c>
      <c r="BO2" s="100">
        <v>46296</v>
      </c>
      <c r="BP2" s="100">
        <v>46327</v>
      </c>
      <c r="BQ2" s="100">
        <v>46357</v>
      </c>
    </row>
    <row r="3" spans="1:69" s="97" customFormat="1">
      <c r="A3" s="97" t="s">
        <v>108</v>
      </c>
      <c r="F3" s="97" t="s">
        <v>84</v>
      </c>
      <c r="G3" s="97" t="s">
        <v>82</v>
      </c>
      <c r="H3" s="97" t="s">
        <v>83</v>
      </c>
      <c r="J3" s="100" cm="1">
        <f t="array" ref="J3:BQ3" xml:space="preserve"> EOMONTH( start_date, _xlfn.SEQUENCE( 1, periods, 0, 1 ) )</f>
        <v>44592</v>
      </c>
      <c r="K3" s="100">
        <v>44620</v>
      </c>
      <c r="L3" s="100">
        <v>44651</v>
      </c>
      <c r="M3" s="100">
        <v>44681</v>
      </c>
      <c r="N3" s="100">
        <v>44712</v>
      </c>
      <c r="O3" s="100">
        <v>44742</v>
      </c>
      <c r="P3" s="100">
        <v>44773</v>
      </c>
      <c r="Q3" s="100">
        <v>44804</v>
      </c>
      <c r="R3" s="100">
        <v>44834</v>
      </c>
      <c r="S3" s="100">
        <v>44865</v>
      </c>
      <c r="T3" s="100">
        <v>44895</v>
      </c>
      <c r="U3" s="100">
        <v>44926</v>
      </c>
      <c r="V3" s="100">
        <v>44957</v>
      </c>
      <c r="W3" s="100">
        <v>44985</v>
      </c>
      <c r="X3" s="100">
        <v>45016</v>
      </c>
      <c r="Y3" s="100">
        <v>45046</v>
      </c>
      <c r="Z3" s="100">
        <v>45077</v>
      </c>
      <c r="AA3" s="100">
        <v>45107</v>
      </c>
      <c r="AB3" s="100">
        <v>45138</v>
      </c>
      <c r="AC3" s="100">
        <v>45169</v>
      </c>
      <c r="AD3" s="100">
        <v>45199</v>
      </c>
      <c r="AE3" s="100">
        <v>45230</v>
      </c>
      <c r="AF3" s="100">
        <v>45260</v>
      </c>
      <c r="AG3" s="100">
        <v>45291</v>
      </c>
      <c r="AH3" s="100">
        <v>45322</v>
      </c>
      <c r="AI3" s="100">
        <v>45351</v>
      </c>
      <c r="AJ3" s="100">
        <v>45382</v>
      </c>
      <c r="AK3" s="100">
        <v>45412</v>
      </c>
      <c r="AL3" s="100">
        <v>45443</v>
      </c>
      <c r="AM3" s="100">
        <v>45473</v>
      </c>
      <c r="AN3" s="100">
        <v>45504</v>
      </c>
      <c r="AO3" s="100">
        <v>45535</v>
      </c>
      <c r="AP3" s="100">
        <v>45565</v>
      </c>
      <c r="AQ3" s="100">
        <v>45596</v>
      </c>
      <c r="AR3" s="100">
        <v>45626</v>
      </c>
      <c r="AS3" s="100">
        <v>45657</v>
      </c>
      <c r="AT3" s="100">
        <v>45688</v>
      </c>
      <c r="AU3" s="100">
        <v>45716</v>
      </c>
      <c r="AV3" s="100">
        <v>45747</v>
      </c>
      <c r="AW3" s="100">
        <v>45777</v>
      </c>
      <c r="AX3" s="100">
        <v>45808</v>
      </c>
      <c r="AY3" s="100">
        <v>45838</v>
      </c>
      <c r="AZ3" s="100">
        <v>45869</v>
      </c>
      <c r="BA3" s="100">
        <v>45900</v>
      </c>
      <c r="BB3" s="100">
        <v>45930</v>
      </c>
      <c r="BC3" s="100">
        <v>45961</v>
      </c>
      <c r="BD3" s="100">
        <v>45991</v>
      </c>
      <c r="BE3" s="100">
        <v>46022</v>
      </c>
      <c r="BF3" s="100">
        <v>46053</v>
      </c>
      <c r="BG3" s="100">
        <v>46081</v>
      </c>
      <c r="BH3" s="100">
        <v>46112</v>
      </c>
      <c r="BI3" s="100">
        <v>46142</v>
      </c>
      <c r="BJ3" s="100">
        <v>46173</v>
      </c>
      <c r="BK3" s="100">
        <v>46203</v>
      </c>
      <c r="BL3" s="100">
        <v>46234</v>
      </c>
      <c r="BM3" s="100">
        <v>46265</v>
      </c>
      <c r="BN3" s="100">
        <v>46295</v>
      </c>
      <c r="BO3" s="100">
        <v>46326</v>
      </c>
      <c r="BP3" s="100">
        <v>46356</v>
      </c>
      <c r="BQ3" s="100">
        <v>46387</v>
      </c>
    </row>
    <row r="5" spans="1:69" s="98" customFormat="1">
      <c r="A5" s="95" t="s">
        <v>109</v>
      </c>
    </row>
    <row r="7" spans="1:69">
      <c r="D7" s="101" t="s">
        <v>115</v>
      </c>
      <c r="G7" t="s">
        <v>14</v>
      </c>
      <c r="H7" cm="1">
        <f t="array" aca="1" ref="H7" ca="1" xml:space="preserve"> _xlfn.LET(
       _xlpm.anchor,$J7,
       _xlpm.block, OFFSET( _xlpm.anchor, 0, 0, 1, periods ),
       _xlfn.BYROW( _xlpm.block, _xlfn.LAMBDA(_xlpm.row, SUM( _xlpm.row ) ) ) )</f>
        <v>83483876.353804618</v>
      </c>
      <c r="J7" s="120" cm="1">
        <f t="array" aca="1" ref="J7:BQ7" ca="1" xml:space="preserve"> _xlfn.LET(
       _xlpm.operating_flag,_xlfn.ANCHORARRAY( Time!$J18),
       _xlpm.w_units_anchor, Volume!$J8,
       _xlpm.w_units_sold, OFFSET( _xlpm.w_units_anchor, 0, 0, COUNTA( lstStores ), periods ),
       _xlpm.w_price_anchor, Price!$J40,
       _xlpm.w_price, OFFSET( _xlpm.w_price_anchor, 0, 0, COUNTA( lstStores ), periods ),
       _xlpm.w_revenue, _xlfn.BYCOL( _xlpm.w_units_sold * _xlpm.w_price, _xlfn.LAMBDA(_xlpm.column, SUM( _xlpm.column ) ) ),
       _xlpm.m_units_anchor, Volume!$J18,
       _xlpm.m_units_sold, OFFSET( _xlpm.m_units_anchor, 0, 0, COUNTA( lstStores ), periods ),
       _xlpm.m_price_anchor, Price!$J50,
       _xlpm.m_price, OFFSET( _xlpm.m_price_anchor, 0, 0, COUNTA( lstStores ), periods ),
       _xlpm.m_revenue, _xlfn.BYCOL( _xlpm.m_units_sold * _xlpm.m_price, _xlfn.LAMBDA(_xlpm.column, SUM( _xlpm.column ) ) ),
       _xlpm.a_units_anchor, Volume!$J45,
       _xlpm.a_units_sold, OFFSET( _xlpm.a_units_anchor, 0, 0, COUNTA( lstStores ), periods ),
       _xlpm.a_price_anchor, Price!$J60,
       _xlpm.a_price, OFFSET( _xlpm.a_price_anchor, 0, 0, COUNTA( lstStores ), periods ),
       _xlpm.a_revenue, _xlfn.BYCOL( _xlpm.a_units_sold * _xlpm.a_price, _xlfn.LAMBDA(_xlpm.column, SUM( _xlpm.column ) ) ),
       _xlfn.BYCOL( _xlfn.VSTACK(_xlpm.w_revenue, _xlpm.m_revenue, _xlpm.a_revenue ), _xlfn.LAMBDA(_xlpm.column, SUM( _xlpm.column ) ) ) )</f>
        <v>1003953.488372093</v>
      </c>
      <c r="K7">
        <f ca="1"/>
        <v>669302.3255813953</v>
      </c>
      <c r="L7">
        <f ca="1"/>
        <v>669302.3255813953</v>
      </c>
      <c r="M7">
        <f ca="1"/>
        <v>726423.53770260734</v>
      </c>
      <c r="N7">
        <f ca="1"/>
        <v>730817.47709654691</v>
      </c>
      <c r="O7">
        <f ca="1"/>
        <v>735211.41649048624</v>
      </c>
      <c r="P7">
        <f ca="1"/>
        <v>1109408.0338266385</v>
      </c>
      <c r="Q7">
        <f ca="1"/>
        <v>743999.29527836503</v>
      </c>
      <c r="R7">
        <f ca="1"/>
        <v>748393.23467230436</v>
      </c>
      <c r="S7">
        <f ca="1"/>
        <v>851486.83849577396</v>
      </c>
      <c r="T7">
        <f ca="1"/>
        <v>863473.05976890808</v>
      </c>
      <c r="U7">
        <f ca="1"/>
        <v>1050551.1372504504</v>
      </c>
      <c r="V7">
        <f ca="1"/>
        <v>1344002.3062286424</v>
      </c>
      <c r="W7">
        <f ca="1"/>
        <v>908179.02247074654</v>
      </c>
      <c r="X7">
        <f ca="1"/>
        <v>920356.50745573151</v>
      </c>
      <c r="Y7">
        <f ca="1"/>
        <v>1107453.943203395</v>
      </c>
      <c r="Z7">
        <f ca="1"/>
        <v>1128946.8228762923</v>
      </c>
      <c r="AA7">
        <f ca="1"/>
        <v>1150439.7025491896</v>
      </c>
      <c r="AB7">
        <f ca="1"/>
        <v>1755995.5178643938</v>
      </c>
      <c r="AC7">
        <f ca="1"/>
        <v>1193425.4618949839</v>
      </c>
      <c r="AD7">
        <f ca="1"/>
        <v>1214918.3415678809</v>
      </c>
      <c r="AE7">
        <f ca="1"/>
        <v>1322979.7009705079</v>
      </c>
      <c r="AF7">
        <f ca="1"/>
        <v>1344030.9252379998</v>
      </c>
      <c r="AG7">
        <f ca="1"/>
        <v>1638098.5794065897</v>
      </c>
      <c r="AH7">
        <f ca="1"/>
        <v>2054153.6436682644</v>
      </c>
      <c r="AI7">
        <f ca="1"/>
        <v>1411576.4463549205</v>
      </c>
      <c r="AJ7">
        <f ca="1"/>
        <v>1432543.1160597818</v>
      </c>
      <c r="AK7">
        <f ca="1"/>
        <v>1439768.8243931148</v>
      </c>
      <c r="AL7">
        <f ca="1"/>
        <v>1446994.5327264485</v>
      </c>
      <c r="AM7">
        <f ca="1"/>
        <v>1454220.2410597818</v>
      </c>
      <c r="AN7">
        <f ca="1"/>
        <v>2151120.7419568864</v>
      </c>
      <c r="AO7">
        <f ca="1"/>
        <v>1468671.6577264485</v>
      </c>
      <c r="AP7">
        <f ca="1"/>
        <v>1475897.3660597818</v>
      </c>
      <c r="AQ7">
        <f ca="1"/>
        <v>1475897.3660597818</v>
      </c>
      <c r="AR7">
        <f ca="1"/>
        <v>1475897.3660597818</v>
      </c>
      <c r="AS7">
        <f ca="1"/>
        <v>1771076.8392717377</v>
      </c>
      <c r="AT7">
        <f ca="1"/>
        <v>2197355.4248127313</v>
      </c>
      <c r="AU7">
        <f ca="1"/>
        <v>1494010.4174909391</v>
      </c>
      <c r="AV7">
        <f ca="1"/>
        <v>1494010.4174909391</v>
      </c>
      <c r="AW7">
        <f ca="1"/>
        <v>1494010.4174909391</v>
      </c>
      <c r="AX7">
        <f ca="1"/>
        <v>1494010.4174909391</v>
      </c>
      <c r="AY7">
        <f ca="1"/>
        <v>1494010.4174909391</v>
      </c>
      <c r="AZ7">
        <f ca="1"/>
        <v>2197355.4248127313</v>
      </c>
      <c r="BA7">
        <f ca="1"/>
        <v>1494010.4174909391</v>
      </c>
      <c r="BB7">
        <f ca="1"/>
        <v>1494010.4174909391</v>
      </c>
      <c r="BC7">
        <f ca="1"/>
        <v>1494010.4174909391</v>
      </c>
      <c r="BD7">
        <f ca="1"/>
        <v>1494010.4174909391</v>
      </c>
      <c r="BE7">
        <f ca="1"/>
        <v>1792812.500989127</v>
      </c>
      <c r="BF7">
        <f ca="1"/>
        <v>2222814.2867784593</v>
      </c>
      <c r="BG7">
        <f ca="1"/>
        <v>1511339.5616641811</v>
      </c>
      <c r="BH7">
        <f ca="1"/>
        <v>1511339.5616641811</v>
      </c>
      <c r="BI7">
        <f ca="1"/>
        <v>1511339.5616641811</v>
      </c>
      <c r="BJ7">
        <f ca="1"/>
        <v>1511339.5616641811</v>
      </c>
      <c r="BK7">
        <f ca="1"/>
        <v>1511339.5616641811</v>
      </c>
      <c r="BL7">
        <f ca="1"/>
        <v>2222814.2867784593</v>
      </c>
      <c r="BM7">
        <f ca="1"/>
        <v>1511339.5616641811</v>
      </c>
      <c r="BN7">
        <f ca="1"/>
        <v>1511339.5616641811</v>
      </c>
      <c r="BO7">
        <f ca="1"/>
        <v>1511339.5616641811</v>
      </c>
      <c r="BP7">
        <f ca="1"/>
        <v>1511339.5616641811</v>
      </c>
      <c r="BQ7">
        <f ca="1"/>
        <v>1813607.4739970171</v>
      </c>
    </row>
    <row r="9" spans="1:69">
      <c r="D9" s="101" t="s">
        <v>113</v>
      </c>
    </row>
    <row r="10" spans="1:69">
      <c r="E10" t="s">
        <v>36</v>
      </c>
      <c r="G10" t="s">
        <v>14</v>
      </c>
      <c r="H10" cm="1">
        <f t="array" aca="1" ref="H10:H13" ca="1" xml:space="preserve"> _xlfn.LET(
       _xlpm.anchor,$J10,
       _xlpm.block, OFFSET( _xlpm.anchor, 0, 0, COUNTA( $E$10:$E$12 ) + 1, periods ),
       _xlfn.BYROW( _xlpm.block, _xlfn.LAMBDA(_xlpm.row, SUM( _xlpm.row ) ) ) )</f>
        <v>44332304.451584108</v>
      </c>
      <c r="J10" s="120" cm="1">
        <f t="array" aca="1" ref="J10:BQ12" ca="1" xml:space="preserve"> _xlfn.LET(
       _xlpm.operating_flag,_xlfn.ANCHORARRAY( Time!$J18),
       _xlpm.w_units_anchor, Volume!$J8,
       _xlpm.w_units_sold, OFFSET( _xlpm.w_units_anchor, 0, 0, COUNTA( lstStores ), periods ),
       _xlpm.w_price_anchor, Price!$J40,
       _xlpm.w_price, OFFSET( _xlpm.w_price_anchor, 0, 0, COUNTA( lstStores ), periods ),
       _xlpm.w_revenue, _xlfn.BYCOL( _xlpm.w_units_sold * _xlpm.w_price, _xlfn.LAMBDA(_xlpm.column, SUM( _xlpm.column ) ) ),
       _xlpm.m_units_anchor, Volume!$J18,
       _xlpm.m_units_sold, OFFSET( _xlpm.m_units_anchor, 0, 0, COUNTA( lstStores ), periods ),
       _xlpm.m_price_anchor, Price!$J50,
       _xlpm.m_price, OFFSET( _xlpm.m_price_anchor, 0, 0, COUNTA( lstStores ), periods ),
       _xlpm.m_revenue, _xlfn.BYCOL( _xlpm.m_units_sold * _xlpm.m_price, _xlfn.LAMBDA(_xlpm.column, SUM( _xlpm.column ) ) ),
       _xlpm.a_units_anchor, Volume!$J45,
       _xlpm.a_units_sold, OFFSET( _xlpm.a_units_anchor, 0, 0, COUNTA( lstStores ), periods ),
       _xlpm.a_price_anchor, Price!$J60,
       _xlpm.a_price, OFFSET( _xlpm.a_price_anchor, 0, 0, COUNTA( lstStores ), periods ),
       _xlpm.a_revenue, _xlfn.BYCOL( _xlpm.a_units_sold * _xlpm.a_price, _xlfn.LAMBDA(_xlpm.column, SUM( _xlpm.column ) ) ),
       _xlfn.VSTACK(_xlpm.w_revenue, _xlpm.m_revenue, _xlpm.a_revenue ) )</f>
        <v>539040.69767441857</v>
      </c>
      <c r="K10">
        <f ca="1"/>
        <v>359360.46511627908</v>
      </c>
      <c r="L10">
        <f ca="1"/>
        <v>359360.46511627908</v>
      </c>
      <c r="M10">
        <f ca="1"/>
        <v>385089.63178294571</v>
      </c>
      <c r="N10">
        <f ca="1"/>
        <v>387068.7984496124</v>
      </c>
      <c r="O10">
        <f ca="1"/>
        <v>389047.96511627908</v>
      </c>
      <c r="P10">
        <f ca="1"/>
        <v>586540.69767441857</v>
      </c>
      <c r="Q10">
        <f ca="1"/>
        <v>393006.2984496124</v>
      </c>
      <c r="R10">
        <f ca="1"/>
        <v>394985.46511627908</v>
      </c>
      <c r="S10">
        <f ca="1"/>
        <v>442770.00091046252</v>
      </c>
      <c r="T10">
        <f ca="1"/>
        <v>448272.65751001507</v>
      </c>
      <c r="U10">
        <f ca="1"/>
        <v>544530.37693148118</v>
      </c>
      <c r="V10">
        <f ca="1"/>
        <v>695154.87379620993</v>
      </c>
      <c r="W10">
        <f ca="1"/>
        <v>469026.75895723305</v>
      </c>
      <c r="X10">
        <f ca="1"/>
        <v>474616.93538365944</v>
      </c>
      <c r="Y10">
        <f ca="1"/>
        <v>587153.05687898654</v>
      </c>
      <c r="Z10">
        <f ca="1"/>
        <v>599105.06622478087</v>
      </c>
      <c r="AA10">
        <f ca="1"/>
        <v>611057.07557057531</v>
      </c>
      <c r="AB10">
        <f ca="1"/>
        <v>934513.62737455464</v>
      </c>
      <c r="AC10">
        <f ca="1"/>
        <v>634961.09426216409</v>
      </c>
      <c r="AD10">
        <f ca="1"/>
        <v>646913.10360795842</v>
      </c>
      <c r="AE10">
        <f ca="1"/>
        <v>700022.87196276186</v>
      </c>
      <c r="AF10">
        <f ca="1"/>
        <v>711845.47815540317</v>
      </c>
      <c r="AG10">
        <f ca="1"/>
        <v>868401.70121765323</v>
      </c>
      <c r="AH10">
        <f ca="1"/>
        <v>1106429.5757627718</v>
      </c>
      <c r="AI10">
        <f ca="1"/>
        <v>749394.30675851449</v>
      </c>
      <c r="AJ10">
        <f ca="1"/>
        <v>761168.89634184795</v>
      </c>
      <c r="AK10">
        <f ca="1"/>
        <v>764597.56578629231</v>
      </c>
      <c r="AL10">
        <f ca="1"/>
        <v>768026.23523073678</v>
      </c>
      <c r="AM10">
        <f ca="1"/>
        <v>771454.90467518126</v>
      </c>
      <c r="AN10">
        <f ca="1"/>
        <v>1162325.3611794384</v>
      </c>
      <c r="AO10">
        <f ca="1"/>
        <v>778312.2435640702</v>
      </c>
      <c r="AP10">
        <f ca="1"/>
        <v>781740.91300851456</v>
      </c>
      <c r="AQ10">
        <f ca="1"/>
        <v>781740.91300851456</v>
      </c>
      <c r="AR10">
        <f ca="1"/>
        <v>781740.91300851456</v>
      </c>
      <c r="AS10">
        <f ca="1"/>
        <v>938089.09561021742</v>
      </c>
      <c r="AT10">
        <f ca="1"/>
        <v>1187410.7674083693</v>
      </c>
      <c r="AU10">
        <f ca="1"/>
        <v>791607.17827224627</v>
      </c>
      <c r="AV10">
        <f ca="1"/>
        <v>791607.17827224627</v>
      </c>
      <c r="AW10">
        <f ca="1"/>
        <v>791607.17827224627</v>
      </c>
      <c r="AX10">
        <f ca="1"/>
        <v>791607.17827224627</v>
      </c>
      <c r="AY10">
        <f ca="1"/>
        <v>791607.17827224627</v>
      </c>
      <c r="AZ10">
        <f ca="1"/>
        <v>1187410.7674083693</v>
      </c>
      <c r="BA10">
        <f ca="1"/>
        <v>791607.17827224627</v>
      </c>
      <c r="BB10">
        <f ca="1"/>
        <v>791607.17827224627</v>
      </c>
      <c r="BC10">
        <f ca="1"/>
        <v>791607.17827224627</v>
      </c>
      <c r="BD10">
        <f ca="1"/>
        <v>791607.17827224627</v>
      </c>
      <c r="BE10">
        <f ca="1"/>
        <v>949928.61392669566</v>
      </c>
      <c r="BF10">
        <f ca="1"/>
        <v>1201843.5921836172</v>
      </c>
      <c r="BG10">
        <f ca="1"/>
        <v>801229.06145574467</v>
      </c>
      <c r="BH10">
        <f ca="1"/>
        <v>801229.06145574467</v>
      </c>
      <c r="BI10">
        <f ca="1"/>
        <v>801229.06145574467</v>
      </c>
      <c r="BJ10">
        <f ca="1"/>
        <v>801229.06145574467</v>
      </c>
      <c r="BK10">
        <f ca="1"/>
        <v>801229.06145574467</v>
      </c>
      <c r="BL10">
        <f ca="1"/>
        <v>1201843.5921836172</v>
      </c>
      <c r="BM10">
        <f ca="1"/>
        <v>801229.06145574467</v>
      </c>
      <c r="BN10">
        <f ca="1"/>
        <v>801229.06145574467</v>
      </c>
      <c r="BO10">
        <f ca="1"/>
        <v>801229.06145574467</v>
      </c>
      <c r="BP10">
        <f ca="1"/>
        <v>801229.06145574467</v>
      </c>
      <c r="BQ10">
        <f ca="1"/>
        <v>961474.87374689372</v>
      </c>
    </row>
    <row r="11" spans="1:69">
      <c r="E11" t="s">
        <v>37</v>
      </c>
      <c r="G11" t="s">
        <v>14</v>
      </c>
      <c r="H11">
        <f ca="1"/>
        <v>28625015.177914184</v>
      </c>
      <c r="J11">
        <f ca="1"/>
        <v>337360.46511627908</v>
      </c>
      <c r="K11">
        <f ca="1"/>
        <v>224906.97674418605</v>
      </c>
      <c r="L11">
        <f ca="1"/>
        <v>224906.97674418605</v>
      </c>
      <c r="M11">
        <f ca="1"/>
        <v>248912.65856236784</v>
      </c>
      <c r="N11">
        <f ca="1"/>
        <v>250759.24947145878</v>
      </c>
      <c r="O11">
        <f ca="1"/>
        <v>252605.84038054966</v>
      </c>
      <c r="P11">
        <f ca="1"/>
        <v>381678.64693446091</v>
      </c>
      <c r="Q11">
        <f ca="1"/>
        <v>256299.02219873149</v>
      </c>
      <c r="R11">
        <f ca="1"/>
        <v>258145.6131078224</v>
      </c>
      <c r="S11">
        <f ca="1"/>
        <v>293982.69618693565</v>
      </c>
      <c r="T11">
        <f ca="1"/>
        <v>298443.94033987448</v>
      </c>
      <c r="U11">
        <f ca="1"/>
        <v>363486.22139137588</v>
      </c>
      <c r="V11">
        <f ca="1"/>
        <v>465871.89305684995</v>
      </c>
      <c r="W11">
        <f ca="1"/>
        <v>315115.28230817022</v>
      </c>
      <c r="X11">
        <f ca="1"/>
        <v>319649.30257844052</v>
      </c>
      <c r="Y11">
        <f ca="1"/>
        <v>375224.87111426605</v>
      </c>
      <c r="Z11">
        <f ca="1"/>
        <v>381945.29946317576</v>
      </c>
      <c r="AA11">
        <f ca="1"/>
        <v>388665.72781208536</v>
      </c>
      <c r="AB11">
        <f ca="1"/>
        <v>593079.23424149246</v>
      </c>
      <c r="AC11">
        <f ca="1"/>
        <v>402106.58450990473</v>
      </c>
      <c r="AD11">
        <f ca="1"/>
        <v>408827.01285881433</v>
      </c>
      <c r="AE11">
        <f ca="1"/>
        <v>451341.96823475102</v>
      </c>
      <c r="AF11">
        <f ca="1"/>
        <v>458370.43712420121</v>
      </c>
      <c r="AG11">
        <f ca="1"/>
        <v>558478.68721638166</v>
      </c>
      <c r="AH11">
        <f ca="1"/>
        <v>710995.95878630201</v>
      </c>
      <c r="AI11">
        <f ca="1"/>
        <v>480997.99405197904</v>
      </c>
      <c r="AJ11">
        <f ca="1"/>
        <v>487998.6822464235</v>
      </c>
      <c r="AK11">
        <f ca="1"/>
        <v>490945.63780197903</v>
      </c>
      <c r="AL11">
        <f ca="1"/>
        <v>493892.59335753461</v>
      </c>
      <c r="AM11">
        <f ca="1"/>
        <v>496839.54891309014</v>
      </c>
      <c r="AN11">
        <f ca="1"/>
        <v>749679.7567029685</v>
      </c>
      <c r="AO11">
        <f ca="1"/>
        <v>502733.46002420125</v>
      </c>
      <c r="AP11">
        <f ca="1"/>
        <v>505680.41557975684</v>
      </c>
      <c r="AQ11">
        <f ca="1"/>
        <v>505680.41557975684</v>
      </c>
      <c r="AR11">
        <f ca="1"/>
        <v>505680.41557975684</v>
      </c>
      <c r="AS11">
        <f ca="1"/>
        <v>606816.49869570811</v>
      </c>
      <c r="AT11">
        <f ca="1"/>
        <v>767387.98282837716</v>
      </c>
      <c r="AU11">
        <f ca="1"/>
        <v>511591.9885522516</v>
      </c>
      <c r="AV11">
        <f ca="1"/>
        <v>511591.9885522516</v>
      </c>
      <c r="AW11">
        <f ca="1"/>
        <v>511591.9885522516</v>
      </c>
      <c r="AX11">
        <f ca="1"/>
        <v>511591.9885522516</v>
      </c>
      <c r="AY11">
        <f ca="1"/>
        <v>511591.9885522516</v>
      </c>
      <c r="AZ11">
        <f ca="1"/>
        <v>767387.98282837716</v>
      </c>
      <c r="BA11">
        <f ca="1"/>
        <v>511591.9885522516</v>
      </c>
      <c r="BB11">
        <f ca="1"/>
        <v>511591.9885522516</v>
      </c>
      <c r="BC11">
        <f ca="1"/>
        <v>511591.9885522516</v>
      </c>
      <c r="BD11">
        <f ca="1"/>
        <v>511591.9885522516</v>
      </c>
      <c r="BE11">
        <f ca="1"/>
        <v>613910.38626270182</v>
      </c>
      <c r="BF11">
        <f ca="1"/>
        <v>775442.60727366398</v>
      </c>
      <c r="BG11">
        <f ca="1"/>
        <v>516961.73818244273</v>
      </c>
      <c r="BH11">
        <f ca="1"/>
        <v>516961.73818244273</v>
      </c>
      <c r="BI11">
        <f ca="1"/>
        <v>516961.73818244273</v>
      </c>
      <c r="BJ11">
        <f ca="1"/>
        <v>516961.73818244273</v>
      </c>
      <c r="BK11">
        <f ca="1"/>
        <v>516961.73818244273</v>
      </c>
      <c r="BL11">
        <f ca="1"/>
        <v>775442.60727366398</v>
      </c>
      <c r="BM11">
        <f ca="1"/>
        <v>516961.73818244273</v>
      </c>
      <c r="BN11">
        <f ca="1"/>
        <v>516961.73818244273</v>
      </c>
      <c r="BO11">
        <f ca="1"/>
        <v>516961.73818244273</v>
      </c>
      <c r="BP11">
        <f ca="1"/>
        <v>516961.73818244273</v>
      </c>
      <c r="BQ11">
        <f ca="1"/>
        <v>620354.08581893134</v>
      </c>
    </row>
    <row r="12" spans="1:69">
      <c r="E12" t="s">
        <v>38</v>
      </c>
      <c r="G12" t="s">
        <v>14</v>
      </c>
      <c r="H12">
        <f ca="1"/>
        <v>10526556.724306349</v>
      </c>
      <c r="J12">
        <f ca="1"/>
        <v>127552.32558139534</v>
      </c>
      <c r="K12">
        <f ca="1"/>
        <v>85034.883720930229</v>
      </c>
      <c r="L12">
        <f ca="1"/>
        <v>85034.883720930229</v>
      </c>
      <c r="M12">
        <f ca="1"/>
        <v>92421.247357293862</v>
      </c>
      <c r="N12">
        <f ca="1"/>
        <v>92989.429175475685</v>
      </c>
      <c r="O12">
        <f ca="1"/>
        <v>93557.610993657494</v>
      </c>
      <c r="P12">
        <f ca="1"/>
        <v>141188.68921775898</v>
      </c>
      <c r="Q12">
        <f ca="1"/>
        <v>94693.974630021141</v>
      </c>
      <c r="R12">
        <f ca="1"/>
        <v>95262.15644820295</v>
      </c>
      <c r="S12">
        <f ca="1"/>
        <v>114734.14139837582</v>
      </c>
      <c r="T12">
        <f ca="1"/>
        <v>116756.4619190185</v>
      </c>
      <c r="U12">
        <f ca="1"/>
        <v>142534.53892759338</v>
      </c>
      <c r="V12">
        <f ca="1"/>
        <v>182975.53937558248</v>
      </c>
      <c r="W12">
        <f ca="1"/>
        <v>124036.98120534327</v>
      </c>
      <c r="X12">
        <f ca="1"/>
        <v>126090.26949363155</v>
      </c>
      <c r="Y12">
        <f ca="1"/>
        <v>145076.01521014245</v>
      </c>
      <c r="Z12">
        <f ca="1"/>
        <v>147896.4571883356</v>
      </c>
      <c r="AA12">
        <f ca="1"/>
        <v>150716.89916652875</v>
      </c>
      <c r="AB12">
        <f ca="1"/>
        <v>228402.65624834661</v>
      </c>
      <c r="AC12">
        <f ca="1"/>
        <v>156357.78312291505</v>
      </c>
      <c r="AD12">
        <f ca="1"/>
        <v>159178.2251011082</v>
      </c>
      <c r="AE12">
        <f ca="1"/>
        <v>171614.86077299502</v>
      </c>
      <c r="AF12">
        <f ca="1"/>
        <v>173815.00995839539</v>
      </c>
      <c r="AG12">
        <f ca="1"/>
        <v>211218.1909725549</v>
      </c>
      <c r="AH12">
        <f ca="1"/>
        <v>236728.1091191906</v>
      </c>
      <c r="AI12">
        <f ca="1"/>
        <v>181184.14554442689</v>
      </c>
      <c r="AJ12">
        <f ca="1"/>
        <v>183375.53747151024</v>
      </c>
      <c r="AK12">
        <f ca="1"/>
        <v>184225.62080484358</v>
      </c>
      <c r="AL12">
        <f ca="1"/>
        <v>185075.70413817689</v>
      </c>
      <c r="AM12">
        <f ca="1"/>
        <v>185925.78747151024</v>
      </c>
      <c r="AN12">
        <f ca="1"/>
        <v>239115.62407447968</v>
      </c>
      <c r="AO12">
        <f ca="1"/>
        <v>187625.95413817689</v>
      </c>
      <c r="AP12">
        <f ca="1"/>
        <v>188476.03747151024</v>
      </c>
      <c r="AQ12">
        <f ca="1"/>
        <v>188476.03747151024</v>
      </c>
      <c r="AR12">
        <f ca="1"/>
        <v>188476.03747151024</v>
      </c>
      <c r="AS12">
        <f ca="1"/>
        <v>226171.24496581228</v>
      </c>
      <c r="AT12">
        <f ca="1"/>
        <v>242556.67457598471</v>
      </c>
      <c r="AU12">
        <f ca="1"/>
        <v>190811.25066644134</v>
      </c>
      <c r="AV12">
        <f ca="1"/>
        <v>190811.25066644134</v>
      </c>
      <c r="AW12">
        <f ca="1"/>
        <v>190811.25066644134</v>
      </c>
      <c r="AX12">
        <f ca="1"/>
        <v>190811.25066644134</v>
      </c>
      <c r="AY12">
        <f ca="1"/>
        <v>190811.25066644134</v>
      </c>
      <c r="AZ12">
        <f ca="1"/>
        <v>242556.67457598471</v>
      </c>
      <c r="BA12">
        <f ca="1"/>
        <v>190811.25066644134</v>
      </c>
      <c r="BB12">
        <f ca="1"/>
        <v>190811.25066644134</v>
      </c>
      <c r="BC12">
        <f ca="1"/>
        <v>190811.25066644134</v>
      </c>
      <c r="BD12">
        <f ca="1"/>
        <v>190811.25066644134</v>
      </c>
      <c r="BE12">
        <f ca="1"/>
        <v>228973.50079972958</v>
      </c>
      <c r="BF12">
        <f ca="1"/>
        <v>245528.08732117809</v>
      </c>
      <c r="BG12">
        <f ca="1"/>
        <v>193148.76202599346</v>
      </c>
      <c r="BH12">
        <f ca="1"/>
        <v>193148.76202599346</v>
      </c>
      <c r="BI12">
        <f ca="1"/>
        <v>193148.76202599346</v>
      </c>
      <c r="BJ12">
        <f ca="1"/>
        <v>193148.76202599346</v>
      </c>
      <c r="BK12">
        <f ca="1"/>
        <v>193148.76202599346</v>
      </c>
      <c r="BL12">
        <f ca="1"/>
        <v>245528.08732117809</v>
      </c>
      <c r="BM12">
        <f ca="1"/>
        <v>193148.76202599346</v>
      </c>
      <c r="BN12">
        <f ca="1"/>
        <v>193148.76202599346</v>
      </c>
      <c r="BO12">
        <f ca="1"/>
        <v>193148.76202599346</v>
      </c>
      <c r="BP12">
        <f ca="1"/>
        <v>193148.76202599346</v>
      </c>
      <c r="BQ12">
        <f ca="1"/>
        <v>231778.51443119207</v>
      </c>
    </row>
    <row r="13" spans="1:69">
      <c r="E13" t="s">
        <v>114</v>
      </c>
      <c r="G13" t="s">
        <v>14</v>
      </c>
      <c r="H13">
        <f ca="1"/>
        <v>83483876.353804618</v>
      </c>
      <c r="J13" cm="1">
        <f t="array" aca="1" ref="J13:BQ13" ca="1" xml:space="preserve"> _xlfn.LET(
       _xlpm.anchor, $J10,
       _xlpm.block, OFFSET( _xlpm.anchor, 0, 0, COUNTA( $E$10:$E$12 ), periods ),
       _xlfn.BYCOL( _xlpm.block, _xlfn.LAMBDA(_xlpm.column, SUM( _xlpm.column ) ) ) )</f>
        <v>1003953.488372093</v>
      </c>
      <c r="K13">
        <f ca="1"/>
        <v>669302.3255813953</v>
      </c>
      <c r="L13">
        <f ca="1"/>
        <v>669302.3255813953</v>
      </c>
      <c r="M13">
        <f ca="1"/>
        <v>726423.53770260734</v>
      </c>
      <c r="N13">
        <f ca="1"/>
        <v>730817.47709654691</v>
      </c>
      <c r="O13">
        <f ca="1"/>
        <v>735211.41649048624</v>
      </c>
      <c r="P13">
        <f ca="1"/>
        <v>1109408.0338266385</v>
      </c>
      <c r="Q13">
        <f ca="1"/>
        <v>743999.29527836503</v>
      </c>
      <c r="R13">
        <f ca="1"/>
        <v>748393.23467230436</v>
      </c>
      <c r="S13">
        <f ca="1"/>
        <v>851486.83849577396</v>
      </c>
      <c r="T13">
        <f ca="1"/>
        <v>863473.05976890808</v>
      </c>
      <c r="U13">
        <f ca="1"/>
        <v>1050551.1372504504</v>
      </c>
      <c r="V13">
        <f ca="1"/>
        <v>1344002.3062286424</v>
      </c>
      <c r="W13">
        <f ca="1"/>
        <v>908179.02247074654</v>
      </c>
      <c r="X13">
        <f ca="1"/>
        <v>920356.50745573151</v>
      </c>
      <c r="Y13">
        <f ca="1"/>
        <v>1107453.943203395</v>
      </c>
      <c r="Z13">
        <f ca="1"/>
        <v>1128946.8228762923</v>
      </c>
      <c r="AA13">
        <f ca="1"/>
        <v>1150439.7025491896</v>
      </c>
      <c r="AB13">
        <f ca="1"/>
        <v>1755995.5178643938</v>
      </c>
      <c r="AC13">
        <f ca="1"/>
        <v>1193425.4618949839</v>
      </c>
      <c r="AD13">
        <f ca="1"/>
        <v>1214918.3415678809</v>
      </c>
      <c r="AE13">
        <f ca="1"/>
        <v>1322979.7009705079</v>
      </c>
      <c r="AF13">
        <f ca="1"/>
        <v>1344030.9252379998</v>
      </c>
      <c r="AG13">
        <f ca="1"/>
        <v>1638098.5794065897</v>
      </c>
      <c r="AH13">
        <f ca="1"/>
        <v>2054153.6436682644</v>
      </c>
      <c r="AI13">
        <f ca="1"/>
        <v>1411576.4463549205</v>
      </c>
      <c r="AJ13">
        <f ca="1"/>
        <v>1432543.1160597818</v>
      </c>
      <c r="AK13">
        <f ca="1"/>
        <v>1439768.8243931148</v>
      </c>
      <c r="AL13">
        <f ca="1"/>
        <v>1446994.5327264485</v>
      </c>
      <c r="AM13">
        <f ca="1"/>
        <v>1454220.2410597818</v>
      </c>
      <c r="AN13">
        <f ca="1"/>
        <v>2151120.7419568864</v>
      </c>
      <c r="AO13">
        <f ca="1"/>
        <v>1468671.6577264485</v>
      </c>
      <c r="AP13">
        <f ca="1"/>
        <v>1475897.3660597818</v>
      </c>
      <c r="AQ13">
        <f ca="1"/>
        <v>1475897.3660597818</v>
      </c>
      <c r="AR13">
        <f ca="1"/>
        <v>1475897.3660597818</v>
      </c>
      <c r="AS13">
        <f ca="1"/>
        <v>1771076.8392717377</v>
      </c>
      <c r="AT13">
        <f ca="1"/>
        <v>2197355.4248127313</v>
      </c>
      <c r="AU13">
        <f ca="1"/>
        <v>1494010.4174909391</v>
      </c>
      <c r="AV13">
        <f ca="1"/>
        <v>1494010.4174909391</v>
      </c>
      <c r="AW13">
        <f ca="1"/>
        <v>1494010.4174909391</v>
      </c>
      <c r="AX13">
        <f ca="1"/>
        <v>1494010.4174909391</v>
      </c>
      <c r="AY13">
        <f ca="1"/>
        <v>1494010.4174909391</v>
      </c>
      <c r="AZ13">
        <f ca="1"/>
        <v>2197355.4248127313</v>
      </c>
      <c r="BA13">
        <f ca="1"/>
        <v>1494010.4174909391</v>
      </c>
      <c r="BB13">
        <f ca="1"/>
        <v>1494010.4174909391</v>
      </c>
      <c r="BC13">
        <f ca="1"/>
        <v>1494010.4174909391</v>
      </c>
      <c r="BD13">
        <f ca="1"/>
        <v>1494010.4174909391</v>
      </c>
      <c r="BE13">
        <f ca="1"/>
        <v>1792812.500989127</v>
      </c>
      <c r="BF13">
        <f ca="1"/>
        <v>2222814.2867784593</v>
      </c>
      <c r="BG13">
        <f ca="1"/>
        <v>1511339.5616641811</v>
      </c>
      <c r="BH13">
        <f ca="1"/>
        <v>1511339.5616641811</v>
      </c>
      <c r="BI13">
        <f ca="1"/>
        <v>1511339.5616641811</v>
      </c>
      <c r="BJ13">
        <f ca="1"/>
        <v>1511339.5616641811</v>
      </c>
      <c r="BK13">
        <f ca="1"/>
        <v>1511339.5616641811</v>
      </c>
      <c r="BL13">
        <f ca="1"/>
        <v>2222814.2867784593</v>
      </c>
      <c r="BM13">
        <f ca="1"/>
        <v>1511339.5616641811</v>
      </c>
      <c r="BN13">
        <f ca="1"/>
        <v>1511339.5616641811</v>
      </c>
      <c r="BO13">
        <f ca="1"/>
        <v>1511339.5616641811</v>
      </c>
      <c r="BP13">
        <f ca="1"/>
        <v>1511339.5616641811</v>
      </c>
      <c r="BQ13">
        <f ca="1"/>
        <v>1813607.4739970171</v>
      </c>
    </row>
    <row r="15" spans="1:69">
      <c r="D15" s="101" t="s">
        <v>111</v>
      </c>
    </row>
    <row r="16" spans="1:69">
      <c r="E16" t="str" cm="1">
        <f t="array" ref="E16:E23">lstCountries</f>
        <v>France</v>
      </c>
      <c r="G16" t="s">
        <v>14</v>
      </c>
      <c r="H16" cm="1">
        <f t="array" aca="1" ref="H16:H24" ca="1" xml:space="preserve"> _xlfn.LET(
       _xlpm.anchor,$J16,
       _xlpm.block, OFFSET(  _xlpm.anchor, 0, 0, COUNTA( lstCountries ) + 1, periods ),
       _xlfn.BYROW( _xlpm.block, _xlfn.LAMBDA(_xlpm.row, SUM( _xlpm.row ) ) ) )</f>
        <v>13159055.709594449</v>
      </c>
      <c r="J16" s="120" cm="1">
        <f t="array" aca="1" ref="J16:BQ23" ca="1" xml:space="preserve"> _xlfn.LET(
       _xlpm.operating_flag,_xlfn.ANCHORARRAY( Time!$J18),
       _xlpm.w_units_anchor, Volume!$J8,
       _xlpm.w_units_sold, OFFSET( _xlpm.w_units_anchor, 0, 0, COUNTA( lstStores ), periods ),
       _xlpm.w_price_anchor, Price!$J40,
       _xlpm.w_price, OFFSET( _xlpm.w_price_anchor, 0, 0, COUNTA( lstStores ), periods ),
       _xlpm.m_units_anchor, Volume!$J18,
       _xlpm.m_units_sold, OFFSET( _xlpm.m_units_anchor, 0, 0, COUNTA( lstStores ), periods ),
       _xlpm.m_price_anchor, Price!$J50,
       _xlpm.m_price, OFFSET( _xlpm.m_price_anchor, 0, 0, COUNTA( lstStores ), periods ),
       _xlpm.a_units_anchor, Volume!$J45,
       _xlpm.a_units_sold, OFFSET( _xlpm.a_units_anchor, 0, 0, COUNTA( lstStores ), periods ),
       _xlpm.a_price_anchor, Price!$J60,
       _xlpm.a_price, OFFSET( _xlpm.a_price_anchor, 0, 0, COUNTA( lstStores ), periods ),
       _xlpm.operating_flag * ( (_xlpm.w_units_sold * _xlpm.w_price ) + (_xlpm.m_units_sold * _xlpm.m_price ) + (_xlpm.a_units_sold * _xlpm.a_price ) ) )</f>
        <v>295500</v>
      </c>
      <c r="K16">
        <f ca="1"/>
        <v>197000</v>
      </c>
      <c r="L16">
        <f ca="1"/>
        <v>197000</v>
      </c>
      <c r="M16">
        <f ca="1"/>
        <v>197000</v>
      </c>
      <c r="N16">
        <f ca="1"/>
        <v>197000</v>
      </c>
      <c r="O16">
        <f ca="1"/>
        <v>197000</v>
      </c>
      <c r="P16">
        <f ca="1"/>
        <v>295500</v>
      </c>
      <c r="Q16">
        <f ca="1"/>
        <v>197000</v>
      </c>
      <c r="R16">
        <f ca="1"/>
        <v>197000</v>
      </c>
      <c r="S16">
        <f ca="1"/>
        <v>197000</v>
      </c>
      <c r="T16">
        <f ca="1"/>
        <v>197000</v>
      </c>
      <c r="U16">
        <f ca="1"/>
        <v>236400</v>
      </c>
      <c r="V16">
        <f ca="1"/>
        <v>296977.49999999994</v>
      </c>
      <c r="W16">
        <f ca="1"/>
        <v>197984.99999999997</v>
      </c>
      <c r="X16">
        <f ca="1"/>
        <v>197984.99999999997</v>
      </c>
      <c r="Y16">
        <f ca="1"/>
        <v>197984.99999999997</v>
      </c>
      <c r="Z16">
        <f ca="1"/>
        <v>197984.99999999997</v>
      </c>
      <c r="AA16">
        <f ca="1"/>
        <v>197984.99999999997</v>
      </c>
      <c r="AB16">
        <f ca="1"/>
        <v>296491.61157024791</v>
      </c>
      <c r="AC16">
        <f ca="1"/>
        <v>197984.99999999997</v>
      </c>
      <c r="AD16">
        <f ca="1"/>
        <v>197984.99999999997</v>
      </c>
      <c r="AE16">
        <f ca="1"/>
        <v>197984.99999999997</v>
      </c>
      <c r="AF16">
        <f ca="1"/>
        <v>197984.99999999997</v>
      </c>
      <c r="AG16">
        <f ca="1"/>
        <v>237581.99999999997</v>
      </c>
      <c r="AH16">
        <f ca="1"/>
        <v>291472.73249448929</v>
      </c>
      <c r="AI16">
        <f ca="1"/>
        <v>198974.92499999993</v>
      </c>
      <c r="AJ16">
        <f ca="1"/>
        <v>198974.92499999993</v>
      </c>
      <c r="AK16">
        <f ca="1"/>
        <v>198974.92499999993</v>
      </c>
      <c r="AL16">
        <f ca="1"/>
        <v>198974.92499999993</v>
      </c>
      <c r="AM16">
        <f ca="1"/>
        <v>198974.92499999993</v>
      </c>
      <c r="AN16">
        <f ca="1"/>
        <v>289805.33822901838</v>
      </c>
      <c r="AO16">
        <f ca="1"/>
        <v>198974.92499999993</v>
      </c>
      <c r="AP16">
        <f ca="1"/>
        <v>198974.92499999993</v>
      </c>
      <c r="AQ16">
        <f ca="1"/>
        <v>198974.92499999993</v>
      </c>
      <c r="AR16">
        <f ca="1"/>
        <v>198974.92499999993</v>
      </c>
      <c r="AS16">
        <f ca="1"/>
        <v>238769.90999999992</v>
      </c>
      <c r="AT16">
        <f ca="1"/>
        <v>292343.69028813549</v>
      </c>
      <c r="AU16">
        <f ca="1"/>
        <v>200964.67424999995</v>
      </c>
      <c r="AV16">
        <f ca="1"/>
        <v>200964.67424999995</v>
      </c>
      <c r="AW16">
        <f ca="1"/>
        <v>200964.67424999995</v>
      </c>
      <c r="AX16">
        <f ca="1"/>
        <v>200964.67424999995</v>
      </c>
      <c r="AY16">
        <f ca="1"/>
        <v>200964.67424999995</v>
      </c>
      <c r="AZ16">
        <f ca="1"/>
        <v>292343.69028813549</v>
      </c>
      <c r="BA16">
        <f ca="1"/>
        <v>200964.67424999995</v>
      </c>
      <c r="BB16">
        <f ca="1"/>
        <v>200964.67424999995</v>
      </c>
      <c r="BC16">
        <f ca="1"/>
        <v>200964.67424999995</v>
      </c>
      <c r="BD16">
        <f ca="1"/>
        <v>200964.67424999995</v>
      </c>
      <c r="BE16">
        <f ca="1"/>
        <v>241157.60909999994</v>
      </c>
      <c r="BF16">
        <f ca="1"/>
        <v>299652.28254533891</v>
      </c>
      <c r="BG16">
        <f ca="1"/>
        <v>205988.7911062499</v>
      </c>
      <c r="BH16">
        <f ca="1"/>
        <v>205988.7911062499</v>
      </c>
      <c r="BI16">
        <f ca="1"/>
        <v>205988.7911062499</v>
      </c>
      <c r="BJ16">
        <f ca="1"/>
        <v>205988.7911062499</v>
      </c>
      <c r="BK16">
        <f ca="1"/>
        <v>205988.7911062499</v>
      </c>
      <c r="BL16">
        <f ca="1"/>
        <v>299652.28254533891</v>
      </c>
      <c r="BM16">
        <f ca="1"/>
        <v>205988.7911062499</v>
      </c>
      <c r="BN16">
        <f ca="1"/>
        <v>205988.7911062499</v>
      </c>
      <c r="BO16">
        <f ca="1"/>
        <v>205988.7911062499</v>
      </c>
      <c r="BP16">
        <f ca="1"/>
        <v>205988.7911062499</v>
      </c>
      <c r="BQ16">
        <f ca="1"/>
        <v>247186.5493274999</v>
      </c>
    </row>
    <row r="17" spans="1:69">
      <c r="E17" t="str">
        <v>Italy</v>
      </c>
      <c r="G17" t="s">
        <v>14</v>
      </c>
      <c r="H17">
        <f ca="1"/>
        <v>15428199.538571222</v>
      </c>
      <c r="J17">
        <f ca="1"/>
        <v>345750</v>
      </c>
      <c r="K17">
        <f ca="1"/>
        <v>230500</v>
      </c>
      <c r="L17">
        <f ca="1"/>
        <v>230500</v>
      </c>
      <c r="M17">
        <f ca="1"/>
        <v>230500</v>
      </c>
      <c r="N17">
        <f ca="1"/>
        <v>230500</v>
      </c>
      <c r="O17">
        <f ca="1"/>
        <v>230500</v>
      </c>
      <c r="P17">
        <f ca="1"/>
        <v>345750</v>
      </c>
      <c r="Q17">
        <f ca="1"/>
        <v>230500</v>
      </c>
      <c r="R17">
        <f ca="1"/>
        <v>230500</v>
      </c>
      <c r="S17">
        <f ca="1"/>
        <v>230500</v>
      </c>
      <c r="T17">
        <f ca="1"/>
        <v>230500</v>
      </c>
      <c r="U17">
        <f ca="1"/>
        <v>276600</v>
      </c>
      <c r="V17">
        <f ca="1"/>
        <v>347478.75</v>
      </c>
      <c r="W17">
        <f ca="1"/>
        <v>231652.49999999994</v>
      </c>
      <c r="X17">
        <f ca="1"/>
        <v>231652.49999999994</v>
      </c>
      <c r="Y17">
        <f ca="1"/>
        <v>231652.49999999994</v>
      </c>
      <c r="Z17">
        <f ca="1"/>
        <v>231652.49999999994</v>
      </c>
      <c r="AA17">
        <f ca="1"/>
        <v>231652.49999999994</v>
      </c>
      <c r="AB17">
        <f ca="1"/>
        <v>347198.42975206609</v>
      </c>
      <c r="AC17">
        <f ca="1"/>
        <v>231652.49999999994</v>
      </c>
      <c r="AD17">
        <f ca="1"/>
        <v>231652.49999999994</v>
      </c>
      <c r="AE17">
        <f ca="1"/>
        <v>231652.49999999994</v>
      </c>
      <c r="AF17">
        <f ca="1"/>
        <v>231652.49999999994</v>
      </c>
      <c r="AG17">
        <f ca="1"/>
        <v>277982.99999999994</v>
      </c>
      <c r="AH17">
        <f ca="1"/>
        <v>345183.65047758992</v>
      </c>
      <c r="AI17">
        <f ca="1"/>
        <v>232810.76249999995</v>
      </c>
      <c r="AJ17">
        <f ca="1"/>
        <v>232810.76249999995</v>
      </c>
      <c r="AK17">
        <f ca="1"/>
        <v>232810.76249999995</v>
      </c>
      <c r="AL17">
        <f ca="1"/>
        <v>232810.76249999995</v>
      </c>
      <c r="AM17">
        <f ca="1"/>
        <v>232810.76249999995</v>
      </c>
      <c r="AN17">
        <f ca="1"/>
        <v>344221.6922475106</v>
      </c>
      <c r="AO17">
        <f ca="1"/>
        <v>232810.76249999995</v>
      </c>
      <c r="AP17">
        <f ca="1"/>
        <v>232810.76249999995</v>
      </c>
      <c r="AQ17">
        <f ca="1"/>
        <v>232810.76249999995</v>
      </c>
      <c r="AR17">
        <f ca="1"/>
        <v>232810.76249999995</v>
      </c>
      <c r="AS17">
        <f ca="1"/>
        <v>279372.91499999992</v>
      </c>
      <c r="AT17">
        <f ca="1"/>
        <v>347456.38917584735</v>
      </c>
      <c r="AU17">
        <f ca="1"/>
        <v>235138.87012499993</v>
      </c>
      <c r="AV17">
        <f ca="1"/>
        <v>235138.87012499993</v>
      </c>
      <c r="AW17">
        <f ca="1"/>
        <v>235138.87012499993</v>
      </c>
      <c r="AX17">
        <f ca="1"/>
        <v>235138.87012499993</v>
      </c>
      <c r="AY17">
        <f ca="1"/>
        <v>235138.87012499993</v>
      </c>
      <c r="AZ17">
        <f ca="1"/>
        <v>347456.38917584735</v>
      </c>
      <c r="BA17">
        <f ca="1"/>
        <v>235138.87012499993</v>
      </c>
      <c r="BB17">
        <f ca="1"/>
        <v>235138.87012499993</v>
      </c>
      <c r="BC17">
        <f ca="1"/>
        <v>235138.87012499993</v>
      </c>
      <c r="BD17">
        <f ca="1"/>
        <v>235138.87012499993</v>
      </c>
      <c r="BE17">
        <f ca="1"/>
        <v>282166.64414999995</v>
      </c>
      <c r="BF17">
        <f ca="1"/>
        <v>356142.79890524352</v>
      </c>
      <c r="BG17">
        <f ca="1"/>
        <v>241017.34187812489</v>
      </c>
      <c r="BH17">
        <f ca="1"/>
        <v>241017.34187812489</v>
      </c>
      <c r="BI17">
        <f ca="1"/>
        <v>241017.34187812489</v>
      </c>
      <c r="BJ17">
        <f ca="1"/>
        <v>241017.34187812489</v>
      </c>
      <c r="BK17">
        <f ca="1"/>
        <v>241017.34187812489</v>
      </c>
      <c r="BL17">
        <f ca="1"/>
        <v>356142.79890524352</v>
      </c>
      <c r="BM17">
        <f ca="1"/>
        <v>241017.34187812489</v>
      </c>
      <c r="BN17">
        <f ca="1"/>
        <v>241017.34187812489</v>
      </c>
      <c r="BO17">
        <f ca="1"/>
        <v>241017.34187812489</v>
      </c>
      <c r="BP17">
        <f ca="1"/>
        <v>241017.34187812489</v>
      </c>
      <c r="BQ17">
        <f ca="1"/>
        <v>289220.81025374989</v>
      </c>
    </row>
    <row r="18" spans="1:69">
      <c r="E18" t="str">
        <v>Spain</v>
      </c>
      <c r="G18" t="s">
        <v>14</v>
      </c>
      <c r="H18">
        <f ca="1"/>
        <v>8035722.3419519896</v>
      </c>
      <c r="J18">
        <f ca="1"/>
        <v>180000</v>
      </c>
      <c r="K18">
        <f ca="1"/>
        <v>120000</v>
      </c>
      <c r="L18">
        <f ca="1"/>
        <v>120000</v>
      </c>
      <c r="M18">
        <f ca="1"/>
        <v>120000</v>
      </c>
      <c r="N18">
        <f ca="1"/>
        <v>120000</v>
      </c>
      <c r="O18">
        <f ca="1"/>
        <v>120000</v>
      </c>
      <c r="P18">
        <f ca="1"/>
        <v>180000</v>
      </c>
      <c r="Q18">
        <f ca="1"/>
        <v>120000</v>
      </c>
      <c r="R18">
        <f ca="1"/>
        <v>120000</v>
      </c>
      <c r="S18">
        <f ca="1"/>
        <v>120000</v>
      </c>
      <c r="T18">
        <f ca="1"/>
        <v>120000</v>
      </c>
      <c r="U18">
        <f ca="1"/>
        <v>144000</v>
      </c>
      <c r="V18">
        <f ca="1"/>
        <v>180900</v>
      </c>
      <c r="W18">
        <f ca="1"/>
        <v>120599.99999999997</v>
      </c>
      <c r="X18">
        <f ca="1"/>
        <v>120599.99999999997</v>
      </c>
      <c r="Y18">
        <f ca="1"/>
        <v>120599.99999999997</v>
      </c>
      <c r="Z18">
        <f ca="1"/>
        <v>120599.99999999997</v>
      </c>
      <c r="AA18">
        <f ca="1"/>
        <v>120599.99999999997</v>
      </c>
      <c r="AB18">
        <f ca="1"/>
        <v>180787.87190082646</v>
      </c>
      <c r="AC18">
        <f ca="1"/>
        <v>120599.99999999997</v>
      </c>
      <c r="AD18">
        <f ca="1"/>
        <v>120599.99999999997</v>
      </c>
      <c r="AE18">
        <f ca="1"/>
        <v>120599.99999999997</v>
      </c>
      <c r="AF18">
        <f ca="1"/>
        <v>120599.99999999997</v>
      </c>
      <c r="AG18">
        <f ca="1"/>
        <v>144719.99999999997</v>
      </c>
      <c r="AH18">
        <f ca="1"/>
        <v>180191.50269103597</v>
      </c>
      <c r="AI18">
        <f ca="1"/>
        <v>121202.99999999997</v>
      </c>
      <c r="AJ18">
        <f ca="1"/>
        <v>121202.99999999997</v>
      </c>
      <c r="AK18">
        <f ca="1"/>
        <v>121202.99999999997</v>
      </c>
      <c r="AL18">
        <f ca="1"/>
        <v>121202.99999999997</v>
      </c>
      <c r="AM18">
        <f ca="1"/>
        <v>121202.99999999997</v>
      </c>
      <c r="AN18">
        <f ca="1"/>
        <v>179806.71939900424</v>
      </c>
      <c r="AO18">
        <f ca="1"/>
        <v>121202.99999999997</v>
      </c>
      <c r="AP18">
        <f ca="1"/>
        <v>121202.99999999997</v>
      </c>
      <c r="AQ18">
        <f ca="1"/>
        <v>121202.99999999997</v>
      </c>
      <c r="AR18">
        <f ca="1"/>
        <v>121202.99999999997</v>
      </c>
      <c r="AS18">
        <f ca="1"/>
        <v>145443.59999999995</v>
      </c>
      <c r="AT18">
        <f ca="1"/>
        <v>181521.77859533892</v>
      </c>
      <c r="AU18">
        <f ca="1"/>
        <v>122415.02999999997</v>
      </c>
      <c r="AV18">
        <f ca="1"/>
        <v>122415.02999999997</v>
      </c>
      <c r="AW18">
        <f ca="1"/>
        <v>122415.02999999997</v>
      </c>
      <c r="AX18">
        <f ca="1"/>
        <v>122415.02999999997</v>
      </c>
      <c r="AY18">
        <f ca="1"/>
        <v>122415.02999999997</v>
      </c>
      <c r="AZ18">
        <f ca="1"/>
        <v>181521.77859533892</v>
      </c>
      <c r="BA18">
        <f ca="1"/>
        <v>122415.02999999997</v>
      </c>
      <c r="BB18">
        <f ca="1"/>
        <v>122415.02999999997</v>
      </c>
      <c r="BC18">
        <f ca="1"/>
        <v>122415.02999999997</v>
      </c>
      <c r="BD18">
        <f ca="1"/>
        <v>122415.02999999997</v>
      </c>
      <c r="BE18">
        <f ca="1"/>
        <v>146898.03599999996</v>
      </c>
      <c r="BF18">
        <f ca="1"/>
        <v>186059.82306022241</v>
      </c>
      <c r="BG18">
        <f ca="1"/>
        <v>125475.40574999995</v>
      </c>
      <c r="BH18">
        <f ca="1"/>
        <v>125475.40574999995</v>
      </c>
      <c r="BI18">
        <f ca="1"/>
        <v>125475.40574999995</v>
      </c>
      <c r="BJ18">
        <f ca="1"/>
        <v>125475.40574999995</v>
      </c>
      <c r="BK18">
        <f ca="1"/>
        <v>125475.40574999995</v>
      </c>
      <c r="BL18">
        <f ca="1"/>
        <v>186059.82306022241</v>
      </c>
      <c r="BM18">
        <f ca="1"/>
        <v>125475.40574999995</v>
      </c>
      <c r="BN18">
        <f ca="1"/>
        <v>125475.40574999995</v>
      </c>
      <c r="BO18">
        <f ca="1"/>
        <v>125475.40574999995</v>
      </c>
      <c r="BP18">
        <f ca="1"/>
        <v>125475.40574999995</v>
      </c>
      <c r="BQ18">
        <f ca="1"/>
        <v>150570.48689999996</v>
      </c>
    </row>
    <row r="19" spans="1:69">
      <c r="E19" t="str">
        <v>UK</v>
      </c>
      <c r="G19" t="s">
        <v>14</v>
      </c>
      <c r="H19">
        <f ca="1"/>
        <v>8122540.2120107859</v>
      </c>
      <c r="J19">
        <f ca="1"/>
        <v>182703.48837209304</v>
      </c>
      <c r="K19">
        <f ca="1"/>
        <v>121802.32558139534</v>
      </c>
      <c r="L19">
        <f ca="1"/>
        <v>121802.32558139534</v>
      </c>
      <c r="M19">
        <f ca="1"/>
        <v>121802.32558139534</v>
      </c>
      <c r="N19">
        <f ca="1"/>
        <v>121802.32558139534</v>
      </c>
      <c r="O19">
        <f ca="1"/>
        <v>121802.32558139534</v>
      </c>
      <c r="P19">
        <f ca="1"/>
        <v>182703.48837209304</v>
      </c>
      <c r="Q19">
        <f ca="1"/>
        <v>121802.32558139534</v>
      </c>
      <c r="R19">
        <f ca="1"/>
        <v>121802.32558139534</v>
      </c>
      <c r="S19">
        <f ca="1"/>
        <v>121802.32558139534</v>
      </c>
      <c r="T19">
        <f ca="1"/>
        <v>121802.32558139534</v>
      </c>
      <c r="U19">
        <f ca="1"/>
        <v>146162.79069767441</v>
      </c>
      <c r="V19">
        <f ca="1"/>
        <v>186021.55172413794</v>
      </c>
      <c r="W19">
        <f ca="1"/>
        <v>124014.36781609195</v>
      </c>
      <c r="X19">
        <f ca="1"/>
        <v>124014.36781609195</v>
      </c>
      <c r="Y19">
        <f ca="1"/>
        <v>124014.36781609195</v>
      </c>
      <c r="Z19">
        <f ca="1"/>
        <v>124014.36781609195</v>
      </c>
      <c r="AA19">
        <f ca="1"/>
        <v>124014.36781609195</v>
      </c>
      <c r="AB19">
        <f ca="1"/>
        <v>185838.09489883159</v>
      </c>
      <c r="AC19">
        <f ca="1"/>
        <v>124014.36781609195</v>
      </c>
      <c r="AD19">
        <f ca="1"/>
        <v>124014.36781609195</v>
      </c>
      <c r="AE19">
        <f ca="1"/>
        <v>124014.36781609195</v>
      </c>
      <c r="AF19">
        <f ca="1"/>
        <v>124014.36781609195</v>
      </c>
      <c r="AG19">
        <f ca="1"/>
        <v>148817.24137931038</v>
      </c>
      <c r="AH19">
        <f ca="1"/>
        <v>183124.67312846505</v>
      </c>
      <c r="AI19">
        <f ca="1"/>
        <v>123831.16477272726</v>
      </c>
      <c r="AJ19">
        <f ca="1"/>
        <v>123831.16477272726</v>
      </c>
      <c r="AK19">
        <f ca="1"/>
        <v>123831.16477272726</v>
      </c>
      <c r="AL19">
        <f ca="1"/>
        <v>123831.16477272726</v>
      </c>
      <c r="AM19">
        <f ca="1"/>
        <v>123831.16477272726</v>
      </c>
      <c r="AN19">
        <f ca="1"/>
        <v>182499.17284284884</v>
      </c>
      <c r="AO19">
        <f ca="1"/>
        <v>123831.16477272726</v>
      </c>
      <c r="AP19">
        <f ca="1"/>
        <v>123831.16477272726</v>
      </c>
      <c r="AQ19">
        <f ca="1"/>
        <v>123831.16477272726</v>
      </c>
      <c r="AR19">
        <f ca="1"/>
        <v>123831.16477272726</v>
      </c>
      <c r="AS19">
        <f ca="1"/>
        <v>148597.39772727271</v>
      </c>
      <c r="AT19">
        <f ca="1"/>
        <v>182119.68562892781</v>
      </c>
      <c r="AU19">
        <f ca="1"/>
        <v>123664.20140449438</v>
      </c>
      <c r="AV19">
        <f ca="1"/>
        <v>123664.20140449438</v>
      </c>
      <c r="AW19">
        <f ca="1"/>
        <v>123664.20140449438</v>
      </c>
      <c r="AX19">
        <f ca="1"/>
        <v>123664.20140449438</v>
      </c>
      <c r="AY19">
        <f ca="1"/>
        <v>123664.20140449438</v>
      </c>
      <c r="AZ19">
        <f ca="1"/>
        <v>182119.68562892781</v>
      </c>
      <c r="BA19">
        <f ca="1"/>
        <v>123664.20140449438</v>
      </c>
      <c r="BB19">
        <f ca="1"/>
        <v>123664.20140449438</v>
      </c>
      <c r="BC19">
        <f ca="1"/>
        <v>123664.20140449438</v>
      </c>
      <c r="BD19">
        <f ca="1"/>
        <v>123664.20140449438</v>
      </c>
      <c r="BE19">
        <f ca="1"/>
        <v>148397.04168539325</v>
      </c>
      <c r="BF19">
        <f ca="1"/>
        <v>181897.09490204803</v>
      </c>
      <c r="BG19">
        <f ca="1"/>
        <v>123513.05626944444</v>
      </c>
      <c r="BH19">
        <f ca="1"/>
        <v>123513.05626944444</v>
      </c>
      <c r="BI19">
        <f ca="1"/>
        <v>123513.05626944444</v>
      </c>
      <c r="BJ19">
        <f ca="1"/>
        <v>123513.05626944444</v>
      </c>
      <c r="BK19">
        <f ca="1"/>
        <v>123513.05626944444</v>
      </c>
      <c r="BL19">
        <f ca="1"/>
        <v>181897.09490204803</v>
      </c>
      <c r="BM19">
        <f ca="1"/>
        <v>123513.05626944444</v>
      </c>
      <c r="BN19">
        <f ca="1"/>
        <v>123513.05626944444</v>
      </c>
      <c r="BO19">
        <f ca="1"/>
        <v>123513.05626944444</v>
      </c>
      <c r="BP19">
        <f ca="1"/>
        <v>123513.05626944444</v>
      </c>
      <c r="BQ19">
        <f ca="1"/>
        <v>148215.66752333334</v>
      </c>
    </row>
    <row r="20" spans="1:69">
      <c r="E20" t="str">
        <v>US</v>
      </c>
      <c r="G20" t="s">
        <v>14</v>
      </c>
      <c r="H20">
        <f ca="1"/>
        <v>6473259.1836202154</v>
      </c>
      <c r="J20">
        <f ca="1"/>
        <v>0</v>
      </c>
      <c r="K20">
        <f ca="1"/>
        <v>0</v>
      </c>
      <c r="L20">
        <f ca="1"/>
        <v>0</v>
      </c>
      <c r="M20">
        <f ca="1"/>
        <v>57121.212121212098</v>
      </c>
      <c r="N20">
        <f ca="1"/>
        <v>61515.151515151505</v>
      </c>
      <c r="O20">
        <f ca="1"/>
        <v>65909.090909090912</v>
      </c>
      <c r="P20">
        <f ca="1"/>
        <v>105454.54545454544</v>
      </c>
      <c r="Q20">
        <f ca="1"/>
        <v>74696.969696969682</v>
      </c>
      <c r="R20">
        <f ca="1"/>
        <v>79090.909090909074</v>
      </c>
      <c r="S20">
        <f ca="1"/>
        <v>83484.84848484848</v>
      </c>
      <c r="T20">
        <f ca="1"/>
        <v>87878.787878787887</v>
      </c>
      <c r="U20">
        <f ca="1"/>
        <v>110727.27272727274</v>
      </c>
      <c r="V20">
        <f ca="1"/>
        <v>148004.5045045045</v>
      </c>
      <c r="W20">
        <f ca="1"/>
        <v>103154.65465465467</v>
      </c>
      <c r="X20">
        <f ca="1"/>
        <v>107639.63963963963</v>
      </c>
      <c r="Y20">
        <f ca="1"/>
        <v>107639.63963963963</v>
      </c>
      <c r="Z20">
        <f ca="1"/>
        <v>107639.63963963963</v>
      </c>
      <c r="AA20">
        <f ca="1"/>
        <v>107639.63963963963</v>
      </c>
      <c r="AB20">
        <f ca="1"/>
        <v>161286.91087781996</v>
      </c>
      <c r="AC20">
        <f ca="1"/>
        <v>107639.63963963963</v>
      </c>
      <c r="AD20">
        <f ca="1"/>
        <v>107639.63963963963</v>
      </c>
      <c r="AE20">
        <f ca="1"/>
        <v>107639.63963963963</v>
      </c>
      <c r="AF20">
        <f ca="1"/>
        <v>107639.63963963963</v>
      </c>
      <c r="AG20">
        <f ca="1"/>
        <v>129167.56756756756</v>
      </c>
      <c r="AH20">
        <f ca="1"/>
        <v>160721.49542090899</v>
      </c>
      <c r="AI20">
        <f ca="1"/>
        <v>108812.14285714284</v>
      </c>
      <c r="AJ20">
        <f ca="1"/>
        <v>108812.14285714284</v>
      </c>
      <c r="AK20">
        <f ca="1"/>
        <v>108812.14285714284</v>
      </c>
      <c r="AL20">
        <f ca="1"/>
        <v>108812.14285714284</v>
      </c>
      <c r="AM20">
        <f ca="1"/>
        <v>108812.14285714284</v>
      </c>
      <c r="AN20">
        <f ca="1"/>
        <v>160125.89882645803</v>
      </c>
      <c r="AO20">
        <f ca="1"/>
        <v>108812.14285714284</v>
      </c>
      <c r="AP20">
        <f ca="1"/>
        <v>108812.14285714284</v>
      </c>
      <c r="AQ20">
        <f ca="1"/>
        <v>108812.14285714284</v>
      </c>
      <c r="AR20">
        <f ca="1"/>
        <v>108812.14285714284</v>
      </c>
      <c r="AS20">
        <f ca="1"/>
        <v>130574.57142857142</v>
      </c>
      <c r="AT20">
        <f ca="1"/>
        <v>163340.25038248088</v>
      </c>
      <c r="AU20">
        <f ca="1"/>
        <v>111084.6796460177</v>
      </c>
      <c r="AV20">
        <f ca="1"/>
        <v>111084.6796460177</v>
      </c>
      <c r="AW20">
        <f ca="1"/>
        <v>111084.6796460177</v>
      </c>
      <c r="AX20">
        <f ca="1"/>
        <v>111084.6796460177</v>
      </c>
      <c r="AY20">
        <f ca="1"/>
        <v>111084.6796460177</v>
      </c>
      <c r="AZ20">
        <f ca="1"/>
        <v>163340.25038248088</v>
      </c>
      <c r="BA20">
        <f ca="1"/>
        <v>111084.6796460177</v>
      </c>
      <c r="BB20">
        <f ca="1"/>
        <v>111084.6796460177</v>
      </c>
      <c r="BC20">
        <f ca="1"/>
        <v>111084.6796460177</v>
      </c>
      <c r="BD20">
        <f ca="1"/>
        <v>111084.6796460177</v>
      </c>
      <c r="BE20">
        <f ca="1"/>
        <v>133301.61557522125</v>
      </c>
      <c r="BF20">
        <f ca="1"/>
        <v>162716.97837444243</v>
      </c>
      <c r="BG20">
        <f ca="1"/>
        <v>110660.80389473683</v>
      </c>
      <c r="BH20">
        <f ca="1"/>
        <v>110660.80389473683</v>
      </c>
      <c r="BI20">
        <f ca="1"/>
        <v>110660.80389473683</v>
      </c>
      <c r="BJ20">
        <f ca="1"/>
        <v>110660.80389473683</v>
      </c>
      <c r="BK20">
        <f ca="1"/>
        <v>110660.80389473683</v>
      </c>
      <c r="BL20">
        <f ca="1"/>
        <v>162716.97837444243</v>
      </c>
      <c r="BM20">
        <f ca="1"/>
        <v>110660.80389473683</v>
      </c>
      <c r="BN20">
        <f ca="1"/>
        <v>110660.80389473683</v>
      </c>
      <c r="BO20">
        <f ca="1"/>
        <v>110660.80389473683</v>
      </c>
      <c r="BP20">
        <f ca="1"/>
        <v>110660.80389473683</v>
      </c>
      <c r="BQ20">
        <f ca="1"/>
        <v>132792.96467368421</v>
      </c>
    </row>
    <row r="21" spans="1:69">
      <c r="E21" t="str">
        <v>Canada</v>
      </c>
      <c r="G21" t="s">
        <v>14</v>
      </c>
      <c r="H21">
        <f ca="1"/>
        <v>9946468.3897527754</v>
      </c>
      <c r="J21">
        <f ca="1"/>
        <v>0</v>
      </c>
      <c r="K21">
        <f ca="1"/>
        <v>0</v>
      </c>
      <c r="L21">
        <f ca="1"/>
        <v>0</v>
      </c>
      <c r="M21">
        <f ca="1"/>
        <v>0</v>
      </c>
      <c r="N21">
        <f ca="1"/>
        <v>0</v>
      </c>
      <c r="O21">
        <f ca="1"/>
        <v>0</v>
      </c>
      <c r="P21">
        <f ca="1"/>
        <v>0</v>
      </c>
      <c r="Q21">
        <f ca="1"/>
        <v>0</v>
      </c>
      <c r="R21">
        <f ca="1"/>
        <v>0</v>
      </c>
      <c r="S21">
        <f ca="1"/>
        <v>98699.664429530181</v>
      </c>
      <c r="T21">
        <f ca="1"/>
        <v>106291.94630872482</v>
      </c>
      <c r="U21">
        <f ca="1"/>
        <v>136661.07382550335</v>
      </c>
      <c r="V21">
        <f ca="1"/>
        <v>184620</v>
      </c>
      <c r="W21">
        <f ca="1"/>
        <v>130772.49999999997</v>
      </c>
      <c r="X21">
        <f ca="1"/>
        <v>138465</v>
      </c>
      <c r="Y21">
        <f ca="1"/>
        <v>146157.5</v>
      </c>
      <c r="Z21">
        <f ca="1"/>
        <v>153850</v>
      </c>
      <c r="AA21">
        <f ca="1"/>
        <v>161542.5</v>
      </c>
      <c r="AB21">
        <f ca="1"/>
        <v>253450.68181818188</v>
      </c>
      <c r="AC21">
        <f ca="1"/>
        <v>176927.50000000006</v>
      </c>
      <c r="AD21">
        <f ca="1"/>
        <v>184620</v>
      </c>
      <c r="AE21">
        <f ca="1"/>
        <v>184620</v>
      </c>
      <c r="AF21">
        <f ca="1"/>
        <v>184620</v>
      </c>
      <c r="AG21">
        <f ca="1"/>
        <v>221544</v>
      </c>
      <c r="AH21">
        <f ca="1"/>
        <v>274240.45608264278</v>
      </c>
      <c r="AI21">
        <f ca="1"/>
        <v>187065.29801324502</v>
      </c>
      <c r="AJ21">
        <f ca="1"/>
        <v>187065.29801324502</v>
      </c>
      <c r="AK21">
        <f ca="1"/>
        <v>187065.29801324502</v>
      </c>
      <c r="AL21">
        <f ca="1"/>
        <v>187065.29801324502</v>
      </c>
      <c r="AM21">
        <f ca="1"/>
        <v>187065.29801324502</v>
      </c>
      <c r="AN21">
        <f ca="1"/>
        <v>272723.86564675515</v>
      </c>
      <c r="AO21">
        <f ca="1"/>
        <v>187065.29801324502</v>
      </c>
      <c r="AP21">
        <f ca="1"/>
        <v>187065.29801324502</v>
      </c>
      <c r="AQ21">
        <f ca="1"/>
        <v>187065.29801324502</v>
      </c>
      <c r="AR21">
        <f ca="1"/>
        <v>187065.29801324502</v>
      </c>
      <c r="AS21">
        <f ca="1"/>
        <v>224478.357615894</v>
      </c>
      <c r="AT21">
        <f ca="1"/>
        <v>277373.02695695806</v>
      </c>
      <c r="AU21">
        <f ca="1"/>
        <v>190480.47039473685</v>
      </c>
      <c r="AV21">
        <f ca="1"/>
        <v>190480.47039473685</v>
      </c>
      <c r="AW21">
        <f ca="1"/>
        <v>190480.47039473685</v>
      </c>
      <c r="AX21">
        <f ca="1"/>
        <v>190480.47039473685</v>
      </c>
      <c r="AY21">
        <f ca="1"/>
        <v>190480.47039473685</v>
      </c>
      <c r="AZ21">
        <f ca="1"/>
        <v>277373.02695695806</v>
      </c>
      <c r="BA21">
        <f ca="1"/>
        <v>190480.47039473685</v>
      </c>
      <c r="BB21">
        <f ca="1"/>
        <v>190480.47039473685</v>
      </c>
      <c r="BC21">
        <f ca="1"/>
        <v>190480.47039473685</v>
      </c>
      <c r="BD21">
        <f ca="1"/>
        <v>190480.47039473685</v>
      </c>
      <c r="BE21">
        <f ca="1"/>
        <v>228576.56447368418</v>
      </c>
      <c r="BF21">
        <f ca="1"/>
        <v>281071.33398305078</v>
      </c>
      <c r="BG21">
        <f ca="1"/>
        <v>193020.20999999996</v>
      </c>
      <c r="BH21">
        <f ca="1"/>
        <v>193020.20999999996</v>
      </c>
      <c r="BI21">
        <f ca="1"/>
        <v>193020.20999999996</v>
      </c>
      <c r="BJ21">
        <f ca="1"/>
        <v>193020.20999999996</v>
      </c>
      <c r="BK21">
        <f ca="1"/>
        <v>193020.20999999996</v>
      </c>
      <c r="BL21">
        <f ca="1"/>
        <v>281071.33398305078</v>
      </c>
      <c r="BM21">
        <f ca="1"/>
        <v>193020.20999999996</v>
      </c>
      <c r="BN21">
        <f ca="1"/>
        <v>193020.20999999996</v>
      </c>
      <c r="BO21">
        <f ca="1"/>
        <v>193020.20999999996</v>
      </c>
      <c r="BP21">
        <f ca="1"/>
        <v>193020.20999999996</v>
      </c>
      <c r="BQ21">
        <f ca="1"/>
        <v>231624.25199999995</v>
      </c>
    </row>
    <row r="22" spans="1:69">
      <c r="E22" t="str">
        <v>Switzerland</v>
      </c>
      <c r="G22" t="s">
        <v>14</v>
      </c>
      <c r="H22">
        <f ca="1"/>
        <v>15446098.659881026</v>
      </c>
      <c r="J22">
        <f ca="1"/>
        <v>0</v>
      </c>
      <c r="K22">
        <f ca="1"/>
        <v>0</v>
      </c>
      <c r="L22">
        <f ca="1"/>
        <v>0</v>
      </c>
      <c r="M22">
        <f ca="1"/>
        <v>0</v>
      </c>
      <c r="N22">
        <f ca="1"/>
        <v>0</v>
      </c>
      <c r="O22">
        <f ca="1"/>
        <v>0</v>
      </c>
      <c r="P22">
        <f ca="1"/>
        <v>0</v>
      </c>
      <c r="Q22">
        <f ca="1"/>
        <v>0</v>
      </c>
      <c r="R22">
        <f ca="1"/>
        <v>0</v>
      </c>
      <c r="S22">
        <f ca="1"/>
        <v>0</v>
      </c>
      <c r="T22">
        <f ca="1"/>
        <v>0</v>
      </c>
      <c r="U22">
        <f ca="1"/>
        <v>0</v>
      </c>
      <c r="V22">
        <f ca="1"/>
        <v>0</v>
      </c>
      <c r="W22">
        <f ca="1"/>
        <v>0</v>
      </c>
      <c r="X22">
        <f ca="1"/>
        <v>0</v>
      </c>
      <c r="Y22">
        <f ca="1"/>
        <v>179404.93574766346</v>
      </c>
      <c r="Z22">
        <f ca="1"/>
        <v>193205.31542056068</v>
      </c>
      <c r="AA22">
        <f ca="1"/>
        <v>207005.69509345791</v>
      </c>
      <c r="AB22">
        <f ca="1"/>
        <v>330941.91704641999</v>
      </c>
      <c r="AC22">
        <f ca="1"/>
        <v>234606.45443925224</v>
      </c>
      <c r="AD22">
        <f ca="1"/>
        <v>248406.83411214949</v>
      </c>
      <c r="AE22">
        <f ca="1"/>
        <v>262207.21378504671</v>
      </c>
      <c r="AF22">
        <f ca="1"/>
        <v>276007.59345794388</v>
      </c>
      <c r="AG22">
        <f ca="1"/>
        <v>347769.5677570093</v>
      </c>
      <c r="AH22">
        <f ca="1"/>
        <v>448215.59553330875</v>
      </c>
      <c r="AI22">
        <f ca="1"/>
        <v>316042.11154513882</v>
      </c>
      <c r="AJ22">
        <f ca="1"/>
        <v>329783.07291666657</v>
      </c>
      <c r="AK22">
        <f ca="1"/>
        <v>329783.07291666657</v>
      </c>
      <c r="AL22">
        <f ca="1"/>
        <v>329783.07291666657</v>
      </c>
      <c r="AM22">
        <f ca="1"/>
        <v>329783.07291666657</v>
      </c>
      <c r="AN22">
        <f ca="1"/>
        <v>487599.82663584617</v>
      </c>
      <c r="AO22">
        <f ca="1"/>
        <v>329783.07291666657</v>
      </c>
      <c r="AP22">
        <f ca="1"/>
        <v>329783.07291666657</v>
      </c>
      <c r="AQ22">
        <f ca="1"/>
        <v>329783.07291666657</v>
      </c>
      <c r="AR22">
        <f ca="1"/>
        <v>329783.07291666657</v>
      </c>
      <c r="AS22">
        <f ca="1"/>
        <v>395739.68749999988</v>
      </c>
      <c r="AT22">
        <f ca="1"/>
        <v>497323.19807864237</v>
      </c>
      <c r="AU22">
        <f ca="1"/>
        <v>336560.266341743</v>
      </c>
      <c r="AV22">
        <f ca="1"/>
        <v>336560.266341743</v>
      </c>
      <c r="AW22">
        <f ca="1"/>
        <v>336560.266341743</v>
      </c>
      <c r="AX22">
        <f ca="1"/>
        <v>336560.266341743</v>
      </c>
      <c r="AY22">
        <f ca="1"/>
        <v>336560.266341743</v>
      </c>
      <c r="AZ22">
        <f ca="1"/>
        <v>497323.19807864237</v>
      </c>
      <c r="BA22">
        <f ca="1"/>
        <v>336560.266341743</v>
      </c>
      <c r="BB22">
        <f ca="1"/>
        <v>336560.266341743</v>
      </c>
      <c r="BC22">
        <f ca="1"/>
        <v>336560.266341743</v>
      </c>
      <c r="BD22">
        <f ca="1"/>
        <v>336560.266341743</v>
      </c>
      <c r="BE22">
        <f ca="1"/>
        <v>403872.31961009168</v>
      </c>
      <c r="BF22">
        <f ca="1"/>
        <v>500194.10926755081</v>
      </c>
      <c r="BG22">
        <f ca="1"/>
        <v>338503.13697017025</v>
      </c>
      <c r="BH22">
        <f ca="1"/>
        <v>338503.13697017025</v>
      </c>
      <c r="BI22">
        <f ca="1"/>
        <v>338503.13697017025</v>
      </c>
      <c r="BJ22">
        <f ca="1"/>
        <v>338503.13697017025</v>
      </c>
      <c r="BK22">
        <f ca="1"/>
        <v>338503.13697017025</v>
      </c>
      <c r="BL22">
        <f ca="1"/>
        <v>500194.10926755081</v>
      </c>
      <c r="BM22">
        <f ca="1"/>
        <v>338503.13697017025</v>
      </c>
      <c r="BN22">
        <f ca="1"/>
        <v>338503.13697017025</v>
      </c>
      <c r="BO22">
        <f ca="1"/>
        <v>338503.13697017025</v>
      </c>
      <c r="BP22">
        <f ca="1"/>
        <v>338503.13697017025</v>
      </c>
      <c r="BQ22">
        <f ca="1"/>
        <v>406203.76436420437</v>
      </c>
    </row>
    <row r="23" spans="1:69">
      <c r="E23" t="str">
        <v>Russia</v>
      </c>
      <c r="G23" t="s">
        <v>14</v>
      </c>
      <c r="H23">
        <f ca="1"/>
        <v>6872532.3184221825</v>
      </c>
      <c r="J23">
        <f ca="1"/>
        <v>0</v>
      </c>
      <c r="K23">
        <f ca="1"/>
        <v>0</v>
      </c>
      <c r="L23">
        <f ca="1"/>
        <v>0</v>
      </c>
      <c r="M23">
        <f ca="1"/>
        <v>0</v>
      </c>
      <c r="N23">
        <f ca="1"/>
        <v>0</v>
      </c>
      <c r="O23">
        <f ca="1"/>
        <v>0</v>
      </c>
      <c r="P23">
        <f ca="1"/>
        <v>0</v>
      </c>
      <c r="Q23">
        <f ca="1"/>
        <v>0</v>
      </c>
      <c r="R23">
        <f ca="1"/>
        <v>0</v>
      </c>
      <c r="S23">
        <f ca="1"/>
        <v>0</v>
      </c>
      <c r="T23">
        <f ca="1"/>
        <v>0</v>
      </c>
      <c r="U23">
        <f ca="1"/>
        <v>0</v>
      </c>
      <c r="V23">
        <f ca="1"/>
        <v>0</v>
      </c>
      <c r="W23">
        <f ca="1"/>
        <v>0</v>
      </c>
      <c r="X23">
        <f ca="1"/>
        <v>0</v>
      </c>
      <c r="Y23">
        <f ca="1"/>
        <v>0</v>
      </c>
      <c r="Z23">
        <f ca="1"/>
        <v>0</v>
      </c>
      <c r="AA23">
        <f ca="1"/>
        <v>0</v>
      </c>
      <c r="AB23">
        <f ca="1"/>
        <v>0</v>
      </c>
      <c r="AC23">
        <f ca="1"/>
        <v>0</v>
      </c>
      <c r="AD23">
        <f ca="1"/>
        <v>0</v>
      </c>
      <c r="AE23">
        <f ca="1"/>
        <v>94260.979729729705</v>
      </c>
      <c r="AF23">
        <f ca="1"/>
        <v>101511.82432432432</v>
      </c>
      <c r="AG23">
        <f ca="1"/>
        <v>130515.20270270271</v>
      </c>
      <c r="AH23">
        <f ca="1"/>
        <v>171003.53783982366</v>
      </c>
      <c r="AI23">
        <f ca="1"/>
        <v>122837.04166666667</v>
      </c>
      <c r="AJ23">
        <f ca="1"/>
        <v>130062.75</v>
      </c>
      <c r="AK23">
        <f ca="1"/>
        <v>137288.45833333334</v>
      </c>
      <c r="AL23">
        <f ca="1"/>
        <v>144514.16666666666</v>
      </c>
      <c r="AM23">
        <f ca="1"/>
        <v>151739.875</v>
      </c>
      <c r="AN23">
        <f ca="1"/>
        <v>234338.22812944526</v>
      </c>
      <c r="AO23">
        <f ca="1"/>
        <v>166191.29166666666</v>
      </c>
      <c r="AP23">
        <f ca="1"/>
        <v>173417</v>
      </c>
      <c r="AQ23">
        <f ca="1"/>
        <v>173417</v>
      </c>
      <c r="AR23">
        <f ca="1"/>
        <v>173417</v>
      </c>
      <c r="AS23">
        <f ca="1"/>
        <v>208100.4</v>
      </c>
      <c r="AT23">
        <f ca="1"/>
        <v>255877.40570640052</v>
      </c>
      <c r="AU23">
        <f ca="1"/>
        <v>173702.22532894736</v>
      </c>
      <c r="AV23">
        <f ca="1"/>
        <v>173702.22532894736</v>
      </c>
      <c r="AW23">
        <f ca="1"/>
        <v>173702.22532894736</v>
      </c>
      <c r="AX23">
        <f ca="1"/>
        <v>173702.22532894736</v>
      </c>
      <c r="AY23">
        <f ca="1"/>
        <v>173702.22532894736</v>
      </c>
      <c r="AZ23">
        <f ca="1"/>
        <v>255877.40570640052</v>
      </c>
      <c r="BA23">
        <f ca="1"/>
        <v>173702.22532894736</v>
      </c>
      <c r="BB23">
        <f ca="1"/>
        <v>173702.22532894736</v>
      </c>
      <c r="BC23">
        <f ca="1"/>
        <v>173702.22532894736</v>
      </c>
      <c r="BD23">
        <f ca="1"/>
        <v>173702.22532894736</v>
      </c>
      <c r="BE23">
        <f ca="1"/>
        <v>208442.67039473684</v>
      </c>
      <c r="BF23">
        <f ca="1"/>
        <v>255079.86574056238</v>
      </c>
      <c r="BG23">
        <f ca="1"/>
        <v>173160.81579545455</v>
      </c>
      <c r="BH23">
        <f ca="1"/>
        <v>173160.81579545455</v>
      </c>
      <c r="BI23">
        <f ca="1"/>
        <v>173160.81579545455</v>
      </c>
      <c r="BJ23">
        <f ca="1"/>
        <v>173160.81579545455</v>
      </c>
      <c r="BK23">
        <f ca="1"/>
        <v>173160.81579545455</v>
      </c>
      <c r="BL23">
        <f ca="1"/>
        <v>255079.86574056238</v>
      </c>
      <c r="BM23">
        <f ca="1"/>
        <v>173160.81579545455</v>
      </c>
      <c r="BN23">
        <f ca="1"/>
        <v>173160.81579545455</v>
      </c>
      <c r="BO23">
        <f ca="1"/>
        <v>173160.81579545455</v>
      </c>
      <c r="BP23">
        <f ca="1"/>
        <v>173160.81579545455</v>
      </c>
      <c r="BQ23">
        <f ca="1"/>
        <v>207792.97895454546</v>
      </c>
    </row>
    <row r="24" spans="1:69">
      <c r="E24" t="s">
        <v>112</v>
      </c>
      <c r="G24" t="s">
        <v>14</v>
      </c>
      <c r="H24">
        <f ca="1"/>
        <v>83483876.353804618</v>
      </c>
      <c r="J24" cm="1">
        <f t="array" aca="1" ref="J24:BQ24" ca="1" xml:space="preserve"> _xlfn.LET(
       _xlpm.anchor, $J16,
       _xlpm.block, OFFSET( _xlpm.anchor, 0, 0, COUNTA( lstCountries ), periods ),
       _xlfn.BYCOL( _xlpm.block, _xlfn.LAMBDA(_xlpm.column, SUM( _xlpm.column ) ) ) )</f>
        <v>1003953.4883720931</v>
      </c>
      <c r="K24">
        <f ca="1"/>
        <v>669302.3255813953</v>
      </c>
      <c r="L24">
        <f ca="1"/>
        <v>669302.3255813953</v>
      </c>
      <c r="M24">
        <f ca="1"/>
        <v>726423.53770260746</v>
      </c>
      <c r="N24">
        <f ca="1"/>
        <v>730817.47709654679</v>
      </c>
      <c r="O24">
        <f ca="1"/>
        <v>735211.41649048624</v>
      </c>
      <c r="P24">
        <f ca="1"/>
        <v>1109408.0338266385</v>
      </c>
      <c r="Q24">
        <f ca="1"/>
        <v>743999.29527836503</v>
      </c>
      <c r="R24">
        <f ca="1"/>
        <v>748393.23467230436</v>
      </c>
      <c r="S24">
        <f ca="1"/>
        <v>851486.83849577396</v>
      </c>
      <c r="T24">
        <f ca="1"/>
        <v>863473.05976890796</v>
      </c>
      <c r="U24">
        <f ca="1"/>
        <v>1050551.1372504504</v>
      </c>
      <c r="V24">
        <f ca="1"/>
        <v>1344002.3062286424</v>
      </c>
      <c r="W24">
        <f ca="1"/>
        <v>908179.02247074654</v>
      </c>
      <c r="X24">
        <f ca="1"/>
        <v>920356.50745573151</v>
      </c>
      <c r="Y24">
        <f ca="1"/>
        <v>1107453.943203395</v>
      </c>
      <c r="Z24">
        <f ca="1"/>
        <v>1128946.8228762923</v>
      </c>
      <c r="AA24">
        <f ca="1"/>
        <v>1150439.7025491893</v>
      </c>
      <c r="AB24">
        <f ca="1"/>
        <v>1755995.5178643938</v>
      </c>
      <c r="AC24">
        <f ca="1"/>
        <v>1193425.4618949837</v>
      </c>
      <c r="AD24">
        <f ca="1"/>
        <v>1214918.3415678809</v>
      </c>
      <c r="AE24">
        <f ca="1"/>
        <v>1322979.7009705079</v>
      </c>
      <c r="AF24">
        <f ca="1"/>
        <v>1344030.9252379998</v>
      </c>
      <c r="AG24">
        <f ca="1"/>
        <v>1638098.5794065897</v>
      </c>
      <c r="AH24">
        <f ca="1"/>
        <v>2054153.6436682644</v>
      </c>
      <c r="AI24">
        <f ca="1"/>
        <v>1411576.4463549205</v>
      </c>
      <c r="AJ24">
        <f ca="1"/>
        <v>1432543.1160597815</v>
      </c>
      <c r="AK24">
        <f ca="1"/>
        <v>1439768.8243931148</v>
      </c>
      <c r="AL24">
        <f ca="1"/>
        <v>1446994.5327264483</v>
      </c>
      <c r="AM24">
        <f ca="1"/>
        <v>1454220.2410597815</v>
      </c>
      <c r="AN24">
        <f ca="1"/>
        <v>2151120.7419568864</v>
      </c>
      <c r="AO24">
        <f ca="1"/>
        <v>1468671.6577264483</v>
      </c>
      <c r="AP24">
        <f ca="1"/>
        <v>1475897.3660597815</v>
      </c>
      <c r="AQ24">
        <f ca="1"/>
        <v>1475897.3660597815</v>
      </c>
      <c r="AR24">
        <f ca="1"/>
        <v>1475897.3660597815</v>
      </c>
      <c r="AS24">
        <f ca="1"/>
        <v>1771076.8392717377</v>
      </c>
      <c r="AT24">
        <f ca="1"/>
        <v>2197355.4248127313</v>
      </c>
      <c r="AU24">
        <f ca="1"/>
        <v>1494010.4174909391</v>
      </c>
      <c r="AV24">
        <f ca="1"/>
        <v>1494010.4174909391</v>
      </c>
      <c r="AW24">
        <f ca="1"/>
        <v>1494010.4174909391</v>
      </c>
      <c r="AX24">
        <f ca="1"/>
        <v>1494010.4174909391</v>
      </c>
      <c r="AY24">
        <f ca="1"/>
        <v>1494010.4174909391</v>
      </c>
      <c r="AZ24">
        <f ca="1"/>
        <v>2197355.4248127313</v>
      </c>
      <c r="BA24">
        <f ca="1"/>
        <v>1494010.4174909391</v>
      </c>
      <c r="BB24">
        <f ca="1"/>
        <v>1494010.4174909391</v>
      </c>
      <c r="BC24">
        <f ca="1"/>
        <v>1494010.4174909391</v>
      </c>
      <c r="BD24">
        <f ca="1"/>
        <v>1494010.4174909391</v>
      </c>
      <c r="BE24">
        <f ca="1"/>
        <v>1792812.5009891272</v>
      </c>
      <c r="BF24">
        <f ca="1"/>
        <v>2222814.2867784593</v>
      </c>
      <c r="BG24">
        <f ca="1"/>
        <v>1511339.5616641808</v>
      </c>
      <c r="BH24">
        <f ca="1"/>
        <v>1511339.5616641808</v>
      </c>
      <c r="BI24">
        <f ca="1"/>
        <v>1511339.5616641808</v>
      </c>
      <c r="BJ24">
        <f ca="1"/>
        <v>1511339.5616641808</v>
      </c>
      <c r="BK24">
        <f ca="1"/>
        <v>1511339.5616641808</v>
      </c>
      <c r="BL24">
        <f ca="1"/>
        <v>2222814.2867784593</v>
      </c>
      <c r="BM24">
        <f ca="1"/>
        <v>1511339.5616641808</v>
      </c>
      <c r="BN24">
        <f ca="1"/>
        <v>1511339.5616641808</v>
      </c>
      <c r="BO24">
        <f ca="1"/>
        <v>1511339.5616641808</v>
      </c>
      <c r="BP24">
        <f ca="1"/>
        <v>1511339.5616641808</v>
      </c>
      <c r="BQ24">
        <f ca="1"/>
        <v>1813607.4739970169</v>
      </c>
    </row>
    <row r="25" spans="1:69">
      <c r="D25" s="101"/>
    </row>
    <row r="26" spans="1:69" s="98" customFormat="1">
      <c r="A26" s="95" t="s">
        <v>116</v>
      </c>
    </row>
    <row r="27" spans="1:69" s="107" customFormat="1">
      <c r="A27" s="106"/>
    </row>
    <row r="28" spans="1:69">
      <c r="D28" s="101"/>
      <c r="J28" s="110" cm="1">
        <f t="array" ref="J28:N28">_xlfn.ANCHORARRAY(Time!$J$13)</f>
        <v>2022</v>
      </c>
      <c r="K28" s="110">
        <v>2023</v>
      </c>
      <c r="L28" s="110">
        <v>2024</v>
      </c>
      <c r="M28" s="110">
        <v>2025</v>
      </c>
      <c r="N28" s="110">
        <v>2026</v>
      </c>
    </row>
    <row r="29" spans="1:69">
      <c r="D29" s="101"/>
      <c r="J29" s="111"/>
      <c r="K29" s="111"/>
      <c r="L29" s="111"/>
      <c r="M29" s="111"/>
      <c r="N29" s="111"/>
    </row>
    <row r="30" spans="1:69">
      <c r="D30" s="101" t="s">
        <v>115</v>
      </c>
      <c r="G30" t="s">
        <v>14</v>
      </c>
      <c r="H30" cm="1">
        <f t="array" aca="1" ref="H30" ca="1" xml:space="preserve"> _xlfn.LET(
       _xlpm.anchor,$J30,
       _xlpm.block, OFFSET( _xlpm.anchor, 0, 0, 1, periods ),
       _xlfn.BYROW( _xlpm.block, _xlfn.LAMBDA(_xlpm.row, SUM( _xlpm.row ) ) ) )</f>
        <v>83483876.353804648</v>
      </c>
      <c r="J30" s="120" cm="1">
        <f t="array" aca="1" ref="J30:N30" ca="1">MMULT(_xlfn.ANCHORARRAY( J7), --(TRANSPOSE(_xlfn.ANCHORARRAY( Time!J12) ) =_xlfn.ANCHORARRAY( Revenue!J28) ) )</f>
        <v>9902322.1701169647</v>
      </c>
      <c r="K30">
        <f ca="1"/>
        <v>15028826.831726354</v>
      </c>
      <c r="L30">
        <f ca="1"/>
        <v>19057818.141396731</v>
      </c>
      <c r="M30">
        <f ca="1"/>
        <v>19633617.108033039</v>
      </c>
      <c r="N30">
        <f ca="1"/>
        <v>19861292.102531563</v>
      </c>
    </row>
    <row r="32" spans="1:69">
      <c r="D32" s="101" t="s">
        <v>113</v>
      </c>
    </row>
    <row r="33" spans="4:14">
      <c r="E33" t="s">
        <v>36</v>
      </c>
      <c r="G33" t="s">
        <v>14</v>
      </c>
      <c r="H33" cm="1">
        <f t="array" aca="1" ref="H33:H36" ca="1" xml:space="preserve"> _xlfn.LET(
       _xlpm.anchor,$J33,
       _xlpm.block, OFFSET( _xlpm.anchor, 0, 0, COUNTA( $E$10:$E$12 ) + 1, periods ),
       _xlfn.BYROW( _xlpm.block, _xlfn.LAMBDA(_xlpm.row, SUM( _xlpm.row ) ) ) )</f>
        <v>44332304.451584116</v>
      </c>
      <c r="J33" cm="1">
        <f t="array" aca="1" ref="J33:N35" ca="1">MMULT(_xlfn.ANCHORARRAY( J10), --( TRANSPOSE(_xlfn.ANCHORARRAY( Time!J12) ) =_xlfn.ANCHORARRAY( Revenue!J28) ) )</f>
        <v>5229073.5198480831</v>
      </c>
      <c r="K33">
        <f ca="1"/>
        <v>7932771.6433919398</v>
      </c>
      <c r="L33">
        <f ca="1"/>
        <v>10145020.923934614</v>
      </c>
      <c r="M33">
        <f ca="1"/>
        <v>10449214.75319365</v>
      </c>
      <c r="N33">
        <f ca="1"/>
        <v>10576223.61121583</v>
      </c>
    </row>
    <row r="34" spans="4:14">
      <c r="E34" t="s">
        <v>37</v>
      </c>
      <c r="G34" t="s">
        <v>14</v>
      </c>
      <c r="H34">
        <f ca="1"/>
        <v>28625015.177914184</v>
      </c>
      <c r="J34">
        <f ca="1"/>
        <v>3391488.3071782282</v>
      </c>
      <c r="K34">
        <f ca="1"/>
        <v>5118676.3005185341</v>
      </c>
      <c r="L34">
        <f ca="1"/>
        <v>6537941.3773194561</v>
      </c>
      <c r="M34">
        <f ca="1"/>
        <v>6753014.248889721</v>
      </c>
      <c r="N34">
        <f ca="1"/>
        <v>6823894.9440082423</v>
      </c>
    </row>
    <row r="35" spans="4:14">
      <c r="E35" t="s">
        <v>38</v>
      </c>
      <c r="G35" t="s">
        <v>14</v>
      </c>
      <c r="H35">
        <f ca="1"/>
        <v>10526556.724306352</v>
      </c>
      <c r="J35">
        <f ca="1"/>
        <v>1281760.3430906534</v>
      </c>
      <c r="K35">
        <f ca="1"/>
        <v>1977378.8878158792</v>
      </c>
      <c r="L35">
        <f ca="1"/>
        <v>2374855.840142658</v>
      </c>
      <c r="M35">
        <f ca="1"/>
        <v>2431388.105949671</v>
      </c>
      <c r="N35">
        <f ca="1"/>
        <v>2461173.5473074894</v>
      </c>
    </row>
    <row r="36" spans="4:14">
      <c r="E36" t="s">
        <v>114</v>
      </c>
      <c r="G36" t="s">
        <v>14</v>
      </c>
      <c r="H36">
        <f ca="1"/>
        <v>83483876.353804648</v>
      </c>
      <c r="J36" cm="1">
        <f t="array" aca="1" ref="J36:N36" ca="1" xml:space="preserve"> _xlfn.LET(
       _xlpm.anchor, $J33,
       _xlpm.block, OFFSET( _xlpm.anchor, 0, 0, COUNTA( $E$33:$E$35 ), COUNTA(_xlfn.ANCHORARRAY( J28) ) ),
       _xlfn.BYCOL( _xlpm.block, _xlfn.LAMBDA(_xlpm.column, SUM( _xlpm.column ) ) ) )</f>
        <v>9902322.1701169647</v>
      </c>
      <c r="K36">
        <f ca="1"/>
        <v>15028826.831726354</v>
      </c>
      <c r="L36">
        <f ca="1"/>
        <v>19057818.141396731</v>
      </c>
      <c r="M36">
        <f ca="1"/>
        <v>19633617.108033042</v>
      </c>
      <c r="N36">
        <f ca="1"/>
        <v>19861292.10253156</v>
      </c>
    </row>
    <row r="38" spans="4:14">
      <c r="D38" s="101" t="s">
        <v>111</v>
      </c>
      <c r="K38" s="104"/>
      <c r="L38" s="104"/>
      <c r="M38" s="104"/>
      <c r="N38" s="104"/>
    </row>
    <row r="39" spans="4:14">
      <c r="D39" s="101"/>
      <c r="J39" s="104"/>
      <c r="K39" s="104"/>
      <c r="L39" s="104"/>
      <c r="M39" s="104"/>
      <c r="N39" s="104"/>
    </row>
    <row r="40" spans="4:14">
      <c r="E40" t="str" cm="1">
        <f t="array" ref="E40:E47">lstCountries</f>
        <v>France</v>
      </c>
      <c r="G40" t="s">
        <v>14</v>
      </c>
      <c r="H40" cm="1">
        <f t="array" aca="1" ref="H40:H48" ca="1" xml:space="preserve"> _xlfn.LET(
       _xlpm.anchor,$J40,
       _xlpm.block, OFFSET(  _xlpm.anchor, 0, 0, COUNTA( lstCountries ) + 1, periods ),
       _xlfn.BYROW( _xlpm.block, _xlfn.LAMBDA(_xlpm.row, SUM( _xlpm.row ) ) ) )</f>
        <v>13159055.709594451</v>
      </c>
      <c r="J40" cm="1">
        <f t="array" aca="1" ref="J40:N47" ca="1">MMULT(_xlfn.ANCHORARRAY( J16), --(TRANSPOSE(_xlfn.ANCHORARRAY( Time!J12) ) =_xlfn.ANCHORARRAY( Revenue!J28) ) )</f>
        <v>2600400</v>
      </c>
      <c r="K40">
        <f ca="1"/>
        <v>2612916.1115702474</v>
      </c>
      <c r="L40">
        <f ca="1"/>
        <v>2610822.305723506</v>
      </c>
      <c r="M40">
        <f ca="1"/>
        <v>2634527.0579262706</v>
      </c>
      <c r="N40">
        <f ca="1"/>
        <v>2700390.2343744268</v>
      </c>
    </row>
    <row r="41" spans="4:14">
      <c r="E41" t="str">
        <v>Italy</v>
      </c>
      <c r="G41" t="s">
        <v>14</v>
      </c>
      <c r="H41">
        <f ca="1"/>
        <v>15428199.538571224</v>
      </c>
      <c r="J41">
        <f ca="1"/>
        <v>3042600</v>
      </c>
      <c r="K41">
        <f ca="1"/>
        <v>3057532.6797520658</v>
      </c>
      <c r="L41">
        <f ca="1"/>
        <v>3064075.1202251008</v>
      </c>
      <c r="M41">
        <f ca="1"/>
        <v>3093329.253626694</v>
      </c>
      <c r="N41">
        <f ca="1"/>
        <v>3170662.4849673617</v>
      </c>
    </row>
    <row r="42" spans="4:14">
      <c r="E42" t="str">
        <v>Spain</v>
      </c>
      <c r="G42" t="s">
        <v>14</v>
      </c>
      <c r="H42">
        <f ca="1"/>
        <v>8035722.3419519886</v>
      </c>
      <c r="J42">
        <f ca="1"/>
        <v>1584000</v>
      </c>
      <c r="K42">
        <f ca="1"/>
        <v>1591807.8719008265</v>
      </c>
      <c r="L42">
        <f ca="1"/>
        <v>1596268.82209004</v>
      </c>
      <c r="M42">
        <f ca="1"/>
        <v>1611676.8631906779</v>
      </c>
      <c r="N42">
        <f ca="1"/>
        <v>1651968.784770444</v>
      </c>
    </row>
    <row r="43" spans="4:14">
      <c r="E43" t="str">
        <v>UK</v>
      </c>
      <c r="G43" t="s">
        <v>14</v>
      </c>
      <c r="H43">
        <f ca="1"/>
        <v>8122540.2120107869</v>
      </c>
      <c r="J43">
        <f ca="1"/>
        <v>1607790.6976744186</v>
      </c>
      <c r="K43">
        <f ca="1"/>
        <v>1636806.1983471075</v>
      </c>
      <c r="L43">
        <f ca="1"/>
        <v>1628701.7266531321</v>
      </c>
      <c r="M43">
        <f ca="1"/>
        <v>1625614.2255836986</v>
      </c>
      <c r="N43">
        <f ca="1"/>
        <v>1623627.3637524296</v>
      </c>
    </row>
    <row r="44" spans="4:14">
      <c r="E44" t="str">
        <v>US</v>
      </c>
      <c r="G44" t="s">
        <v>14</v>
      </c>
      <c r="H44">
        <f ca="1"/>
        <v>6473259.1836202182</v>
      </c>
      <c r="J44">
        <f ca="1"/>
        <v>725878.78787878773</v>
      </c>
      <c r="K44">
        <f ca="1"/>
        <v>1402730.7547216637</v>
      </c>
      <c r="L44">
        <f ca="1"/>
        <v>1430731.2513902239</v>
      </c>
      <c r="M44">
        <f ca="1"/>
        <v>1459744.2331543425</v>
      </c>
      <c r="N44">
        <f ca="1"/>
        <v>1454174.1564752003</v>
      </c>
    </row>
    <row r="45" spans="4:14">
      <c r="E45" t="str">
        <v>Canada</v>
      </c>
      <c r="G45" t="s">
        <v>14</v>
      </c>
      <c r="H45">
        <f ca="1"/>
        <v>9946468.3897527698</v>
      </c>
      <c r="J45">
        <f ca="1"/>
        <v>341652.68456375832</v>
      </c>
      <c r="K45">
        <f ca="1"/>
        <v>2121189.6818181816</v>
      </c>
      <c r="L45">
        <f ca="1"/>
        <v>2455030.3614644972</v>
      </c>
      <c r="M45">
        <f ca="1"/>
        <v>2497646.8519402314</v>
      </c>
      <c r="N45">
        <f ca="1"/>
        <v>2530948.8099661008</v>
      </c>
    </row>
    <row r="46" spans="4:14">
      <c r="E46" t="str">
        <v>Switzerland</v>
      </c>
      <c r="G46" t="s">
        <v>14</v>
      </c>
      <c r="H46">
        <f ca="1"/>
        <v>15446098.659881031</v>
      </c>
      <c r="J46">
        <f ca="1"/>
        <v>0</v>
      </c>
      <c r="K46">
        <f ca="1"/>
        <v>2279555.5268595032</v>
      </c>
      <c r="L46">
        <f ca="1"/>
        <v>4285861.8045476256</v>
      </c>
      <c r="M46">
        <f ca="1"/>
        <v>4427561.1128430637</v>
      </c>
      <c r="N46">
        <f ca="1"/>
        <v>4453120.2156308386</v>
      </c>
    </row>
    <row r="47" spans="4:14">
      <c r="E47" t="str">
        <v>Russia</v>
      </c>
      <c r="G47" t="s">
        <v>14</v>
      </c>
      <c r="H47">
        <f ca="1"/>
        <v>6872532.3184221843</v>
      </c>
      <c r="J47">
        <f ca="1"/>
        <v>0</v>
      </c>
      <c r="K47">
        <f ca="1"/>
        <v>326288.00675675675</v>
      </c>
      <c r="L47">
        <f ca="1"/>
        <v>1986326.7493026021</v>
      </c>
      <c r="M47">
        <f ca="1"/>
        <v>2283517.5097680646</v>
      </c>
      <c r="N47">
        <f ca="1"/>
        <v>2276400.0525947614</v>
      </c>
    </row>
    <row r="48" spans="4:14">
      <c r="E48" t="s">
        <v>112</v>
      </c>
      <c r="G48" t="s">
        <v>14</v>
      </c>
      <c r="H48">
        <f ca="1"/>
        <v>83483876.353804648</v>
      </c>
      <c r="J48" cm="1">
        <f t="array" aca="1" ref="J48:N48" ca="1" xml:space="preserve"> _xlfn.LET(
       _xlpm.anchor, $J40,
       _xlpm.block, OFFSET( _xlpm.anchor, 0, 0, COUNTA( lstCountries ), COUNTA(_xlfn.ANCHORARRAY( J28) ) ),
       _xlfn.BYCOL( _xlpm.block, _xlfn.LAMBDA(_xlpm.column, SUM( _xlpm.column ) ) ) )</f>
        <v>9902322.1701169629</v>
      </c>
      <c r="K48">
        <f ca="1"/>
        <v>15028826.831726352</v>
      </c>
      <c r="L48">
        <f ca="1"/>
        <v>19057818.141396727</v>
      </c>
      <c r="M48">
        <f ca="1"/>
        <v>19633617.108033042</v>
      </c>
      <c r="N48">
        <f ca="1"/>
        <v>19861292.102531563</v>
      </c>
    </row>
    <row r="50" spans="1:1" s="98" customFormat="1">
      <c r="A50" s="95" t="s">
        <v>101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C6BA-6BEC-44AF-A194-91856FF6410F}">
  <sheetPr>
    <pageSetUpPr autoPageBreaks="0"/>
  </sheetPr>
  <dimension ref="A1:BQ69"/>
  <sheetViews>
    <sheetView showGridLines="0" tabSelected="1" zoomScale="85" zoomScaleNormal="85" workbookViewId="0">
      <pane xSplit="9" ySplit="3" topLeftCell="J17" activePane="bottomRight" state="frozen"/>
      <selection pane="topRight" activeCell="J1" sqref="J1"/>
      <selection pane="bottomLeft" activeCell="A4" sqref="A4"/>
      <selection pane="bottomRight" activeCell="J40" sqref="J40"/>
    </sheetView>
  </sheetViews>
  <sheetFormatPr defaultColWidth="12.69921875" defaultRowHeight="13.8"/>
  <cols>
    <col min="1" max="4" width="1.69921875" customWidth="1"/>
    <col min="5" max="5" width="45.69921875" customWidth="1"/>
    <col min="6" max="6" width="11.69921875" customWidth="1"/>
    <col min="7" max="8" width="10.69921875" customWidth="1"/>
    <col min="9" max="9" width="1.69921875" customWidth="1"/>
  </cols>
  <sheetData>
    <row r="1" spans="1:69" s="97" customFormat="1">
      <c r="A1" s="97" t="str">
        <f>company</f>
        <v>Fashion Boutique</v>
      </c>
    </row>
    <row r="2" spans="1:69" s="97" customFormat="1">
      <c r="A2" s="97" t="str" cm="1">
        <f t="array" ref="A2">topic</f>
        <v>CFM Topic: Revenue</v>
      </c>
      <c r="J2" s="100" cm="1">
        <f t="array" ref="J2:BQ2" xml:space="preserve"> EDATE( start_date, _xlfn.SEQUENCE( 1, periods, 0, 1 ) )</f>
        <v>44562</v>
      </c>
      <c r="K2" s="100">
        <v>44593</v>
      </c>
      <c r="L2" s="100">
        <v>44621</v>
      </c>
      <c r="M2" s="100">
        <v>44652</v>
      </c>
      <c r="N2" s="100">
        <v>44682</v>
      </c>
      <c r="O2" s="100">
        <v>44713</v>
      </c>
      <c r="P2" s="100">
        <v>44743</v>
      </c>
      <c r="Q2" s="100">
        <v>44774</v>
      </c>
      <c r="R2" s="100">
        <v>44805</v>
      </c>
      <c r="S2" s="100">
        <v>44835</v>
      </c>
      <c r="T2" s="100">
        <v>44866</v>
      </c>
      <c r="U2" s="100">
        <v>44896</v>
      </c>
      <c r="V2" s="100">
        <v>44927</v>
      </c>
      <c r="W2" s="100">
        <v>44958</v>
      </c>
      <c r="X2" s="100">
        <v>44986</v>
      </c>
      <c r="Y2" s="100">
        <v>45017</v>
      </c>
      <c r="Z2" s="100">
        <v>45047</v>
      </c>
      <c r="AA2" s="100">
        <v>45078</v>
      </c>
      <c r="AB2" s="100">
        <v>45108</v>
      </c>
      <c r="AC2" s="100">
        <v>45139</v>
      </c>
      <c r="AD2" s="100">
        <v>45170</v>
      </c>
      <c r="AE2" s="100">
        <v>45200</v>
      </c>
      <c r="AF2" s="100">
        <v>45231</v>
      </c>
      <c r="AG2" s="100">
        <v>45261</v>
      </c>
      <c r="AH2" s="100">
        <v>45292</v>
      </c>
      <c r="AI2" s="100">
        <v>45323</v>
      </c>
      <c r="AJ2" s="100">
        <v>45352</v>
      </c>
      <c r="AK2" s="100">
        <v>45383</v>
      </c>
      <c r="AL2" s="100">
        <v>45413</v>
      </c>
      <c r="AM2" s="100">
        <v>45444</v>
      </c>
      <c r="AN2" s="100">
        <v>45474</v>
      </c>
      <c r="AO2" s="100">
        <v>45505</v>
      </c>
      <c r="AP2" s="100">
        <v>45536</v>
      </c>
      <c r="AQ2" s="100">
        <v>45566</v>
      </c>
      <c r="AR2" s="100">
        <v>45597</v>
      </c>
      <c r="AS2" s="100">
        <v>45627</v>
      </c>
      <c r="AT2" s="100">
        <v>45658</v>
      </c>
      <c r="AU2" s="100">
        <v>45689</v>
      </c>
      <c r="AV2" s="100">
        <v>45717</v>
      </c>
      <c r="AW2" s="100">
        <v>45748</v>
      </c>
      <c r="AX2" s="100">
        <v>45778</v>
      </c>
      <c r="AY2" s="100">
        <v>45809</v>
      </c>
      <c r="AZ2" s="100">
        <v>45839</v>
      </c>
      <c r="BA2" s="100">
        <v>45870</v>
      </c>
      <c r="BB2" s="100">
        <v>45901</v>
      </c>
      <c r="BC2" s="100">
        <v>45931</v>
      </c>
      <c r="BD2" s="100">
        <v>45962</v>
      </c>
      <c r="BE2" s="100">
        <v>45992</v>
      </c>
      <c r="BF2" s="100">
        <v>46023</v>
      </c>
      <c r="BG2" s="100">
        <v>46054</v>
      </c>
      <c r="BH2" s="100">
        <v>46082</v>
      </c>
      <c r="BI2" s="100">
        <v>46113</v>
      </c>
      <c r="BJ2" s="100">
        <v>46143</v>
      </c>
      <c r="BK2" s="100">
        <v>46174</v>
      </c>
      <c r="BL2" s="100">
        <v>46204</v>
      </c>
      <c r="BM2" s="100">
        <v>46235</v>
      </c>
      <c r="BN2" s="100">
        <v>46266</v>
      </c>
      <c r="BO2" s="100">
        <v>46296</v>
      </c>
      <c r="BP2" s="100">
        <v>46327</v>
      </c>
      <c r="BQ2" s="100">
        <v>46357</v>
      </c>
    </row>
    <row r="3" spans="1:69" s="97" customFormat="1">
      <c r="A3" s="97" t="s">
        <v>103</v>
      </c>
      <c r="F3" s="97" t="s">
        <v>84</v>
      </c>
      <c r="G3" s="97" t="s">
        <v>82</v>
      </c>
      <c r="H3" s="97" t="s">
        <v>83</v>
      </c>
      <c r="J3" s="100" cm="1">
        <f t="array" ref="J3:BQ3" xml:space="preserve"> EOMONTH( start_date, _xlfn.SEQUENCE( 1, periods, 0, 1 ) )</f>
        <v>44592</v>
      </c>
      <c r="K3" s="100">
        <v>44620</v>
      </c>
      <c r="L3" s="100">
        <v>44651</v>
      </c>
      <c r="M3" s="100">
        <v>44681</v>
      </c>
      <c r="N3" s="100">
        <v>44712</v>
      </c>
      <c r="O3" s="100">
        <v>44742</v>
      </c>
      <c r="P3" s="100">
        <v>44773</v>
      </c>
      <c r="Q3" s="100">
        <v>44804</v>
      </c>
      <c r="R3" s="100">
        <v>44834</v>
      </c>
      <c r="S3" s="100">
        <v>44865</v>
      </c>
      <c r="T3" s="100">
        <v>44895</v>
      </c>
      <c r="U3" s="100">
        <v>44926</v>
      </c>
      <c r="V3" s="100">
        <v>44957</v>
      </c>
      <c r="W3" s="100">
        <v>44985</v>
      </c>
      <c r="X3" s="100">
        <v>45016</v>
      </c>
      <c r="Y3" s="100">
        <v>45046</v>
      </c>
      <c r="Z3" s="100">
        <v>45077</v>
      </c>
      <c r="AA3" s="100">
        <v>45107</v>
      </c>
      <c r="AB3" s="100">
        <v>45138</v>
      </c>
      <c r="AC3" s="100">
        <v>45169</v>
      </c>
      <c r="AD3" s="100">
        <v>45199</v>
      </c>
      <c r="AE3" s="100">
        <v>45230</v>
      </c>
      <c r="AF3" s="100">
        <v>45260</v>
      </c>
      <c r="AG3" s="100">
        <v>45291</v>
      </c>
      <c r="AH3" s="100">
        <v>45322</v>
      </c>
      <c r="AI3" s="100">
        <v>45351</v>
      </c>
      <c r="AJ3" s="100">
        <v>45382</v>
      </c>
      <c r="AK3" s="100">
        <v>45412</v>
      </c>
      <c r="AL3" s="100">
        <v>45443</v>
      </c>
      <c r="AM3" s="100">
        <v>45473</v>
      </c>
      <c r="AN3" s="100">
        <v>45504</v>
      </c>
      <c r="AO3" s="100">
        <v>45535</v>
      </c>
      <c r="AP3" s="100">
        <v>45565</v>
      </c>
      <c r="AQ3" s="100">
        <v>45596</v>
      </c>
      <c r="AR3" s="100">
        <v>45626</v>
      </c>
      <c r="AS3" s="100">
        <v>45657</v>
      </c>
      <c r="AT3" s="100">
        <v>45688</v>
      </c>
      <c r="AU3" s="100">
        <v>45716</v>
      </c>
      <c r="AV3" s="100">
        <v>45747</v>
      </c>
      <c r="AW3" s="100">
        <v>45777</v>
      </c>
      <c r="AX3" s="100">
        <v>45808</v>
      </c>
      <c r="AY3" s="100">
        <v>45838</v>
      </c>
      <c r="AZ3" s="100">
        <v>45869</v>
      </c>
      <c r="BA3" s="100">
        <v>45900</v>
      </c>
      <c r="BB3" s="100">
        <v>45930</v>
      </c>
      <c r="BC3" s="100">
        <v>45961</v>
      </c>
      <c r="BD3" s="100">
        <v>45991</v>
      </c>
      <c r="BE3" s="100">
        <v>46022</v>
      </c>
      <c r="BF3" s="100">
        <v>46053</v>
      </c>
      <c r="BG3" s="100">
        <v>46081</v>
      </c>
      <c r="BH3" s="100">
        <v>46112</v>
      </c>
      <c r="BI3" s="100">
        <v>46142</v>
      </c>
      <c r="BJ3" s="100">
        <v>46173</v>
      </c>
      <c r="BK3" s="100">
        <v>46203</v>
      </c>
      <c r="BL3" s="100">
        <v>46234</v>
      </c>
      <c r="BM3" s="100">
        <v>46265</v>
      </c>
      <c r="BN3" s="100">
        <v>46295</v>
      </c>
      <c r="BO3" s="100">
        <v>46326</v>
      </c>
      <c r="BP3" s="100">
        <v>46356</v>
      </c>
      <c r="BQ3" s="100">
        <v>46387</v>
      </c>
    </row>
    <row r="5" spans="1:69" s="98" customFormat="1">
      <c r="A5" s="95" t="s">
        <v>110</v>
      </c>
    </row>
    <row r="7" spans="1:69">
      <c r="D7" s="101" t="s">
        <v>36</v>
      </c>
    </row>
    <row r="8" spans="1:69">
      <c r="E8" t="str" cm="1">
        <f t="array" ref="E8:E15">lstStores</f>
        <v>Paris</v>
      </c>
      <c r="G8" t="str" cm="1">
        <f t="array" ref="G8:G15">INDEX( CaseData!$C$9:$E$17, MATCH(_xlfn.ANCHORARRAY( Price!E8), CaseData!$C$9:$C$17, 0 ), 3 )</f>
        <v>EUR</v>
      </c>
      <c r="J8" s="121" cm="1">
        <f t="array" ref="J8:BQ15" xml:space="preserve"> _xlfn.LET(
      _xlpm.operating_flag,_xlfn.ANCHORARRAY( Time!$J$18),
      _xlpm.unit_prices_table, CaseData!$B$46:$E$52,
      _xlpm.currency_row, CaseData!$B$46:$B$52,
      _xlpm.apparel_column, CaseData!$B$46:$E$46,
      _xlpm.current_apparel, Price!$D7,
      _xlpm.store_currency,_xlfn.ANCHORARRAY( Price!$G8),
      _xlpm.unit_price_at_store, INDEX( _xlpm.unit_prices_table, _xlfn.XMATCH( _xlpm.store_currency, _xlpm.currency_row, 0, 1 ), _xlfn.XMATCH( _xlpm.current_apparel, _xlpm.apparel_column, 0, 1 ) ),
      _xlpm.discount_month, CaseData!$C$58:$C$69,
      _xlpm.discount_percentage, CaseData!$E$58:$E$69,
      _xlpm.current_month,_xlfn.ANCHORARRAY( Time!J$11),
      _xlpm.discount, 1 - _xlfn.XLOOKUP( _xlpm.current_month, _xlpm.discount_month, _xlpm.discount_percentage, 0, 0, 1 ),
      _xlpm.current_year, YEAR(_xlfn.ANCHORARRAY( Time!J$9) ),
      _xlpm.clean_rates, IF( CaseData!$C$86:$G$91 = "n.a.", 0, CaseData!$C$86:$G$91),
      _xlpm.compounded_rates, _xlfn.MAKEARRAY( ROWS( _xlpm.clean_rates ), COLUMNS( _xlpm.clean_rates ), _xlfn.LAMBDA(_xlpm.i,_xlpm.j, INDEX( _xlfn.SCAN( 1, INDEX( _xlpm.clean_rates, _xlpm.i, 0 ), _xlfn.LAMBDA(_xlpm.s,_xlpm.c, _xlpm.s * ( 1 + _xlpm.c ) ) ), _xlpm.j ) ) ),
      _xlpm.inflation_rows, CaseData!$B$86:$B$91,
      _xlpm.inflation_columns, CaseData!$B$85:$G$85,
      _xlpm.inflation_table, _xlfn.VSTACK( _xlpm.inflation_columns, _xlfn.HSTACK( _xlpm.inflation_rows, _xlpm.compounded_rates ) ),
      _xlpm.inflation, INDEX( _xlpm.inflation_table, _xlfn.XMATCH( _xlpm.store_currency, _xlpm.inflation_rows, 0 ) + 1, _xlfn.XMATCH( _xlpm.current_year, _xlpm.inflation_columns, 0 ) ),
      _xlpm.operating_flag * _xlpm.unit_price_at_store * _xlpm.discount * _xlpm.inflation)</f>
        <v>300</v>
      </c>
      <c r="K8" s="113">
        <v>500</v>
      </c>
      <c r="L8" s="113">
        <v>500</v>
      </c>
      <c r="M8" s="113">
        <v>500</v>
      </c>
      <c r="N8" s="113">
        <v>500</v>
      </c>
      <c r="O8" s="113">
        <v>500</v>
      </c>
      <c r="P8" s="113">
        <v>300</v>
      </c>
      <c r="Q8" s="113">
        <v>500</v>
      </c>
      <c r="R8" s="113">
        <v>500</v>
      </c>
      <c r="S8" s="113">
        <v>500</v>
      </c>
      <c r="T8" s="113">
        <v>500</v>
      </c>
      <c r="U8" s="113">
        <v>400</v>
      </c>
      <c r="V8" s="113">
        <v>301.49999999999994</v>
      </c>
      <c r="W8" s="113">
        <v>502.49999999999994</v>
      </c>
      <c r="X8" s="113">
        <v>502.49999999999994</v>
      </c>
      <c r="Y8" s="113">
        <v>502.49999999999994</v>
      </c>
      <c r="Z8" s="113">
        <v>502.49999999999994</v>
      </c>
      <c r="AA8" s="113">
        <v>502.49999999999994</v>
      </c>
      <c r="AB8" s="113">
        <v>301.49999999999994</v>
      </c>
      <c r="AC8" s="113">
        <v>502.49999999999994</v>
      </c>
      <c r="AD8" s="113">
        <v>502.49999999999994</v>
      </c>
      <c r="AE8" s="113">
        <v>502.49999999999994</v>
      </c>
      <c r="AF8" s="113">
        <v>502.49999999999994</v>
      </c>
      <c r="AG8" s="113">
        <v>401.99999999999994</v>
      </c>
      <c r="AH8" s="113">
        <v>303.00749999999994</v>
      </c>
      <c r="AI8" s="113">
        <v>505.01249999999987</v>
      </c>
      <c r="AJ8" s="113">
        <v>505.01249999999987</v>
      </c>
      <c r="AK8" s="113">
        <v>505.01249999999987</v>
      </c>
      <c r="AL8" s="113">
        <v>505.01249999999987</v>
      </c>
      <c r="AM8" s="113">
        <v>505.01249999999987</v>
      </c>
      <c r="AN8" s="113">
        <v>303.00749999999994</v>
      </c>
      <c r="AO8" s="113">
        <v>505.01249999999987</v>
      </c>
      <c r="AP8" s="113">
        <v>505.01249999999987</v>
      </c>
      <c r="AQ8" s="113">
        <v>505.01249999999987</v>
      </c>
      <c r="AR8" s="113">
        <v>505.01249999999987</v>
      </c>
      <c r="AS8" s="113">
        <v>404.00999999999988</v>
      </c>
      <c r="AT8" s="113">
        <v>306.03757499999995</v>
      </c>
      <c r="AU8" s="113">
        <v>510.06262499999985</v>
      </c>
      <c r="AV8" s="113">
        <v>510.06262499999985</v>
      </c>
      <c r="AW8" s="113">
        <v>510.06262499999985</v>
      </c>
      <c r="AX8" s="113">
        <v>510.06262499999985</v>
      </c>
      <c r="AY8" s="113">
        <v>510.06262499999985</v>
      </c>
      <c r="AZ8" s="113">
        <v>306.03757499999995</v>
      </c>
      <c r="BA8" s="113">
        <v>510.06262499999985</v>
      </c>
      <c r="BB8" s="113">
        <v>510.06262499999985</v>
      </c>
      <c r="BC8" s="113">
        <v>510.06262499999985</v>
      </c>
      <c r="BD8" s="113">
        <v>510.06262499999985</v>
      </c>
      <c r="BE8" s="113">
        <v>408.05009999999993</v>
      </c>
      <c r="BF8" s="113">
        <v>313.6885143749999</v>
      </c>
      <c r="BG8" s="113">
        <v>522.81419062499981</v>
      </c>
      <c r="BH8" s="113">
        <v>522.81419062499981</v>
      </c>
      <c r="BI8" s="113">
        <v>522.81419062499981</v>
      </c>
      <c r="BJ8" s="113">
        <v>522.81419062499981</v>
      </c>
      <c r="BK8" s="113">
        <v>522.81419062499981</v>
      </c>
      <c r="BL8" s="113">
        <v>313.6885143749999</v>
      </c>
      <c r="BM8" s="113">
        <v>522.81419062499981</v>
      </c>
      <c r="BN8" s="113">
        <v>522.81419062499981</v>
      </c>
      <c r="BO8" s="113">
        <v>522.81419062499981</v>
      </c>
      <c r="BP8" s="113">
        <v>522.81419062499981</v>
      </c>
      <c r="BQ8" s="113">
        <v>418.25135249999983</v>
      </c>
    </row>
    <row r="9" spans="1:69">
      <c r="E9" t="str">
        <v>Milano</v>
      </c>
      <c r="G9" t="str">
        <v>EUR</v>
      </c>
      <c r="J9" s="113">
        <v>300</v>
      </c>
      <c r="K9" s="113">
        <v>500</v>
      </c>
      <c r="L9" s="113">
        <v>500</v>
      </c>
      <c r="M9" s="113">
        <v>500</v>
      </c>
      <c r="N9" s="113">
        <v>500</v>
      </c>
      <c r="O9" s="113">
        <v>500</v>
      </c>
      <c r="P9" s="113">
        <v>300</v>
      </c>
      <c r="Q9" s="113">
        <v>500</v>
      </c>
      <c r="R9" s="113">
        <v>500</v>
      </c>
      <c r="S9" s="113">
        <v>500</v>
      </c>
      <c r="T9" s="113">
        <v>500</v>
      </c>
      <c r="U9" s="113">
        <v>400</v>
      </c>
      <c r="V9" s="113">
        <v>301.49999999999994</v>
      </c>
      <c r="W9" s="113">
        <v>502.49999999999994</v>
      </c>
      <c r="X9" s="113">
        <v>502.49999999999994</v>
      </c>
      <c r="Y9" s="113">
        <v>502.49999999999994</v>
      </c>
      <c r="Z9" s="113">
        <v>502.49999999999994</v>
      </c>
      <c r="AA9" s="113">
        <v>502.49999999999994</v>
      </c>
      <c r="AB9" s="113">
        <v>301.49999999999994</v>
      </c>
      <c r="AC9" s="113">
        <v>502.49999999999994</v>
      </c>
      <c r="AD9" s="113">
        <v>502.49999999999994</v>
      </c>
      <c r="AE9" s="113">
        <v>502.49999999999994</v>
      </c>
      <c r="AF9" s="113">
        <v>502.49999999999994</v>
      </c>
      <c r="AG9" s="113">
        <v>401.99999999999994</v>
      </c>
      <c r="AH9" s="113">
        <v>303.00749999999994</v>
      </c>
      <c r="AI9" s="113">
        <v>505.01249999999987</v>
      </c>
      <c r="AJ9" s="113">
        <v>505.01249999999987</v>
      </c>
      <c r="AK9" s="113">
        <v>505.01249999999987</v>
      </c>
      <c r="AL9" s="113">
        <v>505.01249999999987</v>
      </c>
      <c r="AM9" s="113">
        <v>505.01249999999987</v>
      </c>
      <c r="AN9" s="113">
        <v>303.00749999999994</v>
      </c>
      <c r="AO9" s="113">
        <v>505.01249999999987</v>
      </c>
      <c r="AP9" s="113">
        <v>505.01249999999987</v>
      </c>
      <c r="AQ9" s="113">
        <v>505.01249999999987</v>
      </c>
      <c r="AR9" s="113">
        <v>505.01249999999987</v>
      </c>
      <c r="AS9" s="113">
        <v>404.00999999999988</v>
      </c>
      <c r="AT9" s="113">
        <v>306.03757499999995</v>
      </c>
      <c r="AU9" s="113">
        <v>510.06262499999985</v>
      </c>
      <c r="AV9" s="113">
        <v>510.06262499999985</v>
      </c>
      <c r="AW9" s="113">
        <v>510.06262499999985</v>
      </c>
      <c r="AX9" s="113">
        <v>510.06262499999985</v>
      </c>
      <c r="AY9" s="113">
        <v>510.06262499999985</v>
      </c>
      <c r="AZ9" s="113">
        <v>306.03757499999995</v>
      </c>
      <c r="BA9" s="113">
        <v>510.06262499999985</v>
      </c>
      <c r="BB9" s="113">
        <v>510.06262499999985</v>
      </c>
      <c r="BC9" s="113">
        <v>510.06262499999985</v>
      </c>
      <c r="BD9" s="113">
        <v>510.06262499999985</v>
      </c>
      <c r="BE9" s="113">
        <v>408.05009999999993</v>
      </c>
      <c r="BF9" s="113">
        <v>313.6885143749999</v>
      </c>
      <c r="BG9" s="113">
        <v>522.81419062499981</v>
      </c>
      <c r="BH9" s="113">
        <v>522.81419062499981</v>
      </c>
      <c r="BI9" s="113">
        <v>522.81419062499981</v>
      </c>
      <c r="BJ9" s="113">
        <v>522.81419062499981</v>
      </c>
      <c r="BK9" s="113">
        <v>522.81419062499981</v>
      </c>
      <c r="BL9" s="113">
        <v>313.6885143749999</v>
      </c>
      <c r="BM9" s="113">
        <v>522.81419062499981</v>
      </c>
      <c r="BN9" s="113">
        <v>522.81419062499981</v>
      </c>
      <c r="BO9" s="113">
        <v>522.81419062499981</v>
      </c>
      <c r="BP9" s="113">
        <v>522.81419062499981</v>
      </c>
      <c r="BQ9" s="113">
        <v>418.25135249999983</v>
      </c>
    </row>
    <row r="10" spans="1:69">
      <c r="E10" t="str">
        <v>Madrid</v>
      </c>
      <c r="G10" t="str">
        <v>EUR</v>
      </c>
      <c r="J10" s="113">
        <v>300</v>
      </c>
      <c r="K10" s="113">
        <v>500</v>
      </c>
      <c r="L10" s="113">
        <v>500</v>
      </c>
      <c r="M10" s="113">
        <v>500</v>
      </c>
      <c r="N10" s="113">
        <v>500</v>
      </c>
      <c r="O10" s="113">
        <v>500</v>
      </c>
      <c r="P10" s="113">
        <v>300</v>
      </c>
      <c r="Q10" s="113">
        <v>500</v>
      </c>
      <c r="R10" s="113">
        <v>500</v>
      </c>
      <c r="S10" s="113">
        <v>500</v>
      </c>
      <c r="T10" s="113">
        <v>500</v>
      </c>
      <c r="U10" s="113">
        <v>400</v>
      </c>
      <c r="V10" s="113">
        <v>301.49999999999994</v>
      </c>
      <c r="W10" s="113">
        <v>502.49999999999994</v>
      </c>
      <c r="X10" s="113">
        <v>502.49999999999994</v>
      </c>
      <c r="Y10" s="113">
        <v>502.49999999999994</v>
      </c>
      <c r="Z10" s="113">
        <v>502.49999999999994</v>
      </c>
      <c r="AA10" s="113">
        <v>502.49999999999994</v>
      </c>
      <c r="AB10" s="113">
        <v>301.49999999999994</v>
      </c>
      <c r="AC10" s="113">
        <v>502.49999999999994</v>
      </c>
      <c r="AD10" s="113">
        <v>502.49999999999994</v>
      </c>
      <c r="AE10" s="113">
        <v>502.49999999999994</v>
      </c>
      <c r="AF10" s="113">
        <v>502.49999999999994</v>
      </c>
      <c r="AG10" s="113">
        <v>401.99999999999994</v>
      </c>
      <c r="AH10" s="113">
        <v>303.00749999999994</v>
      </c>
      <c r="AI10" s="113">
        <v>505.01249999999987</v>
      </c>
      <c r="AJ10" s="113">
        <v>505.01249999999987</v>
      </c>
      <c r="AK10" s="113">
        <v>505.01249999999987</v>
      </c>
      <c r="AL10" s="113">
        <v>505.01249999999987</v>
      </c>
      <c r="AM10" s="113">
        <v>505.01249999999987</v>
      </c>
      <c r="AN10" s="113">
        <v>303.00749999999994</v>
      </c>
      <c r="AO10" s="113">
        <v>505.01249999999987</v>
      </c>
      <c r="AP10" s="113">
        <v>505.01249999999987</v>
      </c>
      <c r="AQ10" s="113">
        <v>505.01249999999987</v>
      </c>
      <c r="AR10" s="113">
        <v>505.01249999999987</v>
      </c>
      <c r="AS10" s="113">
        <v>404.00999999999988</v>
      </c>
      <c r="AT10" s="113">
        <v>306.03757499999995</v>
      </c>
      <c r="AU10" s="113">
        <v>510.06262499999985</v>
      </c>
      <c r="AV10" s="113">
        <v>510.06262499999985</v>
      </c>
      <c r="AW10" s="113">
        <v>510.06262499999985</v>
      </c>
      <c r="AX10" s="113">
        <v>510.06262499999985</v>
      </c>
      <c r="AY10" s="113">
        <v>510.06262499999985</v>
      </c>
      <c r="AZ10" s="113">
        <v>306.03757499999995</v>
      </c>
      <c r="BA10" s="113">
        <v>510.06262499999985</v>
      </c>
      <c r="BB10" s="113">
        <v>510.06262499999985</v>
      </c>
      <c r="BC10" s="113">
        <v>510.06262499999985</v>
      </c>
      <c r="BD10" s="113">
        <v>510.06262499999985</v>
      </c>
      <c r="BE10" s="113">
        <v>408.05009999999993</v>
      </c>
      <c r="BF10" s="113">
        <v>313.6885143749999</v>
      </c>
      <c r="BG10" s="113">
        <v>522.81419062499981</v>
      </c>
      <c r="BH10" s="113">
        <v>522.81419062499981</v>
      </c>
      <c r="BI10" s="113">
        <v>522.81419062499981</v>
      </c>
      <c r="BJ10" s="113">
        <v>522.81419062499981</v>
      </c>
      <c r="BK10" s="113">
        <v>522.81419062499981</v>
      </c>
      <c r="BL10" s="113">
        <v>313.6885143749999</v>
      </c>
      <c r="BM10" s="113">
        <v>522.81419062499981</v>
      </c>
      <c r="BN10" s="113">
        <v>522.81419062499981</v>
      </c>
      <c r="BO10" s="113">
        <v>522.81419062499981</v>
      </c>
      <c r="BP10" s="113">
        <v>522.81419062499981</v>
      </c>
      <c r="BQ10" s="113">
        <v>418.25135249999983</v>
      </c>
    </row>
    <row r="11" spans="1:69">
      <c r="E11" t="str">
        <v>London</v>
      </c>
      <c r="G11" t="str">
        <v>GBP</v>
      </c>
      <c r="J11" s="113">
        <v>255</v>
      </c>
      <c r="K11" s="113">
        <v>425</v>
      </c>
      <c r="L11" s="113">
        <v>425</v>
      </c>
      <c r="M11" s="113">
        <v>425</v>
      </c>
      <c r="N11" s="113">
        <v>425</v>
      </c>
      <c r="O11" s="113">
        <v>425</v>
      </c>
      <c r="P11" s="113">
        <v>255</v>
      </c>
      <c r="Q11" s="113">
        <v>425</v>
      </c>
      <c r="R11" s="113">
        <v>425</v>
      </c>
      <c r="S11" s="113">
        <v>425</v>
      </c>
      <c r="T11" s="113">
        <v>425</v>
      </c>
      <c r="U11" s="113">
        <v>340</v>
      </c>
      <c r="V11" s="113">
        <v>262.65000000000003</v>
      </c>
      <c r="W11" s="113">
        <v>437.75</v>
      </c>
      <c r="X11" s="113">
        <v>437.75</v>
      </c>
      <c r="Y11" s="113">
        <v>437.75</v>
      </c>
      <c r="Z11" s="113">
        <v>437.75</v>
      </c>
      <c r="AA11" s="113">
        <v>437.75</v>
      </c>
      <c r="AB11" s="113">
        <v>262.65000000000003</v>
      </c>
      <c r="AC11" s="113">
        <v>437.75</v>
      </c>
      <c r="AD11" s="113">
        <v>437.75</v>
      </c>
      <c r="AE11" s="113">
        <v>437.75</v>
      </c>
      <c r="AF11" s="113">
        <v>437.75</v>
      </c>
      <c r="AG11" s="113">
        <v>350.2</v>
      </c>
      <c r="AH11" s="113">
        <v>265.2765</v>
      </c>
      <c r="AI11" s="113">
        <v>442.1275</v>
      </c>
      <c r="AJ11" s="113">
        <v>442.1275</v>
      </c>
      <c r="AK11" s="113">
        <v>442.1275</v>
      </c>
      <c r="AL11" s="113">
        <v>442.1275</v>
      </c>
      <c r="AM11" s="113">
        <v>442.1275</v>
      </c>
      <c r="AN11" s="113">
        <v>265.2765</v>
      </c>
      <c r="AO11" s="113">
        <v>442.1275</v>
      </c>
      <c r="AP11" s="113">
        <v>442.1275</v>
      </c>
      <c r="AQ11" s="113">
        <v>442.1275</v>
      </c>
      <c r="AR11" s="113">
        <v>442.1275</v>
      </c>
      <c r="AS11" s="113">
        <v>353.702</v>
      </c>
      <c r="AT11" s="113">
        <v>267.92926499999999</v>
      </c>
      <c r="AU11" s="113">
        <v>446.54877499999998</v>
      </c>
      <c r="AV11" s="113">
        <v>446.54877499999998</v>
      </c>
      <c r="AW11" s="113">
        <v>446.54877499999998</v>
      </c>
      <c r="AX11" s="113">
        <v>446.54877499999998</v>
      </c>
      <c r="AY11" s="113">
        <v>446.54877499999998</v>
      </c>
      <c r="AZ11" s="113">
        <v>267.92926499999999</v>
      </c>
      <c r="BA11" s="113">
        <v>446.54877499999998</v>
      </c>
      <c r="BB11" s="113">
        <v>446.54877499999998</v>
      </c>
      <c r="BC11" s="113">
        <v>446.54877499999998</v>
      </c>
      <c r="BD11" s="113">
        <v>446.54877499999998</v>
      </c>
      <c r="BE11" s="113">
        <v>357.23901999999998</v>
      </c>
      <c r="BF11" s="113">
        <v>270.60855765000002</v>
      </c>
      <c r="BG11" s="113">
        <v>451.01426275</v>
      </c>
      <c r="BH11" s="113">
        <v>451.01426275</v>
      </c>
      <c r="BI11" s="113">
        <v>451.01426275</v>
      </c>
      <c r="BJ11" s="113">
        <v>451.01426275</v>
      </c>
      <c r="BK11" s="113">
        <v>451.01426275</v>
      </c>
      <c r="BL11" s="113">
        <v>270.60855765000002</v>
      </c>
      <c r="BM11" s="113">
        <v>451.01426275</v>
      </c>
      <c r="BN11" s="113">
        <v>451.01426275</v>
      </c>
      <c r="BO11" s="113">
        <v>451.01426275</v>
      </c>
      <c r="BP11" s="113">
        <v>451.01426275</v>
      </c>
      <c r="BQ11" s="113">
        <v>360.81141020000001</v>
      </c>
    </row>
    <row r="12" spans="1:69">
      <c r="E12" t="str">
        <v>New York</v>
      </c>
      <c r="G12" t="str">
        <v>USD</v>
      </c>
      <c r="J12" s="113">
        <v>0</v>
      </c>
      <c r="K12" s="113">
        <v>0</v>
      </c>
      <c r="L12" s="113">
        <v>0</v>
      </c>
      <c r="M12" s="113">
        <v>475</v>
      </c>
      <c r="N12" s="113">
        <v>475</v>
      </c>
      <c r="O12" s="113">
        <v>475</v>
      </c>
      <c r="P12" s="113">
        <v>285</v>
      </c>
      <c r="Q12" s="113">
        <v>475</v>
      </c>
      <c r="R12" s="113">
        <v>475</v>
      </c>
      <c r="S12" s="113">
        <v>475</v>
      </c>
      <c r="T12" s="113">
        <v>475</v>
      </c>
      <c r="U12" s="113">
        <v>380</v>
      </c>
      <c r="V12" s="113">
        <v>293.55</v>
      </c>
      <c r="W12" s="113">
        <v>489.25</v>
      </c>
      <c r="X12" s="113">
        <v>489.25</v>
      </c>
      <c r="Y12" s="113">
        <v>489.25</v>
      </c>
      <c r="Z12" s="113">
        <v>489.25</v>
      </c>
      <c r="AA12" s="113">
        <v>489.25</v>
      </c>
      <c r="AB12" s="113">
        <v>293.55</v>
      </c>
      <c r="AC12" s="113">
        <v>489.25</v>
      </c>
      <c r="AD12" s="113">
        <v>489.25</v>
      </c>
      <c r="AE12" s="113">
        <v>489.25</v>
      </c>
      <c r="AF12" s="113">
        <v>489.25</v>
      </c>
      <c r="AG12" s="113">
        <v>391.40000000000003</v>
      </c>
      <c r="AH12" s="113">
        <v>299.42099999999999</v>
      </c>
      <c r="AI12" s="113">
        <v>499.03499999999997</v>
      </c>
      <c r="AJ12" s="113">
        <v>499.03499999999997</v>
      </c>
      <c r="AK12" s="113">
        <v>499.03499999999997</v>
      </c>
      <c r="AL12" s="113">
        <v>499.03499999999997</v>
      </c>
      <c r="AM12" s="113">
        <v>499.03499999999997</v>
      </c>
      <c r="AN12" s="113">
        <v>299.42099999999999</v>
      </c>
      <c r="AO12" s="113">
        <v>499.03499999999997</v>
      </c>
      <c r="AP12" s="113">
        <v>499.03499999999997</v>
      </c>
      <c r="AQ12" s="113">
        <v>499.03499999999997</v>
      </c>
      <c r="AR12" s="113">
        <v>499.03499999999997</v>
      </c>
      <c r="AS12" s="113">
        <v>399.22800000000001</v>
      </c>
      <c r="AT12" s="113">
        <v>308.40362999999996</v>
      </c>
      <c r="AU12" s="113">
        <v>514.00604999999996</v>
      </c>
      <c r="AV12" s="113">
        <v>514.00604999999996</v>
      </c>
      <c r="AW12" s="113">
        <v>514.00604999999996</v>
      </c>
      <c r="AX12" s="113">
        <v>514.00604999999996</v>
      </c>
      <c r="AY12" s="113">
        <v>514.00604999999996</v>
      </c>
      <c r="AZ12" s="113">
        <v>308.40362999999996</v>
      </c>
      <c r="BA12" s="113">
        <v>514.00604999999996</v>
      </c>
      <c r="BB12" s="113">
        <v>514.00604999999996</v>
      </c>
      <c r="BC12" s="113">
        <v>514.00604999999996</v>
      </c>
      <c r="BD12" s="113">
        <v>514.00604999999996</v>
      </c>
      <c r="BE12" s="113">
        <v>411.20483999999999</v>
      </c>
      <c r="BF12" s="113">
        <v>309.94564814999995</v>
      </c>
      <c r="BG12" s="113">
        <v>516.5760802499999</v>
      </c>
      <c r="BH12" s="113">
        <v>516.5760802499999</v>
      </c>
      <c r="BI12" s="113">
        <v>516.5760802499999</v>
      </c>
      <c r="BJ12" s="113">
        <v>516.5760802499999</v>
      </c>
      <c r="BK12" s="113">
        <v>516.5760802499999</v>
      </c>
      <c r="BL12" s="113">
        <v>309.94564814999995</v>
      </c>
      <c r="BM12" s="113">
        <v>516.5760802499999</v>
      </c>
      <c r="BN12" s="113">
        <v>516.5760802499999</v>
      </c>
      <c r="BO12" s="113">
        <v>516.5760802499999</v>
      </c>
      <c r="BP12" s="113">
        <v>516.5760802499999</v>
      </c>
      <c r="BQ12" s="113">
        <v>413.2608641999999</v>
      </c>
    </row>
    <row r="13" spans="1:69">
      <c r="E13" t="str">
        <v>Montreal</v>
      </c>
      <c r="G13" t="str">
        <v>CAD</v>
      </c>
      <c r="J13" s="113">
        <v>0</v>
      </c>
      <c r="K13" s="113">
        <v>0</v>
      </c>
      <c r="L13" s="113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700</v>
      </c>
      <c r="T13" s="113">
        <v>700</v>
      </c>
      <c r="U13" s="113">
        <v>560</v>
      </c>
      <c r="V13" s="113">
        <v>428.40000000000003</v>
      </c>
      <c r="W13" s="113">
        <v>714</v>
      </c>
      <c r="X13" s="113">
        <v>714</v>
      </c>
      <c r="Y13" s="113">
        <v>714</v>
      </c>
      <c r="Z13" s="113">
        <v>714</v>
      </c>
      <c r="AA13" s="113">
        <v>714</v>
      </c>
      <c r="AB13" s="113">
        <v>428.40000000000003</v>
      </c>
      <c r="AC13" s="113">
        <v>714</v>
      </c>
      <c r="AD13" s="113">
        <v>714</v>
      </c>
      <c r="AE13" s="113">
        <v>714</v>
      </c>
      <c r="AF13" s="113">
        <v>714</v>
      </c>
      <c r="AG13" s="113">
        <v>571.20000000000005</v>
      </c>
      <c r="AH13" s="113">
        <v>436.96800000000002</v>
      </c>
      <c r="AI13" s="113">
        <v>728.28</v>
      </c>
      <c r="AJ13" s="113">
        <v>728.28</v>
      </c>
      <c r="AK13" s="113">
        <v>728.28</v>
      </c>
      <c r="AL13" s="113">
        <v>728.28</v>
      </c>
      <c r="AM13" s="113">
        <v>728.28</v>
      </c>
      <c r="AN13" s="113">
        <v>436.96800000000002</v>
      </c>
      <c r="AO13" s="113">
        <v>728.28</v>
      </c>
      <c r="AP13" s="113">
        <v>728.28</v>
      </c>
      <c r="AQ13" s="113">
        <v>728.28</v>
      </c>
      <c r="AR13" s="113">
        <v>728.28</v>
      </c>
      <c r="AS13" s="113">
        <v>582.62400000000002</v>
      </c>
      <c r="AT13" s="113">
        <v>447.89219999999995</v>
      </c>
      <c r="AU13" s="113">
        <v>746.48699999999985</v>
      </c>
      <c r="AV13" s="113">
        <v>746.48699999999985</v>
      </c>
      <c r="AW13" s="113">
        <v>746.48699999999985</v>
      </c>
      <c r="AX13" s="113">
        <v>746.48699999999985</v>
      </c>
      <c r="AY13" s="113">
        <v>746.48699999999985</v>
      </c>
      <c r="AZ13" s="113">
        <v>447.89219999999995</v>
      </c>
      <c r="BA13" s="113">
        <v>746.48699999999985</v>
      </c>
      <c r="BB13" s="113">
        <v>746.48699999999985</v>
      </c>
      <c r="BC13" s="113">
        <v>746.48699999999985</v>
      </c>
      <c r="BD13" s="113">
        <v>746.48699999999985</v>
      </c>
      <c r="BE13" s="113">
        <v>597.18959999999993</v>
      </c>
      <c r="BF13" s="113">
        <v>456.85004399999991</v>
      </c>
      <c r="BG13" s="113">
        <v>761.41673999999989</v>
      </c>
      <c r="BH13" s="113">
        <v>761.41673999999989</v>
      </c>
      <c r="BI13" s="113">
        <v>761.41673999999989</v>
      </c>
      <c r="BJ13" s="113">
        <v>761.41673999999989</v>
      </c>
      <c r="BK13" s="113">
        <v>761.41673999999989</v>
      </c>
      <c r="BL13" s="113">
        <v>456.85004399999991</v>
      </c>
      <c r="BM13" s="113">
        <v>761.41673999999989</v>
      </c>
      <c r="BN13" s="113">
        <v>761.41673999999989</v>
      </c>
      <c r="BO13" s="113">
        <v>761.41673999999989</v>
      </c>
      <c r="BP13" s="113">
        <v>761.41673999999989</v>
      </c>
      <c r="BQ13" s="113">
        <v>609.13339199999984</v>
      </c>
    </row>
    <row r="14" spans="1:69">
      <c r="E14" t="str">
        <v>Zurich</v>
      </c>
      <c r="G14" t="str">
        <v>CHF</v>
      </c>
      <c r="J14" s="113">
        <v>0</v>
      </c>
      <c r="K14" s="113">
        <v>0</v>
      </c>
      <c r="L14" s="113">
        <v>0</v>
      </c>
      <c r="M14" s="113">
        <v>0</v>
      </c>
      <c r="N14" s="113">
        <v>0</v>
      </c>
      <c r="O14" s="113">
        <v>0</v>
      </c>
      <c r="P14" s="113">
        <v>0</v>
      </c>
      <c r="Q14" s="113">
        <v>0</v>
      </c>
      <c r="R14" s="113">
        <v>0</v>
      </c>
      <c r="S14" s="113">
        <v>0</v>
      </c>
      <c r="T14" s="113">
        <v>0</v>
      </c>
      <c r="U14" s="113">
        <v>0</v>
      </c>
      <c r="V14" s="113">
        <v>0</v>
      </c>
      <c r="W14" s="113">
        <v>0</v>
      </c>
      <c r="X14" s="113">
        <v>0</v>
      </c>
      <c r="Y14" s="113">
        <v>768.74999999999989</v>
      </c>
      <c r="Z14" s="113">
        <v>768.74999999999989</v>
      </c>
      <c r="AA14" s="113">
        <v>768.74999999999989</v>
      </c>
      <c r="AB14" s="113">
        <v>461.24999999999994</v>
      </c>
      <c r="AC14" s="113">
        <v>768.74999999999989</v>
      </c>
      <c r="AD14" s="113">
        <v>768.74999999999989</v>
      </c>
      <c r="AE14" s="113">
        <v>768.74999999999989</v>
      </c>
      <c r="AF14" s="113">
        <v>768.74999999999989</v>
      </c>
      <c r="AG14" s="113">
        <v>615</v>
      </c>
      <c r="AH14" s="113">
        <v>463.55624999999986</v>
      </c>
      <c r="AI14" s="113">
        <v>772.59374999999977</v>
      </c>
      <c r="AJ14" s="113">
        <v>772.59374999999977</v>
      </c>
      <c r="AK14" s="113">
        <v>772.59374999999977</v>
      </c>
      <c r="AL14" s="113">
        <v>772.59374999999977</v>
      </c>
      <c r="AM14" s="113">
        <v>772.59374999999977</v>
      </c>
      <c r="AN14" s="113">
        <v>463.55624999999986</v>
      </c>
      <c r="AO14" s="113">
        <v>772.59374999999977</v>
      </c>
      <c r="AP14" s="113">
        <v>772.59374999999977</v>
      </c>
      <c r="AQ14" s="113">
        <v>772.59374999999977</v>
      </c>
      <c r="AR14" s="113">
        <v>772.59374999999977</v>
      </c>
      <c r="AS14" s="113">
        <v>618.07499999999982</v>
      </c>
      <c r="AT14" s="113">
        <v>477.4629374999999</v>
      </c>
      <c r="AU14" s="113">
        <v>795.77156249999985</v>
      </c>
      <c r="AV14" s="113">
        <v>795.77156249999985</v>
      </c>
      <c r="AW14" s="113">
        <v>795.77156249999985</v>
      </c>
      <c r="AX14" s="113">
        <v>795.77156249999985</v>
      </c>
      <c r="AY14" s="113">
        <v>795.77156249999985</v>
      </c>
      <c r="AZ14" s="113">
        <v>477.4629374999999</v>
      </c>
      <c r="BA14" s="113">
        <v>795.77156249999985</v>
      </c>
      <c r="BB14" s="113">
        <v>795.77156249999985</v>
      </c>
      <c r="BC14" s="113">
        <v>795.77156249999985</v>
      </c>
      <c r="BD14" s="113">
        <v>795.77156249999985</v>
      </c>
      <c r="BE14" s="113">
        <v>636.6172499999999</v>
      </c>
      <c r="BF14" s="113">
        <v>484.62488156249981</v>
      </c>
      <c r="BG14" s="113">
        <v>807.70813593749972</v>
      </c>
      <c r="BH14" s="113">
        <v>807.70813593749972</v>
      </c>
      <c r="BI14" s="113">
        <v>807.70813593749972</v>
      </c>
      <c r="BJ14" s="113">
        <v>807.70813593749972</v>
      </c>
      <c r="BK14" s="113">
        <v>807.70813593749972</v>
      </c>
      <c r="BL14" s="113">
        <v>484.62488156249981</v>
      </c>
      <c r="BM14" s="113">
        <v>807.70813593749972</v>
      </c>
      <c r="BN14" s="113">
        <v>807.70813593749972</v>
      </c>
      <c r="BO14" s="113">
        <v>807.70813593749972</v>
      </c>
      <c r="BP14" s="113">
        <v>807.70813593749972</v>
      </c>
      <c r="BQ14" s="113">
        <v>646.16650874999971</v>
      </c>
    </row>
    <row r="15" spans="1:69">
      <c r="E15" t="str">
        <v>Moscow</v>
      </c>
      <c r="G15" t="str">
        <v>RUB</v>
      </c>
      <c r="J15" s="113">
        <v>0</v>
      </c>
      <c r="K15" s="113">
        <v>0</v>
      </c>
      <c r="L15" s="113">
        <v>0</v>
      </c>
      <c r="M15" s="113">
        <v>0</v>
      </c>
      <c r="N15" s="113">
        <v>0</v>
      </c>
      <c r="O15" s="113">
        <v>0</v>
      </c>
      <c r="P15" s="113">
        <v>0</v>
      </c>
      <c r="Q15" s="113">
        <v>0</v>
      </c>
      <c r="R15" s="113">
        <v>0</v>
      </c>
      <c r="S15" s="113">
        <v>0</v>
      </c>
      <c r="T15" s="113">
        <v>0</v>
      </c>
      <c r="U15" s="113">
        <v>0</v>
      </c>
      <c r="V15" s="113">
        <v>0</v>
      </c>
      <c r="W15" s="113">
        <v>0</v>
      </c>
      <c r="X15" s="113">
        <v>0</v>
      </c>
      <c r="Y15" s="113">
        <v>0</v>
      </c>
      <c r="Z15" s="113">
        <v>0</v>
      </c>
      <c r="AA15" s="113">
        <v>0</v>
      </c>
      <c r="AB15" s="113">
        <v>0</v>
      </c>
      <c r="AC15" s="113">
        <v>0</v>
      </c>
      <c r="AD15" s="113">
        <v>0</v>
      </c>
      <c r="AE15" s="113">
        <v>55550</v>
      </c>
      <c r="AF15" s="113">
        <v>55550</v>
      </c>
      <c r="AG15" s="113">
        <v>44440</v>
      </c>
      <c r="AH15" s="113">
        <v>33663.300000000003</v>
      </c>
      <c r="AI15" s="113">
        <v>56105.5</v>
      </c>
      <c r="AJ15" s="113">
        <v>56105.5</v>
      </c>
      <c r="AK15" s="113">
        <v>56105.5</v>
      </c>
      <c r="AL15" s="113">
        <v>56105.5</v>
      </c>
      <c r="AM15" s="113">
        <v>56105.5</v>
      </c>
      <c r="AN15" s="113">
        <v>33663.300000000003</v>
      </c>
      <c r="AO15" s="113">
        <v>56105.5</v>
      </c>
      <c r="AP15" s="113">
        <v>56105.5</v>
      </c>
      <c r="AQ15" s="113">
        <v>56105.5</v>
      </c>
      <c r="AR15" s="113">
        <v>56105.5</v>
      </c>
      <c r="AS15" s="113">
        <v>44884.4</v>
      </c>
      <c r="AT15" s="113">
        <v>34168.249499999998</v>
      </c>
      <c r="AU15" s="113">
        <v>56947.08249999999</v>
      </c>
      <c r="AV15" s="113">
        <v>56947.08249999999</v>
      </c>
      <c r="AW15" s="113">
        <v>56947.08249999999</v>
      </c>
      <c r="AX15" s="113">
        <v>56947.08249999999</v>
      </c>
      <c r="AY15" s="113">
        <v>56947.08249999999</v>
      </c>
      <c r="AZ15" s="113">
        <v>34168.249499999998</v>
      </c>
      <c r="BA15" s="113">
        <v>56947.08249999999</v>
      </c>
      <c r="BB15" s="113">
        <v>56947.08249999999</v>
      </c>
      <c r="BC15" s="113">
        <v>56947.08249999999</v>
      </c>
      <c r="BD15" s="113">
        <v>56947.08249999999</v>
      </c>
      <c r="BE15" s="113">
        <v>45557.665999999997</v>
      </c>
      <c r="BF15" s="113">
        <v>34509.931994999999</v>
      </c>
      <c r="BG15" s="113">
        <v>57516.553325000001</v>
      </c>
      <c r="BH15" s="113">
        <v>57516.553325000001</v>
      </c>
      <c r="BI15" s="113">
        <v>57516.553325000001</v>
      </c>
      <c r="BJ15" s="113">
        <v>57516.553325000001</v>
      </c>
      <c r="BK15" s="113">
        <v>57516.553325000001</v>
      </c>
      <c r="BL15" s="113">
        <v>34509.931994999999</v>
      </c>
      <c r="BM15" s="113">
        <v>57516.553325000001</v>
      </c>
      <c r="BN15" s="113">
        <v>57516.553325000001</v>
      </c>
      <c r="BO15" s="113">
        <v>57516.553325000001</v>
      </c>
      <c r="BP15" s="113">
        <v>57516.553325000001</v>
      </c>
      <c r="BQ15" s="113">
        <v>46013.242659999996</v>
      </c>
    </row>
    <row r="17" spans="4:69">
      <c r="D17" s="101" t="s">
        <v>37</v>
      </c>
    </row>
    <row r="18" spans="4:69">
      <c r="E18" t="str" cm="1">
        <f t="array" ref="E18:E25">lstStores</f>
        <v>Paris</v>
      </c>
      <c r="G18" t="str" cm="1">
        <f t="array" ref="G18:G25">INDEX( CaseData!$C$9:$E$17, MATCH(_xlfn.ANCHORARRAY( Price!E18), CaseData!$C$9:$C$17, 0 ), 3 )</f>
        <v>EUR</v>
      </c>
      <c r="J18" s="113" cm="1">
        <f t="array" ref="J18:BQ25" xml:space="preserve"> _xlfn.LET(
      _xlpm.operating_flag,_xlfn.ANCHORARRAY( Time!$J$18),
      _xlpm.unit_prices_table, CaseData!$B$46:$E$52,
      _xlpm.currency_row, CaseData!$B$46:$B$52,
      _xlpm.apparel_column, CaseData!$B$46:$E$46,
      _xlpm.current_apparel, Price!$D17,
      _xlpm.store_currency,_xlfn.ANCHORARRAY( Price!$G18),
      _xlpm.unit_price_at_store, INDEX( _xlpm.unit_prices_table, _xlfn.XMATCH( _xlpm.store_currency, _xlpm.currency_row, 0, 1 ), _xlfn.XMATCH( _xlpm.current_apparel, _xlpm.apparel_column, 0, 1 ) ),
      _xlpm.discount_month, CaseData!$C$58:$C$69,
      _xlpm.discount_percentage, CaseData!$E$58:$E$69,
      _xlpm.current_month,_xlfn.ANCHORARRAY( Time!J$11),
      _xlpm.discount, 1 - _xlfn.XLOOKUP( _xlpm.current_month, _xlpm.discount_month, _xlpm.discount_percentage, 0, 0, 1 ),
      _xlpm.current_year, YEAR(_xlfn.ANCHORARRAY( Time!J$9) ),
      _xlpm.clean_rates, IF( CaseData!$C$86:$G$91 = "n.a.", 0, CaseData!$C$86:$G$91),
      _xlpm.compounded_rates, _xlfn.MAKEARRAY( ROWS( _xlpm.clean_rates ), COLUMNS( _xlpm.clean_rates ), _xlfn.LAMBDA(_xlpm.i,_xlpm.j, INDEX( _xlfn.SCAN( 1, INDEX( _xlpm.clean_rates, _xlpm.i, 0 ), _xlfn.LAMBDA(_xlpm.s,_xlpm.c, _xlpm.s * ( 1 + _xlpm.c ) ) ), _xlpm.j ) ) ),
      _xlpm.inflation_rows, CaseData!$B$86:$B$91,
      _xlpm.inflation_columns, CaseData!$B$85:$G$85,
      _xlpm.inflation_table, _xlfn.VSTACK( _xlpm.inflation_columns, _xlfn.HSTACK( _xlpm.inflation_rows, _xlpm.compounded_rates ) ),
      _xlpm.inflation, INDEX( _xlpm.inflation_table, _xlfn.XMATCH( _xlpm.store_currency, _xlpm.inflation_rows, 0 ) + 1, _xlfn.XMATCH( _xlpm.current_year, _xlpm.inflation_columns, 0 ) ),
      _xlpm.operating_flag * _xlpm.unit_price_at_store * _xlpm.discount * _xlpm.inflation)</f>
        <v>240</v>
      </c>
      <c r="K18">
        <v>400</v>
      </c>
      <c r="L18">
        <v>400</v>
      </c>
      <c r="M18">
        <v>400</v>
      </c>
      <c r="N18">
        <v>400</v>
      </c>
      <c r="O18">
        <v>400</v>
      </c>
      <c r="P18">
        <v>240</v>
      </c>
      <c r="Q18">
        <v>400</v>
      </c>
      <c r="R18">
        <v>400</v>
      </c>
      <c r="S18">
        <v>400</v>
      </c>
      <c r="T18">
        <v>400</v>
      </c>
      <c r="U18">
        <v>320</v>
      </c>
      <c r="V18">
        <v>241.2</v>
      </c>
      <c r="W18">
        <v>401.99999999999994</v>
      </c>
      <c r="X18">
        <v>401.99999999999994</v>
      </c>
      <c r="Y18">
        <v>401.99999999999994</v>
      </c>
      <c r="Z18">
        <v>401.99999999999994</v>
      </c>
      <c r="AA18">
        <v>401.99999999999994</v>
      </c>
      <c r="AB18">
        <v>241.2</v>
      </c>
      <c r="AC18">
        <v>401.99999999999994</v>
      </c>
      <c r="AD18">
        <v>401.99999999999994</v>
      </c>
      <c r="AE18">
        <v>401.99999999999994</v>
      </c>
      <c r="AF18">
        <v>401.99999999999994</v>
      </c>
      <c r="AG18">
        <v>321.59999999999997</v>
      </c>
      <c r="AH18">
        <v>242.40599999999995</v>
      </c>
      <c r="AI18">
        <v>404.00999999999988</v>
      </c>
      <c r="AJ18">
        <v>404.00999999999988</v>
      </c>
      <c r="AK18">
        <v>404.00999999999988</v>
      </c>
      <c r="AL18">
        <v>404.00999999999988</v>
      </c>
      <c r="AM18">
        <v>404.00999999999988</v>
      </c>
      <c r="AN18">
        <v>242.40599999999995</v>
      </c>
      <c r="AO18">
        <v>404.00999999999988</v>
      </c>
      <c r="AP18">
        <v>404.00999999999988</v>
      </c>
      <c r="AQ18">
        <v>404.00999999999988</v>
      </c>
      <c r="AR18">
        <v>404.00999999999988</v>
      </c>
      <c r="AS18">
        <v>323.20799999999991</v>
      </c>
      <c r="AT18">
        <v>244.83005999999995</v>
      </c>
      <c r="AU18">
        <v>408.05009999999993</v>
      </c>
      <c r="AV18">
        <v>408.05009999999993</v>
      </c>
      <c r="AW18">
        <v>408.05009999999993</v>
      </c>
      <c r="AX18">
        <v>408.05009999999993</v>
      </c>
      <c r="AY18">
        <v>408.05009999999993</v>
      </c>
      <c r="AZ18">
        <v>244.83005999999995</v>
      </c>
      <c r="BA18">
        <v>408.05009999999993</v>
      </c>
      <c r="BB18">
        <v>408.05009999999993</v>
      </c>
      <c r="BC18">
        <v>408.05009999999993</v>
      </c>
      <c r="BD18">
        <v>408.05009999999993</v>
      </c>
      <c r="BE18">
        <v>326.44007999999991</v>
      </c>
      <c r="BF18">
        <v>250.9508114999999</v>
      </c>
      <c r="BG18">
        <v>418.25135249999983</v>
      </c>
      <c r="BH18">
        <v>418.25135249999983</v>
      </c>
      <c r="BI18">
        <v>418.25135249999983</v>
      </c>
      <c r="BJ18">
        <v>418.25135249999983</v>
      </c>
      <c r="BK18">
        <v>418.25135249999983</v>
      </c>
      <c r="BL18">
        <v>250.9508114999999</v>
      </c>
      <c r="BM18">
        <v>418.25135249999983</v>
      </c>
      <c r="BN18">
        <v>418.25135249999983</v>
      </c>
      <c r="BO18">
        <v>418.25135249999983</v>
      </c>
      <c r="BP18">
        <v>418.25135249999983</v>
      </c>
      <c r="BQ18">
        <v>334.60108199999985</v>
      </c>
    </row>
    <row r="19" spans="4:69">
      <c r="E19" t="str">
        <v>Milano</v>
      </c>
      <c r="G19" t="str">
        <v>EUR</v>
      </c>
      <c r="J19">
        <v>240</v>
      </c>
      <c r="K19">
        <v>400</v>
      </c>
      <c r="L19">
        <v>400</v>
      </c>
      <c r="M19">
        <v>400</v>
      </c>
      <c r="N19">
        <v>400</v>
      </c>
      <c r="O19">
        <v>400</v>
      </c>
      <c r="P19">
        <v>240</v>
      </c>
      <c r="Q19">
        <v>400</v>
      </c>
      <c r="R19">
        <v>400</v>
      </c>
      <c r="S19">
        <v>400</v>
      </c>
      <c r="T19">
        <v>400</v>
      </c>
      <c r="U19">
        <v>320</v>
      </c>
      <c r="V19">
        <v>241.2</v>
      </c>
      <c r="W19">
        <v>401.99999999999994</v>
      </c>
      <c r="X19">
        <v>401.99999999999994</v>
      </c>
      <c r="Y19">
        <v>401.99999999999994</v>
      </c>
      <c r="Z19">
        <v>401.99999999999994</v>
      </c>
      <c r="AA19">
        <v>401.99999999999994</v>
      </c>
      <c r="AB19">
        <v>241.2</v>
      </c>
      <c r="AC19">
        <v>401.99999999999994</v>
      </c>
      <c r="AD19">
        <v>401.99999999999994</v>
      </c>
      <c r="AE19">
        <v>401.99999999999994</v>
      </c>
      <c r="AF19">
        <v>401.99999999999994</v>
      </c>
      <c r="AG19">
        <v>321.59999999999997</v>
      </c>
      <c r="AH19">
        <v>242.40599999999995</v>
      </c>
      <c r="AI19">
        <v>404.00999999999988</v>
      </c>
      <c r="AJ19">
        <v>404.00999999999988</v>
      </c>
      <c r="AK19">
        <v>404.00999999999988</v>
      </c>
      <c r="AL19">
        <v>404.00999999999988</v>
      </c>
      <c r="AM19">
        <v>404.00999999999988</v>
      </c>
      <c r="AN19">
        <v>242.40599999999995</v>
      </c>
      <c r="AO19">
        <v>404.00999999999988</v>
      </c>
      <c r="AP19">
        <v>404.00999999999988</v>
      </c>
      <c r="AQ19">
        <v>404.00999999999988</v>
      </c>
      <c r="AR19">
        <v>404.00999999999988</v>
      </c>
      <c r="AS19">
        <v>323.20799999999991</v>
      </c>
      <c r="AT19">
        <v>244.83005999999995</v>
      </c>
      <c r="AU19">
        <v>408.05009999999993</v>
      </c>
      <c r="AV19">
        <v>408.05009999999993</v>
      </c>
      <c r="AW19">
        <v>408.05009999999993</v>
      </c>
      <c r="AX19">
        <v>408.05009999999993</v>
      </c>
      <c r="AY19">
        <v>408.05009999999993</v>
      </c>
      <c r="AZ19">
        <v>244.83005999999995</v>
      </c>
      <c r="BA19">
        <v>408.05009999999993</v>
      </c>
      <c r="BB19">
        <v>408.05009999999993</v>
      </c>
      <c r="BC19">
        <v>408.05009999999993</v>
      </c>
      <c r="BD19">
        <v>408.05009999999993</v>
      </c>
      <c r="BE19">
        <v>326.44007999999991</v>
      </c>
      <c r="BF19">
        <v>250.9508114999999</v>
      </c>
      <c r="BG19">
        <v>418.25135249999983</v>
      </c>
      <c r="BH19">
        <v>418.25135249999983</v>
      </c>
      <c r="BI19">
        <v>418.25135249999983</v>
      </c>
      <c r="BJ19">
        <v>418.25135249999983</v>
      </c>
      <c r="BK19">
        <v>418.25135249999983</v>
      </c>
      <c r="BL19">
        <v>250.9508114999999</v>
      </c>
      <c r="BM19">
        <v>418.25135249999983</v>
      </c>
      <c r="BN19">
        <v>418.25135249999983</v>
      </c>
      <c r="BO19">
        <v>418.25135249999983</v>
      </c>
      <c r="BP19">
        <v>418.25135249999983</v>
      </c>
      <c r="BQ19">
        <v>334.60108199999985</v>
      </c>
    </row>
    <row r="20" spans="4:69">
      <c r="E20" t="str">
        <v>Madrid</v>
      </c>
      <c r="G20" t="str">
        <v>EUR</v>
      </c>
      <c r="J20">
        <v>240</v>
      </c>
      <c r="K20">
        <v>400</v>
      </c>
      <c r="L20">
        <v>400</v>
      </c>
      <c r="M20">
        <v>400</v>
      </c>
      <c r="N20">
        <v>400</v>
      </c>
      <c r="O20">
        <v>400</v>
      </c>
      <c r="P20">
        <v>240</v>
      </c>
      <c r="Q20">
        <v>400</v>
      </c>
      <c r="R20">
        <v>400</v>
      </c>
      <c r="S20">
        <v>400</v>
      </c>
      <c r="T20">
        <v>400</v>
      </c>
      <c r="U20">
        <v>320</v>
      </c>
      <c r="V20">
        <v>241.2</v>
      </c>
      <c r="W20">
        <v>401.99999999999994</v>
      </c>
      <c r="X20">
        <v>401.99999999999994</v>
      </c>
      <c r="Y20">
        <v>401.99999999999994</v>
      </c>
      <c r="Z20">
        <v>401.99999999999994</v>
      </c>
      <c r="AA20">
        <v>401.99999999999994</v>
      </c>
      <c r="AB20">
        <v>241.2</v>
      </c>
      <c r="AC20">
        <v>401.99999999999994</v>
      </c>
      <c r="AD20">
        <v>401.99999999999994</v>
      </c>
      <c r="AE20">
        <v>401.99999999999994</v>
      </c>
      <c r="AF20">
        <v>401.99999999999994</v>
      </c>
      <c r="AG20">
        <v>321.59999999999997</v>
      </c>
      <c r="AH20">
        <v>242.40599999999995</v>
      </c>
      <c r="AI20">
        <v>404.00999999999988</v>
      </c>
      <c r="AJ20">
        <v>404.00999999999988</v>
      </c>
      <c r="AK20">
        <v>404.00999999999988</v>
      </c>
      <c r="AL20">
        <v>404.00999999999988</v>
      </c>
      <c r="AM20">
        <v>404.00999999999988</v>
      </c>
      <c r="AN20">
        <v>242.40599999999995</v>
      </c>
      <c r="AO20">
        <v>404.00999999999988</v>
      </c>
      <c r="AP20">
        <v>404.00999999999988</v>
      </c>
      <c r="AQ20">
        <v>404.00999999999988</v>
      </c>
      <c r="AR20">
        <v>404.00999999999988</v>
      </c>
      <c r="AS20">
        <v>323.20799999999991</v>
      </c>
      <c r="AT20">
        <v>244.83005999999995</v>
      </c>
      <c r="AU20">
        <v>408.05009999999993</v>
      </c>
      <c r="AV20">
        <v>408.05009999999993</v>
      </c>
      <c r="AW20">
        <v>408.05009999999993</v>
      </c>
      <c r="AX20">
        <v>408.05009999999993</v>
      </c>
      <c r="AY20">
        <v>408.05009999999993</v>
      </c>
      <c r="AZ20">
        <v>244.83005999999995</v>
      </c>
      <c r="BA20">
        <v>408.05009999999993</v>
      </c>
      <c r="BB20">
        <v>408.05009999999993</v>
      </c>
      <c r="BC20">
        <v>408.05009999999993</v>
      </c>
      <c r="BD20">
        <v>408.05009999999993</v>
      </c>
      <c r="BE20">
        <v>326.44007999999991</v>
      </c>
      <c r="BF20">
        <v>250.9508114999999</v>
      </c>
      <c r="BG20">
        <v>418.25135249999983</v>
      </c>
      <c r="BH20">
        <v>418.25135249999983</v>
      </c>
      <c r="BI20">
        <v>418.25135249999983</v>
      </c>
      <c r="BJ20">
        <v>418.25135249999983</v>
      </c>
      <c r="BK20">
        <v>418.25135249999983</v>
      </c>
      <c r="BL20">
        <v>250.9508114999999</v>
      </c>
      <c r="BM20">
        <v>418.25135249999983</v>
      </c>
      <c r="BN20">
        <v>418.25135249999983</v>
      </c>
      <c r="BO20">
        <v>418.25135249999983</v>
      </c>
      <c r="BP20">
        <v>418.25135249999983</v>
      </c>
      <c r="BQ20">
        <v>334.60108199999985</v>
      </c>
    </row>
    <row r="21" spans="4:69">
      <c r="E21" t="str">
        <v>London</v>
      </c>
      <c r="G21" t="str">
        <v>GBP</v>
      </c>
      <c r="J21">
        <v>210</v>
      </c>
      <c r="K21">
        <v>350</v>
      </c>
      <c r="L21">
        <v>350</v>
      </c>
      <c r="M21">
        <v>350</v>
      </c>
      <c r="N21">
        <v>350</v>
      </c>
      <c r="O21">
        <v>350</v>
      </c>
      <c r="P21">
        <v>210</v>
      </c>
      <c r="Q21">
        <v>350</v>
      </c>
      <c r="R21">
        <v>350</v>
      </c>
      <c r="S21">
        <v>350</v>
      </c>
      <c r="T21">
        <v>350</v>
      </c>
      <c r="U21">
        <v>280</v>
      </c>
      <c r="V21">
        <v>216.3</v>
      </c>
      <c r="W21">
        <v>360.5</v>
      </c>
      <c r="X21">
        <v>360.5</v>
      </c>
      <c r="Y21">
        <v>360.5</v>
      </c>
      <c r="Z21">
        <v>360.5</v>
      </c>
      <c r="AA21">
        <v>360.5</v>
      </c>
      <c r="AB21">
        <v>216.3</v>
      </c>
      <c r="AC21">
        <v>360.5</v>
      </c>
      <c r="AD21">
        <v>360.5</v>
      </c>
      <c r="AE21">
        <v>360.5</v>
      </c>
      <c r="AF21">
        <v>360.5</v>
      </c>
      <c r="AG21">
        <v>288.40000000000003</v>
      </c>
      <c r="AH21">
        <v>218.46299999999999</v>
      </c>
      <c r="AI21">
        <v>364.10500000000002</v>
      </c>
      <c r="AJ21">
        <v>364.10500000000002</v>
      </c>
      <c r="AK21">
        <v>364.10500000000002</v>
      </c>
      <c r="AL21">
        <v>364.10500000000002</v>
      </c>
      <c r="AM21">
        <v>364.10500000000002</v>
      </c>
      <c r="AN21">
        <v>218.46299999999999</v>
      </c>
      <c r="AO21">
        <v>364.10500000000002</v>
      </c>
      <c r="AP21">
        <v>364.10500000000002</v>
      </c>
      <c r="AQ21">
        <v>364.10500000000002</v>
      </c>
      <c r="AR21">
        <v>364.10500000000002</v>
      </c>
      <c r="AS21">
        <v>291.28399999999999</v>
      </c>
      <c r="AT21">
        <v>220.64762999999999</v>
      </c>
      <c r="AU21">
        <v>367.74604999999997</v>
      </c>
      <c r="AV21">
        <v>367.74604999999997</v>
      </c>
      <c r="AW21">
        <v>367.74604999999997</v>
      </c>
      <c r="AX21">
        <v>367.74604999999997</v>
      </c>
      <c r="AY21">
        <v>367.74604999999997</v>
      </c>
      <c r="AZ21">
        <v>220.64762999999999</v>
      </c>
      <c r="BA21">
        <v>367.74604999999997</v>
      </c>
      <c r="BB21">
        <v>367.74604999999997</v>
      </c>
      <c r="BC21">
        <v>367.74604999999997</v>
      </c>
      <c r="BD21">
        <v>367.74604999999997</v>
      </c>
      <c r="BE21">
        <v>294.19684000000001</v>
      </c>
      <c r="BF21">
        <v>222.85410630000001</v>
      </c>
      <c r="BG21">
        <v>371.42351050000002</v>
      </c>
      <c r="BH21">
        <v>371.42351050000002</v>
      </c>
      <c r="BI21">
        <v>371.42351050000002</v>
      </c>
      <c r="BJ21">
        <v>371.42351050000002</v>
      </c>
      <c r="BK21">
        <v>371.42351050000002</v>
      </c>
      <c r="BL21">
        <v>222.85410630000001</v>
      </c>
      <c r="BM21">
        <v>371.42351050000002</v>
      </c>
      <c r="BN21">
        <v>371.42351050000002</v>
      </c>
      <c r="BO21">
        <v>371.42351050000002</v>
      </c>
      <c r="BP21">
        <v>371.42351050000002</v>
      </c>
      <c r="BQ21">
        <v>297.13880840000002</v>
      </c>
    </row>
    <row r="22" spans="4:69">
      <c r="E22" t="str">
        <v>New York</v>
      </c>
      <c r="G22" t="str">
        <v>USD</v>
      </c>
      <c r="J22">
        <v>0</v>
      </c>
      <c r="K22">
        <v>0</v>
      </c>
      <c r="L22">
        <v>0</v>
      </c>
      <c r="M22">
        <v>375</v>
      </c>
      <c r="N22">
        <v>375</v>
      </c>
      <c r="O22">
        <v>375</v>
      </c>
      <c r="P22">
        <v>225</v>
      </c>
      <c r="Q22">
        <v>375</v>
      </c>
      <c r="R22">
        <v>375</v>
      </c>
      <c r="S22">
        <v>375</v>
      </c>
      <c r="T22">
        <v>375</v>
      </c>
      <c r="U22">
        <v>300</v>
      </c>
      <c r="V22">
        <v>231.75</v>
      </c>
      <c r="W22">
        <v>386.25</v>
      </c>
      <c r="X22">
        <v>386.25</v>
      </c>
      <c r="Y22">
        <v>386.25</v>
      </c>
      <c r="Z22">
        <v>386.25</v>
      </c>
      <c r="AA22">
        <v>386.25</v>
      </c>
      <c r="AB22">
        <v>231.75</v>
      </c>
      <c r="AC22">
        <v>386.25</v>
      </c>
      <c r="AD22">
        <v>386.25</v>
      </c>
      <c r="AE22">
        <v>386.25</v>
      </c>
      <c r="AF22">
        <v>386.25</v>
      </c>
      <c r="AG22">
        <v>309</v>
      </c>
      <c r="AH22">
        <v>236.38499999999999</v>
      </c>
      <c r="AI22">
        <v>393.97499999999997</v>
      </c>
      <c r="AJ22">
        <v>393.97499999999997</v>
      </c>
      <c r="AK22">
        <v>393.97499999999997</v>
      </c>
      <c r="AL22">
        <v>393.97499999999997</v>
      </c>
      <c r="AM22">
        <v>393.97499999999997</v>
      </c>
      <c r="AN22">
        <v>236.38499999999999</v>
      </c>
      <c r="AO22">
        <v>393.97499999999997</v>
      </c>
      <c r="AP22">
        <v>393.97499999999997</v>
      </c>
      <c r="AQ22">
        <v>393.97499999999997</v>
      </c>
      <c r="AR22">
        <v>393.97499999999997</v>
      </c>
      <c r="AS22">
        <v>315.18</v>
      </c>
      <c r="AT22">
        <v>243.47654999999997</v>
      </c>
      <c r="AU22">
        <v>405.79424999999998</v>
      </c>
      <c r="AV22">
        <v>405.79424999999998</v>
      </c>
      <c r="AW22">
        <v>405.79424999999998</v>
      </c>
      <c r="AX22">
        <v>405.79424999999998</v>
      </c>
      <c r="AY22">
        <v>405.79424999999998</v>
      </c>
      <c r="AZ22">
        <v>243.47654999999997</v>
      </c>
      <c r="BA22">
        <v>405.79424999999998</v>
      </c>
      <c r="BB22">
        <v>405.79424999999998</v>
      </c>
      <c r="BC22">
        <v>405.79424999999998</v>
      </c>
      <c r="BD22">
        <v>405.79424999999998</v>
      </c>
      <c r="BE22">
        <v>324.63539999999995</v>
      </c>
      <c r="BF22">
        <v>244.69393274999996</v>
      </c>
      <c r="BG22">
        <v>407.8232212499999</v>
      </c>
      <c r="BH22">
        <v>407.8232212499999</v>
      </c>
      <c r="BI22">
        <v>407.8232212499999</v>
      </c>
      <c r="BJ22">
        <v>407.8232212499999</v>
      </c>
      <c r="BK22">
        <v>407.8232212499999</v>
      </c>
      <c r="BL22">
        <v>244.69393274999996</v>
      </c>
      <c r="BM22">
        <v>407.8232212499999</v>
      </c>
      <c r="BN22">
        <v>407.8232212499999</v>
      </c>
      <c r="BO22">
        <v>407.8232212499999</v>
      </c>
      <c r="BP22">
        <v>407.8232212499999</v>
      </c>
      <c r="BQ22">
        <v>326.25857699999995</v>
      </c>
    </row>
    <row r="23" spans="4:69">
      <c r="E23" t="str">
        <v>Montreal</v>
      </c>
      <c r="G23" t="str">
        <v>CAD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550</v>
      </c>
      <c r="T23">
        <v>550</v>
      </c>
      <c r="U23">
        <v>440</v>
      </c>
      <c r="V23">
        <v>336.6</v>
      </c>
      <c r="W23">
        <v>561</v>
      </c>
      <c r="X23">
        <v>561</v>
      </c>
      <c r="Y23">
        <v>561</v>
      </c>
      <c r="Z23">
        <v>561</v>
      </c>
      <c r="AA23">
        <v>561</v>
      </c>
      <c r="AB23">
        <v>336.6</v>
      </c>
      <c r="AC23">
        <v>561</v>
      </c>
      <c r="AD23">
        <v>561</v>
      </c>
      <c r="AE23">
        <v>561</v>
      </c>
      <c r="AF23">
        <v>561</v>
      </c>
      <c r="AG23">
        <v>448.8</v>
      </c>
      <c r="AH23">
        <v>343.33199999999999</v>
      </c>
      <c r="AI23">
        <v>572.22</v>
      </c>
      <c r="AJ23">
        <v>572.22</v>
      </c>
      <c r="AK23">
        <v>572.22</v>
      </c>
      <c r="AL23">
        <v>572.22</v>
      </c>
      <c r="AM23">
        <v>572.22</v>
      </c>
      <c r="AN23">
        <v>343.33199999999999</v>
      </c>
      <c r="AO23">
        <v>572.22</v>
      </c>
      <c r="AP23">
        <v>572.22</v>
      </c>
      <c r="AQ23">
        <v>572.22</v>
      </c>
      <c r="AR23">
        <v>572.22</v>
      </c>
      <c r="AS23">
        <v>457.77600000000001</v>
      </c>
      <c r="AT23">
        <v>351.91529999999995</v>
      </c>
      <c r="AU23">
        <v>586.52549999999997</v>
      </c>
      <c r="AV23">
        <v>586.52549999999997</v>
      </c>
      <c r="AW23">
        <v>586.52549999999997</v>
      </c>
      <c r="AX23">
        <v>586.52549999999997</v>
      </c>
      <c r="AY23">
        <v>586.52549999999997</v>
      </c>
      <c r="AZ23">
        <v>351.91529999999995</v>
      </c>
      <c r="BA23">
        <v>586.52549999999997</v>
      </c>
      <c r="BB23">
        <v>586.52549999999997</v>
      </c>
      <c r="BC23">
        <v>586.52549999999997</v>
      </c>
      <c r="BD23">
        <v>586.52549999999997</v>
      </c>
      <c r="BE23">
        <v>469.22039999999993</v>
      </c>
      <c r="BF23">
        <v>358.95360599999992</v>
      </c>
      <c r="BG23">
        <v>598.25600999999983</v>
      </c>
      <c r="BH23">
        <v>598.25600999999983</v>
      </c>
      <c r="BI23">
        <v>598.25600999999983</v>
      </c>
      <c r="BJ23">
        <v>598.25600999999983</v>
      </c>
      <c r="BK23">
        <v>598.25600999999983</v>
      </c>
      <c r="BL23">
        <v>358.95360599999992</v>
      </c>
      <c r="BM23">
        <v>598.25600999999983</v>
      </c>
      <c r="BN23">
        <v>598.25600999999983</v>
      </c>
      <c r="BO23">
        <v>598.25600999999983</v>
      </c>
      <c r="BP23">
        <v>598.25600999999983</v>
      </c>
      <c r="BQ23">
        <v>478.60480799999988</v>
      </c>
    </row>
    <row r="24" spans="4:69">
      <c r="E24" t="str">
        <v>Zurich</v>
      </c>
      <c r="G24" t="str">
        <v>CHF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615</v>
      </c>
      <c r="Z24">
        <v>615</v>
      </c>
      <c r="AA24">
        <v>615</v>
      </c>
      <c r="AB24">
        <v>368.99999999999994</v>
      </c>
      <c r="AC24">
        <v>615</v>
      </c>
      <c r="AD24">
        <v>615</v>
      </c>
      <c r="AE24">
        <v>615</v>
      </c>
      <c r="AF24">
        <v>615</v>
      </c>
      <c r="AG24">
        <v>491.99999999999994</v>
      </c>
      <c r="AH24">
        <v>370.84499999999991</v>
      </c>
      <c r="AI24">
        <v>618.07499999999982</v>
      </c>
      <c r="AJ24">
        <v>618.07499999999982</v>
      </c>
      <c r="AK24">
        <v>618.07499999999982</v>
      </c>
      <c r="AL24">
        <v>618.07499999999982</v>
      </c>
      <c r="AM24">
        <v>618.07499999999982</v>
      </c>
      <c r="AN24">
        <v>370.84499999999991</v>
      </c>
      <c r="AO24">
        <v>618.07499999999982</v>
      </c>
      <c r="AP24">
        <v>618.07499999999982</v>
      </c>
      <c r="AQ24">
        <v>618.07499999999982</v>
      </c>
      <c r="AR24">
        <v>618.07499999999982</v>
      </c>
      <c r="AS24">
        <v>494.45999999999987</v>
      </c>
      <c r="AT24">
        <v>381.97034999999988</v>
      </c>
      <c r="AU24">
        <v>636.6172499999999</v>
      </c>
      <c r="AV24">
        <v>636.6172499999999</v>
      </c>
      <c r="AW24">
        <v>636.6172499999999</v>
      </c>
      <c r="AX24">
        <v>636.6172499999999</v>
      </c>
      <c r="AY24">
        <v>636.6172499999999</v>
      </c>
      <c r="AZ24">
        <v>381.97034999999988</v>
      </c>
      <c r="BA24">
        <v>636.6172499999999</v>
      </c>
      <c r="BB24">
        <v>636.6172499999999</v>
      </c>
      <c r="BC24">
        <v>636.6172499999999</v>
      </c>
      <c r="BD24">
        <v>636.6172499999999</v>
      </c>
      <c r="BE24">
        <v>509.29379999999986</v>
      </c>
      <c r="BF24">
        <v>387.69990524999986</v>
      </c>
      <c r="BG24">
        <v>646.16650874999971</v>
      </c>
      <c r="BH24">
        <v>646.16650874999971</v>
      </c>
      <c r="BI24">
        <v>646.16650874999971</v>
      </c>
      <c r="BJ24">
        <v>646.16650874999971</v>
      </c>
      <c r="BK24">
        <v>646.16650874999971</v>
      </c>
      <c r="BL24">
        <v>387.69990524999986</v>
      </c>
      <c r="BM24">
        <v>646.16650874999971</v>
      </c>
      <c r="BN24">
        <v>646.16650874999971</v>
      </c>
      <c r="BO24">
        <v>646.16650874999971</v>
      </c>
      <c r="BP24">
        <v>646.16650874999971</v>
      </c>
      <c r="BQ24">
        <v>516.93320699999981</v>
      </c>
    </row>
    <row r="25" spans="4:69">
      <c r="E25" t="str">
        <v>Moscow</v>
      </c>
      <c r="G25" t="str">
        <v>RUB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40400</v>
      </c>
      <c r="AF25">
        <v>40400</v>
      </c>
      <c r="AG25">
        <v>32320</v>
      </c>
      <c r="AH25">
        <v>24482.400000000001</v>
      </c>
      <c r="AI25">
        <v>40804</v>
      </c>
      <c r="AJ25">
        <v>40804</v>
      </c>
      <c r="AK25">
        <v>40804</v>
      </c>
      <c r="AL25">
        <v>40804</v>
      </c>
      <c r="AM25">
        <v>40804</v>
      </c>
      <c r="AN25">
        <v>24482.400000000001</v>
      </c>
      <c r="AO25">
        <v>40804</v>
      </c>
      <c r="AP25">
        <v>40804</v>
      </c>
      <c r="AQ25">
        <v>40804</v>
      </c>
      <c r="AR25">
        <v>40804</v>
      </c>
      <c r="AS25">
        <v>32643.200000000001</v>
      </c>
      <c r="AT25">
        <v>24849.635999999995</v>
      </c>
      <c r="AU25">
        <v>41416.06</v>
      </c>
      <c r="AV25">
        <v>41416.06</v>
      </c>
      <c r="AW25">
        <v>41416.06</v>
      </c>
      <c r="AX25">
        <v>41416.06</v>
      </c>
      <c r="AY25">
        <v>41416.06</v>
      </c>
      <c r="AZ25">
        <v>24849.635999999995</v>
      </c>
      <c r="BA25">
        <v>41416.06</v>
      </c>
      <c r="BB25">
        <v>41416.06</v>
      </c>
      <c r="BC25">
        <v>41416.06</v>
      </c>
      <c r="BD25">
        <v>41416.06</v>
      </c>
      <c r="BE25">
        <v>33132.847999999998</v>
      </c>
      <c r="BF25">
        <v>25098.13236</v>
      </c>
      <c r="BG25">
        <v>41830.220600000001</v>
      </c>
      <c r="BH25">
        <v>41830.220600000001</v>
      </c>
      <c r="BI25">
        <v>41830.220600000001</v>
      </c>
      <c r="BJ25">
        <v>41830.220600000001</v>
      </c>
      <c r="BK25">
        <v>41830.220600000001</v>
      </c>
      <c r="BL25">
        <v>25098.13236</v>
      </c>
      <c r="BM25">
        <v>41830.220600000001</v>
      </c>
      <c r="BN25">
        <v>41830.220600000001</v>
      </c>
      <c r="BO25">
        <v>41830.220600000001</v>
      </c>
      <c r="BP25">
        <v>41830.220600000001</v>
      </c>
      <c r="BQ25">
        <v>33464.176480000002</v>
      </c>
    </row>
    <row r="27" spans="4:69">
      <c r="D27" s="101" t="s">
        <v>38</v>
      </c>
    </row>
    <row r="28" spans="4:69">
      <c r="E28" t="str" cm="1">
        <f t="array" ref="E28:E35">lstStores</f>
        <v>Paris</v>
      </c>
      <c r="G28" t="str" cm="1">
        <f t="array" ref="G28:G35">INDEX( CaseData!$C$9:$E$17, MATCH(_xlfn.ANCHORARRAY( Price!E28), CaseData!$C$9:$C$17, 0 ), 3 )</f>
        <v>EUR</v>
      </c>
      <c r="J28" s="113" cm="1">
        <f t="array" ref="J28:BQ35" xml:space="preserve"> _xlfn.LET(
      _xlpm.operating_flag,_xlfn.ANCHORARRAY( Time!$J$18),
      _xlpm.unit_prices_table, CaseData!$B$46:$E$52,
      _xlpm.currency_row, CaseData!$B$46:$B$52,
      _xlpm.apparel_column, CaseData!$B$46:$E$46,
      _xlpm.current_apparel, Price!$D27,
      _xlpm.store_currency,_xlfn.ANCHORARRAY( Price!$G28),
      _xlpm.unit_price_at_store, INDEX( _xlpm.unit_prices_table, _xlfn.XMATCH( _xlpm.store_currency, _xlpm.currency_row, 0, 1 ), _xlfn.XMATCH( _xlpm.current_apparel, _xlpm.apparel_column, 0, 1 ) ),
      _xlpm.discount_month, CaseData!$C$58:$C$69,
      _xlpm.discount_percentage, CaseData!$E$58:$E$69,
      _xlpm.current_month,_xlfn.ANCHORARRAY( Time!J$11),
      _xlpm.discount, 1 - _xlfn.XLOOKUP( _xlpm.current_month, _xlpm.discount_month, _xlpm.discount_percentage, 0, 0, 1 ),
      _xlpm.current_year, YEAR(_xlfn.ANCHORARRAY( Time!J$9) ),
      _xlpm.clean_rates, IF( CaseData!$C$86:$G$91 = "n.a.", 0, CaseData!$C$86:$G$91),
      _xlpm.compounded_rates, _xlfn.MAKEARRAY( ROWS( _xlpm.clean_rates ), COLUMNS( _xlpm.clean_rates ), _xlfn.LAMBDA(_xlpm.i,_xlpm.j, INDEX( _xlfn.SCAN( 1, INDEX( _xlpm.clean_rates, _xlpm.i, 0 ), _xlfn.LAMBDA(_xlpm.s,_xlpm.c, _xlpm.s * ( 1 + _xlpm.c ) ) ), _xlpm.j ) ) ),
      _xlpm.inflation_rows, CaseData!$B$86:$B$91,
      _xlpm.inflation_columns, CaseData!$B$85:$G$85,
      _xlpm.inflation_table, _xlfn.VSTACK( _xlpm.inflation_columns, _xlfn.HSTACK( _xlpm.inflation_rows, _xlpm.compounded_rates ) ),
      _xlpm.inflation, INDEX( _xlpm.inflation_table, _xlfn.XMATCH( _xlpm.store_currency, _xlpm.inflation_rows, 0 ) + 1, _xlfn.XMATCH( _xlpm.current_year, _xlpm.inflation_columns, 0 ) ),
      _xlpm.operating_flag * _xlpm.unit_price_at_store * _xlpm.discount * _xlpm.inflation)</f>
        <v>90</v>
      </c>
      <c r="K28">
        <v>150</v>
      </c>
      <c r="L28">
        <v>150</v>
      </c>
      <c r="M28">
        <v>150</v>
      </c>
      <c r="N28">
        <v>150</v>
      </c>
      <c r="O28">
        <v>150</v>
      </c>
      <c r="P28">
        <v>90</v>
      </c>
      <c r="Q28">
        <v>150</v>
      </c>
      <c r="R28">
        <v>150</v>
      </c>
      <c r="S28">
        <v>150</v>
      </c>
      <c r="T28">
        <v>150</v>
      </c>
      <c r="U28">
        <v>120</v>
      </c>
      <c r="V28">
        <v>90.449999999999989</v>
      </c>
      <c r="W28">
        <v>150.74999999999997</v>
      </c>
      <c r="X28">
        <v>150.74999999999997</v>
      </c>
      <c r="Y28">
        <v>150.74999999999997</v>
      </c>
      <c r="Z28">
        <v>150.74999999999997</v>
      </c>
      <c r="AA28">
        <v>150.74999999999997</v>
      </c>
      <c r="AB28">
        <v>90.449999999999989</v>
      </c>
      <c r="AC28">
        <v>150.74999999999997</v>
      </c>
      <c r="AD28">
        <v>150.74999999999997</v>
      </c>
      <c r="AE28">
        <v>150.74999999999997</v>
      </c>
      <c r="AF28">
        <v>150.74999999999997</v>
      </c>
      <c r="AG28">
        <v>120.6</v>
      </c>
      <c r="AH28">
        <v>90.902249999999981</v>
      </c>
      <c r="AI28">
        <v>151.50374999999997</v>
      </c>
      <c r="AJ28">
        <v>151.50374999999997</v>
      </c>
      <c r="AK28">
        <v>151.50374999999997</v>
      </c>
      <c r="AL28">
        <v>151.50374999999997</v>
      </c>
      <c r="AM28">
        <v>151.50374999999997</v>
      </c>
      <c r="AN28">
        <v>90.902249999999981</v>
      </c>
      <c r="AO28">
        <v>151.50374999999997</v>
      </c>
      <c r="AP28">
        <v>151.50374999999997</v>
      </c>
      <c r="AQ28">
        <v>151.50374999999997</v>
      </c>
      <c r="AR28">
        <v>151.50374999999997</v>
      </c>
      <c r="AS28">
        <v>121.20299999999997</v>
      </c>
      <c r="AT28">
        <v>91.811272499999973</v>
      </c>
      <c r="AU28">
        <v>153.01878749999997</v>
      </c>
      <c r="AV28">
        <v>153.01878749999997</v>
      </c>
      <c r="AW28">
        <v>153.01878749999997</v>
      </c>
      <c r="AX28">
        <v>153.01878749999997</v>
      </c>
      <c r="AY28">
        <v>153.01878749999997</v>
      </c>
      <c r="AZ28">
        <v>91.811272499999973</v>
      </c>
      <c r="BA28">
        <v>153.01878749999997</v>
      </c>
      <c r="BB28">
        <v>153.01878749999997</v>
      </c>
      <c r="BC28">
        <v>153.01878749999997</v>
      </c>
      <c r="BD28">
        <v>153.01878749999997</v>
      </c>
      <c r="BE28">
        <v>122.41502999999997</v>
      </c>
      <c r="BF28">
        <v>94.106554312499966</v>
      </c>
      <c r="BG28">
        <v>156.84425718749995</v>
      </c>
      <c r="BH28">
        <v>156.84425718749995</v>
      </c>
      <c r="BI28">
        <v>156.84425718749995</v>
      </c>
      <c r="BJ28">
        <v>156.84425718749995</v>
      </c>
      <c r="BK28">
        <v>156.84425718749995</v>
      </c>
      <c r="BL28">
        <v>94.106554312499966</v>
      </c>
      <c r="BM28">
        <v>156.84425718749995</v>
      </c>
      <c r="BN28">
        <v>156.84425718749995</v>
      </c>
      <c r="BO28">
        <v>156.84425718749995</v>
      </c>
      <c r="BP28">
        <v>156.84425718749995</v>
      </c>
      <c r="BQ28">
        <v>125.47540574999995</v>
      </c>
    </row>
    <row r="29" spans="4:69">
      <c r="E29" t="str">
        <v>Milano</v>
      </c>
      <c r="G29" t="str">
        <v>EUR</v>
      </c>
      <c r="J29">
        <v>90</v>
      </c>
      <c r="K29">
        <v>150</v>
      </c>
      <c r="L29">
        <v>150</v>
      </c>
      <c r="M29">
        <v>150</v>
      </c>
      <c r="N29">
        <v>150</v>
      </c>
      <c r="O29">
        <v>150</v>
      </c>
      <c r="P29">
        <v>90</v>
      </c>
      <c r="Q29">
        <v>150</v>
      </c>
      <c r="R29">
        <v>150</v>
      </c>
      <c r="S29">
        <v>150</v>
      </c>
      <c r="T29">
        <v>150</v>
      </c>
      <c r="U29">
        <v>120</v>
      </c>
      <c r="V29">
        <v>90.449999999999989</v>
      </c>
      <c r="W29">
        <v>150.74999999999997</v>
      </c>
      <c r="X29">
        <v>150.74999999999997</v>
      </c>
      <c r="Y29">
        <v>150.74999999999997</v>
      </c>
      <c r="Z29">
        <v>150.74999999999997</v>
      </c>
      <c r="AA29">
        <v>150.74999999999997</v>
      </c>
      <c r="AB29">
        <v>90.449999999999989</v>
      </c>
      <c r="AC29">
        <v>150.74999999999997</v>
      </c>
      <c r="AD29">
        <v>150.74999999999997</v>
      </c>
      <c r="AE29">
        <v>150.74999999999997</v>
      </c>
      <c r="AF29">
        <v>150.74999999999997</v>
      </c>
      <c r="AG29">
        <v>120.6</v>
      </c>
      <c r="AH29">
        <v>90.902249999999981</v>
      </c>
      <c r="AI29">
        <v>151.50374999999997</v>
      </c>
      <c r="AJ29">
        <v>151.50374999999997</v>
      </c>
      <c r="AK29">
        <v>151.50374999999997</v>
      </c>
      <c r="AL29">
        <v>151.50374999999997</v>
      </c>
      <c r="AM29">
        <v>151.50374999999997</v>
      </c>
      <c r="AN29">
        <v>90.902249999999981</v>
      </c>
      <c r="AO29">
        <v>151.50374999999997</v>
      </c>
      <c r="AP29">
        <v>151.50374999999997</v>
      </c>
      <c r="AQ29">
        <v>151.50374999999997</v>
      </c>
      <c r="AR29">
        <v>151.50374999999997</v>
      </c>
      <c r="AS29">
        <v>121.20299999999997</v>
      </c>
      <c r="AT29">
        <v>91.811272499999973</v>
      </c>
      <c r="AU29">
        <v>153.01878749999997</v>
      </c>
      <c r="AV29">
        <v>153.01878749999997</v>
      </c>
      <c r="AW29">
        <v>153.01878749999997</v>
      </c>
      <c r="AX29">
        <v>153.01878749999997</v>
      </c>
      <c r="AY29">
        <v>153.01878749999997</v>
      </c>
      <c r="AZ29">
        <v>91.811272499999973</v>
      </c>
      <c r="BA29">
        <v>153.01878749999997</v>
      </c>
      <c r="BB29">
        <v>153.01878749999997</v>
      </c>
      <c r="BC29">
        <v>153.01878749999997</v>
      </c>
      <c r="BD29">
        <v>153.01878749999997</v>
      </c>
      <c r="BE29">
        <v>122.41502999999997</v>
      </c>
      <c r="BF29">
        <v>94.106554312499966</v>
      </c>
      <c r="BG29">
        <v>156.84425718749995</v>
      </c>
      <c r="BH29">
        <v>156.84425718749995</v>
      </c>
      <c r="BI29">
        <v>156.84425718749995</v>
      </c>
      <c r="BJ29">
        <v>156.84425718749995</v>
      </c>
      <c r="BK29">
        <v>156.84425718749995</v>
      </c>
      <c r="BL29">
        <v>94.106554312499966</v>
      </c>
      <c r="BM29">
        <v>156.84425718749995</v>
      </c>
      <c r="BN29">
        <v>156.84425718749995</v>
      </c>
      <c r="BO29">
        <v>156.84425718749995</v>
      </c>
      <c r="BP29">
        <v>156.84425718749995</v>
      </c>
      <c r="BQ29">
        <v>125.47540574999995</v>
      </c>
    </row>
    <row r="30" spans="4:69">
      <c r="E30" t="str">
        <v>Madrid</v>
      </c>
      <c r="G30" t="str">
        <v>EUR</v>
      </c>
      <c r="J30">
        <v>90</v>
      </c>
      <c r="K30">
        <v>150</v>
      </c>
      <c r="L30">
        <v>150</v>
      </c>
      <c r="M30">
        <v>150</v>
      </c>
      <c r="N30">
        <v>150</v>
      </c>
      <c r="O30">
        <v>150</v>
      </c>
      <c r="P30">
        <v>90</v>
      </c>
      <c r="Q30">
        <v>150</v>
      </c>
      <c r="R30">
        <v>150</v>
      </c>
      <c r="S30">
        <v>150</v>
      </c>
      <c r="T30">
        <v>150</v>
      </c>
      <c r="U30">
        <v>120</v>
      </c>
      <c r="V30">
        <v>90.449999999999989</v>
      </c>
      <c r="W30">
        <v>150.74999999999997</v>
      </c>
      <c r="X30">
        <v>150.74999999999997</v>
      </c>
      <c r="Y30">
        <v>150.74999999999997</v>
      </c>
      <c r="Z30">
        <v>150.74999999999997</v>
      </c>
      <c r="AA30">
        <v>150.74999999999997</v>
      </c>
      <c r="AB30">
        <v>90.449999999999989</v>
      </c>
      <c r="AC30">
        <v>150.74999999999997</v>
      </c>
      <c r="AD30">
        <v>150.74999999999997</v>
      </c>
      <c r="AE30">
        <v>150.74999999999997</v>
      </c>
      <c r="AF30">
        <v>150.74999999999997</v>
      </c>
      <c r="AG30">
        <v>120.6</v>
      </c>
      <c r="AH30">
        <v>90.902249999999981</v>
      </c>
      <c r="AI30">
        <v>151.50374999999997</v>
      </c>
      <c r="AJ30">
        <v>151.50374999999997</v>
      </c>
      <c r="AK30">
        <v>151.50374999999997</v>
      </c>
      <c r="AL30">
        <v>151.50374999999997</v>
      </c>
      <c r="AM30">
        <v>151.50374999999997</v>
      </c>
      <c r="AN30">
        <v>90.902249999999981</v>
      </c>
      <c r="AO30">
        <v>151.50374999999997</v>
      </c>
      <c r="AP30">
        <v>151.50374999999997</v>
      </c>
      <c r="AQ30">
        <v>151.50374999999997</v>
      </c>
      <c r="AR30">
        <v>151.50374999999997</v>
      </c>
      <c r="AS30">
        <v>121.20299999999997</v>
      </c>
      <c r="AT30">
        <v>91.811272499999973</v>
      </c>
      <c r="AU30">
        <v>153.01878749999997</v>
      </c>
      <c r="AV30">
        <v>153.01878749999997</v>
      </c>
      <c r="AW30">
        <v>153.01878749999997</v>
      </c>
      <c r="AX30">
        <v>153.01878749999997</v>
      </c>
      <c r="AY30">
        <v>153.01878749999997</v>
      </c>
      <c r="AZ30">
        <v>91.811272499999973</v>
      </c>
      <c r="BA30">
        <v>153.01878749999997</v>
      </c>
      <c r="BB30">
        <v>153.01878749999997</v>
      </c>
      <c r="BC30">
        <v>153.01878749999997</v>
      </c>
      <c r="BD30">
        <v>153.01878749999997</v>
      </c>
      <c r="BE30">
        <v>122.41502999999997</v>
      </c>
      <c r="BF30">
        <v>94.106554312499966</v>
      </c>
      <c r="BG30">
        <v>156.84425718749995</v>
      </c>
      <c r="BH30">
        <v>156.84425718749995</v>
      </c>
      <c r="BI30">
        <v>156.84425718749995</v>
      </c>
      <c r="BJ30">
        <v>156.84425718749995</v>
      </c>
      <c r="BK30">
        <v>156.84425718749995</v>
      </c>
      <c r="BL30">
        <v>94.106554312499966</v>
      </c>
      <c r="BM30">
        <v>156.84425718749995</v>
      </c>
      <c r="BN30">
        <v>156.84425718749995</v>
      </c>
      <c r="BO30">
        <v>156.84425718749995</v>
      </c>
      <c r="BP30">
        <v>156.84425718749995</v>
      </c>
      <c r="BQ30">
        <v>125.47540574999995</v>
      </c>
    </row>
    <row r="31" spans="4:69">
      <c r="E31" t="str">
        <v>London</v>
      </c>
      <c r="G31" t="str">
        <v>GBP</v>
      </c>
      <c r="J31">
        <v>75</v>
      </c>
      <c r="K31">
        <v>125</v>
      </c>
      <c r="L31">
        <v>125</v>
      </c>
      <c r="M31">
        <v>125</v>
      </c>
      <c r="N31">
        <v>125</v>
      </c>
      <c r="O31">
        <v>125</v>
      </c>
      <c r="P31">
        <v>75</v>
      </c>
      <c r="Q31">
        <v>125</v>
      </c>
      <c r="R31">
        <v>125</v>
      </c>
      <c r="S31">
        <v>125</v>
      </c>
      <c r="T31">
        <v>125</v>
      </c>
      <c r="U31">
        <v>100</v>
      </c>
      <c r="V31">
        <v>77.25</v>
      </c>
      <c r="W31">
        <v>128.75</v>
      </c>
      <c r="X31">
        <v>128.75</v>
      </c>
      <c r="Y31">
        <v>128.75</v>
      </c>
      <c r="Z31">
        <v>128.75</v>
      </c>
      <c r="AA31">
        <v>128.75</v>
      </c>
      <c r="AB31">
        <v>77.25</v>
      </c>
      <c r="AC31">
        <v>128.75</v>
      </c>
      <c r="AD31">
        <v>128.75</v>
      </c>
      <c r="AE31">
        <v>128.75</v>
      </c>
      <c r="AF31">
        <v>128.75</v>
      </c>
      <c r="AG31">
        <v>103</v>
      </c>
      <c r="AH31">
        <v>78.022499999999994</v>
      </c>
      <c r="AI31">
        <v>130.03749999999999</v>
      </c>
      <c r="AJ31">
        <v>130.03749999999999</v>
      </c>
      <c r="AK31">
        <v>130.03749999999999</v>
      </c>
      <c r="AL31">
        <v>130.03749999999999</v>
      </c>
      <c r="AM31">
        <v>130.03749999999999</v>
      </c>
      <c r="AN31">
        <v>78.022499999999994</v>
      </c>
      <c r="AO31">
        <v>130.03749999999999</v>
      </c>
      <c r="AP31">
        <v>130.03749999999999</v>
      </c>
      <c r="AQ31">
        <v>130.03749999999999</v>
      </c>
      <c r="AR31">
        <v>130.03749999999999</v>
      </c>
      <c r="AS31">
        <v>104.03</v>
      </c>
      <c r="AT31">
        <v>78.802724999999995</v>
      </c>
      <c r="AU31">
        <v>131.337875</v>
      </c>
      <c r="AV31">
        <v>131.337875</v>
      </c>
      <c r="AW31">
        <v>131.337875</v>
      </c>
      <c r="AX31">
        <v>131.337875</v>
      </c>
      <c r="AY31">
        <v>131.337875</v>
      </c>
      <c r="AZ31">
        <v>78.802724999999995</v>
      </c>
      <c r="BA31">
        <v>131.337875</v>
      </c>
      <c r="BB31">
        <v>131.337875</v>
      </c>
      <c r="BC31">
        <v>131.337875</v>
      </c>
      <c r="BD31">
        <v>131.337875</v>
      </c>
      <c r="BE31">
        <v>105.07029999999999</v>
      </c>
      <c r="BF31">
        <v>79.590752250000008</v>
      </c>
      <c r="BG31">
        <v>132.65125375</v>
      </c>
      <c r="BH31">
        <v>132.65125375</v>
      </c>
      <c r="BI31">
        <v>132.65125375</v>
      </c>
      <c r="BJ31">
        <v>132.65125375</v>
      </c>
      <c r="BK31">
        <v>132.65125375</v>
      </c>
      <c r="BL31">
        <v>79.590752250000008</v>
      </c>
      <c r="BM31">
        <v>132.65125375</v>
      </c>
      <c r="BN31">
        <v>132.65125375</v>
      </c>
      <c r="BO31">
        <v>132.65125375</v>
      </c>
      <c r="BP31">
        <v>132.65125375</v>
      </c>
      <c r="BQ31">
        <v>106.121003</v>
      </c>
    </row>
    <row r="32" spans="4:69">
      <c r="E32" t="str">
        <v>New York</v>
      </c>
      <c r="G32" t="str">
        <v>USD</v>
      </c>
      <c r="J32">
        <v>0</v>
      </c>
      <c r="K32">
        <v>0</v>
      </c>
      <c r="L32">
        <v>0</v>
      </c>
      <c r="M32">
        <v>150</v>
      </c>
      <c r="N32">
        <v>150</v>
      </c>
      <c r="O32">
        <v>150</v>
      </c>
      <c r="P32">
        <v>90</v>
      </c>
      <c r="Q32">
        <v>150</v>
      </c>
      <c r="R32">
        <v>150</v>
      </c>
      <c r="S32">
        <v>150</v>
      </c>
      <c r="T32">
        <v>150</v>
      </c>
      <c r="U32">
        <v>120</v>
      </c>
      <c r="V32">
        <v>92.7</v>
      </c>
      <c r="W32">
        <v>154.5</v>
      </c>
      <c r="X32">
        <v>154.5</v>
      </c>
      <c r="Y32">
        <v>154.5</v>
      </c>
      <c r="Z32">
        <v>154.5</v>
      </c>
      <c r="AA32">
        <v>154.5</v>
      </c>
      <c r="AB32">
        <v>92.7</v>
      </c>
      <c r="AC32">
        <v>154.5</v>
      </c>
      <c r="AD32">
        <v>154.5</v>
      </c>
      <c r="AE32">
        <v>154.5</v>
      </c>
      <c r="AF32">
        <v>154.5</v>
      </c>
      <c r="AG32">
        <v>123.60000000000001</v>
      </c>
      <c r="AH32">
        <v>94.554000000000002</v>
      </c>
      <c r="AI32">
        <v>157.59</v>
      </c>
      <c r="AJ32">
        <v>157.59</v>
      </c>
      <c r="AK32">
        <v>157.59</v>
      </c>
      <c r="AL32">
        <v>157.59</v>
      </c>
      <c r="AM32">
        <v>157.59</v>
      </c>
      <c r="AN32">
        <v>94.554000000000002</v>
      </c>
      <c r="AO32">
        <v>157.59</v>
      </c>
      <c r="AP32">
        <v>157.59</v>
      </c>
      <c r="AQ32">
        <v>157.59</v>
      </c>
      <c r="AR32">
        <v>157.59</v>
      </c>
      <c r="AS32">
        <v>126.072</v>
      </c>
      <c r="AT32">
        <v>97.390619999999998</v>
      </c>
      <c r="AU32">
        <v>162.31769999999997</v>
      </c>
      <c r="AV32">
        <v>162.31769999999997</v>
      </c>
      <c r="AW32">
        <v>162.31769999999997</v>
      </c>
      <c r="AX32">
        <v>162.31769999999997</v>
      </c>
      <c r="AY32">
        <v>162.31769999999997</v>
      </c>
      <c r="AZ32">
        <v>97.390619999999998</v>
      </c>
      <c r="BA32">
        <v>162.31769999999997</v>
      </c>
      <c r="BB32">
        <v>162.31769999999997</v>
      </c>
      <c r="BC32">
        <v>162.31769999999997</v>
      </c>
      <c r="BD32">
        <v>162.31769999999997</v>
      </c>
      <c r="BE32">
        <v>129.85415999999998</v>
      </c>
      <c r="BF32">
        <v>97.877573099999978</v>
      </c>
      <c r="BG32">
        <v>163.12928849999997</v>
      </c>
      <c r="BH32">
        <v>163.12928849999997</v>
      </c>
      <c r="BI32">
        <v>163.12928849999997</v>
      </c>
      <c r="BJ32">
        <v>163.12928849999997</v>
      </c>
      <c r="BK32">
        <v>163.12928849999997</v>
      </c>
      <c r="BL32">
        <v>97.877573099999978</v>
      </c>
      <c r="BM32">
        <v>163.12928849999997</v>
      </c>
      <c r="BN32">
        <v>163.12928849999997</v>
      </c>
      <c r="BO32">
        <v>163.12928849999997</v>
      </c>
      <c r="BP32">
        <v>163.12928849999997</v>
      </c>
      <c r="BQ32">
        <v>130.50343079999999</v>
      </c>
    </row>
    <row r="33" spans="1:69">
      <c r="E33" t="str">
        <v>Montreal</v>
      </c>
      <c r="G33" t="str">
        <v>CAD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200</v>
      </c>
      <c r="T33">
        <v>200</v>
      </c>
      <c r="U33">
        <v>160</v>
      </c>
      <c r="V33">
        <v>122.4</v>
      </c>
      <c r="W33">
        <v>204</v>
      </c>
      <c r="X33">
        <v>204</v>
      </c>
      <c r="Y33">
        <v>204</v>
      </c>
      <c r="Z33">
        <v>204</v>
      </c>
      <c r="AA33">
        <v>204</v>
      </c>
      <c r="AB33">
        <v>122.4</v>
      </c>
      <c r="AC33">
        <v>204</v>
      </c>
      <c r="AD33">
        <v>204</v>
      </c>
      <c r="AE33">
        <v>204</v>
      </c>
      <c r="AF33">
        <v>204</v>
      </c>
      <c r="AG33">
        <v>163.19999999999999</v>
      </c>
      <c r="AH33">
        <v>124.848</v>
      </c>
      <c r="AI33">
        <v>208.07999999999998</v>
      </c>
      <c r="AJ33">
        <v>208.07999999999998</v>
      </c>
      <c r="AK33">
        <v>208.07999999999998</v>
      </c>
      <c r="AL33">
        <v>208.07999999999998</v>
      </c>
      <c r="AM33">
        <v>208.07999999999998</v>
      </c>
      <c r="AN33">
        <v>124.848</v>
      </c>
      <c r="AO33">
        <v>208.07999999999998</v>
      </c>
      <c r="AP33">
        <v>208.07999999999998</v>
      </c>
      <c r="AQ33">
        <v>208.07999999999998</v>
      </c>
      <c r="AR33">
        <v>208.07999999999998</v>
      </c>
      <c r="AS33">
        <v>166.464</v>
      </c>
      <c r="AT33">
        <v>127.96919999999999</v>
      </c>
      <c r="AU33">
        <v>213.28199999999998</v>
      </c>
      <c r="AV33">
        <v>213.28199999999998</v>
      </c>
      <c r="AW33">
        <v>213.28199999999998</v>
      </c>
      <c r="AX33">
        <v>213.28199999999998</v>
      </c>
      <c r="AY33">
        <v>213.28199999999998</v>
      </c>
      <c r="AZ33">
        <v>127.96919999999999</v>
      </c>
      <c r="BA33">
        <v>213.28199999999998</v>
      </c>
      <c r="BB33">
        <v>213.28199999999998</v>
      </c>
      <c r="BC33">
        <v>213.28199999999998</v>
      </c>
      <c r="BD33">
        <v>213.28199999999998</v>
      </c>
      <c r="BE33">
        <v>170.62559999999996</v>
      </c>
      <c r="BF33">
        <v>130.52858399999997</v>
      </c>
      <c r="BG33">
        <v>217.54763999999994</v>
      </c>
      <c r="BH33">
        <v>217.54763999999994</v>
      </c>
      <c r="BI33">
        <v>217.54763999999994</v>
      </c>
      <c r="BJ33">
        <v>217.54763999999994</v>
      </c>
      <c r="BK33">
        <v>217.54763999999994</v>
      </c>
      <c r="BL33">
        <v>130.52858399999997</v>
      </c>
      <c r="BM33">
        <v>217.54763999999994</v>
      </c>
      <c r="BN33">
        <v>217.54763999999994</v>
      </c>
      <c r="BO33">
        <v>217.54763999999994</v>
      </c>
      <c r="BP33">
        <v>217.54763999999994</v>
      </c>
      <c r="BQ33">
        <v>174.03811199999996</v>
      </c>
    </row>
    <row r="34" spans="1:69">
      <c r="E34" t="str">
        <v>Zurich</v>
      </c>
      <c r="G34" t="str">
        <v>CHF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230.62499999999997</v>
      </c>
      <c r="Z34">
        <v>230.62499999999997</v>
      </c>
      <c r="AA34">
        <v>230.62499999999997</v>
      </c>
      <c r="AB34">
        <v>138.375</v>
      </c>
      <c r="AC34">
        <v>230.62499999999997</v>
      </c>
      <c r="AD34">
        <v>230.62499999999997</v>
      </c>
      <c r="AE34">
        <v>230.62499999999997</v>
      </c>
      <c r="AF34">
        <v>230.62499999999997</v>
      </c>
      <c r="AG34">
        <v>184.49999999999997</v>
      </c>
      <c r="AH34">
        <v>139.06687499999995</v>
      </c>
      <c r="AI34">
        <v>231.77812499999993</v>
      </c>
      <c r="AJ34">
        <v>231.77812499999993</v>
      </c>
      <c r="AK34">
        <v>231.77812499999993</v>
      </c>
      <c r="AL34">
        <v>231.77812499999993</v>
      </c>
      <c r="AM34">
        <v>231.77812499999993</v>
      </c>
      <c r="AN34">
        <v>139.06687499999995</v>
      </c>
      <c r="AO34">
        <v>231.77812499999993</v>
      </c>
      <c r="AP34">
        <v>231.77812499999993</v>
      </c>
      <c r="AQ34">
        <v>231.77812499999993</v>
      </c>
      <c r="AR34">
        <v>231.77812499999993</v>
      </c>
      <c r="AS34">
        <v>185.42249999999996</v>
      </c>
      <c r="AT34">
        <v>143.23888124999996</v>
      </c>
      <c r="AU34">
        <v>238.73146874999995</v>
      </c>
      <c r="AV34">
        <v>238.73146874999995</v>
      </c>
      <c r="AW34">
        <v>238.73146874999995</v>
      </c>
      <c r="AX34">
        <v>238.73146874999995</v>
      </c>
      <c r="AY34">
        <v>238.73146874999995</v>
      </c>
      <c r="AZ34">
        <v>143.23888124999996</v>
      </c>
      <c r="BA34">
        <v>238.73146874999995</v>
      </c>
      <c r="BB34">
        <v>238.73146874999995</v>
      </c>
      <c r="BC34">
        <v>238.73146874999995</v>
      </c>
      <c r="BD34">
        <v>238.73146874999995</v>
      </c>
      <c r="BE34">
        <v>190.98517499999994</v>
      </c>
      <c r="BF34">
        <v>145.38746446874995</v>
      </c>
      <c r="BG34">
        <v>242.3124407812499</v>
      </c>
      <c r="BH34">
        <v>242.3124407812499</v>
      </c>
      <c r="BI34">
        <v>242.3124407812499</v>
      </c>
      <c r="BJ34">
        <v>242.3124407812499</v>
      </c>
      <c r="BK34">
        <v>242.3124407812499</v>
      </c>
      <c r="BL34">
        <v>145.38746446874995</v>
      </c>
      <c r="BM34">
        <v>242.3124407812499</v>
      </c>
      <c r="BN34">
        <v>242.3124407812499</v>
      </c>
      <c r="BO34">
        <v>242.3124407812499</v>
      </c>
      <c r="BP34">
        <v>242.3124407812499</v>
      </c>
      <c r="BQ34">
        <v>193.84995262499993</v>
      </c>
    </row>
    <row r="35" spans="1:69">
      <c r="E35" t="str">
        <v>Moscow</v>
      </c>
      <c r="G35" t="str">
        <v>RUB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15150</v>
      </c>
      <c r="AF35">
        <v>15150</v>
      </c>
      <c r="AG35">
        <v>12120</v>
      </c>
      <c r="AH35">
        <v>9180.9</v>
      </c>
      <c r="AI35">
        <v>15301.5</v>
      </c>
      <c r="AJ35">
        <v>15301.5</v>
      </c>
      <c r="AK35">
        <v>15301.5</v>
      </c>
      <c r="AL35">
        <v>15301.5</v>
      </c>
      <c r="AM35">
        <v>15301.5</v>
      </c>
      <c r="AN35">
        <v>9180.9</v>
      </c>
      <c r="AO35">
        <v>15301.5</v>
      </c>
      <c r="AP35">
        <v>15301.5</v>
      </c>
      <c r="AQ35">
        <v>15301.5</v>
      </c>
      <c r="AR35">
        <v>15301.5</v>
      </c>
      <c r="AS35">
        <v>12241.2</v>
      </c>
      <c r="AT35">
        <v>9318.6134999999995</v>
      </c>
      <c r="AU35">
        <v>15531.022499999997</v>
      </c>
      <c r="AV35">
        <v>15531.022499999997</v>
      </c>
      <c r="AW35">
        <v>15531.022499999997</v>
      </c>
      <c r="AX35">
        <v>15531.022499999997</v>
      </c>
      <c r="AY35">
        <v>15531.022499999997</v>
      </c>
      <c r="AZ35">
        <v>9318.6134999999995</v>
      </c>
      <c r="BA35">
        <v>15531.022499999997</v>
      </c>
      <c r="BB35">
        <v>15531.022499999997</v>
      </c>
      <c r="BC35">
        <v>15531.022499999997</v>
      </c>
      <c r="BD35">
        <v>15531.022499999997</v>
      </c>
      <c r="BE35">
        <v>12424.817999999997</v>
      </c>
      <c r="BF35">
        <v>9411.7996349999994</v>
      </c>
      <c r="BG35">
        <v>15686.332725</v>
      </c>
      <c r="BH35">
        <v>15686.332725</v>
      </c>
      <c r="BI35">
        <v>15686.332725</v>
      </c>
      <c r="BJ35">
        <v>15686.332725</v>
      </c>
      <c r="BK35">
        <v>15686.332725</v>
      </c>
      <c r="BL35">
        <v>9411.7996349999994</v>
      </c>
      <c r="BM35">
        <v>15686.332725</v>
      </c>
      <c r="BN35">
        <v>15686.332725</v>
      </c>
      <c r="BO35">
        <v>15686.332725</v>
      </c>
      <c r="BP35">
        <v>15686.332725</v>
      </c>
      <c r="BQ35">
        <v>12549.06618</v>
      </c>
    </row>
    <row r="37" spans="1:69" s="98" customFormat="1">
      <c r="A37" s="95" t="s">
        <v>107</v>
      </c>
    </row>
    <row r="39" spans="1:69">
      <c r="D39" s="101" t="s">
        <v>36</v>
      </c>
    </row>
    <row r="40" spans="1:69">
      <c r="E40" t="str" cm="1">
        <f t="array" ref="E40:E47">lstStores</f>
        <v>Paris</v>
      </c>
      <c r="F40" t="str" cm="1">
        <f t="array" ref="F40:F47">INDEX( CaseData!$C$9:$E$17, MATCH(_xlfn.ANCHORARRAY( Price!E40), CaseData!$C$9:$C$17, 0 ), 3 )</f>
        <v>EUR</v>
      </c>
      <c r="G40" t="s">
        <v>14</v>
      </c>
      <c r="J40" s="120" cm="1">
        <f t="array" aca="1" ref="J40:BQ47" ca="1">_xlfn.LET(
      _xlpm.operating_flag,_xlfn.ANCHORARRAY( Time!J$18),
      _xlpm.fx_table, CaseData!$B$74:$G$80,
      _xlpm.fx_row, CaseData!$B$74:$B$80,
      _xlpm.fx_column, CaseData!$B$74:$G$74,
      _xlpm.store_currency,_xlfn.ANCHORARRAY( Price!$F40),
      _xlpm.current_year, YEAR(_xlfn.ANCHORARRAY( Time!J$9) ),
      _xlpm.fx_rate, INDEX( _xlpm.fx_table, _xlfn.XMATCH( _xlpm.store_currency, _xlpm.fx_row, 0, 1 ), _xlfn.XMATCH( _xlpm.current_year, _xlpm.fx_column, 0, 1 ) ),
      _xlpm.anchor,_xlfn.ANCHORARRAY( Price!$J8),
      _xlpm.block, OFFSET( _xlpm.anchor, 0, 0, COUNTA( _xlpm.store_currency ), periods ),
      _xlpm.block / _xlpm.fx_rate )</f>
        <v>300</v>
      </c>
      <c r="K40">
        <f ca="1"/>
        <v>500</v>
      </c>
      <c r="L40">
        <f ca="1"/>
        <v>500</v>
      </c>
      <c r="M40">
        <f ca="1"/>
        <v>500</v>
      </c>
      <c r="N40">
        <f ca="1"/>
        <v>500</v>
      </c>
      <c r="O40">
        <f ca="1"/>
        <v>500</v>
      </c>
      <c r="P40">
        <f ca="1"/>
        <v>300</v>
      </c>
      <c r="Q40">
        <f ca="1"/>
        <v>500</v>
      </c>
      <c r="R40">
        <f ca="1"/>
        <v>500</v>
      </c>
      <c r="S40">
        <f ca="1"/>
        <v>500</v>
      </c>
      <c r="T40">
        <f ca="1"/>
        <v>500</v>
      </c>
      <c r="U40">
        <f ca="1"/>
        <v>400</v>
      </c>
      <c r="V40">
        <f ca="1"/>
        <v>301.49999999999994</v>
      </c>
      <c r="W40">
        <f ca="1"/>
        <v>502.49999999999994</v>
      </c>
      <c r="X40">
        <f ca="1"/>
        <v>502.49999999999994</v>
      </c>
      <c r="Y40">
        <f ca="1"/>
        <v>502.49999999999994</v>
      </c>
      <c r="Z40">
        <f ca="1"/>
        <v>502.49999999999994</v>
      </c>
      <c r="AA40">
        <f ca="1"/>
        <v>502.49999999999994</v>
      </c>
      <c r="AB40">
        <f ca="1"/>
        <v>301.49999999999994</v>
      </c>
      <c r="AC40">
        <f ca="1"/>
        <v>502.49999999999994</v>
      </c>
      <c r="AD40">
        <f ca="1"/>
        <v>502.49999999999994</v>
      </c>
      <c r="AE40">
        <f ca="1"/>
        <v>502.49999999999994</v>
      </c>
      <c r="AF40">
        <f ca="1"/>
        <v>502.49999999999994</v>
      </c>
      <c r="AG40">
        <f ca="1"/>
        <v>401.99999999999994</v>
      </c>
      <c r="AH40">
        <f ca="1"/>
        <v>303.00749999999994</v>
      </c>
      <c r="AI40">
        <f ca="1"/>
        <v>505.01249999999987</v>
      </c>
      <c r="AJ40">
        <f ca="1"/>
        <v>505.01249999999987</v>
      </c>
      <c r="AK40">
        <f ca="1"/>
        <v>505.01249999999987</v>
      </c>
      <c r="AL40">
        <f ca="1"/>
        <v>505.01249999999987</v>
      </c>
      <c r="AM40">
        <f ca="1"/>
        <v>505.01249999999987</v>
      </c>
      <c r="AN40">
        <f ca="1"/>
        <v>303.00749999999994</v>
      </c>
      <c r="AO40">
        <f ca="1"/>
        <v>505.01249999999987</v>
      </c>
      <c r="AP40">
        <f ca="1"/>
        <v>505.01249999999987</v>
      </c>
      <c r="AQ40">
        <f ca="1"/>
        <v>505.01249999999987</v>
      </c>
      <c r="AR40">
        <f ca="1"/>
        <v>505.01249999999987</v>
      </c>
      <c r="AS40">
        <f ca="1"/>
        <v>404.00999999999988</v>
      </c>
      <c r="AT40">
        <f ca="1"/>
        <v>306.03757499999995</v>
      </c>
      <c r="AU40">
        <f ca="1"/>
        <v>510.06262499999985</v>
      </c>
      <c r="AV40">
        <f ca="1"/>
        <v>510.06262499999985</v>
      </c>
      <c r="AW40">
        <f ca="1"/>
        <v>510.06262499999985</v>
      </c>
      <c r="AX40">
        <f ca="1"/>
        <v>510.06262499999985</v>
      </c>
      <c r="AY40">
        <f ca="1"/>
        <v>510.06262499999985</v>
      </c>
      <c r="AZ40">
        <f ca="1"/>
        <v>306.03757499999995</v>
      </c>
      <c r="BA40">
        <f ca="1"/>
        <v>510.06262499999985</v>
      </c>
      <c r="BB40">
        <f ca="1"/>
        <v>510.06262499999985</v>
      </c>
      <c r="BC40">
        <f ca="1"/>
        <v>510.06262499999985</v>
      </c>
      <c r="BD40">
        <f ca="1"/>
        <v>510.06262499999985</v>
      </c>
      <c r="BE40">
        <f ca="1"/>
        <v>408.05009999999993</v>
      </c>
      <c r="BF40">
        <f ca="1"/>
        <v>313.6885143749999</v>
      </c>
      <c r="BG40">
        <f ca="1"/>
        <v>522.81419062499981</v>
      </c>
      <c r="BH40">
        <f ca="1"/>
        <v>522.81419062499981</v>
      </c>
      <c r="BI40">
        <f ca="1"/>
        <v>522.81419062499981</v>
      </c>
      <c r="BJ40">
        <f ca="1"/>
        <v>522.81419062499981</v>
      </c>
      <c r="BK40">
        <f ca="1"/>
        <v>522.81419062499981</v>
      </c>
      <c r="BL40">
        <f ca="1"/>
        <v>313.6885143749999</v>
      </c>
      <c r="BM40">
        <f ca="1"/>
        <v>522.81419062499981</v>
      </c>
      <c r="BN40">
        <f ca="1"/>
        <v>522.81419062499981</v>
      </c>
      <c r="BO40">
        <f ca="1"/>
        <v>522.81419062499981</v>
      </c>
      <c r="BP40">
        <f ca="1"/>
        <v>522.81419062499981</v>
      </c>
      <c r="BQ40">
        <f ca="1"/>
        <v>418.25135249999983</v>
      </c>
    </row>
    <row r="41" spans="1:69">
      <c r="E41" t="str">
        <v>Milano</v>
      </c>
      <c r="F41" t="str">
        <v>EUR</v>
      </c>
      <c r="G41" t="s">
        <v>14</v>
      </c>
      <c r="J41">
        <f ca="1"/>
        <v>300</v>
      </c>
      <c r="K41">
        <f ca="1"/>
        <v>500</v>
      </c>
      <c r="L41">
        <f ca="1"/>
        <v>500</v>
      </c>
      <c r="M41">
        <f ca="1"/>
        <v>500</v>
      </c>
      <c r="N41">
        <f ca="1"/>
        <v>500</v>
      </c>
      <c r="O41">
        <f ca="1"/>
        <v>500</v>
      </c>
      <c r="P41">
        <f ca="1"/>
        <v>300</v>
      </c>
      <c r="Q41">
        <f ca="1"/>
        <v>500</v>
      </c>
      <c r="R41">
        <f ca="1"/>
        <v>500</v>
      </c>
      <c r="S41">
        <f ca="1"/>
        <v>500</v>
      </c>
      <c r="T41">
        <f ca="1"/>
        <v>500</v>
      </c>
      <c r="U41">
        <f ca="1"/>
        <v>400</v>
      </c>
      <c r="V41">
        <f ca="1"/>
        <v>301.49999999999994</v>
      </c>
      <c r="W41">
        <f ca="1"/>
        <v>502.49999999999994</v>
      </c>
      <c r="X41">
        <f ca="1"/>
        <v>502.49999999999994</v>
      </c>
      <c r="Y41">
        <f ca="1"/>
        <v>502.49999999999994</v>
      </c>
      <c r="Z41">
        <f ca="1"/>
        <v>502.49999999999994</v>
      </c>
      <c r="AA41">
        <f ca="1"/>
        <v>502.49999999999994</v>
      </c>
      <c r="AB41">
        <f ca="1"/>
        <v>301.49999999999994</v>
      </c>
      <c r="AC41">
        <f ca="1"/>
        <v>502.49999999999994</v>
      </c>
      <c r="AD41">
        <f ca="1"/>
        <v>502.49999999999994</v>
      </c>
      <c r="AE41">
        <f ca="1"/>
        <v>502.49999999999994</v>
      </c>
      <c r="AF41">
        <f ca="1"/>
        <v>502.49999999999994</v>
      </c>
      <c r="AG41">
        <f ca="1"/>
        <v>401.99999999999994</v>
      </c>
      <c r="AH41">
        <f ca="1"/>
        <v>303.00749999999994</v>
      </c>
      <c r="AI41">
        <f ca="1"/>
        <v>505.01249999999987</v>
      </c>
      <c r="AJ41">
        <f ca="1"/>
        <v>505.01249999999987</v>
      </c>
      <c r="AK41">
        <f ca="1"/>
        <v>505.01249999999987</v>
      </c>
      <c r="AL41">
        <f ca="1"/>
        <v>505.01249999999987</v>
      </c>
      <c r="AM41">
        <f ca="1"/>
        <v>505.01249999999987</v>
      </c>
      <c r="AN41">
        <f ca="1"/>
        <v>303.00749999999994</v>
      </c>
      <c r="AO41">
        <f ca="1"/>
        <v>505.01249999999987</v>
      </c>
      <c r="AP41">
        <f ca="1"/>
        <v>505.01249999999987</v>
      </c>
      <c r="AQ41">
        <f ca="1"/>
        <v>505.01249999999987</v>
      </c>
      <c r="AR41">
        <f ca="1"/>
        <v>505.01249999999987</v>
      </c>
      <c r="AS41">
        <f ca="1"/>
        <v>404.00999999999988</v>
      </c>
      <c r="AT41">
        <f ca="1"/>
        <v>306.03757499999995</v>
      </c>
      <c r="AU41">
        <f ca="1"/>
        <v>510.06262499999985</v>
      </c>
      <c r="AV41">
        <f ca="1"/>
        <v>510.06262499999985</v>
      </c>
      <c r="AW41">
        <f ca="1"/>
        <v>510.06262499999985</v>
      </c>
      <c r="AX41">
        <f ca="1"/>
        <v>510.06262499999985</v>
      </c>
      <c r="AY41">
        <f ca="1"/>
        <v>510.06262499999985</v>
      </c>
      <c r="AZ41">
        <f ca="1"/>
        <v>306.03757499999995</v>
      </c>
      <c r="BA41">
        <f ca="1"/>
        <v>510.06262499999985</v>
      </c>
      <c r="BB41">
        <f ca="1"/>
        <v>510.06262499999985</v>
      </c>
      <c r="BC41">
        <f ca="1"/>
        <v>510.06262499999985</v>
      </c>
      <c r="BD41">
        <f ca="1"/>
        <v>510.06262499999985</v>
      </c>
      <c r="BE41">
        <f ca="1"/>
        <v>408.05009999999993</v>
      </c>
      <c r="BF41">
        <f ca="1"/>
        <v>313.6885143749999</v>
      </c>
      <c r="BG41">
        <f ca="1"/>
        <v>522.81419062499981</v>
      </c>
      <c r="BH41">
        <f ca="1"/>
        <v>522.81419062499981</v>
      </c>
      <c r="BI41">
        <f ca="1"/>
        <v>522.81419062499981</v>
      </c>
      <c r="BJ41">
        <f ca="1"/>
        <v>522.81419062499981</v>
      </c>
      <c r="BK41">
        <f ca="1"/>
        <v>522.81419062499981</v>
      </c>
      <c r="BL41">
        <f ca="1"/>
        <v>313.6885143749999</v>
      </c>
      <c r="BM41">
        <f ca="1"/>
        <v>522.81419062499981</v>
      </c>
      <c r="BN41">
        <f ca="1"/>
        <v>522.81419062499981</v>
      </c>
      <c r="BO41">
        <f ca="1"/>
        <v>522.81419062499981</v>
      </c>
      <c r="BP41">
        <f ca="1"/>
        <v>522.81419062499981</v>
      </c>
      <c r="BQ41">
        <f ca="1"/>
        <v>418.25135249999983</v>
      </c>
    </row>
    <row r="42" spans="1:69">
      <c r="E42" t="str">
        <v>Madrid</v>
      </c>
      <c r="F42" t="str">
        <v>EUR</v>
      </c>
      <c r="G42" t="s">
        <v>14</v>
      </c>
      <c r="J42">
        <f ca="1"/>
        <v>300</v>
      </c>
      <c r="K42">
        <f ca="1"/>
        <v>500</v>
      </c>
      <c r="L42">
        <f ca="1"/>
        <v>500</v>
      </c>
      <c r="M42">
        <f ca="1"/>
        <v>500</v>
      </c>
      <c r="N42">
        <f ca="1"/>
        <v>500</v>
      </c>
      <c r="O42">
        <f ca="1"/>
        <v>500</v>
      </c>
      <c r="P42">
        <f ca="1"/>
        <v>300</v>
      </c>
      <c r="Q42">
        <f ca="1"/>
        <v>500</v>
      </c>
      <c r="R42">
        <f ca="1"/>
        <v>500</v>
      </c>
      <c r="S42">
        <f ca="1"/>
        <v>500</v>
      </c>
      <c r="T42">
        <f ca="1"/>
        <v>500</v>
      </c>
      <c r="U42">
        <f ca="1"/>
        <v>400</v>
      </c>
      <c r="V42">
        <f ca="1"/>
        <v>301.49999999999994</v>
      </c>
      <c r="W42">
        <f ca="1"/>
        <v>502.49999999999994</v>
      </c>
      <c r="X42">
        <f ca="1"/>
        <v>502.49999999999994</v>
      </c>
      <c r="Y42">
        <f ca="1"/>
        <v>502.49999999999994</v>
      </c>
      <c r="Z42">
        <f ca="1"/>
        <v>502.49999999999994</v>
      </c>
      <c r="AA42">
        <f ca="1"/>
        <v>502.49999999999994</v>
      </c>
      <c r="AB42">
        <f ca="1"/>
        <v>301.49999999999994</v>
      </c>
      <c r="AC42">
        <f ca="1"/>
        <v>502.49999999999994</v>
      </c>
      <c r="AD42">
        <f ca="1"/>
        <v>502.49999999999994</v>
      </c>
      <c r="AE42">
        <f ca="1"/>
        <v>502.49999999999994</v>
      </c>
      <c r="AF42">
        <f ca="1"/>
        <v>502.49999999999994</v>
      </c>
      <c r="AG42">
        <f ca="1"/>
        <v>401.99999999999994</v>
      </c>
      <c r="AH42">
        <f ca="1"/>
        <v>303.00749999999994</v>
      </c>
      <c r="AI42">
        <f ca="1"/>
        <v>505.01249999999987</v>
      </c>
      <c r="AJ42">
        <f ca="1"/>
        <v>505.01249999999987</v>
      </c>
      <c r="AK42">
        <f ca="1"/>
        <v>505.01249999999987</v>
      </c>
      <c r="AL42">
        <f ca="1"/>
        <v>505.01249999999987</v>
      </c>
      <c r="AM42">
        <f ca="1"/>
        <v>505.01249999999987</v>
      </c>
      <c r="AN42">
        <f ca="1"/>
        <v>303.00749999999994</v>
      </c>
      <c r="AO42">
        <f ca="1"/>
        <v>505.01249999999987</v>
      </c>
      <c r="AP42">
        <f ca="1"/>
        <v>505.01249999999987</v>
      </c>
      <c r="AQ42">
        <f ca="1"/>
        <v>505.01249999999987</v>
      </c>
      <c r="AR42">
        <f ca="1"/>
        <v>505.01249999999987</v>
      </c>
      <c r="AS42">
        <f ca="1"/>
        <v>404.00999999999988</v>
      </c>
      <c r="AT42">
        <f ca="1"/>
        <v>306.03757499999995</v>
      </c>
      <c r="AU42">
        <f ca="1"/>
        <v>510.06262499999985</v>
      </c>
      <c r="AV42">
        <f ca="1"/>
        <v>510.06262499999985</v>
      </c>
      <c r="AW42">
        <f ca="1"/>
        <v>510.06262499999985</v>
      </c>
      <c r="AX42">
        <f ca="1"/>
        <v>510.06262499999985</v>
      </c>
      <c r="AY42">
        <f ca="1"/>
        <v>510.06262499999985</v>
      </c>
      <c r="AZ42">
        <f ca="1"/>
        <v>306.03757499999995</v>
      </c>
      <c r="BA42">
        <f ca="1"/>
        <v>510.06262499999985</v>
      </c>
      <c r="BB42">
        <f ca="1"/>
        <v>510.06262499999985</v>
      </c>
      <c r="BC42">
        <f ca="1"/>
        <v>510.06262499999985</v>
      </c>
      <c r="BD42">
        <f ca="1"/>
        <v>510.06262499999985</v>
      </c>
      <c r="BE42">
        <f ca="1"/>
        <v>408.05009999999993</v>
      </c>
      <c r="BF42">
        <f ca="1"/>
        <v>313.6885143749999</v>
      </c>
      <c r="BG42">
        <f ca="1"/>
        <v>522.81419062499981</v>
      </c>
      <c r="BH42">
        <f ca="1"/>
        <v>522.81419062499981</v>
      </c>
      <c r="BI42">
        <f ca="1"/>
        <v>522.81419062499981</v>
      </c>
      <c r="BJ42">
        <f ca="1"/>
        <v>522.81419062499981</v>
      </c>
      <c r="BK42">
        <f ca="1"/>
        <v>522.81419062499981</v>
      </c>
      <c r="BL42">
        <f ca="1"/>
        <v>313.6885143749999</v>
      </c>
      <c r="BM42">
        <f ca="1"/>
        <v>522.81419062499981</v>
      </c>
      <c r="BN42">
        <f ca="1"/>
        <v>522.81419062499981</v>
      </c>
      <c r="BO42">
        <f ca="1"/>
        <v>522.81419062499981</v>
      </c>
      <c r="BP42">
        <f ca="1"/>
        <v>522.81419062499981</v>
      </c>
      <c r="BQ42">
        <f ca="1"/>
        <v>418.25135249999983</v>
      </c>
    </row>
    <row r="43" spans="1:69">
      <c r="E43" t="str">
        <v>London</v>
      </c>
      <c r="F43" t="str">
        <v>GBP</v>
      </c>
      <c r="G43" t="s">
        <v>14</v>
      </c>
      <c r="J43">
        <f ca="1"/>
        <v>296.51162790697674</v>
      </c>
      <c r="K43">
        <f ca="1"/>
        <v>494.18604651162792</v>
      </c>
      <c r="L43">
        <f ca="1"/>
        <v>494.18604651162792</v>
      </c>
      <c r="M43">
        <f ca="1"/>
        <v>494.18604651162792</v>
      </c>
      <c r="N43">
        <f ca="1"/>
        <v>494.18604651162792</v>
      </c>
      <c r="O43">
        <f ca="1"/>
        <v>494.18604651162792</v>
      </c>
      <c r="P43">
        <f ca="1"/>
        <v>296.51162790697674</v>
      </c>
      <c r="Q43">
        <f ca="1"/>
        <v>494.18604651162792</v>
      </c>
      <c r="R43">
        <f ca="1"/>
        <v>494.18604651162792</v>
      </c>
      <c r="S43">
        <f ca="1"/>
        <v>494.18604651162792</v>
      </c>
      <c r="T43">
        <f ca="1"/>
        <v>494.18604651162792</v>
      </c>
      <c r="U43">
        <f ca="1"/>
        <v>395.34883720930236</v>
      </c>
      <c r="V43">
        <f ca="1"/>
        <v>301.89655172413796</v>
      </c>
      <c r="W43">
        <f ca="1"/>
        <v>503.16091954022988</v>
      </c>
      <c r="X43">
        <f ca="1"/>
        <v>503.16091954022988</v>
      </c>
      <c r="Y43">
        <f ca="1"/>
        <v>503.16091954022988</v>
      </c>
      <c r="Z43">
        <f ca="1"/>
        <v>503.16091954022988</v>
      </c>
      <c r="AA43">
        <f ca="1"/>
        <v>503.16091954022988</v>
      </c>
      <c r="AB43">
        <f ca="1"/>
        <v>301.89655172413796</v>
      </c>
      <c r="AC43">
        <f ca="1"/>
        <v>503.16091954022988</v>
      </c>
      <c r="AD43">
        <f ca="1"/>
        <v>503.16091954022988</v>
      </c>
      <c r="AE43">
        <f ca="1"/>
        <v>503.16091954022988</v>
      </c>
      <c r="AF43">
        <f ca="1"/>
        <v>503.16091954022988</v>
      </c>
      <c r="AG43">
        <f ca="1"/>
        <v>402.5287356321839</v>
      </c>
      <c r="AH43">
        <f ca="1"/>
        <v>301.4505681818182</v>
      </c>
      <c r="AI43">
        <f ca="1"/>
        <v>502.41761363636363</v>
      </c>
      <c r="AJ43">
        <f ca="1"/>
        <v>502.41761363636363</v>
      </c>
      <c r="AK43">
        <f ca="1"/>
        <v>502.41761363636363</v>
      </c>
      <c r="AL43">
        <f ca="1"/>
        <v>502.41761363636363</v>
      </c>
      <c r="AM43">
        <f ca="1"/>
        <v>502.41761363636363</v>
      </c>
      <c r="AN43">
        <f ca="1"/>
        <v>301.4505681818182</v>
      </c>
      <c r="AO43">
        <f ca="1"/>
        <v>502.41761363636363</v>
      </c>
      <c r="AP43">
        <f ca="1"/>
        <v>502.41761363636363</v>
      </c>
      <c r="AQ43">
        <f ca="1"/>
        <v>502.41761363636363</v>
      </c>
      <c r="AR43">
        <f ca="1"/>
        <v>502.41761363636363</v>
      </c>
      <c r="AS43">
        <f ca="1"/>
        <v>401.93409090909091</v>
      </c>
      <c r="AT43">
        <f ca="1"/>
        <v>301.04411797752806</v>
      </c>
      <c r="AU43">
        <f ca="1"/>
        <v>501.74019662921347</v>
      </c>
      <c r="AV43">
        <f ca="1"/>
        <v>501.74019662921347</v>
      </c>
      <c r="AW43">
        <f ca="1"/>
        <v>501.74019662921347</v>
      </c>
      <c r="AX43">
        <f ca="1"/>
        <v>501.74019662921347</v>
      </c>
      <c r="AY43">
        <f ca="1"/>
        <v>501.74019662921347</v>
      </c>
      <c r="AZ43">
        <f ca="1"/>
        <v>301.04411797752806</v>
      </c>
      <c r="BA43">
        <f ca="1"/>
        <v>501.74019662921347</v>
      </c>
      <c r="BB43">
        <f ca="1"/>
        <v>501.74019662921347</v>
      </c>
      <c r="BC43">
        <f ca="1"/>
        <v>501.74019662921347</v>
      </c>
      <c r="BD43">
        <f ca="1"/>
        <v>501.74019662921347</v>
      </c>
      <c r="BE43">
        <f ca="1"/>
        <v>401.39215730337077</v>
      </c>
      <c r="BF43">
        <f ca="1"/>
        <v>300.67617516666667</v>
      </c>
      <c r="BG43">
        <f ca="1"/>
        <v>501.12695861111109</v>
      </c>
      <c r="BH43">
        <f ca="1"/>
        <v>501.12695861111109</v>
      </c>
      <c r="BI43">
        <f ca="1"/>
        <v>501.12695861111109</v>
      </c>
      <c r="BJ43">
        <f ca="1"/>
        <v>501.12695861111109</v>
      </c>
      <c r="BK43">
        <f ca="1"/>
        <v>501.12695861111109</v>
      </c>
      <c r="BL43">
        <f ca="1"/>
        <v>300.67617516666667</v>
      </c>
      <c r="BM43">
        <f ca="1"/>
        <v>501.12695861111109</v>
      </c>
      <c r="BN43">
        <f ca="1"/>
        <v>501.12695861111109</v>
      </c>
      <c r="BO43">
        <f ca="1"/>
        <v>501.12695861111109</v>
      </c>
      <c r="BP43">
        <f ca="1"/>
        <v>501.12695861111109</v>
      </c>
      <c r="BQ43">
        <f ca="1"/>
        <v>400.90156688888891</v>
      </c>
    </row>
    <row r="44" spans="1:69">
      <c r="E44" t="str">
        <v>New York</v>
      </c>
      <c r="F44" t="str">
        <v>USD</v>
      </c>
      <c r="G44" t="s">
        <v>14</v>
      </c>
      <c r="J44">
        <f ca="1"/>
        <v>0</v>
      </c>
      <c r="K44">
        <f ca="1"/>
        <v>0</v>
      </c>
      <c r="L44">
        <f ca="1"/>
        <v>0</v>
      </c>
      <c r="M44">
        <f ca="1"/>
        <v>431.81818181818176</v>
      </c>
      <c r="N44">
        <f ca="1"/>
        <v>431.81818181818176</v>
      </c>
      <c r="O44">
        <f ca="1"/>
        <v>431.81818181818176</v>
      </c>
      <c r="P44">
        <f ca="1"/>
        <v>259.09090909090907</v>
      </c>
      <c r="Q44">
        <f ca="1"/>
        <v>431.81818181818176</v>
      </c>
      <c r="R44">
        <f ca="1"/>
        <v>431.81818181818176</v>
      </c>
      <c r="S44">
        <f ca="1"/>
        <v>431.81818181818176</v>
      </c>
      <c r="T44">
        <f ca="1"/>
        <v>431.81818181818176</v>
      </c>
      <c r="U44">
        <f ca="1"/>
        <v>345.45454545454544</v>
      </c>
      <c r="V44">
        <f ca="1"/>
        <v>264.45945945945942</v>
      </c>
      <c r="W44">
        <f ca="1"/>
        <v>440.76576576576571</v>
      </c>
      <c r="X44">
        <f ca="1"/>
        <v>440.76576576576571</v>
      </c>
      <c r="Y44">
        <f ca="1"/>
        <v>440.76576576576571</v>
      </c>
      <c r="Z44">
        <f ca="1"/>
        <v>440.76576576576571</v>
      </c>
      <c r="AA44">
        <f ca="1"/>
        <v>440.76576576576571</v>
      </c>
      <c r="AB44">
        <f ca="1"/>
        <v>264.45945945945942</v>
      </c>
      <c r="AC44">
        <f ca="1"/>
        <v>440.76576576576571</v>
      </c>
      <c r="AD44">
        <f ca="1"/>
        <v>440.76576576576571</v>
      </c>
      <c r="AE44">
        <f ca="1"/>
        <v>440.76576576576571</v>
      </c>
      <c r="AF44">
        <f ca="1"/>
        <v>440.76576576576571</v>
      </c>
      <c r="AG44">
        <f ca="1"/>
        <v>352.61261261261262</v>
      </c>
      <c r="AH44">
        <f ca="1"/>
        <v>267.34017857142857</v>
      </c>
      <c r="AI44">
        <f ca="1"/>
        <v>445.56696428571422</v>
      </c>
      <c r="AJ44">
        <f ca="1"/>
        <v>445.56696428571422</v>
      </c>
      <c r="AK44">
        <f ca="1"/>
        <v>445.56696428571422</v>
      </c>
      <c r="AL44">
        <f ca="1"/>
        <v>445.56696428571422</v>
      </c>
      <c r="AM44">
        <f ca="1"/>
        <v>445.56696428571422</v>
      </c>
      <c r="AN44">
        <f ca="1"/>
        <v>267.34017857142857</v>
      </c>
      <c r="AO44">
        <f ca="1"/>
        <v>445.56696428571422</v>
      </c>
      <c r="AP44">
        <f ca="1"/>
        <v>445.56696428571422</v>
      </c>
      <c r="AQ44">
        <f ca="1"/>
        <v>445.56696428571422</v>
      </c>
      <c r="AR44">
        <f ca="1"/>
        <v>445.56696428571422</v>
      </c>
      <c r="AS44">
        <f ca="1"/>
        <v>356.45357142857142</v>
      </c>
      <c r="AT44">
        <f ca="1"/>
        <v>272.92356637168143</v>
      </c>
      <c r="AU44">
        <f ca="1"/>
        <v>454.87261061946901</v>
      </c>
      <c r="AV44">
        <f ca="1"/>
        <v>454.87261061946901</v>
      </c>
      <c r="AW44">
        <f ca="1"/>
        <v>454.87261061946901</v>
      </c>
      <c r="AX44">
        <f ca="1"/>
        <v>454.87261061946901</v>
      </c>
      <c r="AY44">
        <f ca="1"/>
        <v>454.87261061946901</v>
      </c>
      <c r="AZ44">
        <f ca="1"/>
        <v>272.92356637168143</v>
      </c>
      <c r="BA44">
        <f ca="1"/>
        <v>454.87261061946901</v>
      </c>
      <c r="BB44">
        <f ca="1"/>
        <v>454.87261061946901</v>
      </c>
      <c r="BC44">
        <f ca="1"/>
        <v>454.87261061946901</v>
      </c>
      <c r="BD44">
        <f ca="1"/>
        <v>454.87261061946901</v>
      </c>
      <c r="BE44">
        <f ca="1"/>
        <v>363.89808849557522</v>
      </c>
      <c r="BF44">
        <f ca="1"/>
        <v>271.88214749999997</v>
      </c>
      <c r="BG44">
        <f ca="1"/>
        <v>453.13691249999994</v>
      </c>
      <c r="BH44">
        <f ca="1"/>
        <v>453.13691249999994</v>
      </c>
      <c r="BI44">
        <f ca="1"/>
        <v>453.13691249999994</v>
      </c>
      <c r="BJ44">
        <f ca="1"/>
        <v>453.13691249999994</v>
      </c>
      <c r="BK44">
        <f ca="1"/>
        <v>453.13691249999994</v>
      </c>
      <c r="BL44">
        <f ca="1"/>
        <v>271.88214749999997</v>
      </c>
      <c r="BM44">
        <f ca="1"/>
        <v>453.13691249999994</v>
      </c>
      <c r="BN44">
        <f ca="1"/>
        <v>453.13691249999994</v>
      </c>
      <c r="BO44">
        <f ca="1"/>
        <v>453.13691249999994</v>
      </c>
      <c r="BP44">
        <f ca="1"/>
        <v>453.13691249999994</v>
      </c>
      <c r="BQ44">
        <f ca="1"/>
        <v>362.50952999999993</v>
      </c>
    </row>
    <row r="45" spans="1:69">
      <c r="E45" t="str">
        <v>Montreal</v>
      </c>
      <c r="F45" t="str">
        <v>CAD</v>
      </c>
      <c r="G45" t="s">
        <v>14</v>
      </c>
      <c r="J45">
        <f ca="1"/>
        <v>0</v>
      </c>
      <c r="K45">
        <f ca="1"/>
        <v>0</v>
      </c>
      <c r="L45">
        <f ca="1"/>
        <v>0</v>
      </c>
      <c r="M45">
        <f ca="1"/>
        <v>0</v>
      </c>
      <c r="N45">
        <f ca="1"/>
        <v>0</v>
      </c>
      <c r="O45">
        <f ca="1"/>
        <v>0</v>
      </c>
      <c r="P45">
        <f ca="1"/>
        <v>0</v>
      </c>
      <c r="Q45">
        <f ca="1"/>
        <v>0</v>
      </c>
      <c r="R45">
        <f ca="1"/>
        <v>0</v>
      </c>
      <c r="S45">
        <f ca="1"/>
        <v>469.79865771812081</v>
      </c>
      <c r="T45">
        <f ca="1"/>
        <v>469.79865771812081</v>
      </c>
      <c r="U45">
        <f ca="1"/>
        <v>375.83892617449663</v>
      </c>
      <c r="V45">
        <f ca="1"/>
        <v>285.60000000000002</v>
      </c>
      <c r="W45">
        <f ca="1"/>
        <v>476</v>
      </c>
      <c r="X45">
        <f ca="1"/>
        <v>476</v>
      </c>
      <c r="Y45">
        <f ca="1"/>
        <v>476</v>
      </c>
      <c r="Z45">
        <f ca="1"/>
        <v>476</v>
      </c>
      <c r="AA45">
        <f ca="1"/>
        <v>476</v>
      </c>
      <c r="AB45">
        <f ca="1"/>
        <v>285.60000000000002</v>
      </c>
      <c r="AC45">
        <f ca="1"/>
        <v>476</v>
      </c>
      <c r="AD45">
        <f ca="1"/>
        <v>476</v>
      </c>
      <c r="AE45">
        <f ca="1"/>
        <v>476</v>
      </c>
      <c r="AF45">
        <f ca="1"/>
        <v>476</v>
      </c>
      <c r="AG45">
        <f ca="1"/>
        <v>380.8</v>
      </c>
      <c r="AH45">
        <f ca="1"/>
        <v>289.38278145695364</v>
      </c>
      <c r="AI45">
        <f ca="1"/>
        <v>482.3046357615894</v>
      </c>
      <c r="AJ45">
        <f ca="1"/>
        <v>482.3046357615894</v>
      </c>
      <c r="AK45">
        <f ca="1"/>
        <v>482.3046357615894</v>
      </c>
      <c r="AL45">
        <f ca="1"/>
        <v>482.3046357615894</v>
      </c>
      <c r="AM45">
        <f ca="1"/>
        <v>482.3046357615894</v>
      </c>
      <c r="AN45">
        <f ca="1"/>
        <v>289.38278145695364</v>
      </c>
      <c r="AO45">
        <f ca="1"/>
        <v>482.3046357615894</v>
      </c>
      <c r="AP45">
        <f ca="1"/>
        <v>482.3046357615894</v>
      </c>
      <c r="AQ45">
        <f ca="1"/>
        <v>482.3046357615894</v>
      </c>
      <c r="AR45">
        <f ca="1"/>
        <v>482.3046357615894</v>
      </c>
      <c r="AS45">
        <f ca="1"/>
        <v>385.84370860927152</v>
      </c>
      <c r="AT45">
        <f ca="1"/>
        <v>294.66592105263152</v>
      </c>
      <c r="AU45">
        <f ca="1"/>
        <v>491.10986842105251</v>
      </c>
      <c r="AV45">
        <f ca="1"/>
        <v>491.10986842105251</v>
      </c>
      <c r="AW45">
        <f ca="1"/>
        <v>491.10986842105251</v>
      </c>
      <c r="AX45">
        <f ca="1"/>
        <v>491.10986842105251</v>
      </c>
      <c r="AY45">
        <f ca="1"/>
        <v>491.10986842105251</v>
      </c>
      <c r="AZ45">
        <f ca="1"/>
        <v>294.66592105263152</v>
      </c>
      <c r="BA45">
        <f ca="1"/>
        <v>491.10986842105251</v>
      </c>
      <c r="BB45">
        <f ca="1"/>
        <v>491.10986842105251</v>
      </c>
      <c r="BC45">
        <f ca="1"/>
        <v>491.10986842105251</v>
      </c>
      <c r="BD45">
        <f ca="1"/>
        <v>491.10986842105251</v>
      </c>
      <c r="BE45">
        <f ca="1"/>
        <v>392.88789473684204</v>
      </c>
      <c r="BF45">
        <f ca="1"/>
        <v>298.59479999999996</v>
      </c>
      <c r="BG45">
        <f ca="1"/>
        <v>497.6579999999999</v>
      </c>
      <c r="BH45">
        <f ca="1"/>
        <v>497.6579999999999</v>
      </c>
      <c r="BI45">
        <f ca="1"/>
        <v>497.6579999999999</v>
      </c>
      <c r="BJ45">
        <f ca="1"/>
        <v>497.6579999999999</v>
      </c>
      <c r="BK45">
        <f ca="1"/>
        <v>497.6579999999999</v>
      </c>
      <c r="BL45">
        <f ca="1"/>
        <v>298.59479999999996</v>
      </c>
      <c r="BM45">
        <f ca="1"/>
        <v>497.6579999999999</v>
      </c>
      <c r="BN45">
        <f ca="1"/>
        <v>497.6579999999999</v>
      </c>
      <c r="BO45">
        <f ca="1"/>
        <v>497.6579999999999</v>
      </c>
      <c r="BP45">
        <f ca="1"/>
        <v>497.6579999999999</v>
      </c>
      <c r="BQ45">
        <f ca="1"/>
        <v>398.12639999999988</v>
      </c>
    </row>
    <row r="46" spans="1:69">
      <c r="E46" t="str">
        <v>Zurich</v>
      </c>
      <c r="F46" t="str">
        <v>CHF</v>
      </c>
      <c r="G46" t="s">
        <v>14</v>
      </c>
      <c r="J46">
        <f ca="1"/>
        <v>0</v>
      </c>
      <c r="K46">
        <f ca="1"/>
        <v>0</v>
      </c>
      <c r="L46">
        <f ca="1"/>
        <v>0</v>
      </c>
      <c r="M46">
        <f ca="1"/>
        <v>0</v>
      </c>
      <c r="N46">
        <f ca="1"/>
        <v>0</v>
      </c>
      <c r="O46">
        <f ca="1"/>
        <v>0</v>
      </c>
      <c r="P46">
        <f ca="1"/>
        <v>0</v>
      </c>
      <c r="Q46">
        <f ca="1"/>
        <v>0</v>
      </c>
      <c r="R46">
        <f ca="1"/>
        <v>0</v>
      </c>
      <c r="S46">
        <f ca="1"/>
        <v>0</v>
      </c>
      <c r="T46">
        <f ca="1"/>
        <v>0</v>
      </c>
      <c r="U46">
        <f ca="1"/>
        <v>0</v>
      </c>
      <c r="V46">
        <f ca="1"/>
        <v>0</v>
      </c>
      <c r="W46">
        <f ca="1"/>
        <v>0</v>
      </c>
      <c r="X46">
        <f ca="1"/>
        <v>0</v>
      </c>
      <c r="Y46">
        <f ca="1"/>
        <v>718.45794392523351</v>
      </c>
      <c r="Z46">
        <f ca="1"/>
        <v>718.45794392523351</v>
      </c>
      <c r="AA46">
        <f ca="1"/>
        <v>718.45794392523351</v>
      </c>
      <c r="AB46">
        <f ca="1"/>
        <v>431.07476635514013</v>
      </c>
      <c r="AC46">
        <f ca="1"/>
        <v>718.45794392523351</v>
      </c>
      <c r="AD46">
        <f ca="1"/>
        <v>718.45794392523351</v>
      </c>
      <c r="AE46">
        <f ca="1"/>
        <v>718.45794392523351</v>
      </c>
      <c r="AF46">
        <f ca="1"/>
        <v>718.45794392523351</v>
      </c>
      <c r="AG46">
        <f ca="1"/>
        <v>574.76635514018687</v>
      </c>
      <c r="AH46">
        <f ca="1"/>
        <v>429.21874999999983</v>
      </c>
      <c r="AI46">
        <f ca="1"/>
        <v>715.36458333333303</v>
      </c>
      <c r="AJ46">
        <f ca="1"/>
        <v>715.36458333333303</v>
      </c>
      <c r="AK46">
        <f ca="1"/>
        <v>715.36458333333303</v>
      </c>
      <c r="AL46">
        <f ca="1"/>
        <v>715.36458333333303</v>
      </c>
      <c r="AM46">
        <f ca="1"/>
        <v>715.36458333333303</v>
      </c>
      <c r="AN46">
        <f ca="1"/>
        <v>429.21874999999983</v>
      </c>
      <c r="AO46">
        <f ca="1"/>
        <v>715.36458333333303</v>
      </c>
      <c r="AP46">
        <f ca="1"/>
        <v>715.36458333333303</v>
      </c>
      <c r="AQ46">
        <f ca="1"/>
        <v>715.36458333333303</v>
      </c>
      <c r="AR46">
        <f ca="1"/>
        <v>715.36458333333303</v>
      </c>
      <c r="AS46">
        <f ca="1"/>
        <v>572.29166666666652</v>
      </c>
      <c r="AT46">
        <f ca="1"/>
        <v>438.03939220183474</v>
      </c>
      <c r="AU46">
        <f ca="1"/>
        <v>730.06565366972461</v>
      </c>
      <c r="AV46">
        <f ca="1"/>
        <v>730.06565366972461</v>
      </c>
      <c r="AW46">
        <f ca="1"/>
        <v>730.06565366972461</v>
      </c>
      <c r="AX46">
        <f ca="1"/>
        <v>730.06565366972461</v>
      </c>
      <c r="AY46">
        <f ca="1"/>
        <v>730.06565366972461</v>
      </c>
      <c r="AZ46">
        <f ca="1"/>
        <v>438.03939220183474</v>
      </c>
      <c r="BA46">
        <f ca="1"/>
        <v>730.06565366972461</v>
      </c>
      <c r="BB46">
        <f ca="1"/>
        <v>730.06565366972461</v>
      </c>
      <c r="BC46">
        <f ca="1"/>
        <v>730.06565366972461</v>
      </c>
      <c r="BD46">
        <f ca="1"/>
        <v>730.06565366972461</v>
      </c>
      <c r="BE46">
        <f ca="1"/>
        <v>584.05252293577973</v>
      </c>
      <c r="BF46">
        <f ca="1"/>
        <v>440.56807414772709</v>
      </c>
      <c r="BG46">
        <f ca="1"/>
        <v>734.28012357954515</v>
      </c>
      <c r="BH46">
        <f ca="1"/>
        <v>734.28012357954515</v>
      </c>
      <c r="BI46">
        <f ca="1"/>
        <v>734.28012357954515</v>
      </c>
      <c r="BJ46">
        <f ca="1"/>
        <v>734.28012357954515</v>
      </c>
      <c r="BK46">
        <f ca="1"/>
        <v>734.28012357954515</v>
      </c>
      <c r="BL46">
        <f ca="1"/>
        <v>440.56807414772709</v>
      </c>
      <c r="BM46">
        <f ca="1"/>
        <v>734.28012357954515</v>
      </c>
      <c r="BN46">
        <f ca="1"/>
        <v>734.28012357954515</v>
      </c>
      <c r="BO46">
        <f ca="1"/>
        <v>734.28012357954515</v>
      </c>
      <c r="BP46">
        <f ca="1"/>
        <v>734.28012357954515</v>
      </c>
      <c r="BQ46">
        <f ca="1"/>
        <v>587.424098863636</v>
      </c>
    </row>
    <row r="47" spans="1:69">
      <c r="E47" t="str">
        <v>Moscow</v>
      </c>
      <c r="F47" t="str">
        <v>RUB</v>
      </c>
      <c r="G47" t="s">
        <v>14</v>
      </c>
      <c r="J47">
        <f ca="1"/>
        <v>0</v>
      </c>
      <c r="K47">
        <f ca="1"/>
        <v>0</v>
      </c>
      <c r="L47">
        <f ca="1"/>
        <v>0</v>
      </c>
      <c r="M47">
        <f ca="1"/>
        <v>0</v>
      </c>
      <c r="N47">
        <f ca="1"/>
        <v>0</v>
      </c>
      <c r="O47">
        <f ca="1"/>
        <v>0</v>
      </c>
      <c r="P47">
        <f ca="1"/>
        <v>0</v>
      </c>
      <c r="Q47">
        <f ca="1"/>
        <v>0</v>
      </c>
      <c r="R47">
        <f ca="1"/>
        <v>0</v>
      </c>
      <c r="S47">
        <f ca="1"/>
        <v>0</v>
      </c>
      <c r="T47">
        <f ca="1"/>
        <v>0</v>
      </c>
      <c r="U47">
        <f ca="1"/>
        <v>0</v>
      </c>
      <c r="V47">
        <f ca="1"/>
        <v>0</v>
      </c>
      <c r="W47">
        <f ca="1"/>
        <v>0</v>
      </c>
      <c r="X47">
        <f ca="1"/>
        <v>0</v>
      </c>
      <c r="Y47">
        <f ca="1"/>
        <v>0</v>
      </c>
      <c r="Z47">
        <f ca="1"/>
        <v>0</v>
      </c>
      <c r="AA47">
        <f ca="1"/>
        <v>0</v>
      </c>
      <c r="AB47">
        <f ca="1"/>
        <v>0</v>
      </c>
      <c r="AC47">
        <f ca="1"/>
        <v>0</v>
      </c>
      <c r="AD47">
        <f ca="1"/>
        <v>0</v>
      </c>
      <c r="AE47">
        <f ca="1"/>
        <v>750.67567567567562</v>
      </c>
      <c r="AF47">
        <f ca="1"/>
        <v>750.67567567567562</v>
      </c>
      <c r="AG47">
        <f ca="1"/>
        <v>600.54054054054052</v>
      </c>
      <c r="AH47">
        <f ca="1"/>
        <v>448.84400000000005</v>
      </c>
      <c r="AI47">
        <f ca="1"/>
        <v>748.07333333333338</v>
      </c>
      <c r="AJ47">
        <f ca="1"/>
        <v>748.07333333333338</v>
      </c>
      <c r="AK47">
        <f ca="1"/>
        <v>748.07333333333338</v>
      </c>
      <c r="AL47">
        <f ca="1"/>
        <v>748.07333333333338</v>
      </c>
      <c r="AM47">
        <f ca="1"/>
        <v>748.07333333333338</v>
      </c>
      <c r="AN47">
        <f ca="1"/>
        <v>448.84400000000005</v>
      </c>
      <c r="AO47">
        <f ca="1"/>
        <v>748.07333333333338</v>
      </c>
      <c r="AP47">
        <f ca="1"/>
        <v>748.07333333333338</v>
      </c>
      <c r="AQ47">
        <f ca="1"/>
        <v>748.07333333333338</v>
      </c>
      <c r="AR47">
        <f ca="1"/>
        <v>748.07333333333338</v>
      </c>
      <c r="AS47">
        <f ca="1"/>
        <v>598.45866666666666</v>
      </c>
      <c r="AT47">
        <f ca="1"/>
        <v>449.5822302631579</v>
      </c>
      <c r="AU47">
        <f ca="1"/>
        <v>749.30371710526299</v>
      </c>
      <c r="AV47">
        <f ca="1"/>
        <v>749.30371710526299</v>
      </c>
      <c r="AW47">
        <f ca="1"/>
        <v>749.30371710526299</v>
      </c>
      <c r="AX47">
        <f ca="1"/>
        <v>749.30371710526299</v>
      </c>
      <c r="AY47">
        <f ca="1"/>
        <v>749.30371710526299</v>
      </c>
      <c r="AZ47">
        <f ca="1"/>
        <v>449.5822302631579</v>
      </c>
      <c r="BA47">
        <f ca="1"/>
        <v>749.30371710526299</v>
      </c>
      <c r="BB47">
        <f ca="1"/>
        <v>749.30371710526299</v>
      </c>
      <c r="BC47">
        <f ca="1"/>
        <v>749.30371710526299</v>
      </c>
      <c r="BD47">
        <f ca="1"/>
        <v>749.30371710526299</v>
      </c>
      <c r="BE47">
        <f ca="1"/>
        <v>599.44297368421053</v>
      </c>
      <c r="BF47">
        <f ca="1"/>
        <v>448.18093499999998</v>
      </c>
      <c r="BG47">
        <f ca="1"/>
        <v>746.96822499999996</v>
      </c>
      <c r="BH47">
        <f ca="1"/>
        <v>746.96822499999996</v>
      </c>
      <c r="BI47">
        <f ca="1"/>
        <v>746.96822499999996</v>
      </c>
      <c r="BJ47">
        <f ca="1"/>
        <v>746.96822499999996</v>
      </c>
      <c r="BK47">
        <f ca="1"/>
        <v>746.96822499999996</v>
      </c>
      <c r="BL47">
        <f ca="1"/>
        <v>448.18093499999998</v>
      </c>
      <c r="BM47">
        <f ca="1"/>
        <v>746.96822499999996</v>
      </c>
      <c r="BN47">
        <f ca="1"/>
        <v>746.96822499999996</v>
      </c>
      <c r="BO47">
        <f ca="1"/>
        <v>746.96822499999996</v>
      </c>
      <c r="BP47">
        <f ca="1"/>
        <v>746.96822499999996</v>
      </c>
      <c r="BQ47">
        <f ca="1"/>
        <v>597.57457999999997</v>
      </c>
    </row>
    <row r="49" spans="4:69">
      <c r="D49" s="101" t="s">
        <v>37</v>
      </c>
    </row>
    <row r="50" spans="4:69">
      <c r="E50" t="str" cm="1">
        <f t="array" ref="E50:E57">lstStores</f>
        <v>Paris</v>
      </c>
      <c r="F50" t="str" cm="1">
        <f t="array" ref="F50:F57">INDEX( CaseData!$C$9:$E$17, MATCH(_xlfn.ANCHORARRAY( Price!E50), CaseData!$C$9:$C$17, 0 ), 3 )</f>
        <v>EUR</v>
      </c>
      <c r="G50" t="s">
        <v>14</v>
      </c>
      <c r="J50" cm="1">
        <f t="array" aca="1" ref="J50:BQ57" ca="1">_xlfn.LET(
      _xlpm.operating_flag,_xlfn.ANCHORARRAY( Time!J$18),
      _xlpm.fx_table, CaseData!$B$74:$G$80,
      _xlpm.fx_row, CaseData!$B$74:$B$80,
      _xlpm.fx_column, CaseData!$B$74:$G$74,
      _xlpm.store_currency,_xlfn.ANCHORARRAY( Price!$F50),
      _xlpm.current_year, YEAR(_xlfn.ANCHORARRAY( Time!J$9) ),
      _xlpm.fx_rate, INDEX( _xlpm.fx_table, _xlfn.XMATCH( _xlpm.store_currency, _xlpm.fx_row, 0, 1 ), _xlfn.XMATCH( _xlpm.current_year, _xlpm.fx_column, 0, 1 ) ),
      _xlpm.anchor,_xlfn.ANCHORARRAY( Price!$J18),
      _xlpm.block, OFFSET( _xlpm.anchor, 0, 0, COUNTA( _xlpm.store_currency ), periods ),
      _xlpm.block / _xlpm.fx_rate )</f>
        <v>240</v>
      </c>
      <c r="K50">
        <f ca="1"/>
        <v>400</v>
      </c>
      <c r="L50">
        <f ca="1"/>
        <v>400</v>
      </c>
      <c r="M50">
        <f ca="1"/>
        <v>400</v>
      </c>
      <c r="N50">
        <f ca="1"/>
        <v>400</v>
      </c>
      <c r="O50">
        <f ca="1"/>
        <v>400</v>
      </c>
      <c r="P50">
        <f ca="1"/>
        <v>240</v>
      </c>
      <c r="Q50">
        <f ca="1"/>
        <v>400</v>
      </c>
      <c r="R50">
        <f ca="1"/>
        <v>400</v>
      </c>
      <c r="S50">
        <f ca="1"/>
        <v>400</v>
      </c>
      <c r="T50">
        <f ca="1"/>
        <v>400</v>
      </c>
      <c r="U50">
        <f ca="1"/>
        <v>320</v>
      </c>
      <c r="V50">
        <f ca="1"/>
        <v>241.2</v>
      </c>
      <c r="W50">
        <f ca="1"/>
        <v>401.99999999999994</v>
      </c>
      <c r="X50">
        <f ca="1"/>
        <v>401.99999999999994</v>
      </c>
      <c r="Y50">
        <f ca="1"/>
        <v>401.99999999999994</v>
      </c>
      <c r="Z50">
        <f ca="1"/>
        <v>401.99999999999994</v>
      </c>
      <c r="AA50">
        <f ca="1"/>
        <v>401.99999999999994</v>
      </c>
      <c r="AB50">
        <f ca="1"/>
        <v>241.2</v>
      </c>
      <c r="AC50">
        <f ca="1"/>
        <v>401.99999999999994</v>
      </c>
      <c r="AD50">
        <f ca="1"/>
        <v>401.99999999999994</v>
      </c>
      <c r="AE50">
        <f ca="1"/>
        <v>401.99999999999994</v>
      </c>
      <c r="AF50">
        <f ca="1"/>
        <v>401.99999999999994</v>
      </c>
      <c r="AG50">
        <f ca="1"/>
        <v>321.59999999999997</v>
      </c>
      <c r="AH50">
        <f ca="1"/>
        <v>242.40599999999995</v>
      </c>
      <c r="AI50">
        <f ca="1"/>
        <v>404.00999999999988</v>
      </c>
      <c r="AJ50">
        <f ca="1"/>
        <v>404.00999999999988</v>
      </c>
      <c r="AK50">
        <f ca="1"/>
        <v>404.00999999999988</v>
      </c>
      <c r="AL50">
        <f ca="1"/>
        <v>404.00999999999988</v>
      </c>
      <c r="AM50">
        <f ca="1"/>
        <v>404.00999999999988</v>
      </c>
      <c r="AN50">
        <f ca="1"/>
        <v>242.40599999999995</v>
      </c>
      <c r="AO50">
        <f ca="1"/>
        <v>404.00999999999988</v>
      </c>
      <c r="AP50">
        <f ca="1"/>
        <v>404.00999999999988</v>
      </c>
      <c r="AQ50">
        <f ca="1"/>
        <v>404.00999999999988</v>
      </c>
      <c r="AR50">
        <f ca="1"/>
        <v>404.00999999999988</v>
      </c>
      <c r="AS50">
        <f ca="1"/>
        <v>323.20799999999991</v>
      </c>
      <c r="AT50">
        <f ca="1"/>
        <v>244.83005999999995</v>
      </c>
      <c r="AU50">
        <f ca="1"/>
        <v>408.05009999999993</v>
      </c>
      <c r="AV50">
        <f ca="1"/>
        <v>408.05009999999993</v>
      </c>
      <c r="AW50">
        <f ca="1"/>
        <v>408.05009999999993</v>
      </c>
      <c r="AX50">
        <f ca="1"/>
        <v>408.05009999999993</v>
      </c>
      <c r="AY50">
        <f ca="1"/>
        <v>408.05009999999993</v>
      </c>
      <c r="AZ50">
        <f ca="1"/>
        <v>244.83005999999995</v>
      </c>
      <c r="BA50">
        <f ca="1"/>
        <v>408.05009999999993</v>
      </c>
      <c r="BB50">
        <f ca="1"/>
        <v>408.05009999999993</v>
      </c>
      <c r="BC50">
        <f ca="1"/>
        <v>408.05009999999993</v>
      </c>
      <c r="BD50">
        <f ca="1"/>
        <v>408.05009999999993</v>
      </c>
      <c r="BE50">
        <f ca="1"/>
        <v>326.44007999999991</v>
      </c>
      <c r="BF50">
        <f ca="1"/>
        <v>250.9508114999999</v>
      </c>
      <c r="BG50">
        <f ca="1"/>
        <v>418.25135249999983</v>
      </c>
      <c r="BH50">
        <f ca="1"/>
        <v>418.25135249999983</v>
      </c>
      <c r="BI50">
        <f ca="1"/>
        <v>418.25135249999983</v>
      </c>
      <c r="BJ50">
        <f ca="1"/>
        <v>418.25135249999983</v>
      </c>
      <c r="BK50">
        <f ca="1"/>
        <v>418.25135249999983</v>
      </c>
      <c r="BL50">
        <f ca="1"/>
        <v>250.9508114999999</v>
      </c>
      <c r="BM50">
        <f ca="1"/>
        <v>418.25135249999983</v>
      </c>
      <c r="BN50">
        <f ca="1"/>
        <v>418.25135249999983</v>
      </c>
      <c r="BO50">
        <f ca="1"/>
        <v>418.25135249999983</v>
      </c>
      <c r="BP50">
        <f ca="1"/>
        <v>418.25135249999983</v>
      </c>
      <c r="BQ50">
        <f ca="1"/>
        <v>334.60108199999985</v>
      </c>
    </row>
    <row r="51" spans="4:69">
      <c r="E51" t="str">
        <v>Milano</v>
      </c>
      <c r="F51" t="str">
        <v>EUR</v>
      </c>
      <c r="G51" t="s">
        <v>14</v>
      </c>
      <c r="J51">
        <f ca="1"/>
        <v>240</v>
      </c>
      <c r="K51">
        <f ca="1"/>
        <v>400</v>
      </c>
      <c r="L51">
        <f ca="1"/>
        <v>400</v>
      </c>
      <c r="M51">
        <f ca="1"/>
        <v>400</v>
      </c>
      <c r="N51">
        <f ca="1"/>
        <v>400</v>
      </c>
      <c r="O51">
        <f ca="1"/>
        <v>400</v>
      </c>
      <c r="P51">
        <f ca="1"/>
        <v>240</v>
      </c>
      <c r="Q51">
        <f ca="1"/>
        <v>400</v>
      </c>
      <c r="R51">
        <f ca="1"/>
        <v>400</v>
      </c>
      <c r="S51">
        <f ca="1"/>
        <v>400</v>
      </c>
      <c r="T51">
        <f ca="1"/>
        <v>400</v>
      </c>
      <c r="U51">
        <f ca="1"/>
        <v>320</v>
      </c>
      <c r="V51">
        <f ca="1"/>
        <v>241.2</v>
      </c>
      <c r="W51">
        <f ca="1"/>
        <v>401.99999999999994</v>
      </c>
      <c r="X51">
        <f ca="1"/>
        <v>401.99999999999994</v>
      </c>
      <c r="Y51">
        <f ca="1"/>
        <v>401.99999999999994</v>
      </c>
      <c r="Z51">
        <f ca="1"/>
        <v>401.99999999999994</v>
      </c>
      <c r="AA51">
        <f ca="1"/>
        <v>401.99999999999994</v>
      </c>
      <c r="AB51">
        <f ca="1"/>
        <v>241.2</v>
      </c>
      <c r="AC51">
        <f ca="1"/>
        <v>401.99999999999994</v>
      </c>
      <c r="AD51">
        <f ca="1"/>
        <v>401.99999999999994</v>
      </c>
      <c r="AE51">
        <f ca="1"/>
        <v>401.99999999999994</v>
      </c>
      <c r="AF51">
        <f ca="1"/>
        <v>401.99999999999994</v>
      </c>
      <c r="AG51">
        <f ca="1"/>
        <v>321.59999999999997</v>
      </c>
      <c r="AH51">
        <f ca="1"/>
        <v>242.40599999999995</v>
      </c>
      <c r="AI51">
        <f ca="1"/>
        <v>404.00999999999988</v>
      </c>
      <c r="AJ51">
        <f ca="1"/>
        <v>404.00999999999988</v>
      </c>
      <c r="AK51">
        <f ca="1"/>
        <v>404.00999999999988</v>
      </c>
      <c r="AL51">
        <f ca="1"/>
        <v>404.00999999999988</v>
      </c>
      <c r="AM51">
        <f ca="1"/>
        <v>404.00999999999988</v>
      </c>
      <c r="AN51">
        <f ca="1"/>
        <v>242.40599999999995</v>
      </c>
      <c r="AO51">
        <f ca="1"/>
        <v>404.00999999999988</v>
      </c>
      <c r="AP51">
        <f ca="1"/>
        <v>404.00999999999988</v>
      </c>
      <c r="AQ51">
        <f ca="1"/>
        <v>404.00999999999988</v>
      </c>
      <c r="AR51">
        <f ca="1"/>
        <v>404.00999999999988</v>
      </c>
      <c r="AS51">
        <f ca="1"/>
        <v>323.20799999999991</v>
      </c>
      <c r="AT51">
        <f ca="1"/>
        <v>244.83005999999995</v>
      </c>
      <c r="AU51">
        <f ca="1"/>
        <v>408.05009999999993</v>
      </c>
      <c r="AV51">
        <f ca="1"/>
        <v>408.05009999999993</v>
      </c>
      <c r="AW51">
        <f ca="1"/>
        <v>408.05009999999993</v>
      </c>
      <c r="AX51">
        <f ca="1"/>
        <v>408.05009999999993</v>
      </c>
      <c r="AY51">
        <f ca="1"/>
        <v>408.05009999999993</v>
      </c>
      <c r="AZ51">
        <f ca="1"/>
        <v>244.83005999999995</v>
      </c>
      <c r="BA51">
        <f ca="1"/>
        <v>408.05009999999993</v>
      </c>
      <c r="BB51">
        <f ca="1"/>
        <v>408.05009999999993</v>
      </c>
      <c r="BC51">
        <f ca="1"/>
        <v>408.05009999999993</v>
      </c>
      <c r="BD51">
        <f ca="1"/>
        <v>408.05009999999993</v>
      </c>
      <c r="BE51">
        <f ca="1"/>
        <v>326.44007999999991</v>
      </c>
      <c r="BF51">
        <f ca="1"/>
        <v>250.9508114999999</v>
      </c>
      <c r="BG51">
        <f ca="1"/>
        <v>418.25135249999983</v>
      </c>
      <c r="BH51">
        <f ca="1"/>
        <v>418.25135249999983</v>
      </c>
      <c r="BI51">
        <f ca="1"/>
        <v>418.25135249999983</v>
      </c>
      <c r="BJ51">
        <f ca="1"/>
        <v>418.25135249999983</v>
      </c>
      <c r="BK51">
        <f ca="1"/>
        <v>418.25135249999983</v>
      </c>
      <c r="BL51">
        <f ca="1"/>
        <v>250.9508114999999</v>
      </c>
      <c r="BM51">
        <f ca="1"/>
        <v>418.25135249999983</v>
      </c>
      <c r="BN51">
        <f ca="1"/>
        <v>418.25135249999983</v>
      </c>
      <c r="BO51">
        <f ca="1"/>
        <v>418.25135249999983</v>
      </c>
      <c r="BP51">
        <f ca="1"/>
        <v>418.25135249999983</v>
      </c>
      <c r="BQ51">
        <f ca="1"/>
        <v>334.60108199999985</v>
      </c>
    </row>
    <row r="52" spans="4:69">
      <c r="E52" t="str">
        <v>Madrid</v>
      </c>
      <c r="F52" t="str">
        <v>EUR</v>
      </c>
      <c r="G52" t="s">
        <v>14</v>
      </c>
      <c r="J52">
        <f ca="1"/>
        <v>240</v>
      </c>
      <c r="K52">
        <f ca="1"/>
        <v>400</v>
      </c>
      <c r="L52">
        <f ca="1"/>
        <v>400</v>
      </c>
      <c r="M52">
        <f ca="1"/>
        <v>400</v>
      </c>
      <c r="N52">
        <f ca="1"/>
        <v>400</v>
      </c>
      <c r="O52">
        <f ca="1"/>
        <v>400</v>
      </c>
      <c r="P52">
        <f ca="1"/>
        <v>240</v>
      </c>
      <c r="Q52">
        <f ca="1"/>
        <v>400</v>
      </c>
      <c r="R52">
        <f ca="1"/>
        <v>400</v>
      </c>
      <c r="S52">
        <f ca="1"/>
        <v>400</v>
      </c>
      <c r="T52">
        <f ca="1"/>
        <v>400</v>
      </c>
      <c r="U52">
        <f ca="1"/>
        <v>320</v>
      </c>
      <c r="V52">
        <f ca="1"/>
        <v>241.2</v>
      </c>
      <c r="W52">
        <f ca="1"/>
        <v>401.99999999999994</v>
      </c>
      <c r="X52">
        <f ca="1"/>
        <v>401.99999999999994</v>
      </c>
      <c r="Y52">
        <f ca="1"/>
        <v>401.99999999999994</v>
      </c>
      <c r="Z52">
        <f ca="1"/>
        <v>401.99999999999994</v>
      </c>
      <c r="AA52">
        <f ca="1"/>
        <v>401.99999999999994</v>
      </c>
      <c r="AB52">
        <f ca="1"/>
        <v>241.2</v>
      </c>
      <c r="AC52">
        <f ca="1"/>
        <v>401.99999999999994</v>
      </c>
      <c r="AD52">
        <f ca="1"/>
        <v>401.99999999999994</v>
      </c>
      <c r="AE52">
        <f ca="1"/>
        <v>401.99999999999994</v>
      </c>
      <c r="AF52">
        <f ca="1"/>
        <v>401.99999999999994</v>
      </c>
      <c r="AG52">
        <f ca="1"/>
        <v>321.59999999999997</v>
      </c>
      <c r="AH52">
        <f ca="1"/>
        <v>242.40599999999995</v>
      </c>
      <c r="AI52">
        <f ca="1"/>
        <v>404.00999999999988</v>
      </c>
      <c r="AJ52">
        <f ca="1"/>
        <v>404.00999999999988</v>
      </c>
      <c r="AK52">
        <f ca="1"/>
        <v>404.00999999999988</v>
      </c>
      <c r="AL52">
        <f ca="1"/>
        <v>404.00999999999988</v>
      </c>
      <c r="AM52">
        <f ca="1"/>
        <v>404.00999999999988</v>
      </c>
      <c r="AN52">
        <f ca="1"/>
        <v>242.40599999999995</v>
      </c>
      <c r="AO52">
        <f ca="1"/>
        <v>404.00999999999988</v>
      </c>
      <c r="AP52">
        <f ca="1"/>
        <v>404.00999999999988</v>
      </c>
      <c r="AQ52">
        <f ca="1"/>
        <v>404.00999999999988</v>
      </c>
      <c r="AR52">
        <f ca="1"/>
        <v>404.00999999999988</v>
      </c>
      <c r="AS52">
        <f ca="1"/>
        <v>323.20799999999991</v>
      </c>
      <c r="AT52">
        <f ca="1"/>
        <v>244.83005999999995</v>
      </c>
      <c r="AU52">
        <f ca="1"/>
        <v>408.05009999999993</v>
      </c>
      <c r="AV52">
        <f ca="1"/>
        <v>408.05009999999993</v>
      </c>
      <c r="AW52">
        <f ca="1"/>
        <v>408.05009999999993</v>
      </c>
      <c r="AX52">
        <f ca="1"/>
        <v>408.05009999999993</v>
      </c>
      <c r="AY52">
        <f ca="1"/>
        <v>408.05009999999993</v>
      </c>
      <c r="AZ52">
        <f ca="1"/>
        <v>244.83005999999995</v>
      </c>
      <c r="BA52">
        <f ca="1"/>
        <v>408.05009999999993</v>
      </c>
      <c r="BB52">
        <f ca="1"/>
        <v>408.05009999999993</v>
      </c>
      <c r="BC52">
        <f ca="1"/>
        <v>408.05009999999993</v>
      </c>
      <c r="BD52">
        <f ca="1"/>
        <v>408.05009999999993</v>
      </c>
      <c r="BE52">
        <f ca="1"/>
        <v>326.44007999999991</v>
      </c>
      <c r="BF52">
        <f ca="1"/>
        <v>250.9508114999999</v>
      </c>
      <c r="BG52">
        <f ca="1"/>
        <v>418.25135249999983</v>
      </c>
      <c r="BH52">
        <f ca="1"/>
        <v>418.25135249999983</v>
      </c>
      <c r="BI52">
        <f ca="1"/>
        <v>418.25135249999983</v>
      </c>
      <c r="BJ52">
        <f ca="1"/>
        <v>418.25135249999983</v>
      </c>
      <c r="BK52">
        <f ca="1"/>
        <v>418.25135249999983</v>
      </c>
      <c r="BL52">
        <f ca="1"/>
        <v>250.9508114999999</v>
      </c>
      <c r="BM52">
        <f ca="1"/>
        <v>418.25135249999983</v>
      </c>
      <c r="BN52">
        <f ca="1"/>
        <v>418.25135249999983</v>
      </c>
      <c r="BO52">
        <f ca="1"/>
        <v>418.25135249999983</v>
      </c>
      <c r="BP52">
        <f ca="1"/>
        <v>418.25135249999983</v>
      </c>
      <c r="BQ52">
        <f ca="1"/>
        <v>334.60108199999985</v>
      </c>
    </row>
    <row r="53" spans="4:69">
      <c r="E53" t="str">
        <v>London</v>
      </c>
      <c r="F53" t="str">
        <v>GBP</v>
      </c>
      <c r="G53" t="s">
        <v>14</v>
      </c>
      <c r="J53">
        <f ca="1"/>
        <v>244.18604651162792</v>
      </c>
      <c r="K53">
        <f ca="1"/>
        <v>406.97674418604652</v>
      </c>
      <c r="L53">
        <f ca="1"/>
        <v>406.97674418604652</v>
      </c>
      <c r="M53">
        <f ca="1"/>
        <v>406.97674418604652</v>
      </c>
      <c r="N53">
        <f ca="1"/>
        <v>406.97674418604652</v>
      </c>
      <c r="O53">
        <f ca="1"/>
        <v>406.97674418604652</v>
      </c>
      <c r="P53">
        <f ca="1"/>
        <v>244.18604651162792</v>
      </c>
      <c r="Q53">
        <f ca="1"/>
        <v>406.97674418604652</v>
      </c>
      <c r="R53">
        <f ca="1"/>
        <v>406.97674418604652</v>
      </c>
      <c r="S53">
        <f ca="1"/>
        <v>406.97674418604652</v>
      </c>
      <c r="T53">
        <f ca="1"/>
        <v>406.97674418604652</v>
      </c>
      <c r="U53">
        <f ca="1"/>
        <v>325.58139534883719</v>
      </c>
      <c r="V53">
        <f ca="1"/>
        <v>248.62068965517244</v>
      </c>
      <c r="W53">
        <f ca="1"/>
        <v>414.36781609195401</v>
      </c>
      <c r="X53">
        <f ca="1"/>
        <v>414.36781609195401</v>
      </c>
      <c r="Y53">
        <f ca="1"/>
        <v>414.36781609195401</v>
      </c>
      <c r="Z53">
        <f ca="1"/>
        <v>414.36781609195401</v>
      </c>
      <c r="AA53">
        <f ca="1"/>
        <v>414.36781609195401</v>
      </c>
      <c r="AB53">
        <f ca="1"/>
        <v>248.62068965517244</v>
      </c>
      <c r="AC53">
        <f ca="1"/>
        <v>414.36781609195401</v>
      </c>
      <c r="AD53">
        <f ca="1"/>
        <v>414.36781609195401</v>
      </c>
      <c r="AE53">
        <f ca="1"/>
        <v>414.36781609195401</v>
      </c>
      <c r="AF53">
        <f ca="1"/>
        <v>414.36781609195401</v>
      </c>
      <c r="AG53">
        <f ca="1"/>
        <v>331.49425287356325</v>
      </c>
      <c r="AH53">
        <f ca="1"/>
        <v>248.25340909090909</v>
      </c>
      <c r="AI53">
        <f ca="1"/>
        <v>413.75568181818181</v>
      </c>
      <c r="AJ53">
        <f ca="1"/>
        <v>413.75568181818181</v>
      </c>
      <c r="AK53">
        <f ca="1"/>
        <v>413.75568181818181</v>
      </c>
      <c r="AL53">
        <f ca="1"/>
        <v>413.75568181818181</v>
      </c>
      <c r="AM53">
        <f ca="1"/>
        <v>413.75568181818181</v>
      </c>
      <c r="AN53">
        <f ca="1"/>
        <v>248.25340909090909</v>
      </c>
      <c r="AO53">
        <f ca="1"/>
        <v>413.75568181818181</v>
      </c>
      <c r="AP53">
        <f ca="1"/>
        <v>413.75568181818181</v>
      </c>
      <c r="AQ53">
        <f ca="1"/>
        <v>413.75568181818181</v>
      </c>
      <c r="AR53">
        <f ca="1"/>
        <v>413.75568181818181</v>
      </c>
      <c r="AS53">
        <f ca="1"/>
        <v>331.00454545454545</v>
      </c>
      <c r="AT53">
        <f ca="1"/>
        <v>247.91868539325841</v>
      </c>
      <c r="AU53">
        <f ca="1"/>
        <v>413.197808988764</v>
      </c>
      <c r="AV53">
        <f ca="1"/>
        <v>413.197808988764</v>
      </c>
      <c r="AW53">
        <f ca="1"/>
        <v>413.197808988764</v>
      </c>
      <c r="AX53">
        <f ca="1"/>
        <v>413.197808988764</v>
      </c>
      <c r="AY53">
        <f ca="1"/>
        <v>413.197808988764</v>
      </c>
      <c r="AZ53">
        <f ca="1"/>
        <v>247.91868539325841</v>
      </c>
      <c r="BA53">
        <f ca="1"/>
        <v>413.197808988764</v>
      </c>
      <c r="BB53">
        <f ca="1"/>
        <v>413.197808988764</v>
      </c>
      <c r="BC53">
        <f ca="1"/>
        <v>413.197808988764</v>
      </c>
      <c r="BD53">
        <f ca="1"/>
        <v>413.197808988764</v>
      </c>
      <c r="BE53">
        <f ca="1"/>
        <v>330.55824719101122</v>
      </c>
      <c r="BF53">
        <f ca="1"/>
        <v>247.61567366666668</v>
      </c>
      <c r="BG53">
        <f ca="1"/>
        <v>412.69278944444443</v>
      </c>
      <c r="BH53">
        <f ca="1"/>
        <v>412.69278944444443</v>
      </c>
      <c r="BI53">
        <f ca="1"/>
        <v>412.69278944444443</v>
      </c>
      <c r="BJ53">
        <f ca="1"/>
        <v>412.69278944444443</v>
      </c>
      <c r="BK53">
        <f ca="1"/>
        <v>412.69278944444443</v>
      </c>
      <c r="BL53">
        <f ca="1"/>
        <v>247.61567366666668</v>
      </c>
      <c r="BM53">
        <f ca="1"/>
        <v>412.69278944444443</v>
      </c>
      <c r="BN53">
        <f ca="1"/>
        <v>412.69278944444443</v>
      </c>
      <c r="BO53">
        <f ca="1"/>
        <v>412.69278944444443</v>
      </c>
      <c r="BP53">
        <f ca="1"/>
        <v>412.69278944444443</v>
      </c>
      <c r="BQ53">
        <f ca="1"/>
        <v>330.15423155555555</v>
      </c>
    </row>
    <row r="54" spans="4:69">
      <c r="E54" t="str">
        <v>New York</v>
      </c>
      <c r="F54" t="str">
        <v>USD</v>
      </c>
      <c r="G54" t="s">
        <v>14</v>
      </c>
      <c r="J54">
        <f ca="1"/>
        <v>0</v>
      </c>
      <c r="K54">
        <f ca="1"/>
        <v>0</v>
      </c>
      <c r="L54">
        <f ca="1"/>
        <v>0</v>
      </c>
      <c r="M54">
        <f ca="1"/>
        <v>340.90909090909088</v>
      </c>
      <c r="N54">
        <f ca="1"/>
        <v>340.90909090909088</v>
      </c>
      <c r="O54">
        <f ca="1"/>
        <v>340.90909090909088</v>
      </c>
      <c r="P54">
        <f ca="1"/>
        <v>204.54545454545453</v>
      </c>
      <c r="Q54">
        <f ca="1"/>
        <v>340.90909090909088</v>
      </c>
      <c r="R54">
        <f ca="1"/>
        <v>340.90909090909088</v>
      </c>
      <c r="S54">
        <f ca="1"/>
        <v>340.90909090909088</v>
      </c>
      <c r="T54">
        <f ca="1"/>
        <v>340.90909090909088</v>
      </c>
      <c r="U54">
        <f ca="1"/>
        <v>272.72727272727269</v>
      </c>
      <c r="V54">
        <f ca="1"/>
        <v>208.78378378378378</v>
      </c>
      <c r="W54">
        <f ca="1"/>
        <v>347.97297297297297</v>
      </c>
      <c r="X54">
        <f ca="1"/>
        <v>347.97297297297297</v>
      </c>
      <c r="Y54">
        <f ca="1"/>
        <v>347.97297297297297</v>
      </c>
      <c r="Z54">
        <f ca="1"/>
        <v>347.97297297297297</v>
      </c>
      <c r="AA54">
        <f ca="1"/>
        <v>347.97297297297297</v>
      </c>
      <c r="AB54">
        <f ca="1"/>
        <v>208.78378378378378</v>
      </c>
      <c r="AC54">
        <f ca="1"/>
        <v>347.97297297297297</v>
      </c>
      <c r="AD54">
        <f ca="1"/>
        <v>347.97297297297297</v>
      </c>
      <c r="AE54">
        <f ca="1"/>
        <v>347.97297297297297</v>
      </c>
      <c r="AF54">
        <f ca="1"/>
        <v>347.97297297297297</v>
      </c>
      <c r="AG54">
        <f ca="1"/>
        <v>278.37837837837833</v>
      </c>
      <c r="AH54">
        <f ca="1"/>
        <v>211.05803571428569</v>
      </c>
      <c r="AI54">
        <f ca="1"/>
        <v>351.76339285714278</v>
      </c>
      <c r="AJ54">
        <f ca="1"/>
        <v>351.76339285714278</v>
      </c>
      <c r="AK54">
        <f ca="1"/>
        <v>351.76339285714278</v>
      </c>
      <c r="AL54">
        <f ca="1"/>
        <v>351.76339285714278</v>
      </c>
      <c r="AM54">
        <f ca="1"/>
        <v>351.76339285714278</v>
      </c>
      <c r="AN54">
        <f ca="1"/>
        <v>211.05803571428569</v>
      </c>
      <c r="AO54">
        <f ca="1"/>
        <v>351.76339285714278</v>
      </c>
      <c r="AP54">
        <f ca="1"/>
        <v>351.76339285714278</v>
      </c>
      <c r="AQ54">
        <f ca="1"/>
        <v>351.76339285714278</v>
      </c>
      <c r="AR54">
        <f ca="1"/>
        <v>351.76339285714278</v>
      </c>
      <c r="AS54">
        <f ca="1"/>
        <v>281.41071428571428</v>
      </c>
      <c r="AT54">
        <f ca="1"/>
        <v>215.46597345132744</v>
      </c>
      <c r="AU54">
        <f ca="1"/>
        <v>359.10995575221239</v>
      </c>
      <c r="AV54">
        <f ca="1"/>
        <v>359.10995575221239</v>
      </c>
      <c r="AW54">
        <f ca="1"/>
        <v>359.10995575221239</v>
      </c>
      <c r="AX54">
        <f ca="1"/>
        <v>359.10995575221239</v>
      </c>
      <c r="AY54">
        <f ca="1"/>
        <v>359.10995575221239</v>
      </c>
      <c r="AZ54">
        <f ca="1"/>
        <v>215.46597345132744</v>
      </c>
      <c r="BA54">
        <f ca="1"/>
        <v>359.10995575221239</v>
      </c>
      <c r="BB54">
        <f ca="1"/>
        <v>359.10995575221239</v>
      </c>
      <c r="BC54">
        <f ca="1"/>
        <v>359.10995575221239</v>
      </c>
      <c r="BD54">
        <f ca="1"/>
        <v>359.10995575221239</v>
      </c>
      <c r="BE54">
        <f ca="1"/>
        <v>287.28796460176989</v>
      </c>
      <c r="BF54">
        <f ca="1"/>
        <v>214.64380065789473</v>
      </c>
      <c r="BG54">
        <f ca="1"/>
        <v>357.73966776315785</v>
      </c>
      <c r="BH54">
        <f ca="1"/>
        <v>357.73966776315785</v>
      </c>
      <c r="BI54">
        <f ca="1"/>
        <v>357.73966776315785</v>
      </c>
      <c r="BJ54">
        <f ca="1"/>
        <v>357.73966776315785</v>
      </c>
      <c r="BK54">
        <f ca="1"/>
        <v>357.73966776315785</v>
      </c>
      <c r="BL54">
        <f ca="1"/>
        <v>214.64380065789473</v>
      </c>
      <c r="BM54">
        <f ca="1"/>
        <v>357.73966776315785</v>
      </c>
      <c r="BN54">
        <f ca="1"/>
        <v>357.73966776315785</v>
      </c>
      <c r="BO54">
        <f ca="1"/>
        <v>357.73966776315785</v>
      </c>
      <c r="BP54">
        <f ca="1"/>
        <v>357.73966776315785</v>
      </c>
      <c r="BQ54">
        <f ca="1"/>
        <v>286.19173421052631</v>
      </c>
    </row>
    <row r="55" spans="4:69">
      <c r="E55" t="str">
        <v>Montreal</v>
      </c>
      <c r="F55" t="str">
        <v>CAD</v>
      </c>
      <c r="G55" t="s">
        <v>14</v>
      </c>
      <c r="J55">
        <f ca="1"/>
        <v>0</v>
      </c>
      <c r="K55">
        <f ca="1"/>
        <v>0</v>
      </c>
      <c r="L55">
        <f ca="1"/>
        <v>0</v>
      </c>
      <c r="M55">
        <f ca="1"/>
        <v>0</v>
      </c>
      <c r="N55">
        <f ca="1"/>
        <v>0</v>
      </c>
      <c r="O55">
        <f ca="1"/>
        <v>0</v>
      </c>
      <c r="P55">
        <f ca="1"/>
        <v>0</v>
      </c>
      <c r="Q55">
        <f ca="1"/>
        <v>0</v>
      </c>
      <c r="R55">
        <f ca="1"/>
        <v>0</v>
      </c>
      <c r="S55">
        <f ca="1"/>
        <v>369.1275167785235</v>
      </c>
      <c r="T55">
        <f ca="1"/>
        <v>369.1275167785235</v>
      </c>
      <c r="U55">
        <f ca="1"/>
        <v>295.30201342281879</v>
      </c>
      <c r="V55">
        <f ca="1"/>
        <v>224.4</v>
      </c>
      <c r="W55">
        <f ca="1"/>
        <v>374</v>
      </c>
      <c r="X55">
        <f ca="1"/>
        <v>374</v>
      </c>
      <c r="Y55">
        <f ca="1"/>
        <v>374</v>
      </c>
      <c r="Z55">
        <f ca="1"/>
        <v>374</v>
      </c>
      <c r="AA55">
        <f ca="1"/>
        <v>374</v>
      </c>
      <c r="AB55">
        <f ca="1"/>
        <v>224.4</v>
      </c>
      <c r="AC55">
        <f ca="1"/>
        <v>374</v>
      </c>
      <c r="AD55">
        <f ca="1"/>
        <v>374</v>
      </c>
      <c r="AE55">
        <f ca="1"/>
        <v>374</v>
      </c>
      <c r="AF55">
        <f ca="1"/>
        <v>374</v>
      </c>
      <c r="AG55">
        <f ca="1"/>
        <v>299.2</v>
      </c>
      <c r="AH55">
        <f ca="1"/>
        <v>227.37218543046356</v>
      </c>
      <c r="AI55">
        <f ca="1"/>
        <v>378.95364238410599</v>
      </c>
      <c r="AJ55">
        <f ca="1"/>
        <v>378.95364238410599</v>
      </c>
      <c r="AK55">
        <f ca="1"/>
        <v>378.95364238410599</v>
      </c>
      <c r="AL55">
        <f ca="1"/>
        <v>378.95364238410599</v>
      </c>
      <c r="AM55">
        <f ca="1"/>
        <v>378.95364238410599</v>
      </c>
      <c r="AN55">
        <f ca="1"/>
        <v>227.37218543046356</v>
      </c>
      <c r="AO55">
        <f ca="1"/>
        <v>378.95364238410599</v>
      </c>
      <c r="AP55">
        <f ca="1"/>
        <v>378.95364238410599</v>
      </c>
      <c r="AQ55">
        <f ca="1"/>
        <v>378.95364238410599</v>
      </c>
      <c r="AR55">
        <f ca="1"/>
        <v>378.95364238410599</v>
      </c>
      <c r="AS55">
        <f ca="1"/>
        <v>303.16291390728475</v>
      </c>
      <c r="AT55">
        <f ca="1"/>
        <v>231.52322368421048</v>
      </c>
      <c r="AU55">
        <f ca="1"/>
        <v>385.8720394736842</v>
      </c>
      <c r="AV55">
        <f ca="1"/>
        <v>385.8720394736842</v>
      </c>
      <c r="AW55">
        <f ca="1"/>
        <v>385.8720394736842</v>
      </c>
      <c r="AX55">
        <f ca="1"/>
        <v>385.8720394736842</v>
      </c>
      <c r="AY55">
        <f ca="1"/>
        <v>385.8720394736842</v>
      </c>
      <c r="AZ55">
        <f ca="1"/>
        <v>231.52322368421048</v>
      </c>
      <c r="BA55">
        <f ca="1"/>
        <v>385.8720394736842</v>
      </c>
      <c r="BB55">
        <f ca="1"/>
        <v>385.8720394736842</v>
      </c>
      <c r="BC55">
        <f ca="1"/>
        <v>385.8720394736842</v>
      </c>
      <c r="BD55">
        <f ca="1"/>
        <v>385.8720394736842</v>
      </c>
      <c r="BE55">
        <f ca="1"/>
        <v>308.69763157894732</v>
      </c>
      <c r="BF55">
        <f ca="1"/>
        <v>234.61019999999994</v>
      </c>
      <c r="BG55">
        <f ca="1"/>
        <v>391.01699999999988</v>
      </c>
      <c r="BH55">
        <f ca="1"/>
        <v>391.01699999999988</v>
      </c>
      <c r="BI55">
        <f ca="1"/>
        <v>391.01699999999988</v>
      </c>
      <c r="BJ55">
        <f ca="1"/>
        <v>391.01699999999988</v>
      </c>
      <c r="BK55">
        <f ca="1"/>
        <v>391.01699999999988</v>
      </c>
      <c r="BL55">
        <f ca="1"/>
        <v>234.61019999999994</v>
      </c>
      <c r="BM55">
        <f ca="1"/>
        <v>391.01699999999988</v>
      </c>
      <c r="BN55">
        <f ca="1"/>
        <v>391.01699999999988</v>
      </c>
      <c r="BO55">
        <f ca="1"/>
        <v>391.01699999999988</v>
      </c>
      <c r="BP55">
        <f ca="1"/>
        <v>391.01699999999988</v>
      </c>
      <c r="BQ55">
        <f ca="1"/>
        <v>312.81359999999989</v>
      </c>
    </row>
    <row r="56" spans="4:69">
      <c r="E56" t="str">
        <v>Zurich</v>
      </c>
      <c r="F56" t="str">
        <v>CHF</v>
      </c>
      <c r="G56" t="s">
        <v>14</v>
      </c>
      <c r="J56">
        <f ca="1"/>
        <v>0</v>
      </c>
      <c r="K56">
        <f ca="1"/>
        <v>0</v>
      </c>
      <c r="L56">
        <f ca="1"/>
        <v>0</v>
      </c>
      <c r="M56">
        <f ca="1"/>
        <v>0</v>
      </c>
      <c r="N56">
        <f ca="1"/>
        <v>0</v>
      </c>
      <c r="O56">
        <f ca="1"/>
        <v>0</v>
      </c>
      <c r="P56">
        <f ca="1"/>
        <v>0</v>
      </c>
      <c r="Q56">
        <f ca="1"/>
        <v>0</v>
      </c>
      <c r="R56">
        <f ca="1"/>
        <v>0</v>
      </c>
      <c r="S56">
        <f ca="1"/>
        <v>0</v>
      </c>
      <c r="T56">
        <f ca="1"/>
        <v>0</v>
      </c>
      <c r="U56">
        <f ca="1"/>
        <v>0</v>
      </c>
      <c r="V56">
        <f ca="1"/>
        <v>0</v>
      </c>
      <c r="W56">
        <f ca="1"/>
        <v>0</v>
      </c>
      <c r="X56">
        <f ca="1"/>
        <v>0</v>
      </c>
      <c r="Y56">
        <f ca="1"/>
        <v>574.76635514018687</v>
      </c>
      <c r="Z56">
        <f ca="1"/>
        <v>574.76635514018687</v>
      </c>
      <c r="AA56">
        <f ca="1"/>
        <v>574.76635514018687</v>
      </c>
      <c r="AB56">
        <f ca="1"/>
        <v>344.85981308411209</v>
      </c>
      <c r="AC56">
        <f ca="1"/>
        <v>574.76635514018687</v>
      </c>
      <c r="AD56">
        <f ca="1"/>
        <v>574.76635514018687</v>
      </c>
      <c r="AE56">
        <f ca="1"/>
        <v>574.76635514018687</v>
      </c>
      <c r="AF56">
        <f ca="1"/>
        <v>574.76635514018687</v>
      </c>
      <c r="AG56">
        <f ca="1"/>
        <v>459.81308411214945</v>
      </c>
      <c r="AH56">
        <f ca="1"/>
        <v>343.37499999999989</v>
      </c>
      <c r="AI56">
        <f ca="1"/>
        <v>572.29166666666652</v>
      </c>
      <c r="AJ56">
        <f ca="1"/>
        <v>572.29166666666652</v>
      </c>
      <c r="AK56">
        <f ca="1"/>
        <v>572.29166666666652</v>
      </c>
      <c r="AL56">
        <f ca="1"/>
        <v>572.29166666666652</v>
      </c>
      <c r="AM56">
        <f ca="1"/>
        <v>572.29166666666652</v>
      </c>
      <c r="AN56">
        <f ca="1"/>
        <v>343.37499999999989</v>
      </c>
      <c r="AO56">
        <f ca="1"/>
        <v>572.29166666666652</v>
      </c>
      <c r="AP56">
        <f ca="1"/>
        <v>572.29166666666652</v>
      </c>
      <c r="AQ56">
        <f ca="1"/>
        <v>572.29166666666652</v>
      </c>
      <c r="AR56">
        <f ca="1"/>
        <v>572.29166666666652</v>
      </c>
      <c r="AS56">
        <f ca="1"/>
        <v>457.8333333333332</v>
      </c>
      <c r="AT56">
        <f ca="1"/>
        <v>350.43151376146778</v>
      </c>
      <c r="AU56">
        <f ca="1"/>
        <v>584.05252293577973</v>
      </c>
      <c r="AV56">
        <f ca="1"/>
        <v>584.05252293577973</v>
      </c>
      <c r="AW56">
        <f ca="1"/>
        <v>584.05252293577973</v>
      </c>
      <c r="AX56">
        <f ca="1"/>
        <v>584.05252293577973</v>
      </c>
      <c r="AY56">
        <f ca="1"/>
        <v>584.05252293577973</v>
      </c>
      <c r="AZ56">
        <f ca="1"/>
        <v>350.43151376146778</v>
      </c>
      <c r="BA56">
        <f ca="1"/>
        <v>584.05252293577973</v>
      </c>
      <c r="BB56">
        <f ca="1"/>
        <v>584.05252293577973</v>
      </c>
      <c r="BC56">
        <f ca="1"/>
        <v>584.05252293577973</v>
      </c>
      <c r="BD56">
        <f ca="1"/>
        <v>584.05252293577973</v>
      </c>
      <c r="BE56">
        <f ca="1"/>
        <v>467.24201834862367</v>
      </c>
      <c r="BF56">
        <f ca="1"/>
        <v>352.45445931818165</v>
      </c>
      <c r="BG56">
        <f ca="1"/>
        <v>587.424098863636</v>
      </c>
      <c r="BH56">
        <f ca="1"/>
        <v>587.424098863636</v>
      </c>
      <c r="BI56">
        <f ca="1"/>
        <v>587.424098863636</v>
      </c>
      <c r="BJ56">
        <f ca="1"/>
        <v>587.424098863636</v>
      </c>
      <c r="BK56">
        <f ca="1"/>
        <v>587.424098863636</v>
      </c>
      <c r="BL56">
        <f ca="1"/>
        <v>352.45445931818165</v>
      </c>
      <c r="BM56">
        <f ca="1"/>
        <v>587.424098863636</v>
      </c>
      <c r="BN56">
        <f ca="1"/>
        <v>587.424098863636</v>
      </c>
      <c r="BO56">
        <f ca="1"/>
        <v>587.424098863636</v>
      </c>
      <c r="BP56">
        <f ca="1"/>
        <v>587.424098863636</v>
      </c>
      <c r="BQ56">
        <f ca="1"/>
        <v>469.93927909090888</v>
      </c>
    </row>
    <row r="57" spans="4:69">
      <c r="E57" t="str">
        <v>Moscow</v>
      </c>
      <c r="F57" t="str">
        <v>RUB</v>
      </c>
      <c r="G57" t="s">
        <v>14</v>
      </c>
      <c r="J57">
        <f ca="1"/>
        <v>0</v>
      </c>
      <c r="K57">
        <f ca="1"/>
        <v>0</v>
      </c>
      <c r="L57">
        <f ca="1"/>
        <v>0</v>
      </c>
      <c r="M57">
        <f ca="1"/>
        <v>0</v>
      </c>
      <c r="N57">
        <f ca="1"/>
        <v>0</v>
      </c>
      <c r="O57">
        <f ca="1"/>
        <v>0</v>
      </c>
      <c r="P57">
        <f ca="1"/>
        <v>0</v>
      </c>
      <c r="Q57">
        <f ca="1"/>
        <v>0</v>
      </c>
      <c r="R57">
        <f ca="1"/>
        <v>0</v>
      </c>
      <c r="S57">
        <f ca="1"/>
        <v>0</v>
      </c>
      <c r="T57">
        <f ca="1"/>
        <v>0</v>
      </c>
      <c r="U57">
        <f ca="1"/>
        <v>0</v>
      </c>
      <c r="V57">
        <f ca="1"/>
        <v>0</v>
      </c>
      <c r="W57">
        <f ca="1"/>
        <v>0</v>
      </c>
      <c r="X57">
        <f ca="1"/>
        <v>0</v>
      </c>
      <c r="Y57">
        <f ca="1"/>
        <v>0</v>
      </c>
      <c r="Z57">
        <f ca="1"/>
        <v>0</v>
      </c>
      <c r="AA57">
        <f ca="1"/>
        <v>0</v>
      </c>
      <c r="AB57">
        <f ca="1"/>
        <v>0</v>
      </c>
      <c r="AC57">
        <f ca="1"/>
        <v>0</v>
      </c>
      <c r="AD57">
        <f ca="1"/>
        <v>0</v>
      </c>
      <c r="AE57">
        <f ca="1"/>
        <v>545.94594594594594</v>
      </c>
      <c r="AF57">
        <f ca="1"/>
        <v>545.94594594594594</v>
      </c>
      <c r="AG57">
        <f ca="1"/>
        <v>436.75675675675677</v>
      </c>
      <c r="AH57">
        <f ca="1"/>
        <v>326.43200000000002</v>
      </c>
      <c r="AI57">
        <f ca="1"/>
        <v>544.05333333333328</v>
      </c>
      <c r="AJ57">
        <f ca="1"/>
        <v>544.05333333333328</v>
      </c>
      <c r="AK57">
        <f ca="1"/>
        <v>544.05333333333328</v>
      </c>
      <c r="AL57">
        <f ca="1"/>
        <v>544.05333333333328</v>
      </c>
      <c r="AM57">
        <f ca="1"/>
        <v>544.05333333333328</v>
      </c>
      <c r="AN57">
        <f ca="1"/>
        <v>326.43200000000002</v>
      </c>
      <c r="AO57">
        <f ca="1"/>
        <v>544.05333333333328</v>
      </c>
      <c r="AP57">
        <f ca="1"/>
        <v>544.05333333333328</v>
      </c>
      <c r="AQ57">
        <f ca="1"/>
        <v>544.05333333333328</v>
      </c>
      <c r="AR57">
        <f ca="1"/>
        <v>544.05333333333328</v>
      </c>
      <c r="AS57">
        <f ca="1"/>
        <v>435.24266666666665</v>
      </c>
      <c r="AT57">
        <f ca="1"/>
        <v>326.96889473684206</v>
      </c>
      <c r="AU57">
        <f ca="1"/>
        <v>544.94815789473682</v>
      </c>
      <c r="AV57">
        <f ca="1"/>
        <v>544.94815789473682</v>
      </c>
      <c r="AW57">
        <f ca="1"/>
        <v>544.94815789473682</v>
      </c>
      <c r="AX57">
        <f ca="1"/>
        <v>544.94815789473682</v>
      </c>
      <c r="AY57">
        <f ca="1"/>
        <v>544.94815789473682</v>
      </c>
      <c r="AZ57">
        <f ca="1"/>
        <v>326.96889473684206</v>
      </c>
      <c r="BA57">
        <f ca="1"/>
        <v>544.94815789473682</v>
      </c>
      <c r="BB57">
        <f ca="1"/>
        <v>544.94815789473682</v>
      </c>
      <c r="BC57">
        <f ca="1"/>
        <v>544.94815789473682</v>
      </c>
      <c r="BD57">
        <f ca="1"/>
        <v>544.94815789473682</v>
      </c>
      <c r="BE57">
        <f ca="1"/>
        <v>435.95852631578947</v>
      </c>
      <c r="BF57">
        <f ca="1"/>
        <v>325.94977090909089</v>
      </c>
      <c r="BG57">
        <f ca="1"/>
        <v>543.24961818181816</v>
      </c>
      <c r="BH57">
        <f ca="1"/>
        <v>543.24961818181816</v>
      </c>
      <c r="BI57">
        <f ca="1"/>
        <v>543.24961818181816</v>
      </c>
      <c r="BJ57">
        <f ca="1"/>
        <v>543.24961818181816</v>
      </c>
      <c r="BK57">
        <f ca="1"/>
        <v>543.24961818181816</v>
      </c>
      <c r="BL57">
        <f ca="1"/>
        <v>325.94977090909089</v>
      </c>
      <c r="BM57">
        <f ca="1"/>
        <v>543.24961818181816</v>
      </c>
      <c r="BN57">
        <f ca="1"/>
        <v>543.24961818181816</v>
      </c>
      <c r="BO57">
        <f ca="1"/>
        <v>543.24961818181816</v>
      </c>
      <c r="BP57">
        <f ca="1"/>
        <v>543.24961818181816</v>
      </c>
      <c r="BQ57">
        <f ca="1"/>
        <v>434.59969454545455</v>
      </c>
    </row>
    <row r="59" spans="4:69">
      <c r="D59" s="101" t="s">
        <v>38</v>
      </c>
    </row>
    <row r="60" spans="4:69">
      <c r="E60" t="str" cm="1">
        <f t="array" ref="E60:E67">lstStores</f>
        <v>Paris</v>
      </c>
      <c r="F60" t="str" cm="1">
        <f t="array" ref="F60:F67">INDEX( CaseData!$C$9:$E$17, MATCH(_xlfn.ANCHORARRAY( Price!E60), CaseData!$C$9:$C$17, 0 ), 3 )</f>
        <v>EUR</v>
      </c>
      <c r="G60" t="s">
        <v>14</v>
      </c>
      <c r="J60" cm="1">
        <f t="array" aca="1" ref="J60:BQ67" ca="1">_xlfn.LET(
      _xlpm.operating_flag,_xlfn.ANCHORARRAY( Time!J$18),
      _xlpm.fx_table, CaseData!$B$74:$G$80,
      _xlpm.fx_row, CaseData!$B$74:$B$80,
      _xlpm.fx_column, CaseData!$B$74:$G$74,
      _xlpm.store_currency,_xlfn.ANCHORARRAY( Price!$F60),
      _xlpm.current_year, YEAR(_xlfn.ANCHORARRAY( Time!J$9) ),
      _xlpm.fx_rate, INDEX( _xlpm.fx_table, _xlfn.XMATCH( _xlpm.store_currency, _xlpm.fx_row, 0, 1 ), _xlfn.XMATCH( _xlpm.current_year, _xlpm.fx_column, 0, 1 ) ),
      _xlpm.anchor,_xlfn.ANCHORARRAY( Price!$J28),
      _xlpm.block, OFFSET( _xlpm.anchor, 0, 0, COUNTA( _xlpm.store_currency ), periods ),
      _xlpm.block / _xlpm.fx_rate )</f>
        <v>90</v>
      </c>
      <c r="K60">
        <f ca="1"/>
        <v>150</v>
      </c>
      <c r="L60">
        <f ca="1"/>
        <v>150</v>
      </c>
      <c r="M60">
        <f ca="1"/>
        <v>150</v>
      </c>
      <c r="N60">
        <f ca="1"/>
        <v>150</v>
      </c>
      <c r="O60">
        <f ca="1"/>
        <v>150</v>
      </c>
      <c r="P60">
        <f ca="1"/>
        <v>90</v>
      </c>
      <c r="Q60">
        <f ca="1"/>
        <v>150</v>
      </c>
      <c r="R60">
        <f ca="1"/>
        <v>150</v>
      </c>
      <c r="S60">
        <f ca="1"/>
        <v>150</v>
      </c>
      <c r="T60">
        <f ca="1"/>
        <v>150</v>
      </c>
      <c r="U60">
        <f ca="1"/>
        <v>120</v>
      </c>
      <c r="V60">
        <f ca="1"/>
        <v>90.449999999999989</v>
      </c>
      <c r="W60">
        <f ca="1"/>
        <v>150.74999999999997</v>
      </c>
      <c r="X60">
        <f ca="1"/>
        <v>150.74999999999997</v>
      </c>
      <c r="Y60">
        <f ca="1"/>
        <v>150.74999999999997</v>
      </c>
      <c r="Z60">
        <f ca="1"/>
        <v>150.74999999999997</v>
      </c>
      <c r="AA60">
        <f ca="1"/>
        <v>150.74999999999997</v>
      </c>
      <c r="AB60">
        <f ca="1"/>
        <v>90.449999999999989</v>
      </c>
      <c r="AC60">
        <f ca="1"/>
        <v>150.74999999999997</v>
      </c>
      <c r="AD60">
        <f ca="1"/>
        <v>150.74999999999997</v>
      </c>
      <c r="AE60">
        <f ca="1"/>
        <v>150.74999999999997</v>
      </c>
      <c r="AF60">
        <f ca="1"/>
        <v>150.74999999999997</v>
      </c>
      <c r="AG60">
        <f ca="1"/>
        <v>120.6</v>
      </c>
      <c r="AH60">
        <f ca="1"/>
        <v>90.902249999999981</v>
      </c>
      <c r="AI60">
        <f ca="1"/>
        <v>151.50374999999997</v>
      </c>
      <c r="AJ60">
        <f ca="1"/>
        <v>151.50374999999997</v>
      </c>
      <c r="AK60">
        <f ca="1"/>
        <v>151.50374999999997</v>
      </c>
      <c r="AL60">
        <f ca="1"/>
        <v>151.50374999999997</v>
      </c>
      <c r="AM60">
        <f ca="1"/>
        <v>151.50374999999997</v>
      </c>
      <c r="AN60">
        <f ca="1"/>
        <v>90.902249999999981</v>
      </c>
      <c r="AO60">
        <f ca="1"/>
        <v>151.50374999999997</v>
      </c>
      <c r="AP60">
        <f ca="1"/>
        <v>151.50374999999997</v>
      </c>
      <c r="AQ60">
        <f ca="1"/>
        <v>151.50374999999997</v>
      </c>
      <c r="AR60">
        <f ca="1"/>
        <v>151.50374999999997</v>
      </c>
      <c r="AS60">
        <f ca="1"/>
        <v>121.20299999999997</v>
      </c>
      <c r="AT60">
        <f ca="1"/>
        <v>91.811272499999973</v>
      </c>
      <c r="AU60">
        <f ca="1"/>
        <v>153.01878749999997</v>
      </c>
      <c r="AV60">
        <f ca="1"/>
        <v>153.01878749999997</v>
      </c>
      <c r="AW60">
        <f ca="1"/>
        <v>153.01878749999997</v>
      </c>
      <c r="AX60">
        <f ca="1"/>
        <v>153.01878749999997</v>
      </c>
      <c r="AY60">
        <f ca="1"/>
        <v>153.01878749999997</v>
      </c>
      <c r="AZ60">
        <f ca="1"/>
        <v>91.811272499999973</v>
      </c>
      <c r="BA60">
        <f ca="1"/>
        <v>153.01878749999997</v>
      </c>
      <c r="BB60">
        <f ca="1"/>
        <v>153.01878749999997</v>
      </c>
      <c r="BC60">
        <f ca="1"/>
        <v>153.01878749999997</v>
      </c>
      <c r="BD60">
        <f ca="1"/>
        <v>153.01878749999997</v>
      </c>
      <c r="BE60">
        <f ca="1"/>
        <v>122.41502999999997</v>
      </c>
      <c r="BF60">
        <f ca="1"/>
        <v>94.106554312499966</v>
      </c>
      <c r="BG60">
        <f ca="1"/>
        <v>156.84425718749995</v>
      </c>
      <c r="BH60">
        <f ca="1"/>
        <v>156.84425718749995</v>
      </c>
      <c r="BI60">
        <f ca="1"/>
        <v>156.84425718749995</v>
      </c>
      <c r="BJ60">
        <f ca="1"/>
        <v>156.84425718749995</v>
      </c>
      <c r="BK60">
        <f ca="1"/>
        <v>156.84425718749995</v>
      </c>
      <c r="BL60">
        <f ca="1"/>
        <v>94.106554312499966</v>
      </c>
      <c r="BM60">
        <f ca="1"/>
        <v>156.84425718749995</v>
      </c>
      <c r="BN60">
        <f ca="1"/>
        <v>156.84425718749995</v>
      </c>
      <c r="BO60">
        <f ca="1"/>
        <v>156.84425718749995</v>
      </c>
      <c r="BP60">
        <f ca="1"/>
        <v>156.84425718749995</v>
      </c>
      <c r="BQ60">
        <f ca="1"/>
        <v>125.47540574999995</v>
      </c>
    </row>
    <row r="61" spans="4:69">
      <c r="E61" t="str">
        <v>Milano</v>
      </c>
      <c r="F61" t="str">
        <v>EUR</v>
      </c>
      <c r="G61" t="s">
        <v>14</v>
      </c>
      <c r="J61">
        <f ca="1"/>
        <v>90</v>
      </c>
      <c r="K61">
        <f ca="1"/>
        <v>150</v>
      </c>
      <c r="L61">
        <f ca="1"/>
        <v>150</v>
      </c>
      <c r="M61">
        <f ca="1"/>
        <v>150</v>
      </c>
      <c r="N61">
        <f ca="1"/>
        <v>150</v>
      </c>
      <c r="O61">
        <f ca="1"/>
        <v>150</v>
      </c>
      <c r="P61">
        <f ca="1"/>
        <v>90</v>
      </c>
      <c r="Q61">
        <f ca="1"/>
        <v>150</v>
      </c>
      <c r="R61">
        <f ca="1"/>
        <v>150</v>
      </c>
      <c r="S61">
        <f ca="1"/>
        <v>150</v>
      </c>
      <c r="T61">
        <f ca="1"/>
        <v>150</v>
      </c>
      <c r="U61">
        <f ca="1"/>
        <v>120</v>
      </c>
      <c r="V61">
        <f ca="1"/>
        <v>90.449999999999989</v>
      </c>
      <c r="W61">
        <f ca="1"/>
        <v>150.74999999999997</v>
      </c>
      <c r="X61">
        <f ca="1"/>
        <v>150.74999999999997</v>
      </c>
      <c r="Y61">
        <f ca="1"/>
        <v>150.74999999999997</v>
      </c>
      <c r="Z61">
        <f ca="1"/>
        <v>150.74999999999997</v>
      </c>
      <c r="AA61">
        <f ca="1"/>
        <v>150.74999999999997</v>
      </c>
      <c r="AB61">
        <f ca="1"/>
        <v>90.449999999999989</v>
      </c>
      <c r="AC61">
        <f ca="1"/>
        <v>150.74999999999997</v>
      </c>
      <c r="AD61">
        <f ca="1"/>
        <v>150.74999999999997</v>
      </c>
      <c r="AE61">
        <f ca="1"/>
        <v>150.74999999999997</v>
      </c>
      <c r="AF61">
        <f ca="1"/>
        <v>150.74999999999997</v>
      </c>
      <c r="AG61">
        <f ca="1"/>
        <v>120.6</v>
      </c>
      <c r="AH61">
        <f ca="1"/>
        <v>90.902249999999981</v>
      </c>
      <c r="AI61">
        <f ca="1"/>
        <v>151.50374999999997</v>
      </c>
      <c r="AJ61">
        <f ca="1"/>
        <v>151.50374999999997</v>
      </c>
      <c r="AK61">
        <f ca="1"/>
        <v>151.50374999999997</v>
      </c>
      <c r="AL61">
        <f ca="1"/>
        <v>151.50374999999997</v>
      </c>
      <c r="AM61">
        <f ca="1"/>
        <v>151.50374999999997</v>
      </c>
      <c r="AN61">
        <f ca="1"/>
        <v>90.902249999999981</v>
      </c>
      <c r="AO61">
        <f ca="1"/>
        <v>151.50374999999997</v>
      </c>
      <c r="AP61">
        <f ca="1"/>
        <v>151.50374999999997</v>
      </c>
      <c r="AQ61">
        <f ca="1"/>
        <v>151.50374999999997</v>
      </c>
      <c r="AR61">
        <f ca="1"/>
        <v>151.50374999999997</v>
      </c>
      <c r="AS61">
        <f ca="1"/>
        <v>121.20299999999997</v>
      </c>
      <c r="AT61">
        <f ca="1"/>
        <v>91.811272499999973</v>
      </c>
      <c r="AU61">
        <f ca="1"/>
        <v>153.01878749999997</v>
      </c>
      <c r="AV61">
        <f ca="1"/>
        <v>153.01878749999997</v>
      </c>
      <c r="AW61">
        <f ca="1"/>
        <v>153.01878749999997</v>
      </c>
      <c r="AX61">
        <f ca="1"/>
        <v>153.01878749999997</v>
      </c>
      <c r="AY61">
        <f ca="1"/>
        <v>153.01878749999997</v>
      </c>
      <c r="AZ61">
        <f ca="1"/>
        <v>91.811272499999973</v>
      </c>
      <c r="BA61">
        <f ca="1"/>
        <v>153.01878749999997</v>
      </c>
      <c r="BB61">
        <f ca="1"/>
        <v>153.01878749999997</v>
      </c>
      <c r="BC61">
        <f ca="1"/>
        <v>153.01878749999997</v>
      </c>
      <c r="BD61">
        <f ca="1"/>
        <v>153.01878749999997</v>
      </c>
      <c r="BE61">
        <f ca="1"/>
        <v>122.41502999999997</v>
      </c>
      <c r="BF61">
        <f ca="1"/>
        <v>94.106554312499966</v>
      </c>
      <c r="BG61">
        <f ca="1"/>
        <v>156.84425718749995</v>
      </c>
      <c r="BH61">
        <f ca="1"/>
        <v>156.84425718749995</v>
      </c>
      <c r="BI61">
        <f ca="1"/>
        <v>156.84425718749995</v>
      </c>
      <c r="BJ61">
        <f ca="1"/>
        <v>156.84425718749995</v>
      </c>
      <c r="BK61">
        <f ca="1"/>
        <v>156.84425718749995</v>
      </c>
      <c r="BL61">
        <f ca="1"/>
        <v>94.106554312499966</v>
      </c>
      <c r="BM61">
        <f ca="1"/>
        <v>156.84425718749995</v>
      </c>
      <c r="BN61">
        <f ca="1"/>
        <v>156.84425718749995</v>
      </c>
      <c r="BO61">
        <f ca="1"/>
        <v>156.84425718749995</v>
      </c>
      <c r="BP61">
        <f ca="1"/>
        <v>156.84425718749995</v>
      </c>
      <c r="BQ61">
        <f ca="1"/>
        <v>125.47540574999995</v>
      </c>
    </row>
    <row r="62" spans="4:69">
      <c r="E62" t="str">
        <v>Madrid</v>
      </c>
      <c r="F62" t="str">
        <v>EUR</v>
      </c>
      <c r="G62" t="s">
        <v>14</v>
      </c>
      <c r="J62">
        <f ca="1"/>
        <v>90</v>
      </c>
      <c r="K62">
        <f ca="1"/>
        <v>150</v>
      </c>
      <c r="L62">
        <f ca="1"/>
        <v>150</v>
      </c>
      <c r="M62">
        <f ca="1"/>
        <v>150</v>
      </c>
      <c r="N62">
        <f ca="1"/>
        <v>150</v>
      </c>
      <c r="O62">
        <f ca="1"/>
        <v>150</v>
      </c>
      <c r="P62">
        <f ca="1"/>
        <v>90</v>
      </c>
      <c r="Q62">
        <f ca="1"/>
        <v>150</v>
      </c>
      <c r="R62">
        <f ca="1"/>
        <v>150</v>
      </c>
      <c r="S62">
        <f ca="1"/>
        <v>150</v>
      </c>
      <c r="T62">
        <f ca="1"/>
        <v>150</v>
      </c>
      <c r="U62">
        <f ca="1"/>
        <v>120</v>
      </c>
      <c r="V62">
        <f ca="1"/>
        <v>90.449999999999989</v>
      </c>
      <c r="W62">
        <f ca="1"/>
        <v>150.74999999999997</v>
      </c>
      <c r="X62">
        <f ca="1"/>
        <v>150.74999999999997</v>
      </c>
      <c r="Y62">
        <f ca="1"/>
        <v>150.74999999999997</v>
      </c>
      <c r="Z62">
        <f ca="1"/>
        <v>150.74999999999997</v>
      </c>
      <c r="AA62">
        <f ca="1"/>
        <v>150.74999999999997</v>
      </c>
      <c r="AB62">
        <f ca="1"/>
        <v>90.449999999999989</v>
      </c>
      <c r="AC62">
        <f ca="1"/>
        <v>150.74999999999997</v>
      </c>
      <c r="AD62">
        <f ca="1"/>
        <v>150.74999999999997</v>
      </c>
      <c r="AE62">
        <f ca="1"/>
        <v>150.74999999999997</v>
      </c>
      <c r="AF62">
        <f ca="1"/>
        <v>150.74999999999997</v>
      </c>
      <c r="AG62">
        <f ca="1"/>
        <v>120.6</v>
      </c>
      <c r="AH62">
        <f ca="1"/>
        <v>90.902249999999981</v>
      </c>
      <c r="AI62">
        <f ca="1"/>
        <v>151.50374999999997</v>
      </c>
      <c r="AJ62">
        <f ca="1"/>
        <v>151.50374999999997</v>
      </c>
      <c r="AK62">
        <f ca="1"/>
        <v>151.50374999999997</v>
      </c>
      <c r="AL62">
        <f ca="1"/>
        <v>151.50374999999997</v>
      </c>
      <c r="AM62">
        <f ca="1"/>
        <v>151.50374999999997</v>
      </c>
      <c r="AN62">
        <f ca="1"/>
        <v>90.902249999999981</v>
      </c>
      <c r="AO62">
        <f ca="1"/>
        <v>151.50374999999997</v>
      </c>
      <c r="AP62">
        <f ca="1"/>
        <v>151.50374999999997</v>
      </c>
      <c r="AQ62">
        <f ca="1"/>
        <v>151.50374999999997</v>
      </c>
      <c r="AR62">
        <f ca="1"/>
        <v>151.50374999999997</v>
      </c>
      <c r="AS62">
        <f ca="1"/>
        <v>121.20299999999997</v>
      </c>
      <c r="AT62">
        <f ca="1"/>
        <v>91.811272499999973</v>
      </c>
      <c r="AU62">
        <f ca="1"/>
        <v>153.01878749999997</v>
      </c>
      <c r="AV62">
        <f ca="1"/>
        <v>153.01878749999997</v>
      </c>
      <c r="AW62">
        <f ca="1"/>
        <v>153.01878749999997</v>
      </c>
      <c r="AX62">
        <f ca="1"/>
        <v>153.01878749999997</v>
      </c>
      <c r="AY62">
        <f ca="1"/>
        <v>153.01878749999997</v>
      </c>
      <c r="AZ62">
        <f ca="1"/>
        <v>91.811272499999973</v>
      </c>
      <c r="BA62">
        <f ca="1"/>
        <v>153.01878749999997</v>
      </c>
      <c r="BB62">
        <f ca="1"/>
        <v>153.01878749999997</v>
      </c>
      <c r="BC62">
        <f ca="1"/>
        <v>153.01878749999997</v>
      </c>
      <c r="BD62">
        <f ca="1"/>
        <v>153.01878749999997</v>
      </c>
      <c r="BE62">
        <f ca="1"/>
        <v>122.41502999999997</v>
      </c>
      <c r="BF62">
        <f ca="1"/>
        <v>94.106554312499966</v>
      </c>
      <c r="BG62">
        <f ca="1"/>
        <v>156.84425718749995</v>
      </c>
      <c r="BH62">
        <f ca="1"/>
        <v>156.84425718749995</v>
      </c>
      <c r="BI62">
        <f ca="1"/>
        <v>156.84425718749995</v>
      </c>
      <c r="BJ62">
        <f ca="1"/>
        <v>156.84425718749995</v>
      </c>
      <c r="BK62">
        <f ca="1"/>
        <v>156.84425718749995</v>
      </c>
      <c r="BL62">
        <f ca="1"/>
        <v>94.106554312499966</v>
      </c>
      <c r="BM62">
        <f ca="1"/>
        <v>156.84425718749995</v>
      </c>
      <c r="BN62">
        <f ca="1"/>
        <v>156.84425718749995</v>
      </c>
      <c r="BO62">
        <f ca="1"/>
        <v>156.84425718749995</v>
      </c>
      <c r="BP62">
        <f ca="1"/>
        <v>156.84425718749995</v>
      </c>
      <c r="BQ62">
        <f ca="1"/>
        <v>125.47540574999995</v>
      </c>
    </row>
    <row r="63" spans="4:69">
      <c r="E63" t="str">
        <v>London</v>
      </c>
      <c r="F63" t="str">
        <v>GBP</v>
      </c>
      <c r="G63" t="s">
        <v>14</v>
      </c>
      <c r="J63">
        <f ca="1"/>
        <v>87.20930232558139</v>
      </c>
      <c r="K63">
        <f ca="1"/>
        <v>145.34883720930233</v>
      </c>
      <c r="L63">
        <f ca="1"/>
        <v>145.34883720930233</v>
      </c>
      <c r="M63">
        <f ca="1"/>
        <v>145.34883720930233</v>
      </c>
      <c r="N63">
        <f ca="1"/>
        <v>145.34883720930233</v>
      </c>
      <c r="O63">
        <f ca="1"/>
        <v>145.34883720930233</v>
      </c>
      <c r="P63">
        <f ca="1"/>
        <v>87.20930232558139</v>
      </c>
      <c r="Q63">
        <f ca="1"/>
        <v>145.34883720930233</v>
      </c>
      <c r="R63">
        <f ca="1"/>
        <v>145.34883720930233</v>
      </c>
      <c r="S63">
        <f ca="1"/>
        <v>145.34883720930233</v>
      </c>
      <c r="T63">
        <f ca="1"/>
        <v>145.34883720930233</v>
      </c>
      <c r="U63">
        <f ca="1"/>
        <v>116.27906976744187</v>
      </c>
      <c r="V63">
        <f ca="1"/>
        <v>88.793103448275858</v>
      </c>
      <c r="W63">
        <f ca="1"/>
        <v>147.98850574712642</v>
      </c>
      <c r="X63">
        <f ca="1"/>
        <v>147.98850574712642</v>
      </c>
      <c r="Y63">
        <f ca="1"/>
        <v>147.98850574712642</v>
      </c>
      <c r="Z63">
        <f ca="1"/>
        <v>147.98850574712642</v>
      </c>
      <c r="AA63">
        <f ca="1"/>
        <v>147.98850574712642</v>
      </c>
      <c r="AB63">
        <f ca="1"/>
        <v>88.793103448275858</v>
      </c>
      <c r="AC63">
        <f ca="1"/>
        <v>147.98850574712642</v>
      </c>
      <c r="AD63">
        <f ca="1"/>
        <v>147.98850574712642</v>
      </c>
      <c r="AE63">
        <f ca="1"/>
        <v>147.98850574712642</v>
      </c>
      <c r="AF63">
        <f ca="1"/>
        <v>147.98850574712642</v>
      </c>
      <c r="AG63">
        <f ca="1"/>
        <v>118.39080459770115</v>
      </c>
      <c r="AH63">
        <f ca="1"/>
        <v>88.661931818181813</v>
      </c>
      <c r="AI63">
        <f ca="1"/>
        <v>147.76988636363635</v>
      </c>
      <c r="AJ63">
        <f ca="1"/>
        <v>147.76988636363635</v>
      </c>
      <c r="AK63">
        <f ca="1"/>
        <v>147.76988636363635</v>
      </c>
      <c r="AL63">
        <f ca="1"/>
        <v>147.76988636363635</v>
      </c>
      <c r="AM63">
        <f ca="1"/>
        <v>147.76988636363635</v>
      </c>
      <c r="AN63">
        <f ca="1"/>
        <v>88.661931818181813</v>
      </c>
      <c r="AO63">
        <f ca="1"/>
        <v>147.76988636363635</v>
      </c>
      <c r="AP63">
        <f ca="1"/>
        <v>147.76988636363635</v>
      </c>
      <c r="AQ63">
        <f ca="1"/>
        <v>147.76988636363635</v>
      </c>
      <c r="AR63">
        <f ca="1"/>
        <v>147.76988636363635</v>
      </c>
      <c r="AS63">
        <f ca="1"/>
        <v>118.21590909090909</v>
      </c>
      <c r="AT63">
        <f ca="1"/>
        <v>88.542387640449434</v>
      </c>
      <c r="AU63">
        <f ca="1"/>
        <v>147.57064606741574</v>
      </c>
      <c r="AV63">
        <f ca="1"/>
        <v>147.57064606741574</v>
      </c>
      <c r="AW63">
        <f ca="1"/>
        <v>147.57064606741574</v>
      </c>
      <c r="AX63">
        <f ca="1"/>
        <v>147.57064606741574</v>
      </c>
      <c r="AY63">
        <f ca="1"/>
        <v>147.57064606741574</v>
      </c>
      <c r="AZ63">
        <f ca="1"/>
        <v>88.542387640449434</v>
      </c>
      <c r="BA63">
        <f ca="1"/>
        <v>147.57064606741574</v>
      </c>
      <c r="BB63">
        <f ca="1"/>
        <v>147.57064606741574</v>
      </c>
      <c r="BC63">
        <f ca="1"/>
        <v>147.57064606741574</v>
      </c>
      <c r="BD63">
        <f ca="1"/>
        <v>147.57064606741574</v>
      </c>
      <c r="BE63">
        <f ca="1"/>
        <v>118.05651685393256</v>
      </c>
      <c r="BF63">
        <f ca="1"/>
        <v>88.434169166666678</v>
      </c>
      <c r="BG63">
        <f ca="1"/>
        <v>147.39028194444444</v>
      </c>
      <c r="BH63">
        <f ca="1"/>
        <v>147.39028194444444</v>
      </c>
      <c r="BI63">
        <f ca="1"/>
        <v>147.39028194444444</v>
      </c>
      <c r="BJ63">
        <f ca="1"/>
        <v>147.39028194444444</v>
      </c>
      <c r="BK63">
        <f ca="1"/>
        <v>147.39028194444444</v>
      </c>
      <c r="BL63">
        <f ca="1"/>
        <v>88.434169166666678</v>
      </c>
      <c r="BM63">
        <f ca="1"/>
        <v>147.39028194444444</v>
      </c>
      <c r="BN63">
        <f ca="1"/>
        <v>147.39028194444444</v>
      </c>
      <c r="BO63">
        <f ca="1"/>
        <v>147.39028194444444</v>
      </c>
      <c r="BP63">
        <f ca="1"/>
        <v>147.39028194444444</v>
      </c>
      <c r="BQ63">
        <f ca="1"/>
        <v>117.91222555555555</v>
      </c>
    </row>
    <row r="64" spans="4:69">
      <c r="E64" t="str">
        <v>New York</v>
      </c>
      <c r="F64" t="str">
        <v>USD</v>
      </c>
      <c r="G64" t="s">
        <v>14</v>
      </c>
      <c r="J64">
        <f ca="1"/>
        <v>0</v>
      </c>
      <c r="K64">
        <f ca="1"/>
        <v>0</v>
      </c>
      <c r="L64">
        <f ca="1"/>
        <v>0</v>
      </c>
      <c r="M64">
        <f ca="1"/>
        <v>136.36363636363635</v>
      </c>
      <c r="N64">
        <f ca="1"/>
        <v>136.36363636363635</v>
      </c>
      <c r="O64">
        <f ca="1"/>
        <v>136.36363636363635</v>
      </c>
      <c r="P64">
        <f ca="1"/>
        <v>81.818181818181813</v>
      </c>
      <c r="Q64">
        <f ca="1"/>
        <v>136.36363636363635</v>
      </c>
      <c r="R64">
        <f ca="1"/>
        <v>136.36363636363635</v>
      </c>
      <c r="S64">
        <f ca="1"/>
        <v>136.36363636363635</v>
      </c>
      <c r="T64">
        <f ca="1"/>
        <v>136.36363636363635</v>
      </c>
      <c r="U64">
        <f ca="1"/>
        <v>109.09090909090908</v>
      </c>
      <c r="V64">
        <f ca="1"/>
        <v>83.513513513513516</v>
      </c>
      <c r="W64">
        <f ca="1"/>
        <v>139.18918918918916</v>
      </c>
      <c r="X64">
        <f ca="1"/>
        <v>139.18918918918916</v>
      </c>
      <c r="Y64">
        <f ca="1"/>
        <v>139.18918918918916</v>
      </c>
      <c r="Z64">
        <f ca="1"/>
        <v>139.18918918918916</v>
      </c>
      <c r="AA64">
        <f ca="1"/>
        <v>139.18918918918916</v>
      </c>
      <c r="AB64">
        <f ca="1"/>
        <v>83.513513513513516</v>
      </c>
      <c r="AC64">
        <f ca="1"/>
        <v>139.18918918918916</v>
      </c>
      <c r="AD64">
        <f ca="1"/>
        <v>139.18918918918916</v>
      </c>
      <c r="AE64">
        <f ca="1"/>
        <v>139.18918918918916</v>
      </c>
      <c r="AF64">
        <f ca="1"/>
        <v>139.18918918918916</v>
      </c>
      <c r="AG64">
        <f ca="1"/>
        <v>111.35135135135135</v>
      </c>
      <c r="AH64">
        <f ca="1"/>
        <v>84.42321428571428</v>
      </c>
      <c r="AI64">
        <f ca="1"/>
        <v>140.70535714285714</v>
      </c>
      <c r="AJ64">
        <f ca="1"/>
        <v>140.70535714285714</v>
      </c>
      <c r="AK64">
        <f ca="1"/>
        <v>140.70535714285714</v>
      </c>
      <c r="AL64">
        <f ca="1"/>
        <v>140.70535714285714</v>
      </c>
      <c r="AM64">
        <f ca="1"/>
        <v>140.70535714285714</v>
      </c>
      <c r="AN64">
        <f ca="1"/>
        <v>84.42321428571428</v>
      </c>
      <c r="AO64">
        <f ca="1"/>
        <v>140.70535714285714</v>
      </c>
      <c r="AP64">
        <f ca="1"/>
        <v>140.70535714285714</v>
      </c>
      <c r="AQ64">
        <f ca="1"/>
        <v>140.70535714285714</v>
      </c>
      <c r="AR64">
        <f ca="1"/>
        <v>140.70535714285714</v>
      </c>
      <c r="AS64">
        <f ca="1"/>
        <v>112.5642857142857</v>
      </c>
      <c r="AT64">
        <f ca="1"/>
        <v>86.186389380530983</v>
      </c>
      <c r="AU64">
        <f ca="1"/>
        <v>143.64398230088494</v>
      </c>
      <c r="AV64">
        <f ca="1"/>
        <v>143.64398230088494</v>
      </c>
      <c r="AW64">
        <f ca="1"/>
        <v>143.64398230088494</v>
      </c>
      <c r="AX64">
        <f ca="1"/>
        <v>143.64398230088494</v>
      </c>
      <c r="AY64">
        <f ca="1"/>
        <v>143.64398230088494</v>
      </c>
      <c r="AZ64">
        <f ca="1"/>
        <v>86.186389380530983</v>
      </c>
      <c r="BA64">
        <f ca="1"/>
        <v>143.64398230088494</v>
      </c>
      <c r="BB64">
        <f ca="1"/>
        <v>143.64398230088494</v>
      </c>
      <c r="BC64">
        <f ca="1"/>
        <v>143.64398230088494</v>
      </c>
      <c r="BD64">
        <f ca="1"/>
        <v>143.64398230088494</v>
      </c>
      <c r="BE64">
        <f ca="1"/>
        <v>114.91518584070796</v>
      </c>
      <c r="BF64">
        <f ca="1"/>
        <v>85.85752026315788</v>
      </c>
      <c r="BG64">
        <f ca="1"/>
        <v>143.09586710526315</v>
      </c>
      <c r="BH64">
        <f ca="1"/>
        <v>143.09586710526315</v>
      </c>
      <c r="BI64">
        <f ca="1"/>
        <v>143.09586710526315</v>
      </c>
      <c r="BJ64">
        <f ca="1"/>
        <v>143.09586710526315</v>
      </c>
      <c r="BK64">
        <f ca="1"/>
        <v>143.09586710526315</v>
      </c>
      <c r="BL64">
        <f ca="1"/>
        <v>85.85752026315788</v>
      </c>
      <c r="BM64">
        <f ca="1"/>
        <v>143.09586710526315</v>
      </c>
      <c r="BN64">
        <f ca="1"/>
        <v>143.09586710526315</v>
      </c>
      <c r="BO64">
        <f ca="1"/>
        <v>143.09586710526315</v>
      </c>
      <c r="BP64">
        <f ca="1"/>
        <v>143.09586710526315</v>
      </c>
      <c r="BQ64">
        <f ca="1"/>
        <v>114.47669368421053</v>
      </c>
    </row>
    <row r="65" spans="1:69">
      <c r="E65" t="str">
        <v>Montreal</v>
      </c>
      <c r="F65" t="str">
        <v>CAD</v>
      </c>
      <c r="G65" t="s">
        <v>14</v>
      </c>
      <c r="J65">
        <f ca="1"/>
        <v>0</v>
      </c>
      <c r="K65">
        <f ca="1"/>
        <v>0</v>
      </c>
      <c r="L65">
        <f ca="1"/>
        <v>0</v>
      </c>
      <c r="M65">
        <f ca="1"/>
        <v>0</v>
      </c>
      <c r="N65">
        <f ca="1"/>
        <v>0</v>
      </c>
      <c r="O65">
        <f ca="1"/>
        <v>0</v>
      </c>
      <c r="P65">
        <f ca="1"/>
        <v>0</v>
      </c>
      <c r="Q65">
        <f ca="1"/>
        <v>0</v>
      </c>
      <c r="R65">
        <f ca="1"/>
        <v>0</v>
      </c>
      <c r="S65">
        <f ca="1"/>
        <v>134.2281879194631</v>
      </c>
      <c r="T65">
        <f ca="1"/>
        <v>134.2281879194631</v>
      </c>
      <c r="U65">
        <f ca="1"/>
        <v>107.38255033557047</v>
      </c>
      <c r="V65">
        <f ca="1"/>
        <v>81.600000000000009</v>
      </c>
      <c r="W65">
        <f ca="1"/>
        <v>136</v>
      </c>
      <c r="X65">
        <f ca="1"/>
        <v>136</v>
      </c>
      <c r="Y65">
        <f ca="1"/>
        <v>136</v>
      </c>
      <c r="Z65">
        <f ca="1"/>
        <v>136</v>
      </c>
      <c r="AA65">
        <f ca="1"/>
        <v>136</v>
      </c>
      <c r="AB65">
        <f ca="1"/>
        <v>81.600000000000009</v>
      </c>
      <c r="AC65">
        <f ca="1"/>
        <v>136</v>
      </c>
      <c r="AD65">
        <f ca="1"/>
        <v>136</v>
      </c>
      <c r="AE65">
        <f ca="1"/>
        <v>136</v>
      </c>
      <c r="AF65">
        <f ca="1"/>
        <v>136</v>
      </c>
      <c r="AG65">
        <f ca="1"/>
        <v>108.8</v>
      </c>
      <c r="AH65">
        <f ca="1"/>
        <v>82.680794701986756</v>
      </c>
      <c r="AI65">
        <f ca="1"/>
        <v>137.80132450331124</v>
      </c>
      <c r="AJ65">
        <f ca="1"/>
        <v>137.80132450331124</v>
      </c>
      <c r="AK65">
        <f ca="1"/>
        <v>137.80132450331124</v>
      </c>
      <c r="AL65">
        <f ca="1"/>
        <v>137.80132450331124</v>
      </c>
      <c r="AM65">
        <f ca="1"/>
        <v>137.80132450331124</v>
      </c>
      <c r="AN65">
        <f ca="1"/>
        <v>82.680794701986756</v>
      </c>
      <c r="AO65">
        <f ca="1"/>
        <v>137.80132450331124</v>
      </c>
      <c r="AP65">
        <f ca="1"/>
        <v>137.80132450331124</v>
      </c>
      <c r="AQ65">
        <f ca="1"/>
        <v>137.80132450331124</v>
      </c>
      <c r="AR65">
        <f ca="1"/>
        <v>137.80132450331124</v>
      </c>
      <c r="AS65">
        <f ca="1"/>
        <v>110.241059602649</v>
      </c>
      <c r="AT65">
        <f ca="1"/>
        <v>84.190263157894734</v>
      </c>
      <c r="AU65">
        <f ca="1"/>
        <v>140.31710526315788</v>
      </c>
      <c r="AV65">
        <f ca="1"/>
        <v>140.31710526315788</v>
      </c>
      <c r="AW65">
        <f ca="1"/>
        <v>140.31710526315788</v>
      </c>
      <c r="AX65">
        <f ca="1"/>
        <v>140.31710526315788</v>
      </c>
      <c r="AY65">
        <f ca="1"/>
        <v>140.31710526315788</v>
      </c>
      <c r="AZ65">
        <f ca="1"/>
        <v>84.190263157894734</v>
      </c>
      <c r="BA65">
        <f ca="1"/>
        <v>140.31710526315788</v>
      </c>
      <c r="BB65">
        <f ca="1"/>
        <v>140.31710526315788</v>
      </c>
      <c r="BC65">
        <f ca="1"/>
        <v>140.31710526315788</v>
      </c>
      <c r="BD65">
        <f ca="1"/>
        <v>140.31710526315788</v>
      </c>
      <c r="BE65">
        <f ca="1"/>
        <v>112.25368421052629</v>
      </c>
      <c r="BF65">
        <f ca="1"/>
        <v>85.312799999999982</v>
      </c>
      <c r="BG65">
        <f ca="1"/>
        <v>142.18799999999996</v>
      </c>
      <c r="BH65">
        <f ca="1"/>
        <v>142.18799999999996</v>
      </c>
      <c r="BI65">
        <f ca="1"/>
        <v>142.18799999999996</v>
      </c>
      <c r="BJ65">
        <f ca="1"/>
        <v>142.18799999999996</v>
      </c>
      <c r="BK65">
        <f ca="1"/>
        <v>142.18799999999996</v>
      </c>
      <c r="BL65">
        <f ca="1"/>
        <v>85.312799999999982</v>
      </c>
      <c r="BM65">
        <f ca="1"/>
        <v>142.18799999999996</v>
      </c>
      <c r="BN65">
        <f ca="1"/>
        <v>142.18799999999996</v>
      </c>
      <c r="BO65">
        <f ca="1"/>
        <v>142.18799999999996</v>
      </c>
      <c r="BP65">
        <f ca="1"/>
        <v>142.18799999999996</v>
      </c>
      <c r="BQ65">
        <f ca="1"/>
        <v>113.75039999999997</v>
      </c>
    </row>
    <row r="66" spans="1:69">
      <c r="E66" t="str">
        <v>Zurich</v>
      </c>
      <c r="F66" t="str">
        <v>CHF</v>
      </c>
      <c r="G66" t="s">
        <v>14</v>
      </c>
      <c r="J66">
        <f ca="1"/>
        <v>0</v>
      </c>
      <c r="K66">
        <f ca="1"/>
        <v>0</v>
      </c>
      <c r="L66">
        <f ca="1"/>
        <v>0</v>
      </c>
      <c r="M66">
        <f ca="1"/>
        <v>0</v>
      </c>
      <c r="N66">
        <f ca="1"/>
        <v>0</v>
      </c>
      <c r="O66">
        <f ca="1"/>
        <v>0</v>
      </c>
      <c r="P66">
        <f ca="1"/>
        <v>0</v>
      </c>
      <c r="Q66">
        <f ca="1"/>
        <v>0</v>
      </c>
      <c r="R66">
        <f ca="1"/>
        <v>0</v>
      </c>
      <c r="S66">
        <f ca="1"/>
        <v>0</v>
      </c>
      <c r="T66">
        <f ca="1"/>
        <v>0</v>
      </c>
      <c r="U66">
        <f ca="1"/>
        <v>0</v>
      </c>
      <c r="V66">
        <f ca="1"/>
        <v>0</v>
      </c>
      <c r="W66">
        <f ca="1"/>
        <v>0</v>
      </c>
      <c r="X66">
        <f ca="1"/>
        <v>0</v>
      </c>
      <c r="Y66">
        <f ca="1"/>
        <v>215.53738317757006</v>
      </c>
      <c r="Z66">
        <f ca="1"/>
        <v>215.53738317757006</v>
      </c>
      <c r="AA66">
        <f ca="1"/>
        <v>215.53738317757006</v>
      </c>
      <c r="AB66">
        <f ca="1"/>
        <v>129.32242990654206</v>
      </c>
      <c r="AC66">
        <f ca="1"/>
        <v>215.53738317757006</v>
      </c>
      <c r="AD66">
        <f ca="1"/>
        <v>215.53738317757006</v>
      </c>
      <c r="AE66">
        <f ca="1"/>
        <v>215.53738317757006</v>
      </c>
      <c r="AF66">
        <f ca="1"/>
        <v>215.53738317757006</v>
      </c>
      <c r="AG66">
        <f ca="1"/>
        <v>172.42990654205605</v>
      </c>
      <c r="AH66">
        <f ca="1"/>
        <v>128.76562499999994</v>
      </c>
      <c r="AI66">
        <f ca="1"/>
        <v>214.60937499999991</v>
      </c>
      <c r="AJ66">
        <f ca="1"/>
        <v>214.60937499999991</v>
      </c>
      <c r="AK66">
        <f ca="1"/>
        <v>214.60937499999991</v>
      </c>
      <c r="AL66">
        <f ca="1"/>
        <v>214.60937499999991</v>
      </c>
      <c r="AM66">
        <f ca="1"/>
        <v>214.60937499999991</v>
      </c>
      <c r="AN66">
        <f ca="1"/>
        <v>128.76562499999994</v>
      </c>
      <c r="AO66">
        <f ca="1"/>
        <v>214.60937499999991</v>
      </c>
      <c r="AP66">
        <f ca="1"/>
        <v>214.60937499999991</v>
      </c>
      <c r="AQ66">
        <f ca="1"/>
        <v>214.60937499999991</v>
      </c>
      <c r="AR66">
        <f ca="1"/>
        <v>214.60937499999991</v>
      </c>
      <c r="AS66">
        <f ca="1"/>
        <v>171.68749999999994</v>
      </c>
      <c r="AT66">
        <f ca="1"/>
        <v>131.41181766055041</v>
      </c>
      <c r="AU66">
        <f ca="1"/>
        <v>219.01969610091737</v>
      </c>
      <c r="AV66">
        <f ca="1"/>
        <v>219.01969610091737</v>
      </c>
      <c r="AW66">
        <f ca="1"/>
        <v>219.01969610091737</v>
      </c>
      <c r="AX66">
        <f ca="1"/>
        <v>219.01969610091737</v>
      </c>
      <c r="AY66">
        <f ca="1"/>
        <v>219.01969610091737</v>
      </c>
      <c r="AZ66">
        <f ca="1"/>
        <v>131.41181766055041</v>
      </c>
      <c r="BA66">
        <f ca="1"/>
        <v>219.01969610091737</v>
      </c>
      <c r="BB66">
        <f ca="1"/>
        <v>219.01969610091737</v>
      </c>
      <c r="BC66">
        <f ca="1"/>
        <v>219.01969610091737</v>
      </c>
      <c r="BD66">
        <f ca="1"/>
        <v>219.01969610091737</v>
      </c>
      <c r="BE66">
        <f ca="1"/>
        <v>175.21575688073389</v>
      </c>
      <c r="BF66">
        <f ca="1"/>
        <v>132.17042224431813</v>
      </c>
      <c r="BG66">
        <f ca="1"/>
        <v>220.28403707386354</v>
      </c>
      <c r="BH66">
        <f ca="1"/>
        <v>220.28403707386354</v>
      </c>
      <c r="BI66">
        <f ca="1"/>
        <v>220.28403707386354</v>
      </c>
      <c r="BJ66">
        <f ca="1"/>
        <v>220.28403707386354</v>
      </c>
      <c r="BK66">
        <f ca="1"/>
        <v>220.28403707386354</v>
      </c>
      <c r="BL66">
        <f ca="1"/>
        <v>132.17042224431813</v>
      </c>
      <c r="BM66">
        <f ca="1"/>
        <v>220.28403707386354</v>
      </c>
      <c r="BN66">
        <f ca="1"/>
        <v>220.28403707386354</v>
      </c>
      <c r="BO66">
        <f ca="1"/>
        <v>220.28403707386354</v>
      </c>
      <c r="BP66">
        <f ca="1"/>
        <v>220.28403707386354</v>
      </c>
      <c r="BQ66">
        <f ca="1"/>
        <v>176.22722965909082</v>
      </c>
    </row>
    <row r="67" spans="1:69">
      <c r="E67" t="str">
        <v>Moscow</v>
      </c>
      <c r="F67" t="str">
        <v>RUB</v>
      </c>
      <c r="G67" t="s">
        <v>14</v>
      </c>
      <c r="J67">
        <f ca="1"/>
        <v>0</v>
      </c>
      <c r="K67">
        <f ca="1"/>
        <v>0</v>
      </c>
      <c r="L67">
        <f ca="1"/>
        <v>0</v>
      </c>
      <c r="M67">
        <f ca="1"/>
        <v>0</v>
      </c>
      <c r="N67">
        <f ca="1"/>
        <v>0</v>
      </c>
      <c r="O67">
        <f ca="1"/>
        <v>0</v>
      </c>
      <c r="P67">
        <f ca="1"/>
        <v>0</v>
      </c>
      <c r="Q67">
        <f ca="1"/>
        <v>0</v>
      </c>
      <c r="R67">
        <f ca="1"/>
        <v>0</v>
      </c>
      <c r="S67">
        <f ca="1"/>
        <v>0</v>
      </c>
      <c r="T67">
        <f ca="1"/>
        <v>0</v>
      </c>
      <c r="U67">
        <f ca="1"/>
        <v>0</v>
      </c>
      <c r="V67">
        <f ca="1"/>
        <v>0</v>
      </c>
      <c r="W67">
        <f ca="1"/>
        <v>0</v>
      </c>
      <c r="X67">
        <f ca="1"/>
        <v>0</v>
      </c>
      <c r="Y67">
        <f ca="1"/>
        <v>0</v>
      </c>
      <c r="Z67">
        <f ca="1"/>
        <v>0</v>
      </c>
      <c r="AA67">
        <f ca="1"/>
        <v>0</v>
      </c>
      <c r="AB67">
        <f ca="1"/>
        <v>0</v>
      </c>
      <c r="AC67">
        <f ca="1"/>
        <v>0</v>
      </c>
      <c r="AD67">
        <f ca="1"/>
        <v>0</v>
      </c>
      <c r="AE67">
        <f ca="1"/>
        <v>204.72972972972974</v>
      </c>
      <c r="AF67">
        <f ca="1"/>
        <v>204.72972972972974</v>
      </c>
      <c r="AG67">
        <f ca="1"/>
        <v>163.78378378378378</v>
      </c>
      <c r="AH67">
        <f ca="1"/>
        <v>122.41199999999999</v>
      </c>
      <c r="AI67">
        <f ca="1"/>
        <v>204.02</v>
      </c>
      <c r="AJ67">
        <f ca="1"/>
        <v>204.02</v>
      </c>
      <c r="AK67">
        <f ca="1"/>
        <v>204.02</v>
      </c>
      <c r="AL67">
        <f ca="1"/>
        <v>204.02</v>
      </c>
      <c r="AM67">
        <f ca="1"/>
        <v>204.02</v>
      </c>
      <c r="AN67">
        <f ca="1"/>
        <v>122.41199999999999</v>
      </c>
      <c r="AO67">
        <f ca="1"/>
        <v>204.02</v>
      </c>
      <c r="AP67">
        <f ca="1"/>
        <v>204.02</v>
      </c>
      <c r="AQ67">
        <f ca="1"/>
        <v>204.02</v>
      </c>
      <c r="AR67">
        <f ca="1"/>
        <v>204.02</v>
      </c>
      <c r="AS67">
        <f ca="1"/>
        <v>163.21600000000001</v>
      </c>
      <c r="AT67">
        <f ca="1"/>
        <v>122.61333552631578</v>
      </c>
      <c r="AU67">
        <f ca="1"/>
        <v>204.35555921052628</v>
      </c>
      <c r="AV67">
        <f ca="1"/>
        <v>204.35555921052628</v>
      </c>
      <c r="AW67">
        <f ca="1"/>
        <v>204.35555921052628</v>
      </c>
      <c r="AX67">
        <f ca="1"/>
        <v>204.35555921052628</v>
      </c>
      <c r="AY67">
        <f ca="1"/>
        <v>204.35555921052628</v>
      </c>
      <c r="AZ67">
        <f ca="1"/>
        <v>122.61333552631578</v>
      </c>
      <c r="BA67">
        <f ca="1"/>
        <v>204.35555921052628</v>
      </c>
      <c r="BB67">
        <f ca="1"/>
        <v>204.35555921052628</v>
      </c>
      <c r="BC67">
        <f ca="1"/>
        <v>204.35555921052628</v>
      </c>
      <c r="BD67">
        <f ca="1"/>
        <v>204.35555921052628</v>
      </c>
      <c r="BE67">
        <f ca="1"/>
        <v>163.48444736842103</v>
      </c>
      <c r="BF67">
        <f ca="1"/>
        <v>122.23116409090909</v>
      </c>
      <c r="BG67">
        <f ca="1"/>
        <v>203.71860681818183</v>
      </c>
      <c r="BH67">
        <f ca="1"/>
        <v>203.71860681818183</v>
      </c>
      <c r="BI67">
        <f ca="1"/>
        <v>203.71860681818183</v>
      </c>
      <c r="BJ67">
        <f ca="1"/>
        <v>203.71860681818183</v>
      </c>
      <c r="BK67">
        <f ca="1"/>
        <v>203.71860681818183</v>
      </c>
      <c r="BL67">
        <f ca="1"/>
        <v>122.23116409090909</v>
      </c>
      <c r="BM67">
        <f ca="1"/>
        <v>203.71860681818183</v>
      </c>
      <c r="BN67">
        <f ca="1"/>
        <v>203.71860681818183</v>
      </c>
      <c r="BO67">
        <f ca="1"/>
        <v>203.71860681818183</v>
      </c>
      <c r="BP67">
        <f ca="1"/>
        <v>203.71860681818183</v>
      </c>
      <c r="BQ67">
        <f ca="1"/>
        <v>162.97488545454544</v>
      </c>
    </row>
    <row r="69" spans="1:69" s="98" customFormat="1">
      <c r="A69" s="95" t="s">
        <v>101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9D74-3965-4548-985A-8BD483CA5F1E}">
  <sheetPr>
    <pageSetUpPr autoPageBreaks="0"/>
  </sheetPr>
  <dimension ref="A1:BQ54"/>
  <sheetViews>
    <sheetView showGridLines="0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8" sqref="J8"/>
    </sheetView>
  </sheetViews>
  <sheetFormatPr defaultColWidth="12.69921875" defaultRowHeight="13.8"/>
  <cols>
    <col min="1" max="4" width="1.69921875" customWidth="1"/>
    <col min="5" max="5" width="45.69921875" customWidth="1"/>
    <col min="6" max="6" width="11.69921875" customWidth="1"/>
    <col min="7" max="8" width="10.69921875" customWidth="1"/>
    <col min="9" max="9" width="1.69921875" customWidth="1"/>
  </cols>
  <sheetData>
    <row r="1" spans="1:69" s="97" customFormat="1">
      <c r="A1" s="97" t="str">
        <f>company</f>
        <v>Fashion Boutique</v>
      </c>
    </row>
    <row r="2" spans="1:69" s="97" customFormat="1">
      <c r="A2" s="97" t="str" cm="1">
        <f t="array" ref="A2">topic</f>
        <v>CFM Topic: Revenue</v>
      </c>
      <c r="J2" s="100" cm="1">
        <f t="array" ref="J2:BQ2" xml:space="preserve"> EDATE( start_date, _xlfn.SEQUENCE( 1, periods, 0, 1 ) )</f>
        <v>44562</v>
      </c>
      <c r="K2" s="100">
        <v>44593</v>
      </c>
      <c r="L2" s="100">
        <v>44621</v>
      </c>
      <c r="M2" s="100">
        <v>44652</v>
      </c>
      <c r="N2" s="100">
        <v>44682</v>
      </c>
      <c r="O2" s="100">
        <v>44713</v>
      </c>
      <c r="P2" s="100">
        <v>44743</v>
      </c>
      <c r="Q2" s="100">
        <v>44774</v>
      </c>
      <c r="R2" s="100">
        <v>44805</v>
      </c>
      <c r="S2" s="100">
        <v>44835</v>
      </c>
      <c r="T2" s="100">
        <v>44866</v>
      </c>
      <c r="U2" s="100">
        <v>44896</v>
      </c>
      <c r="V2" s="100">
        <v>44927</v>
      </c>
      <c r="W2" s="100">
        <v>44958</v>
      </c>
      <c r="X2" s="100">
        <v>44986</v>
      </c>
      <c r="Y2" s="100">
        <v>45017</v>
      </c>
      <c r="Z2" s="100">
        <v>45047</v>
      </c>
      <c r="AA2" s="100">
        <v>45078</v>
      </c>
      <c r="AB2" s="100">
        <v>45108</v>
      </c>
      <c r="AC2" s="100">
        <v>45139</v>
      </c>
      <c r="AD2" s="100">
        <v>45170</v>
      </c>
      <c r="AE2" s="100">
        <v>45200</v>
      </c>
      <c r="AF2" s="100">
        <v>45231</v>
      </c>
      <c r="AG2" s="100">
        <v>45261</v>
      </c>
      <c r="AH2" s="100">
        <v>45292</v>
      </c>
      <c r="AI2" s="100">
        <v>45323</v>
      </c>
      <c r="AJ2" s="100">
        <v>45352</v>
      </c>
      <c r="AK2" s="100">
        <v>45383</v>
      </c>
      <c r="AL2" s="100">
        <v>45413</v>
      </c>
      <c r="AM2" s="100">
        <v>45444</v>
      </c>
      <c r="AN2" s="100">
        <v>45474</v>
      </c>
      <c r="AO2" s="100">
        <v>45505</v>
      </c>
      <c r="AP2" s="100">
        <v>45536</v>
      </c>
      <c r="AQ2" s="100">
        <v>45566</v>
      </c>
      <c r="AR2" s="100">
        <v>45597</v>
      </c>
      <c r="AS2" s="100">
        <v>45627</v>
      </c>
      <c r="AT2" s="100">
        <v>45658</v>
      </c>
      <c r="AU2" s="100">
        <v>45689</v>
      </c>
      <c r="AV2" s="100">
        <v>45717</v>
      </c>
      <c r="AW2" s="100">
        <v>45748</v>
      </c>
      <c r="AX2" s="100">
        <v>45778</v>
      </c>
      <c r="AY2" s="100">
        <v>45809</v>
      </c>
      <c r="AZ2" s="100">
        <v>45839</v>
      </c>
      <c r="BA2" s="100">
        <v>45870</v>
      </c>
      <c r="BB2" s="100">
        <v>45901</v>
      </c>
      <c r="BC2" s="100">
        <v>45931</v>
      </c>
      <c r="BD2" s="100">
        <v>45962</v>
      </c>
      <c r="BE2" s="100">
        <v>45992</v>
      </c>
      <c r="BF2" s="100">
        <v>46023</v>
      </c>
      <c r="BG2" s="100">
        <v>46054</v>
      </c>
      <c r="BH2" s="100">
        <v>46082</v>
      </c>
      <c r="BI2" s="100">
        <v>46113</v>
      </c>
      <c r="BJ2" s="100">
        <v>46143</v>
      </c>
      <c r="BK2" s="100">
        <v>46174</v>
      </c>
      <c r="BL2" s="100">
        <v>46204</v>
      </c>
      <c r="BM2" s="100">
        <v>46235</v>
      </c>
      <c r="BN2" s="100">
        <v>46266</v>
      </c>
      <c r="BO2" s="100">
        <v>46296</v>
      </c>
      <c r="BP2" s="100">
        <v>46327</v>
      </c>
      <c r="BQ2" s="100">
        <v>46357</v>
      </c>
    </row>
    <row r="3" spans="1:69" s="97" customFormat="1">
      <c r="A3" s="97" t="s">
        <v>95</v>
      </c>
      <c r="F3" s="97" t="s">
        <v>84</v>
      </c>
      <c r="G3" s="97" t="s">
        <v>82</v>
      </c>
      <c r="H3" s="97" t="s">
        <v>83</v>
      </c>
      <c r="J3" s="100" cm="1">
        <f t="array" ref="J3:BQ3" xml:space="preserve"> EOMONTH( start_date, _xlfn.SEQUENCE( 1, periods, 0, 1 ) )</f>
        <v>44592</v>
      </c>
      <c r="K3" s="100">
        <v>44620</v>
      </c>
      <c r="L3" s="100">
        <v>44651</v>
      </c>
      <c r="M3" s="100">
        <v>44681</v>
      </c>
      <c r="N3" s="100">
        <v>44712</v>
      </c>
      <c r="O3" s="100">
        <v>44742</v>
      </c>
      <c r="P3" s="100">
        <v>44773</v>
      </c>
      <c r="Q3" s="100">
        <v>44804</v>
      </c>
      <c r="R3" s="100">
        <v>44834</v>
      </c>
      <c r="S3" s="100">
        <v>44865</v>
      </c>
      <c r="T3" s="100">
        <v>44895</v>
      </c>
      <c r="U3" s="100">
        <v>44926</v>
      </c>
      <c r="V3" s="100">
        <v>44957</v>
      </c>
      <c r="W3" s="100">
        <v>44985</v>
      </c>
      <c r="X3" s="100">
        <v>45016</v>
      </c>
      <c r="Y3" s="100">
        <v>45046</v>
      </c>
      <c r="Z3" s="100">
        <v>45077</v>
      </c>
      <c r="AA3" s="100">
        <v>45107</v>
      </c>
      <c r="AB3" s="100">
        <v>45138</v>
      </c>
      <c r="AC3" s="100">
        <v>45169</v>
      </c>
      <c r="AD3" s="100">
        <v>45199</v>
      </c>
      <c r="AE3" s="100">
        <v>45230</v>
      </c>
      <c r="AF3" s="100">
        <v>45260</v>
      </c>
      <c r="AG3" s="100">
        <v>45291</v>
      </c>
      <c r="AH3" s="100">
        <v>45322</v>
      </c>
      <c r="AI3" s="100">
        <v>45351</v>
      </c>
      <c r="AJ3" s="100">
        <v>45382</v>
      </c>
      <c r="AK3" s="100">
        <v>45412</v>
      </c>
      <c r="AL3" s="100">
        <v>45443</v>
      </c>
      <c r="AM3" s="100">
        <v>45473</v>
      </c>
      <c r="AN3" s="100">
        <v>45504</v>
      </c>
      <c r="AO3" s="100">
        <v>45535</v>
      </c>
      <c r="AP3" s="100">
        <v>45565</v>
      </c>
      <c r="AQ3" s="100">
        <v>45596</v>
      </c>
      <c r="AR3" s="100">
        <v>45626</v>
      </c>
      <c r="AS3" s="100">
        <v>45657</v>
      </c>
      <c r="AT3" s="100">
        <v>45688</v>
      </c>
      <c r="AU3" s="100">
        <v>45716</v>
      </c>
      <c r="AV3" s="100">
        <v>45747</v>
      </c>
      <c r="AW3" s="100">
        <v>45777</v>
      </c>
      <c r="AX3" s="100">
        <v>45808</v>
      </c>
      <c r="AY3" s="100">
        <v>45838</v>
      </c>
      <c r="AZ3" s="100">
        <v>45869</v>
      </c>
      <c r="BA3" s="100">
        <v>45900</v>
      </c>
      <c r="BB3" s="100">
        <v>45930</v>
      </c>
      <c r="BC3" s="100">
        <v>45961</v>
      </c>
      <c r="BD3" s="100">
        <v>45991</v>
      </c>
      <c r="BE3" s="100">
        <v>46022</v>
      </c>
      <c r="BF3" s="100">
        <v>46053</v>
      </c>
      <c r="BG3" s="100">
        <v>46081</v>
      </c>
      <c r="BH3" s="100">
        <v>46112</v>
      </c>
      <c r="BI3" s="100">
        <v>46142</v>
      </c>
      <c r="BJ3" s="100">
        <v>46173</v>
      </c>
      <c r="BK3" s="100">
        <v>46203</v>
      </c>
      <c r="BL3" s="100">
        <v>46234</v>
      </c>
      <c r="BM3" s="100">
        <v>46265</v>
      </c>
      <c r="BN3" s="100">
        <v>46295</v>
      </c>
      <c r="BO3" s="100">
        <v>46326</v>
      </c>
      <c r="BP3" s="100">
        <v>46356</v>
      </c>
      <c r="BQ3" s="100">
        <v>46387</v>
      </c>
    </row>
    <row r="5" spans="1:69" s="98" customFormat="1">
      <c r="A5" s="95" t="s">
        <v>104</v>
      </c>
    </row>
    <row r="7" spans="1:69">
      <c r="D7" s="101" t="s">
        <v>36</v>
      </c>
    </row>
    <row r="8" spans="1:69">
      <c r="E8" t="str" cm="1">
        <f t="array" ref="E8:E15">lstStores</f>
        <v>Paris</v>
      </c>
      <c r="G8" t="s">
        <v>96</v>
      </c>
      <c r="J8" s="120" cm="1">
        <f t="array" ref="J8:BQ15" xml:space="preserve"> _xlfn.LET(
       _xlpm.operating_flag,_xlfn.ANCHORARRAY( Time!$J18),
       _xlpm.unit_sales_table, CaseData!$B$27:$E$35,
       _xlpm.store_row, CaseData!$B$27:$B$35,
       _xlpm.apparel_column, CaseData!$B$27:$E$27,
       _xlpm.current_apparel, Volume!$D7,
       _xlpm.current_store,_xlfn.ANCHORARRAY( Volume!$E8),
       _xlpm.women_unit_sales, INDEX( _xlpm.unit_sales_table, _xlfn.XMATCH( _xlpm.current_store, _xlpm.store_row, 0), _xlfn.XMATCH( _xlpm.current_apparel, _xlpm.apparel_column, 0) ),
       _xlpm.current_month,_xlfn.ANCHORARRAY( Time!J$11),
       _xlpm.seasonality_month, CaseData!$C$58:$C$69,
       _xlpm.seasonality_percentage, CaseData!$D$58:$D$69,
       _xlpm.seasonality, _xlfn.XLOOKUP( _xlpm.current_month, _xlpm.seasonality_month, _xlpm.seasonality_percentage, 1, 0, 1 ),
       _xlpm.current_capacity_month,_xlfn.ANCHORARRAY( Time!$J28),
       _xlpm.capacity_month, CaseData!$I$10:$I$22,
       _xlpm.capacity_percentage, CaseData!$J$10:$J$22,
       _xlpm.capacity, _xlfn.XLOOKUP( _xlpm.current_capacity_month, _xlpm.capacity_month, _xlpm.capacity_percentage, 1, 0, 1 ),
       _xlpm.operating_flag * _xlpm.women_unit_sales * _xlpm.seasonality * IF( _xlpm.capacity &lt; 1, _xlpm.capacity, 1) )</f>
        <v>450</v>
      </c>
      <c r="K8">
        <v>180</v>
      </c>
      <c r="L8">
        <v>180</v>
      </c>
      <c r="M8">
        <v>180</v>
      </c>
      <c r="N8">
        <v>180</v>
      </c>
      <c r="O8">
        <v>180</v>
      </c>
      <c r="P8">
        <v>450</v>
      </c>
      <c r="Q8">
        <v>180</v>
      </c>
      <c r="R8">
        <v>180</v>
      </c>
      <c r="S8">
        <v>180</v>
      </c>
      <c r="T8">
        <v>180</v>
      </c>
      <c r="U8">
        <v>270</v>
      </c>
      <c r="V8">
        <v>450</v>
      </c>
      <c r="W8">
        <v>180</v>
      </c>
      <c r="X8">
        <v>180</v>
      </c>
      <c r="Y8">
        <v>180</v>
      </c>
      <c r="Z8">
        <v>180</v>
      </c>
      <c r="AA8">
        <v>180</v>
      </c>
      <c r="AB8">
        <v>450</v>
      </c>
      <c r="AC8">
        <v>180</v>
      </c>
      <c r="AD8">
        <v>180</v>
      </c>
      <c r="AE8">
        <v>180</v>
      </c>
      <c r="AF8">
        <v>180</v>
      </c>
      <c r="AG8">
        <v>270</v>
      </c>
      <c r="AH8">
        <v>450</v>
      </c>
      <c r="AI8">
        <v>180</v>
      </c>
      <c r="AJ8">
        <v>180</v>
      </c>
      <c r="AK8">
        <v>180</v>
      </c>
      <c r="AL8">
        <v>180</v>
      </c>
      <c r="AM8">
        <v>180</v>
      </c>
      <c r="AN8">
        <v>450</v>
      </c>
      <c r="AO8">
        <v>180</v>
      </c>
      <c r="AP8">
        <v>180</v>
      </c>
      <c r="AQ8">
        <v>180</v>
      </c>
      <c r="AR8">
        <v>180</v>
      </c>
      <c r="AS8">
        <v>270</v>
      </c>
      <c r="AT8">
        <v>450</v>
      </c>
      <c r="AU8">
        <v>180</v>
      </c>
      <c r="AV8">
        <v>180</v>
      </c>
      <c r="AW8">
        <v>180</v>
      </c>
      <c r="AX8">
        <v>180</v>
      </c>
      <c r="AY8">
        <v>180</v>
      </c>
      <c r="AZ8">
        <v>450</v>
      </c>
      <c r="BA8">
        <v>180</v>
      </c>
      <c r="BB8">
        <v>180</v>
      </c>
      <c r="BC8">
        <v>180</v>
      </c>
      <c r="BD8">
        <v>180</v>
      </c>
      <c r="BE8">
        <v>270</v>
      </c>
      <c r="BF8">
        <v>450</v>
      </c>
      <c r="BG8">
        <v>180</v>
      </c>
      <c r="BH8">
        <v>180</v>
      </c>
      <c r="BI8">
        <v>180</v>
      </c>
      <c r="BJ8">
        <v>180</v>
      </c>
      <c r="BK8">
        <v>180</v>
      </c>
      <c r="BL8">
        <v>450</v>
      </c>
      <c r="BM8">
        <v>180</v>
      </c>
      <c r="BN8">
        <v>180</v>
      </c>
      <c r="BO8">
        <v>180</v>
      </c>
      <c r="BP8">
        <v>180</v>
      </c>
      <c r="BQ8">
        <v>270</v>
      </c>
    </row>
    <row r="9" spans="1:69">
      <c r="E9" t="str">
        <v>Milano</v>
      </c>
      <c r="G9" t="s">
        <v>96</v>
      </c>
      <c r="J9">
        <v>700</v>
      </c>
      <c r="K9">
        <v>280</v>
      </c>
      <c r="L9">
        <v>280</v>
      </c>
      <c r="M9">
        <v>280</v>
      </c>
      <c r="N9">
        <v>280</v>
      </c>
      <c r="O9">
        <v>280</v>
      </c>
      <c r="P9">
        <v>700</v>
      </c>
      <c r="Q9">
        <v>280</v>
      </c>
      <c r="R9">
        <v>280</v>
      </c>
      <c r="S9">
        <v>280</v>
      </c>
      <c r="T9">
        <v>280</v>
      </c>
      <c r="U9">
        <v>420</v>
      </c>
      <c r="V9">
        <v>700</v>
      </c>
      <c r="W9">
        <v>280</v>
      </c>
      <c r="X9">
        <v>280</v>
      </c>
      <c r="Y9">
        <v>280</v>
      </c>
      <c r="Z9">
        <v>280</v>
      </c>
      <c r="AA9">
        <v>280</v>
      </c>
      <c r="AB9">
        <v>700</v>
      </c>
      <c r="AC9">
        <v>280</v>
      </c>
      <c r="AD9">
        <v>280</v>
      </c>
      <c r="AE9">
        <v>280</v>
      </c>
      <c r="AF9">
        <v>280</v>
      </c>
      <c r="AG9">
        <v>420</v>
      </c>
      <c r="AH9">
        <v>700</v>
      </c>
      <c r="AI9">
        <v>280</v>
      </c>
      <c r="AJ9">
        <v>280</v>
      </c>
      <c r="AK9">
        <v>280</v>
      </c>
      <c r="AL9">
        <v>280</v>
      </c>
      <c r="AM9">
        <v>280</v>
      </c>
      <c r="AN9">
        <v>700</v>
      </c>
      <c r="AO9">
        <v>280</v>
      </c>
      <c r="AP9">
        <v>280</v>
      </c>
      <c r="AQ9">
        <v>280</v>
      </c>
      <c r="AR9">
        <v>280</v>
      </c>
      <c r="AS9">
        <v>420</v>
      </c>
      <c r="AT9">
        <v>700</v>
      </c>
      <c r="AU9">
        <v>280</v>
      </c>
      <c r="AV9">
        <v>280</v>
      </c>
      <c r="AW9">
        <v>280</v>
      </c>
      <c r="AX9">
        <v>280</v>
      </c>
      <c r="AY9">
        <v>280</v>
      </c>
      <c r="AZ9">
        <v>700</v>
      </c>
      <c r="BA9">
        <v>280</v>
      </c>
      <c r="BB9">
        <v>280</v>
      </c>
      <c r="BC9">
        <v>280</v>
      </c>
      <c r="BD9">
        <v>280</v>
      </c>
      <c r="BE9">
        <v>420</v>
      </c>
      <c r="BF9">
        <v>700</v>
      </c>
      <c r="BG9">
        <v>280</v>
      </c>
      <c r="BH9">
        <v>280</v>
      </c>
      <c r="BI9">
        <v>280</v>
      </c>
      <c r="BJ9">
        <v>280</v>
      </c>
      <c r="BK9">
        <v>280</v>
      </c>
      <c r="BL9">
        <v>700</v>
      </c>
      <c r="BM9">
        <v>280</v>
      </c>
      <c r="BN9">
        <v>280</v>
      </c>
      <c r="BO9">
        <v>280</v>
      </c>
      <c r="BP9">
        <v>280</v>
      </c>
      <c r="BQ9">
        <v>420</v>
      </c>
    </row>
    <row r="10" spans="1:69">
      <c r="E10" t="str">
        <v>Madrid</v>
      </c>
      <c r="G10" t="s">
        <v>96</v>
      </c>
      <c r="J10">
        <v>375</v>
      </c>
      <c r="K10">
        <v>150</v>
      </c>
      <c r="L10">
        <v>150</v>
      </c>
      <c r="M10">
        <v>150</v>
      </c>
      <c r="N10">
        <v>150</v>
      </c>
      <c r="O10">
        <v>150</v>
      </c>
      <c r="P10">
        <v>375</v>
      </c>
      <c r="Q10">
        <v>150</v>
      </c>
      <c r="R10">
        <v>150</v>
      </c>
      <c r="S10">
        <v>150</v>
      </c>
      <c r="T10">
        <v>150</v>
      </c>
      <c r="U10">
        <v>225</v>
      </c>
      <c r="V10">
        <v>375</v>
      </c>
      <c r="W10">
        <v>150</v>
      </c>
      <c r="X10">
        <v>150</v>
      </c>
      <c r="Y10">
        <v>150</v>
      </c>
      <c r="Z10">
        <v>150</v>
      </c>
      <c r="AA10">
        <v>150</v>
      </c>
      <c r="AB10">
        <v>375</v>
      </c>
      <c r="AC10">
        <v>150</v>
      </c>
      <c r="AD10">
        <v>150</v>
      </c>
      <c r="AE10">
        <v>150</v>
      </c>
      <c r="AF10">
        <v>150</v>
      </c>
      <c r="AG10">
        <v>225</v>
      </c>
      <c r="AH10">
        <v>375</v>
      </c>
      <c r="AI10">
        <v>150</v>
      </c>
      <c r="AJ10">
        <v>150</v>
      </c>
      <c r="AK10">
        <v>150</v>
      </c>
      <c r="AL10">
        <v>150</v>
      </c>
      <c r="AM10">
        <v>150</v>
      </c>
      <c r="AN10">
        <v>375</v>
      </c>
      <c r="AO10">
        <v>150</v>
      </c>
      <c r="AP10">
        <v>150</v>
      </c>
      <c r="AQ10">
        <v>150</v>
      </c>
      <c r="AR10">
        <v>150</v>
      </c>
      <c r="AS10">
        <v>225</v>
      </c>
      <c r="AT10">
        <v>375</v>
      </c>
      <c r="AU10">
        <v>150</v>
      </c>
      <c r="AV10">
        <v>150</v>
      </c>
      <c r="AW10">
        <v>150</v>
      </c>
      <c r="AX10">
        <v>150</v>
      </c>
      <c r="AY10">
        <v>150</v>
      </c>
      <c r="AZ10">
        <v>375</v>
      </c>
      <c r="BA10">
        <v>150</v>
      </c>
      <c r="BB10">
        <v>150</v>
      </c>
      <c r="BC10">
        <v>150</v>
      </c>
      <c r="BD10">
        <v>150</v>
      </c>
      <c r="BE10">
        <v>225</v>
      </c>
      <c r="BF10">
        <v>375</v>
      </c>
      <c r="BG10">
        <v>150</v>
      </c>
      <c r="BH10">
        <v>150</v>
      </c>
      <c r="BI10">
        <v>150</v>
      </c>
      <c r="BJ10">
        <v>150</v>
      </c>
      <c r="BK10">
        <v>150</v>
      </c>
      <c r="BL10">
        <v>375</v>
      </c>
      <c r="BM10">
        <v>150</v>
      </c>
      <c r="BN10">
        <v>150</v>
      </c>
      <c r="BO10">
        <v>150</v>
      </c>
      <c r="BP10">
        <v>150</v>
      </c>
      <c r="BQ10">
        <v>225</v>
      </c>
    </row>
    <row r="11" spans="1:69">
      <c r="E11" t="str">
        <v>London</v>
      </c>
      <c r="G11" t="s">
        <v>96</v>
      </c>
      <c r="J11">
        <v>275</v>
      </c>
      <c r="K11">
        <v>110</v>
      </c>
      <c r="L11">
        <v>110</v>
      </c>
      <c r="M11">
        <v>110</v>
      </c>
      <c r="N11">
        <v>110</v>
      </c>
      <c r="O11">
        <v>110</v>
      </c>
      <c r="P11">
        <v>275</v>
      </c>
      <c r="Q11">
        <v>110</v>
      </c>
      <c r="R11">
        <v>110</v>
      </c>
      <c r="S11">
        <v>110</v>
      </c>
      <c r="T11">
        <v>110</v>
      </c>
      <c r="U11">
        <v>165</v>
      </c>
      <c r="V11">
        <v>275</v>
      </c>
      <c r="W11">
        <v>110</v>
      </c>
      <c r="X11">
        <v>110</v>
      </c>
      <c r="Y11">
        <v>110</v>
      </c>
      <c r="Z11">
        <v>110</v>
      </c>
      <c r="AA11">
        <v>110</v>
      </c>
      <c r="AB11">
        <v>275</v>
      </c>
      <c r="AC11">
        <v>110</v>
      </c>
      <c r="AD11">
        <v>110</v>
      </c>
      <c r="AE11">
        <v>110</v>
      </c>
      <c r="AF11">
        <v>110</v>
      </c>
      <c r="AG11">
        <v>165</v>
      </c>
      <c r="AH11">
        <v>275</v>
      </c>
      <c r="AI11">
        <v>110</v>
      </c>
      <c r="AJ11">
        <v>110</v>
      </c>
      <c r="AK11">
        <v>110</v>
      </c>
      <c r="AL11">
        <v>110</v>
      </c>
      <c r="AM11">
        <v>110</v>
      </c>
      <c r="AN11">
        <v>275</v>
      </c>
      <c r="AO11">
        <v>110</v>
      </c>
      <c r="AP11">
        <v>110</v>
      </c>
      <c r="AQ11">
        <v>110</v>
      </c>
      <c r="AR11">
        <v>110</v>
      </c>
      <c r="AS11">
        <v>165</v>
      </c>
      <c r="AT11">
        <v>275</v>
      </c>
      <c r="AU11">
        <v>110</v>
      </c>
      <c r="AV11">
        <v>110</v>
      </c>
      <c r="AW11">
        <v>110</v>
      </c>
      <c r="AX11">
        <v>110</v>
      </c>
      <c r="AY11">
        <v>110</v>
      </c>
      <c r="AZ11">
        <v>275</v>
      </c>
      <c r="BA11">
        <v>110</v>
      </c>
      <c r="BB11">
        <v>110</v>
      </c>
      <c r="BC11">
        <v>110</v>
      </c>
      <c r="BD11">
        <v>110</v>
      </c>
      <c r="BE11">
        <v>165</v>
      </c>
      <c r="BF11">
        <v>275</v>
      </c>
      <c r="BG11">
        <v>110</v>
      </c>
      <c r="BH11">
        <v>110</v>
      </c>
      <c r="BI11">
        <v>110</v>
      </c>
      <c r="BJ11">
        <v>110</v>
      </c>
      <c r="BK11">
        <v>110</v>
      </c>
      <c r="BL11">
        <v>275</v>
      </c>
      <c r="BM11">
        <v>110</v>
      </c>
      <c r="BN11">
        <v>110</v>
      </c>
      <c r="BO11">
        <v>110</v>
      </c>
      <c r="BP11">
        <v>110</v>
      </c>
      <c r="BQ11">
        <v>165</v>
      </c>
    </row>
    <row r="12" spans="1:69">
      <c r="E12" t="str">
        <v>New York</v>
      </c>
      <c r="G12" t="s">
        <v>96</v>
      </c>
      <c r="J12">
        <v>0</v>
      </c>
      <c r="K12">
        <v>0</v>
      </c>
      <c r="L12">
        <v>0</v>
      </c>
      <c r="M12">
        <v>59.583333333333314</v>
      </c>
      <c r="N12">
        <v>64.166666666666657</v>
      </c>
      <c r="O12">
        <v>68.75</v>
      </c>
      <c r="P12">
        <v>183.33333333333331</v>
      </c>
      <c r="Q12">
        <v>77.916666666666657</v>
      </c>
      <c r="R12">
        <v>82.5</v>
      </c>
      <c r="S12">
        <v>87.083333333333343</v>
      </c>
      <c r="T12">
        <v>91.666666666666671</v>
      </c>
      <c r="U12">
        <v>144.375</v>
      </c>
      <c r="V12">
        <v>252.08333333333334</v>
      </c>
      <c r="W12">
        <v>105.41666666666669</v>
      </c>
      <c r="X12">
        <v>110</v>
      </c>
      <c r="Y12">
        <v>110</v>
      </c>
      <c r="Z12">
        <v>110</v>
      </c>
      <c r="AA12">
        <v>110</v>
      </c>
      <c r="AB12">
        <v>275</v>
      </c>
      <c r="AC12">
        <v>110</v>
      </c>
      <c r="AD12">
        <v>110</v>
      </c>
      <c r="AE12">
        <v>110</v>
      </c>
      <c r="AF12">
        <v>110</v>
      </c>
      <c r="AG12">
        <v>165</v>
      </c>
      <c r="AH12">
        <v>275</v>
      </c>
      <c r="AI12">
        <v>110</v>
      </c>
      <c r="AJ12">
        <v>110</v>
      </c>
      <c r="AK12">
        <v>110</v>
      </c>
      <c r="AL12">
        <v>110</v>
      </c>
      <c r="AM12">
        <v>110</v>
      </c>
      <c r="AN12">
        <v>275</v>
      </c>
      <c r="AO12">
        <v>110</v>
      </c>
      <c r="AP12">
        <v>110</v>
      </c>
      <c r="AQ12">
        <v>110</v>
      </c>
      <c r="AR12">
        <v>110</v>
      </c>
      <c r="AS12">
        <v>165</v>
      </c>
      <c r="AT12">
        <v>275</v>
      </c>
      <c r="AU12">
        <v>110</v>
      </c>
      <c r="AV12">
        <v>110</v>
      </c>
      <c r="AW12">
        <v>110</v>
      </c>
      <c r="AX12">
        <v>110</v>
      </c>
      <c r="AY12">
        <v>110</v>
      </c>
      <c r="AZ12">
        <v>275</v>
      </c>
      <c r="BA12">
        <v>110</v>
      </c>
      <c r="BB12">
        <v>110</v>
      </c>
      <c r="BC12">
        <v>110</v>
      </c>
      <c r="BD12">
        <v>110</v>
      </c>
      <c r="BE12">
        <v>165</v>
      </c>
      <c r="BF12">
        <v>275</v>
      </c>
      <c r="BG12">
        <v>110</v>
      </c>
      <c r="BH12">
        <v>110</v>
      </c>
      <c r="BI12">
        <v>110</v>
      </c>
      <c r="BJ12">
        <v>110</v>
      </c>
      <c r="BK12">
        <v>110</v>
      </c>
      <c r="BL12">
        <v>275</v>
      </c>
      <c r="BM12">
        <v>110</v>
      </c>
      <c r="BN12">
        <v>110</v>
      </c>
      <c r="BO12">
        <v>110</v>
      </c>
      <c r="BP12">
        <v>110</v>
      </c>
      <c r="BQ12">
        <v>165</v>
      </c>
    </row>
    <row r="13" spans="1:69">
      <c r="E13" t="str">
        <v>Montreal</v>
      </c>
      <c r="G13" t="s">
        <v>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97.499999999999972</v>
      </c>
      <c r="T13">
        <v>104.99999999999999</v>
      </c>
      <c r="U13">
        <v>168.75</v>
      </c>
      <c r="V13">
        <v>300</v>
      </c>
      <c r="W13">
        <v>127.49999999999999</v>
      </c>
      <c r="X13">
        <v>135</v>
      </c>
      <c r="Y13">
        <v>142.5</v>
      </c>
      <c r="Z13">
        <v>150</v>
      </c>
      <c r="AA13">
        <v>157.5</v>
      </c>
      <c r="AB13">
        <v>412.50000000000006</v>
      </c>
      <c r="AC13">
        <v>172.50000000000003</v>
      </c>
      <c r="AD13">
        <v>180</v>
      </c>
      <c r="AE13">
        <v>180</v>
      </c>
      <c r="AF13">
        <v>180</v>
      </c>
      <c r="AG13">
        <v>270</v>
      </c>
      <c r="AH13">
        <v>450</v>
      </c>
      <c r="AI13">
        <v>180</v>
      </c>
      <c r="AJ13">
        <v>180</v>
      </c>
      <c r="AK13">
        <v>180</v>
      </c>
      <c r="AL13">
        <v>180</v>
      </c>
      <c r="AM13">
        <v>180</v>
      </c>
      <c r="AN13">
        <v>450</v>
      </c>
      <c r="AO13">
        <v>180</v>
      </c>
      <c r="AP13">
        <v>180</v>
      </c>
      <c r="AQ13">
        <v>180</v>
      </c>
      <c r="AR13">
        <v>180</v>
      </c>
      <c r="AS13">
        <v>270</v>
      </c>
      <c r="AT13">
        <v>450</v>
      </c>
      <c r="AU13">
        <v>180</v>
      </c>
      <c r="AV13">
        <v>180</v>
      </c>
      <c r="AW13">
        <v>180</v>
      </c>
      <c r="AX13">
        <v>180</v>
      </c>
      <c r="AY13">
        <v>180</v>
      </c>
      <c r="AZ13">
        <v>450</v>
      </c>
      <c r="BA13">
        <v>180</v>
      </c>
      <c r="BB13">
        <v>180</v>
      </c>
      <c r="BC13">
        <v>180</v>
      </c>
      <c r="BD13">
        <v>180</v>
      </c>
      <c r="BE13">
        <v>270</v>
      </c>
      <c r="BF13">
        <v>450</v>
      </c>
      <c r="BG13">
        <v>180</v>
      </c>
      <c r="BH13">
        <v>180</v>
      </c>
      <c r="BI13">
        <v>180</v>
      </c>
      <c r="BJ13">
        <v>180</v>
      </c>
      <c r="BK13">
        <v>180</v>
      </c>
      <c r="BL13">
        <v>450</v>
      </c>
      <c r="BM13">
        <v>180</v>
      </c>
      <c r="BN13">
        <v>180</v>
      </c>
      <c r="BO13">
        <v>180</v>
      </c>
      <c r="BP13">
        <v>180</v>
      </c>
      <c r="BQ13">
        <v>270</v>
      </c>
    </row>
    <row r="14" spans="1:69">
      <c r="E14" t="str">
        <v>Zurich</v>
      </c>
      <c r="G14" t="s">
        <v>96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151.66666666666663</v>
      </c>
      <c r="Z14">
        <v>163.33333333333331</v>
      </c>
      <c r="AA14">
        <v>175</v>
      </c>
      <c r="AB14">
        <v>466.66666666666663</v>
      </c>
      <c r="AC14">
        <v>198.33333333333331</v>
      </c>
      <c r="AD14">
        <v>210</v>
      </c>
      <c r="AE14">
        <v>221.66666666666669</v>
      </c>
      <c r="AF14">
        <v>233.33333333333334</v>
      </c>
      <c r="AG14">
        <v>367.5</v>
      </c>
      <c r="AH14">
        <v>641.66666666666674</v>
      </c>
      <c r="AI14">
        <v>268.33333333333337</v>
      </c>
      <c r="AJ14">
        <v>280</v>
      </c>
      <c r="AK14">
        <v>280</v>
      </c>
      <c r="AL14">
        <v>280</v>
      </c>
      <c r="AM14">
        <v>280</v>
      </c>
      <c r="AN14">
        <v>700</v>
      </c>
      <c r="AO14">
        <v>280</v>
      </c>
      <c r="AP14">
        <v>280</v>
      </c>
      <c r="AQ14">
        <v>280</v>
      </c>
      <c r="AR14">
        <v>280</v>
      </c>
      <c r="AS14">
        <v>420</v>
      </c>
      <c r="AT14">
        <v>700</v>
      </c>
      <c r="AU14">
        <v>280</v>
      </c>
      <c r="AV14">
        <v>280</v>
      </c>
      <c r="AW14">
        <v>280</v>
      </c>
      <c r="AX14">
        <v>280</v>
      </c>
      <c r="AY14">
        <v>280</v>
      </c>
      <c r="AZ14">
        <v>700</v>
      </c>
      <c r="BA14">
        <v>280</v>
      </c>
      <c r="BB14">
        <v>280</v>
      </c>
      <c r="BC14">
        <v>280</v>
      </c>
      <c r="BD14">
        <v>280</v>
      </c>
      <c r="BE14">
        <v>420</v>
      </c>
      <c r="BF14">
        <v>700</v>
      </c>
      <c r="BG14">
        <v>280</v>
      </c>
      <c r="BH14">
        <v>280</v>
      </c>
      <c r="BI14">
        <v>280</v>
      </c>
      <c r="BJ14">
        <v>280</v>
      </c>
      <c r="BK14">
        <v>280</v>
      </c>
      <c r="BL14">
        <v>700</v>
      </c>
      <c r="BM14">
        <v>280</v>
      </c>
      <c r="BN14">
        <v>280</v>
      </c>
      <c r="BO14">
        <v>280</v>
      </c>
      <c r="BP14">
        <v>280</v>
      </c>
      <c r="BQ14">
        <v>420</v>
      </c>
    </row>
    <row r="15" spans="1:69">
      <c r="E15" t="str">
        <v>Moscow</v>
      </c>
      <c r="G15" t="s">
        <v>96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59.583333333333314</v>
      </c>
      <c r="AF15">
        <v>64.166666666666657</v>
      </c>
      <c r="AG15">
        <v>103.125</v>
      </c>
      <c r="AH15">
        <v>183.33333333333331</v>
      </c>
      <c r="AI15">
        <v>77.916666666666657</v>
      </c>
      <c r="AJ15">
        <v>82.5</v>
      </c>
      <c r="AK15">
        <v>87.083333333333343</v>
      </c>
      <c r="AL15">
        <v>91.666666666666671</v>
      </c>
      <c r="AM15">
        <v>96.25</v>
      </c>
      <c r="AN15">
        <v>252.08333333333334</v>
      </c>
      <c r="AO15">
        <v>105.41666666666669</v>
      </c>
      <c r="AP15">
        <v>110</v>
      </c>
      <c r="AQ15">
        <v>110</v>
      </c>
      <c r="AR15">
        <v>110</v>
      </c>
      <c r="AS15">
        <v>165</v>
      </c>
      <c r="AT15">
        <v>275</v>
      </c>
      <c r="AU15">
        <v>110</v>
      </c>
      <c r="AV15">
        <v>110</v>
      </c>
      <c r="AW15">
        <v>110</v>
      </c>
      <c r="AX15">
        <v>110</v>
      </c>
      <c r="AY15">
        <v>110</v>
      </c>
      <c r="AZ15">
        <v>275</v>
      </c>
      <c r="BA15">
        <v>110</v>
      </c>
      <c r="BB15">
        <v>110</v>
      </c>
      <c r="BC15">
        <v>110</v>
      </c>
      <c r="BD15">
        <v>110</v>
      </c>
      <c r="BE15">
        <v>165</v>
      </c>
      <c r="BF15">
        <v>275</v>
      </c>
      <c r="BG15">
        <v>110</v>
      </c>
      <c r="BH15">
        <v>110</v>
      </c>
      <c r="BI15">
        <v>110</v>
      </c>
      <c r="BJ15">
        <v>110</v>
      </c>
      <c r="BK15">
        <v>110</v>
      </c>
      <c r="BL15">
        <v>275</v>
      </c>
      <c r="BM15">
        <v>110</v>
      </c>
      <c r="BN15">
        <v>110</v>
      </c>
      <c r="BO15">
        <v>110</v>
      </c>
      <c r="BP15">
        <v>110</v>
      </c>
      <c r="BQ15">
        <v>165</v>
      </c>
    </row>
    <row r="17" spans="1:69">
      <c r="D17" s="101" t="s">
        <v>37</v>
      </c>
    </row>
    <row r="18" spans="1:69">
      <c r="E18" t="str" cm="1">
        <f t="array" ref="E18:E25">lstStores</f>
        <v>Paris</v>
      </c>
      <c r="G18" t="s">
        <v>96</v>
      </c>
      <c r="J18" cm="1">
        <f t="array" ref="J18:BQ25" xml:space="preserve"> _xlfn.LET(
       _xlpm.operating_flag,_xlfn.ANCHORARRAY( Time!$J18),
       _xlpm.unit_sales_table, CaseData!$B$27:$E$35,
       _xlpm.store_row, CaseData!$B$27:$B$35,
       _xlpm.apparel_column, CaseData!$B$27:$E$27,
       _xlpm.current_apparel, Volume!$D17,
       _xlpm.current_store,_xlfn.ANCHORARRAY( Volume!$E18),
       _xlpm.men_unit_sales, INDEX( _xlpm.unit_sales_table, _xlfn.XMATCH( _xlpm.current_store, _xlpm.store_row, 0), _xlfn.XMATCH( _xlpm.current_apparel, _xlpm.apparel_column, 0) ),
       _xlpm.current_month,_xlfn.ANCHORARRAY( Time!J$11),
       _xlpm.seasonality_month, CaseData!$C$58:$C$69,
       _xlpm.seasonality_percentage, CaseData!$D$58:$D$69,
       _xlpm.seasonality, _xlfn.XLOOKUP( _xlpm.current_month, _xlpm.seasonality_month, _xlpm.seasonality_percentage, 1, 0, 1 ),
       _xlpm.current_capacity_month,_xlfn.ANCHORARRAY( Time!$J28),
       _xlpm.capacity_month, CaseData!$I$10:$I$22,
       _xlpm.capacity_percentage, CaseData!$J$10:$J$22,
       _xlpm.capacity, _xlfn.XLOOKUP( _xlpm.current_capacity_month, _xlpm.capacity_month, _xlpm.capacity_percentage, 1, 0, 1 ),
       _xlpm.operating_flag * _xlpm.men_unit_sales * _xlpm.seasonality * IF( _xlpm.capacity &lt; 1, _xlpm.capacity, 1) )</f>
        <v>425</v>
      </c>
      <c r="K18">
        <v>170</v>
      </c>
      <c r="L18">
        <v>170</v>
      </c>
      <c r="M18">
        <v>170</v>
      </c>
      <c r="N18">
        <v>170</v>
      </c>
      <c r="O18">
        <v>170</v>
      </c>
      <c r="P18">
        <v>425</v>
      </c>
      <c r="Q18">
        <v>170</v>
      </c>
      <c r="R18">
        <v>170</v>
      </c>
      <c r="S18">
        <v>170</v>
      </c>
      <c r="T18">
        <v>170</v>
      </c>
      <c r="U18">
        <v>255</v>
      </c>
      <c r="V18">
        <v>425</v>
      </c>
      <c r="W18">
        <v>170</v>
      </c>
      <c r="X18">
        <v>170</v>
      </c>
      <c r="Y18">
        <v>170</v>
      </c>
      <c r="Z18">
        <v>170</v>
      </c>
      <c r="AA18">
        <v>170</v>
      </c>
      <c r="AB18">
        <v>425</v>
      </c>
      <c r="AC18">
        <v>170</v>
      </c>
      <c r="AD18">
        <v>170</v>
      </c>
      <c r="AE18">
        <v>170</v>
      </c>
      <c r="AF18">
        <v>170</v>
      </c>
      <c r="AG18">
        <v>255</v>
      </c>
      <c r="AH18">
        <v>425</v>
      </c>
      <c r="AI18">
        <v>170</v>
      </c>
      <c r="AJ18">
        <v>170</v>
      </c>
      <c r="AK18">
        <v>170</v>
      </c>
      <c r="AL18">
        <v>170</v>
      </c>
      <c r="AM18">
        <v>170</v>
      </c>
      <c r="AN18">
        <v>425</v>
      </c>
      <c r="AO18">
        <v>170</v>
      </c>
      <c r="AP18">
        <v>170</v>
      </c>
      <c r="AQ18">
        <v>170</v>
      </c>
      <c r="AR18">
        <v>170</v>
      </c>
      <c r="AS18">
        <v>255</v>
      </c>
      <c r="AT18">
        <v>425</v>
      </c>
      <c r="AU18">
        <v>170</v>
      </c>
      <c r="AV18">
        <v>170</v>
      </c>
      <c r="AW18">
        <v>170</v>
      </c>
      <c r="AX18">
        <v>170</v>
      </c>
      <c r="AY18">
        <v>170</v>
      </c>
      <c r="AZ18">
        <v>425</v>
      </c>
      <c r="BA18">
        <v>170</v>
      </c>
      <c r="BB18">
        <v>170</v>
      </c>
      <c r="BC18">
        <v>170</v>
      </c>
      <c r="BD18">
        <v>170</v>
      </c>
      <c r="BE18">
        <v>255</v>
      </c>
      <c r="BF18">
        <v>425</v>
      </c>
      <c r="BG18">
        <v>170</v>
      </c>
      <c r="BH18">
        <v>170</v>
      </c>
      <c r="BI18">
        <v>170</v>
      </c>
      <c r="BJ18">
        <v>170</v>
      </c>
      <c r="BK18">
        <v>170</v>
      </c>
      <c r="BL18">
        <v>425</v>
      </c>
      <c r="BM18">
        <v>170</v>
      </c>
      <c r="BN18">
        <v>170</v>
      </c>
      <c r="BO18">
        <v>170</v>
      </c>
      <c r="BP18">
        <v>170</v>
      </c>
      <c r="BQ18">
        <v>255</v>
      </c>
    </row>
    <row r="19" spans="1:69">
      <c r="E19" t="str">
        <v>Milano</v>
      </c>
      <c r="G19" t="s">
        <v>96</v>
      </c>
      <c r="J19">
        <v>425</v>
      </c>
      <c r="K19">
        <v>170</v>
      </c>
      <c r="L19">
        <v>170</v>
      </c>
      <c r="M19">
        <v>170</v>
      </c>
      <c r="N19">
        <v>170</v>
      </c>
      <c r="O19">
        <v>170</v>
      </c>
      <c r="P19">
        <v>425</v>
      </c>
      <c r="Q19">
        <v>170</v>
      </c>
      <c r="R19">
        <v>170</v>
      </c>
      <c r="S19">
        <v>170</v>
      </c>
      <c r="T19">
        <v>170</v>
      </c>
      <c r="U19">
        <v>255</v>
      </c>
      <c r="V19">
        <v>425</v>
      </c>
      <c r="W19">
        <v>170</v>
      </c>
      <c r="X19">
        <v>170</v>
      </c>
      <c r="Y19">
        <v>170</v>
      </c>
      <c r="Z19">
        <v>170</v>
      </c>
      <c r="AA19">
        <v>170</v>
      </c>
      <c r="AB19">
        <v>425</v>
      </c>
      <c r="AC19">
        <v>170</v>
      </c>
      <c r="AD19">
        <v>170</v>
      </c>
      <c r="AE19">
        <v>170</v>
      </c>
      <c r="AF19">
        <v>170</v>
      </c>
      <c r="AG19">
        <v>255</v>
      </c>
      <c r="AH19">
        <v>425</v>
      </c>
      <c r="AI19">
        <v>170</v>
      </c>
      <c r="AJ19">
        <v>170</v>
      </c>
      <c r="AK19">
        <v>170</v>
      </c>
      <c r="AL19">
        <v>170</v>
      </c>
      <c r="AM19">
        <v>170</v>
      </c>
      <c r="AN19">
        <v>425</v>
      </c>
      <c r="AO19">
        <v>170</v>
      </c>
      <c r="AP19">
        <v>170</v>
      </c>
      <c r="AQ19">
        <v>170</v>
      </c>
      <c r="AR19">
        <v>170</v>
      </c>
      <c r="AS19">
        <v>255</v>
      </c>
      <c r="AT19">
        <v>425</v>
      </c>
      <c r="AU19">
        <v>170</v>
      </c>
      <c r="AV19">
        <v>170</v>
      </c>
      <c r="AW19">
        <v>170</v>
      </c>
      <c r="AX19">
        <v>170</v>
      </c>
      <c r="AY19">
        <v>170</v>
      </c>
      <c r="AZ19">
        <v>425</v>
      </c>
      <c r="BA19">
        <v>170</v>
      </c>
      <c r="BB19">
        <v>170</v>
      </c>
      <c r="BC19">
        <v>170</v>
      </c>
      <c r="BD19">
        <v>170</v>
      </c>
      <c r="BE19">
        <v>255</v>
      </c>
      <c r="BF19">
        <v>425</v>
      </c>
      <c r="BG19">
        <v>170</v>
      </c>
      <c r="BH19">
        <v>170</v>
      </c>
      <c r="BI19">
        <v>170</v>
      </c>
      <c r="BJ19">
        <v>170</v>
      </c>
      <c r="BK19">
        <v>170</v>
      </c>
      <c r="BL19">
        <v>425</v>
      </c>
      <c r="BM19">
        <v>170</v>
      </c>
      <c r="BN19">
        <v>170</v>
      </c>
      <c r="BO19">
        <v>170</v>
      </c>
      <c r="BP19">
        <v>170</v>
      </c>
      <c r="BQ19">
        <v>255</v>
      </c>
    </row>
    <row r="20" spans="1:69">
      <c r="E20" t="str">
        <v>Madrid</v>
      </c>
      <c r="G20" t="s">
        <v>96</v>
      </c>
      <c r="J20">
        <v>225</v>
      </c>
      <c r="K20">
        <v>90</v>
      </c>
      <c r="L20">
        <v>90</v>
      </c>
      <c r="M20">
        <v>90</v>
      </c>
      <c r="N20">
        <v>90</v>
      </c>
      <c r="O20">
        <v>90</v>
      </c>
      <c r="P20">
        <v>225</v>
      </c>
      <c r="Q20">
        <v>90</v>
      </c>
      <c r="R20">
        <v>90</v>
      </c>
      <c r="S20">
        <v>90</v>
      </c>
      <c r="T20">
        <v>90</v>
      </c>
      <c r="U20">
        <v>135</v>
      </c>
      <c r="V20">
        <v>225</v>
      </c>
      <c r="W20">
        <v>90</v>
      </c>
      <c r="X20">
        <v>90</v>
      </c>
      <c r="Y20">
        <v>90</v>
      </c>
      <c r="Z20">
        <v>90</v>
      </c>
      <c r="AA20">
        <v>90</v>
      </c>
      <c r="AB20">
        <v>225</v>
      </c>
      <c r="AC20">
        <v>90</v>
      </c>
      <c r="AD20">
        <v>90</v>
      </c>
      <c r="AE20">
        <v>90</v>
      </c>
      <c r="AF20">
        <v>90</v>
      </c>
      <c r="AG20">
        <v>135</v>
      </c>
      <c r="AH20">
        <v>225</v>
      </c>
      <c r="AI20">
        <v>90</v>
      </c>
      <c r="AJ20">
        <v>90</v>
      </c>
      <c r="AK20">
        <v>90</v>
      </c>
      <c r="AL20">
        <v>90</v>
      </c>
      <c r="AM20">
        <v>90</v>
      </c>
      <c r="AN20">
        <v>225</v>
      </c>
      <c r="AO20">
        <v>90</v>
      </c>
      <c r="AP20">
        <v>90</v>
      </c>
      <c r="AQ20">
        <v>90</v>
      </c>
      <c r="AR20">
        <v>90</v>
      </c>
      <c r="AS20">
        <v>135</v>
      </c>
      <c r="AT20">
        <v>225</v>
      </c>
      <c r="AU20">
        <v>90</v>
      </c>
      <c r="AV20">
        <v>90</v>
      </c>
      <c r="AW20">
        <v>90</v>
      </c>
      <c r="AX20">
        <v>90</v>
      </c>
      <c r="AY20">
        <v>90</v>
      </c>
      <c r="AZ20">
        <v>225</v>
      </c>
      <c r="BA20">
        <v>90</v>
      </c>
      <c r="BB20">
        <v>90</v>
      </c>
      <c r="BC20">
        <v>90</v>
      </c>
      <c r="BD20">
        <v>90</v>
      </c>
      <c r="BE20">
        <v>135</v>
      </c>
      <c r="BF20">
        <v>225</v>
      </c>
      <c r="BG20">
        <v>90</v>
      </c>
      <c r="BH20">
        <v>90</v>
      </c>
      <c r="BI20">
        <v>90</v>
      </c>
      <c r="BJ20">
        <v>90</v>
      </c>
      <c r="BK20">
        <v>90</v>
      </c>
      <c r="BL20">
        <v>225</v>
      </c>
      <c r="BM20">
        <v>90</v>
      </c>
      <c r="BN20">
        <v>90</v>
      </c>
      <c r="BO20">
        <v>90</v>
      </c>
      <c r="BP20">
        <v>90</v>
      </c>
      <c r="BQ20">
        <v>135</v>
      </c>
    </row>
    <row r="21" spans="1:69">
      <c r="E21" t="str">
        <v>London</v>
      </c>
      <c r="G21" t="s">
        <v>96</v>
      </c>
      <c r="J21">
        <v>325</v>
      </c>
      <c r="K21">
        <v>130</v>
      </c>
      <c r="L21">
        <v>130</v>
      </c>
      <c r="M21">
        <v>130</v>
      </c>
      <c r="N21">
        <v>130</v>
      </c>
      <c r="O21">
        <v>130</v>
      </c>
      <c r="P21">
        <v>325</v>
      </c>
      <c r="Q21">
        <v>130</v>
      </c>
      <c r="R21">
        <v>130</v>
      </c>
      <c r="S21">
        <v>130</v>
      </c>
      <c r="T21">
        <v>130</v>
      </c>
      <c r="U21">
        <v>195</v>
      </c>
      <c r="V21">
        <v>325</v>
      </c>
      <c r="W21">
        <v>130</v>
      </c>
      <c r="X21">
        <v>130</v>
      </c>
      <c r="Y21">
        <v>130</v>
      </c>
      <c r="Z21">
        <v>130</v>
      </c>
      <c r="AA21">
        <v>130</v>
      </c>
      <c r="AB21">
        <v>325</v>
      </c>
      <c r="AC21">
        <v>130</v>
      </c>
      <c r="AD21">
        <v>130</v>
      </c>
      <c r="AE21">
        <v>130</v>
      </c>
      <c r="AF21">
        <v>130</v>
      </c>
      <c r="AG21">
        <v>195</v>
      </c>
      <c r="AH21">
        <v>325</v>
      </c>
      <c r="AI21">
        <v>130</v>
      </c>
      <c r="AJ21">
        <v>130</v>
      </c>
      <c r="AK21">
        <v>130</v>
      </c>
      <c r="AL21">
        <v>130</v>
      </c>
      <c r="AM21">
        <v>130</v>
      </c>
      <c r="AN21">
        <v>325</v>
      </c>
      <c r="AO21">
        <v>130</v>
      </c>
      <c r="AP21">
        <v>130</v>
      </c>
      <c r="AQ21">
        <v>130</v>
      </c>
      <c r="AR21">
        <v>130</v>
      </c>
      <c r="AS21">
        <v>195</v>
      </c>
      <c r="AT21">
        <v>325</v>
      </c>
      <c r="AU21">
        <v>130</v>
      </c>
      <c r="AV21">
        <v>130</v>
      </c>
      <c r="AW21">
        <v>130</v>
      </c>
      <c r="AX21">
        <v>130</v>
      </c>
      <c r="AY21">
        <v>130</v>
      </c>
      <c r="AZ21">
        <v>325</v>
      </c>
      <c r="BA21">
        <v>130</v>
      </c>
      <c r="BB21">
        <v>130</v>
      </c>
      <c r="BC21">
        <v>130</v>
      </c>
      <c r="BD21">
        <v>130</v>
      </c>
      <c r="BE21">
        <v>195</v>
      </c>
      <c r="BF21">
        <v>325</v>
      </c>
      <c r="BG21">
        <v>130</v>
      </c>
      <c r="BH21">
        <v>130</v>
      </c>
      <c r="BI21">
        <v>130</v>
      </c>
      <c r="BJ21">
        <v>130</v>
      </c>
      <c r="BK21">
        <v>130</v>
      </c>
      <c r="BL21">
        <v>325</v>
      </c>
      <c r="BM21">
        <v>130</v>
      </c>
      <c r="BN21">
        <v>130</v>
      </c>
      <c r="BO21">
        <v>130</v>
      </c>
      <c r="BP21">
        <v>130</v>
      </c>
      <c r="BQ21">
        <v>195</v>
      </c>
    </row>
    <row r="22" spans="1:69">
      <c r="E22" t="str">
        <v>New York</v>
      </c>
      <c r="G22" t="s">
        <v>96</v>
      </c>
      <c r="J22">
        <v>0</v>
      </c>
      <c r="K22">
        <v>0</v>
      </c>
      <c r="L22">
        <v>0</v>
      </c>
      <c r="M22">
        <v>70.416666666666643</v>
      </c>
      <c r="N22">
        <v>75.833333333333329</v>
      </c>
      <c r="O22">
        <v>81.25</v>
      </c>
      <c r="P22">
        <v>216.66666666666666</v>
      </c>
      <c r="Q22">
        <v>92.083333333333329</v>
      </c>
      <c r="R22">
        <v>97.5</v>
      </c>
      <c r="S22">
        <v>102.91666666666667</v>
      </c>
      <c r="T22">
        <v>108.33333333333334</v>
      </c>
      <c r="U22">
        <v>170.625</v>
      </c>
      <c r="V22">
        <v>297.91666666666669</v>
      </c>
      <c r="W22">
        <v>124.58333333333336</v>
      </c>
      <c r="X22">
        <v>130</v>
      </c>
      <c r="Y22">
        <v>130</v>
      </c>
      <c r="Z22">
        <v>130</v>
      </c>
      <c r="AA22">
        <v>130</v>
      </c>
      <c r="AB22">
        <v>325</v>
      </c>
      <c r="AC22">
        <v>130</v>
      </c>
      <c r="AD22">
        <v>130</v>
      </c>
      <c r="AE22">
        <v>130</v>
      </c>
      <c r="AF22">
        <v>130</v>
      </c>
      <c r="AG22">
        <v>195</v>
      </c>
      <c r="AH22">
        <v>325</v>
      </c>
      <c r="AI22">
        <v>130</v>
      </c>
      <c r="AJ22">
        <v>130</v>
      </c>
      <c r="AK22">
        <v>130</v>
      </c>
      <c r="AL22">
        <v>130</v>
      </c>
      <c r="AM22">
        <v>130</v>
      </c>
      <c r="AN22">
        <v>325</v>
      </c>
      <c r="AO22">
        <v>130</v>
      </c>
      <c r="AP22">
        <v>130</v>
      </c>
      <c r="AQ22">
        <v>130</v>
      </c>
      <c r="AR22">
        <v>130</v>
      </c>
      <c r="AS22">
        <v>195</v>
      </c>
      <c r="AT22">
        <v>325</v>
      </c>
      <c r="AU22">
        <v>130</v>
      </c>
      <c r="AV22">
        <v>130</v>
      </c>
      <c r="AW22">
        <v>130</v>
      </c>
      <c r="AX22">
        <v>130</v>
      </c>
      <c r="AY22">
        <v>130</v>
      </c>
      <c r="AZ22">
        <v>325</v>
      </c>
      <c r="BA22">
        <v>130</v>
      </c>
      <c r="BB22">
        <v>130</v>
      </c>
      <c r="BC22">
        <v>130</v>
      </c>
      <c r="BD22">
        <v>130</v>
      </c>
      <c r="BE22">
        <v>195</v>
      </c>
      <c r="BF22">
        <v>325</v>
      </c>
      <c r="BG22">
        <v>130</v>
      </c>
      <c r="BH22">
        <v>130</v>
      </c>
      <c r="BI22">
        <v>130</v>
      </c>
      <c r="BJ22">
        <v>130</v>
      </c>
      <c r="BK22">
        <v>130</v>
      </c>
      <c r="BL22">
        <v>325</v>
      </c>
      <c r="BM22">
        <v>130</v>
      </c>
      <c r="BN22">
        <v>130</v>
      </c>
      <c r="BO22">
        <v>130</v>
      </c>
      <c r="BP22">
        <v>130</v>
      </c>
      <c r="BQ22">
        <v>195</v>
      </c>
    </row>
    <row r="23" spans="1:69">
      <c r="E23" t="str">
        <v>Montreal</v>
      </c>
      <c r="G23" t="s">
        <v>96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92.083333333333314</v>
      </c>
      <c r="T23">
        <v>99.166666666666657</v>
      </c>
      <c r="U23">
        <v>159.375</v>
      </c>
      <c r="V23">
        <v>283.33333333333331</v>
      </c>
      <c r="W23">
        <v>120.41666666666666</v>
      </c>
      <c r="X23">
        <v>127.5</v>
      </c>
      <c r="Y23">
        <v>134.58333333333334</v>
      </c>
      <c r="Z23">
        <v>141.66666666666669</v>
      </c>
      <c r="AA23">
        <v>148.75</v>
      </c>
      <c r="AB23">
        <v>389.58333333333337</v>
      </c>
      <c r="AC23">
        <v>162.91666666666669</v>
      </c>
      <c r="AD23">
        <v>170</v>
      </c>
      <c r="AE23">
        <v>170</v>
      </c>
      <c r="AF23">
        <v>170</v>
      </c>
      <c r="AG23">
        <v>255</v>
      </c>
      <c r="AH23">
        <v>425</v>
      </c>
      <c r="AI23">
        <v>170</v>
      </c>
      <c r="AJ23">
        <v>170</v>
      </c>
      <c r="AK23">
        <v>170</v>
      </c>
      <c r="AL23">
        <v>170</v>
      </c>
      <c r="AM23">
        <v>170</v>
      </c>
      <c r="AN23">
        <v>425</v>
      </c>
      <c r="AO23">
        <v>170</v>
      </c>
      <c r="AP23">
        <v>170</v>
      </c>
      <c r="AQ23">
        <v>170</v>
      </c>
      <c r="AR23">
        <v>170</v>
      </c>
      <c r="AS23">
        <v>255</v>
      </c>
      <c r="AT23">
        <v>425</v>
      </c>
      <c r="AU23">
        <v>170</v>
      </c>
      <c r="AV23">
        <v>170</v>
      </c>
      <c r="AW23">
        <v>170</v>
      </c>
      <c r="AX23">
        <v>170</v>
      </c>
      <c r="AY23">
        <v>170</v>
      </c>
      <c r="AZ23">
        <v>425</v>
      </c>
      <c r="BA23">
        <v>170</v>
      </c>
      <c r="BB23">
        <v>170</v>
      </c>
      <c r="BC23">
        <v>170</v>
      </c>
      <c r="BD23">
        <v>170</v>
      </c>
      <c r="BE23">
        <v>255</v>
      </c>
      <c r="BF23">
        <v>425</v>
      </c>
      <c r="BG23">
        <v>170</v>
      </c>
      <c r="BH23">
        <v>170</v>
      </c>
      <c r="BI23">
        <v>170</v>
      </c>
      <c r="BJ23">
        <v>170</v>
      </c>
      <c r="BK23">
        <v>170</v>
      </c>
      <c r="BL23">
        <v>425</v>
      </c>
      <c r="BM23">
        <v>170</v>
      </c>
      <c r="BN23">
        <v>170</v>
      </c>
      <c r="BO23">
        <v>170</v>
      </c>
      <c r="BP23">
        <v>170</v>
      </c>
      <c r="BQ23">
        <v>255</v>
      </c>
    </row>
    <row r="24" spans="1:69">
      <c r="E24" t="str">
        <v>Zurich</v>
      </c>
      <c r="G24" t="s">
        <v>96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92.083333333333314</v>
      </c>
      <c r="Z24">
        <v>99.166666666666657</v>
      </c>
      <c r="AA24">
        <v>106.25</v>
      </c>
      <c r="AB24">
        <v>283.33333333333331</v>
      </c>
      <c r="AC24">
        <v>120.41666666666666</v>
      </c>
      <c r="AD24">
        <v>127.5</v>
      </c>
      <c r="AE24">
        <v>134.58333333333334</v>
      </c>
      <c r="AF24">
        <v>141.66666666666669</v>
      </c>
      <c r="AG24">
        <v>223.125</v>
      </c>
      <c r="AH24">
        <v>389.58333333333337</v>
      </c>
      <c r="AI24">
        <v>162.91666666666669</v>
      </c>
      <c r="AJ24">
        <v>170</v>
      </c>
      <c r="AK24">
        <v>170</v>
      </c>
      <c r="AL24">
        <v>170</v>
      </c>
      <c r="AM24">
        <v>170</v>
      </c>
      <c r="AN24">
        <v>425</v>
      </c>
      <c r="AO24">
        <v>170</v>
      </c>
      <c r="AP24">
        <v>170</v>
      </c>
      <c r="AQ24">
        <v>170</v>
      </c>
      <c r="AR24">
        <v>170</v>
      </c>
      <c r="AS24">
        <v>255</v>
      </c>
      <c r="AT24">
        <v>425</v>
      </c>
      <c r="AU24">
        <v>170</v>
      </c>
      <c r="AV24">
        <v>170</v>
      </c>
      <c r="AW24">
        <v>170</v>
      </c>
      <c r="AX24">
        <v>170</v>
      </c>
      <c r="AY24">
        <v>170</v>
      </c>
      <c r="AZ24">
        <v>425</v>
      </c>
      <c r="BA24">
        <v>170</v>
      </c>
      <c r="BB24">
        <v>170</v>
      </c>
      <c r="BC24">
        <v>170</v>
      </c>
      <c r="BD24">
        <v>170</v>
      </c>
      <c r="BE24">
        <v>255</v>
      </c>
      <c r="BF24">
        <v>425</v>
      </c>
      <c r="BG24">
        <v>170</v>
      </c>
      <c r="BH24">
        <v>170</v>
      </c>
      <c r="BI24">
        <v>170</v>
      </c>
      <c r="BJ24">
        <v>170</v>
      </c>
      <c r="BK24">
        <v>170</v>
      </c>
      <c r="BL24">
        <v>425</v>
      </c>
      <c r="BM24">
        <v>170</v>
      </c>
      <c r="BN24">
        <v>170</v>
      </c>
      <c r="BO24">
        <v>170</v>
      </c>
      <c r="BP24">
        <v>170</v>
      </c>
      <c r="BQ24">
        <v>255</v>
      </c>
    </row>
    <row r="25" spans="1:69">
      <c r="E25" t="str">
        <v>Moscow</v>
      </c>
      <c r="G25" t="s">
        <v>96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70.416666666666643</v>
      </c>
      <c r="AF25">
        <v>75.833333333333329</v>
      </c>
      <c r="AG25">
        <v>121.875</v>
      </c>
      <c r="AH25">
        <v>216.66666666666666</v>
      </c>
      <c r="AI25">
        <v>92.083333333333329</v>
      </c>
      <c r="AJ25">
        <v>97.5</v>
      </c>
      <c r="AK25">
        <v>102.91666666666667</v>
      </c>
      <c r="AL25">
        <v>108.33333333333334</v>
      </c>
      <c r="AM25">
        <v>113.75</v>
      </c>
      <c r="AN25">
        <v>297.91666666666669</v>
      </c>
      <c r="AO25">
        <v>124.58333333333336</v>
      </c>
      <c r="AP25">
        <v>130</v>
      </c>
      <c r="AQ25">
        <v>130</v>
      </c>
      <c r="AR25">
        <v>130</v>
      </c>
      <c r="AS25">
        <v>195</v>
      </c>
      <c r="AT25">
        <v>325</v>
      </c>
      <c r="AU25">
        <v>130</v>
      </c>
      <c r="AV25">
        <v>130</v>
      </c>
      <c r="AW25">
        <v>130</v>
      </c>
      <c r="AX25">
        <v>130</v>
      </c>
      <c r="AY25">
        <v>130</v>
      </c>
      <c r="AZ25">
        <v>325</v>
      </c>
      <c r="BA25">
        <v>130</v>
      </c>
      <c r="BB25">
        <v>130</v>
      </c>
      <c r="BC25">
        <v>130</v>
      </c>
      <c r="BD25">
        <v>130</v>
      </c>
      <c r="BE25">
        <v>195</v>
      </c>
      <c r="BF25">
        <v>325</v>
      </c>
      <c r="BG25">
        <v>130</v>
      </c>
      <c r="BH25">
        <v>130</v>
      </c>
      <c r="BI25">
        <v>130</v>
      </c>
      <c r="BJ25">
        <v>130</v>
      </c>
      <c r="BK25">
        <v>130</v>
      </c>
      <c r="BL25">
        <v>325</v>
      </c>
      <c r="BM25">
        <v>130</v>
      </c>
      <c r="BN25">
        <v>130</v>
      </c>
      <c r="BO25">
        <v>130</v>
      </c>
      <c r="BP25">
        <v>130</v>
      </c>
      <c r="BQ25">
        <v>195</v>
      </c>
    </row>
    <row r="27" spans="1:69" s="98" customFormat="1">
      <c r="A27" s="95" t="s">
        <v>105</v>
      </c>
    </row>
    <row r="29" spans="1:69">
      <c r="D29" s="101" t="s">
        <v>38</v>
      </c>
    </row>
    <row r="30" spans="1:69">
      <c r="E30" t="str" cm="1">
        <f t="array" ref="E30:E37">lstStores</f>
        <v>Paris</v>
      </c>
      <c r="G30" t="s">
        <v>96</v>
      </c>
      <c r="J30" s="113" cm="1">
        <f t="array" ref="J30:BQ37" xml:space="preserve"> _xlfn.LET(
       _xlpm.operating_flag,_xlfn.ANCHORARRAY( Time!$J18),
       _xlpm.unit_sales_table, CaseData!$B$27:$E$35,
       _xlpm.store_row, CaseData!$B$27:$B$35,
       _xlpm.apparel_column, CaseData!$B$27:$E$27,
       _xlpm.current_apparel, Volume!$D29,
       _xlpm.current_store,_xlfn.ANCHORARRAY( Volume!$E30),
       _xlpm.accessories_unit_sales, INDEX( _xlpm.unit_sales_table, _xlfn.XMATCH( _xlpm.current_store, _xlpm.store_row, 0), _xlfn.XMATCH( _xlpm.current_apparel, _xlpm.apparel_column, 0) ),
       _xlpm.current_month,_xlfn.ANCHORARRAY( Time!J$11),
       _xlpm.seasonality_month, CaseData!$C$58:$C$69,
       _xlpm.seasonality_percentage, CaseData!$D$58:$D$69,
       _xlpm.seasonality, _xlfn.XLOOKUP( _xlpm.current_month, _xlpm.seasonality_month, _xlpm.seasonality_percentage, 1, 0, 1 ),
       _xlpm.current_capacity_month,_xlfn.ANCHORARRAY( Time!$J28),
       _xlpm.capacity_month, CaseData!$I$10:$I$22,
       _xlpm.capacity_percentage, CaseData!$J$10:$J$22,
       _xlpm.capacity, _xlfn.XLOOKUP( _xlpm.current_capacity_month, _xlpm.capacity_month, _xlpm.capacity_percentage, 1, 0, 1 ),
       _xlpm.operating_flag * _xlpm.accessories_unit_sales * _xlpm.seasonality * IF( _xlpm.capacity &lt; 1, _xlpm.capacity, 1) )</f>
        <v>650</v>
      </c>
      <c r="K30" s="113">
        <v>260</v>
      </c>
      <c r="L30" s="113">
        <v>260</v>
      </c>
      <c r="M30" s="113">
        <v>260</v>
      </c>
      <c r="N30" s="113">
        <v>260</v>
      </c>
      <c r="O30" s="113">
        <v>260</v>
      </c>
      <c r="P30" s="113">
        <v>650</v>
      </c>
      <c r="Q30" s="113">
        <v>260</v>
      </c>
      <c r="R30" s="113">
        <v>260</v>
      </c>
      <c r="S30" s="113">
        <v>260</v>
      </c>
      <c r="T30" s="113">
        <v>260</v>
      </c>
      <c r="U30" s="113">
        <v>390</v>
      </c>
      <c r="V30" s="113">
        <v>650</v>
      </c>
      <c r="W30" s="113">
        <v>260</v>
      </c>
      <c r="X30" s="113">
        <v>260</v>
      </c>
      <c r="Y30" s="113">
        <v>260</v>
      </c>
      <c r="Z30" s="113">
        <v>260</v>
      </c>
      <c r="AA30" s="113">
        <v>260</v>
      </c>
      <c r="AB30" s="113">
        <v>650</v>
      </c>
      <c r="AC30" s="113">
        <v>260</v>
      </c>
      <c r="AD30" s="113">
        <v>260</v>
      </c>
      <c r="AE30" s="113">
        <v>260</v>
      </c>
      <c r="AF30" s="113">
        <v>260</v>
      </c>
      <c r="AG30" s="113">
        <v>390</v>
      </c>
      <c r="AH30" s="113">
        <v>650</v>
      </c>
      <c r="AI30" s="113">
        <v>260</v>
      </c>
      <c r="AJ30" s="113">
        <v>260</v>
      </c>
      <c r="AK30" s="113">
        <v>260</v>
      </c>
      <c r="AL30" s="113">
        <v>260</v>
      </c>
      <c r="AM30" s="113">
        <v>260</v>
      </c>
      <c r="AN30" s="113">
        <v>650</v>
      </c>
      <c r="AO30" s="113">
        <v>260</v>
      </c>
      <c r="AP30" s="113">
        <v>260</v>
      </c>
      <c r="AQ30" s="113">
        <v>260</v>
      </c>
      <c r="AR30" s="113">
        <v>260</v>
      </c>
      <c r="AS30" s="113">
        <v>390</v>
      </c>
      <c r="AT30" s="113">
        <v>650</v>
      </c>
      <c r="AU30" s="113">
        <v>260</v>
      </c>
      <c r="AV30" s="113">
        <v>260</v>
      </c>
      <c r="AW30" s="113">
        <v>260</v>
      </c>
      <c r="AX30" s="113">
        <v>260</v>
      </c>
      <c r="AY30" s="113">
        <v>260</v>
      </c>
      <c r="AZ30" s="113">
        <v>650</v>
      </c>
      <c r="BA30" s="113">
        <v>260</v>
      </c>
      <c r="BB30" s="113">
        <v>260</v>
      </c>
      <c r="BC30" s="113">
        <v>260</v>
      </c>
      <c r="BD30" s="113">
        <v>260</v>
      </c>
      <c r="BE30" s="113">
        <v>390</v>
      </c>
      <c r="BF30" s="113">
        <v>650</v>
      </c>
      <c r="BG30" s="113">
        <v>260</v>
      </c>
      <c r="BH30" s="113">
        <v>260</v>
      </c>
      <c r="BI30" s="113">
        <v>260</v>
      </c>
      <c r="BJ30" s="113">
        <v>260</v>
      </c>
      <c r="BK30" s="113">
        <v>260</v>
      </c>
      <c r="BL30" s="113">
        <v>650</v>
      </c>
      <c r="BM30" s="113">
        <v>260</v>
      </c>
      <c r="BN30" s="113">
        <v>260</v>
      </c>
      <c r="BO30" s="113">
        <v>260</v>
      </c>
      <c r="BP30" s="113">
        <v>260</v>
      </c>
      <c r="BQ30" s="113">
        <v>390</v>
      </c>
    </row>
    <row r="31" spans="1:69">
      <c r="E31" t="str">
        <v>Milano</v>
      </c>
      <c r="G31" t="s">
        <v>96</v>
      </c>
      <c r="J31" s="113">
        <v>375</v>
      </c>
      <c r="K31" s="113">
        <v>150</v>
      </c>
      <c r="L31" s="113">
        <v>150</v>
      </c>
      <c r="M31" s="113">
        <v>150</v>
      </c>
      <c r="N31" s="113">
        <v>150</v>
      </c>
      <c r="O31" s="113">
        <v>150</v>
      </c>
      <c r="P31" s="113">
        <v>375</v>
      </c>
      <c r="Q31" s="113">
        <v>150</v>
      </c>
      <c r="R31" s="113">
        <v>150</v>
      </c>
      <c r="S31" s="113">
        <v>150</v>
      </c>
      <c r="T31" s="113">
        <v>150</v>
      </c>
      <c r="U31" s="113">
        <v>225</v>
      </c>
      <c r="V31" s="113">
        <v>375</v>
      </c>
      <c r="W31" s="113">
        <v>150</v>
      </c>
      <c r="X31" s="113">
        <v>150</v>
      </c>
      <c r="Y31" s="113">
        <v>150</v>
      </c>
      <c r="Z31" s="113">
        <v>150</v>
      </c>
      <c r="AA31" s="113">
        <v>150</v>
      </c>
      <c r="AB31" s="113">
        <v>375</v>
      </c>
      <c r="AC31" s="113">
        <v>150</v>
      </c>
      <c r="AD31" s="113">
        <v>150</v>
      </c>
      <c r="AE31" s="113">
        <v>150</v>
      </c>
      <c r="AF31" s="113">
        <v>150</v>
      </c>
      <c r="AG31" s="113">
        <v>225</v>
      </c>
      <c r="AH31" s="113">
        <v>375</v>
      </c>
      <c r="AI31" s="113">
        <v>150</v>
      </c>
      <c r="AJ31" s="113">
        <v>150</v>
      </c>
      <c r="AK31" s="113">
        <v>150</v>
      </c>
      <c r="AL31" s="113">
        <v>150</v>
      </c>
      <c r="AM31" s="113">
        <v>150</v>
      </c>
      <c r="AN31" s="113">
        <v>375</v>
      </c>
      <c r="AO31" s="113">
        <v>150</v>
      </c>
      <c r="AP31" s="113">
        <v>150</v>
      </c>
      <c r="AQ31" s="113">
        <v>150</v>
      </c>
      <c r="AR31" s="113">
        <v>150</v>
      </c>
      <c r="AS31" s="113">
        <v>225</v>
      </c>
      <c r="AT31" s="113">
        <v>375</v>
      </c>
      <c r="AU31" s="113">
        <v>150</v>
      </c>
      <c r="AV31" s="113">
        <v>150</v>
      </c>
      <c r="AW31" s="113">
        <v>150</v>
      </c>
      <c r="AX31" s="113">
        <v>150</v>
      </c>
      <c r="AY31" s="113">
        <v>150</v>
      </c>
      <c r="AZ31" s="113">
        <v>375</v>
      </c>
      <c r="BA31" s="113">
        <v>150</v>
      </c>
      <c r="BB31" s="113">
        <v>150</v>
      </c>
      <c r="BC31" s="113">
        <v>150</v>
      </c>
      <c r="BD31" s="113">
        <v>150</v>
      </c>
      <c r="BE31" s="113">
        <v>225</v>
      </c>
      <c r="BF31" s="113">
        <v>375</v>
      </c>
      <c r="BG31" s="113">
        <v>150</v>
      </c>
      <c r="BH31" s="113">
        <v>150</v>
      </c>
      <c r="BI31" s="113">
        <v>150</v>
      </c>
      <c r="BJ31" s="113">
        <v>150</v>
      </c>
      <c r="BK31" s="113">
        <v>150</v>
      </c>
      <c r="BL31" s="113">
        <v>375</v>
      </c>
      <c r="BM31" s="113">
        <v>150</v>
      </c>
      <c r="BN31" s="113">
        <v>150</v>
      </c>
      <c r="BO31" s="113">
        <v>150</v>
      </c>
      <c r="BP31" s="113">
        <v>150</v>
      </c>
      <c r="BQ31" s="113">
        <v>225</v>
      </c>
    </row>
    <row r="32" spans="1:69">
      <c r="E32" t="str">
        <v>Madrid</v>
      </c>
      <c r="G32" t="s">
        <v>96</v>
      </c>
      <c r="J32" s="113">
        <v>150</v>
      </c>
      <c r="K32" s="113">
        <v>60</v>
      </c>
      <c r="L32" s="113">
        <v>60</v>
      </c>
      <c r="M32" s="113">
        <v>60</v>
      </c>
      <c r="N32" s="113">
        <v>60</v>
      </c>
      <c r="O32" s="113">
        <v>60</v>
      </c>
      <c r="P32" s="113">
        <v>150</v>
      </c>
      <c r="Q32" s="113">
        <v>60</v>
      </c>
      <c r="R32" s="113">
        <v>60</v>
      </c>
      <c r="S32" s="113">
        <v>60</v>
      </c>
      <c r="T32" s="113">
        <v>60</v>
      </c>
      <c r="U32" s="113">
        <v>90</v>
      </c>
      <c r="V32" s="113">
        <v>150</v>
      </c>
      <c r="W32" s="113">
        <v>60</v>
      </c>
      <c r="X32" s="113">
        <v>60</v>
      </c>
      <c r="Y32" s="113">
        <v>60</v>
      </c>
      <c r="Z32" s="113">
        <v>60</v>
      </c>
      <c r="AA32" s="113">
        <v>60</v>
      </c>
      <c r="AB32" s="113">
        <v>150</v>
      </c>
      <c r="AC32" s="113">
        <v>60</v>
      </c>
      <c r="AD32" s="113">
        <v>60</v>
      </c>
      <c r="AE32" s="113">
        <v>60</v>
      </c>
      <c r="AF32" s="113">
        <v>60</v>
      </c>
      <c r="AG32" s="113">
        <v>90</v>
      </c>
      <c r="AH32" s="113">
        <v>150</v>
      </c>
      <c r="AI32" s="113">
        <v>60</v>
      </c>
      <c r="AJ32" s="113">
        <v>60</v>
      </c>
      <c r="AK32" s="113">
        <v>60</v>
      </c>
      <c r="AL32" s="113">
        <v>60</v>
      </c>
      <c r="AM32" s="113">
        <v>60</v>
      </c>
      <c r="AN32" s="113">
        <v>150</v>
      </c>
      <c r="AO32" s="113">
        <v>60</v>
      </c>
      <c r="AP32" s="113">
        <v>60</v>
      </c>
      <c r="AQ32" s="113">
        <v>60</v>
      </c>
      <c r="AR32" s="113">
        <v>60</v>
      </c>
      <c r="AS32" s="113">
        <v>90</v>
      </c>
      <c r="AT32" s="113">
        <v>150</v>
      </c>
      <c r="AU32" s="113">
        <v>60</v>
      </c>
      <c r="AV32" s="113">
        <v>60</v>
      </c>
      <c r="AW32" s="113">
        <v>60</v>
      </c>
      <c r="AX32" s="113">
        <v>60</v>
      </c>
      <c r="AY32" s="113">
        <v>60</v>
      </c>
      <c r="AZ32" s="113">
        <v>150</v>
      </c>
      <c r="BA32" s="113">
        <v>60</v>
      </c>
      <c r="BB32" s="113">
        <v>60</v>
      </c>
      <c r="BC32" s="113">
        <v>60</v>
      </c>
      <c r="BD32" s="113">
        <v>60</v>
      </c>
      <c r="BE32" s="113">
        <v>90</v>
      </c>
      <c r="BF32" s="113">
        <v>150</v>
      </c>
      <c r="BG32" s="113">
        <v>60</v>
      </c>
      <c r="BH32" s="113">
        <v>60</v>
      </c>
      <c r="BI32" s="113">
        <v>60</v>
      </c>
      <c r="BJ32" s="113">
        <v>60</v>
      </c>
      <c r="BK32" s="113">
        <v>60</v>
      </c>
      <c r="BL32" s="113">
        <v>150</v>
      </c>
      <c r="BM32" s="113">
        <v>60</v>
      </c>
      <c r="BN32" s="113">
        <v>60</v>
      </c>
      <c r="BO32" s="113">
        <v>60</v>
      </c>
      <c r="BP32" s="113">
        <v>60</v>
      </c>
      <c r="BQ32" s="113">
        <v>90</v>
      </c>
    </row>
    <row r="33" spans="4:69">
      <c r="E33" t="str">
        <v>London</v>
      </c>
      <c r="G33" t="s">
        <v>96</v>
      </c>
      <c r="J33" s="113">
        <v>250</v>
      </c>
      <c r="K33" s="113">
        <v>100</v>
      </c>
      <c r="L33" s="113">
        <v>100</v>
      </c>
      <c r="M33" s="113">
        <v>100</v>
      </c>
      <c r="N33" s="113">
        <v>100</v>
      </c>
      <c r="O33" s="113">
        <v>100</v>
      </c>
      <c r="P33" s="113">
        <v>250</v>
      </c>
      <c r="Q33" s="113">
        <v>100</v>
      </c>
      <c r="R33" s="113">
        <v>100</v>
      </c>
      <c r="S33" s="113">
        <v>100</v>
      </c>
      <c r="T33" s="113">
        <v>100</v>
      </c>
      <c r="U33" s="113">
        <v>150</v>
      </c>
      <c r="V33" s="113">
        <v>250</v>
      </c>
      <c r="W33" s="113">
        <v>100</v>
      </c>
      <c r="X33" s="113">
        <v>100</v>
      </c>
      <c r="Y33" s="113">
        <v>100</v>
      </c>
      <c r="Z33" s="113">
        <v>100</v>
      </c>
      <c r="AA33" s="113">
        <v>100</v>
      </c>
      <c r="AB33" s="113">
        <v>250</v>
      </c>
      <c r="AC33" s="113">
        <v>100</v>
      </c>
      <c r="AD33" s="113">
        <v>100</v>
      </c>
      <c r="AE33" s="113">
        <v>100</v>
      </c>
      <c r="AF33" s="113">
        <v>100</v>
      </c>
      <c r="AG33" s="113">
        <v>150</v>
      </c>
      <c r="AH33" s="113">
        <v>250</v>
      </c>
      <c r="AI33" s="113">
        <v>100</v>
      </c>
      <c r="AJ33" s="113">
        <v>100</v>
      </c>
      <c r="AK33" s="113">
        <v>100</v>
      </c>
      <c r="AL33" s="113">
        <v>100</v>
      </c>
      <c r="AM33" s="113">
        <v>100</v>
      </c>
      <c r="AN33" s="113">
        <v>250</v>
      </c>
      <c r="AO33" s="113">
        <v>100</v>
      </c>
      <c r="AP33" s="113">
        <v>100</v>
      </c>
      <c r="AQ33" s="113">
        <v>100</v>
      </c>
      <c r="AR33" s="113">
        <v>100</v>
      </c>
      <c r="AS33" s="113">
        <v>150</v>
      </c>
      <c r="AT33" s="113">
        <v>250</v>
      </c>
      <c r="AU33" s="113">
        <v>100</v>
      </c>
      <c r="AV33" s="113">
        <v>100</v>
      </c>
      <c r="AW33" s="113">
        <v>100</v>
      </c>
      <c r="AX33" s="113">
        <v>100</v>
      </c>
      <c r="AY33" s="113">
        <v>100</v>
      </c>
      <c r="AZ33" s="113">
        <v>250</v>
      </c>
      <c r="BA33" s="113">
        <v>100</v>
      </c>
      <c r="BB33" s="113">
        <v>100</v>
      </c>
      <c r="BC33" s="113">
        <v>100</v>
      </c>
      <c r="BD33" s="113">
        <v>100</v>
      </c>
      <c r="BE33" s="113">
        <v>150</v>
      </c>
      <c r="BF33" s="113">
        <v>250</v>
      </c>
      <c r="BG33" s="113">
        <v>100</v>
      </c>
      <c r="BH33" s="113">
        <v>100</v>
      </c>
      <c r="BI33" s="113">
        <v>100</v>
      </c>
      <c r="BJ33" s="113">
        <v>100</v>
      </c>
      <c r="BK33" s="113">
        <v>100</v>
      </c>
      <c r="BL33" s="113">
        <v>250</v>
      </c>
      <c r="BM33" s="113">
        <v>100</v>
      </c>
      <c r="BN33" s="113">
        <v>100</v>
      </c>
      <c r="BO33" s="113">
        <v>100</v>
      </c>
      <c r="BP33" s="113">
        <v>100</v>
      </c>
      <c r="BQ33" s="113">
        <v>150</v>
      </c>
    </row>
    <row r="34" spans="4:69">
      <c r="E34" t="str">
        <v>New York</v>
      </c>
      <c r="G34" t="s">
        <v>96</v>
      </c>
      <c r="J34" s="113">
        <v>0</v>
      </c>
      <c r="K34" s="113">
        <v>0</v>
      </c>
      <c r="L34" s="113">
        <v>0</v>
      </c>
      <c r="M34" s="113">
        <v>54.16666666666665</v>
      </c>
      <c r="N34" s="113">
        <v>58.333333333333329</v>
      </c>
      <c r="O34" s="113">
        <v>62.5</v>
      </c>
      <c r="P34" s="113">
        <v>166.66666666666666</v>
      </c>
      <c r="Q34" s="113">
        <v>70.833333333333329</v>
      </c>
      <c r="R34" s="113">
        <v>75</v>
      </c>
      <c r="S34" s="113">
        <v>79.166666666666671</v>
      </c>
      <c r="T34" s="113">
        <v>83.333333333333343</v>
      </c>
      <c r="U34" s="113">
        <v>131.25</v>
      </c>
      <c r="V34" s="113">
        <v>229.16666666666669</v>
      </c>
      <c r="W34" s="113">
        <v>95.833333333333343</v>
      </c>
      <c r="X34" s="113">
        <v>100</v>
      </c>
      <c r="Y34" s="113">
        <v>100</v>
      </c>
      <c r="Z34" s="113">
        <v>100</v>
      </c>
      <c r="AA34" s="113">
        <v>100</v>
      </c>
      <c r="AB34" s="113">
        <v>250</v>
      </c>
      <c r="AC34" s="113">
        <v>100</v>
      </c>
      <c r="AD34" s="113">
        <v>100</v>
      </c>
      <c r="AE34" s="113">
        <v>100</v>
      </c>
      <c r="AF34" s="113">
        <v>100</v>
      </c>
      <c r="AG34" s="113">
        <v>150</v>
      </c>
      <c r="AH34" s="113">
        <v>250</v>
      </c>
      <c r="AI34" s="113">
        <v>100</v>
      </c>
      <c r="AJ34" s="113">
        <v>100</v>
      </c>
      <c r="AK34" s="113">
        <v>100</v>
      </c>
      <c r="AL34" s="113">
        <v>100</v>
      </c>
      <c r="AM34" s="113">
        <v>100</v>
      </c>
      <c r="AN34" s="113">
        <v>250</v>
      </c>
      <c r="AO34" s="113">
        <v>100</v>
      </c>
      <c r="AP34" s="113">
        <v>100</v>
      </c>
      <c r="AQ34" s="113">
        <v>100</v>
      </c>
      <c r="AR34" s="113">
        <v>100</v>
      </c>
      <c r="AS34" s="113">
        <v>150</v>
      </c>
      <c r="AT34" s="113">
        <v>250</v>
      </c>
      <c r="AU34" s="113">
        <v>100</v>
      </c>
      <c r="AV34" s="113">
        <v>100</v>
      </c>
      <c r="AW34" s="113">
        <v>100</v>
      </c>
      <c r="AX34" s="113">
        <v>100</v>
      </c>
      <c r="AY34" s="113">
        <v>100</v>
      </c>
      <c r="AZ34" s="113">
        <v>250</v>
      </c>
      <c r="BA34" s="113">
        <v>100</v>
      </c>
      <c r="BB34" s="113">
        <v>100</v>
      </c>
      <c r="BC34" s="113">
        <v>100</v>
      </c>
      <c r="BD34" s="113">
        <v>100</v>
      </c>
      <c r="BE34" s="113">
        <v>150</v>
      </c>
      <c r="BF34" s="113">
        <v>250</v>
      </c>
      <c r="BG34" s="113">
        <v>100</v>
      </c>
      <c r="BH34" s="113">
        <v>100</v>
      </c>
      <c r="BI34" s="113">
        <v>100</v>
      </c>
      <c r="BJ34" s="113">
        <v>100</v>
      </c>
      <c r="BK34" s="113">
        <v>100</v>
      </c>
      <c r="BL34" s="113">
        <v>250</v>
      </c>
      <c r="BM34" s="113">
        <v>100</v>
      </c>
      <c r="BN34" s="113">
        <v>100</v>
      </c>
      <c r="BO34" s="113">
        <v>100</v>
      </c>
      <c r="BP34" s="113">
        <v>100</v>
      </c>
      <c r="BQ34" s="113">
        <v>150</v>
      </c>
    </row>
    <row r="35" spans="4:69">
      <c r="E35" t="str">
        <v>Montreal</v>
      </c>
      <c r="G35" t="s">
        <v>96</v>
      </c>
      <c r="J35" s="113">
        <v>0</v>
      </c>
      <c r="K35" s="113">
        <v>0</v>
      </c>
      <c r="L35" s="113">
        <v>0</v>
      </c>
      <c r="M35" s="113">
        <v>0</v>
      </c>
      <c r="N35" s="113">
        <v>0</v>
      </c>
      <c r="O35" s="113">
        <v>0</v>
      </c>
      <c r="P35" s="113">
        <v>0</v>
      </c>
      <c r="Q35" s="113">
        <v>0</v>
      </c>
      <c r="R35" s="113">
        <v>0</v>
      </c>
      <c r="S35" s="113">
        <v>140.83333333333329</v>
      </c>
      <c r="T35" s="113">
        <v>151.66666666666666</v>
      </c>
      <c r="U35" s="113">
        <v>243.75</v>
      </c>
      <c r="V35" s="113">
        <v>433.33333333333331</v>
      </c>
      <c r="W35" s="113">
        <v>184.16666666666666</v>
      </c>
      <c r="X35" s="113">
        <v>195</v>
      </c>
      <c r="Y35" s="113">
        <v>205.83333333333334</v>
      </c>
      <c r="Z35" s="113">
        <v>216.66666666666669</v>
      </c>
      <c r="AA35" s="113">
        <v>227.5</v>
      </c>
      <c r="AB35" s="113">
        <v>595.83333333333337</v>
      </c>
      <c r="AC35" s="113">
        <v>249.16666666666671</v>
      </c>
      <c r="AD35" s="113">
        <v>260</v>
      </c>
      <c r="AE35" s="113">
        <v>260</v>
      </c>
      <c r="AF35" s="113">
        <v>260</v>
      </c>
      <c r="AG35" s="113">
        <v>390</v>
      </c>
      <c r="AH35" s="113">
        <v>650</v>
      </c>
      <c r="AI35" s="113">
        <v>260</v>
      </c>
      <c r="AJ35" s="113">
        <v>260</v>
      </c>
      <c r="AK35" s="113">
        <v>260</v>
      </c>
      <c r="AL35" s="113">
        <v>260</v>
      </c>
      <c r="AM35" s="113">
        <v>260</v>
      </c>
      <c r="AN35" s="113">
        <v>650</v>
      </c>
      <c r="AO35" s="113">
        <v>260</v>
      </c>
      <c r="AP35" s="113">
        <v>260</v>
      </c>
      <c r="AQ35" s="113">
        <v>260</v>
      </c>
      <c r="AR35" s="113">
        <v>260</v>
      </c>
      <c r="AS35" s="113">
        <v>390</v>
      </c>
      <c r="AT35" s="113">
        <v>650</v>
      </c>
      <c r="AU35" s="113">
        <v>260</v>
      </c>
      <c r="AV35" s="113">
        <v>260</v>
      </c>
      <c r="AW35" s="113">
        <v>260</v>
      </c>
      <c r="AX35" s="113">
        <v>260</v>
      </c>
      <c r="AY35" s="113">
        <v>260</v>
      </c>
      <c r="AZ35" s="113">
        <v>650</v>
      </c>
      <c r="BA35" s="113">
        <v>260</v>
      </c>
      <c r="BB35" s="113">
        <v>260</v>
      </c>
      <c r="BC35" s="113">
        <v>260</v>
      </c>
      <c r="BD35" s="113">
        <v>260</v>
      </c>
      <c r="BE35" s="113">
        <v>390</v>
      </c>
      <c r="BF35" s="113">
        <v>650</v>
      </c>
      <c r="BG35" s="113">
        <v>260</v>
      </c>
      <c r="BH35" s="113">
        <v>260</v>
      </c>
      <c r="BI35" s="113">
        <v>260</v>
      </c>
      <c r="BJ35" s="113">
        <v>260</v>
      </c>
      <c r="BK35" s="113">
        <v>260</v>
      </c>
      <c r="BL35" s="113">
        <v>650</v>
      </c>
      <c r="BM35" s="113">
        <v>260</v>
      </c>
      <c r="BN35" s="113">
        <v>260</v>
      </c>
      <c r="BO35" s="113">
        <v>260</v>
      </c>
      <c r="BP35" s="113">
        <v>260</v>
      </c>
      <c r="BQ35" s="113">
        <v>390</v>
      </c>
    </row>
    <row r="36" spans="4:69">
      <c r="E36" t="str">
        <v>Zurich</v>
      </c>
      <c r="G36" t="s">
        <v>96</v>
      </c>
      <c r="J36" s="113">
        <v>0</v>
      </c>
      <c r="K36" s="113">
        <v>0</v>
      </c>
      <c r="L36" s="113">
        <v>0</v>
      </c>
      <c r="M36" s="113">
        <v>0</v>
      </c>
      <c r="N36" s="113">
        <v>0</v>
      </c>
      <c r="O36" s="113">
        <v>0</v>
      </c>
      <c r="P36" s="113">
        <v>0</v>
      </c>
      <c r="Q36" s="113">
        <v>0</v>
      </c>
      <c r="R36" s="113">
        <v>0</v>
      </c>
      <c r="S36" s="113">
        <v>0</v>
      </c>
      <c r="T36" s="113">
        <v>0</v>
      </c>
      <c r="U36" s="113">
        <v>0</v>
      </c>
      <c r="V36" s="113">
        <v>0</v>
      </c>
      <c r="W36" s="113">
        <v>0</v>
      </c>
      <c r="X36" s="113">
        <v>0</v>
      </c>
      <c r="Y36" s="113">
        <v>81.249999999999972</v>
      </c>
      <c r="Z36" s="113">
        <v>87.499999999999986</v>
      </c>
      <c r="AA36" s="113">
        <v>93.75</v>
      </c>
      <c r="AB36" s="113">
        <v>250</v>
      </c>
      <c r="AC36" s="113">
        <v>106.24999999999999</v>
      </c>
      <c r="AD36" s="113">
        <v>112.5</v>
      </c>
      <c r="AE36" s="113">
        <v>118.75000000000001</v>
      </c>
      <c r="AF36" s="113">
        <v>125</v>
      </c>
      <c r="AG36" s="113">
        <v>196.875</v>
      </c>
      <c r="AH36" s="113">
        <v>343.75</v>
      </c>
      <c r="AI36" s="113">
        <v>143.75000000000003</v>
      </c>
      <c r="AJ36" s="113">
        <v>150</v>
      </c>
      <c r="AK36" s="113">
        <v>150</v>
      </c>
      <c r="AL36" s="113">
        <v>150</v>
      </c>
      <c r="AM36" s="113">
        <v>150</v>
      </c>
      <c r="AN36" s="113">
        <v>375</v>
      </c>
      <c r="AO36" s="113">
        <v>150</v>
      </c>
      <c r="AP36" s="113">
        <v>150</v>
      </c>
      <c r="AQ36" s="113">
        <v>150</v>
      </c>
      <c r="AR36" s="113">
        <v>150</v>
      </c>
      <c r="AS36" s="113">
        <v>225</v>
      </c>
      <c r="AT36" s="113">
        <v>375</v>
      </c>
      <c r="AU36" s="113">
        <v>150</v>
      </c>
      <c r="AV36" s="113">
        <v>150</v>
      </c>
      <c r="AW36" s="113">
        <v>150</v>
      </c>
      <c r="AX36" s="113">
        <v>150</v>
      </c>
      <c r="AY36" s="113">
        <v>150</v>
      </c>
      <c r="AZ36" s="113">
        <v>375</v>
      </c>
      <c r="BA36" s="113">
        <v>150</v>
      </c>
      <c r="BB36" s="113">
        <v>150</v>
      </c>
      <c r="BC36" s="113">
        <v>150</v>
      </c>
      <c r="BD36" s="113">
        <v>150</v>
      </c>
      <c r="BE36" s="113">
        <v>225</v>
      </c>
      <c r="BF36" s="113">
        <v>375</v>
      </c>
      <c r="BG36" s="113">
        <v>150</v>
      </c>
      <c r="BH36" s="113">
        <v>150</v>
      </c>
      <c r="BI36" s="113">
        <v>150</v>
      </c>
      <c r="BJ36" s="113">
        <v>150</v>
      </c>
      <c r="BK36" s="113">
        <v>150</v>
      </c>
      <c r="BL36" s="113">
        <v>375</v>
      </c>
      <c r="BM36" s="113">
        <v>150</v>
      </c>
      <c r="BN36" s="113">
        <v>150</v>
      </c>
      <c r="BO36" s="113">
        <v>150</v>
      </c>
      <c r="BP36" s="113">
        <v>150</v>
      </c>
      <c r="BQ36" s="113">
        <v>225</v>
      </c>
    </row>
    <row r="37" spans="4:69">
      <c r="E37" t="str">
        <v>Moscow</v>
      </c>
      <c r="G37" t="s">
        <v>96</v>
      </c>
      <c r="J37" s="113">
        <v>0</v>
      </c>
      <c r="K37" s="113">
        <v>0</v>
      </c>
      <c r="L37" s="113">
        <v>0</v>
      </c>
      <c r="M37" s="113">
        <v>0</v>
      </c>
      <c r="N37" s="113">
        <v>0</v>
      </c>
      <c r="O37" s="113">
        <v>0</v>
      </c>
      <c r="P37" s="113">
        <v>0</v>
      </c>
      <c r="Q37" s="113">
        <v>0</v>
      </c>
      <c r="R37" s="113">
        <v>0</v>
      </c>
      <c r="S37" s="113">
        <v>0</v>
      </c>
      <c r="T37" s="113">
        <v>0</v>
      </c>
      <c r="U37" s="113">
        <v>0</v>
      </c>
      <c r="V37" s="113">
        <v>0</v>
      </c>
      <c r="W37" s="113">
        <v>0</v>
      </c>
      <c r="X37" s="113">
        <v>0</v>
      </c>
      <c r="Y37" s="113">
        <v>0</v>
      </c>
      <c r="Z37" s="113">
        <v>0</v>
      </c>
      <c r="AA37" s="113">
        <v>0</v>
      </c>
      <c r="AB37" s="113">
        <v>0</v>
      </c>
      <c r="AC37" s="113">
        <v>0</v>
      </c>
      <c r="AD37" s="113">
        <v>0</v>
      </c>
      <c r="AE37" s="113">
        <v>54.16666666666665</v>
      </c>
      <c r="AF37" s="113">
        <v>58.333333333333329</v>
      </c>
      <c r="AG37" s="113">
        <v>93.75</v>
      </c>
      <c r="AH37" s="113">
        <v>166.66666666666666</v>
      </c>
      <c r="AI37" s="113">
        <v>70.833333333333329</v>
      </c>
      <c r="AJ37" s="113">
        <v>75</v>
      </c>
      <c r="AK37" s="113">
        <v>79.166666666666671</v>
      </c>
      <c r="AL37" s="113">
        <v>83.333333333333343</v>
      </c>
      <c r="AM37" s="113">
        <v>87.5</v>
      </c>
      <c r="AN37" s="113">
        <v>229.16666666666669</v>
      </c>
      <c r="AO37" s="113">
        <v>95.833333333333343</v>
      </c>
      <c r="AP37" s="113">
        <v>100</v>
      </c>
      <c r="AQ37" s="113">
        <v>100</v>
      </c>
      <c r="AR37" s="113">
        <v>100</v>
      </c>
      <c r="AS37" s="113">
        <v>150</v>
      </c>
      <c r="AT37" s="113">
        <v>250</v>
      </c>
      <c r="AU37" s="113">
        <v>100</v>
      </c>
      <c r="AV37" s="113">
        <v>100</v>
      </c>
      <c r="AW37" s="113">
        <v>100</v>
      </c>
      <c r="AX37" s="113">
        <v>100</v>
      </c>
      <c r="AY37" s="113">
        <v>100</v>
      </c>
      <c r="AZ37" s="113">
        <v>250</v>
      </c>
      <c r="BA37" s="113">
        <v>100</v>
      </c>
      <c r="BB37" s="113">
        <v>100</v>
      </c>
      <c r="BC37" s="113">
        <v>100</v>
      </c>
      <c r="BD37" s="113">
        <v>100</v>
      </c>
      <c r="BE37" s="113">
        <v>150</v>
      </c>
      <c r="BF37" s="113">
        <v>250</v>
      </c>
      <c r="BG37" s="113">
        <v>100</v>
      </c>
      <c r="BH37" s="113">
        <v>100</v>
      </c>
      <c r="BI37" s="113">
        <v>100</v>
      </c>
      <c r="BJ37" s="113">
        <v>100</v>
      </c>
      <c r="BK37" s="113">
        <v>100</v>
      </c>
      <c r="BL37" s="113">
        <v>250</v>
      </c>
      <c r="BM37" s="113">
        <v>100</v>
      </c>
      <c r="BN37" s="113">
        <v>100</v>
      </c>
      <c r="BO37" s="113">
        <v>100</v>
      </c>
      <c r="BP37" s="113">
        <v>100</v>
      </c>
      <c r="BQ37" s="113">
        <v>150</v>
      </c>
    </row>
    <row r="39" spans="4:69">
      <c r="E39" t="s">
        <v>98</v>
      </c>
      <c r="G39" t="s">
        <v>96</v>
      </c>
      <c r="J39" cm="1">
        <f t="array" aca="1" ref="J39:BQ39" ca="1">_xlfn.LET(
     _xlpm.anchor, $J30,
     _xlpm.block, OFFSET( _xlpm.anchor, 0, 0, COUNTA( ( lstStores ) ), periods ),
     _xlfn.BYCOL( _xlpm.block, _xlfn.LAMBDA(_xlpm.column, SUM( _xlpm.column ) ) ) )</f>
        <v>1425</v>
      </c>
      <c r="K39">
        <f ca="1"/>
        <v>570</v>
      </c>
      <c r="L39">
        <f ca="1"/>
        <v>570</v>
      </c>
      <c r="M39">
        <f ca="1"/>
        <v>624.16666666666663</v>
      </c>
      <c r="N39">
        <f ca="1"/>
        <v>628.33333333333337</v>
      </c>
      <c r="O39">
        <f ca="1"/>
        <v>632.5</v>
      </c>
      <c r="P39">
        <f ca="1"/>
        <v>1591.6666666666667</v>
      </c>
      <c r="Q39">
        <f ca="1"/>
        <v>640.83333333333337</v>
      </c>
      <c r="R39">
        <f ca="1"/>
        <v>645</v>
      </c>
      <c r="S39">
        <f ca="1"/>
        <v>789.99999999999989</v>
      </c>
      <c r="T39">
        <f ca="1"/>
        <v>805</v>
      </c>
      <c r="U39">
        <f ca="1"/>
        <v>1230</v>
      </c>
      <c r="V39">
        <f ca="1"/>
        <v>2087.5</v>
      </c>
      <c r="W39">
        <f ca="1"/>
        <v>850</v>
      </c>
      <c r="X39">
        <f ca="1"/>
        <v>865</v>
      </c>
      <c r="Y39">
        <f ca="1"/>
        <v>957.08333333333337</v>
      </c>
      <c r="Z39">
        <f ca="1"/>
        <v>974.16666666666674</v>
      </c>
      <c r="AA39">
        <f ca="1"/>
        <v>991.25</v>
      </c>
      <c r="AB39">
        <f ca="1"/>
        <v>2520.8333333333335</v>
      </c>
      <c r="AC39">
        <f ca="1"/>
        <v>1025.4166666666667</v>
      </c>
      <c r="AD39">
        <f ca="1"/>
        <v>1042.5</v>
      </c>
      <c r="AE39">
        <f ca="1"/>
        <v>1102.9166666666667</v>
      </c>
      <c r="AF39">
        <f ca="1"/>
        <v>1113.3333333333333</v>
      </c>
      <c r="AG39">
        <f ca="1"/>
        <v>1685.625</v>
      </c>
      <c r="AH39">
        <f ca="1"/>
        <v>2835.4166666666665</v>
      </c>
      <c r="AI39">
        <f ca="1"/>
        <v>1144.5833333333333</v>
      </c>
      <c r="AJ39">
        <f ca="1"/>
        <v>1155</v>
      </c>
      <c r="AK39">
        <f ca="1"/>
        <v>1159.1666666666667</v>
      </c>
      <c r="AL39">
        <f ca="1"/>
        <v>1163.3333333333333</v>
      </c>
      <c r="AM39">
        <f ca="1"/>
        <v>1167.5</v>
      </c>
      <c r="AN39">
        <f ca="1"/>
        <v>2929.1666666666665</v>
      </c>
      <c r="AO39">
        <f ca="1"/>
        <v>1175.8333333333333</v>
      </c>
      <c r="AP39">
        <f ca="1"/>
        <v>1180</v>
      </c>
      <c r="AQ39">
        <f ca="1"/>
        <v>1180</v>
      </c>
      <c r="AR39">
        <f ca="1"/>
        <v>1180</v>
      </c>
      <c r="AS39">
        <f ca="1"/>
        <v>1770</v>
      </c>
      <c r="AT39">
        <f ca="1"/>
        <v>2950</v>
      </c>
      <c r="AU39">
        <f ca="1"/>
        <v>1180</v>
      </c>
      <c r="AV39">
        <f ca="1"/>
        <v>1180</v>
      </c>
      <c r="AW39">
        <f ca="1"/>
        <v>1180</v>
      </c>
      <c r="AX39">
        <f ca="1"/>
        <v>1180</v>
      </c>
      <c r="AY39">
        <f ca="1"/>
        <v>1180</v>
      </c>
      <c r="AZ39">
        <f ca="1"/>
        <v>2950</v>
      </c>
      <c r="BA39">
        <f ca="1"/>
        <v>1180</v>
      </c>
      <c r="BB39">
        <f ca="1"/>
        <v>1180</v>
      </c>
      <c r="BC39">
        <f ca="1"/>
        <v>1180</v>
      </c>
      <c r="BD39">
        <f ca="1"/>
        <v>1180</v>
      </c>
      <c r="BE39">
        <f ca="1"/>
        <v>1770</v>
      </c>
      <c r="BF39">
        <f ca="1"/>
        <v>2950</v>
      </c>
      <c r="BG39">
        <f ca="1"/>
        <v>1180</v>
      </c>
      <c r="BH39">
        <f ca="1"/>
        <v>1180</v>
      </c>
      <c r="BI39">
        <f ca="1"/>
        <v>1180</v>
      </c>
      <c r="BJ39">
        <f ca="1"/>
        <v>1180</v>
      </c>
      <c r="BK39">
        <f ca="1"/>
        <v>1180</v>
      </c>
      <c r="BL39">
        <f ca="1"/>
        <v>2950</v>
      </c>
      <c r="BM39">
        <f ca="1"/>
        <v>1180</v>
      </c>
      <c r="BN39">
        <f ca="1"/>
        <v>1180</v>
      </c>
      <c r="BO39">
        <f ca="1"/>
        <v>1180</v>
      </c>
      <c r="BP39">
        <f ca="1"/>
        <v>1180</v>
      </c>
      <c r="BQ39">
        <f ca="1"/>
        <v>1770</v>
      </c>
    </row>
    <row r="41" spans="4:69">
      <c r="E41" t="str">
        <f>CaseData!B$41</f>
        <v>Max Capacity</v>
      </c>
      <c r="F41" s="102">
        <f>CaseData!C$41</f>
        <v>2500</v>
      </c>
      <c r="G41" t="str">
        <f>CaseData!D$41</f>
        <v>units</v>
      </c>
    </row>
    <row r="42" spans="4:69">
      <c r="E42" t="s">
        <v>99</v>
      </c>
      <c r="G42" t="s">
        <v>100</v>
      </c>
      <c r="J42" s="103" cm="1">
        <f t="array" aca="1" ref="J42:BQ42" ca="1">_xlfn.LET(
      _xlpm.max_capacity, $F$41,
      _xlpm.max_demand,_xlfn.ANCHORARRAY( J39),
      _xlfn.BYCOL( _xlpm.max_demand, _xlfn.LAMBDA(_xlpm.d, MIN( 1, _xlpm.max_capacity / _xlpm.d ) ) ) )</f>
        <v>1</v>
      </c>
      <c r="K42" s="103">
        <f ca="1"/>
        <v>1</v>
      </c>
      <c r="L42" s="103">
        <f ca="1"/>
        <v>1</v>
      </c>
      <c r="M42" s="103">
        <f ca="1"/>
        <v>1</v>
      </c>
      <c r="N42" s="103">
        <f ca="1"/>
        <v>1</v>
      </c>
      <c r="O42" s="103">
        <f ca="1"/>
        <v>1</v>
      </c>
      <c r="P42" s="103">
        <f ca="1"/>
        <v>1</v>
      </c>
      <c r="Q42" s="103">
        <f ca="1"/>
        <v>1</v>
      </c>
      <c r="R42" s="103">
        <f ca="1"/>
        <v>1</v>
      </c>
      <c r="S42" s="103">
        <f ca="1"/>
        <v>1</v>
      </c>
      <c r="T42" s="103">
        <f ca="1"/>
        <v>1</v>
      </c>
      <c r="U42" s="103">
        <f ca="1"/>
        <v>1</v>
      </c>
      <c r="V42" s="103">
        <f ca="1"/>
        <v>1</v>
      </c>
      <c r="W42" s="103">
        <f ca="1"/>
        <v>1</v>
      </c>
      <c r="X42" s="103">
        <f ca="1"/>
        <v>1</v>
      </c>
      <c r="Y42" s="103">
        <f ca="1"/>
        <v>1</v>
      </c>
      <c r="Z42" s="103">
        <f ca="1"/>
        <v>1</v>
      </c>
      <c r="AA42" s="103">
        <f ca="1"/>
        <v>1</v>
      </c>
      <c r="AB42" s="103">
        <f ca="1"/>
        <v>0.99173553719008256</v>
      </c>
      <c r="AC42" s="103">
        <f ca="1"/>
        <v>1</v>
      </c>
      <c r="AD42" s="103">
        <f ca="1"/>
        <v>1</v>
      </c>
      <c r="AE42" s="103">
        <f ca="1"/>
        <v>1</v>
      </c>
      <c r="AF42" s="103">
        <f ca="1"/>
        <v>1</v>
      </c>
      <c r="AG42" s="103">
        <f ca="1"/>
        <v>1</v>
      </c>
      <c r="AH42" s="103">
        <f ca="1"/>
        <v>0.88170462894930202</v>
      </c>
      <c r="AI42" s="103">
        <f ca="1"/>
        <v>1</v>
      </c>
      <c r="AJ42" s="103">
        <f ca="1"/>
        <v>1</v>
      </c>
      <c r="AK42" s="103">
        <f ca="1"/>
        <v>1</v>
      </c>
      <c r="AL42" s="103">
        <f ca="1"/>
        <v>1</v>
      </c>
      <c r="AM42" s="103">
        <f ca="1"/>
        <v>1</v>
      </c>
      <c r="AN42" s="103">
        <f ca="1"/>
        <v>0.8534850640113798</v>
      </c>
      <c r="AO42" s="103">
        <f ca="1"/>
        <v>1</v>
      </c>
      <c r="AP42" s="103">
        <f ca="1"/>
        <v>1</v>
      </c>
      <c r="AQ42" s="103">
        <f ca="1"/>
        <v>1</v>
      </c>
      <c r="AR42" s="103">
        <f ca="1"/>
        <v>1</v>
      </c>
      <c r="AS42" s="103">
        <f ca="1"/>
        <v>1</v>
      </c>
      <c r="AT42" s="103">
        <f ca="1"/>
        <v>0.84745762711864403</v>
      </c>
      <c r="AU42" s="103">
        <f ca="1"/>
        <v>1</v>
      </c>
      <c r="AV42" s="103">
        <f ca="1"/>
        <v>1</v>
      </c>
      <c r="AW42" s="103">
        <f ca="1"/>
        <v>1</v>
      </c>
      <c r="AX42" s="103">
        <f ca="1"/>
        <v>1</v>
      </c>
      <c r="AY42" s="103">
        <f ca="1"/>
        <v>1</v>
      </c>
      <c r="AZ42" s="103">
        <f ca="1"/>
        <v>0.84745762711864403</v>
      </c>
      <c r="BA42" s="103">
        <f ca="1"/>
        <v>1</v>
      </c>
      <c r="BB42" s="103">
        <f ca="1"/>
        <v>1</v>
      </c>
      <c r="BC42" s="103">
        <f ca="1"/>
        <v>1</v>
      </c>
      <c r="BD42" s="103">
        <f ca="1"/>
        <v>1</v>
      </c>
      <c r="BE42" s="103">
        <f ca="1"/>
        <v>1</v>
      </c>
      <c r="BF42" s="103">
        <f ca="1"/>
        <v>0.84745762711864403</v>
      </c>
      <c r="BG42" s="103">
        <f ca="1"/>
        <v>1</v>
      </c>
      <c r="BH42" s="103">
        <f ca="1"/>
        <v>1</v>
      </c>
      <c r="BI42" s="103">
        <f ca="1"/>
        <v>1</v>
      </c>
      <c r="BJ42" s="103">
        <f ca="1"/>
        <v>1</v>
      </c>
      <c r="BK42" s="103">
        <f ca="1"/>
        <v>1</v>
      </c>
      <c r="BL42" s="103">
        <f ca="1"/>
        <v>0.84745762711864403</v>
      </c>
      <c r="BM42" s="103">
        <f ca="1"/>
        <v>1</v>
      </c>
      <c r="BN42" s="103">
        <f ca="1"/>
        <v>1</v>
      </c>
      <c r="BO42" s="103">
        <f ca="1"/>
        <v>1</v>
      </c>
      <c r="BP42" s="103">
        <f ca="1"/>
        <v>1</v>
      </c>
      <c r="BQ42" s="103">
        <f ca="1"/>
        <v>1</v>
      </c>
    </row>
    <row r="43" spans="4:69">
      <c r="D43" s="101"/>
    </row>
    <row r="44" spans="4:69">
      <c r="D44" s="101" t="s">
        <v>102</v>
      </c>
    </row>
    <row r="45" spans="4:69">
      <c r="E45" t="str" cm="1">
        <f t="array" ref="E45:E52">lstStores</f>
        <v>Paris</v>
      </c>
      <c r="G45" t="s">
        <v>96</v>
      </c>
      <c r="J45" s="120" cm="1">
        <f t="array" aca="1" ref="J45:BQ52" ca="1" xml:space="preserve"> _xlfn.LET(
       _xlpm.accessories_max,_xlfn.ANCHORARRAY( J30),
       _xlpm.constraint,_xlfn.ANCHORARRAY( J42),
       _xlpm.accessories_max * _xlpm.constraint )</f>
        <v>650</v>
      </c>
      <c r="K45">
        <f ca="1"/>
        <v>260</v>
      </c>
      <c r="L45">
        <f ca="1"/>
        <v>260</v>
      </c>
      <c r="M45">
        <f ca="1"/>
        <v>260</v>
      </c>
      <c r="N45">
        <f ca="1"/>
        <v>260</v>
      </c>
      <c r="O45">
        <f ca="1"/>
        <v>260</v>
      </c>
      <c r="P45">
        <f ca="1"/>
        <v>650</v>
      </c>
      <c r="Q45">
        <f ca="1"/>
        <v>260</v>
      </c>
      <c r="R45">
        <f ca="1"/>
        <v>260</v>
      </c>
      <c r="S45">
        <f ca="1"/>
        <v>260</v>
      </c>
      <c r="T45">
        <f ca="1"/>
        <v>260</v>
      </c>
      <c r="U45">
        <f ca="1"/>
        <v>390</v>
      </c>
      <c r="V45">
        <f ca="1"/>
        <v>650</v>
      </c>
      <c r="W45">
        <f ca="1"/>
        <v>260</v>
      </c>
      <c r="X45">
        <f ca="1"/>
        <v>260</v>
      </c>
      <c r="Y45">
        <f ca="1"/>
        <v>260</v>
      </c>
      <c r="Z45">
        <f ca="1"/>
        <v>260</v>
      </c>
      <c r="AA45">
        <f ca="1"/>
        <v>260</v>
      </c>
      <c r="AB45">
        <f ca="1"/>
        <v>644.62809917355366</v>
      </c>
      <c r="AC45">
        <f ca="1"/>
        <v>260</v>
      </c>
      <c r="AD45">
        <f ca="1"/>
        <v>260</v>
      </c>
      <c r="AE45">
        <f ca="1"/>
        <v>260</v>
      </c>
      <c r="AF45">
        <f ca="1"/>
        <v>260</v>
      </c>
      <c r="AG45">
        <f ca="1"/>
        <v>390</v>
      </c>
      <c r="AH45">
        <f ca="1"/>
        <v>573.10800881704631</v>
      </c>
      <c r="AI45">
        <f ca="1"/>
        <v>260</v>
      </c>
      <c r="AJ45">
        <f ca="1"/>
        <v>260</v>
      </c>
      <c r="AK45">
        <f ca="1"/>
        <v>260</v>
      </c>
      <c r="AL45">
        <f ca="1"/>
        <v>260</v>
      </c>
      <c r="AM45">
        <f ca="1"/>
        <v>260</v>
      </c>
      <c r="AN45">
        <f ca="1"/>
        <v>554.76529160739688</v>
      </c>
      <c r="AO45">
        <f ca="1"/>
        <v>260</v>
      </c>
      <c r="AP45">
        <f ca="1"/>
        <v>260</v>
      </c>
      <c r="AQ45">
        <f ca="1"/>
        <v>260</v>
      </c>
      <c r="AR45">
        <f ca="1"/>
        <v>260</v>
      </c>
      <c r="AS45">
        <f ca="1"/>
        <v>390</v>
      </c>
      <c r="AT45">
        <f ca="1"/>
        <v>550.84745762711862</v>
      </c>
      <c r="AU45">
        <f ca="1"/>
        <v>260</v>
      </c>
      <c r="AV45">
        <f ca="1"/>
        <v>260</v>
      </c>
      <c r="AW45">
        <f ca="1"/>
        <v>260</v>
      </c>
      <c r="AX45">
        <f ca="1"/>
        <v>260</v>
      </c>
      <c r="AY45">
        <f ca="1"/>
        <v>260</v>
      </c>
      <c r="AZ45">
        <f ca="1"/>
        <v>550.84745762711862</v>
      </c>
      <c r="BA45">
        <f ca="1"/>
        <v>260</v>
      </c>
      <c r="BB45">
        <f ca="1"/>
        <v>260</v>
      </c>
      <c r="BC45">
        <f ca="1"/>
        <v>260</v>
      </c>
      <c r="BD45">
        <f ca="1"/>
        <v>260</v>
      </c>
      <c r="BE45">
        <f ca="1"/>
        <v>390</v>
      </c>
      <c r="BF45">
        <f ca="1"/>
        <v>550.84745762711862</v>
      </c>
      <c r="BG45">
        <f ca="1"/>
        <v>260</v>
      </c>
      <c r="BH45">
        <f ca="1"/>
        <v>260</v>
      </c>
      <c r="BI45">
        <f ca="1"/>
        <v>260</v>
      </c>
      <c r="BJ45">
        <f ca="1"/>
        <v>260</v>
      </c>
      <c r="BK45">
        <f ca="1"/>
        <v>260</v>
      </c>
      <c r="BL45">
        <f ca="1"/>
        <v>550.84745762711862</v>
      </c>
      <c r="BM45">
        <f ca="1"/>
        <v>260</v>
      </c>
      <c r="BN45">
        <f ca="1"/>
        <v>260</v>
      </c>
      <c r="BO45">
        <f ca="1"/>
        <v>260</v>
      </c>
      <c r="BP45">
        <f ca="1"/>
        <v>260</v>
      </c>
      <c r="BQ45">
        <f ca="1"/>
        <v>390</v>
      </c>
    </row>
    <row r="46" spans="4:69">
      <c r="E46" t="str">
        <v>Milano</v>
      </c>
      <c r="G46" t="s">
        <v>96</v>
      </c>
      <c r="J46">
        <f ca="1"/>
        <v>375</v>
      </c>
      <c r="K46">
        <f ca="1"/>
        <v>150</v>
      </c>
      <c r="L46">
        <f ca="1"/>
        <v>150</v>
      </c>
      <c r="M46">
        <f ca="1"/>
        <v>150</v>
      </c>
      <c r="N46">
        <f ca="1"/>
        <v>150</v>
      </c>
      <c r="O46">
        <f ca="1"/>
        <v>150</v>
      </c>
      <c r="P46">
        <f ca="1"/>
        <v>375</v>
      </c>
      <c r="Q46">
        <f ca="1"/>
        <v>150</v>
      </c>
      <c r="R46">
        <f ca="1"/>
        <v>150</v>
      </c>
      <c r="S46">
        <f ca="1"/>
        <v>150</v>
      </c>
      <c r="T46">
        <f ca="1"/>
        <v>150</v>
      </c>
      <c r="U46">
        <f ca="1"/>
        <v>225</v>
      </c>
      <c r="V46">
        <f ca="1"/>
        <v>375</v>
      </c>
      <c r="W46">
        <f ca="1"/>
        <v>150</v>
      </c>
      <c r="X46">
        <f ca="1"/>
        <v>150</v>
      </c>
      <c r="Y46">
        <f ca="1"/>
        <v>150</v>
      </c>
      <c r="Z46">
        <f ca="1"/>
        <v>150</v>
      </c>
      <c r="AA46">
        <f ca="1"/>
        <v>150</v>
      </c>
      <c r="AB46">
        <f ca="1"/>
        <v>371.90082644628097</v>
      </c>
      <c r="AC46">
        <f ca="1"/>
        <v>150</v>
      </c>
      <c r="AD46">
        <f ca="1"/>
        <v>150</v>
      </c>
      <c r="AE46">
        <f ca="1"/>
        <v>150</v>
      </c>
      <c r="AF46">
        <f ca="1"/>
        <v>150</v>
      </c>
      <c r="AG46">
        <f ca="1"/>
        <v>225</v>
      </c>
      <c r="AH46">
        <f ca="1"/>
        <v>330.63923585598826</v>
      </c>
      <c r="AI46">
        <f ca="1"/>
        <v>150</v>
      </c>
      <c r="AJ46">
        <f ca="1"/>
        <v>150</v>
      </c>
      <c r="AK46">
        <f ca="1"/>
        <v>150</v>
      </c>
      <c r="AL46">
        <f ca="1"/>
        <v>150</v>
      </c>
      <c r="AM46">
        <f ca="1"/>
        <v>150</v>
      </c>
      <c r="AN46">
        <f ca="1"/>
        <v>320.05689900426745</v>
      </c>
      <c r="AO46">
        <f ca="1"/>
        <v>150</v>
      </c>
      <c r="AP46">
        <f ca="1"/>
        <v>150</v>
      </c>
      <c r="AQ46">
        <f ca="1"/>
        <v>150</v>
      </c>
      <c r="AR46">
        <f ca="1"/>
        <v>150</v>
      </c>
      <c r="AS46">
        <f ca="1"/>
        <v>225</v>
      </c>
      <c r="AT46">
        <f ca="1"/>
        <v>317.79661016949149</v>
      </c>
      <c r="AU46">
        <f ca="1"/>
        <v>150</v>
      </c>
      <c r="AV46">
        <f ca="1"/>
        <v>150</v>
      </c>
      <c r="AW46">
        <f ca="1"/>
        <v>150</v>
      </c>
      <c r="AX46">
        <f ca="1"/>
        <v>150</v>
      </c>
      <c r="AY46">
        <f ca="1"/>
        <v>150</v>
      </c>
      <c r="AZ46">
        <f ca="1"/>
        <v>317.79661016949149</v>
      </c>
      <c r="BA46">
        <f ca="1"/>
        <v>150</v>
      </c>
      <c r="BB46">
        <f ca="1"/>
        <v>150</v>
      </c>
      <c r="BC46">
        <f ca="1"/>
        <v>150</v>
      </c>
      <c r="BD46">
        <f ca="1"/>
        <v>150</v>
      </c>
      <c r="BE46">
        <f ca="1"/>
        <v>225</v>
      </c>
      <c r="BF46">
        <f ca="1"/>
        <v>317.79661016949149</v>
      </c>
      <c r="BG46">
        <f ca="1"/>
        <v>150</v>
      </c>
      <c r="BH46">
        <f ca="1"/>
        <v>150</v>
      </c>
      <c r="BI46">
        <f ca="1"/>
        <v>150</v>
      </c>
      <c r="BJ46">
        <f ca="1"/>
        <v>150</v>
      </c>
      <c r="BK46">
        <f ca="1"/>
        <v>150</v>
      </c>
      <c r="BL46">
        <f ca="1"/>
        <v>317.79661016949149</v>
      </c>
      <c r="BM46">
        <f ca="1"/>
        <v>150</v>
      </c>
      <c r="BN46">
        <f ca="1"/>
        <v>150</v>
      </c>
      <c r="BO46">
        <f ca="1"/>
        <v>150</v>
      </c>
      <c r="BP46">
        <f ca="1"/>
        <v>150</v>
      </c>
      <c r="BQ46">
        <f ca="1"/>
        <v>225</v>
      </c>
    </row>
    <row r="47" spans="4:69">
      <c r="E47" t="str">
        <v>Madrid</v>
      </c>
      <c r="G47" t="s">
        <v>96</v>
      </c>
      <c r="J47">
        <f ca="1"/>
        <v>150</v>
      </c>
      <c r="K47">
        <f ca="1"/>
        <v>60</v>
      </c>
      <c r="L47">
        <f ca="1"/>
        <v>60</v>
      </c>
      <c r="M47">
        <f ca="1"/>
        <v>60</v>
      </c>
      <c r="N47">
        <f ca="1"/>
        <v>60</v>
      </c>
      <c r="O47">
        <f ca="1"/>
        <v>60</v>
      </c>
      <c r="P47">
        <f ca="1"/>
        <v>150</v>
      </c>
      <c r="Q47">
        <f ca="1"/>
        <v>60</v>
      </c>
      <c r="R47">
        <f ca="1"/>
        <v>60</v>
      </c>
      <c r="S47">
        <f ca="1"/>
        <v>60</v>
      </c>
      <c r="T47">
        <f ca="1"/>
        <v>60</v>
      </c>
      <c r="U47">
        <f ca="1"/>
        <v>90</v>
      </c>
      <c r="V47">
        <f ca="1"/>
        <v>150</v>
      </c>
      <c r="W47">
        <f ca="1"/>
        <v>60</v>
      </c>
      <c r="X47">
        <f ca="1"/>
        <v>60</v>
      </c>
      <c r="Y47">
        <f ca="1"/>
        <v>60</v>
      </c>
      <c r="Z47">
        <f ca="1"/>
        <v>60</v>
      </c>
      <c r="AA47">
        <f ca="1"/>
        <v>60</v>
      </c>
      <c r="AB47">
        <f ca="1"/>
        <v>148.7603305785124</v>
      </c>
      <c r="AC47">
        <f ca="1"/>
        <v>60</v>
      </c>
      <c r="AD47">
        <f ca="1"/>
        <v>60</v>
      </c>
      <c r="AE47">
        <f ca="1"/>
        <v>60</v>
      </c>
      <c r="AF47">
        <f ca="1"/>
        <v>60</v>
      </c>
      <c r="AG47">
        <f ca="1"/>
        <v>90</v>
      </c>
      <c r="AH47">
        <f ca="1"/>
        <v>132.25569434239532</v>
      </c>
      <c r="AI47">
        <f ca="1"/>
        <v>60</v>
      </c>
      <c r="AJ47">
        <f ca="1"/>
        <v>60</v>
      </c>
      <c r="AK47">
        <f ca="1"/>
        <v>60</v>
      </c>
      <c r="AL47">
        <f ca="1"/>
        <v>60</v>
      </c>
      <c r="AM47">
        <f ca="1"/>
        <v>60</v>
      </c>
      <c r="AN47">
        <f ca="1"/>
        <v>128.02275960170698</v>
      </c>
      <c r="AO47">
        <f ca="1"/>
        <v>60</v>
      </c>
      <c r="AP47">
        <f ca="1"/>
        <v>60</v>
      </c>
      <c r="AQ47">
        <f ca="1"/>
        <v>60</v>
      </c>
      <c r="AR47">
        <f ca="1"/>
        <v>60</v>
      </c>
      <c r="AS47">
        <f ca="1"/>
        <v>90</v>
      </c>
      <c r="AT47">
        <f ca="1"/>
        <v>127.11864406779661</v>
      </c>
      <c r="AU47">
        <f ca="1"/>
        <v>60</v>
      </c>
      <c r="AV47">
        <f ca="1"/>
        <v>60</v>
      </c>
      <c r="AW47">
        <f ca="1"/>
        <v>60</v>
      </c>
      <c r="AX47">
        <f ca="1"/>
        <v>60</v>
      </c>
      <c r="AY47">
        <f ca="1"/>
        <v>60</v>
      </c>
      <c r="AZ47">
        <f ca="1"/>
        <v>127.11864406779661</v>
      </c>
      <c r="BA47">
        <f ca="1"/>
        <v>60</v>
      </c>
      <c r="BB47">
        <f ca="1"/>
        <v>60</v>
      </c>
      <c r="BC47">
        <f ca="1"/>
        <v>60</v>
      </c>
      <c r="BD47">
        <f ca="1"/>
        <v>60</v>
      </c>
      <c r="BE47">
        <f ca="1"/>
        <v>90</v>
      </c>
      <c r="BF47">
        <f ca="1"/>
        <v>127.11864406779661</v>
      </c>
      <c r="BG47">
        <f ca="1"/>
        <v>60</v>
      </c>
      <c r="BH47">
        <f ca="1"/>
        <v>60</v>
      </c>
      <c r="BI47">
        <f ca="1"/>
        <v>60</v>
      </c>
      <c r="BJ47">
        <f ca="1"/>
        <v>60</v>
      </c>
      <c r="BK47">
        <f ca="1"/>
        <v>60</v>
      </c>
      <c r="BL47">
        <f ca="1"/>
        <v>127.11864406779661</v>
      </c>
      <c r="BM47">
        <f ca="1"/>
        <v>60</v>
      </c>
      <c r="BN47">
        <f ca="1"/>
        <v>60</v>
      </c>
      <c r="BO47">
        <f ca="1"/>
        <v>60</v>
      </c>
      <c r="BP47">
        <f ca="1"/>
        <v>60</v>
      </c>
      <c r="BQ47">
        <f ca="1"/>
        <v>90</v>
      </c>
    </row>
    <row r="48" spans="4:69">
      <c r="E48" t="str">
        <v>London</v>
      </c>
      <c r="G48" t="s">
        <v>96</v>
      </c>
      <c r="J48">
        <f ca="1"/>
        <v>250</v>
      </c>
      <c r="K48">
        <f ca="1"/>
        <v>100</v>
      </c>
      <c r="L48">
        <f ca="1"/>
        <v>100</v>
      </c>
      <c r="M48">
        <f ca="1"/>
        <v>100</v>
      </c>
      <c r="N48">
        <f ca="1"/>
        <v>100</v>
      </c>
      <c r="O48">
        <f ca="1"/>
        <v>100</v>
      </c>
      <c r="P48">
        <f ca="1"/>
        <v>250</v>
      </c>
      <c r="Q48">
        <f ca="1"/>
        <v>100</v>
      </c>
      <c r="R48">
        <f ca="1"/>
        <v>100</v>
      </c>
      <c r="S48">
        <f ca="1"/>
        <v>100</v>
      </c>
      <c r="T48">
        <f ca="1"/>
        <v>100</v>
      </c>
      <c r="U48">
        <f ca="1"/>
        <v>150</v>
      </c>
      <c r="V48">
        <f ca="1"/>
        <v>250</v>
      </c>
      <c r="W48">
        <f ca="1"/>
        <v>100</v>
      </c>
      <c r="X48">
        <f ca="1"/>
        <v>100</v>
      </c>
      <c r="Y48">
        <f ca="1"/>
        <v>100</v>
      </c>
      <c r="Z48">
        <f ca="1"/>
        <v>100</v>
      </c>
      <c r="AA48">
        <f ca="1"/>
        <v>100</v>
      </c>
      <c r="AB48">
        <f ca="1"/>
        <v>247.93388429752065</v>
      </c>
      <c r="AC48">
        <f ca="1"/>
        <v>100</v>
      </c>
      <c r="AD48">
        <f ca="1"/>
        <v>100</v>
      </c>
      <c r="AE48">
        <f ca="1"/>
        <v>100</v>
      </c>
      <c r="AF48">
        <f ca="1"/>
        <v>100</v>
      </c>
      <c r="AG48">
        <f ca="1"/>
        <v>150</v>
      </c>
      <c r="AH48">
        <f ca="1"/>
        <v>220.4261572373255</v>
      </c>
      <c r="AI48">
        <f ca="1"/>
        <v>100</v>
      </c>
      <c r="AJ48">
        <f ca="1"/>
        <v>100</v>
      </c>
      <c r="AK48">
        <f ca="1"/>
        <v>100</v>
      </c>
      <c r="AL48">
        <f ca="1"/>
        <v>100</v>
      </c>
      <c r="AM48">
        <f ca="1"/>
        <v>100</v>
      </c>
      <c r="AN48">
        <f ca="1"/>
        <v>213.37126600284495</v>
      </c>
      <c r="AO48">
        <f ca="1"/>
        <v>100</v>
      </c>
      <c r="AP48">
        <f ca="1"/>
        <v>100</v>
      </c>
      <c r="AQ48">
        <f ca="1"/>
        <v>100</v>
      </c>
      <c r="AR48">
        <f ca="1"/>
        <v>100</v>
      </c>
      <c r="AS48">
        <f ca="1"/>
        <v>150</v>
      </c>
      <c r="AT48">
        <f ca="1"/>
        <v>211.86440677966101</v>
      </c>
      <c r="AU48">
        <f ca="1"/>
        <v>100</v>
      </c>
      <c r="AV48">
        <f ca="1"/>
        <v>100</v>
      </c>
      <c r="AW48">
        <f ca="1"/>
        <v>100</v>
      </c>
      <c r="AX48">
        <f ca="1"/>
        <v>100</v>
      </c>
      <c r="AY48">
        <f ca="1"/>
        <v>100</v>
      </c>
      <c r="AZ48">
        <f ca="1"/>
        <v>211.86440677966101</v>
      </c>
      <c r="BA48">
        <f ca="1"/>
        <v>100</v>
      </c>
      <c r="BB48">
        <f ca="1"/>
        <v>100</v>
      </c>
      <c r="BC48">
        <f ca="1"/>
        <v>100</v>
      </c>
      <c r="BD48">
        <f ca="1"/>
        <v>100</v>
      </c>
      <c r="BE48">
        <f ca="1"/>
        <v>150</v>
      </c>
      <c r="BF48">
        <f ca="1"/>
        <v>211.86440677966101</v>
      </c>
      <c r="BG48">
        <f ca="1"/>
        <v>100</v>
      </c>
      <c r="BH48">
        <f ca="1"/>
        <v>100</v>
      </c>
      <c r="BI48">
        <f ca="1"/>
        <v>100</v>
      </c>
      <c r="BJ48">
        <f ca="1"/>
        <v>100</v>
      </c>
      <c r="BK48">
        <f ca="1"/>
        <v>100</v>
      </c>
      <c r="BL48">
        <f ca="1"/>
        <v>211.86440677966101</v>
      </c>
      <c r="BM48">
        <f ca="1"/>
        <v>100</v>
      </c>
      <c r="BN48">
        <f ca="1"/>
        <v>100</v>
      </c>
      <c r="BO48">
        <f ca="1"/>
        <v>100</v>
      </c>
      <c r="BP48">
        <f ca="1"/>
        <v>100</v>
      </c>
      <c r="BQ48">
        <f ca="1"/>
        <v>150</v>
      </c>
    </row>
    <row r="49" spans="1:69">
      <c r="E49" t="str">
        <v>New York</v>
      </c>
      <c r="G49" t="s">
        <v>96</v>
      </c>
      <c r="J49">
        <f ca="1"/>
        <v>0</v>
      </c>
      <c r="K49">
        <f ca="1"/>
        <v>0</v>
      </c>
      <c r="L49">
        <f ca="1"/>
        <v>0</v>
      </c>
      <c r="M49">
        <f ca="1"/>
        <v>54.16666666666665</v>
      </c>
      <c r="N49">
        <f ca="1"/>
        <v>58.333333333333329</v>
      </c>
      <c r="O49">
        <f ca="1"/>
        <v>62.5</v>
      </c>
      <c r="P49">
        <f ca="1"/>
        <v>166.66666666666666</v>
      </c>
      <c r="Q49">
        <f ca="1"/>
        <v>70.833333333333329</v>
      </c>
      <c r="R49">
        <f ca="1"/>
        <v>75</v>
      </c>
      <c r="S49">
        <f ca="1"/>
        <v>79.166666666666671</v>
      </c>
      <c r="T49">
        <f ca="1"/>
        <v>83.333333333333343</v>
      </c>
      <c r="U49">
        <f ca="1"/>
        <v>131.25</v>
      </c>
      <c r="V49">
        <f ca="1"/>
        <v>229.16666666666669</v>
      </c>
      <c r="W49">
        <f ca="1"/>
        <v>95.833333333333343</v>
      </c>
      <c r="X49">
        <f ca="1"/>
        <v>100</v>
      </c>
      <c r="Y49">
        <f ca="1"/>
        <v>100</v>
      </c>
      <c r="Z49">
        <f ca="1"/>
        <v>100</v>
      </c>
      <c r="AA49">
        <f ca="1"/>
        <v>100</v>
      </c>
      <c r="AB49">
        <f ca="1"/>
        <v>247.93388429752065</v>
      </c>
      <c r="AC49">
        <f ca="1"/>
        <v>100</v>
      </c>
      <c r="AD49">
        <f ca="1"/>
        <v>100</v>
      </c>
      <c r="AE49">
        <f ca="1"/>
        <v>100</v>
      </c>
      <c r="AF49">
        <f ca="1"/>
        <v>100</v>
      </c>
      <c r="AG49">
        <f ca="1"/>
        <v>150</v>
      </c>
      <c r="AH49">
        <f ca="1"/>
        <v>220.4261572373255</v>
      </c>
      <c r="AI49">
        <f ca="1"/>
        <v>100</v>
      </c>
      <c r="AJ49">
        <f ca="1"/>
        <v>100</v>
      </c>
      <c r="AK49">
        <f ca="1"/>
        <v>100</v>
      </c>
      <c r="AL49">
        <f ca="1"/>
        <v>100</v>
      </c>
      <c r="AM49">
        <f ca="1"/>
        <v>100</v>
      </c>
      <c r="AN49">
        <f ca="1"/>
        <v>213.37126600284495</v>
      </c>
      <c r="AO49">
        <f ca="1"/>
        <v>100</v>
      </c>
      <c r="AP49">
        <f ca="1"/>
        <v>100</v>
      </c>
      <c r="AQ49">
        <f ca="1"/>
        <v>100</v>
      </c>
      <c r="AR49">
        <f ca="1"/>
        <v>100</v>
      </c>
      <c r="AS49">
        <f ca="1"/>
        <v>150</v>
      </c>
      <c r="AT49">
        <f ca="1"/>
        <v>211.86440677966101</v>
      </c>
      <c r="AU49">
        <f ca="1"/>
        <v>100</v>
      </c>
      <c r="AV49">
        <f ca="1"/>
        <v>100</v>
      </c>
      <c r="AW49">
        <f ca="1"/>
        <v>100</v>
      </c>
      <c r="AX49">
        <f ca="1"/>
        <v>100</v>
      </c>
      <c r="AY49">
        <f ca="1"/>
        <v>100</v>
      </c>
      <c r="AZ49">
        <f ca="1"/>
        <v>211.86440677966101</v>
      </c>
      <c r="BA49">
        <f ca="1"/>
        <v>100</v>
      </c>
      <c r="BB49">
        <f ca="1"/>
        <v>100</v>
      </c>
      <c r="BC49">
        <f ca="1"/>
        <v>100</v>
      </c>
      <c r="BD49">
        <f ca="1"/>
        <v>100</v>
      </c>
      <c r="BE49">
        <f ca="1"/>
        <v>150</v>
      </c>
      <c r="BF49">
        <f ca="1"/>
        <v>211.86440677966101</v>
      </c>
      <c r="BG49">
        <f ca="1"/>
        <v>100</v>
      </c>
      <c r="BH49">
        <f ca="1"/>
        <v>100</v>
      </c>
      <c r="BI49">
        <f ca="1"/>
        <v>100</v>
      </c>
      <c r="BJ49">
        <f ca="1"/>
        <v>100</v>
      </c>
      <c r="BK49">
        <f ca="1"/>
        <v>100</v>
      </c>
      <c r="BL49">
        <f ca="1"/>
        <v>211.86440677966101</v>
      </c>
      <c r="BM49">
        <f ca="1"/>
        <v>100</v>
      </c>
      <c r="BN49">
        <f ca="1"/>
        <v>100</v>
      </c>
      <c r="BO49">
        <f ca="1"/>
        <v>100</v>
      </c>
      <c r="BP49">
        <f ca="1"/>
        <v>100</v>
      </c>
      <c r="BQ49">
        <f ca="1"/>
        <v>150</v>
      </c>
    </row>
    <row r="50" spans="1:69">
      <c r="E50" t="str">
        <v>Montreal</v>
      </c>
      <c r="G50" t="s">
        <v>96</v>
      </c>
      <c r="J50">
        <f ca="1"/>
        <v>0</v>
      </c>
      <c r="K50">
        <f ca="1"/>
        <v>0</v>
      </c>
      <c r="L50">
        <f ca="1"/>
        <v>0</v>
      </c>
      <c r="M50">
        <f ca="1"/>
        <v>0</v>
      </c>
      <c r="N50">
        <f ca="1"/>
        <v>0</v>
      </c>
      <c r="O50">
        <f ca="1"/>
        <v>0</v>
      </c>
      <c r="P50">
        <f ca="1"/>
        <v>0</v>
      </c>
      <c r="Q50">
        <f ca="1"/>
        <v>0</v>
      </c>
      <c r="R50">
        <f ca="1"/>
        <v>0</v>
      </c>
      <c r="S50">
        <f ca="1"/>
        <v>140.83333333333329</v>
      </c>
      <c r="T50">
        <f ca="1"/>
        <v>151.66666666666666</v>
      </c>
      <c r="U50">
        <f ca="1"/>
        <v>243.75</v>
      </c>
      <c r="V50">
        <f ca="1"/>
        <v>433.33333333333331</v>
      </c>
      <c r="W50">
        <f ca="1"/>
        <v>184.16666666666666</v>
      </c>
      <c r="X50">
        <f ca="1"/>
        <v>195</v>
      </c>
      <c r="Y50">
        <f ca="1"/>
        <v>205.83333333333334</v>
      </c>
      <c r="Z50">
        <f ca="1"/>
        <v>216.66666666666669</v>
      </c>
      <c r="AA50">
        <f ca="1"/>
        <v>227.5</v>
      </c>
      <c r="AB50">
        <f ca="1"/>
        <v>590.90909090909088</v>
      </c>
      <c r="AC50">
        <f ca="1"/>
        <v>249.16666666666671</v>
      </c>
      <c r="AD50">
        <f ca="1"/>
        <v>260</v>
      </c>
      <c r="AE50">
        <f ca="1"/>
        <v>260</v>
      </c>
      <c r="AF50">
        <f ca="1"/>
        <v>260</v>
      </c>
      <c r="AG50">
        <f ca="1"/>
        <v>390</v>
      </c>
      <c r="AH50">
        <f ca="1"/>
        <v>573.10800881704631</v>
      </c>
      <c r="AI50">
        <f ca="1"/>
        <v>260</v>
      </c>
      <c r="AJ50">
        <f ca="1"/>
        <v>260</v>
      </c>
      <c r="AK50">
        <f ca="1"/>
        <v>260</v>
      </c>
      <c r="AL50">
        <f ca="1"/>
        <v>260</v>
      </c>
      <c r="AM50">
        <f ca="1"/>
        <v>260</v>
      </c>
      <c r="AN50">
        <f ca="1"/>
        <v>554.76529160739688</v>
      </c>
      <c r="AO50">
        <f ca="1"/>
        <v>260</v>
      </c>
      <c r="AP50">
        <f ca="1"/>
        <v>260</v>
      </c>
      <c r="AQ50">
        <f ca="1"/>
        <v>260</v>
      </c>
      <c r="AR50">
        <f ca="1"/>
        <v>260</v>
      </c>
      <c r="AS50">
        <f ca="1"/>
        <v>390</v>
      </c>
      <c r="AT50">
        <f ca="1"/>
        <v>550.84745762711862</v>
      </c>
      <c r="AU50">
        <f ca="1"/>
        <v>260</v>
      </c>
      <c r="AV50">
        <f ca="1"/>
        <v>260</v>
      </c>
      <c r="AW50">
        <f ca="1"/>
        <v>260</v>
      </c>
      <c r="AX50">
        <f ca="1"/>
        <v>260</v>
      </c>
      <c r="AY50">
        <f ca="1"/>
        <v>260</v>
      </c>
      <c r="AZ50">
        <f ca="1"/>
        <v>550.84745762711862</v>
      </c>
      <c r="BA50">
        <f ca="1"/>
        <v>260</v>
      </c>
      <c r="BB50">
        <f ca="1"/>
        <v>260</v>
      </c>
      <c r="BC50">
        <f ca="1"/>
        <v>260</v>
      </c>
      <c r="BD50">
        <f ca="1"/>
        <v>260</v>
      </c>
      <c r="BE50">
        <f ca="1"/>
        <v>390</v>
      </c>
      <c r="BF50">
        <f ca="1"/>
        <v>550.84745762711862</v>
      </c>
      <c r="BG50">
        <f ca="1"/>
        <v>260</v>
      </c>
      <c r="BH50">
        <f ca="1"/>
        <v>260</v>
      </c>
      <c r="BI50">
        <f ca="1"/>
        <v>260</v>
      </c>
      <c r="BJ50">
        <f ca="1"/>
        <v>260</v>
      </c>
      <c r="BK50">
        <f ca="1"/>
        <v>260</v>
      </c>
      <c r="BL50">
        <f ca="1"/>
        <v>550.84745762711862</v>
      </c>
      <c r="BM50">
        <f ca="1"/>
        <v>260</v>
      </c>
      <c r="BN50">
        <f ca="1"/>
        <v>260</v>
      </c>
      <c r="BO50">
        <f ca="1"/>
        <v>260</v>
      </c>
      <c r="BP50">
        <f ca="1"/>
        <v>260</v>
      </c>
      <c r="BQ50">
        <f ca="1"/>
        <v>390</v>
      </c>
    </row>
    <row r="51" spans="1:69">
      <c r="B51" t="s">
        <v>97</v>
      </c>
      <c r="E51" t="str">
        <v>Zurich</v>
      </c>
      <c r="G51" t="s">
        <v>96</v>
      </c>
      <c r="J51">
        <f ca="1"/>
        <v>0</v>
      </c>
      <c r="K51">
        <f ca="1"/>
        <v>0</v>
      </c>
      <c r="L51">
        <f ca="1"/>
        <v>0</v>
      </c>
      <c r="M51">
        <f ca="1"/>
        <v>0</v>
      </c>
      <c r="N51">
        <f ca="1"/>
        <v>0</v>
      </c>
      <c r="O51">
        <f ca="1"/>
        <v>0</v>
      </c>
      <c r="P51">
        <f ca="1"/>
        <v>0</v>
      </c>
      <c r="Q51">
        <f ca="1"/>
        <v>0</v>
      </c>
      <c r="R51">
        <f ca="1"/>
        <v>0</v>
      </c>
      <c r="S51">
        <f ca="1"/>
        <v>0</v>
      </c>
      <c r="T51">
        <f ca="1"/>
        <v>0</v>
      </c>
      <c r="U51">
        <f ca="1"/>
        <v>0</v>
      </c>
      <c r="V51">
        <f ca="1"/>
        <v>0</v>
      </c>
      <c r="W51">
        <f ca="1"/>
        <v>0</v>
      </c>
      <c r="X51">
        <f ca="1"/>
        <v>0</v>
      </c>
      <c r="Y51">
        <f ca="1"/>
        <v>81.249999999999972</v>
      </c>
      <c r="Z51">
        <f ca="1"/>
        <v>87.499999999999986</v>
      </c>
      <c r="AA51">
        <f ca="1"/>
        <v>93.75</v>
      </c>
      <c r="AB51">
        <f ca="1"/>
        <v>247.93388429752065</v>
      </c>
      <c r="AC51">
        <f ca="1"/>
        <v>106.24999999999999</v>
      </c>
      <c r="AD51">
        <f ca="1"/>
        <v>112.5</v>
      </c>
      <c r="AE51">
        <f ca="1"/>
        <v>118.75000000000001</v>
      </c>
      <c r="AF51">
        <f ca="1"/>
        <v>125</v>
      </c>
      <c r="AG51">
        <f ca="1"/>
        <v>196.875</v>
      </c>
      <c r="AH51">
        <f ca="1"/>
        <v>303.08596620132255</v>
      </c>
      <c r="AI51">
        <f ca="1"/>
        <v>143.75000000000003</v>
      </c>
      <c r="AJ51">
        <f ca="1"/>
        <v>150</v>
      </c>
      <c r="AK51">
        <f ca="1"/>
        <v>150</v>
      </c>
      <c r="AL51">
        <f ca="1"/>
        <v>150</v>
      </c>
      <c r="AM51">
        <f ca="1"/>
        <v>150</v>
      </c>
      <c r="AN51">
        <f ca="1"/>
        <v>320.05689900426745</v>
      </c>
      <c r="AO51">
        <f ca="1"/>
        <v>150</v>
      </c>
      <c r="AP51">
        <f ca="1"/>
        <v>150</v>
      </c>
      <c r="AQ51">
        <f ca="1"/>
        <v>150</v>
      </c>
      <c r="AR51">
        <f ca="1"/>
        <v>150</v>
      </c>
      <c r="AS51">
        <f ca="1"/>
        <v>225</v>
      </c>
      <c r="AT51">
        <f ca="1"/>
        <v>317.79661016949149</v>
      </c>
      <c r="AU51">
        <f ca="1"/>
        <v>150</v>
      </c>
      <c r="AV51">
        <f ca="1"/>
        <v>150</v>
      </c>
      <c r="AW51">
        <f ca="1"/>
        <v>150</v>
      </c>
      <c r="AX51">
        <f ca="1"/>
        <v>150</v>
      </c>
      <c r="AY51">
        <f ca="1"/>
        <v>150</v>
      </c>
      <c r="AZ51">
        <f ca="1"/>
        <v>317.79661016949149</v>
      </c>
      <c r="BA51">
        <f ca="1"/>
        <v>150</v>
      </c>
      <c r="BB51">
        <f ca="1"/>
        <v>150</v>
      </c>
      <c r="BC51">
        <f ca="1"/>
        <v>150</v>
      </c>
      <c r="BD51">
        <f ca="1"/>
        <v>150</v>
      </c>
      <c r="BE51">
        <f ca="1"/>
        <v>225</v>
      </c>
      <c r="BF51">
        <f ca="1"/>
        <v>317.79661016949149</v>
      </c>
      <c r="BG51">
        <f ca="1"/>
        <v>150</v>
      </c>
      <c r="BH51">
        <f ca="1"/>
        <v>150</v>
      </c>
      <c r="BI51">
        <f ca="1"/>
        <v>150</v>
      </c>
      <c r="BJ51">
        <f ca="1"/>
        <v>150</v>
      </c>
      <c r="BK51">
        <f ca="1"/>
        <v>150</v>
      </c>
      <c r="BL51">
        <f ca="1"/>
        <v>317.79661016949149</v>
      </c>
      <c r="BM51">
        <f ca="1"/>
        <v>150</v>
      </c>
      <c r="BN51">
        <f ca="1"/>
        <v>150</v>
      </c>
      <c r="BO51">
        <f ca="1"/>
        <v>150</v>
      </c>
      <c r="BP51">
        <f ca="1"/>
        <v>150</v>
      </c>
      <c r="BQ51">
        <f ca="1"/>
        <v>225</v>
      </c>
    </row>
    <row r="52" spans="1:69">
      <c r="E52" t="str">
        <v>Moscow</v>
      </c>
      <c r="G52" t="s">
        <v>96</v>
      </c>
      <c r="J52">
        <f ca="1"/>
        <v>0</v>
      </c>
      <c r="K52">
        <f ca="1"/>
        <v>0</v>
      </c>
      <c r="L52">
        <f ca="1"/>
        <v>0</v>
      </c>
      <c r="M52">
        <f ca="1"/>
        <v>0</v>
      </c>
      <c r="N52">
        <f ca="1"/>
        <v>0</v>
      </c>
      <c r="O52">
        <f ca="1"/>
        <v>0</v>
      </c>
      <c r="P52">
        <f ca="1"/>
        <v>0</v>
      </c>
      <c r="Q52">
        <f ca="1"/>
        <v>0</v>
      </c>
      <c r="R52">
        <f ca="1"/>
        <v>0</v>
      </c>
      <c r="S52">
        <f ca="1"/>
        <v>0</v>
      </c>
      <c r="T52">
        <f ca="1"/>
        <v>0</v>
      </c>
      <c r="U52">
        <f ca="1"/>
        <v>0</v>
      </c>
      <c r="V52">
        <f ca="1"/>
        <v>0</v>
      </c>
      <c r="W52">
        <f ca="1"/>
        <v>0</v>
      </c>
      <c r="X52">
        <f ca="1"/>
        <v>0</v>
      </c>
      <c r="Y52">
        <f ca="1"/>
        <v>0</v>
      </c>
      <c r="Z52">
        <f ca="1"/>
        <v>0</v>
      </c>
      <c r="AA52">
        <f ca="1"/>
        <v>0</v>
      </c>
      <c r="AB52">
        <f ca="1"/>
        <v>0</v>
      </c>
      <c r="AC52">
        <f ca="1"/>
        <v>0</v>
      </c>
      <c r="AD52">
        <f ca="1"/>
        <v>0</v>
      </c>
      <c r="AE52">
        <f ca="1"/>
        <v>54.16666666666665</v>
      </c>
      <c r="AF52">
        <f ca="1"/>
        <v>58.333333333333329</v>
      </c>
      <c r="AG52">
        <f ca="1"/>
        <v>93.75</v>
      </c>
      <c r="AH52">
        <f ca="1"/>
        <v>146.95077149155034</v>
      </c>
      <c r="AI52">
        <f ca="1"/>
        <v>70.833333333333329</v>
      </c>
      <c r="AJ52">
        <f ca="1"/>
        <v>75</v>
      </c>
      <c r="AK52">
        <f ca="1"/>
        <v>79.166666666666671</v>
      </c>
      <c r="AL52">
        <f ca="1"/>
        <v>83.333333333333343</v>
      </c>
      <c r="AM52">
        <f ca="1"/>
        <v>87.5</v>
      </c>
      <c r="AN52">
        <f ca="1"/>
        <v>195.59032716927456</v>
      </c>
      <c r="AO52">
        <f ca="1"/>
        <v>95.833333333333343</v>
      </c>
      <c r="AP52">
        <f ca="1"/>
        <v>100</v>
      </c>
      <c r="AQ52">
        <f ca="1"/>
        <v>100</v>
      </c>
      <c r="AR52">
        <f ca="1"/>
        <v>100</v>
      </c>
      <c r="AS52">
        <f ca="1"/>
        <v>150</v>
      </c>
      <c r="AT52">
        <f ca="1"/>
        <v>211.86440677966101</v>
      </c>
      <c r="AU52">
        <f ca="1"/>
        <v>100</v>
      </c>
      <c r="AV52">
        <f ca="1"/>
        <v>100</v>
      </c>
      <c r="AW52">
        <f ca="1"/>
        <v>100</v>
      </c>
      <c r="AX52">
        <f ca="1"/>
        <v>100</v>
      </c>
      <c r="AY52">
        <f ca="1"/>
        <v>100</v>
      </c>
      <c r="AZ52">
        <f ca="1"/>
        <v>211.86440677966101</v>
      </c>
      <c r="BA52">
        <f ca="1"/>
        <v>100</v>
      </c>
      <c r="BB52">
        <f ca="1"/>
        <v>100</v>
      </c>
      <c r="BC52">
        <f ca="1"/>
        <v>100</v>
      </c>
      <c r="BD52">
        <f ca="1"/>
        <v>100</v>
      </c>
      <c r="BE52">
        <f ca="1"/>
        <v>150</v>
      </c>
      <c r="BF52">
        <f ca="1"/>
        <v>211.86440677966101</v>
      </c>
      <c r="BG52">
        <f ca="1"/>
        <v>100</v>
      </c>
      <c r="BH52">
        <f ca="1"/>
        <v>100</v>
      </c>
      <c r="BI52">
        <f ca="1"/>
        <v>100</v>
      </c>
      <c r="BJ52">
        <f ca="1"/>
        <v>100</v>
      </c>
      <c r="BK52">
        <f ca="1"/>
        <v>100</v>
      </c>
      <c r="BL52">
        <f ca="1"/>
        <v>211.86440677966101</v>
      </c>
      <c r="BM52">
        <f ca="1"/>
        <v>100</v>
      </c>
      <c r="BN52">
        <f ca="1"/>
        <v>100</v>
      </c>
      <c r="BO52">
        <f ca="1"/>
        <v>100</v>
      </c>
      <c r="BP52">
        <f ca="1"/>
        <v>100</v>
      </c>
      <c r="BQ52">
        <f ca="1"/>
        <v>150</v>
      </c>
    </row>
    <row r="54" spans="1:69" s="98" customFormat="1">
      <c r="A54" s="95" t="s">
        <v>101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7F5C-2D9F-4C58-AB3E-C8C368DE0A2B}">
  <sheetPr>
    <pageSetUpPr autoPageBreaks="0"/>
  </sheetPr>
  <dimension ref="A1:BQ37"/>
  <sheetViews>
    <sheetView showGridLines="0" zoomScale="85" zoomScaleNormal="85" workbookViewId="0">
      <pane xSplit="9" ySplit="3" topLeftCell="J10" activePane="bottomRight" state="frozen"/>
      <selection pane="topRight" activeCell="J1" sqref="J1"/>
      <selection pane="bottomLeft" activeCell="A4" sqref="A4"/>
      <selection pane="bottomRight" activeCell="J28" sqref="J28"/>
    </sheetView>
  </sheetViews>
  <sheetFormatPr defaultRowHeight="13.8"/>
  <cols>
    <col min="1" max="4" width="1.69921875" customWidth="1"/>
    <col min="5" max="5" width="45.69921875" customWidth="1"/>
    <col min="6" max="6" width="11.69921875" customWidth="1"/>
    <col min="7" max="8" width="10.69921875" customWidth="1"/>
    <col min="9" max="9" width="1.69921875" customWidth="1"/>
    <col min="10" max="69" width="12.69921875" customWidth="1"/>
  </cols>
  <sheetData>
    <row r="1" spans="1:69" s="97" customFormat="1">
      <c r="A1" s="97" t="str">
        <f>company</f>
        <v>Fashion Boutique</v>
      </c>
    </row>
    <row r="2" spans="1:69" s="97" customFormat="1">
      <c r="A2" s="97" t="str" cm="1">
        <f t="array" ref="A2">topic</f>
        <v>CFM Topic: Revenue</v>
      </c>
      <c r="J2" s="100" cm="1">
        <f t="array" ref="J2:BQ2" xml:space="preserve"> EDATE( start_date, _xlfn.SEQUENCE( 1, periods, 0, 1 ) )</f>
        <v>44562</v>
      </c>
      <c r="K2" s="100">
        <v>44593</v>
      </c>
      <c r="L2" s="100">
        <v>44621</v>
      </c>
      <c r="M2" s="100">
        <v>44652</v>
      </c>
      <c r="N2" s="100">
        <v>44682</v>
      </c>
      <c r="O2" s="100">
        <v>44713</v>
      </c>
      <c r="P2" s="100">
        <v>44743</v>
      </c>
      <c r="Q2" s="100">
        <v>44774</v>
      </c>
      <c r="R2" s="100">
        <v>44805</v>
      </c>
      <c r="S2" s="100">
        <v>44835</v>
      </c>
      <c r="T2" s="100">
        <v>44866</v>
      </c>
      <c r="U2" s="100">
        <v>44896</v>
      </c>
      <c r="V2" s="100">
        <v>44927</v>
      </c>
      <c r="W2" s="100">
        <v>44958</v>
      </c>
      <c r="X2" s="100">
        <v>44986</v>
      </c>
      <c r="Y2" s="100">
        <v>45017</v>
      </c>
      <c r="Z2" s="100">
        <v>45047</v>
      </c>
      <c r="AA2" s="100">
        <v>45078</v>
      </c>
      <c r="AB2" s="100">
        <v>45108</v>
      </c>
      <c r="AC2" s="100">
        <v>45139</v>
      </c>
      <c r="AD2" s="100">
        <v>45170</v>
      </c>
      <c r="AE2" s="100">
        <v>45200</v>
      </c>
      <c r="AF2" s="100">
        <v>45231</v>
      </c>
      <c r="AG2" s="100">
        <v>45261</v>
      </c>
      <c r="AH2" s="100">
        <v>45292</v>
      </c>
      <c r="AI2" s="100">
        <v>45323</v>
      </c>
      <c r="AJ2" s="100">
        <v>45352</v>
      </c>
      <c r="AK2" s="100">
        <v>45383</v>
      </c>
      <c r="AL2" s="100">
        <v>45413</v>
      </c>
      <c r="AM2" s="100">
        <v>45444</v>
      </c>
      <c r="AN2" s="100">
        <v>45474</v>
      </c>
      <c r="AO2" s="100">
        <v>45505</v>
      </c>
      <c r="AP2" s="100">
        <v>45536</v>
      </c>
      <c r="AQ2" s="100">
        <v>45566</v>
      </c>
      <c r="AR2" s="100">
        <v>45597</v>
      </c>
      <c r="AS2" s="100">
        <v>45627</v>
      </c>
      <c r="AT2" s="100">
        <v>45658</v>
      </c>
      <c r="AU2" s="100">
        <v>45689</v>
      </c>
      <c r="AV2" s="100">
        <v>45717</v>
      </c>
      <c r="AW2" s="100">
        <v>45748</v>
      </c>
      <c r="AX2" s="100">
        <v>45778</v>
      </c>
      <c r="AY2" s="100">
        <v>45809</v>
      </c>
      <c r="AZ2" s="100">
        <v>45839</v>
      </c>
      <c r="BA2" s="100">
        <v>45870</v>
      </c>
      <c r="BB2" s="100">
        <v>45901</v>
      </c>
      <c r="BC2" s="100">
        <v>45931</v>
      </c>
      <c r="BD2" s="100">
        <v>45962</v>
      </c>
      <c r="BE2" s="100">
        <v>45992</v>
      </c>
      <c r="BF2" s="100">
        <v>46023</v>
      </c>
      <c r="BG2" s="100">
        <v>46054</v>
      </c>
      <c r="BH2" s="100">
        <v>46082</v>
      </c>
      <c r="BI2" s="100">
        <v>46113</v>
      </c>
      <c r="BJ2" s="100">
        <v>46143</v>
      </c>
      <c r="BK2" s="100">
        <v>46174</v>
      </c>
      <c r="BL2" s="100">
        <v>46204</v>
      </c>
      <c r="BM2" s="100">
        <v>46235</v>
      </c>
      <c r="BN2" s="100">
        <v>46266</v>
      </c>
      <c r="BO2" s="100">
        <v>46296</v>
      </c>
      <c r="BP2" s="100">
        <v>46327</v>
      </c>
      <c r="BQ2" s="100">
        <v>46357</v>
      </c>
    </row>
    <row r="3" spans="1:69" s="97" customFormat="1">
      <c r="A3" s="97" t="s">
        <v>91</v>
      </c>
      <c r="F3" s="97" t="s">
        <v>84</v>
      </c>
      <c r="G3" s="97" t="s">
        <v>82</v>
      </c>
      <c r="H3" s="97" t="s">
        <v>83</v>
      </c>
      <c r="J3" s="100" cm="1">
        <f t="array" ref="J3:BQ3" xml:space="preserve"> EOMONTH( start_date, _xlfn.SEQUENCE( 1, periods, 0, 1 ) )</f>
        <v>44592</v>
      </c>
      <c r="K3" s="100">
        <v>44620</v>
      </c>
      <c r="L3" s="100">
        <v>44651</v>
      </c>
      <c r="M3" s="100">
        <v>44681</v>
      </c>
      <c r="N3" s="100">
        <v>44712</v>
      </c>
      <c r="O3" s="100">
        <v>44742</v>
      </c>
      <c r="P3" s="100">
        <v>44773</v>
      </c>
      <c r="Q3" s="100">
        <v>44804</v>
      </c>
      <c r="R3" s="100">
        <v>44834</v>
      </c>
      <c r="S3" s="100">
        <v>44865</v>
      </c>
      <c r="T3" s="100">
        <v>44895</v>
      </c>
      <c r="U3" s="100">
        <v>44926</v>
      </c>
      <c r="V3" s="100">
        <v>44957</v>
      </c>
      <c r="W3" s="100">
        <v>44985</v>
      </c>
      <c r="X3" s="100">
        <v>45016</v>
      </c>
      <c r="Y3" s="100">
        <v>45046</v>
      </c>
      <c r="Z3" s="100">
        <v>45077</v>
      </c>
      <c r="AA3" s="100">
        <v>45107</v>
      </c>
      <c r="AB3" s="100">
        <v>45138</v>
      </c>
      <c r="AC3" s="100">
        <v>45169</v>
      </c>
      <c r="AD3" s="100">
        <v>45199</v>
      </c>
      <c r="AE3" s="100">
        <v>45230</v>
      </c>
      <c r="AF3" s="100">
        <v>45260</v>
      </c>
      <c r="AG3" s="100">
        <v>45291</v>
      </c>
      <c r="AH3" s="100">
        <v>45322</v>
      </c>
      <c r="AI3" s="100">
        <v>45351</v>
      </c>
      <c r="AJ3" s="100">
        <v>45382</v>
      </c>
      <c r="AK3" s="100">
        <v>45412</v>
      </c>
      <c r="AL3" s="100">
        <v>45443</v>
      </c>
      <c r="AM3" s="100">
        <v>45473</v>
      </c>
      <c r="AN3" s="100">
        <v>45504</v>
      </c>
      <c r="AO3" s="100">
        <v>45535</v>
      </c>
      <c r="AP3" s="100">
        <v>45565</v>
      </c>
      <c r="AQ3" s="100">
        <v>45596</v>
      </c>
      <c r="AR3" s="100">
        <v>45626</v>
      </c>
      <c r="AS3" s="100">
        <v>45657</v>
      </c>
      <c r="AT3" s="100">
        <v>45688</v>
      </c>
      <c r="AU3" s="100">
        <v>45716</v>
      </c>
      <c r="AV3" s="100">
        <v>45747</v>
      </c>
      <c r="AW3" s="100">
        <v>45777</v>
      </c>
      <c r="AX3" s="100">
        <v>45808</v>
      </c>
      <c r="AY3" s="100">
        <v>45838</v>
      </c>
      <c r="AZ3" s="100">
        <v>45869</v>
      </c>
      <c r="BA3" s="100">
        <v>45900</v>
      </c>
      <c r="BB3" s="100">
        <v>45930</v>
      </c>
      <c r="BC3" s="100">
        <v>45961</v>
      </c>
      <c r="BD3" s="100">
        <v>45991</v>
      </c>
      <c r="BE3" s="100">
        <v>46022</v>
      </c>
      <c r="BF3" s="100">
        <v>46053</v>
      </c>
      <c r="BG3" s="100">
        <v>46081</v>
      </c>
      <c r="BH3" s="100">
        <v>46112</v>
      </c>
      <c r="BI3" s="100">
        <v>46142</v>
      </c>
      <c r="BJ3" s="100">
        <v>46173</v>
      </c>
      <c r="BK3" s="100">
        <v>46203</v>
      </c>
      <c r="BL3" s="100">
        <v>46234</v>
      </c>
      <c r="BM3" s="100">
        <v>46265</v>
      </c>
      <c r="BN3" s="100">
        <v>46295</v>
      </c>
      <c r="BO3" s="100">
        <v>46326</v>
      </c>
      <c r="BP3" s="100">
        <v>46356</v>
      </c>
      <c r="BQ3" s="100">
        <v>46387</v>
      </c>
    </row>
    <row r="5" spans="1:69" s="98" customFormat="1">
      <c r="A5" s="95" t="s">
        <v>80</v>
      </c>
    </row>
    <row r="7" spans="1:69">
      <c r="B7" s="99"/>
      <c r="E7" t="str">
        <f>CaseData!B$4</f>
        <v>Model start date</v>
      </c>
      <c r="F7" s="96">
        <f>start_date</f>
        <v>44562</v>
      </c>
    </row>
    <row r="8" spans="1:69">
      <c r="E8" t="s">
        <v>81</v>
      </c>
      <c r="G8" t="s">
        <v>85</v>
      </c>
      <c r="J8" s="94" cm="1">
        <f t="array" ref="J8:BQ8" xml:space="preserve"> EDATE( start_date, _xlfn.SEQUENCE( 1, periods, 0, 1 ) )</f>
        <v>44562</v>
      </c>
      <c r="K8" s="94">
        <v>44593</v>
      </c>
      <c r="L8" s="94">
        <v>44621</v>
      </c>
      <c r="M8" s="94">
        <v>44652</v>
      </c>
      <c r="N8" s="94">
        <v>44682</v>
      </c>
      <c r="O8" s="94">
        <v>44713</v>
      </c>
      <c r="P8" s="94">
        <v>44743</v>
      </c>
      <c r="Q8" s="94">
        <v>44774</v>
      </c>
      <c r="R8" s="94">
        <v>44805</v>
      </c>
      <c r="S8" s="94">
        <v>44835</v>
      </c>
      <c r="T8" s="94">
        <v>44866</v>
      </c>
      <c r="U8" s="94">
        <v>44896</v>
      </c>
      <c r="V8" s="94">
        <v>44927</v>
      </c>
      <c r="W8" s="94">
        <v>44958</v>
      </c>
      <c r="X8" s="94">
        <v>44986</v>
      </c>
      <c r="Y8" s="94">
        <v>45017</v>
      </c>
      <c r="Z8" s="94">
        <v>45047</v>
      </c>
      <c r="AA8" s="94">
        <v>45078</v>
      </c>
      <c r="AB8" s="94">
        <v>45108</v>
      </c>
      <c r="AC8" s="94">
        <v>45139</v>
      </c>
      <c r="AD8" s="94">
        <v>45170</v>
      </c>
      <c r="AE8" s="94">
        <v>45200</v>
      </c>
      <c r="AF8" s="94">
        <v>45231</v>
      </c>
      <c r="AG8" s="94">
        <v>45261</v>
      </c>
      <c r="AH8" s="94">
        <v>45292</v>
      </c>
      <c r="AI8" s="94">
        <v>45323</v>
      </c>
      <c r="AJ8" s="94">
        <v>45352</v>
      </c>
      <c r="AK8" s="94">
        <v>45383</v>
      </c>
      <c r="AL8" s="94">
        <v>45413</v>
      </c>
      <c r="AM8" s="94">
        <v>45444</v>
      </c>
      <c r="AN8" s="94">
        <v>45474</v>
      </c>
      <c r="AO8" s="94">
        <v>45505</v>
      </c>
      <c r="AP8" s="94">
        <v>45536</v>
      </c>
      <c r="AQ8" s="94">
        <v>45566</v>
      </c>
      <c r="AR8" s="94">
        <v>45597</v>
      </c>
      <c r="AS8" s="94">
        <v>45627</v>
      </c>
      <c r="AT8" s="94">
        <v>45658</v>
      </c>
      <c r="AU8" s="94">
        <v>45689</v>
      </c>
      <c r="AV8" s="94">
        <v>45717</v>
      </c>
      <c r="AW8" s="94">
        <v>45748</v>
      </c>
      <c r="AX8" s="94">
        <v>45778</v>
      </c>
      <c r="AY8" s="94">
        <v>45809</v>
      </c>
      <c r="AZ8" s="94">
        <v>45839</v>
      </c>
      <c r="BA8" s="94">
        <v>45870</v>
      </c>
      <c r="BB8" s="94">
        <v>45901</v>
      </c>
      <c r="BC8" s="94">
        <v>45931</v>
      </c>
      <c r="BD8" s="94">
        <v>45962</v>
      </c>
      <c r="BE8" s="94">
        <v>45992</v>
      </c>
      <c r="BF8" s="94">
        <v>46023</v>
      </c>
      <c r="BG8" s="94">
        <v>46054</v>
      </c>
      <c r="BH8" s="94">
        <v>46082</v>
      </c>
      <c r="BI8" s="94">
        <v>46113</v>
      </c>
      <c r="BJ8" s="94">
        <v>46143</v>
      </c>
      <c r="BK8" s="94">
        <v>46174</v>
      </c>
      <c r="BL8" s="94">
        <v>46204</v>
      </c>
      <c r="BM8" s="94">
        <v>46235</v>
      </c>
      <c r="BN8" s="94">
        <v>46266</v>
      </c>
      <c r="BO8" s="94">
        <v>46296</v>
      </c>
      <c r="BP8" s="94">
        <v>46327</v>
      </c>
      <c r="BQ8" s="94">
        <v>46357</v>
      </c>
    </row>
    <row r="9" spans="1:69">
      <c r="E9" t="s">
        <v>86</v>
      </c>
      <c r="G9" t="s">
        <v>85</v>
      </c>
      <c r="J9" s="94" cm="1">
        <f t="array" ref="J9:BQ9" xml:space="preserve"> EOMONTH( start_date, _xlfn.SEQUENCE( 1, periods, 0, 1 ) )</f>
        <v>44592</v>
      </c>
      <c r="K9" s="94">
        <v>44620</v>
      </c>
      <c r="L9" s="94">
        <v>44651</v>
      </c>
      <c r="M9" s="94">
        <v>44681</v>
      </c>
      <c r="N9" s="94">
        <v>44712</v>
      </c>
      <c r="O9" s="94">
        <v>44742</v>
      </c>
      <c r="P9" s="94">
        <v>44773</v>
      </c>
      <c r="Q9" s="94">
        <v>44804</v>
      </c>
      <c r="R9" s="94">
        <v>44834</v>
      </c>
      <c r="S9" s="94">
        <v>44865</v>
      </c>
      <c r="T9" s="94">
        <v>44895</v>
      </c>
      <c r="U9" s="94">
        <v>44926</v>
      </c>
      <c r="V9" s="94">
        <v>44957</v>
      </c>
      <c r="W9" s="94">
        <v>44985</v>
      </c>
      <c r="X9" s="94">
        <v>45016</v>
      </c>
      <c r="Y9" s="94">
        <v>45046</v>
      </c>
      <c r="Z9" s="94">
        <v>45077</v>
      </c>
      <c r="AA9" s="94">
        <v>45107</v>
      </c>
      <c r="AB9" s="94">
        <v>45138</v>
      </c>
      <c r="AC9" s="94">
        <v>45169</v>
      </c>
      <c r="AD9" s="94">
        <v>45199</v>
      </c>
      <c r="AE9" s="94">
        <v>45230</v>
      </c>
      <c r="AF9" s="94">
        <v>45260</v>
      </c>
      <c r="AG9" s="94">
        <v>45291</v>
      </c>
      <c r="AH9" s="94">
        <v>45322</v>
      </c>
      <c r="AI9" s="94">
        <v>45351</v>
      </c>
      <c r="AJ9" s="94">
        <v>45382</v>
      </c>
      <c r="AK9" s="94">
        <v>45412</v>
      </c>
      <c r="AL9" s="94">
        <v>45443</v>
      </c>
      <c r="AM9" s="94">
        <v>45473</v>
      </c>
      <c r="AN9" s="94">
        <v>45504</v>
      </c>
      <c r="AO9" s="94">
        <v>45535</v>
      </c>
      <c r="AP9" s="94">
        <v>45565</v>
      </c>
      <c r="AQ9" s="94">
        <v>45596</v>
      </c>
      <c r="AR9" s="94">
        <v>45626</v>
      </c>
      <c r="AS9" s="94">
        <v>45657</v>
      </c>
      <c r="AT9" s="94">
        <v>45688</v>
      </c>
      <c r="AU9" s="94">
        <v>45716</v>
      </c>
      <c r="AV9" s="94">
        <v>45747</v>
      </c>
      <c r="AW9" s="94">
        <v>45777</v>
      </c>
      <c r="AX9" s="94">
        <v>45808</v>
      </c>
      <c r="AY9" s="94">
        <v>45838</v>
      </c>
      <c r="AZ9" s="94">
        <v>45869</v>
      </c>
      <c r="BA9" s="94">
        <v>45900</v>
      </c>
      <c r="BB9" s="94">
        <v>45930</v>
      </c>
      <c r="BC9" s="94">
        <v>45961</v>
      </c>
      <c r="BD9" s="94">
        <v>45991</v>
      </c>
      <c r="BE9" s="94">
        <v>46022</v>
      </c>
      <c r="BF9" s="94">
        <v>46053</v>
      </c>
      <c r="BG9" s="94">
        <v>46081</v>
      </c>
      <c r="BH9" s="94">
        <v>46112</v>
      </c>
      <c r="BI9" s="94">
        <v>46142</v>
      </c>
      <c r="BJ9" s="94">
        <v>46173</v>
      </c>
      <c r="BK9" s="94">
        <v>46203</v>
      </c>
      <c r="BL9" s="94">
        <v>46234</v>
      </c>
      <c r="BM9" s="94">
        <v>46265</v>
      </c>
      <c r="BN9" s="94">
        <v>46295</v>
      </c>
      <c r="BO9" s="94">
        <v>46326</v>
      </c>
      <c r="BP9" s="94">
        <v>46356</v>
      </c>
      <c r="BQ9" s="94">
        <v>46387</v>
      </c>
    </row>
    <row r="10" spans="1:69">
      <c r="E10" t="s">
        <v>87</v>
      </c>
      <c r="G10" t="s">
        <v>88</v>
      </c>
      <c r="J10" cm="1">
        <f t="array" ref="J10:BQ10" xml:space="preserve"> _xlfn.SEQUENCE( 1, periods, 1, 1 )</f>
        <v>1</v>
      </c>
      <c r="K10">
        <v>2</v>
      </c>
      <c r="L10">
        <v>3</v>
      </c>
      <c r="M10">
        <v>4</v>
      </c>
      <c r="N10">
        <v>5</v>
      </c>
      <c r="O10">
        <v>6</v>
      </c>
      <c r="P10">
        <v>7</v>
      </c>
      <c r="Q10">
        <v>8</v>
      </c>
      <c r="R10">
        <v>9</v>
      </c>
      <c r="S10">
        <v>10</v>
      </c>
      <c r="T10">
        <v>11</v>
      </c>
      <c r="U10">
        <v>12</v>
      </c>
      <c r="V10">
        <v>13</v>
      </c>
      <c r="W10">
        <v>14</v>
      </c>
      <c r="X10">
        <v>15</v>
      </c>
      <c r="Y10">
        <v>16</v>
      </c>
      <c r="Z10">
        <v>17</v>
      </c>
      <c r="AA10">
        <v>18</v>
      </c>
      <c r="AB10">
        <v>19</v>
      </c>
      <c r="AC10">
        <v>20</v>
      </c>
      <c r="AD10">
        <v>21</v>
      </c>
      <c r="AE10">
        <v>22</v>
      </c>
      <c r="AF10">
        <v>23</v>
      </c>
      <c r="AG10">
        <v>24</v>
      </c>
      <c r="AH10">
        <v>25</v>
      </c>
      <c r="AI10">
        <v>26</v>
      </c>
      <c r="AJ10">
        <v>27</v>
      </c>
      <c r="AK10">
        <v>28</v>
      </c>
      <c r="AL10">
        <v>29</v>
      </c>
      <c r="AM10">
        <v>30</v>
      </c>
      <c r="AN10">
        <v>31</v>
      </c>
      <c r="AO10">
        <v>32</v>
      </c>
      <c r="AP10">
        <v>33</v>
      </c>
      <c r="AQ10">
        <v>34</v>
      </c>
      <c r="AR10">
        <v>35</v>
      </c>
      <c r="AS10">
        <v>36</v>
      </c>
      <c r="AT10">
        <v>37</v>
      </c>
      <c r="AU10">
        <v>38</v>
      </c>
      <c r="AV10">
        <v>39</v>
      </c>
      <c r="AW10">
        <v>40</v>
      </c>
      <c r="AX10">
        <v>41</v>
      </c>
      <c r="AY10">
        <v>42</v>
      </c>
      <c r="AZ10">
        <v>43</v>
      </c>
      <c r="BA10">
        <v>44</v>
      </c>
      <c r="BB10">
        <v>45</v>
      </c>
      <c r="BC10">
        <v>46</v>
      </c>
      <c r="BD10">
        <v>47</v>
      </c>
      <c r="BE10">
        <v>48</v>
      </c>
      <c r="BF10">
        <v>49</v>
      </c>
      <c r="BG10">
        <v>50</v>
      </c>
      <c r="BH10">
        <v>51</v>
      </c>
      <c r="BI10">
        <v>52</v>
      </c>
      <c r="BJ10">
        <v>53</v>
      </c>
      <c r="BK10">
        <v>54</v>
      </c>
      <c r="BL10">
        <v>55</v>
      </c>
      <c r="BM10">
        <v>56</v>
      </c>
      <c r="BN10">
        <v>57</v>
      </c>
      <c r="BO10">
        <v>58</v>
      </c>
      <c r="BP10">
        <v>59</v>
      </c>
      <c r="BQ10">
        <v>60</v>
      </c>
    </row>
    <row r="11" spans="1:69">
      <c r="E11" t="s">
        <v>89</v>
      </c>
      <c r="G11" t="s">
        <v>88</v>
      </c>
      <c r="J11" s="120" cm="1">
        <f t="array" ref="J11:BQ11" xml:space="preserve"> _xlfn.LET(
       _xlpm.model_operating_periods, _xlfn.SEQUENCE( 1, periods, 1, 0),
       _xlfn.SCAN( 0, _xlpm.model_operating_periods, _xlfn.LAMBDA(_xlpm.state,_xlpm.current, IF( _xlpm.state + _xlpm.current &gt; 12, _xlpm.current, _xlpm.state + _xlpm.current ) ) ) )</f>
        <v>1</v>
      </c>
      <c r="K11">
        <v>2</v>
      </c>
      <c r="L11">
        <v>3</v>
      </c>
      <c r="M11">
        <v>4</v>
      </c>
      <c r="N11">
        <v>5</v>
      </c>
      <c r="O11">
        <v>6</v>
      </c>
      <c r="P11">
        <v>7</v>
      </c>
      <c r="Q11">
        <v>8</v>
      </c>
      <c r="R11">
        <v>9</v>
      </c>
      <c r="S11">
        <v>10</v>
      </c>
      <c r="T11">
        <v>11</v>
      </c>
      <c r="U11">
        <v>12</v>
      </c>
      <c r="V11">
        <v>1</v>
      </c>
      <c r="W11">
        <v>2</v>
      </c>
      <c r="X11">
        <v>3</v>
      </c>
      <c r="Y11">
        <v>4</v>
      </c>
      <c r="Z11">
        <v>5</v>
      </c>
      <c r="AA11">
        <v>6</v>
      </c>
      <c r="AB11">
        <v>7</v>
      </c>
      <c r="AC11">
        <v>8</v>
      </c>
      <c r="AD11">
        <v>9</v>
      </c>
      <c r="AE11">
        <v>10</v>
      </c>
      <c r="AF11">
        <v>11</v>
      </c>
      <c r="AG11">
        <v>12</v>
      </c>
      <c r="AH11">
        <v>1</v>
      </c>
      <c r="AI11">
        <v>2</v>
      </c>
      <c r="AJ11">
        <v>3</v>
      </c>
      <c r="AK11">
        <v>4</v>
      </c>
      <c r="AL11">
        <v>5</v>
      </c>
      <c r="AM11">
        <v>6</v>
      </c>
      <c r="AN11">
        <v>7</v>
      </c>
      <c r="AO11">
        <v>8</v>
      </c>
      <c r="AP11">
        <v>9</v>
      </c>
      <c r="AQ11">
        <v>10</v>
      </c>
      <c r="AR11">
        <v>11</v>
      </c>
      <c r="AS11">
        <v>12</v>
      </c>
      <c r="AT11">
        <v>1</v>
      </c>
      <c r="AU11">
        <v>2</v>
      </c>
      <c r="AV11">
        <v>3</v>
      </c>
      <c r="AW11">
        <v>4</v>
      </c>
      <c r="AX11">
        <v>5</v>
      </c>
      <c r="AY11">
        <v>6</v>
      </c>
      <c r="AZ11">
        <v>7</v>
      </c>
      <c r="BA11">
        <v>8</v>
      </c>
      <c r="BB11">
        <v>9</v>
      </c>
      <c r="BC11">
        <v>10</v>
      </c>
      <c r="BD11">
        <v>11</v>
      </c>
      <c r="BE11">
        <v>12</v>
      </c>
      <c r="BF11">
        <v>1</v>
      </c>
      <c r="BG11">
        <v>2</v>
      </c>
      <c r="BH11">
        <v>3</v>
      </c>
      <c r="BI11">
        <v>4</v>
      </c>
      <c r="BJ11">
        <v>5</v>
      </c>
      <c r="BK11">
        <v>6</v>
      </c>
      <c r="BL11">
        <v>7</v>
      </c>
      <c r="BM11">
        <v>8</v>
      </c>
      <c r="BN11">
        <v>9</v>
      </c>
      <c r="BO11">
        <v>10</v>
      </c>
      <c r="BP11">
        <v>11</v>
      </c>
      <c r="BQ11">
        <v>12</v>
      </c>
    </row>
    <row r="12" spans="1:69">
      <c r="E12" t="s">
        <v>117</v>
      </c>
      <c r="G12" t="s">
        <v>118</v>
      </c>
      <c r="J12" s="104" cm="1">
        <f t="array" ref="J12:BQ12" xml:space="preserve"> YEAR(_xlfn.ANCHORARRAY( J9) )</f>
        <v>2022</v>
      </c>
      <c r="K12" s="104">
        <v>2022</v>
      </c>
      <c r="L12" s="104">
        <v>2022</v>
      </c>
      <c r="M12" s="104">
        <v>2022</v>
      </c>
      <c r="N12" s="104">
        <v>2022</v>
      </c>
      <c r="O12" s="104">
        <v>2022</v>
      </c>
      <c r="P12" s="104">
        <v>2022</v>
      </c>
      <c r="Q12" s="104">
        <v>2022</v>
      </c>
      <c r="R12" s="104">
        <v>2022</v>
      </c>
      <c r="S12" s="104">
        <v>2022</v>
      </c>
      <c r="T12" s="104">
        <v>2022</v>
      </c>
      <c r="U12" s="104">
        <v>2022</v>
      </c>
      <c r="V12" s="104">
        <v>2023</v>
      </c>
      <c r="W12" s="104">
        <v>2023</v>
      </c>
      <c r="X12" s="104">
        <v>2023</v>
      </c>
      <c r="Y12" s="104">
        <v>2023</v>
      </c>
      <c r="Z12" s="104">
        <v>2023</v>
      </c>
      <c r="AA12" s="104">
        <v>2023</v>
      </c>
      <c r="AB12" s="104">
        <v>2023</v>
      </c>
      <c r="AC12" s="104">
        <v>2023</v>
      </c>
      <c r="AD12" s="104">
        <v>2023</v>
      </c>
      <c r="AE12" s="104">
        <v>2023</v>
      </c>
      <c r="AF12" s="104">
        <v>2023</v>
      </c>
      <c r="AG12" s="104">
        <v>2023</v>
      </c>
      <c r="AH12" s="104">
        <v>2024</v>
      </c>
      <c r="AI12" s="104">
        <v>2024</v>
      </c>
      <c r="AJ12" s="104">
        <v>2024</v>
      </c>
      <c r="AK12" s="104">
        <v>2024</v>
      </c>
      <c r="AL12" s="104">
        <v>2024</v>
      </c>
      <c r="AM12" s="104">
        <v>2024</v>
      </c>
      <c r="AN12" s="104">
        <v>2024</v>
      </c>
      <c r="AO12" s="104">
        <v>2024</v>
      </c>
      <c r="AP12" s="104">
        <v>2024</v>
      </c>
      <c r="AQ12" s="104">
        <v>2024</v>
      </c>
      <c r="AR12" s="104">
        <v>2024</v>
      </c>
      <c r="AS12" s="104">
        <v>2024</v>
      </c>
      <c r="AT12" s="104">
        <v>2025</v>
      </c>
      <c r="AU12" s="104">
        <v>2025</v>
      </c>
      <c r="AV12" s="104">
        <v>2025</v>
      </c>
      <c r="AW12" s="104">
        <v>2025</v>
      </c>
      <c r="AX12" s="104">
        <v>2025</v>
      </c>
      <c r="AY12" s="104">
        <v>2025</v>
      </c>
      <c r="AZ12" s="104">
        <v>2025</v>
      </c>
      <c r="BA12" s="104">
        <v>2025</v>
      </c>
      <c r="BB12" s="104">
        <v>2025</v>
      </c>
      <c r="BC12" s="104">
        <v>2025</v>
      </c>
      <c r="BD12" s="104">
        <v>2025</v>
      </c>
      <c r="BE12" s="104">
        <v>2025</v>
      </c>
      <c r="BF12" s="104">
        <v>2026</v>
      </c>
      <c r="BG12" s="104">
        <v>2026</v>
      </c>
      <c r="BH12" s="104">
        <v>2026</v>
      </c>
      <c r="BI12" s="104">
        <v>2026</v>
      </c>
      <c r="BJ12" s="104">
        <v>2026</v>
      </c>
      <c r="BK12" s="104">
        <v>2026</v>
      </c>
      <c r="BL12" s="104">
        <v>2026</v>
      </c>
      <c r="BM12" s="104">
        <v>2026</v>
      </c>
      <c r="BN12" s="104">
        <v>2026</v>
      </c>
      <c r="BO12" s="104">
        <v>2026</v>
      </c>
      <c r="BP12" s="104">
        <v>2026</v>
      </c>
      <c r="BQ12" s="104">
        <v>2026</v>
      </c>
    </row>
    <row r="13" spans="1:69">
      <c r="E13" t="s">
        <v>119</v>
      </c>
      <c r="G13" t="s">
        <v>118</v>
      </c>
      <c r="J13" s="104" cm="1">
        <f t="array" ref="J13:N13" xml:space="preserve"> _xlfn.UNIQUE(_xlfn.ANCHORARRAY( J12), TRUE )</f>
        <v>2022</v>
      </c>
      <c r="K13" s="104">
        <v>2023</v>
      </c>
      <c r="L13" s="104">
        <v>2024</v>
      </c>
      <c r="M13" s="104">
        <v>2025</v>
      </c>
      <c r="N13" s="104">
        <v>2026</v>
      </c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</row>
    <row r="14" spans="1:69">
      <c r="J14" s="104"/>
    </row>
    <row r="15" spans="1:69" s="98" customFormat="1">
      <c r="A15" s="95" t="s">
        <v>106</v>
      </c>
      <c r="J15" s="105"/>
    </row>
    <row r="16" spans="1:69">
      <c r="J16" s="104"/>
    </row>
    <row r="17" spans="2:69">
      <c r="B17" s="99" t="s">
        <v>92</v>
      </c>
      <c r="J17" s="104"/>
    </row>
    <row r="18" spans="2:69">
      <c r="E18" t="str" cm="1">
        <f t="array" ref="E18:E25">lstStores</f>
        <v>Paris</v>
      </c>
      <c r="F18" cm="1">
        <f t="array" ref="F18:F25">_xlfn.XLOOKUP(_xlfn.ANCHORARRAY( Time!E18), lstStores, CaseData!$F$10:$F$17 )</f>
        <v>0</v>
      </c>
      <c r="G18" t="s">
        <v>93</v>
      </c>
      <c r="J18" s="122" cm="1">
        <f t="array" ref="J18:BQ25" xml:space="preserve"> IF(_xlfn.ANCHORARRAY( F18) = 0, 1, IF(_xlfn.ANCHORARRAY( F18) &gt;=_xlfn.ANCHORARRAY( J10), 0, 1 ) )</f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2:69">
      <c r="E19" t="str">
        <v>Milano</v>
      </c>
      <c r="F19">
        <v>0</v>
      </c>
      <c r="G19" t="s">
        <v>93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</row>
    <row r="20" spans="2:69">
      <c r="E20" t="str">
        <v>Madrid</v>
      </c>
      <c r="F20">
        <v>0</v>
      </c>
      <c r="G20" t="s">
        <v>93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2:69">
      <c r="E21" t="str">
        <v>London</v>
      </c>
      <c r="F21">
        <v>0</v>
      </c>
      <c r="G21" t="s">
        <v>93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</row>
    <row r="22" spans="2:69">
      <c r="E22" t="str">
        <v>New York</v>
      </c>
      <c r="F22">
        <v>3</v>
      </c>
      <c r="G22" t="s">
        <v>93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</row>
    <row r="23" spans="2:69">
      <c r="E23" t="str">
        <v>Montreal</v>
      </c>
      <c r="F23">
        <v>9</v>
      </c>
      <c r="G23" t="s">
        <v>93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</row>
    <row r="24" spans="2:69">
      <c r="E24" t="str">
        <v>Zurich</v>
      </c>
      <c r="F24">
        <v>15</v>
      </c>
      <c r="G24" t="s">
        <v>93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</row>
    <row r="25" spans="2:69">
      <c r="E25" t="str">
        <v>Moscow</v>
      </c>
      <c r="F25">
        <v>21</v>
      </c>
      <c r="G25" t="s">
        <v>93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</row>
    <row r="27" spans="2:69">
      <c r="B27" s="99" t="s">
        <v>94</v>
      </c>
    </row>
    <row r="28" spans="2:69">
      <c r="E28" t="str" cm="1">
        <f t="array" ref="E28:E35">lstStores</f>
        <v>Paris</v>
      </c>
      <c r="F28" cm="1">
        <f t="array" ref="F28:F35">_xlfn.XLOOKUP(_xlfn.ANCHORARRAY( Time!E28), lstStores, CaseData!$F$10:$F$17 )</f>
        <v>0</v>
      </c>
      <c r="G28" t="s">
        <v>93</v>
      </c>
      <c r="J28" s="120" cm="1">
        <f t="array" ref="J28:BQ35" xml:space="preserve"> IF(_xlfn.ANCHORARRAY( F28) = 0, 0, IF(_xlfn.ANCHORARRAY( J10) &lt;_xlfn.ANCHORARRAY( F28), 0, IF(_xlfn.ANCHORARRAY( J10) -_xlfn.ANCHORARRAY( F28) + 1 &lt;= 13,_xlfn.ANCHORARRAY( J10) -_xlfn.ANCHORARRAY( F28) + 1, 0 ) ) )</f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2:69">
      <c r="E29" t="str">
        <v>Milano</v>
      </c>
      <c r="F29">
        <v>0</v>
      </c>
      <c r="G29" t="s">
        <v>93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2:69">
      <c r="E30" t="str">
        <v>Madrid</v>
      </c>
      <c r="F30">
        <v>0</v>
      </c>
      <c r="G30" t="s">
        <v>93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2:69">
      <c r="E31" t="str">
        <v>London</v>
      </c>
      <c r="F31">
        <v>0</v>
      </c>
      <c r="G31" t="s">
        <v>93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2:69">
      <c r="E32" t="str">
        <v>New York</v>
      </c>
      <c r="F32">
        <v>3</v>
      </c>
      <c r="G32" t="s">
        <v>93</v>
      </c>
      <c r="J32">
        <v>0</v>
      </c>
      <c r="K32">
        <v>0</v>
      </c>
      <c r="L32">
        <v>1</v>
      </c>
      <c r="M32">
        <v>2</v>
      </c>
      <c r="N32">
        <v>3</v>
      </c>
      <c r="O32">
        <v>4</v>
      </c>
      <c r="P32">
        <v>5</v>
      </c>
      <c r="Q32">
        <v>6</v>
      </c>
      <c r="R32">
        <v>7</v>
      </c>
      <c r="S32">
        <v>8</v>
      </c>
      <c r="T32">
        <v>9</v>
      </c>
      <c r="U32">
        <v>10</v>
      </c>
      <c r="V32">
        <v>11</v>
      </c>
      <c r="W32">
        <v>12</v>
      </c>
      <c r="X32">
        <v>13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E33" t="str">
        <v>Montreal</v>
      </c>
      <c r="F33">
        <v>9</v>
      </c>
      <c r="G33" t="s">
        <v>93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2</v>
      </c>
      <c r="T33">
        <v>3</v>
      </c>
      <c r="U33">
        <v>4</v>
      </c>
      <c r="V33">
        <v>5</v>
      </c>
      <c r="W33">
        <v>6</v>
      </c>
      <c r="X33">
        <v>7</v>
      </c>
      <c r="Y33">
        <v>8</v>
      </c>
      <c r="Z33">
        <v>9</v>
      </c>
      <c r="AA33">
        <v>10</v>
      </c>
      <c r="AB33">
        <v>11</v>
      </c>
      <c r="AC33">
        <v>12</v>
      </c>
      <c r="AD33">
        <v>13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>
      <c r="E34" t="str">
        <v>Zurich</v>
      </c>
      <c r="F34">
        <v>15</v>
      </c>
      <c r="G34" t="s">
        <v>93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2</v>
      </c>
      <c r="Z34">
        <v>3</v>
      </c>
      <c r="AA34">
        <v>4</v>
      </c>
      <c r="AB34">
        <v>5</v>
      </c>
      <c r="AC34">
        <v>6</v>
      </c>
      <c r="AD34">
        <v>7</v>
      </c>
      <c r="AE34">
        <v>8</v>
      </c>
      <c r="AF34">
        <v>9</v>
      </c>
      <c r="AG34">
        <v>10</v>
      </c>
      <c r="AH34">
        <v>11</v>
      </c>
      <c r="AI34">
        <v>12</v>
      </c>
      <c r="AJ34">
        <v>13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E35" t="str">
        <v>Moscow</v>
      </c>
      <c r="F35">
        <v>21</v>
      </c>
      <c r="G35" t="s">
        <v>93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2</v>
      </c>
      <c r="AF35">
        <v>3</v>
      </c>
      <c r="AG35">
        <v>4</v>
      </c>
      <c r="AH35">
        <v>5</v>
      </c>
      <c r="AI35">
        <v>6</v>
      </c>
      <c r="AJ35">
        <v>7</v>
      </c>
      <c r="AK35">
        <v>8</v>
      </c>
      <c r="AL35">
        <v>9</v>
      </c>
      <c r="AM35">
        <v>10</v>
      </c>
      <c r="AN35">
        <v>11</v>
      </c>
      <c r="AO35">
        <v>12</v>
      </c>
      <c r="AP35">
        <v>13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7" spans="1:69" s="98" customFormat="1">
      <c r="A37" s="95" t="s">
        <v>101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D2C8-9058-47F0-9E45-57ED103556DA}">
  <sheetPr>
    <tabColor rgb="FFFFFF00"/>
  </sheetPr>
  <dimension ref="A1:Q111"/>
  <sheetViews>
    <sheetView showGridLines="0" topLeftCell="A3" zoomScaleNormal="100" workbookViewId="0">
      <selection activeCell="P31" sqref="P31"/>
    </sheetView>
  </sheetViews>
  <sheetFormatPr defaultRowHeight="13.8"/>
  <cols>
    <col min="1" max="1" width="2.69921875" customWidth="1"/>
    <col min="2" max="2" width="12.09765625" customWidth="1"/>
    <col min="3" max="5" width="10.3984375" customWidth="1"/>
    <col min="6" max="6" width="14" customWidth="1"/>
    <col min="7" max="7" width="10.3984375" customWidth="1"/>
    <col min="10" max="10" width="15.3984375" customWidth="1"/>
    <col min="12" max="12" width="10.3984375" customWidth="1"/>
  </cols>
  <sheetData>
    <row r="1" spans="1:12" ht="15" thickBot="1">
      <c r="A1" s="2" t="str">
        <f>$J$3&amp;". Key Assumptions for the Financial Model"</f>
        <v>Fashion Boutique. Key Assumptions for the Financial Model</v>
      </c>
      <c r="B1" s="2"/>
      <c r="C1" s="2"/>
      <c r="D1" s="2"/>
      <c r="E1" s="2"/>
      <c r="F1" s="2"/>
      <c r="G1" s="2"/>
      <c r="H1" s="2"/>
      <c r="I1" s="2"/>
      <c r="J1" s="2"/>
    </row>
    <row r="2" spans="1:12" ht="14.4" thickTop="1"/>
    <row r="3" spans="1:12" ht="14.4">
      <c r="B3" s="3" t="s">
        <v>2</v>
      </c>
      <c r="C3" s="3"/>
      <c r="J3" s="4" t="s">
        <v>3</v>
      </c>
    </row>
    <row r="4" spans="1:12" ht="14.4">
      <c r="B4" s="3" t="s">
        <v>90</v>
      </c>
      <c r="C4" s="3"/>
      <c r="J4" s="4">
        <v>44562</v>
      </c>
    </row>
    <row r="5" spans="1:12" ht="14.4">
      <c r="B5" s="3" t="s">
        <v>77</v>
      </c>
      <c r="J5" s="93">
        <v>60</v>
      </c>
    </row>
    <row r="6" spans="1:12" ht="14.4">
      <c r="B6" s="3" t="s">
        <v>78</v>
      </c>
      <c r="J6" s="93" t="s">
        <v>79</v>
      </c>
    </row>
    <row r="7" spans="1:12" ht="15" thickBot="1">
      <c r="A7" s="59" t="s">
        <v>4</v>
      </c>
      <c r="B7" s="59"/>
      <c r="C7" s="60"/>
      <c r="D7" s="60"/>
      <c r="E7" s="60"/>
      <c r="F7" s="60"/>
      <c r="G7" s="60"/>
      <c r="H7" s="60"/>
      <c r="I7" s="60"/>
      <c r="J7" s="60"/>
    </row>
    <row r="8" spans="1:12" ht="15" thickTop="1">
      <c r="B8" s="3"/>
      <c r="I8" s="3"/>
    </row>
    <row r="9" spans="1:12" ht="14.4"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46"/>
      <c r="H9" s="24"/>
      <c r="I9" s="5" t="s">
        <v>10</v>
      </c>
      <c r="J9" s="5" t="s">
        <v>11</v>
      </c>
      <c r="L9" t="s">
        <v>49</v>
      </c>
    </row>
    <row r="10" spans="1:12" ht="14.4">
      <c r="B10" s="7">
        <v>1</v>
      </c>
      <c r="C10" s="8" t="s">
        <v>12</v>
      </c>
      <c r="D10" s="8" t="s">
        <v>13</v>
      </c>
      <c r="E10" s="9" t="s">
        <v>14</v>
      </c>
      <c r="F10" s="63"/>
      <c r="G10" s="10"/>
      <c r="I10" s="7">
        <v>1</v>
      </c>
      <c r="J10" s="11">
        <v>0.5</v>
      </c>
      <c r="L10" t="s">
        <v>15</v>
      </c>
    </row>
    <row r="11" spans="1:12" ht="14.4">
      <c r="B11" s="12">
        <f t="shared" ref="B11:B17" si="0">B10+1</f>
        <v>2</v>
      </c>
      <c r="C11" s="13" t="s">
        <v>16</v>
      </c>
      <c r="D11" s="13" t="s">
        <v>17</v>
      </c>
      <c r="E11" s="14" t="s">
        <v>14</v>
      </c>
      <c r="G11" s="1"/>
      <c r="I11" s="12">
        <v>2</v>
      </c>
      <c r="J11" s="15">
        <v>0.54166666666666652</v>
      </c>
    </row>
    <row r="12" spans="1:12" ht="14.4">
      <c r="B12" s="12">
        <f t="shared" si="0"/>
        <v>3</v>
      </c>
      <c r="C12" s="13" t="s">
        <v>18</v>
      </c>
      <c r="D12" s="13" t="s">
        <v>19</v>
      </c>
      <c r="E12" s="14" t="s">
        <v>14</v>
      </c>
      <c r="G12" s="1"/>
      <c r="I12" s="12">
        <v>3</v>
      </c>
      <c r="J12" s="15">
        <v>0.58333333333333326</v>
      </c>
    </row>
    <row r="13" spans="1:12" ht="14.4">
      <c r="B13" s="12">
        <f t="shared" si="0"/>
        <v>4</v>
      </c>
      <c r="C13" s="13" t="s">
        <v>20</v>
      </c>
      <c r="D13" s="13" t="s">
        <v>21</v>
      </c>
      <c r="E13" s="14" t="s">
        <v>22</v>
      </c>
      <c r="G13" s="1"/>
      <c r="I13" s="12">
        <v>4</v>
      </c>
      <c r="J13" s="15">
        <v>0.625</v>
      </c>
    </row>
    <row r="14" spans="1:12" ht="14.4">
      <c r="B14" s="12">
        <f t="shared" si="0"/>
        <v>5</v>
      </c>
      <c r="C14" s="13" t="s">
        <v>23</v>
      </c>
      <c r="D14" s="13" t="s">
        <v>24</v>
      </c>
      <c r="E14" s="14" t="s">
        <v>25</v>
      </c>
      <c r="F14" s="16">
        <v>3</v>
      </c>
      <c r="G14" s="17">
        <f>EDATE($J$4,F14-1)</f>
        <v>44621</v>
      </c>
      <c r="I14" s="12">
        <v>5</v>
      </c>
      <c r="J14" s="15">
        <v>0.66666666666666663</v>
      </c>
    </row>
    <row r="15" spans="1:12" ht="14.4">
      <c r="B15" s="12">
        <f t="shared" si="0"/>
        <v>6</v>
      </c>
      <c r="C15" s="13" t="s">
        <v>26</v>
      </c>
      <c r="D15" s="13" t="s">
        <v>27</v>
      </c>
      <c r="E15" s="14" t="s">
        <v>28</v>
      </c>
      <c r="F15" s="16">
        <v>9</v>
      </c>
      <c r="G15" s="17">
        <f>EDATE($J$4,F15-1)</f>
        <v>44805</v>
      </c>
      <c r="I15" s="12">
        <v>6</v>
      </c>
      <c r="J15" s="15">
        <v>0.70833333333333326</v>
      </c>
    </row>
    <row r="16" spans="1:12" ht="14.4">
      <c r="B16" s="12">
        <f t="shared" si="0"/>
        <v>7</v>
      </c>
      <c r="C16" s="13" t="s">
        <v>29</v>
      </c>
      <c r="D16" s="13" t="s">
        <v>30</v>
      </c>
      <c r="E16" s="14" t="s">
        <v>31</v>
      </c>
      <c r="F16" s="16">
        <v>15</v>
      </c>
      <c r="G16" s="17">
        <f>EDATE($J$4,F16-1)</f>
        <v>44986</v>
      </c>
      <c r="I16" s="12">
        <v>7</v>
      </c>
      <c r="J16" s="15">
        <v>0.75</v>
      </c>
    </row>
    <row r="17" spans="1:10" ht="14.4">
      <c r="B17" s="18">
        <f t="shared" si="0"/>
        <v>8</v>
      </c>
      <c r="C17" s="19" t="s">
        <v>32</v>
      </c>
      <c r="D17" s="19" t="s">
        <v>33</v>
      </c>
      <c r="E17" s="20" t="s">
        <v>34</v>
      </c>
      <c r="F17" s="21">
        <v>21</v>
      </c>
      <c r="G17" s="22">
        <f>EDATE($J$4,F17-1)</f>
        <v>45170</v>
      </c>
      <c r="I17" s="12">
        <v>8</v>
      </c>
      <c r="J17" s="15">
        <v>0.79166666666666674</v>
      </c>
    </row>
    <row r="18" spans="1:10" ht="14.4">
      <c r="I18" s="12">
        <v>9</v>
      </c>
      <c r="J18" s="15">
        <v>0.83333333333333337</v>
      </c>
    </row>
    <row r="19" spans="1:10" ht="14.4">
      <c r="I19" s="12">
        <v>10</v>
      </c>
      <c r="J19" s="15">
        <v>0.875</v>
      </c>
    </row>
    <row r="20" spans="1:10" ht="14.4">
      <c r="I20" s="12">
        <v>11</v>
      </c>
      <c r="J20" s="15">
        <v>0.91666666666666674</v>
      </c>
    </row>
    <row r="21" spans="1:10" ht="14.4">
      <c r="I21" s="12">
        <v>12</v>
      </c>
      <c r="J21" s="15">
        <v>0.95833333333333348</v>
      </c>
    </row>
    <row r="22" spans="1:10" ht="14.4">
      <c r="I22" s="18">
        <v>13</v>
      </c>
      <c r="J22" s="23">
        <v>1.0000000000000002</v>
      </c>
    </row>
    <row r="23" spans="1:10" ht="14.4">
      <c r="I23" s="24"/>
      <c r="J23" s="25"/>
    </row>
    <row r="25" spans="1:10" ht="15" thickBot="1">
      <c r="A25" s="59" t="s">
        <v>35</v>
      </c>
      <c r="B25" s="59"/>
      <c r="C25" s="60"/>
      <c r="D25" s="60"/>
      <c r="E25" s="60"/>
      <c r="F25" s="60"/>
      <c r="G25" s="60"/>
      <c r="H25" s="60"/>
      <c r="I25" s="60"/>
      <c r="J25" s="60"/>
    </row>
    <row r="26" spans="1:10" ht="15" thickTop="1">
      <c r="C26" s="3"/>
    </row>
    <row r="27" spans="1:10" ht="14.4">
      <c r="B27" s="5" t="s">
        <v>6</v>
      </c>
      <c r="C27" s="5" t="s">
        <v>36</v>
      </c>
      <c r="D27" s="5" t="s">
        <v>37</v>
      </c>
      <c r="E27" s="5" t="s">
        <v>38</v>
      </c>
    </row>
    <row r="28" spans="1:10" ht="14.4">
      <c r="B28" s="26" t="str">
        <f t="shared" ref="B28:B35" si="1">C10</f>
        <v>Paris</v>
      </c>
      <c r="C28" s="27">
        <v>180</v>
      </c>
      <c r="D28" s="27">
        <v>170</v>
      </c>
      <c r="E28" s="28">
        <v>260</v>
      </c>
    </row>
    <row r="29" spans="1:10" ht="14.4">
      <c r="B29" s="29" t="str">
        <f t="shared" si="1"/>
        <v>Milano</v>
      </c>
      <c r="C29" s="30">
        <v>280</v>
      </c>
      <c r="D29" s="30">
        <v>170</v>
      </c>
      <c r="E29" s="31">
        <v>150</v>
      </c>
    </row>
    <row r="30" spans="1:10" ht="14.4">
      <c r="B30" s="29" t="str">
        <f t="shared" si="1"/>
        <v>Madrid</v>
      </c>
      <c r="C30" s="30">
        <v>150</v>
      </c>
      <c r="D30" s="30">
        <v>90</v>
      </c>
      <c r="E30" s="31">
        <v>60</v>
      </c>
    </row>
    <row r="31" spans="1:10" ht="14.4">
      <c r="B31" s="29" t="str">
        <f t="shared" si="1"/>
        <v>London</v>
      </c>
      <c r="C31" s="30">
        <v>110</v>
      </c>
      <c r="D31" s="30">
        <v>130</v>
      </c>
      <c r="E31" s="31">
        <v>100</v>
      </c>
      <c r="F31" s="62" t="s">
        <v>39</v>
      </c>
    </row>
    <row r="32" spans="1:10" ht="14.4">
      <c r="B32" s="29" t="str">
        <f t="shared" si="1"/>
        <v>New York</v>
      </c>
      <c r="C32" s="32">
        <f t="shared" ref="C32:E35" si="2">INDEX(C$28:C$31,MATCH($F32,$C$10:$C$13,0))</f>
        <v>110</v>
      </c>
      <c r="D32" s="32">
        <f t="shared" si="2"/>
        <v>130</v>
      </c>
      <c r="E32" s="33">
        <f t="shared" si="2"/>
        <v>100</v>
      </c>
      <c r="F32" s="13" t="s">
        <v>20</v>
      </c>
    </row>
    <row r="33" spans="1:13" ht="14.4">
      <c r="B33" s="29" t="str">
        <f t="shared" si="1"/>
        <v>Montreal</v>
      </c>
      <c r="C33" s="32">
        <f t="shared" si="2"/>
        <v>180</v>
      </c>
      <c r="D33" s="32">
        <f t="shared" si="2"/>
        <v>170</v>
      </c>
      <c r="E33" s="33">
        <f t="shared" si="2"/>
        <v>260</v>
      </c>
      <c r="F33" s="13" t="s">
        <v>12</v>
      </c>
    </row>
    <row r="34" spans="1:13" ht="14.4">
      <c r="B34" s="29" t="str">
        <f t="shared" si="1"/>
        <v>Zurich</v>
      </c>
      <c r="C34" s="32">
        <f t="shared" si="2"/>
        <v>280</v>
      </c>
      <c r="D34" s="32">
        <f t="shared" si="2"/>
        <v>170</v>
      </c>
      <c r="E34" s="33">
        <f t="shared" si="2"/>
        <v>150</v>
      </c>
      <c r="F34" s="13" t="s">
        <v>16</v>
      </c>
    </row>
    <row r="35" spans="1:13" ht="14.4">
      <c r="B35" s="34" t="str">
        <f t="shared" si="1"/>
        <v>Moscow</v>
      </c>
      <c r="C35" s="35">
        <f t="shared" si="2"/>
        <v>110</v>
      </c>
      <c r="D35" s="35">
        <f t="shared" si="2"/>
        <v>130</v>
      </c>
      <c r="E35" s="36">
        <f t="shared" si="2"/>
        <v>100</v>
      </c>
      <c r="F35" s="13" t="s">
        <v>20</v>
      </c>
    </row>
    <row r="36" spans="1:13">
      <c r="B36" s="37"/>
      <c r="C36" s="32"/>
      <c r="D36" s="32"/>
      <c r="E36" s="32"/>
      <c r="F36" s="32"/>
    </row>
    <row r="38" spans="1:13" ht="15" thickBot="1">
      <c r="A38" s="61" t="s">
        <v>40</v>
      </c>
      <c r="B38" s="60"/>
      <c r="C38" s="60"/>
      <c r="D38" s="60"/>
      <c r="E38" s="60"/>
      <c r="F38" s="60"/>
      <c r="G38" s="60"/>
      <c r="H38" s="60"/>
      <c r="I38" s="60"/>
      <c r="J38" s="60"/>
    </row>
    <row r="39" spans="1:13" ht="15" thickTop="1">
      <c r="A39" s="38"/>
    </row>
    <row r="40" spans="1:13" ht="14.4">
      <c r="C40" s="6" t="s">
        <v>38</v>
      </c>
    </row>
    <row r="41" spans="1:13" ht="14.4">
      <c r="B41" t="s">
        <v>41</v>
      </c>
      <c r="C41" s="30">
        <v>2500</v>
      </c>
      <c r="D41" t="s">
        <v>96</v>
      </c>
    </row>
    <row r="42" spans="1:13">
      <c r="B42" s="37"/>
      <c r="C42" s="32"/>
      <c r="D42" s="32"/>
      <c r="E42" s="32"/>
    </row>
    <row r="43" spans="1:13">
      <c r="I43" s="39"/>
      <c r="J43" s="39"/>
      <c r="K43" s="39"/>
      <c r="L43" s="39"/>
      <c r="M43" s="39"/>
    </row>
    <row r="44" spans="1:13" ht="15" thickBot="1">
      <c r="A44" s="59" t="s">
        <v>42</v>
      </c>
      <c r="B44" s="59"/>
      <c r="C44" s="59"/>
      <c r="D44" s="60"/>
      <c r="E44" s="60"/>
      <c r="F44" s="60"/>
      <c r="G44" s="60"/>
      <c r="H44" s="60"/>
      <c r="I44" s="60"/>
      <c r="J44" s="60"/>
    </row>
    <row r="45" spans="1:13" ht="15" thickTop="1">
      <c r="B45" s="3"/>
      <c r="C45" s="3"/>
    </row>
    <row r="46" spans="1:13" ht="14.4">
      <c r="B46" s="5" t="s">
        <v>8</v>
      </c>
      <c r="C46" s="5" t="s">
        <v>36</v>
      </c>
      <c r="D46" s="5" t="s">
        <v>37</v>
      </c>
      <c r="E46" s="5" t="s">
        <v>38</v>
      </c>
    </row>
    <row r="47" spans="1:13" ht="14.4">
      <c r="B47" s="14" t="s">
        <v>14</v>
      </c>
      <c r="C47" s="30">
        <v>500</v>
      </c>
      <c r="D47" s="30">
        <v>400</v>
      </c>
      <c r="E47" s="30">
        <v>150</v>
      </c>
    </row>
    <row r="48" spans="1:13" ht="14.4">
      <c r="B48" s="14" t="s">
        <v>22</v>
      </c>
      <c r="C48" s="30">
        <v>425</v>
      </c>
      <c r="D48" s="30">
        <v>350</v>
      </c>
      <c r="E48" s="30">
        <v>125</v>
      </c>
    </row>
    <row r="49" spans="1:10" ht="14.4">
      <c r="B49" s="14" t="s">
        <v>25</v>
      </c>
      <c r="C49" s="30">
        <v>475</v>
      </c>
      <c r="D49" s="30">
        <v>375</v>
      </c>
      <c r="E49" s="30">
        <v>150</v>
      </c>
    </row>
    <row r="50" spans="1:10" ht="14.4">
      <c r="B50" s="14" t="s">
        <v>28</v>
      </c>
      <c r="C50" s="30">
        <v>700</v>
      </c>
      <c r="D50" s="30">
        <v>550</v>
      </c>
      <c r="E50" s="30">
        <v>200</v>
      </c>
    </row>
    <row r="51" spans="1:10" ht="14.4">
      <c r="B51" s="14" t="s">
        <v>31</v>
      </c>
      <c r="C51" s="30">
        <v>750</v>
      </c>
      <c r="D51" s="30">
        <v>600</v>
      </c>
      <c r="E51" s="30">
        <v>225</v>
      </c>
    </row>
    <row r="52" spans="1:10" ht="14.4">
      <c r="B52" s="20" t="s">
        <v>34</v>
      </c>
      <c r="C52" s="40">
        <v>55000</v>
      </c>
      <c r="D52" s="40">
        <v>40000</v>
      </c>
      <c r="E52" s="40">
        <v>15000</v>
      </c>
    </row>
    <row r="53" spans="1:10">
      <c r="B53" s="37"/>
      <c r="C53" s="32"/>
      <c r="D53" s="32"/>
      <c r="E53" s="32"/>
    </row>
    <row r="55" spans="1:10" ht="15" thickBot="1">
      <c r="A55" s="59" t="s">
        <v>43</v>
      </c>
      <c r="B55" s="59"/>
      <c r="C55" s="59"/>
      <c r="D55" s="59"/>
      <c r="E55" s="59"/>
      <c r="F55" s="59"/>
      <c r="G55" s="59"/>
      <c r="H55" s="59"/>
      <c r="I55" s="59"/>
      <c r="J55" s="59"/>
    </row>
    <row r="56" spans="1:10" ht="15" thickTop="1">
      <c r="B56" s="3"/>
    </row>
    <row r="57" spans="1:10" ht="14.4">
      <c r="B57" s="5" t="s">
        <v>0</v>
      </c>
      <c r="C57" s="5" t="s">
        <v>5</v>
      </c>
      <c r="D57" s="5" t="s">
        <v>1</v>
      </c>
      <c r="E57" s="6" t="s">
        <v>44</v>
      </c>
    </row>
    <row r="58" spans="1:10" ht="14.4">
      <c r="B58" s="41">
        <f>DATE($C$74,1,1)</f>
        <v>44562</v>
      </c>
      <c r="C58" s="64">
        <f>MONTH(B58)</f>
        <v>1</v>
      </c>
      <c r="D58" s="42">
        <v>2.5</v>
      </c>
      <c r="E58" s="42">
        <v>0.4</v>
      </c>
    </row>
    <row r="59" spans="1:10" ht="14.4">
      <c r="B59" s="43">
        <f t="shared" ref="B59:B69" si="3">DATE($C$74,MONTH(B58)+1,1)</f>
        <v>44593</v>
      </c>
      <c r="C59" s="24">
        <f t="shared" ref="C59:C69" si="4">MONTH(B59)</f>
        <v>2</v>
      </c>
      <c r="D59" s="44">
        <v>1</v>
      </c>
      <c r="E59" s="44">
        <v>0</v>
      </c>
    </row>
    <row r="60" spans="1:10" ht="14.4">
      <c r="B60" s="43">
        <f t="shared" si="3"/>
        <v>44621</v>
      </c>
      <c r="C60" s="24">
        <f t="shared" si="4"/>
        <v>3</v>
      </c>
      <c r="D60" s="44">
        <v>1</v>
      </c>
      <c r="E60" s="44">
        <v>0</v>
      </c>
    </row>
    <row r="61" spans="1:10" ht="14.4">
      <c r="B61" s="43">
        <f t="shared" si="3"/>
        <v>44652</v>
      </c>
      <c r="C61" s="24">
        <f t="shared" si="4"/>
        <v>4</v>
      </c>
      <c r="D61" s="44">
        <v>1</v>
      </c>
      <c r="E61" s="44">
        <v>0</v>
      </c>
    </row>
    <row r="62" spans="1:10" ht="14.4">
      <c r="B62" s="43">
        <f t="shared" si="3"/>
        <v>44682</v>
      </c>
      <c r="C62" s="24">
        <f t="shared" si="4"/>
        <v>5</v>
      </c>
      <c r="D62" s="44">
        <v>1</v>
      </c>
      <c r="E62" s="44">
        <v>0</v>
      </c>
    </row>
    <row r="63" spans="1:10" ht="14.4">
      <c r="B63" s="43">
        <f t="shared" si="3"/>
        <v>44713</v>
      </c>
      <c r="C63" s="24">
        <f t="shared" si="4"/>
        <v>6</v>
      </c>
      <c r="D63" s="44">
        <v>1</v>
      </c>
      <c r="E63" s="44">
        <v>0</v>
      </c>
    </row>
    <row r="64" spans="1:10" ht="14.4">
      <c r="B64" s="43">
        <f t="shared" si="3"/>
        <v>44743</v>
      </c>
      <c r="C64" s="24">
        <f t="shared" si="4"/>
        <v>7</v>
      </c>
      <c r="D64" s="44">
        <v>2.5</v>
      </c>
      <c r="E64" s="44">
        <v>0.4</v>
      </c>
    </row>
    <row r="65" spans="1:10" ht="14.4">
      <c r="B65" s="43">
        <f t="shared" si="3"/>
        <v>44774</v>
      </c>
      <c r="C65" s="24">
        <f t="shared" si="4"/>
        <v>8</v>
      </c>
      <c r="D65" s="44">
        <v>1</v>
      </c>
      <c r="E65" s="44">
        <v>0</v>
      </c>
    </row>
    <row r="66" spans="1:10" ht="14.4">
      <c r="B66" s="43">
        <f t="shared" si="3"/>
        <v>44805</v>
      </c>
      <c r="C66" s="24">
        <f t="shared" si="4"/>
        <v>9</v>
      </c>
      <c r="D66" s="44">
        <v>1</v>
      </c>
      <c r="E66" s="44">
        <v>0</v>
      </c>
    </row>
    <row r="67" spans="1:10" ht="14.4">
      <c r="B67" s="43">
        <f t="shared" si="3"/>
        <v>44835</v>
      </c>
      <c r="C67" s="24">
        <f t="shared" si="4"/>
        <v>10</v>
      </c>
      <c r="D67" s="44">
        <v>1</v>
      </c>
      <c r="E67" s="44">
        <v>0</v>
      </c>
    </row>
    <row r="68" spans="1:10" ht="14.4">
      <c r="B68" s="43">
        <f t="shared" si="3"/>
        <v>44866</v>
      </c>
      <c r="C68" s="24">
        <f t="shared" si="4"/>
        <v>11</v>
      </c>
      <c r="D68" s="44">
        <v>1</v>
      </c>
      <c r="E68" s="44">
        <v>0</v>
      </c>
    </row>
    <row r="69" spans="1:10" ht="14.4">
      <c r="B69" s="45">
        <f t="shared" si="3"/>
        <v>44896</v>
      </c>
      <c r="C69" s="46">
        <f t="shared" si="4"/>
        <v>12</v>
      </c>
      <c r="D69" s="47">
        <v>1.5</v>
      </c>
      <c r="E69" s="47">
        <v>0.2</v>
      </c>
    </row>
    <row r="70" spans="1:10">
      <c r="B70" s="37"/>
      <c r="C70" s="32"/>
      <c r="D70" s="32"/>
      <c r="E70" s="32"/>
    </row>
    <row r="72" spans="1:10" ht="15" thickBot="1">
      <c r="A72" s="59" t="s">
        <v>45</v>
      </c>
      <c r="B72" s="59"/>
      <c r="C72" s="59"/>
      <c r="D72" s="59"/>
      <c r="E72" s="59"/>
      <c r="F72" s="59"/>
      <c r="G72" s="59"/>
      <c r="H72" s="59"/>
      <c r="I72" s="59"/>
      <c r="J72" s="59"/>
    </row>
    <row r="73" spans="1:10" ht="15" thickTop="1">
      <c r="B73" s="3"/>
    </row>
    <row r="74" spans="1:10" ht="14.4">
      <c r="B74" s="5" t="s">
        <v>8</v>
      </c>
      <c r="C74" s="5">
        <f>YEAR(J4)</f>
        <v>2022</v>
      </c>
      <c r="D74" s="5">
        <f>C74+1</f>
        <v>2023</v>
      </c>
      <c r="E74" s="5">
        <f>D74+1</f>
        <v>2024</v>
      </c>
      <c r="F74" s="5">
        <f>E74+1</f>
        <v>2025</v>
      </c>
      <c r="G74" s="5">
        <f>F74+1</f>
        <v>2026</v>
      </c>
    </row>
    <row r="75" spans="1:10" ht="14.4">
      <c r="B75" s="48" t="str">
        <f t="shared" ref="B75:B80" si="5">B47</f>
        <v>EUR</v>
      </c>
      <c r="C75" s="65">
        <v>1</v>
      </c>
      <c r="D75" s="66">
        <f>C75</f>
        <v>1</v>
      </c>
      <c r="E75" s="66">
        <f t="shared" ref="E75:G75" si="6">D75</f>
        <v>1</v>
      </c>
      <c r="F75" s="66">
        <f t="shared" si="6"/>
        <v>1</v>
      </c>
      <c r="G75" s="49">
        <f t="shared" si="6"/>
        <v>1</v>
      </c>
    </row>
    <row r="76" spans="1:10" ht="14.4">
      <c r="B76" s="12" t="str">
        <f t="shared" si="5"/>
        <v>GBP</v>
      </c>
      <c r="C76" s="50">
        <v>0.86</v>
      </c>
      <c r="D76" s="50">
        <v>0.87</v>
      </c>
      <c r="E76" s="50">
        <v>0.88</v>
      </c>
      <c r="F76" s="50">
        <v>0.89</v>
      </c>
      <c r="G76" s="51">
        <v>0.9</v>
      </c>
    </row>
    <row r="77" spans="1:10" ht="14.4">
      <c r="B77" s="12" t="str">
        <f t="shared" si="5"/>
        <v>USD</v>
      </c>
      <c r="C77" s="50">
        <v>1.1000000000000001</v>
      </c>
      <c r="D77" s="50">
        <v>1.1100000000000001</v>
      </c>
      <c r="E77" s="50">
        <v>1.1200000000000001</v>
      </c>
      <c r="F77" s="50">
        <v>1.1299999999999999</v>
      </c>
      <c r="G77" s="51">
        <v>1.1399999999999999</v>
      </c>
    </row>
    <row r="78" spans="1:10" ht="14.4">
      <c r="B78" s="12" t="str">
        <f t="shared" si="5"/>
        <v>CAD</v>
      </c>
      <c r="C78" s="50">
        <v>1.49</v>
      </c>
      <c r="D78" s="50">
        <v>1.5</v>
      </c>
      <c r="E78" s="50">
        <v>1.51</v>
      </c>
      <c r="F78" s="50">
        <v>1.52</v>
      </c>
      <c r="G78" s="51">
        <v>1.53</v>
      </c>
    </row>
    <row r="79" spans="1:10" ht="14.4">
      <c r="B79" s="12" t="str">
        <f t="shared" si="5"/>
        <v>CHF</v>
      </c>
      <c r="C79" s="50">
        <v>1.06</v>
      </c>
      <c r="D79" s="50">
        <v>1.07</v>
      </c>
      <c r="E79" s="50">
        <v>1.08</v>
      </c>
      <c r="F79" s="50">
        <v>1.0900000000000001</v>
      </c>
      <c r="G79" s="51">
        <v>1.1000000000000001</v>
      </c>
    </row>
    <row r="80" spans="1:10" ht="14.4">
      <c r="B80" s="52" t="str">
        <f t="shared" si="5"/>
        <v>RUB</v>
      </c>
      <c r="C80" s="53">
        <v>73</v>
      </c>
      <c r="D80" s="53">
        <v>74</v>
      </c>
      <c r="E80" s="53">
        <v>75</v>
      </c>
      <c r="F80" s="53">
        <v>76</v>
      </c>
      <c r="G80" s="54">
        <v>77</v>
      </c>
    </row>
    <row r="81" spans="1:17">
      <c r="B81" s="37"/>
      <c r="C81" s="32"/>
      <c r="D81" s="32"/>
      <c r="E81" s="32"/>
    </row>
    <row r="83" spans="1:17" ht="15" thickBot="1">
      <c r="A83" s="59" t="s">
        <v>46</v>
      </c>
      <c r="B83" s="59"/>
      <c r="C83" s="59"/>
      <c r="D83" s="59"/>
      <c r="E83" s="59"/>
      <c r="F83" s="59"/>
      <c r="G83" s="59"/>
      <c r="H83" s="59"/>
      <c r="I83" s="59"/>
      <c r="J83" s="59"/>
    </row>
    <row r="84" spans="1:17" ht="15" thickTop="1">
      <c r="B84" s="3"/>
    </row>
    <row r="85" spans="1:17" ht="14.4">
      <c r="B85" s="5" t="s">
        <v>8</v>
      </c>
      <c r="C85" s="115">
        <f>C74</f>
        <v>2022</v>
      </c>
      <c r="D85" s="115">
        <f>C85+1</f>
        <v>2023</v>
      </c>
      <c r="E85" s="115">
        <f>D85+1</f>
        <v>2024</v>
      </c>
      <c r="F85" s="115">
        <f>E85+1</f>
        <v>2025</v>
      </c>
      <c r="G85" s="115">
        <f>F85+1</f>
        <v>2026</v>
      </c>
    </row>
    <row r="86" spans="1:17" ht="14.4">
      <c r="B86" s="7" t="str">
        <f>B75</f>
        <v>EUR</v>
      </c>
      <c r="C86" s="64" t="s">
        <v>47</v>
      </c>
      <c r="D86" s="55">
        <v>5.0000000000000001E-3</v>
      </c>
      <c r="E86" s="55">
        <v>5.0000000000000001E-3</v>
      </c>
      <c r="F86" s="55">
        <v>0.01</v>
      </c>
      <c r="G86" s="55">
        <v>2.5000000000000001E-2</v>
      </c>
      <c r="J86" s="118"/>
      <c r="K86" s="104">
        <v>2022</v>
      </c>
      <c r="L86" s="104">
        <v>2023</v>
      </c>
      <c r="M86" s="104">
        <v>2024</v>
      </c>
      <c r="N86" s="104">
        <v>2025</v>
      </c>
      <c r="O86" s="104">
        <v>2026</v>
      </c>
      <c r="Q86" s="114"/>
    </row>
    <row r="87" spans="1:17" ht="14.4">
      <c r="B87" s="12" t="str">
        <f t="shared" ref="B87:B91" si="7">B76</f>
        <v>GBP</v>
      </c>
      <c r="C87" s="24" t="s">
        <v>47</v>
      </c>
      <c r="D87" s="56">
        <v>0.03</v>
      </c>
      <c r="E87" s="56">
        <v>0.01</v>
      </c>
      <c r="F87" s="56">
        <v>0.01</v>
      </c>
      <c r="G87" s="56">
        <v>0.01</v>
      </c>
      <c r="I87" s="114"/>
      <c r="J87" s="119" t="str" cm="1">
        <f t="array" ref="J87:J94">lstStoreCurrencies</f>
        <v>EUR</v>
      </c>
      <c r="K87" s="114" cm="1">
        <f t="array" ref="K87:O94" xml:space="preserve"> _xlfn.LET(
      _xlpm.clean_rates, IF( $C$86:$G$91 = "n.a.", 0, $C$86:$G$91 ),
      _xlpm.compounded_rates, _xlfn.MAKEARRAY( ROWS( _xlpm.clean_rates ), COLUMNS( _xlpm.clean_rates ),
                          _xlfn.LAMBDA(_xlpm.i,_xlpm.j, INDEX( _xlfn.SCAN( 1, INDEX( _xlpm.clean_rates, _xlpm.i, 0), _xlfn.LAMBDA(_xlpm.s,_xlpm.c, _xlpm.s * (1 + _xlpm.c ) ) ), _xlpm.j ) ) ),
      _xlpm.inflation_rows, $B$86:$B$91,
      _xlpm.inflation_column, $B$85:$G$85,
      _xlpm.inflation_table, _xlfn.VSTACK( _xlpm.inflation_column, _xlfn.HSTACK( _xlpm.inflation_rows, _xlpm.compounded_rates ) ),
      _xlpm.store_currency,_xlfn.ANCHORARRAY( J87),
      _xlpm.current_year, $K$86:$O$86,
      INDEX( _xlpm.inflation_table, _xlfn.XMATCH( _xlpm.store_currency, _xlpm.inflation_rows, 0 ) + 1, _xlfn.XMATCH( _xlpm.current_year, _xlpm.inflation_column, 0 ) ) )</f>
        <v>1</v>
      </c>
      <c r="L87" s="114">
        <v>1.0049999999999999</v>
      </c>
      <c r="M87" s="114">
        <v>1.0100249999999997</v>
      </c>
      <c r="N87" s="114">
        <v>1.0201252499999998</v>
      </c>
      <c r="O87" s="114">
        <v>1.0456283812499996</v>
      </c>
    </row>
    <row r="88" spans="1:17" ht="14.4">
      <c r="B88" s="12" t="str">
        <f t="shared" si="7"/>
        <v>USD</v>
      </c>
      <c r="C88" s="24" t="s">
        <v>47</v>
      </c>
      <c r="D88" s="56">
        <v>0.03</v>
      </c>
      <c r="E88" s="56">
        <v>0.02</v>
      </c>
      <c r="F88" s="56">
        <v>0.03</v>
      </c>
      <c r="G88" s="56">
        <v>5.0000000000000001E-3</v>
      </c>
      <c r="I88" s="114"/>
      <c r="J88" s="119" t="str">
        <v>EUR</v>
      </c>
      <c r="K88" s="114">
        <v>1</v>
      </c>
      <c r="L88" s="114">
        <v>1.0049999999999999</v>
      </c>
      <c r="M88" s="114">
        <v>1.0100249999999997</v>
      </c>
      <c r="N88" s="114">
        <v>1.0201252499999998</v>
      </c>
      <c r="O88" s="114">
        <v>1.0456283812499996</v>
      </c>
    </row>
    <row r="89" spans="1:17" ht="14.4">
      <c r="B89" s="12" t="str">
        <f t="shared" si="7"/>
        <v>CAD</v>
      </c>
      <c r="C89" s="24" t="s">
        <v>47</v>
      </c>
      <c r="D89" s="56">
        <v>0.02</v>
      </c>
      <c r="E89" s="56">
        <v>0.02</v>
      </c>
      <c r="F89" s="56">
        <v>2.5000000000000001E-2</v>
      </c>
      <c r="G89" s="56">
        <v>0.02</v>
      </c>
      <c r="I89" s="114"/>
      <c r="J89" s="119" t="str">
        <v>EUR</v>
      </c>
      <c r="K89" s="114">
        <v>1</v>
      </c>
      <c r="L89" s="114">
        <v>1.0049999999999999</v>
      </c>
      <c r="M89" s="114">
        <v>1.0100249999999997</v>
      </c>
      <c r="N89" s="114">
        <v>1.0201252499999998</v>
      </c>
      <c r="O89" s="114">
        <v>1.0456283812499996</v>
      </c>
    </row>
    <row r="90" spans="1:17" ht="14.4">
      <c r="B90" s="12" t="str">
        <f t="shared" si="7"/>
        <v>CHF</v>
      </c>
      <c r="C90" s="24" t="s">
        <v>47</v>
      </c>
      <c r="D90" s="56">
        <v>2.5000000000000001E-2</v>
      </c>
      <c r="E90" s="56">
        <v>5.0000000000000001E-3</v>
      </c>
      <c r="F90" s="56">
        <v>0.03</v>
      </c>
      <c r="G90" s="56">
        <v>1.4999999999999999E-2</v>
      </c>
      <c r="I90" s="114"/>
      <c r="J90" s="119" t="str">
        <v>GBP</v>
      </c>
      <c r="K90" s="114">
        <v>1</v>
      </c>
      <c r="L90" s="114">
        <v>1.03</v>
      </c>
      <c r="M90" s="114">
        <v>1.0403</v>
      </c>
      <c r="N90" s="114">
        <v>1.0507029999999999</v>
      </c>
      <c r="O90" s="114">
        <v>1.06121003</v>
      </c>
    </row>
    <row r="91" spans="1:17" ht="14.4">
      <c r="B91" s="52" t="str">
        <f t="shared" si="7"/>
        <v>RUB</v>
      </c>
      <c r="C91" s="57" t="s">
        <v>47</v>
      </c>
      <c r="D91" s="58">
        <v>0.01</v>
      </c>
      <c r="E91" s="58">
        <v>0.01</v>
      </c>
      <c r="F91" s="58">
        <v>1.4999999999999999E-2</v>
      </c>
      <c r="G91" s="58">
        <v>0.01</v>
      </c>
      <c r="I91" s="114"/>
      <c r="J91" s="119" t="str">
        <v>USD</v>
      </c>
      <c r="K91" s="114">
        <v>1</v>
      </c>
      <c r="L91" s="114">
        <v>1.03</v>
      </c>
      <c r="M91" s="114">
        <v>1.0506</v>
      </c>
      <c r="N91" s="114">
        <v>1.0821179999999999</v>
      </c>
      <c r="O91" s="114">
        <v>1.0875285899999998</v>
      </c>
    </row>
    <row r="92" spans="1:17">
      <c r="J92" s="119" t="str">
        <v>CAD</v>
      </c>
      <c r="K92" s="114">
        <v>1</v>
      </c>
      <c r="L92" s="114">
        <v>1.02</v>
      </c>
      <c r="M92" s="114">
        <v>1.0404</v>
      </c>
      <c r="N92" s="114">
        <v>1.0664099999999999</v>
      </c>
      <c r="O92" s="114">
        <v>1.0877381999999998</v>
      </c>
    </row>
    <row r="93" spans="1:17">
      <c r="C93" s="114"/>
      <c r="D93" s="114"/>
      <c r="E93" s="114"/>
      <c r="F93" s="114"/>
      <c r="G93" s="114"/>
      <c r="J93" s="119" t="str">
        <v>CHF</v>
      </c>
      <c r="K93" s="114">
        <v>1</v>
      </c>
      <c r="L93" s="114">
        <v>1.0249999999999999</v>
      </c>
      <c r="M93" s="114">
        <v>1.0301249999999997</v>
      </c>
      <c r="N93" s="114">
        <v>1.0610287499999997</v>
      </c>
      <c r="O93" s="114">
        <v>1.0769441812499996</v>
      </c>
    </row>
    <row r="94" spans="1:17">
      <c r="B94" s="114"/>
      <c r="C94" s="114"/>
      <c r="D94" s="114"/>
      <c r="E94" s="114"/>
      <c r="F94" s="114"/>
      <c r="J94" s="119" t="str">
        <v>RUB</v>
      </c>
      <c r="K94" s="114">
        <v>1</v>
      </c>
      <c r="L94" s="114">
        <v>1.01</v>
      </c>
      <c r="M94" s="114">
        <v>1.0201</v>
      </c>
      <c r="N94" s="114">
        <v>1.0354014999999999</v>
      </c>
      <c r="O94" s="114">
        <v>1.045755515</v>
      </c>
    </row>
    <row r="95" spans="1:17">
      <c r="B95" s="114"/>
      <c r="C95" s="114"/>
      <c r="D95" s="114"/>
      <c r="E95" s="114"/>
      <c r="F95" s="114"/>
    </row>
    <row r="96" spans="1:17">
      <c r="B96" s="114"/>
      <c r="C96" s="114"/>
      <c r="D96" s="114"/>
      <c r="E96" s="114"/>
      <c r="F96" s="114"/>
    </row>
    <row r="97" spans="2:8">
      <c r="B97" s="114"/>
      <c r="C97" s="114"/>
      <c r="D97" s="114"/>
      <c r="E97" s="114"/>
      <c r="F97" s="114"/>
    </row>
    <row r="98" spans="2:8">
      <c r="B98" s="114"/>
      <c r="C98" s="114"/>
      <c r="D98" s="114"/>
      <c r="E98" s="114"/>
      <c r="F98" s="114"/>
      <c r="G98" s="114"/>
    </row>
    <row r="99" spans="2:8">
      <c r="C99" s="114"/>
      <c r="D99" s="114"/>
      <c r="E99" s="114"/>
      <c r="F99" s="114"/>
      <c r="G99" s="114"/>
    </row>
    <row r="100" spans="2:8">
      <c r="C100" s="114"/>
      <c r="D100" s="114"/>
      <c r="E100" s="114"/>
      <c r="F100" s="114"/>
      <c r="G100" s="114"/>
    </row>
    <row r="101" spans="2:8">
      <c r="C101" s="114"/>
      <c r="D101" s="114"/>
      <c r="E101" s="114"/>
      <c r="F101" s="114"/>
      <c r="G101" s="114"/>
    </row>
    <row r="102" spans="2:8">
      <c r="C102" s="114"/>
      <c r="D102" s="114"/>
      <c r="E102" s="114"/>
      <c r="F102" s="114"/>
      <c r="G102" s="114"/>
    </row>
    <row r="103" spans="2:8">
      <c r="C103" s="114"/>
      <c r="D103" s="114"/>
      <c r="E103" s="114"/>
      <c r="F103" s="114"/>
      <c r="G103" s="114"/>
    </row>
    <row r="105" spans="2:8">
      <c r="C105" s="114"/>
      <c r="D105" s="104"/>
      <c r="E105" s="104"/>
      <c r="F105" s="104"/>
      <c r="G105" s="104"/>
      <c r="H105" s="104"/>
    </row>
    <row r="106" spans="2:8">
      <c r="C106" s="114"/>
      <c r="D106" s="114"/>
      <c r="E106" s="114"/>
      <c r="F106" s="114"/>
      <c r="G106" s="114"/>
      <c r="H106" s="114"/>
    </row>
    <row r="107" spans="2:8">
      <c r="C107" s="114"/>
      <c r="D107" s="114"/>
      <c r="E107" s="114"/>
      <c r="F107" s="114"/>
      <c r="G107" s="114"/>
      <c r="H107" s="114"/>
    </row>
    <row r="108" spans="2:8">
      <c r="C108" s="114"/>
      <c r="D108" s="114"/>
      <c r="E108" s="114"/>
      <c r="F108" s="114"/>
      <c r="G108" s="114"/>
      <c r="H108" s="114"/>
    </row>
    <row r="109" spans="2:8">
      <c r="C109" s="114"/>
      <c r="D109" s="114"/>
      <c r="E109" s="114"/>
      <c r="F109" s="114"/>
      <c r="G109" s="114"/>
      <c r="H109" s="114"/>
    </row>
    <row r="110" spans="2:8">
      <c r="C110" s="114"/>
      <c r="D110" s="114"/>
      <c r="E110" s="114"/>
      <c r="F110" s="114"/>
      <c r="G110" s="114"/>
      <c r="H110" s="114"/>
    </row>
    <row r="111" spans="2:8">
      <c r="D111" s="114"/>
      <c r="E111" s="114"/>
      <c r="F111" s="114"/>
      <c r="G111" s="114"/>
      <c r="H111" s="114"/>
    </row>
  </sheetData>
  <dataValidations count="3">
    <dataValidation type="list" allowBlank="1" showInputMessage="1" showErrorMessage="1" sqref="E10:E15 E17" xr:uid="{95B89CB6-FAAD-4638-B1C6-2CE5DB5E5417}">
      <formula1>$B$75:$B$80</formula1>
    </dataValidation>
    <dataValidation type="list" allowBlank="1" showInputMessage="1" showErrorMessage="1" sqref="E16" xr:uid="{EC3657CB-10AC-42D9-B53A-D24415BEB6FB}">
      <formula1>$B$76:$B$82</formula1>
    </dataValidation>
    <dataValidation type="list" allowBlank="1" showInputMessage="1" showErrorMessage="1" sqref="F32:F35" xr:uid="{B92FEDE6-AF6A-49DB-9260-F9F892D56AC9}">
      <formula1>$C$10:$C$13</formula1>
    </dataValidation>
  </dataValidations>
  <pageMargins left="0.7" right="0.7" top="0.75" bottom="0.75" header="0.3" footer="0.3"/>
  <pageSetup scale="92" orientation="portrait" r:id="rId1"/>
  <rowBreaks count="2" manualBreakCount="2">
    <brk id="36" max="9" man="1"/>
    <brk id="82" max="9" man="1"/>
  </rowBreaks>
  <ignoredErrors>
    <ignoredError sqref="K87:M87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46A7-F98C-4388-B0BA-4754BDC992DC}">
  <dimension ref="A2:BT241"/>
  <sheetViews>
    <sheetView showGridLines="0" zoomScaleNormal="100" workbookViewId="0">
      <pane xSplit="6" ySplit="8" topLeftCell="BH18" activePane="bottomRight" state="frozen"/>
      <selection pane="topRight"/>
      <selection pane="bottomLeft"/>
      <selection pane="bottomRight" activeCell="BP20" sqref="BP20:BT20"/>
    </sheetView>
  </sheetViews>
  <sheetFormatPr defaultColWidth="0" defaultRowHeight="14.4" outlineLevelCol="1"/>
  <cols>
    <col min="1" max="1" width="3" customWidth="1"/>
    <col min="2" max="2" width="8.59765625" customWidth="1"/>
    <col min="3" max="3" width="10.8984375" customWidth="1"/>
    <col min="4" max="4" width="8.59765625" style="82" customWidth="1"/>
    <col min="5" max="5" width="9.8984375" style="82" customWidth="1"/>
    <col min="6" max="6" width="8.59765625" customWidth="1"/>
    <col min="7" max="7" width="11.59765625" customWidth="1" outlineLevel="1"/>
    <col min="8" max="12" width="10.09765625" customWidth="1" outlineLevel="1"/>
    <col min="13" max="13" width="11.59765625" customWidth="1" outlineLevel="1"/>
    <col min="14" max="17" width="10.09765625" customWidth="1" outlineLevel="1"/>
    <col min="18" max="19" width="11.59765625" customWidth="1" outlineLevel="1"/>
    <col min="20" max="20" width="10.09765625" customWidth="1" outlineLevel="1"/>
    <col min="21" max="66" width="11.59765625" customWidth="1" outlineLevel="1"/>
    <col min="67" max="67" width="2.59765625" customWidth="1" outlineLevel="1"/>
    <col min="68" max="72" width="11" customWidth="1"/>
    <col min="73" max="16384" width="7.69921875" hidden="1"/>
  </cols>
  <sheetData>
    <row r="2" spans="2:72" ht="15" thickBot="1">
      <c r="B2" s="2" t="str">
        <f>CaseData!$J$3&amp;" 5-Year Sales Projections"</f>
        <v>Fashion Boutique 5-Year Sales Projections</v>
      </c>
      <c r="C2" s="2"/>
      <c r="D2" s="81"/>
      <c r="E2" s="8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67"/>
      <c r="BP2" s="2"/>
      <c r="BQ2" s="2"/>
      <c r="BR2" s="2"/>
      <c r="BS2" s="2"/>
      <c r="BT2" s="2"/>
    </row>
    <row r="3" spans="2:72" ht="15" thickTop="1"/>
    <row r="4" spans="2:72" s="88" customFormat="1" ht="13.8">
      <c r="D4" s="89"/>
      <c r="E4" s="89"/>
      <c r="G4" s="68" t="s">
        <v>50</v>
      </c>
      <c r="BP4" s="68" t="s">
        <v>51</v>
      </c>
    </row>
    <row r="5" spans="2:72" s="88" customFormat="1" ht="13.8">
      <c r="B5" s="88" t="s">
        <v>52</v>
      </c>
      <c r="D5" s="89"/>
      <c r="E5" s="89"/>
      <c r="G5" s="90">
        <f>CaseData!J4</f>
        <v>44562</v>
      </c>
      <c r="H5" s="90">
        <f>G6+1</f>
        <v>44593</v>
      </c>
      <c r="I5" s="90">
        <f t="shared" ref="I5:BN5" si="0">H6+1</f>
        <v>44621</v>
      </c>
      <c r="J5" s="90">
        <f t="shared" si="0"/>
        <v>44652</v>
      </c>
      <c r="K5" s="90">
        <f t="shared" si="0"/>
        <v>44682</v>
      </c>
      <c r="L5" s="90">
        <f t="shared" si="0"/>
        <v>44713</v>
      </c>
      <c r="M5" s="90">
        <f t="shared" si="0"/>
        <v>44743</v>
      </c>
      <c r="N5" s="90">
        <f t="shared" si="0"/>
        <v>44774</v>
      </c>
      <c r="O5" s="90">
        <f t="shared" si="0"/>
        <v>44805</v>
      </c>
      <c r="P5" s="90">
        <f t="shared" si="0"/>
        <v>44835</v>
      </c>
      <c r="Q5" s="90">
        <f t="shared" si="0"/>
        <v>44866</v>
      </c>
      <c r="R5" s="90">
        <f t="shared" si="0"/>
        <v>44896</v>
      </c>
      <c r="S5" s="90">
        <f t="shared" si="0"/>
        <v>44927</v>
      </c>
      <c r="T5" s="90">
        <f t="shared" si="0"/>
        <v>44958</v>
      </c>
      <c r="U5" s="90">
        <f t="shared" si="0"/>
        <v>44986</v>
      </c>
      <c r="V5" s="90">
        <f t="shared" si="0"/>
        <v>45017</v>
      </c>
      <c r="W5" s="90">
        <f t="shared" si="0"/>
        <v>45047</v>
      </c>
      <c r="X5" s="90">
        <f t="shared" si="0"/>
        <v>45078</v>
      </c>
      <c r="Y5" s="90">
        <f t="shared" si="0"/>
        <v>45108</v>
      </c>
      <c r="Z5" s="90">
        <f t="shared" si="0"/>
        <v>45139</v>
      </c>
      <c r="AA5" s="90">
        <f t="shared" si="0"/>
        <v>45170</v>
      </c>
      <c r="AB5" s="90">
        <f t="shared" si="0"/>
        <v>45200</v>
      </c>
      <c r="AC5" s="90">
        <f t="shared" si="0"/>
        <v>45231</v>
      </c>
      <c r="AD5" s="90">
        <f t="shared" si="0"/>
        <v>45261</v>
      </c>
      <c r="AE5" s="90">
        <f t="shared" si="0"/>
        <v>45292</v>
      </c>
      <c r="AF5" s="90">
        <f t="shared" si="0"/>
        <v>45323</v>
      </c>
      <c r="AG5" s="90">
        <f t="shared" si="0"/>
        <v>45352</v>
      </c>
      <c r="AH5" s="90">
        <f t="shared" si="0"/>
        <v>45383</v>
      </c>
      <c r="AI5" s="90">
        <f t="shared" si="0"/>
        <v>45413</v>
      </c>
      <c r="AJ5" s="90">
        <f t="shared" si="0"/>
        <v>45444</v>
      </c>
      <c r="AK5" s="90">
        <f t="shared" si="0"/>
        <v>45474</v>
      </c>
      <c r="AL5" s="90">
        <f t="shared" si="0"/>
        <v>45505</v>
      </c>
      <c r="AM5" s="90">
        <f t="shared" si="0"/>
        <v>45536</v>
      </c>
      <c r="AN5" s="90">
        <f t="shared" si="0"/>
        <v>45566</v>
      </c>
      <c r="AO5" s="90">
        <f t="shared" si="0"/>
        <v>45597</v>
      </c>
      <c r="AP5" s="90">
        <f t="shared" si="0"/>
        <v>45627</v>
      </c>
      <c r="AQ5" s="90">
        <f t="shared" si="0"/>
        <v>45658</v>
      </c>
      <c r="AR5" s="90">
        <f t="shared" si="0"/>
        <v>45689</v>
      </c>
      <c r="AS5" s="90">
        <f t="shared" si="0"/>
        <v>45717</v>
      </c>
      <c r="AT5" s="90">
        <f t="shared" si="0"/>
        <v>45748</v>
      </c>
      <c r="AU5" s="90">
        <f t="shared" si="0"/>
        <v>45778</v>
      </c>
      <c r="AV5" s="90">
        <f t="shared" si="0"/>
        <v>45809</v>
      </c>
      <c r="AW5" s="90">
        <f t="shared" si="0"/>
        <v>45839</v>
      </c>
      <c r="AX5" s="90">
        <f t="shared" si="0"/>
        <v>45870</v>
      </c>
      <c r="AY5" s="90">
        <f t="shared" si="0"/>
        <v>45901</v>
      </c>
      <c r="AZ5" s="90">
        <f t="shared" si="0"/>
        <v>45931</v>
      </c>
      <c r="BA5" s="90">
        <f t="shared" si="0"/>
        <v>45962</v>
      </c>
      <c r="BB5" s="90">
        <f t="shared" si="0"/>
        <v>45992</v>
      </c>
      <c r="BC5" s="90">
        <f t="shared" si="0"/>
        <v>46023</v>
      </c>
      <c r="BD5" s="90">
        <f t="shared" si="0"/>
        <v>46054</v>
      </c>
      <c r="BE5" s="90">
        <f t="shared" si="0"/>
        <v>46082</v>
      </c>
      <c r="BF5" s="90">
        <f t="shared" si="0"/>
        <v>46113</v>
      </c>
      <c r="BG5" s="90">
        <f t="shared" si="0"/>
        <v>46143</v>
      </c>
      <c r="BH5" s="90">
        <f t="shared" si="0"/>
        <v>46174</v>
      </c>
      <c r="BI5" s="90">
        <f t="shared" si="0"/>
        <v>46204</v>
      </c>
      <c r="BJ5" s="90">
        <f t="shared" si="0"/>
        <v>46235</v>
      </c>
      <c r="BK5" s="90">
        <f t="shared" si="0"/>
        <v>46266</v>
      </c>
      <c r="BL5" s="90">
        <f t="shared" si="0"/>
        <v>46296</v>
      </c>
      <c r="BM5" s="90">
        <f t="shared" si="0"/>
        <v>46327</v>
      </c>
      <c r="BN5" s="90">
        <f t="shared" si="0"/>
        <v>46357</v>
      </c>
      <c r="BP5" s="90">
        <f>G5</f>
        <v>44562</v>
      </c>
      <c r="BQ5" s="90">
        <f t="shared" ref="BQ5:BT5" si="1">BP6+1</f>
        <v>44927</v>
      </c>
      <c r="BR5" s="90">
        <f t="shared" si="1"/>
        <v>45292</v>
      </c>
      <c r="BS5" s="90">
        <f t="shared" si="1"/>
        <v>45658</v>
      </c>
      <c r="BT5" s="90">
        <f t="shared" si="1"/>
        <v>46023</v>
      </c>
    </row>
    <row r="6" spans="2:72" s="88" customFormat="1" ht="13.8">
      <c r="B6" s="88" t="s">
        <v>53</v>
      </c>
      <c r="D6" s="89"/>
      <c r="E6" s="89"/>
      <c r="G6" s="90">
        <f>EOMONTH(G5,0)</f>
        <v>44592</v>
      </c>
      <c r="H6" s="90">
        <f>EOMONTH(H5,0)</f>
        <v>44620</v>
      </c>
      <c r="I6" s="90">
        <f t="shared" ref="I6:BN6" si="2">EOMONTH(I5,0)</f>
        <v>44651</v>
      </c>
      <c r="J6" s="90">
        <f t="shared" si="2"/>
        <v>44681</v>
      </c>
      <c r="K6" s="90">
        <f t="shared" si="2"/>
        <v>44712</v>
      </c>
      <c r="L6" s="90">
        <f t="shared" si="2"/>
        <v>44742</v>
      </c>
      <c r="M6" s="90">
        <f t="shared" si="2"/>
        <v>44773</v>
      </c>
      <c r="N6" s="90">
        <f t="shared" si="2"/>
        <v>44804</v>
      </c>
      <c r="O6" s="90">
        <f t="shared" si="2"/>
        <v>44834</v>
      </c>
      <c r="P6" s="90">
        <f t="shared" si="2"/>
        <v>44865</v>
      </c>
      <c r="Q6" s="90">
        <f t="shared" si="2"/>
        <v>44895</v>
      </c>
      <c r="R6" s="90">
        <f t="shared" si="2"/>
        <v>44926</v>
      </c>
      <c r="S6" s="90">
        <f t="shared" si="2"/>
        <v>44957</v>
      </c>
      <c r="T6" s="90">
        <f t="shared" si="2"/>
        <v>44985</v>
      </c>
      <c r="U6" s="90">
        <f t="shared" si="2"/>
        <v>45016</v>
      </c>
      <c r="V6" s="90">
        <f t="shared" si="2"/>
        <v>45046</v>
      </c>
      <c r="W6" s="90">
        <f t="shared" si="2"/>
        <v>45077</v>
      </c>
      <c r="X6" s="90">
        <f t="shared" si="2"/>
        <v>45107</v>
      </c>
      <c r="Y6" s="90">
        <f t="shared" si="2"/>
        <v>45138</v>
      </c>
      <c r="Z6" s="90">
        <f t="shared" si="2"/>
        <v>45169</v>
      </c>
      <c r="AA6" s="90">
        <f t="shared" si="2"/>
        <v>45199</v>
      </c>
      <c r="AB6" s="90">
        <f t="shared" si="2"/>
        <v>45230</v>
      </c>
      <c r="AC6" s="90">
        <f t="shared" si="2"/>
        <v>45260</v>
      </c>
      <c r="AD6" s="90">
        <f t="shared" si="2"/>
        <v>45291</v>
      </c>
      <c r="AE6" s="90">
        <f t="shared" si="2"/>
        <v>45322</v>
      </c>
      <c r="AF6" s="90">
        <f t="shared" si="2"/>
        <v>45351</v>
      </c>
      <c r="AG6" s="90">
        <f t="shared" si="2"/>
        <v>45382</v>
      </c>
      <c r="AH6" s="90">
        <f t="shared" si="2"/>
        <v>45412</v>
      </c>
      <c r="AI6" s="90">
        <f t="shared" si="2"/>
        <v>45443</v>
      </c>
      <c r="AJ6" s="90">
        <f t="shared" si="2"/>
        <v>45473</v>
      </c>
      <c r="AK6" s="90">
        <f t="shared" si="2"/>
        <v>45504</v>
      </c>
      <c r="AL6" s="90">
        <f t="shared" si="2"/>
        <v>45535</v>
      </c>
      <c r="AM6" s="90">
        <f t="shared" si="2"/>
        <v>45565</v>
      </c>
      <c r="AN6" s="90">
        <f t="shared" si="2"/>
        <v>45596</v>
      </c>
      <c r="AO6" s="90">
        <f t="shared" si="2"/>
        <v>45626</v>
      </c>
      <c r="AP6" s="90">
        <f t="shared" si="2"/>
        <v>45657</v>
      </c>
      <c r="AQ6" s="90">
        <f t="shared" si="2"/>
        <v>45688</v>
      </c>
      <c r="AR6" s="90">
        <f t="shared" si="2"/>
        <v>45716</v>
      </c>
      <c r="AS6" s="90">
        <f t="shared" si="2"/>
        <v>45747</v>
      </c>
      <c r="AT6" s="90">
        <f t="shared" si="2"/>
        <v>45777</v>
      </c>
      <c r="AU6" s="90">
        <f t="shared" si="2"/>
        <v>45808</v>
      </c>
      <c r="AV6" s="90">
        <f t="shared" si="2"/>
        <v>45838</v>
      </c>
      <c r="AW6" s="90">
        <f t="shared" si="2"/>
        <v>45869</v>
      </c>
      <c r="AX6" s="90">
        <f t="shared" si="2"/>
        <v>45900</v>
      </c>
      <c r="AY6" s="90">
        <f t="shared" si="2"/>
        <v>45930</v>
      </c>
      <c r="AZ6" s="90">
        <f t="shared" si="2"/>
        <v>45961</v>
      </c>
      <c r="BA6" s="90">
        <f t="shared" si="2"/>
        <v>45991</v>
      </c>
      <c r="BB6" s="90">
        <f t="shared" si="2"/>
        <v>46022</v>
      </c>
      <c r="BC6" s="90">
        <f t="shared" si="2"/>
        <v>46053</v>
      </c>
      <c r="BD6" s="90">
        <f t="shared" si="2"/>
        <v>46081</v>
      </c>
      <c r="BE6" s="90">
        <f t="shared" si="2"/>
        <v>46112</v>
      </c>
      <c r="BF6" s="90">
        <f t="shared" si="2"/>
        <v>46142</v>
      </c>
      <c r="BG6" s="90">
        <f t="shared" si="2"/>
        <v>46173</v>
      </c>
      <c r="BH6" s="90">
        <f t="shared" si="2"/>
        <v>46203</v>
      </c>
      <c r="BI6" s="90">
        <f t="shared" si="2"/>
        <v>46234</v>
      </c>
      <c r="BJ6" s="90">
        <f t="shared" si="2"/>
        <v>46265</v>
      </c>
      <c r="BK6" s="90">
        <f t="shared" si="2"/>
        <v>46295</v>
      </c>
      <c r="BL6" s="90">
        <f t="shared" si="2"/>
        <v>46326</v>
      </c>
      <c r="BM6" s="90">
        <f t="shared" si="2"/>
        <v>46356</v>
      </c>
      <c r="BN6" s="90">
        <f t="shared" si="2"/>
        <v>46387</v>
      </c>
      <c r="BP6" s="90">
        <f>EOMONTH(BP5,11)</f>
        <v>44926</v>
      </c>
      <c r="BQ6" s="90">
        <f>EOMONTH(BQ5,11)</f>
        <v>45291</v>
      </c>
      <c r="BR6" s="90">
        <f>EOMONTH(BR5,11)</f>
        <v>45657</v>
      </c>
      <c r="BS6" s="90">
        <f>EOMONTH(BS5,11)</f>
        <v>46022</v>
      </c>
      <c r="BT6" s="90">
        <f>EOMONTH(BT5,11)</f>
        <v>46387</v>
      </c>
    </row>
    <row r="7" spans="2:72" s="88" customFormat="1" ht="13.8">
      <c r="B7" s="88" t="s">
        <v>54</v>
      </c>
      <c r="D7" s="89"/>
      <c r="E7" s="89"/>
      <c r="G7" s="88">
        <f>YEAR(G5)</f>
        <v>2022</v>
      </c>
      <c r="H7" s="88">
        <f t="shared" ref="H7:BN7" si="3">YEAR(H5)</f>
        <v>2022</v>
      </c>
      <c r="I7" s="88">
        <f t="shared" si="3"/>
        <v>2022</v>
      </c>
      <c r="J7" s="88">
        <f t="shared" si="3"/>
        <v>2022</v>
      </c>
      <c r="K7" s="88">
        <f t="shared" si="3"/>
        <v>2022</v>
      </c>
      <c r="L7" s="88">
        <f t="shared" si="3"/>
        <v>2022</v>
      </c>
      <c r="M7" s="88">
        <f t="shared" si="3"/>
        <v>2022</v>
      </c>
      <c r="N7" s="88">
        <f t="shared" si="3"/>
        <v>2022</v>
      </c>
      <c r="O7" s="88">
        <f t="shared" si="3"/>
        <v>2022</v>
      </c>
      <c r="P7" s="88">
        <f t="shared" si="3"/>
        <v>2022</v>
      </c>
      <c r="Q7" s="88">
        <f t="shared" si="3"/>
        <v>2022</v>
      </c>
      <c r="R7" s="88">
        <f t="shared" si="3"/>
        <v>2022</v>
      </c>
      <c r="S7" s="88">
        <f t="shared" si="3"/>
        <v>2023</v>
      </c>
      <c r="T7" s="88">
        <f t="shared" si="3"/>
        <v>2023</v>
      </c>
      <c r="U7" s="88">
        <f t="shared" si="3"/>
        <v>2023</v>
      </c>
      <c r="V7" s="88">
        <f t="shared" si="3"/>
        <v>2023</v>
      </c>
      <c r="W7" s="88">
        <f t="shared" si="3"/>
        <v>2023</v>
      </c>
      <c r="X7" s="88">
        <f t="shared" si="3"/>
        <v>2023</v>
      </c>
      <c r="Y7" s="88">
        <f t="shared" si="3"/>
        <v>2023</v>
      </c>
      <c r="Z7" s="88">
        <f t="shared" si="3"/>
        <v>2023</v>
      </c>
      <c r="AA7" s="88">
        <f t="shared" si="3"/>
        <v>2023</v>
      </c>
      <c r="AB7" s="88">
        <f t="shared" si="3"/>
        <v>2023</v>
      </c>
      <c r="AC7" s="88">
        <f t="shared" si="3"/>
        <v>2023</v>
      </c>
      <c r="AD7" s="88">
        <f t="shared" si="3"/>
        <v>2023</v>
      </c>
      <c r="AE7" s="88">
        <f t="shared" si="3"/>
        <v>2024</v>
      </c>
      <c r="AF7" s="88">
        <f t="shared" si="3"/>
        <v>2024</v>
      </c>
      <c r="AG7" s="88">
        <f t="shared" si="3"/>
        <v>2024</v>
      </c>
      <c r="AH7" s="88">
        <f t="shared" si="3"/>
        <v>2024</v>
      </c>
      <c r="AI7" s="88">
        <f t="shared" si="3"/>
        <v>2024</v>
      </c>
      <c r="AJ7" s="88">
        <f t="shared" si="3"/>
        <v>2024</v>
      </c>
      <c r="AK7" s="88">
        <f t="shared" si="3"/>
        <v>2024</v>
      </c>
      <c r="AL7" s="88">
        <f t="shared" si="3"/>
        <v>2024</v>
      </c>
      <c r="AM7" s="88">
        <f t="shared" si="3"/>
        <v>2024</v>
      </c>
      <c r="AN7" s="88">
        <f t="shared" si="3"/>
        <v>2024</v>
      </c>
      <c r="AO7" s="88">
        <f t="shared" si="3"/>
        <v>2024</v>
      </c>
      <c r="AP7" s="88">
        <f t="shared" si="3"/>
        <v>2024</v>
      </c>
      <c r="AQ7" s="88">
        <f t="shared" si="3"/>
        <v>2025</v>
      </c>
      <c r="AR7" s="88">
        <f t="shared" si="3"/>
        <v>2025</v>
      </c>
      <c r="AS7" s="88">
        <f t="shared" si="3"/>
        <v>2025</v>
      </c>
      <c r="AT7" s="88">
        <f t="shared" si="3"/>
        <v>2025</v>
      </c>
      <c r="AU7" s="88">
        <f t="shared" si="3"/>
        <v>2025</v>
      </c>
      <c r="AV7" s="88">
        <f t="shared" si="3"/>
        <v>2025</v>
      </c>
      <c r="AW7" s="88">
        <f t="shared" si="3"/>
        <v>2025</v>
      </c>
      <c r="AX7" s="88">
        <f t="shared" si="3"/>
        <v>2025</v>
      </c>
      <c r="AY7" s="88">
        <f t="shared" si="3"/>
        <v>2025</v>
      </c>
      <c r="AZ7" s="88">
        <f t="shared" si="3"/>
        <v>2025</v>
      </c>
      <c r="BA7" s="88">
        <f t="shared" si="3"/>
        <v>2025</v>
      </c>
      <c r="BB7" s="88">
        <f t="shared" si="3"/>
        <v>2025</v>
      </c>
      <c r="BC7" s="88">
        <f t="shared" si="3"/>
        <v>2026</v>
      </c>
      <c r="BD7" s="88">
        <f t="shared" si="3"/>
        <v>2026</v>
      </c>
      <c r="BE7" s="88">
        <f t="shared" si="3"/>
        <v>2026</v>
      </c>
      <c r="BF7" s="88">
        <f t="shared" si="3"/>
        <v>2026</v>
      </c>
      <c r="BG7" s="88">
        <f t="shared" si="3"/>
        <v>2026</v>
      </c>
      <c r="BH7" s="88">
        <f t="shared" si="3"/>
        <v>2026</v>
      </c>
      <c r="BI7" s="88">
        <f t="shared" si="3"/>
        <v>2026</v>
      </c>
      <c r="BJ7" s="88">
        <f t="shared" si="3"/>
        <v>2026</v>
      </c>
      <c r="BK7" s="88">
        <f t="shared" si="3"/>
        <v>2026</v>
      </c>
      <c r="BL7" s="88">
        <f t="shared" si="3"/>
        <v>2026</v>
      </c>
      <c r="BM7" s="88">
        <f t="shared" si="3"/>
        <v>2026</v>
      </c>
      <c r="BN7" s="88">
        <f t="shared" si="3"/>
        <v>2026</v>
      </c>
      <c r="BP7" s="88">
        <f>YEAR(BP5)</f>
        <v>2022</v>
      </c>
      <c r="BQ7" s="88">
        <f>YEAR(BQ5)</f>
        <v>2023</v>
      </c>
      <c r="BR7" s="88">
        <f>YEAR(BR5)</f>
        <v>2024</v>
      </c>
      <c r="BS7" s="88">
        <f>YEAR(BS5)</f>
        <v>2025</v>
      </c>
      <c r="BT7" s="88">
        <f>YEAR(BT5)</f>
        <v>2026</v>
      </c>
    </row>
    <row r="8" spans="2:72" s="88" customFormat="1" ht="13.8">
      <c r="B8" s="88" t="s">
        <v>55</v>
      </c>
      <c r="D8" s="89"/>
      <c r="E8" s="89"/>
      <c r="G8" s="91">
        <v>1</v>
      </c>
      <c r="H8" s="92">
        <f>G8+1</f>
        <v>2</v>
      </c>
      <c r="I8" s="92">
        <f t="shared" ref="I8:BN8" si="4">H8+1</f>
        <v>3</v>
      </c>
      <c r="J8" s="92">
        <f>I8+1</f>
        <v>4</v>
      </c>
      <c r="K8" s="92">
        <f t="shared" si="4"/>
        <v>5</v>
      </c>
      <c r="L8" s="92">
        <f t="shared" si="4"/>
        <v>6</v>
      </c>
      <c r="M8" s="92">
        <f t="shared" si="4"/>
        <v>7</v>
      </c>
      <c r="N8" s="92">
        <f t="shared" si="4"/>
        <v>8</v>
      </c>
      <c r="O8" s="92">
        <f t="shared" si="4"/>
        <v>9</v>
      </c>
      <c r="P8" s="92">
        <f t="shared" si="4"/>
        <v>10</v>
      </c>
      <c r="Q8" s="92">
        <f t="shared" si="4"/>
        <v>11</v>
      </c>
      <c r="R8" s="92">
        <f t="shared" si="4"/>
        <v>12</v>
      </c>
      <c r="S8" s="92">
        <f t="shared" si="4"/>
        <v>13</v>
      </c>
      <c r="T8" s="92">
        <f t="shared" si="4"/>
        <v>14</v>
      </c>
      <c r="U8" s="92">
        <f t="shared" si="4"/>
        <v>15</v>
      </c>
      <c r="V8" s="92">
        <f t="shared" si="4"/>
        <v>16</v>
      </c>
      <c r="W8" s="92">
        <f t="shared" si="4"/>
        <v>17</v>
      </c>
      <c r="X8" s="92">
        <f t="shared" si="4"/>
        <v>18</v>
      </c>
      <c r="Y8" s="92">
        <f t="shared" si="4"/>
        <v>19</v>
      </c>
      <c r="Z8" s="92">
        <f t="shared" si="4"/>
        <v>20</v>
      </c>
      <c r="AA8" s="92">
        <f t="shared" si="4"/>
        <v>21</v>
      </c>
      <c r="AB8" s="92">
        <f t="shared" si="4"/>
        <v>22</v>
      </c>
      <c r="AC8" s="92">
        <f t="shared" si="4"/>
        <v>23</v>
      </c>
      <c r="AD8" s="92">
        <f t="shared" si="4"/>
        <v>24</v>
      </c>
      <c r="AE8" s="92">
        <f t="shared" si="4"/>
        <v>25</v>
      </c>
      <c r="AF8" s="92">
        <f t="shared" si="4"/>
        <v>26</v>
      </c>
      <c r="AG8" s="92">
        <f t="shared" si="4"/>
        <v>27</v>
      </c>
      <c r="AH8" s="92">
        <f t="shared" si="4"/>
        <v>28</v>
      </c>
      <c r="AI8" s="92">
        <f t="shared" si="4"/>
        <v>29</v>
      </c>
      <c r="AJ8" s="92">
        <f t="shared" si="4"/>
        <v>30</v>
      </c>
      <c r="AK8" s="92">
        <f t="shared" si="4"/>
        <v>31</v>
      </c>
      <c r="AL8" s="92">
        <f t="shared" si="4"/>
        <v>32</v>
      </c>
      <c r="AM8" s="92">
        <f t="shared" si="4"/>
        <v>33</v>
      </c>
      <c r="AN8" s="92">
        <f t="shared" si="4"/>
        <v>34</v>
      </c>
      <c r="AO8" s="92">
        <f t="shared" si="4"/>
        <v>35</v>
      </c>
      <c r="AP8" s="92">
        <f t="shared" si="4"/>
        <v>36</v>
      </c>
      <c r="AQ8" s="92">
        <f t="shared" si="4"/>
        <v>37</v>
      </c>
      <c r="AR8" s="92">
        <f t="shared" si="4"/>
        <v>38</v>
      </c>
      <c r="AS8" s="92">
        <f t="shared" si="4"/>
        <v>39</v>
      </c>
      <c r="AT8" s="92">
        <f t="shared" si="4"/>
        <v>40</v>
      </c>
      <c r="AU8" s="92">
        <f t="shared" si="4"/>
        <v>41</v>
      </c>
      <c r="AV8" s="92">
        <f t="shared" si="4"/>
        <v>42</v>
      </c>
      <c r="AW8" s="92">
        <f t="shared" si="4"/>
        <v>43</v>
      </c>
      <c r="AX8" s="92">
        <f t="shared" si="4"/>
        <v>44</v>
      </c>
      <c r="AY8" s="92">
        <f t="shared" si="4"/>
        <v>45</v>
      </c>
      <c r="AZ8" s="92">
        <f t="shared" si="4"/>
        <v>46</v>
      </c>
      <c r="BA8" s="92">
        <f t="shared" si="4"/>
        <v>47</v>
      </c>
      <c r="BB8" s="92">
        <f t="shared" si="4"/>
        <v>48</v>
      </c>
      <c r="BC8" s="92">
        <f t="shared" si="4"/>
        <v>49</v>
      </c>
      <c r="BD8" s="92">
        <f t="shared" si="4"/>
        <v>50</v>
      </c>
      <c r="BE8" s="92">
        <f t="shared" si="4"/>
        <v>51</v>
      </c>
      <c r="BF8" s="92">
        <f t="shared" si="4"/>
        <v>52</v>
      </c>
      <c r="BG8" s="92">
        <f t="shared" si="4"/>
        <v>53</v>
      </c>
      <c r="BH8" s="92">
        <f t="shared" si="4"/>
        <v>54</v>
      </c>
      <c r="BI8" s="92">
        <f t="shared" si="4"/>
        <v>55</v>
      </c>
      <c r="BJ8" s="92">
        <f t="shared" si="4"/>
        <v>56</v>
      </c>
      <c r="BK8" s="92">
        <f t="shared" si="4"/>
        <v>57</v>
      </c>
      <c r="BL8" s="92">
        <f t="shared" si="4"/>
        <v>58</v>
      </c>
      <c r="BM8" s="92">
        <f t="shared" si="4"/>
        <v>59</v>
      </c>
      <c r="BN8" s="92">
        <f t="shared" si="4"/>
        <v>60</v>
      </c>
      <c r="BO8" s="92"/>
    </row>
    <row r="10" spans="2:72">
      <c r="B10" s="3" t="s">
        <v>56</v>
      </c>
      <c r="G10" s="69">
        <f>SUM(G11:G18)</f>
        <v>1003953.4883720931</v>
      </c>
      <c r="H10" s="69">
        <f t="shared" ref="H10:BN10" si="5">SUM(H11:H18)</f>
        <v>669302.3255813953</v>
      </c>
      <c r="I10" s="69">
        <f t="shared" si="5"/>
        <v>722029.59830866801</v>
      </c>
      <c r="J10" s="69">
        <f t="shared" si="5"/>
        <v>726423.53770260746</v>
      </c>
      <c r="K10" s="69">
        <f t="shared" si="5"/>
        <v>730817.47709654679</v>
      </c>
      <c r="L10" s="69">
        <f t="shared" si="5"/>
        <v>735211.41649048624</v>
      </c>
      <c r="M10" s="69">
        <f t="shared" si="5"/>
        <v>1109408.0338266385</v>
      </c>
      <c r="N10" s="69">
        <f t="shared" si="5"/>
        <v>743999.29527836503</v>
      </c>
      <c r="O10" s="69">
        <f t="shared" si="5"/>
        <v>839500.61722263996</v>
      </c>
      <c r="P10" s="69">
        <f t="shared" si="5"/>
        <v>851486.83849577396</v>
      </c>
      <c r="Q10" s="69">
        <f t="shared" si="5"/>
        <v>863473.05976890796</v>
      </c>
      <c r="R10" s="69">
        <f t="shared" si="5"/>
        <v>1050551.1372504504</v>
      </c>
      <c r="S10" s="69">
        <f t="shared" si="5"/>
        <v>1344002.3062286424</v>
      </c>
      <c r="T10" s="69">
        <f t="shared" si="5"/>
        <v>908179.02247074666</v>
      </c>
      <c r="U10" s="69">
        <f t="shared" si="5"/>
        <v>1085961.063530498</v>
      </c>
      <c r="V10" s="69">
        <f t="shared" si="5"/>
        <v>1107453.943203395</v>
      </c>
      <c r="W10" s="69">
        <f t="shared" si="5"/>
        <v>1128946.8228762923</v>
      </c>
      <c r="X10" s="69">
        <f t="shared" si="5"/>
        <v>1150439.7025491896</v>
      </c>
      <c r="Y10" s="69">
        <f t="shared" si="5"/>
        <v>1755995.5178643938</v>
      </c>
      <c r="Z10" s="69">
        <f t="shared" si="5"/>
        <v>1193425.4618949839</v>
      </c>
      <c r="AA10" s="69">
        <f t="shared" si="5"/>
        <v>1301928.4767030163</v>
      </c>
      <c r="AB10" s="69">
        <f t="shared" si="5"/>
        <v>1322979.7009705082</v>
      </c>
      <c r="AC10" s="69">
        <f t="shared" si="5"/>
        <v>1344030.9252379998</v>
      </c>
      <c r="AD10" s="69">
        <f t="shared" si="5"/>
        <v>1638098.57940659</v>
      </c>
      <c r="AE10" s="69">
        <f t="shared" si="5"/>
        <v>2054153.6436682644</v>
      </c>
      <c r="AF10" s="69">
        <f t="shared" si="5"/>
        <v>1411576.4463549205</v>
      </c>
      <c r="AG10" s="69">
        <f t="shared" si="5"/>
        <v>1432543.1160597815</v>
      </c>
      <c r="AH10" s="69">
        <f t="shared" si="5"/>
        <v>1439768.8243931148</v>
      </c>
      <c r="AI10" s="69">
        <f t="shared" si="5"/>
        <v>1446994.5327264483</v>
      </c>
      <c r="AJ10" s="69">
        <f t="shared" si="5"/>
        <v>1454220.2410597815</v>
      </c>
      <c r="AK10" s="69">
        <f t="shared" si="5"/>
        <v>2151120.7419568868</v>
      </c>
      <c r="AL10" s="69">
        <f t="shared" si="5"/>
        <v>1468671.6577264483</v>
      </c>
      <c r="AM10" s="69">
        <f t="shared" si="5"/>
        <v>1475897.3660597815</v>
      </c>
      <c r="AN10" s="69">
        <f t="shared" si="5"/>
        <v>1475897.3660597815</v>
      </c>
      <c r="AO10" s="69">
        <f t="shared" si="5"/>
        <v>1475897.3660597815</v>
      </c>
      <c r="AP10" s="69">
        <f t="shared" si="5"/>
        <v>1771076.8392717382</v>
      </c>
      <c r="AQ10" s="69">
        <f t="shared" si="5"/>
        <v>2197355.4248127318</v>
      </c>
      <c r="AR10" s="69">
        <f t="shared" si="5"/>
        <v>1494010.4174909391</v>
      </c>
      <c r="AS10" s="69">
        <f t="shared" si="5"/>
        <v>1494010.4174909391</v>
      </c>
      <c r="AT10" s="69">
        <f t="shared" si="5"/>
        <v>1494010.4174909391</v>
      </c>
      <c r="AU10" s="69">
        <f t="shared" si="5"/>
        <v>1494010.4174909391</v>
      </c>
      <c r="AV10" s="69">
        <f t="shared" si="5"/>
        <v>1494010.4174909391</v>
      </c>
      <c r="AW10" s="69">
        <f t="shared" si="5"/>
        <v>2197355.4248127318</v>
      </c>
      <c r="AX10" s="69">
        <f t="shared" si="5"/>
        <v>1494010.4174909391</v>
      </c>
      <c r="AY10" s="69">
        <f t="shared" si="5"/>
        <v>1494010.4174909391</v>
      </c>
      <c r="AZ10" s="69">
        <f t="shared" si="5"/>
        <v>1494010.4174909391</v>
      </c>
      <c r="BA10" s="69">
        <f t="shared" si="5"/>
        <v>1494010.4174909391</v>
      </c>
      <c r="BB10" s="69">
        <f t="shared" si="5"/>
        <v>1792812.500989127</v>
      </c>
      <c r="BC10" s="69">
        <f t="shared" si="5"/>
        <v>2222814.2867784593</v>
      </c>
      <c r="BD10" s="69">
        <f t="shared" si="5"/>
        <v>1511339.5616641811</v>
      </c>
      <c r="BE10" s="69">
        <f t="shared" si="5"/>
        <v>1511339.5616641811</v>
      </c>
      <c r="BF10" s="69">
        <f t="shared" si="5"/>
        <v>1511339.5616641811</v>
      </c>
      <c r="BG10" s="69">
        <f t="shared" si="5"/>
        <v>1511339.5616641811</v>
      </c>
      <c r="BH10" s="69">
        <f t="shared" si="5"/>
        <v>1511339.5616641811</v>
      </c>
      <c r="BI10" s="69">
        <f t="shared" si="5"/>
        <v>2222814.2867784593</v>
      </c>
      <c r="BJ10" s="69">
        <f t="shared" si="5"/>
        <v>1511339.5616641811</v>
      </c>
      <c r="BK10" s="69">
        <f t="shared" si="5"/>
        <v>1511339.5616641811</v>
      </c>
      <c r="BL10" s="69">
        <f t="shared" si="5"/>
        <v>1511339.5616641811</v>
      </c>
      <c r="BM10" s="69">
        <f t="shared" si="5"/>
        <v>1511339.5616641811</v>
      </c>
      <c r="BN10" s="69">
        <f t="shared" si="5"/>
        <v>1813607.4739970171</v>
      </c>
      <c r="BP10" s="70">
        <f t="shared" ref="BP10:BT10" si="6">SUM(BP11:BP18)</f>
        <v>10046156.825394573</v>
      </c>
      <c r="BQ10" s="70">
        <f t="shared" si="6"/>
        <v>15281441.522936253</v>
      </c>
      <c r="BR10" s="70">
        <f t="shared" si="6"/>
        <v>19057818.141396731</v>
      </c>
      <c r="BS10" s="70">
        <f t="shared" si="6"/>
        <v>19633617.108033042</v>
      </c>
      <c r="BT10" s="70">
        <f t="shared" si="6"/>
        <v>19861292.102531567</v>
      </c>
    </row>
    <row r="11" spans="2:72">
      <c r="B11" s="37" t="str">
        <f>CaseData!C10</f>
        <v>Paris</v>
      </c>
      <c r="C11" s="37"/>
      <c r="G11" s="71">
        <f t="shared" ref="G11:V18" si="7">SUMIFS(G$218:G$241,$B$218:$B$241,$B11)</f>
        <v>295500</v>
      </c>
      <c r="H11" s="71">
        <f t="shared" si="7"/>
        <v>197000</v>
      </c>
      <c r="I11" s="71">
        <f t="shared" si="7"/>
        <v>197000</v>
      </c>
      <c r="J11" s="71">
        <f t="shared" si="7"/>
        <v>197000</v>
      </c>
      <c r="K11" s="71">
        <f t="shared" si="7"/>
        <v>197000</v>
      </c>
      <c r="L11" s="71">
        <f t="shared" si="7"/>
        <v>197000</v>
      </c>
      <c r="M11" s="71">
        <f t="shared" si="7"/>
        <v>295500</v>
      </c>
      <c r="N11" s="71">
        <f t="shared" si="7"/>
        <v>197000</v>
      </c>
      <c r="O11" s="71">
        <f t="shared" si="7"/>
        <v>197000</v>
      </c>
      <c r="P11" s="71">
        <f t="shared" si="7"/>
        <v>197000</v>
      </c>
      <c r="Q11" s="71">
        <f t="shared" si="7"/>
        <v>197000</v>
      </c>
      <c r="R11" s="71">
        <f t="shared" si="7"/>
        <v>236400</v>
      </c>
      <c r="S11" s="71">
        <f t="shared" si="7"/>
        <v>296977.5</v>
      </c>
      <c r="T11" s="71">
        <f t="shared" si="7"/>
        <v>197985</v>
      </c>
      <c r="U11" s="71">
        <f t="shared" si="7"/>
        <v>197985</v>
      </c>
      <c r="V11" s="71">
        <f t="shared" si="7"/>
        <v>197985</v>
      </c>
      <c r="W11" s="71">
        <f t="shared" ref="W11:AL18" si="8">SUMIFS(W$218:W$241,$B$218:$B$241,$B11)</f>
        <v>197985</v>
      </c>
      <c r="X11" s="71">
        <f t="shared" si="8"/>
        <v>197985</v>
      </c>
      <c r="Y11" s="71">
        <f t="shared" si="8"/>
        <v>296491.61157024791</v>
      </c>
      <c r="Z11" s="71">
        <f t="shared" si="8"/>
        <v>197985</v>
      </c>
      <c r="AA11" s="71">
        <f t="shared" si="8"/>
        <v>197985</v>
      </c>
      <c r="AB11" s="71">
        <f t="shared" si="8"/>
        <v>197985</v>
      </c>
      <c r="AC11" s="71">
        <f t="shared" si="8"/>
        <v>197985</v>
      </c>
      <c r="AD11" s="71">
        <f t="shared" si="8"/>
        <v>237581.99999999997</v>
      </c>
      <c r="AE11" s="71">
        <f t="shared" si="8"/>
        <v>291472.73249448929</v>
      </c>
      <c r="AF11" s="71">
        <f t="shared" si="8"/>
        <v>198974.92499999993</v>
      </c>
      <c r="AG11" s="71">
        <f t="shared" si="8"/>
        <v>198974.92499999993</v>
      </c>
      <c r="AH11" s="71">
        <f t="shared" si="8"/>
        <v>198974.92499999993</v>
      </c>
      <c r="AI11" s="71">
        <f t="shared" si="8"/>
        <v>198974.92499999993</v>
      </c>
      <c r="AJ11" s="71">
        <f t="shared" si="8"/>
        <v>198974.92499999993</v>
      </c>
      <c r="AK11" s="71">
        <f t="shared" si="8"/>
        <v>289805.33822901838</v>
      </c>
      <c r="AL11" s="71">
        <f t="shared" si="8"/>
        <v>198974.92499999993</v>
      </c>
      <c r="AM11" s="71">
        <f t="shared" ref="AM11:BB18" si="9">SUMIFS(AM$218:AM$241,$B$218:$B$241,$B11)</f>
        <v>198974.92499999993</v>
      </c>
      <c r="AN11" s="71">
        <f t="shared" si="9"/>
        <v>198974.92499999993</v>
      </c>
      <c r="AO11" s="71">
        <f t="shared" si="9"/>
        <v>198974.92499999993</v>
      </c>
      <c r="AP11" s="71">
        <f t="shared" si="9"/>
        <v>238769.90999999992</v>
      </c>
      <c r="AQ11" s="71">
        <f t="shared" si="9"/>
        <v>292343.69028813555</v>
      </c>
      <c r="AR11" s="71">
        <f t="shared" si="9"/>
        <v>200964.67424999995</v>
      </c>
      <c r="AS11" s="71">
        <f t="shared" si="9"/>
        <v>200964.67424999995</v>
      </c>
      <c r="AT11" s="71">
        <f t="shared" si="9"/>
        <v>200964.67424999995</v>
      </c>
      <c r="AU11" s="71">
        <f t="shared" si="9"/>
        <v>200964.67424999995</v>
      </c>
      <c r="AV11" s="71">
        <f t="shared" si="9"/>
        <v>200964.67424999995</v>
      </c>
      <c r="AW11" s="71">
        <f t="shared" si="9"/>
        <v>292343.69028813555</v>
      </c>
      <c r="AX11" s="71">
        <f t="shared" si="9"/>
        <v>200964.67424999995</v>
      </c>
      <c r="AY11" s="71">
        <f t="shared" si="9"/>
        <v>200964.67424999995</v>
      </c>
      <c r="AZ11" s="71">
        <f t="shared" si="9"/>
        <v>200964.67424999995</v>
      </c>
      <c r="BA11" s="71">
        <f t="shared" si="9"/>
        <v>200964.67424999995</v>
      </c>
      <c r="BB11" s="71">
        <f t="shared" si="9"/>
        <v>241157.60909999991</v>
      </c>
      <c r="BC11" s="71">
        <f t="shared" ref="BC11:BN18" si="10">SUMIFS(BC$218:BC$241,$B$218:$B$241,$B11)</f>
        <v>299652.28254533885</v>
      </c>
      <c r="BD11" s="71">
        <f t="shared" si="10"/>
        <v>205988.7911062499</v>
      </c>
      <c r="BE11" s="71">
        <f t="shared" si="10"/>
        <v>205988.7911062499</v>
      </c>
      <c r="BF11" s="71">
        <f t="shared" si="10"/>
        <v>205988.7911062499</v>
      </c>
      <c r="BG11" s="71">
        <f t="shared" si="10"/>
        <v>205988.7911062499</v>
      </c>
      <c r="BH11" s="71">
        <f t="shared" si="10"/>
        <v>205988.7911062499</v>
      </c>
      <c r="BI11" s="71">
        <f t="shared" si="10"/>
        <v>299652.28254533885</v>
      </c>
      <c r="BJ11" s="71">
        <f t="shared" si="10"/>
        <v>205988.7911062499</v>
      </c>
      <c r="BK11" s="71">
        <f t="shared" si="10"/>
        <v>205988.7911062499</v>
      </c>
      <c r="BL11" s="71">
        <f t="shared" si="10"/>
        <v>205988.7911062499</v>
      </c>
      <c r="BM11" s="71">
        <f t="shared" si="10"/>
        <v>205988.7911062499</v>
      </c>
      <c r="BN11" s="71">
        <f t="shared" si="10"/>
        <v>247186.5493274999</v>
      </c>
      <c r="BP11" s="72">
        <f>SUMIFS($G11:$BN11,$G$7:$BN$7,BP$7)</f>
        <v>2600400</v>
      </c>
      <c r="BQ11" s="72">
        <f t="shared" ref="BQ11:BT18" si="11">SUMIFS($G11:$BN11,$G$7:$BN$7,BQ$7)</f>
        <v>2612916.1115702479</v>
      </c>
      <c r="BR11" s="72">
        <f t="shared" si="11"/>
        <v>2610822.305723506</v>
      </c>
      <c r="BS11" s="72">
        <f t="shared" si="11"/>
        <v>2634527.0579262706</v>
      </c>
      <c r="BT11" s="72">
        <f t="shared" si="11"/>
        <v>2700390.2343744268</v>
      </c>
    </row>
    <row r="12" spans="2:72">
      <c r="B12" s="37" t="str">
        <f>CaseData!C11</f>
        <v>Milano</v>
      </c>
      <c r="G12" s="71">
        <f t="shared" si="7"/>
        <v>345750</v>
      </c>
      <c r="H12" s="71">
        <f t="shared" si="7"/>
        <v>230500</v>
      </c>
      <c r="I12" s="71">
        <f t="shared" si="7"/>
        <v>230500</v>
      </c>
      <c r="J12" s="71">
        <f t="shared" si="7"/>
        <v>230500</v>
      </c>
      <c r="K12" s="71">
        <f t="shared" si="7"/>
        <v>230500</v>
      </c>
      <c r="L12" s="71">
        <f t="shared" si="7"/>
        <v>230500</v>
      </c>
      <c r="M12" s="71">
        <f t="shared" si="7"/>
        <v>345750</v>
      </c>
      <c r="N12" s="71">
        <f t="shared" si="7"/>
        <v>230500</v>
      </c>
      <c r="O12" s="71">
        <f t="shared" si="7"/>
        <v>230500</v>
      </c>
      <c r="P12" s="71">
        <f t="shared" si="7"/>
        <v>230500</v>
      </c>
      <c r="Q12" s="71">
        <f t="shared" si="7"/>
        <v>230500</v>
      </c>
      <c r="R12" s="71">
        <f t="shared" si="7"/>
        <v>276600</v>
      </c>
      <c r="S12" s="71">
        <f t="shared" si="7"/>
        <v>347478.74999999994</v>
      </c>
      <c r="T12" s="71">
        <f t="shared" si="7"/>
        <v>231652.49999999997</v>
      </c>
      <c r="U12" s="71">
        <f t="shared" si="7"/>
        <v>231652.49999999997</v>
      </c>
      <c r="V12" s="71">
        <f t="shared" si="7"/>
        <v>231652.49999999997</v>
      </c>
      <c r="W12" s="71">
        <f t="shared" si="8"/>
        <v>231652.49999999997</v>
      </c>
      <c r="X12" s="71">
        <f t="shared" si="8"/>
        <v>231652.49999999997</v>
      </c>
      <c r="Y12" s="71">
        <f t="shared" si="8"/>
        <v>347198.42975206603</v>
      </c>
      <c r="Z12" s="71">
        <f t="shared" si="8"/>
        <v>231652.49999999997</v>
      </c>
      <c r="AA12" s="71">
        <f t="shared" si="8"/>
        <v>231652.49999999997</v>
      </c>
      <c r="AB12" s="71">
        <f t="shared" si="8"/>
        <v>231652.49999999997</v>
      </c>
      <c r="AC12" s="71">
        <f t="shared" si="8"/>
        <v>231652.49999999997</v>
      </c>
      <c r="AD12" s="71">
        <f t="shared" si="8"/>
        <v>277982.99999999994</v>
      </c>
      <c r="AE12" s="71">
        <f t="shared" si="8"/>
        <v>345183.65047758992</v>
      </c>
      <c r="AF12" s="71">
        <f t="shared" si="8"/>
        <v>232810.76249999995</v>
      </c>
      <c r="AG12" s="71">
        <f t="shared" si="8"/>
        <v>232810.76249999995</v>
      </c>
      <c r="AH12" s="71">
        <f t="shared" si="8"/>
        <v>232810.76249999995</v>
      </c>
      <c r="AI12" s="71">
        <f t="shared" si="8"/>
        <v>232810.76249999995</v>
      </c>
      <c r="AJ12" s="71">
        <f t="shared" si="8"/>
        <v>232810.76249999995</v>
      </c>
      <c r="AK12" s="71">
        <f t="shared" si="8"/>
        <v>344221.6922475106</v>
      </c>
      <c r="AL12" s="71">
        <f t="shared" si="8"/>
        <v>232810.76249999995</v>
      </c>
      <c r="AM12" s="71">
        <f t="shared" si="9"/>
        <v>232810.76249999995</v>
      </c>
      <c r="AN12" s="71">
        <f t="shared" si="9"/>
        <v>232810.76249999995</v>
      </c>
      <c r="AO12" s="71">
        <f t="shared" si="9"/>
        <v>232810.76249999995</v>
      </c>
      <c r="AP12" s="71">
        <f t="shared" si="9"/>
        <v>279372.91499999992</v>
      </c>
      <c r="AQ12" s="71">
        <f t="shared" si="9"/>
        <v>347456.38917584735</v>
      </c>
      <c r="AR12" s="71">
        <f t="shared" si="9"/>
        <v>235138.87012499996</v>
      </c>
      <c r="AS12" s="71">
        <f t="shared" si="9"/>
        <v>235138.87012499996</v>
      </c>
      <c r="AT12" s="71">
        <f t="shared" si="9"/>
        <v>235138.87012499996</v>
      </c>
      <c r="AU12" s="71">
        <f t="shared" si="9"/>
        <v>235138.87012499996</v>
      </c>
      <c r="AV12" s="71">
        <f t="shared" si="9"/>
        <v>235138.87012499996</v>
      </c>
      <c r="AW12" s="71">
        <f t="shared" si="9"/>
        <v>347456.38917584735</v>
      </c>
      <c r="AX12" s="71">
        <f t="shared" si="9"/>
        <v>235138.87012499996</v>
      </c>
      <c r="AY12" s="71">
        <f t="shared" si="9"/>
        <v>235138.87012499996</v>
      </c>
      <c r="AZ12" s="71">
        <f t="shared" si="9"/>
        <v>235138.87012499996</v>
      </c>
      <c r="BA12" s="71">
        <f t="shared" si="9"/>
        <v>235138.87012499996</v>
      </c>
      <c r="BB12" s="71">
        <f t="shared" si="9"/>
        <v>282166.64414999995</v>
      </c>
      <c r="BC12" s="71">
        <f t="shared" si="10"/>
        <v>356142.79890524352</v>
      </c>
      <c r="BD12" s="71">
        <f t="shared" si="10"/>
        <v>241017.34187812492</v>
      </c>
      <c r="BE12" s="71">
        <f t="shared" si="10"/>
        <v>241017.34187812492</v>
      </c>
      <c r="BF12" s="71">
        <f t="shared" si="10"/>
        <v>241017.34187812492</v>
      </c>
      <c r="BG12" s="71">
        <f t="shared" si="10"/>
        <v>241017.34187812492</v>
      </c>
      <c r="BH12" s="71">
        <f t="shared" si="10"/>
        <v>241017.34187812492</v>
      </c>
      <c r="BI12" s="71">
        <f t="shared" si="10"/>
        <v>356142.79890524352</v>
      </c>
      <c r="BJ12" s="71">
        <f t="shared" si="10"/>
        <v>241017.34187812492</v>
      </c>
      <c r="BK12" s="71">
        <f t="shared" si="10"/>
        <v>241017.34187812492</v>
      </c>
      <c r="BL12" s="71">
        <f t="shared" si="10"/>
        <v>241017.34187812492</v>
      </c>
      <c r="BM12" s="71">
        <f t="shared" si="10"/>
        <v>241017.34187812492</v>
      </c>
      <c r="BN12" s="71">
        <f t="shared" si="10"/>
        <v>289220.81025374989</v>
      </c>
      <c r="BP12" s="72">
        <f t="shared" ref="BP12:BP18" si="12">SUMIFS($G12:$BN12,$G$7:$BN$7,BP$7)</f>
        <v>3042600</v>
      </c>
      <c r="BQ12" s="72">
        <f t="shared" si="11"/>
        <v>3057532.6797520658</v>
      </c>
      <c r="BR12" s="72">
        <f t="shared" si="11"/>
        <v>3064075.1202251008</v>
      </c>
      <c r="BS12" s="72">
        <f t="shared" si="11"/>
        <v>3093329.253626694</v>
      </c>
      <c r="BT12" s="72">
        <f t="shared" si="11"/>
        <v>3170662.4849673617</v>
      </c>
    </row>
    <row r="13" spans="2:72">
      <c r="B13" s="37" t="str">
        <f>CaseData!C12</f>
        <v>Madrid</v>
      </c>
      <c r="G13" s="71">
        <f t="shared" si="7"/>
        <v>180000</v>
      </c>
      <c r="H13" s="71">
        <f t="shared" si="7"/>
        <v>120000</v>
      </c>
      <c r="I13" s="71">
        <f t="shared" si="7"/>
        <v>120000</v>
      </c>
      <c r="J13" s="71">
        <f t="shared" si="7"/>
        <v>120000</v>
      </c>
      <c r="K13" s="71">
        <f t="shared" si="7"/>
        <v>120000</v>
      </c>
      <c r="L13" s="71">
        <f t="shared" si="7"/>
        <v>120000</v>
      </c>
      <c r="M13" s="71">
        <f t="shared" si="7"/>
        <v>180000</v>
      </c>
      <c r="N13" s="71">
        <f t="shared" si="7"/>
        <v>120000</v>
      </c>
      <c r="O13" s="71">
        <f t="shared" si="7"/>
        <v>120000</v>
      </c>
      <c r="P13" s="71">
        <f t="shared" si="7"/>
        <v>120000</v>
      </c>
      <c r="Q13" s="71">
        <f t="shared" si="7"/>
        <v>120000</v>
      </c>
      <c r="R13" s="71">
        <f t="shared" si="7"/>
        <v>144000</v>
      </c>
      <c r="S13" s="71">
        <f t="shared" si="7"/>
        <v>180899.99999999997</v>
      </c>
      <c r="T13" s="71">
        <f t="shared" si="7"/>
        <v>120599.99999999997</v>
      </c>
      <c r="U13" s="71">
        <f t="shared" si="7"/>
        <v>120599.99999999997</v>
      </c>
      <c r="V13" s="71">
        <f t="shared" si="7"/>
        <v>120599.99999999997</v>
      </c>
      <c r="W13" s="71">
        <f t="shared" si="8"/>
        <v>120599.99999999997</v>
      </c>
      <c r="X13" s="71">
        <f t="shared" si="8"/>
        <v>120599.99999999997</v>
      </c>
      <c r="Y13" s="71">
        <f t="shared" si="8"/>
        <v>180787.8719008264</v>
      </c>
      <c r="Z13" s="71">
        <f t="shared" si="8"/>
        <v>120599.99999999997</v>
      </c>
      <c r="AA13" s="71">
        <f t="shared" si="8"/>
        <v>120599.99999999997</v>
      </c>
      <c r="AB13" s="71">
        <f t="shared" si="8"/>
        <v>120599.99999999997</v>
      </c>
      <c r="AC13" s="71">
        <f t="shared" si="8"/>
        <v>120599.99999999997</v>
      </c>
      <c r="AD13" s="71">
        <f t="shared" si="8"/>
        <v>144719.99999999997</v>
      </c>
      <c r="AE13" s="71">
        <f t="shared" si="8"/>
        <v>180191.50269103594</v>
      </c>
      <c r="AF13" s="71">
        <f t="shared" si="8"/>
        <v>121202.99999999996</v>
      </c>
      <c r="AG13" s="71">
        <f t="shared" si="8"/>
        <v>121202.99999999996</v>
      </c>
      <c r="AH13" s="71">
        <f t="shared" si="8"/>
        <v>121202.99999999996</v>
      </c>
      <c r="AI13" s="71">
        <f t="shared" si="8"/>
        <v>121202.99999999996</v>
      </c>
      <c r="AJ13" s="71">
        <f t="shared" si="8"/>
        <v>121202.99999999996</v>
      </c>
      <c r="AK13" s="71">
        <f t="shared" si="8"/>
        <v>179806.71939900421</v>
      </c>
      <c r="AL13" s="71">
        <f t="shared" si="8"/>
        <v>121202.99999999996</v>
      </c>
      <c r="AM13" s="71">
        <f t="shared" si="9"/>
        <v>121202.99999999996</v>
      </c>
      <c r="AN13" s="71">
        <f t="shared" si="9"/>
        <v>121202.99999999996</v>
      </c>
      <c r="AO13" s="71">
        <f t="shared" si="9"/>
        <v>121202.99999999996</v>
      </c>
      <c r="AP13" s="71">
        <f t="shared" si="9"/>
        <v>145443.59999999995</v>
      </c>
      <c r="AQ13" s="71">
        <f t="shared" si="9"/>
        <v>181521.77859533892</v>
      </c>
      <c r="AR13" s="71">
        <f t="shared" si="9"/>
        <v>122415.02999999997</v>
      </c>
      <c r="AS13" s="71">
        <f t="shared" si="9"/>
        <v>122415.02999999997</v>
      </c>
      <c r="AT13" s="71">
        <f t="shared" si="9"/>
        <v>122415.02999999997</v>
      </c>
      <c r="AU13" s="71">
        <f t="shared" si="9"/>
        <v>122415.02999999997</v>
      </c>
      <c r="AV13" s="71">
        <f t="shared" si="9"/>
        <v>122415.02999999997</v>
      </c>
      <c r="AW13" s="71">
        <f t="shared" si="9"/>
        <v>181521.77859533892</v>
      </c>
      <c r="AX13" s="71">
        <f t="shared" si="9"/>
        <v>122415.02999999997</v>
      </c>
      <c r="AY13" s="71">
        <f t="shared" si="9"/>
        <v>122415.02999999997</v>
      </c>
      <c r="AZ13" s="71">
        <f t="shared" si="9"/>
        <v>122415.02999999997</v>
      </c>
      <c r="BA13" s="71">
        <f t="shared" si="9"/>
        <v>122415.02999999997</v>
      </c>
      <c r="BB13" s="71">
        <f t="shared" si="9"/>
        <v>146898.03599999996</v>
      </c>
      <c r="BC13" s="71">
        <f t="shared" si="10"/>
        <v>186059.82306022241</v>
      </c>
      <c r="BD13" s="71">
        <f t="shared" si="10"/>
        <v>125475.40574999995</v>
      </c>
      <c r="BE13" s="71">
        <f t="shared" si="10"/>
        <v>125475.40574999995</v>
      </c>
      <c r="BF13" s="71">
        <f t="shared" si="10"/>
        <v>125475.40574999995</v>
      </c>
      <c r="BG13" s="71">
        <f t="shared" si="10"/>
        <v>125475.40574999995</v>
      </c>
      <c r="BH13" s="71">
        <f t="shared" si="10"/>
        <v>125475.40574999995</v>
      </c>
      <c r="BI13" s="71">
        <f t="shared" si="10"/>
        <v>186059.82306022241</v>
      </c>
      <c r="BJ13" s="71">
        <f t="shared" si="10"/>
        <v>125475.40574999995</v>
      </c>
      <c r="BK13" s="71">
        <f t="shared" si="10"/>
        <v>125475.40574999995</v>
      </c>
      <c r="BL13" s="71">
        <f t="shared" si="10"/>
        <v>125475.40574999995</v>
      </c>
      <c r="BM13" s="71">
        <f t="shared" si="10"/>
        <v>125475.40574999995</v>
      </c>
      <c r="BN13" s="71">
        <f t="shared" si="10"/>
        <v>150570.48689999996</v>
      </c>
      <c r="BP13" s="72">
        <f t="shared" si="12"/>
        <v>1584000</v>
      </c>
      <c r="BQ13" s="72">
        <f t="shared" si="11"/>
        <v>1591807.8719008262</v>
      </c>
      <c r="BR13" s="72">
        <f t="shared" si="11"/>
        <v>1596268.82209004</v>
      </c>
      <c r="BS13" s="72">
        <f t="shared" si="11"/>
        <v>1611676.8631906779</v>
      </c>
      <c r="BT13" s="72">
        <f t="shared" si="11"/>
        <v>1651968.784770444</v>
      </c>
    </row>
    <row r="14" spans="2:72">
      <c r="B14" s="37" t="str">
        <f>CaseData!C13</f>
        <v>London</v>
      </c>
      <c r="G14" s="71">
        <f t="shared" si="7"/>
        <v>182703.48837209304</v>
      </c>
      <c r="H14" s="71">
        <f t="shared" si="7"/>
        <v>121802.32558139534</v>
      </c>
      <c r="I14" s="71">
        <f t="shared" si="7"/>
        <v>121802.32558139534</v>
      </c>
      <c r="J14" s="71">
        <f t="shared" si="7"/>
        <v>121802.32558139534</v>
      </c>
      <c r="K14" s="71">
        <f t="shared" si="7"/>
        <v>121802.32558139534</v>
      </c>
      <c r="L14" s="71">
        <f t="shared" si="7"/>
        <v>121802.32558139534</v>
      </c>
      <c r="M14" s="71">
        <f t="shared" si="7"/>
        <v>182703.48837209304</v>
      </c>
      <c r="N14" s="71">
        <f t="shared" si="7"/>
        <v>121802.32558139534</v>
      </c>
      <c r="O14" s="71">
        <f t="shared" si="7"/>
        <v>121802.32558139534</v>
      </c>
      <c r="P14" s="71">
        <f t="shared" si="7"/>
        <v>121802.32558139534</v>
      </c>
      <c r="Q14" s="71">
        <f t="shared" si="7"/>
        <v>121802.32558139534</v>
      </c>
      <c r="R14" s="71">
        <f t="shared" si="7"/>
        <v>146162.79069767441</v>
      </c>
      <c r="S14" s="71">
        <f t="shared" si="7"/>
        <v>186021.55172413791</v>
      </c>
      <c r="T14" s="71">
        <f t="shared" si="7"/>
        <v>124014.36781609195</v>
      </c>
      <c r="U14" s="71">
        <f t="shared" si="7"/>
        <v>124014.36781609195</v>
      </c>
      <c r="V14" s="71">
        <f t="shared" si="7"/>
        <v>124014.36781609195</v>
      </c>
      <c r="W14" s="71">
        <f t="shared" si="8"/>
        <v>124014.36781609195</v>
      </c>
      <c r="X14" s="71">
        <f t="shared" si="8"/>
        <v>124014.36781609195</v>
      </c>
      <c r="Y14" s="71">
        <f t="shared" si="8"/>
        <v>185838.09489883156</v>
      </c>
      <c r="Z14" s="71">
        <f t="shared" si="8"/>
        <v>124014.36781609195</v>
      </c>
      <c r="AA14" s="71">
        <f t="shared" si="8"/>
        <v>124014.36781609195</v>
      </c>
      <c r="AB14" s="71">
        <f t="shared" si="8"/>
        <v>124014.36781609195</v>
      </c>
      <c r="AC14" s="71">
        <f t="shared" si="8"/>
        <v>124014.36781609195</v>
      </c>
      <c r="AD14" s="71">
        <f t="shared" si="8"/>
        <v>148817.24137931035</v>
      </c>
      <c r="AE14" s="71">
        <f t="shared" si="8"/>
        <v>183124.67312846505</v>
      </c>
      <c r="AF14" s="71">
        <f t="shared" si="8"/>
        <v>123831.16477272728</v>
      </c>
      <c r="AG14" s="71">
        <f t="shared" si="8"/>
        <v>123831.16477272728</v>
      </c>
      <c r="AH14" s="71">
        <f t="shared" si="8"/>
        <v>123831.16477272728</v>
      </c>
      <c r="AI14" s="71">
        <f t="shared" si="8"/>
        <v>123831.16477272728</v>
      </c>
      <c r="AJ14" s="71">
        <f t="shared" si="8"/>
        <v>123831.16477272728</v>
      </c>
      <c r="AK14" s="71">
        <f t="shared" si="8"/>
        <v>182499.17284284884</v>
      </c>
      <c r="AL14" s="71">
        <f t="shared" si="8"/>
        <v>123831.16477272728</v>
      </c>
      <c r="AM14" s="71">
        <f t="shared" si="9"/>
        <v>123831.16477272728</v>
      </c>
      <c r="AN14" s="71">
        <f t="shared" si="9"/>
        <v>123831.16477272728</v>
      </c>
      <c r="AO14" s="71">
        <f t="shared" si="9"/>
        <v>123831.16477272728</v>
      </c>
      <c r="AP14" s="71">
        <f t="shared" si="9"/>
        <v>148597.39772727271</v>
      </c>
      <c r="AQ14" s="71">
        <f t="shared" si="9"/>
        <v>182119.68562892784</v>
      </c>
      <c r="AR14" s="71">
        <f t="shared" si="9"/>
        <v>123664.20140449438</v>
      </c>
      <c r="AS14" s="71">
        <f t="shared" si="9"/>
        <v>123664.20140449438</v>
      </c>
      <c r="AT14" s="71">
        <f t="shared" si="9"/>
        <v>123664.20140449438</v>
      </c>
      <c r="AU14" s="71">
        <f t="shared" si="9"/>
        <v>123664.20140449438</v>
      </c>
      <c r="AV14" s="71">
        <f t="shared" si="9"/>
        <v>123664.20140449438</v>
      </c>
      <c r="AW14" s="71">
        <f t="shared" si="9"/>
        <v>182119.68562892784</v>
      </c>
      <c r="AX14" s="71">
        <f t="shared" si="9"/>
        <v>123664.20140449438</v>
      </c>
      <c r="AY14" s="71">
        <f t="shared" si="9"/>
        <v>123664.20140449438</v>
      </c>
      <c r="AZ14" s="71">
        <f t="shared" si="9"/>
        <v>123664.20140449438</v>
      </c>
      <c r="BA14" s="71">
        <f t="shared" si="9"/>
        <v>123664.20140449438</v>
      </c>
      <c r="BB14" s="71">
        <f t="shared" si="9"/>
        <v>148397.04168539323</v>
      </c>
      <c r="BC14" s="71">
        <f t="shared" si="10"/>
        <v>181897.094902048</v>
      </c>
      <c r="BD14" s="71">
        <f t="shared" si="10"/>
        <v>123513.05626944445</v>
      </c>
      <c r="BE14" s="71">
        <f t="shared" si="10"/>
        <v>123513.05626944445</v>
      </c>
      <c r="BF14" s="71">
        <f t="shared" si="10"/>
        <v>123513.05626944445</v>
      </c>
      <c r="BG14" s="71">
        <f t="shared" si="10"/>
        <v>123513.05626944445</v>
      </c>
      <c r="BH14" s="71">
        <f t="shared" si="10"/>
        <v>123513.05626944445</v>
      </c>
      <c r="BI14" s="71">
        <f t="shared" si="10"/>
        <v>181897.094902048</v>
      </c>
      <c r="BJ14" s="71">
        <f t="shared" si="10"/>
        <v>123513.05626944445</v>
      </c>
      <c r="BK14" s="71">
        <f t="shared" si="10"/>
        <v>123513.05626944445</v>
      </c>
      <c r="BL14" s="71">
        <f t="shared" si="10"/>
        <v>123513.05626944445</v>
      </c>
      <c r="BM14" s="71">
        <f t="shared" si="10"/>
        <v>123513.05626944445</v>
      </c>
      <c r="BN14" s="71">
        <f t="shared" si="10"/>
        <v>148215.66752333334</v>
      </c>
      <c r="BP14" s="72">
        <f t="shared" si="12"/>
        <v>1607790.6976744186</v>
      </c>
      <c r="BQ14" s="72">
        <f t="shared" si="11"/>
        <v>1636806.1983471075</v>
      </c>
      <c r="BR14" s="72">
        <f t="shared" si="11"/>
        <v>1628701.7266531321</v>
      </c>
      <c r="BS14" s="72">
        <f t="shared" si="11"/>
        <v>1625614.2255836986</v>
      </c>
      <c r="BT14" s="72">
        <f t="shared" si="11"/>
        <v>1623627.3637524296</v>
      </c>
    </row>
    <row r="15" spans="2:72">
      <c r="B15" s="37" t="str">
        <f>CaseData!C14</f>
        <v>New York</v>
      </c>
      <c r="G15" s="71">
        <f t="shared" si="7"/>
        <v>0</v>
      </c>
      <c r="H15" s="71">
        <f t="shared" si="7"/>
        <v>0</v>
      </c>
      <c r="I15" s="71">
        <f t="shared" si="7"/>
        <v>52727.272727272721</v>
      </c>
      <c r="J15" s="71">
        <f t="shared" si="7"/>
        <v>57121.212121212098</v>
      </c>
      <c r="K15" s="71">
        <f t="shared" si="7"/>
        <v>61515.151515151505</v>
      </c>
      <c r="L15" s="71">
        <f t="shared" si="7"/>
        <v>65909.090909090912</v>
      </c>
      <c r="M15" s="71">
        <f t="shared" si="7"/>
        <v>105454.54545454544</v>
      </c>
      <c r="N15" s="71">
        <f t="shared" si="7"/>
        <v>74696.969696969696</v>
      </c>
      <c r="O15" s="71">
        <f t="shared" si="7"/>
        <v>79090.909090909074</v>
      </c>
      <c r="P15" s="71">
        <f t="shared" si="7"/>
        <v>83484.84848484848</v>
      </c>
      <c r="Q15" s="71">
        <f t="shared" si="7"/>
        <v>87878.787878787887</v>
      </c>
      <c r="R15" s="71">
        <f t="shared" si="7"/>
        <v>110727.27272727271</v>
      </c>
      <c r="S15" s="71">
        <f t="shared" si="7"/>
        <v>148004.5045045045</v>
      </c>
      <c r="T15" s="71">
        <f t="shared" si="7"/>
        <v>103154.65465465467</v>
      </c>
      <c r="U15" s="71">
        <f t="shared" si="7"/>
        <v>107639.63963963966</v>
      </c>
      <c r="V15" s="71">
        <f t="shared" si="7"/>
        <v>107639.63963963966</v>
      </c>
      <c r="W15" s="71">
        <f t="shared" si="8"/>
        <v>107639.63963963966</v>
      </c>
      <c r="X15" s="71">
        <f t="shared" si="8"/>
        <v>107639.63963963966</v>
      </c>
      <c r="Y15" s="71">
        <f t="shared" si="8"/>
        <v>161286.91087781996</v>
      </c>
      <c r="Z15" s="71">
        <f t="shared" si="8"/>
        <v>107639.63963963966</v>
      </c>
      <c r="AA15" s="71">
        <f t="shared" si="8"/>
        <v>107639.63963963966</v>
      </c>
      <c r="AB15" s="71">
        <f t="shared" si="8"/>
        <v>107639.63963963966</v>
      </c>
      <c r="AC15" s="71">
        <f t="shared" si="8"/>
        <v>107639.63963963966</v>
      </c>
      <c r="AD15" s="71">
        <f t="shared" si="8"/>
        <v>129167.56756756759</v>
      </c>
      <c r="AE15" s="71">
        <f t="shared" si="8"/>
        <v>160721.49542090899</v>
      </c>
      <c r="AF15" s="71">
        <f t="shared" si="8"/>
        <v>108812.14285714287</v>
      </c>
      <c r="AG15" s="71">
        <f t="shared" si="8"/>
        <v>108812.14285714287</v>
      </c>
      <c r="AH15" s="71">
        <f t="shared" si="8"/>
        <v>108812.14285714287</v>
      </c>
      <c r="AI15" s="71">
        <f t="shared" si="8"/>
        <v>108812.14285714287</v>
      </c>
      <c r="AJ15" s="71">
        <f t="shared" si="8"/>
        <v>108812.14285714287</v>
      </c>
      <c r="AK15" s="71">
        <f t="shared" si="8"/>
        <v>160125.89882645803</v>
      </c>
      <c r="AL15" s="71">
        <f t="shared" si="8"/>
        <v>108812.14285714287</v>
      </c>
      <c r="AM15" s="71">
        <f t="shared" si="9"/>
        <v>108812.14285714287</v>
      </c>
      <c r="AN15" s="71">
        <f t="shared" si="9"/>
        <v>108812.14285714287</v>
      </c>
      <c r="AO15" s="71">
        <f t="shared" si="9"/>
        <v>108812.14285714287</v>
      </c>
      <c r="AP15" s="71">
        <f t="shared" si="9"/>
        <v>130574.57142857143</v>
      </c>
      <c r="AQ15" s="71">
        <f t="shared" si="9"/>
        <v>163340.25038248088</v>
      </c>
      <c r="AR15" s="71">
        <f t="shared" si="9"/>
        <v>111084.67964601773</v>
      </c>
      <c r="AS15" s="71">
        <f t="shared" si="9"/>
        <v>111084.67964601773</v>
      </c>
      <c r="AT15" s="71">
        <f t="shared" si="9"/>
        <v>111084.67964601773</v>
      </c>
      <c r="AU15" s="71">
        <f t="shared" si="9"/>
        <v>111084.67964601773</v>
      </c>
      <c r="AV15" s="71">
        <f t="shared" si="9"/>
        <v>111084.67964601773</v>
      </c>
      <c r="AW15" s="71">
        <f t="shared" si="9"/>
        <v>163340.25038248088</v>
      </c>
      <c r="AX15" s="71">
        <f t="shared" si="9"/>
        <v>111084.67964601773</v>
      </c>
      <c r="AY15" s="71">
        <f t="shared" si="9"/>
        <v>111084.67964601773</v>
      </c>
      <c r="AZ15" s="71">
        <f t="shared" si="9"/>
        <v>111084.67964601773</v>
      </c>
      <c r="BA15" s="71">
        <f t="shared" si="9"/>
        <v>111084.67964601773</v>
      </c>
      <c r="BB15" s="71">
        <f t="shared" si="9"/>
        <v>133301.61557522128</v>
      </c>
      <c r="BC15" s="71">
        <f t="shared" si="10"/>
        <v>162716.97837444246</v>
      </c>
      <c r="BD15" s="71">
        <f t="shared" si="10"/>
        <v>110660.80389473686</v>
      </c>
      <c r="BE15" s="71">
        <f t="shared" si="10"/>
        <v>110660.80389473686</v>
      </c>
      <c r="BF15" s="71">
        <f t="shared" si="10"/>
        <v>110660.80389473686</v>
      </c>
      <c r="BG15" s="71">
        <f t="shared" si="10"/>
        <v>110660.80389473686</v>
      </c>
      <c r="BH15" s="71">
        <f t="shared" si="10"/>
        <v>110660.80389473686</v>
      </c>
      <c r="BI15" s="71">
        <f t="shared" si="10"/>
        <v>162716.97837444246</v>
      </c>
      <c r="BJ15" s="71">
        <f t="shared" si="10"/>
        <v>110660.80389473686</v>
      </c>
      <c r="BK15" s="71">
        <f t="shared" si="10"/>
        <v>110660.80389473686</v>
      </c>
      <c r="BL15" s="71">
        <f t="shared" si="10"/>
        <v>110660.80389473686</v>
      </c>
      <c r="BM15" s="71">
        <f t="shared" si="10"/>
        <v>110660.80389473686</v>
      </c>
      <c r="BN15" s="71">
        <f t="shared" si="10"/>
        <v>132792.96467368424</v>
      </c>
      <c r="BP15" s="72">
        <f t="shared" si="12"/>
        <v>778606.06060606055</v>
      </c>
      <c r="BQ15" s="72">
        <f t="shared" si="11"/>
        <v>1402730.7547216641</v>
      </c>
      <c r="BR15" s="72">
        <f t="shared" si="11"/>
        <v>1430731.2513902243</v>
      </c>
      <c r="BS15" s="72">
        <f t="shared" si="11"/>
        <v>1459744.2331543427</v>
      </c>
      <c r="BT15" s="72">
        <f t="shared" si="11"/>
        <v>1454174.1564752008</v>
      </c>
    </row>
    <row r="16" spans="2:72">
      <c r="B16" s="37" t="str">
        <f>CaseData!C15</f>
        <v>Montreal</v>
      </c>
      <c r="G16" s="71">
        <f t="shared" si="7"/>
        <v>0</v>
      </c>
      <c r="H16" s="71">
        <f t="shared" si="7"/>
        <v>0</v>
      </c>
      <c r="I16" s="71">
        <f t="shared" si="7"/>
        <v>0</v>
      </c>
      <c r="J16" s="71">
        <f t="shared" si="7"/>
        <v>0</v>
      </c>
      <c r="K16" s="71">
        <f t="shared" si="7"/>
        <v>0</v>
      </c>
      <c r="L16" s="71">
        <f t="shared" si="7"/>
        <v>0</v>
      </c>
      <c r="M16" s="71">
        <f t="shared" si="7"/>
        <v>0</v>
      </c>
      <c r="N16" s="71">
        <f t="shared" si="7"/>
        <v>0</v>
      </c>
      <c r="O16" s="71">
        <f t="shared" si="7"/>
        <v>91107.382550335577</v>
      </c>
      <c r="P16" s="71">
        <f t="shared" si="7"/>
        <v>98699.664429530181</v>
      </c>
      <c r="Q16" s="71">
        <f t="shared" si="7"/>
        <v>106291.94630872482</v>
      </c>
      <c r="R16" s="71">
        <f t="shared" si="7"/>
        <v>136661.07382550335</v>
      </c>
      <c r="S16" s="71">
        <f t="shared" si="7"/>
        <v>184620</v>
      </c>
      <c r="T16" s="71">
        <f t="shared" si="7"/>
        <v>130772.49999999997</v>
      </c>
      <c r="U16" s="71">
        <f t="shared" si="7"/>
        <v>138465</v>
      </c>
      <c r="V16" s="71">
        <f t="shared" si="7"/>
        <v>146157.50000000003</v>
      </c>
      <c r="W16" s="71">
        <f t="shared" si="8"/>
        <v>153850</v>
      </c>
      <c r="X16" s="71">
        <f t="shared" si="8"/>
        <v>161542.5</v>
      </c>
      <c r="Y16" s="71">
        <f t="shared" si="8"/>
        <v>253450.68181818182</v>
      </c>
      <c r="Z16" s="71">
        <f t="shared" si="8"/>
        <v>176927.5</v>
      </c>
      <c r="AA16" s="71">
        <f t="shared" si="8"/>
        <v>184620.00000000003</v>
      </c>
      <c r="AB16" s="71">
        <f t="shared" si="8"/>
        <v>184620.00000000003</v>
      </c>
      <c r="AC16" s="71">
        <f t="shared" si="8"/>
        <v>184620.00000000003</v>
      </c>
      <c r="AD16" s="71">
        <f t="shared" si="8"/>
        <v>221544.00000000006</v>
      </c>
      <c r="AE16" s="71">
        <f t="shared" si="8"/>
        <v>274240.45608264284</v>
      </c>
      <c r="AF16" s="71">
        <f t="shared" si="8"/>
        <v>187065.29801324505</v>
      </c>
      <c r="AG16" s="71">
        <f t="shared" si="8"/>
        <v>187065.29801324505</v>
      </c>
      <c r="AH16" s="71">
        <f t="shared" si="8"/>
        <v>187065.29801324505</v>
      </c>
      <c r="AI16" s="71">
        <f t="shared" si="8"/>
        <v>187065.29801324505</v>
      </c>
      <c r="AJ16" s="71">
        <f t="shared" si="8"/>
        <v>187065.29801324505</v>
      </c>
      <c r="AK16" s="71">
        <f t="shared" si="8"/>
        <v>272723.86564675521</v>
      </c>
      <c r="AL16" s="71">
        <f t="shared" si="8"/>
        <v>187065.29801324505</v>
      </c>
      <c r="AM16" s="71">
        <f t="shared" si="9"/>
        <v>187065.29801324505</v>
      </c>
      <c r="AN16" s="71">
        <f t="shared" si="9"/>
        <v>187065.29801324505</v>
      </c>
      <c r="AO16" s="71">
        <f t="shared" si="9"/>
        <v>187065.29801324505</v>
      </c>
      <c r="AP16" s="71">
        <f t="shared" si="9"/>
        <v>224478.35761589409</v>
      </c>
      <c r="AQ16" s="71">
        <f t="shared" si="9"/>
        <v>277373.02695695811</v>
      </c>
      <c r="AR16" s="71">
        <f t="shared" si="9"/>
        <v>190480.47039473685</v>
      </c>
      <c r="AS16" s="71">
        <f t="shared" si="9"/>
        <v>190480.47039473685</v>
      </c>
      <c r="AT16" s="71">
        <f t="shared" si="9"/>
        <v>190480.47039473685</v>
      </c>
      <c r="AU16" s="71">
        <f t="shared" si="9"/>
        <v>190480.47039473685</v>
      </c>
      <c r="AV16" s="71">
        <f t="shared" si="9"/>
        <v>190480.47039473685</v>
      </c>
      <c r="AW16" s="71">
        <f t="shared" si="9"/>
        <v>277373.02695695811</v>
      </c>
      <c r="AX16" s="71">
        <f t="shared" si="9"/>
        <v>190480.47039473685</v>
      </c>
      <c r="AY16" s="71">
        <f t="shared" si="9"/>
        <v>190480.47039473685</v>
      </c>
      <c r="AZ16" s="71">
        <f t="shared" si="9"/>
        <v>190480.47039473685</v>
      </c>
      <c r="BA16" s="71">
        <f t="shared" si="9"/>
        <v>190480.47039473685</v>
      </c>
      <c r="BB16" s="71">
        <f t="shared" si="9"/>
        <v>228576.56447368424</v>
      </c>
      <c r="BC16" s="71">
        <f t="shared" si="10"/>
        <v>281071.33398305083</v>
      </c>
      <c r="BD16" s="71">
        <f t="shared" si="10"/>
        <v>193020.21</v>
      </c>
      <c r="BE16" s="71">
        <f t="shared" si="10"/>
        <v>193020.21</v>
      </c>
      <c r="BF16" s="71">
        <f t="shared" si="10"/>
        <v>193020.21</v>
      </c>
      <c r="BG16" s="71">
        <f t="shared" si="10"/>
        <v>193020.21</v>
      </c>
      <c r="BH16" s="71">
        <f t="shared" si="10"/>
        <v>193020.21</v>
      </c>
      <c r="BI16" s="71">
        <f t="shared" si="10"/>
        <v>281071.33398305083</v>
      </c>
      <c r="BJ16" s="71">
        <f t="shared" si="10"/>
        <v>193020.21</v>
      </c>
      <c r="BK16" s="71">
        <f t="shared" si="10"/>
        <v>193020.21</v>
      </c>
      <c r="BL16" s="71">
        <f t="shared" si="10"/>
        <v>193020.21</v>
      </c>
      <c r="BM16" s="71">
        <f t="shared" si="10"/>
        <v>193020.21</v>
      </c>
      <c r="BN16" s="71">
        <f t="shared" si="10"/>
        <v>231624.25200000004</v>
      </c>
      <c r="BP16" s="72">
        <f t="shared" si="12"/>
        <v>432760.06711409392</v>
      </c>
      <c r="BQ16" s="72">
        <f t="shared" si="11"/>
        <v>2121189.6818181821</v>
      </c>
      <c r="BR16" s="72">
        <f t="shared" si="11"/>
        <v>2455030.3614644972</v>
      </c>
      <c r="BS16" s="72">
        <f t="shared" si="11"/>
        <v>2497646.8519402323</v>
      </c>
      <c r="BT16" s="72">
        <f t="shared" si="11"/>
        <v>2530948.8099661013</v>
      </c>
    </row>
    <row r="17" spans="2:72">
      <c r="B17" s="37" t="str">
        <f>CaseData!C16</f>
        <v>Zurich</v>
      </c>
      <c r="G17" s="71">
        <f t="shared" si="7"/>
        <v>0</v>
      </c>
      <c r="H17" s="71">
        <f t="shared" si="7"/>
        <v>0</v>
      </c>
      <c r="I17" s="71">
        <f t="shared" si="7"/>
        <v>0</v>
      </c>
      <c r="J17" s="71">
        <f t="shared" si="7"/>
        <v>0</v>
      </c>
      <c r="K17" s="71">
        <f t="shared" si="7"/>
        <v>0</v>
      </c>
      <c r="L17" s="71">
        <f t="shared" si="7"/>
        <v>0</v>
      </c>
      <c r="M17" s="71">
        <f t="shared" si="7"/>
        <v>0</v>
      </c>
      <c r="N17" s="71">
        <f t="shared" si="7"/>
        <v>0</v>
      </c>
      <c r="O17" s="71">
        <f t="shared" si="7"/>
        <v>0</v>
      </c>
      <c r="P17" s="71">
        <f t="shared" si="7"/>
        <v>0</v>
      </c>
      <c r="Q17" s="71">
        <f t="shared" si="7"/>
        <v>0</v>
      </c>
      <c r="R17" s="71">
        <f t="shared" si="7"/>
        <v>0</v>
      </c>
      <c r="S17" s="71">
        <f t="shared" si="7"/>
        <v>0</v>
      </c>
      <c r="T17" s="71">
        <f t="shared" si="7"/>
        <v>0</v>
      </c>
      <c r="U17" s="71">
        <f t="shared" si="7"/>
        <v>165604.55607476633</v>
      </c>
      <c r="V17" s="71">
        <f t="shared" si="7"/>
        <v>179404.93574766346</v>
      </c>
      <c r="W17" s="71">
        <f t="shared" si="8"/>
        <v>193205.31542056068</v>
      </c>
      <c r="X17" s="71">
        <f t="shared" si="8"/>
        <v>207005.69509345794</v>
      </c>
      <c r="Y17" s="71">
        <f t="shared" si="8"/>
        <v>330941.91704641999</v>
      </c>
      <c r="Z17" s="71">
        <f t="shared" si="8"/>
        <v>234606.45443925232</v>
      </c>
      <c r="AA17" s="71">
        <f t="shared" si="8"/>
        <v>248406.83411214955</v>
      </c>
      <c r="AB17" s="71">
        <f t="shared" si="8"/>
        <v>262207.21378504671</v>
      </c>
      <c r="AC17" s="71">
        <f t="shared" si="8"/>
        <v>276007.59345794388</v>
      </c>
      <c r="AD17" s="71">
        <f t="shared" si="8"/>
        <v>347769.5677570093</v>
      </c>
      <c r="AE17" s="71">
        <f t="shared" si="8"/>
        <v>448215.59553330869</v>
      </c>
      <c r="AF17" s="71">
        <f t="shared" si="8"/>
        <v>316042.11154513882</v>
      </c>
      <c r="AG17" s="71">
        <f t="shared" si="8"/>
        <v>329783.07291666663</v>
      </c>
      <c r="AH17" s="71">
        <f t="shared" si="8"/>
        <v>329783.07291666663</v>
      </c>
      <c r="AI17" s="71">
        <f t="shared" si="8"/>
        <v>329783.07291666663</v>
      </c>
      <c r="AJ17" s="71">
        <f t="shared" si="8"/>
        <v>329783.07291666663</v>
      </c>
      <c r="AK17" s="71">
        <f t="shared" si="8"/>
        <v>487599.82663584634</v>
      </c>
      <c r="AL17" s="71">
        <f t="shared" si="8"/>
        <v>329783.07291666663</v>
      </c>
      <c r="AM17" s="71">
        <f t="shared" si="9"/>
        <v>329783.07291666663</v>
      </c>
      <c r="AN17" s="71">
        <f t="shared" si="9"/>
        <v>329783.07291666663</v>
      </c>
      <c r="AO17" s="71">
        <f t="shared" si="9"/>
        <v>329783.07291666663</v>
      </c>
      <c r="AP17" s="71">
        <f t="shared" si="9"/>
        <v>395739.6875</v>
      </c>
      <c r="AQ17" s="71">
        <f t="shared" si="9"/>
        <v>497323.19807864242</v>
      </c>
      <c r="AR17" s="71">
        <f t="shared" si="9"/>
        <v>336560.26634174306</v>
      </c>
      <c r="AS17" s="71">
        <f t="shared" si="9"/>
        <v>336560.26634174306</v>
      </c>
      <c r="AT17" s="71">
        <f t="shared" si="9"/>
        <v>336560.26634174306</v>
      </c>
      <c r="AU17" s="71">
        <f t="shared" si="9"/>
        <v>336560.26634174306</v>
      </c>
      <c r="AV17" s="71">
        <f t="shared" si="9"/>
        <v>336560.26634174306</v>
      </c>
      <c r="AW17" s="71">
        <f t="shared" si="9"/>
        <v>497323.19807864242</v>
      </c>
      <c r="AX17" s="71">
        <f t="shared" si="9"/>
        <v>336560.26634174306</v>
      </c>
      <c r="AY17" s="71">
        <f t="shared" si="9"/>
        <v>336560.26634174306</v>
      </c>
      <c r="AZ17" s="71">
        <f t="shared" si="9"/>
        <v>336560.26634174306</v>
      </c>
      <c r="BA17" s="71">
        <f t="shared" si="9"/>
        <v>336560.26634174306</v>
      </c>
      <c r="BB17" s="71">
        <f t="shared" si="9"/>
        <v>403872.31961009168</v>
      </c>
      <c r="BC17" s="71">
        <f t="shared" si="10"/>
        <v>500194.10926755087</v>
      </c>
      <c r="BD17" s="71">
        <f t="shared" si="10"/>
        <v>338503.13697017031</v>
      </c>
      <c r="BE17" s="71">
        <f t="shared" si="10"/>
        <v>338503.13697017031</v>
      </c>
      <c r="BF17" s="71">
        <f t="shared" si="10"/>
        <v>338503.13697017031</v>
      </c>
      <c r="BG17" s="71">
        <f t="shared" si="10"/>
        <v>338503.13697017031</v>
      </c>
      <c r="BH17" s="71">
        <f t="shared" si="10"/>
        <v>338503.13697017031</v>
      </c>
      <c r="BI17" s="71">
        <f t="shared" si="10"/>
        <v>500194.10926755087</v>
      </c>
      <c r="BJ17" s="71">
        <f t="shared" si="10"/>
        <v>338503.13697017031</v>
      </c>
      <c r="BK17" s="71">
        <f t="shared" si="10"/>
        <v>338503.13697017031</v>
      </c>
      <c r="BL17" s="71">
        <f t="shared" si="10"/>
        <v>338503.13697017031</v>
      </c>
      <c r="BM17" s="71">
        <f t="shared" si="10"/>
        <v>338503.13697017031</v>
      </c>
      <c r="BN17" s="71">
        <f t="shared" si="10"/>
        <v>406203.76436420449</v>
      </c>
      <c r="BP17" s="72">
        <f t="shared" si="12"/>
        <v>0</v>
      </c>
      <c r="BQ17" s="72">
        <f t="shared" si="11"/>
        <v>2445160.0829342697</v>
      </c>
      <c r="BR17" s="72">
        <f t="shared" si="11"/>
        <v>4285861.8045476265</v>
      </c>
      <c r="BS17" s="72">
        <f t="shared" si="11"/>
        <v>4427561.1128430646</v>
      </c>
      <c r="BT17" s="72">
        <f t="shared" si="11"/>
        <v>4453120.2156308396</v>
      </c>
    </row>
    <row r="18" spans="2:72">
      <c r="B18" s="37" t="str">
        <f>CaseData!C17</f>
        <v>Moscow</v>
      </c>
      <c r="G18" s="71">
        <f t="shared" si="7"/>
        <v>0</v>
      </c>
      <c r="H18" s="71">
        <f t="shared" si="7"/>
        <v>0</v>
      </c>
      <c r="I18" s="71">
        <f t="shared" si="7"/>
        <v>0</v>
      </c>
      <c r="J18" s="71">
        <f t="shared" si="7"/>
        <v>0</v>
      </c>
      <c r="K18" s="71">
        <f t="shared" si="7"/>
        <v>0</v>
      </c>
      <c r="L18" s="71">
        <f t="shared" si="7"/>
        <v>0</v>
      </c>
      <c r="M18" s="71">
        <f t="shared" si="7"/>
        <v>0</v>
      </c>
      <c r="N18" s="71">
        <f t="shared" si="7"/>
        <v>0</v>
      </c>
      <c r="O18" s="71">
        <f t="shared" si="7"/>
        <v>0</v>
      </c>
      <c r="P18" s="71">
        <f t="shared" si="7"/>
        <v>0</v>
      </c>
      <c r="Q18" s="71">
        <f t="shared" si="7"/>
        <v>0</v>
      </c>
      <c r="R18" s="71">
        <f t="shared" si="7"/>
        <v>0</v>
      </c>
      <c r="S18" s="71">
        <f t="shared" si="7"/>
        <v>0</v>
      </c>
      <c r="T18" s="71">
        <f t="shared" si="7"/>
        <v>0</v>
      </c>
      <c r="U18" s="71">
        <f t="shared" si="7"/>
        <v>0</v>
      </c>
      <c r="V18" s="71">
        <f t="shared" si="7"/>
        <v>0</v>
      </c>
      <c r="W18" s="71">
        <f t="shared" si="8"/>
        <v>0</v>
      </c>
      <c r="X18" s="71">
        <f t="shared" si="8"/>
        <v>0</v>
      </c>
      <c r="Y18" s="71">
        <f t="shared" si="8"/>
        <v>0</v>
      </c>
      <c r="Z18" s="71">
        <f t="shared" si="8"/>
        <v>0</v>
      </c>
      <c r="AA18" s="71">
        <f t="shared" si="8"/>
        <v>87010.135135135119</v>
      </c>
      <c r="AB18" s="71">
        <f t="shared" si="8"/>
        <v>94260.97972972969</v>
      </c>
      <c r="AC18" s="71">
        <f t="shared" si="8"/>
        <v>101511.82432432432</v>
      </c>
      <c r="AD18" s="71">
        <f t="shared" si="8"/>
        <v>130515.20270270269</v>
      </c>
      <c r="AE18" s="71">
        <f t="shared" si="8"/>
        <v>171003.53783982364</v>
      </c>
      <c r="AF18" s="71">
        <f t="shared" si="8"/>
        <v>122837.04166666666</v>
      </c>
      <c r="AG18" s="71">
        <f t="shared" si="8"/>
        <v>130062.75</v>
      </c>
      <c r="AH18" s="71">
        <f t="shared" si="8"/>
        <v>137288.45833333334</v>
      </c>
      <c r="AI18" s="71">
        <f t="shared" si="8"/>
        <v>144514.16666666669</v>
      </c>
      <c r="AJ18" s="71">
        <f t="shared" si="8"/>
        <v>151739.875</v>
      </c>
      <c r="AK18" s="71">
        <f t="shared" si="8"/>
        <v>234338.22812944523</v>
      </c>
      <c r="AL18" s="71">
        <f t="shared" si="8"/>
        <v>166191.29166666669</v>
      </c>
      <c r="AM18" s="71">
        <f t="shared" si="9"/>
        <v>173417.00000000006</v>
      </c>
      <c r="AN18" s="71">
        <f t="shared" si="9"/>
        <v>173417.00000000006</v>
      </c>
      <c r="AO18" s="71">
        <f t="shared" si="9"/>
        <v>173417.00000000006</v>
      </c>
      <c r="AP18" s="71">
        <f t="shared" si="9"/>
        <v>208100.40000000005</v>
      </c>
      <c r="AQ18" s="71">
        <f t="shared" si="9"/>
        <v>255877.40570640058</v>
      </c>
      <c r="AR18" s="71">
        <f t="shared" si="9"/>
        <v>173702.22532894739</v>
      </c>
      <c r="AS18" s="71">
        <f t="shared" si="9"/>
        <v>173702.22532894739</v>
      </c>
      <c r="AT18" s="71">
        <f t="shared" si="9"/>
        <v>173702.22532894739</v>
      </c>
      <c r="AU18" s="71">
        <f t="shared" si="9"/>
        <v>173702.22532894739</v>
      </c>
      <c r="AV18" s="71">
        <f t="shared" si="9"/>
        <v>173702.22532894739</v>
      </c>
      <c r="AW18" s="71">
        <f t="shared" si="9"/>
        <v>255877.40570640058</v>
      </c>
      <c r="AX18" s="71">
        <f t="shared" si="9"/>
        <v>173702.22532894739</v>
      </c>
      <c r="AY18" s="71">
        <f t="shared" si="9"/>
        <v>173702.22532894739</v>
      </c>
      <c r="AZ18" s="71">
        <f t="shared" si="9"/>
        <v>173702.22532894739</v>
      </c>
      <c r="BA18" s="71">
        <f t="shared" si="9"/>
        <v>173702.22532894739</v>
      </c>
      <c r="BB18" s="71">
        <f t="shared" si="9"/>
        <v>208442.67039473687</v>
      </c>
      <c r="BC18" s="71">
        <f t="shared" si="10"/>
        <v>255079.86574056244</v>
      </c>
      <c r="BD18" s="71">
        <f t="shared" si="10"/>
        <v>173160.81579545457</v>
      </c>
      <c r="BE18" s="71">
        <f t="shared" si="10"/>
        <v>173160.81579545457</v>
      </c>
      <c r="BF18" s="71">
        <f t="shared" si="10"/>
        <v>173160.81579545457</v>
      </c>
      <c r="BG18" s="71">
        <f t="shared" si="10"/>
        <v>173160.81579545457</v>
      </c>
      <c r="BH18" s="71">
        <f t="shared" si="10"/>
        <v>173160.81579545457</v>
      </c>
      <c r="BI18" s="71">
        <f t="shared" si="10"/>
        <v>255079.86574056244</v>
      </c>
      <c r="BJ18" s="71">
        <f t="shared" si="10"/>
        <v>173160.81579545457</v>
      </c>
      <c r="BK18" s="71">
        <f t="shared" si="10"/>
        <v>173160.81579545457</v>
      </c>
      <c r="BL18" s="71">
        <f t="shared" si="10"/>
        <v>173160.81579545457</v>
      </c>
      <c r="BM18" s="71">
        <f t="shared" si="10"/>
        <v>173160.81579545457</v>
      </c>
      <c r="BN18" s="71">
        <f t="shared" si="10"/>
        <v>207792.97895454551</v>
      </c>
      <c r="BP18" s="72">
        <f t="shared" si="12"/>
        <v>0</v>
      </c>
      <c r="BQ18" s="72">
        <f t="shared" si="11"/>
        <v>413298.14189189184</v>
      </c>
      <c r="BR18" s="72">
        <f t="shared" si="11"/>
        <v>1986326.7493026024</v>
      </c>
      <c r="BS18" s="72">
        <f t="shared" si="11"/>
        <v>2283517.5097680646</v>
      </c>
      <c r="BT18" s="72">
        <f t="shared" si="11"/>
        <v>2276400.0525947618</v>
      </c>
    </row>
    <row r="19" spans="2:72">
      <c r="B19" s="37"/>
    </row>
    <row r="20" spans="2:72">
      <c r="B20" s="3" t="s">
        <v>57</v>
      </c>
      <c r="G20" s="70">
        <f t="shared" ref="G20:BN20" si="13">SUM(G21:G23)</f>
        <v>1003953.488372093</v>
      </c>
      <c r="H20" s="70">
        <f t="shared" si="13"/>
        <v>669302.3255813953</v>
      </c>
      <c r="I20" s="70">
        <f t="shared" si="13"/>
        <v>722029.59830866812</v>
      </c>
      <c r="J20" s="70">
        <f t="shared" si="13"/>
        <v>726423.53770260734</v>
      </c>
      <c r="K20" s="70">
        <f t="shared" si="13"/>
        <v>730817.47709654691</v>
      </c>
      <c r="L20" s="70">
        <f t="shared" si="13"/>
        <v>735211.41649048624</v>
      </c>
      <c r="M20" s="70">
        <f t="shared" si="13"/>
        <v>1109408.0338266385</v>
      </c>
      <c r="N20" s="70">
        <f t="shared" si="13"/>
        <v>743999.29527836503</v>
      </c>
      <c r="O20" s="70">
        <f t="shared" si="13"/>
        <v>839500.61722263996</v>
      </c>
      <c r="P20" s="70">
        <f t="shared" si="13"/>
        <v>851486.83849577396</v>
      </c>
      <c r="Q20" s="70">
        <f t="shared" si="13"/>
        <v>863473.05976890808</v>
      </c>
      <c r="R20" s="70">
        <f t="shared" si="13"/>
        <v>1050551.1372504504</v>
      </c>
      <c r="S20" s="70">
        <f t="shared" si="13"/>
        <v>1344002.3062286426</v>
      </c>
      <c r="T20" s="70">
        <f t="shared" si="13"/>
        <v>908179.02247074654</v>
      </c>
      <c r="U20" s="70">
        <f t="shared" si="13"/>
        <v>1085961.063530498</v>
      </c>
      <c r="V20" s="70">
        <f t="shared" si="13"/>
        <v>1107453.943203395</v>
      </c>
      <c r="W20" s="70">
        <f t="shared" si="13"/>
        <v>1128946.8228762923</v>
      </c>
      <c r="X20" s="70">
        <f t="shared" si="13"/>
        <v>1150439.7025491896</v>
      </c>
      <c r="Y20" s="70">
        <f t="shared" si="13"/>
        <v>1755995.5178643938</v>
      </c>
      <c r="Z20" s="70">
        <f t="shared" si="13"/>
        <v>1193425.4618949839</v>
      </c>
      <c r="AA20" s="70">
        <f t="shared" si="13"/>
        <v>1301928.4767030161</v>
      </c>
      <c r="AB20" s="70">
        <f t="shared" si="13"/>
        <v>1322979.7009705079</v>
      </c>
      <c r="AC20" s="70">
        <f t="shared" si="13"/>
        <v>1344030.9252379998</v>
      </c>
      <c r="AD20" s="70">
        <f t="shared" si="13"/>
        <v>1638098.5794065897</v>
      </c>
      <c r="AE20" s="70">
        <f t="shared" si="13"/>
        <v>2054153.6436682644</v>
      </c>
      <c r="AF20" s="70">
        <f t="shared" si="13"/>
        <v>1411576.4463549205</v>
      </c>
      <c r="AG20" s="70">
        <f t="shared" si="13"/>
        <v>1432543.1160597818</v>
      </c>
      <c r="AH20" s="70">
        <f t="shared" si="13"/>
        <v>1439768.824393115</v>
      </c>
      <c r="AI20" s="70">
        <f t="shared" si="13"/>
        <v>1446994.5327264485</v>
      </c>
      <c r="AJ20" s="70">
        <f t="shared" si="13"/>
        <v>1454220.2410597818</v>
      </c>
      <c r="AK20" s="70">
        <f t="shared" si="13"/>
        <v>2151120.7419568864</v>
      </c>
      <c r="AL20" s="70">
        <f t="shared" si="13"/>
        <v>1468671.6577264485</v>
      </c>
      <c r="AM20" s="70">
        <f t="shared" si="13"/>
        <v>1475897.3660597818</v>
      </c>
      <c r="AN20" s="70">
        <f t="shared" si="13"/>
        <v>1475897.3660597818</v>
      </c>
      <c r="AO20" s="70">
        <f t="shared" si="13"/>
        <v>1475897.3660597818</v>
      </c>
      <c r="AP20" s="70">
        <f t="shared" si="13"/>
        <v>1771076.8392717382</v>
      </c>
      <c r="AQ20" s="70">
        <f t="shared" si="13"/>
        <v>2197355.4248127318</v>
      </c>
      <c r="AR20" s="70">
        <f t="shared" si="13"/>
        <v>1494010.4174909394</v>
      </c>
      <c r="AS20" s="70">
        <f t="shared" si="13"/>
        <v>1494010.4174909394</v>
      </c>
      <c r="AT20" s="70">
        <f t="shared" si="13"/>
        <v>1494010.4174909394</v>
      </c>
      <c r="AU20" s="70">
        <f t="shared" si="13"/>
        <v>1494010.4174909394</v>
      </c>
      <c r="AV20" s="70">
        <f t="shared" si="13"/>
        <v>1494010.4174909394</v>
      </c>
      <c r="AW20" s="70">
        <f t="shared" si="13"/>
        <v>2197355.4248127318</v>
      </c>
      <c r="AX20" s="70">
        <f t="shared" si="13"/>
        <v>1494010.4174909394</v>
      </c>
      <c r="AY20" s="70">
        <f t="shared" si="13"/>
        <v>1494010.4174909394</v>
      </c>
      <c r="AZ20" s="70">
        <f t="shared" si="13"/>
        <v>1494010.4174909394</v>
      </c>
      <c r="BA20" s="70">
        <f t="shared" si="13"/>
        <v>1494010.4174909394</v>
      </c>
      <c r="BB20" s="70">
        <f t="shared" si="13"/>
        <v>1792812.5009891272</v>
      </c>
      <c r="BC20" s="70">
        <f t="shared" si="13"/>
        <v>2222814.2867784593</v>
      </c>
      <c r="BD20" s="70">
        <f t="shared" si="13"/>
        <v>1511339.5616641811</v>
      </c>
      <c r="BE20" s="70">
        <f t="shared" si="13"/>
        <v>1511339.5616641811</v>
      </c>
      <c r="BF20" s="70">
        <f t="shared" si="13"/>
        <v>1511339.5616641811</v>
      </c>
      <c r="BG20" s="70">
        <f t="shared" si="13"/>
        <v>1511339.5616641811</v>
      </c>
      <c r="BH20" s="70">
        <f t="shared" si="13"/>
        <v>1511339.5616641811</v>
      </c>
      <c r="BI20" s="70">
        <f t="shared" si="13"/>
        <v>2222814.2867784593</v>
      </c>
      <c r="BJ20" s="70">
        <f t="shared" si="13"/>
        <v>1511339.5616641811</v>
      </c>
      <c r="BK20" s="70">
        <f t="shared" si="13"/>
        <v>1511339.5616641811</v>
      </c>
      <c r="BL20" s="70">
        <f t="shared" si="13"/>
        <v>1511339.5616641811</v>
      </c>
      <c r="BM20" s="70">
        <f t="shared" si="13"/>
        <v>1511339.5616641811</v>
      </c>
      <c r="BN20" s="70">
        <f t="shared" si="13"/>
        <v>1813607.4739970174</v>
      </c>
      <c r="BP20" s="70">
        <f t="shared" ref="BP20:BT20" si="14">SUM(BP21:BP23)</f>
        <v>10046156.825394573</v>
      </c>
      <c r="BQ20" s="70">
        <f t="shared" si="14"/>
        <v>15281441.522936255</v>
      </c>
      <c r="BR20" s="70">
        <f t="shared" si="14"/>
        <v>19057818.141396731</v>
      </c>
      <c r="BS20" s="70">
        <f t="shared" si="14"/>
        <v>19633617.108033046</v>
      </c>
      <c r="BT20" s="70">
        <f t="shared" si="14"/>
        <v>19861292.102531567</v>
      </c>
    </row>
    <row r="21" spans="2:72">
      <c r="B21" s="37" t="str">
        <f>CaseData!$C$27</f>
        <v>Women's</v>
      </c>
      <c r="G21" s="72">
        <f t="shared" ref="G21:V23" si="15">SUMIFS(G$218:G$241,$C$218:$C$241,$B21)</f>
        <v>539040.69767441857</v>
      </c>
      <c r="H21" s="72">
        <f t="shared" si="15"/>
        <v>359360.46511627908</v>
      </c>
      <c r="I21" s="72">
        <f t="shared" si="15"/>
        <v>383110.46511627908</v>
      </c>
      <c r="J21" s="72">
        <f t="shared" si="15"/>
        <v>385089.63178294571</v>
      </c>
      <c r="K21" s="72">
        <f t="shared" si="15"/>
        <v>387068.7984496124</v>
      </c>
      <c r="L21" s="72">
        <f t="shared" si="15"/>
        <v>389047.96511627908</v>
      </c>
      <c r="M21" s="72">
        <f t="shared" si="15"/>
        <v>586540.69767441857</v>
      </c>
      <c r="N21" s="72">
        <f t="shared" si="15"/>
        <v>393006.2984496124</v>
      </c>
      <c r="O21" s="72">
        <f t="shared" si="15"/>
        <v>437267.34431090998</v>
      </c>
      <c r="P21" s="72">
        <f t="shared" si="15"/>
        <v>442770.00091046252</v>
      </c>
      <c r="Q21" s="72">
        <f t="shared" si="15"/>
        <v>448272.65751001507</v>
      </c>
      <c r="R21" s="72">
        <f t="shared" si="15"/>
        <v>544530.37693148118</v>
      </c>
      <c r="S21" s="72">
        <f t="shared" si="15"/>
        <v>695154.87379621004</v>
      </c>
      <c r="T21" s="72">
        <f t="shared" si="15"/>
        <v>469026.75895723305</v>
      </c>
      <c r="U21" s="72">
        <f t="shared" si="15"/>
        <v>575201.04753319221</v>
      </c>
      <c r="V21" s="72">
        <f t="shared" si="15"/>
        <v>587153.05687898654</v>
      </c>
      <c r="W21" s="72">
        <f t="shared" ref="W21:AL23" si="16">SUMIFS(W$218:W$241,$C$218:$C$241,$B21)</f>
        <v>599105.06622478098</v>
      </c>
      <c r="X21" s="72">
        <f t="shared" si="16"/>
        <v>611057.07557057543</v>
      </c>
      <c r="Y21" s="72">
        <f t="shared" si="16"/>
        <v>934513.62737455475</v>
      </c>
      <c r="Z21" s="72">
        <f t="shared" si="16"/>
        <v>634961.0942621642</v>
      </c>
      <c r="AA21" s="72">
        <f t="shared" si="16"/>
        <v>688200.26577012066</v>
      </c>
      <c r="AB21" s="72">
        <f t="shared" si="16"/>
        <v>700022.87196276197</v>
      </c>
      <c r="AC21" s="72">
        <f t="shared" si="16"/>
        <v>711845.47815540317</v>
      </c>
      <c r="AD21" s="72">
        <f t="shared" si="16"/>
        <v>868401.70121765311</v>
      </c>
      <c r="AE21" s="72">
        <f t="shared" si="16"/>
        <v>1106429.5757627718</v>
      </c>
      <c r="AF21" s="72">
        <f t="shared" si="16"/>
        <v>749394.30675851461</v>
      </c>
      <c r="AG21" s="72">
        <f t="shared" si="16"/>
        <v>761168.89634184795</v>
      </c>
      <c r="AH21" s="72">
        <f t="shared" si="16"/>
        <v>764597.56578629231</v>
      </c>
      <c r="AI21" s="72">
        <f t="shared" si="16"/>
        <v>768026.23523073678</v>
      </c>
      <c r="AJ21" s="72">
        <f t="shared" si="16"/>
        <v>771454.90467518126</v>
      </c>
      <c r="AK21" s="72">
        <f t="shared" si="16"/>
        <v>1162325.3611794384</v>
      </c>
      <c r="AL21" s="72">
        <f t="shared" si="16"/>
        <v>778312.2435640702</v>
      </c>
      <c r="AM21" s="72">
        <f t="shared" ref="AM21:BB23" si="17">SUMIFS(AM$218:AM$241,$C$218:$C$241,$B21)</f>
        <v>781740.91300851456</v>
      </c>
      <c r="AN21" s="72">
        <f t="shared" si="17"/>
        <v>781740.91300851456</v>
      </c>
      <c r="AO21" s="72">
        <f t="shared" si="17"/>
        <v>781740.91300851456</v>
      </c>
      <c r="AP21" s="72">
        <f t="shared" si="17"/>
        <v>938089.09561021766</v>
      </c>
      <c r="AQ21" s="72">
        <f t="shared" si="17"/>
        <v>1187410.7674083696</v>
      </c>
      <c r="AR21" s="72">
        <f t="shared" si="17"/>
        <v>791607.17827224638</v>
      </c>
      <c r="AS21" s="72">
        <f t="shared" si="17"/>
        <v>791607.17827224638</v>
      </c>
      <c r="AT21" s="72">
        <f t="shared" si="17"/>
        <v>791607.17827224638</v>
      </c>
      <c r="AU21" s="72">
        <f t="shared" si="17"/>
        <v>791607.17827224638</v>
      </c>
      <c r="AV21" s="72">
        <f t="shared" si="17"/>
        <v>791607.17827224638</v>
      </c>
      <c r="AW21" s="72">
        <f t="shared" si="17"/>
        <v>1187410.7674083696</v>
      </c>
      <c r="AX21" s="72">
        <f t="shared" si="17"/>
        <v>791607.17827224638</v>
      </c>
      <c r="AY21" s="72">
        <f t="shared" si="17"/>
        <v>791607.17827224638</v>
      </c>
      <c r="AZ21" s="72">
        <f t="shared" si="17"/>
        <v>791607.17827224638</v>
      </c>
      <c r="BA21" s="72">
        <f t="shared" si="17"/>
        <v>791607.17827224638</v>
      </c>
      <c r="BB21" s="72">
        <f t="shared" si="17"/>
        <v>949928.61392669566</v>
      </c>
      <c r="BC21" s="72">
        <f t="shared" ref="BC21:BN23" si="18">SUMIFS(BC$218:BC$241,$C$218:$C$241,$B21)</f>
        <v>1201843.5921836172</v>
      </c>
      <c r="BD21" s="72">
        <f t="shared" si="18"/>
        <v>801229.06145574478</v>
      </c>
      <c r="BE21" s="72">
        <f t="shared" si="18"/>
        <v>801229.06145574478</v>
      </c>
      <c r="BF21" s="72">
        <f t="shared" si="18"/>
        <v>801229.06145574478</v>
      </c>
      <c r="BG21" s="72">
        <f t="shared" si="18"/>
        <v>801229.06145574478</v>
      </c>
      <c r="BH21" s="72">
        <f t="shared" si="18"/>
        <v>801229.06145574478</v>
      </c>
      <c r="BI21" s="72">
        <f t="shared" si="18"/>
        <v>1201843.5921836172</v>
      </c>
      <c r="BJ21" s="72">
        <f t="shared" si="18"/>
        <v>801229.06145574478</v>
      </c>
      <c r="BK21" s="72">
        <f t="shared" si="18"/>
        <v>801229.06145574478</v>
      </c>
      <c r="BL21" s="72">
        <f t="shared" si="18"/>
        <v>801229.06145574478</v>
      </c>
      <c r="BM21" s="72">
        <f t="shared" si="18"/>
        <v>801229.06145574478</v>
      </c>
      <c r="BN21" s="72">
        <f t="shared" si="18"/>
        <v>961474.87374689383</v>
      </c>
      <c r="BP21" s="72">
        <f t="shared" ref="BP21:BT23" si="19">SUMIFS($G21:$BN21,$G$7:$BN$7,BP$7)</f>
        <v>5295105.3990427135</v>
      </c>
      <c r="BQ21" s="72">
        <f t="shared" si="19"/>
        <v>8074642.9177036351</v>
      </c>
      <c r="BR21" s="72">
        <f t="shared" si="19"/>
        <v>10145020.923934616</v>
      </c>
      <c r="BS21" s="72">
        <f t="shared" si="19"/>
        <v>10449214.753193652</v>
      </c>
      <c r="BT21" s="72">
        <f t="shared" si="19"/>
        <v>10576223.611215832</v>
      </c>
    </row>
    <row r="22" spans="2:72">
      <c r="B22" s="37" t="str">
        <f>CaseData!$D$27</f>
        <v>Men's</v>
      </c>
      <c r="G22" s="72">
        <f t="shared" si="15"/>
        <v>337360.46511627908</v>
      </c>
      <c r="H22" s="72">
        <f t="shared" si="15"/>
        <v>224906.97674418605</v>
      </c>
      <c r="I22" s="72">
        <f t="shared" si="15"/>
        <v>247066.06765327696</v>
      </c>
      <c r="J22" s="72">
        <f t="shared" si="15"/>
        <v>248912.65856236784</v>
      </c>
      <c r="K22" s="72">
        <f t="shared" si="15"/>
        <v>250759.24947145878</v>
      </c>
      <c r="L22" s="72">
        <f t="shared" si="15"/>
        <v>252605.84038054966</v>
      </c>
      <c r="M22" s="72">
        <f t="shared" si="15"/>
        <v>381678.64693446091</v>
      </c>
      <c r="N22" s="72">
        <f t="shared" si="15"/>
        <v>256299.02219873149</v>
      </c>
      <c r="O22" s="72">
        <f t="shared" si="15"/>
        <v>289521.45203399687</v>
      </c>
      <c r="P22" s="72">
        <f t="shared" si="15"/>
        <v>293982.69618693565</v>
      </c>
      <c r="Q22" s="72">
        <f t="shared" si="15"/>
        <v>298443.94033987448</v>
      </c>
      <c r="R22" s="72">
        <f t="shared" si="15"/>
        <v>363486.22139137588</v>
      </c>
      <c r="S22" s="72">
        <f t="shared" si="15"/>
        <v>465871.89305684995</v>
      </c>
      <c r="T22" s="72">
        <f t="shared" si="15"/>
        <v>315115.28230817022</v>
      </c>
      <c r="U22" s="72">
        <f t="shared" si="15"/>
        <v>368504.44276535639</v>
      </c>
      <c r="V22" s="72">
        <f t="shared" si="15"/>
        <v>375224.87111426605</v>
      </c>
      <c r="W22" s="72">
        <f t="shared" si="16"/>
        <v>381945.2994631757</v>
      </c>
      <c r="X22" s="72">
        <f t="shared" si="16"/>
        <v>388665.72781208536</v>
      </c>
      <c r="Y22" s="72">
        <f t="shared" si="16"/>
        <v>593079.23424149246</v>
      </c>
      <c r="Z22" s="72">
        <f t="shared" si="16"/>
        <v>402106.58450990467</v>
      </c>
      <c r="AA22" s="72">
        <f t="shared" si="16"/>
        <v>444313.49934530084</v>
      </c>
      <c r="AB22" s="72">
        <f t="shared" si="16"/>
        <v>451341.96823475102</v>
      </c>
      <c r="AC22" s="72">
        <f t="shared" si="16"/>
        <v>458370.43712420121</v>
      </c>
      <c r="AD22" s="72">
        <f t="shared" si="16"/>
        <v>558478.68721638166</v>
      </c>
      <c r="AE22" s="72">
        <f t="shared" si="16"/>
        <v>710995.9587863019</v>
      </c>
      <c r="AF22" s="72">
        <f t="shared" si="16"/>
        <v>480997.99405197904</v>
      </c>
      <c r="AG22" s="72">
        <f t="shared" si="16"/>
        <v>487998.6822464235</v>
      </c>
      <c r="AH22" s="72">
        <f t="shared" si="16"/>
        <v>490945.63780197903</v>
      </c>
      <c r="AI22" s="72">
        <f t="shared" si="16"/>
        <v>493892.59335753461</v>
      </c>
      <c r="AJ22" s="72">
        <f t="shared" si="16"/>
        <v>496839.54891309014</v>
      </c>
      <c r="AK22" s="72">
        <f t="shared" si="16"/>
        <v>749679.7567029685</v>
      </c>
      <c r="AL22" s="72">
        <f t="shared" si="16"/>
        <v>502733.46002420131</v>
      </c>
      <c r="AM22" s="72">
        <f t="shared" si="17"/>
        <v>505680.41557975684</v>
      </c>
      <c r="AN22" s="72">
        <f t="shared" si="17"/>
        <v>505680.41557975684</v>
      </c>
      <c r="AO22" s="72">
        <f t="shared" si="17"/>
        <v>505680.41557975684</v>
      </c>
      <c r="AP22" s="72">
        <f t="shared" si="17"/>
        <v>606816.49869570823</v>
      </c>
      <c r="AQ22" s="72">
        <f t="shared" si="17"/>
        <v>767387.98282837728</v>
      </c>
      <c r="AR22" s="72">
        <f t="shared" si="17"/>
        <v>511591.9885522516</v>
      </c>
      <c r="AS22" s="72">
        <f t="shared" si="17"/>
        <v>511591.9885522516</v>
      </c>
      <c r="AT22" s="72">
        <f t="shared" si="17"/>
        <v>511591.9885522516</v>
      </c>
      <c r="AU22" s="72">
        <f t="shared" si="17"/>
        <v>511591.9885522516</v>
      </c>
      <c r="AV22" s="72">
        <f t="shared" si="17"/>
        <v>511591.9885522516</v>
      </c>
      <c r="AW22" s="72">
        <f t="shared" si="17"/>
        <v>767387.98282837728</v>
      </c>
      <c r="AX22" s="72">
        <f t="shared" si="17"/>
        <v>511591.9885522516</v>
      </c>
      <c r="AY22" s="72">
        <f t="shared" si="17"/>
        <v>511591.9885522516</v>
      </c>
      <c r="AZ22" s="72">
        <f t="shared" si="17"/>
        <v>511591.9885522516</v>
      </c>
      <c r="BA22" s="72">
        <f t="shared" si="17"/>
        <v>511591.9885522516</v>
      </c>
      <c r="BB22" s="72">
        <f t="shared" si="17"/>
        <v>613910.38626270194</v>
      </c>
      <c r="BC22" s="72">
        <f t="shared" si="18"/>
        <v>775442.60727366421</v>
      </c>
      <c r="BD22" s="72">
        <f t="shared" si="18"/>
        <v>516961.73818244279</v>
      </c>
      <c r="BE22" s="72">
        <f t="shared" si="18"/>
        <v>516961.73818244279</v>
      </c>
      <c r="BF22" s="72">
        <f t="shared" si="18"/>
        <v>516961.73818244279</v>
      </c>
      <c r="BG22" s="72">
        <f t="shared" si="18"/>
        <v>516961.73818244279</v>
      </c>
      <c r="BH22" s="72">
        <f t="shared" si="18"/>
        <v>516961.73818244279</v>
      </c>
      <c r="BI22" s="72">
        <f t="shared" si="18"/>
        <v>775442.60727366421</v>
      </c>
      <c r="BJ22" s="72">
        <f t="shared" si="18"/>
        <v>516961.73818244279</v>
      </c>
      <c r="BK22" s="72">
        <f t="shared" si="18"/>
        <v>516961.73818244279</v>
      </c>
      <c r="BL22" s="72">
        <f t="shared" si="18"/>
        <v>516961.73818244279</v>
      </c>
      <c r="BM22" s="72">
        <f t="shared" si="18"/>
        <v>516961.73818244279</v>
      </c>
      <c r="BN22" s="72">
        <f t="shared" si="18"/>
        <v>620354.08581893134</v>
      </c>
      <c r="BP22" s="72">
        <f t="shared" si="19"/>
        <v>3445023.2370134937</v>
      </c>
      <c r="BQ22" s="72">
        <f t="shared" si="19"/>
        <v>5203017.9271919355</v>
      </c>
      <c r="BR22" s="72">
        <f t="shared" si="19"/>
        <v>6537941.3773194561</v>
      </c>
      <c r="BS22" s="72">
        <f t="shared" si="19"/>
        <v>6753014.2488897219</v>
      </c>
      <c r="BT22" s="72">
        <f t="shared" si="19"/>
        <v>6823894.9440082461</v>
      </c>
    </row>
    <row r="23" spans="2:72">
      <c r="B23" s="37" t="str">
        <f>CaseData!$E$27</f>
        <v>Accessories</v>
      </c>
      <c r="G23" s="72">
        <f t="shared" si="15"/>
        <v>127552.32558139534</v>
      </c>
      <c r="H23" s="72">
        <f t="shared" si="15"/>
        <v>85034.883720930229</v>
      </c>
      <c r="I23" s="72">
        <f t="shared" si="15"/>
        <v>91853.065539112053</v>
      </c>
      <c r="J23" s="72">
        <f t="shared" si="15"/>
        <v>92421.247357293862</v>
      </c>
      <c r="K23" s="72">
        <f t="shared" si="15"/>
        <v>92989.429175475685</v>
      </c>
      <c r="L23" s="72">
        <f t="shared" si="15"/>
        <v>93557.610993657494</v>
      </c>
      <c r="M23" s="72">
        <f t="shared" si="15"/>
        <v>141188.68921775898</v>
      </c>
      <c r="N23" s="72">
        <f t="shared" si="15"/>
        <v>94693.974630021141</v>
      </c>
      <c r="O23" s="72">
        <f t="shared" si="15"/>
        <v>112711.82087773315</v>
      </c>
      <c r="P23" s="72">
        <f t="shared" si="15"/>
        <v>114734.14139837582</v>
      </c>
      <c r="Q23" s="72">
        <f t="shared" si="15"/>
        <v>116756.4619190185</v>
      </c>
      <c r="R23" s="72">
        <f t="shared" si="15"/>
        <v>142534.53892759338</v>
      </c>
      <c r="S23" s="72">
        <f t="shared" si="15"/>
        <v>182975.53937558248</v>
      </c>
      <c r="T23" s="72">
        <f t="shared" si="15"/>
        <v>124036.98120534325</v>
      </c>
      <c r="U23" s="72">
        <f t="shared" si="15"/>
        <v>142255.5732319493</v>
      </c>
      <c r="V23" s="72">
        <f t="shared" si="15"/>
        <v>145076.01521014245</v>
      </c>
      <c r="W23" s="72">
        <f t="shared" si="16"/>
        <v>147896.4571883356</v>
      </c>
      <c r="X23" s="72">
        <f t="shared" si="16"/>
        <v>150716.89916652875</v>
      </c>
      <c r="Y23" s="72">
        <f t="shared" si="16"/>
        <v>228402.65624834661</v>
      </c>
      <c r="Z23" s="72">
        <f t="shared" si="16"/>
        <v>156357.78312291505</v>
      </c>
      <c r="AA23" s="72">
        <f t="shared" si="16"/>
        <v>169414.71158759468</v>
      </c>
      <c r="AB23" s="72">
        <f t="shared" si="16"/>
        <v>171614.86077299502</v>
      </c>
      <c r="AC23" s="72">
        <f t="shared" si="16"/>
        <v>173815.00995839539</v>
      </c>
      <c r="AD23" s="72">
        <f t="shared" si="16"/>
        <v>211218.1909725549</v>
      </c>
      <c r="AE23" s="72">
        <f t="shared" si="16"/>
        <v>236728.10911919063</v>
      </c>
      <c r="AF23" s="72">
        <f t="shared" si="16"/>
        <v>181184.14554442692</v>
      </c>
      <c r="AG23" s="72">
        <f t="shared" si="16"/>
        <v>183375.53747151027</v>
      </c>
      <c r="AH23" s="72">
        <f t="shared" si="16"/>
        <v>184225.62080484361</v>
      </c>
      <c r="AI23" s="72">
        <f t="shared" si="16"/>
        <v>185075.70413817692</v>
      </c>
      <c r="AJ23" s="72">
        <f t="shared" si="16"/>
        <v>185925.78747151027</v>
      </c>
      <c r="AK23" s="72">
        <f t="shared" si="16"/>
        <v>239115.62407447968</v>
      </c>
      <c r="AL23" s="72">
        <f t="shared" si="16"/>
        <v>187625.95413817692</v>
      </c>
      <c r="AM23" s="72">
        <f t="shared" si="17"/>
        <v>188476.03747151027</v>
      </c>
      <c r="AN23" s="72">
        <f t="shared" si="17"/>
        <v>188476.03747151027</v>
      </c>
      <c r="AO23" s="72">
        <f t="shared" si="17"/>
        <v>188476.03747151027</v>
      </c>
      <c r="AP23" s="72">
        <f t="shared" si="17"/>
        <v>226171.24496581231</v>
      </c>
      <c r="AQ23" s="72">
        <f t="shared" si="17"/>
        <v>242556.67457598477</v>
      </c>
      <c r="AR23" s="72">
        <f t="shared" si="17"/>
        <v>190811.25066644137</v>
      </c>
      <c r="AS23" s="72">
        <f t="shared" si="17"/>
        <v>190811.25066644137</v>
      </c>
      <c r="AT23" s="72">
        <f t="shared" si="17"/>
        <v>190811.25066644137</v>
      </c>
      <c r="AU23" s="72">
        <f t="shared" si="17"/>
        <v>190811.25066644137</v>
      </c>
      <c r="AV23" s="72">
        <f t="shared" si="17"/>
        <v>190811.25066644137</v>
      </c>
      <c r="AW23" s="72">
        <f t="shared" si="17"/>
        <v>242556.67457598477</v>
      </c>
      <c r="AX23" s="72">
        <f t="shared" si="17"/>
        <v>190811.25066644137</v>
      </c>
      <c r="AY23" s="72">
        <f t="shared" si="17"/>
        <v>190811.25066644137</v>
      </c>
      <c r="AZ23" s="72">
        <f t="shared" si="17"/>
        <v>190811.25066644137</v>
      </c>
      <c r="BA23" s="72">
        <f t="shared" si="17"/>
        <v>190811.25066644137</v>
      </c>
      <c r="BB23" s="72">
        <f t="shared" si="17"/>
        <v>228973.50079972963</v>
      </c>
      <c r="BC23" s="72">
        <f t="shared" si="18"/>
        <v>245528.08732117809</v>
      </c>
      <c r="BD23" s="72">
        <f t="shared" si="18"/>
        <v>193148.76202599346</v>
      </c>
      <c r="BE23" s="72">
        <f t="shared" si="18"/>
        <v>193148.76202599346</v>
      </c>
      <c r="BF23" s="72">
        <f t="shared" si="18"/>
        <v>193148.76202599346</v>
      </c>
      <c r="BG23" s="72">
        <f t="shared" si="18"/>
        <v>193148.76202599346</v>
      </c>
      <c r="BH23" s="72">
        <f t="shared" si="18"/>
        <v>193148.76202599346</v>
      </c>
      <c r="BI23" s="72">
        <f t="shared" si="18"/>
        <v>245528.08732117809</v>
      </c>
      <c r="BJ23" s="72">
        <f t="shared" si="18"/>
        <v>193148.76202599346</v>
      </c>
      <c r="BK23" s="72">
        <f t="shared" si="18"/>
        <v>193148.76202599346</v>
      </c>
      <c r="BL23" s="72">
        <f t="shared" si="18"/>
        <v>193148.76202599346</v>
      </c>
      <c r="BM23" s="72">
        <f t="shared" si="18"/>
        <v>193148.76202599346</v>
      </c>
      <c r="BN23" s="72">
        <f t="shared" si="18"/>
        <v>231778.51443119216</v>
      </c>
      <c r="BP23" s="72">
        <f t="shared" si="19"/>
        <v>1306028.1893383656</v>
      </c>
      <c r="BQ23" s="72">
        <f t="shared" si="19"/>
        <v>2003780.6780406833</v>
      </c>
      <c r="BR23" s="72">
        <f t="shared" si="19"/>
        <v>2374855.8401426584</v>
      </c>
      <c r="BS23" s="72">
        <f t="shared" si="19"/>
        <v>2431388.1059496715</v>
      </c>
      <c r="BT23" s="72">
        <f t="shared" si="19"/>
        <v>2461173.5473074894</v>
      </c>
    </row>
    <row r="25" spans="2:72">
      <c r="B25" s="3" t="s">
        <v>58</v>
      </c>
      <c r="G25" s="70">
        <f>SUM(G26:G33)</f>
        <v>1003953.4883720931</v>
      </c>
      <c r="H25" s="70">
        <f t="shared" ref="H25:BN25" si="20">SUM(H26:H33)</f>
        <v>669302.3255813953</v>
      </c>
      <c r="I25" s="70">
        <f t="shared" si="20"/>
        <v>722029.59830866801</v>
      </c>
      <c r="J25" s="70">
        <f t="shared" si="20"/>
        <v>726423.53770260746</v>
      </c>
      <c r="K25" s="70">
        <f t="shared" si="20"/>
        <v>730817.47709654679</v>
      </c>
      <c r="L25" s="70">
        <f t="shared" si="20"/>
        <v>735211.41649048624</v>
      </c>
      <c r="M25" s="70">
        <f t="shared" si="20"/>
        <v>1109408.0338266385</v>
      </c>
      <c r="N25" s="70">
        <f t="shared" si="20"/>
        <v>743999.29527836503</v>
      </c>
      <c r="O25" s="70">
        <f t="shared" si="20"/>
        <v>839500.61722263996</v>
      </c>
      <c r="P25" s="70">
        <f t="shared" si="20"/>
        <v>851486.83849577396</v>
      </c>
      <c r="Q25" s="70">
        <f t="shared" si="20"/>
        <v>863473.05976890796</v>
      </c>
      <c r="R25" s="70">
        <f t="shared" si="20"/>
        <v>1050551.1372504504</v>
      </c>
      <c r="S25" s="70">
        <f t="shared" si="20"/>
        <v>1344002.3062286424</v>
      </c>
      <c r="T25" s="70">
        <f t="shared" si="20"/>
        <v>908179.02247074666</v>
      </c>
      <c r="U25" s="70">
        <f t="shared" si="20"/>
        <v>1085961.063530498</v>
      </c>
      <c r="V25" s="70">
        <f t="shared" si="20"/>
        <v>1107453.943203395</v>
      </c>
      <c r="W25" s="70">
        <f t="shared" si="20"/>
        <v>1128946.8228762923</v>
      </c>
      <c r="X25" s="70">
        <f t="shared" si="20"/>
        <v>1150439.7025491896</v>
      </c>
      <c r="Y25" s="70">
        <f t="shared" si="20"/>
        <v>1755995.5178643938</v>
      </c>
      <c r="Z25" s="70">
        <f t="shared" si="20"/>
        <v>1193425.4618949839</v>
      </c>
      <c r="AA25" s="70">
        <f t="shared" si="20"/>
        <v>1301928.4767030163</v>
      </c>
      <c r="AB25" s="70">
        <f t="shared" si="20"/>
        <v>1322979.7009705082</v>
      </c>
      <c r="AC25" s="70">
        <f t="shared" si="20"/>
        <v>1344030.9252379998</v>
      </c>
      <c r="AD25" s="70">
        <f t="shared" si="20"/>
        <v>1638098.57940659</v>
      </c>
      <c r="AE25" s="70">
        <f t="shared" si="20"/>
        <v>2054153.6436682644</v>
      </c>
      <c r="AF25" s="70">
        <f t="shared" si="20"/>
        <v>1411576.4463549205</v>
      </c>
      <c r="AG25" s="70">
        <f t="shared" si="20"/>
        <v>1432543.1160597815</v>
      </c>
      <c r="AH25" s="70">
        <f t="shared" si="20"/>
        <v>1439768.8243931148</v>
      </c>
      <c r="AI25" s="70">
        <f t="shared" si="20"/>
        <v>1446994.5327264483</v>
      </c>
      <c r="AJ25" s="70">
        <f t="shared" si="20"/>
        <v>1454220.2410597815</v>
      </c>
      <c r="AK25" s="70">
        <f t="shared" si="20"/>
        <v>2151120.7419568868</v>
      </c>
      <c r="AL25" s="70">
        <f t="shared" si="20"/>
        <v>1468671.6577264483</v>
      </c>
      <c r="AM25" s="70">
        <f t="shared" si="20"/>
        <v>1475897.3660597815</v>
      </c>
      <c r="AN25" s="70">
        <f t="shared" si="20"/>
        <v>1475897.3660597815</v>
      </c>
      <c r="AO25" s="70">
        <f t="shared" si="20"/>
        <v>1475897.3660597815</v>
      </c>
      <c r="AP25" s="70">
        <f t="shared" si="20"/>
        <v>1771076.8392717382</v>
      </c>
      <c r="AQ25" s="70">
        <f t="shared" si="20"/>
        <v>2197355.4248127318</v>
      </c>
      <c r="AR25" s="70">
        <f t="shared" si="20"/>
        <v>1494010.4174909391</v>
      </c>
      <c r="AS25" s="70">
        <f t="shared" si="20"/>
        <v>1494010.4174909391</v>
      </c>
      <c r="AT25" s="70">
        <f t="shared" si="20"/>
        <v>1494010.4174909391</v>
      </c>
      <c r="AU25" s="70">
        <f t="shared" si="20"/>
        <v>1494010.4174909391</v>
      </c>
      <c r="AV25" s="70">
        <f t="shared" si="20"/>
        <v>1494010.4174909391</v>
      </c>
      <c r="AW25" s="70">
        <f t="shared" si="20"/>
        <v>2197355.4248127318</v>
      </c>
      <c r="AX25" s="70">
        <f t="shared" si="20"/>
        <v>1494010.4174909391</v>
      </c>
      <c r="AY25" s="70">
        <f t="shared" si="20"/>
        <v>1494010.4174909391</v>
      </c>
      <c r="AZ25" s="70">
        <f t="shared" si="20"/>
        <v>1494010.4174909391</v>
      </c>
      <c r="BA25" s="70">
        <f t="shared" si="20"/>
        <v>1494010.4174909391</v>
      </c>
      <c r="BB25" s="70">
        <f t="shared" si="20"/>
        <v>1792812.500989127</v>
      </c>
      <c r="BC25" s="70">
        <f t="shared" si="20"/>
        <v>2222814.2867784593</v>
      </c>
      <c r="BD25" s="70">
        <f t="shared" si="20"/>
        <v>1511339.5616641811</v>
      </c>
      <c r="BE25" s="70">
        <f t="shared" si="20"/>
        <v>1511339.5616641811</v>
      </c>
      <c r="BF25" s="70">
        <f t="shared" si="20"/>
        <v>1511339.5616641811</v>
      </c>
      <c r="BG25" s="70">
        <f t="shared" si="20"/>
        <v>1511339.5616641811</v>
      </c>
      <c r="BH25" s="70">
        <f t="shared" si="20"/>
        <v>1511339.5616641811</v>
      </c>
      <c r="BI25" s="70">
        <f t="shared" si="20"/>
        <v>2222814.2867784593</v>
      </c>
      <c r="BJ25" s="70">
        <f t="shared" si="20"/>
        <v>1511339.5616641811</v>
      </c>
      <c r="BK25" s="70">
        <f t="shared" si="20"/>
        <v>1511339.5616641811</v>
      </c>
      <c r="BL25" s="70">
        <f t="shared" si="20"/>
        <v>1511339.5616641811</v>
      </c>
      <c r="BM25" s="70">
        <f t="shared" si="20"/>
        <v>1511339.5616641811</v>
      </c>
      <c r="BN25" s="70">
        <f t="shared" si="20"/>
        <v>1813607.4739970171</v>
      </c>
      <c r="BP25" s="70">
        <f t="shared" ref="BP25:BT25" si="21">SUM(BP26:BP33)</f>
        <v>10046156.825394573</v>
      </c>
      <c r="BQ25" s="70">
        <f t="shared" si="21"/>
        <v>15281441.522936253</v>
      </c>
      <c r="BR25" s="70">
        <f t="shared" si="21"/>
        <v>19057818.141396731</v>
      </c>
      <c r="BS25" s="70">
        <f t="shared" si="21"/>
        <v>19633617.108033042</v>
      </c>
      <c r="BT25" s="70">
        <f t="shared" si="21"/>
        <v>19861292.102531567</v>
      </c>
    </row>
    <row r="26" spans="2:72">
      <c r="B26" s="37" t="str">
        <f>CaseData!D10</f>
        <v>France</v>
      </c>
      <c r="C26" s="37"/>
      <c r="G26" s="72">
        <f t="shared" ref="G26:V33" si="22">SUMIFS(G$218:G$241,$E$218:$E$241,$B26)</f>
        <v>295500</v>
      </c>
      <c r="H26" s="72">
        <f t="shared" si="22"/>
        <v>197000</v>
      </c>
      <c r="I26" s="72">
        <f t="shared" si="22"/>
        <v>197000</v>
      </c>
      <c r="J26" s="72">
        <f t="shared" si="22"/>
        <v>197000</v>
      </c>
      <c r="K26" s="72">
        <f t="shared" si="22"/>
        <v>197000</v>
      </c>
      <c r="L26" s="72">
        <f t="shared" si="22"/>
        <v>197000</v>
      </c>
      <c r="M26" s="72">
        <f t="shared" si="22"/>
        <v>295500</v>
      </c>
      <c r="N26" s="72">
        <f t="shared" si="22"/>
        <v>197000</v>
      </c>
      <c r="O26" s="72">
        <f t="shared" si="22"/>
        <v>197000</v>
      </c>
      <c r="P26" s="72">
        <f t="shared" si="22"/>
        <v>197000</v>
      </c>
      <c r="Q26" s="72">
        <f t="shared" si="22"/>
        <v>197000</v>
      </c>
      <c r="R26" s="72">
        <f t="shared" si="22"/>
        <v>236400</v>
      </c>
      <c r="S26" s="72">
        <f t="shared" si="22"/>
        <v>296977.5</v>
      </c>
      <c r="T26" s="72">
        <f t="shared" si="22"/>
        <v>197985</v>
      </c>
      <c r="U26" s="72">
        <f t="shared" si="22"/>
        <v>197985</v>
      </c>
      <c r="V26" s="72">
        <f t="shared" si="22"/>
        <v>197985</v>
      </c>
      <c r="W26" s="72">
        <f t="shared" ref="W26:AL33" si="23">SUMIFS(W$218:W$241,$E$218:$E$241,$B26)</f>
        <v>197985</v>
      </c>
      <c r="X26" s="72">
        <f t="shared" si="23"/>
        <v>197985</v>
      </c>
      <c r="Y26" s="72">
        <f t="shared" si="23"/>
        <v>296491.61157024791</v>
      </c>
      <c r="Z26" s="72">
        <f t="shared" si="23"/>
        <v>197985</v>
      </c>
      <c r="AA26" s="72">
        <f t="shared" si="23"/>
        <v>197985</v>
      </c>
      <c r="AB26" s="72">
        <f t="shared" si="23"/>
        <v>197985</v>
      </c>
      <c r="AC26" s="72">
        <f t="shared" si="23"/>
        <v>197985</v>
      </c>
      <c r="AD26" s="72">
        <f t="shared" si="23"/>
        <v>237581.99999999997</v>
      </c>
      <c r="AE26" s="72">
        <f t="shared" si="23"/>
        <v>291472.73249448929</v>
      </c>
      <c r="AF26" s="72">
        <f t="shared" si="23"/>
        <v>198974.92499999993</v>
      </c>
      <c r="AG26" s="72">
        <f t="shared" si="23"/>
        <v>198974.92499999993</v>
      </c>
      <c r="AH26" s="72">
        <f t="shared" si="23"/>
        <v>198974.92499999993</v>
      </c>
      <c r="AI26" s="72">
        <f t="shared" si="23"/>
        <v>198974.92499999993</v>
      </c>
      <c r="AJ26" s="72">
        <f t="shared" si="23"/>
        <v>198974.92499999993</v>
      </c>
      <c r="AK26" s="72">
        <f t="shared" si="23"/>
        <v>289805.33822901838</v>
      </c>
      <c r="AL26" s="72">
        <f t="shared" si="23"/>
        <v>198974.92499999993</v>
      </c>
      <c r="AM26" s="72">
        <f t="shared" ref="AM26:BB33" si="24">SUMIFS(AM$218:AM$241,$E$218:$E$241,$B26)</f>
        <v>198974.92499999993</v>
      </c>
      <c r="AN26" s="72">
        <f t="shared" si="24"/>
        <v>198974.92499999993</v>
      </c>
      <c r="AO26" s="72">
        <f t="shared" si="24"/>
        <v>198974.92499999993</v>
      </c>
      <c r="AP26" s="72">
        <f t="shared" si="24"/>
        <v>238769.90999999992</v>
      </c>
      <c r="AQ26" s="72">
        <f t="shared" si="24"/>
        <v>292343.69028813555</v>
      </c>
      <c r="AR26" s="72">
        <f t="shared" si="24"/>
        <v>200964.67424999995</v>
      </c>
      <c r="AS26" s="72">
        <f t="shared" si="24"/>
        <v>200964.67424999995</v>
      </c>
      <c r="AT26" s="72">
        <f t="shared" si="24"/>
        <v>200964.67424999995</v>
      </c>
      <c r="AU26" s="72">
        <f t="shared" si="24"/>
        <v>200964.67424999995</v>
      </c>
      <c r="AV26" s="72">
        <f t="shared" si="24"/>
        <v>200964.67424999995</v>
      </c>
      <c r="AW26" s="72">
        <f t="shared" si="24"/>
        <v>292343.69028813555</v>
      </c>
      <c r="AX26" s="72">
        <f t="shared" si="24"/>
        <v>200964.67424999995</v>
      </c>
      <c r="AY26" s="72">
        <f t="shared" si="24"/>
        <v>200964.67424999995</v>
      </c>
      <c r="AZ26" s="72">
        <f t="shared" si="24"/>
        <v>200964.67424999995</v>
      </c>
      <c r="BA26" s="72">
        <f t="shared" si="24"/>
        <v>200964.67424999995</v>
      </c>
      <c r="BB26" s="72">
        <f t="shared" si="24"/>
        <v>241157.60909999991</v>
      </c>
      <c r="BC26" s="72">
        <f t="shared" ref="BC26:BN33" si="25">SUMIFS(BC$218:BC$241,$E$218:$E$241,$B26)</f>
        <v>299652.28254533885</v>
      </c>
      <c r="BD26" s="72">
        <f t="shared" si="25"/>
        <v>205988.7911062499</v>
      </c>
      <c r="BE26" s="72">
        <f t="shared" si="25"/>
        <v>205988.7911062499</v>
      </c>
      <c r="BF26" s="72">
        <f t="shared" si="25"/>
        <v>205988.7911062499</v>
      </c>
      <c r="BG26" s="72">
        <f t="shared" si="25"/>
        <v>205988.7911062499</v>
      </c>
      <c r="BH26" s="72">
        <f t="shared" si="25"/>
        <v>205988.7911062499</v>
      </c>
      <c r="BI26" s="72">
        <f t="shared" si="25"/>
        <v>299652.28254533885</v>
      </c>
      <c r="BJ26" s="72">
        <f t="shared" si="25"/>
        <v>205988.7911062499</v>
      </c>
      <c r="BK26" s="72">
        <f t="shared" si="25"/>
        <v>205988.7911062499</v>
      </c>
      <c r="BL26" s="72">
        <f t="shared" si="25"/>
        <v>205988.7911062499</v>
      </c>
      <c r="BM26" s="72">
        <f t="shared" si="25"/>
        <v>205988.7911062499</v>
      </c>
      <c r="BN26" s="72">
        <f t="shared" si="25"/>
        <v>247186.5493274999</v>
      </c>
      <c r="BP26" s="72">
        <f t="shared" ref="BP26:BT33" si="26">SUMIFS($G26:$BN26,$G$7:$BN$7,BP$7)</f>
        <v>2600400</v>
      </c>
      <c r="BQ26" s="72">
        <f t="shared" si="26"/>
        <v>2612916.1115702479</v>
      </c>
      <c r="BR26" s="72">
        <f t="shared" si="26"/>
        <v>2610822.305723506</v>
      </c>
      <c r="BS26" s="72">
        <f t="shared" si="26"/>
        <v>2634527.0579262706</v>
      </c>
      <c r="BT26" s="72">
        <f t="shared" si="26"/>
        <v>2700390.2343744268</v>
      </c>
    </row>
    <row r="27" spans="2:72">
      <c r="B27" s="37" t="str">
        <f>CaseData!D11</f>
        <v>Italy</v>
      </c>
      <c r="G27" s="72">
        <f t="shared" si="22"/>
        <v>345750</v>
      </c>
      <c r="H27" s="72">
        <f t="shared" si="22"/>
        <v>230500</v>
      </c>
      <c r="I27" s="72">
        <f t="shared" si="22"/>
        <v>230500</v>
      </c>
      <c r="J27" s="72">
        <f t="shared" si="22"/>
        <v>230500</v>
      </c>
      <c r="K27" s="72">
        <f t="shared" si="22"/>
        <v>230500</v>
      </c>
      <c r="L27" s="72">
        <f t="shared" si="22"/>
        <v>230500</v>
      </c>
      <c r="M27" s="72">
        <f t="shared" si="22"/>
        <v>345750</v>
      </c>
      <c r="N27" s="72">
        <f t="shared" si="22"/>
        <v>230500</v>
      </c>
      <c r="O27" s="72">
        <f t="shared" si="22"/>
        <v>230500</v>
      </c>
      <c r="P27" s="72">
        <f t="shared" si="22"/>
        <v>230500</v>
      </c>
      <c r="Q27" s="72">
        <f t="shared" si="22"/>
        <v>230500</v>
      </c>
      <c r="R27" s="72">
        <f t="shared" si="22"/>
        <v>276600</v>
      </c>
      <c r="S27" s="72">
        <f t="shared" si="22"/>
        <v>347478.74999999994</v>
      </c>
      <c r="T27" s="72">
        <f t="shared" si="22"/>
        <v>231652.49999999997</v>
      </c>
      <c r="U27" s="72">
        <f t="shared" si="22"/>
        <v>231652.49999999997</v>
      </c>
      <c r="V27" s="72">
        <f t="shared" si="22"/>
        <v>231652.49999999997</v>
      </c>
      <c r="W27" s="72">
        <f t="shared" si="23"/>
        <v>231652.49999999997</v>
      </c>
      <c r="X27" s="72">
        <f t="shared" si="23"/>
        <v>231652.49999999997</v>
      </c>
      <c r="Y27" s="72">
        <f t="shared" si="23"/>
        <v>347198.42975206603</v>
      </c>
      <c r="Z27" s="72">
        <f t="shared" si="23"/>
        <v>231652.49999999997</v>
      </c>
      <c r="AA27" s="72">
        <f t="shared" si="23"/>
        <v>231652.49999999997</v>
      </c>
      <c r="AB27" s="72">
        <f t="shared" si="23"/>
        <v>231652.49999999997</v>
      </c>
      <c r="AC27" s="72">
        <f t="shared" si="23"/>
        <v>231652.49999999997</v>
      </c>
      <c r="AD27" s="72">
        <f t="shared" si="23"/>
        <v>277982.99999999994</v>
      </c>
      <c r="AE27" s="72">
        <f t="shared" si="23"/>
        <v>345183.65047758992</v>
      </c>
      <c r="AF27" s="72">
        <f t="shared" si="23"/>
        <v>232810.76249999995</v>
      </c>
      <c r="AG27" s="72">
        <f t="shared" si="23"/>
        <v>232810.76249999995</v>
      </c>
      <c r="AH27" s="72">
        <f t="shared" si="23"/>
        <v>232810.76249999995</v>
      </c>
      <c r="AI27" s="72">
        <f t="shared" si="23"/>
        <v>232810.76249999995</v>
      </c>
      <c r="AJ27" s="72">
        <f t="shared" si="23"/>
        <v>232810.76249999995</v>
      </c>
      <c r="AK27" s="72">
        <f t="shared" si="23"/>
        <v>344221.6922475106</v>
      </c>
      <c r="AL27" s="72">
        <f t="shared" si="23"/>
        <v>232810.76249999995</v>
      </c>
      <c r="AM27" s="72">
        <f t="shared" si="24"/>
        <v>232810.76249999995</v>
      </c>
      <c r="AN27" s="72">
        <f t="shared" si="24"/>
        <v>232810.76249999995</v>
      </c>
      <c r="AO27" s="72">
        <f t="shared" si="24"/>
        <v>232810.76249999995</v>
      </c>
      <c r="AP27" s="72">
        <f t="shared" si="24"/>
        <v>279372.91499999992</v>
      </c>
      <c r="AQ27" s="72">
        <f t="shared" si="24"/>
        <v>347456.38917584735</v>
      </c>
      <c r="AR27" s="72">
        <f t="shared" si="24"/>
        <v>235138.87012499996</v>
      </c>
      <c r="AS27" s="72">
        <f t="shared" si="24"/>
        <v>235138.87012499996</v>
      </c>
      <c r="AT27" s="72">
        <f t="shared" si="24"/>
        <v>235138.87012499996</v>
      </c>
      <c r="AU27" s="72">
        <f t="shared" si="24"/>
        <v>235138.87012499996</v>
      </c>
      <c r="AV27" s="72">
        <f t="shared" si="24"/>
        <v>235138.87012499996</v>
      </c>
      <c r="AW27" s="72">
        <f t="shared" si="24"/>
        <v>347456.38917584735</v>
      </c>
      <c r="AX27" s="72">
        <f t="shared" si="24"/>
        <v>235138.87012499996</v>
      </c>
      <c r="AY27" s="72">
        <f t="shared" si="24"/>
        <v>235138.87012499996</v>
      </c>
      <c r="AZ27" s="72">
        <f t="shared" si="24"/>
        <v>235138.87012499996</v>
      </c>
      <c r="BA27" s="72">
        <f t="shared" si="24"/>
        <v>235138.87012499996</v>
      </c>
      <c r="BB27" s="72">
        <f t="shared" si="24"/>
        <v>282166.64414999995</v>
      </c>
      <c r="BC27" s="72">
        <f t="shared" si="25"/>
        <v>356142.79890524352</v>
      </c>
      <c r="BD27" s="72">
        <f t="shared" si="25"/>
        <v>241017.34187812492</v>
      </c>
      <c r="BE27" s="72">
        <f t="shared" si="25"/>
        <v>241017.34187812492</v>
      </c>
      <c r="BF27" s="72">
        <f t="shared" si="25"/>
        <v>241017.34187812492</v>
      </c>
      <c r="BG27" s="72">
        <f t="shared" si="25"/>
        <v>241017.34187812492</v>
      </c>
      <c r="BH27" s="72">
        <f t="shared" si="25"/>
        <v>241017.34187812492</v>
      </c>
      <c r="BI27" s="72">
        <f t="shared" si="25"/>
        <v>356142.79890524352</v>
      </c>
      <c r="BJ27" s="72">
        <f t="shared" si="25"/>
        <v>241017.34187812492</v>
      </c>
      <c r="BK27" s="72">
        <f t="shared" si="25"/>
        <v>241017.34187812492</v>
      </c>
      <c r="BL27" s="72">
        <f t="shared" si="25"/>
        <v>241017.34187812492</v>
      </c>
      <c r="BM27" s="72">
        <f t="shared" si="25"/>
        <v>241017.34187812492</v>
      </c>
      <c r="BN27" s="72">
        <f t="shared" si="25"/>
        <v>289220.81025374989</v>
      </c>
      <c r="BP27" s="72">
        <f t="shared" si="26"/>
        <v>3042600</v>
      </c>
      <c r="BQ27" s="72">
        <f t="shared" si="26"/>
        <v>3057532.6797520658</v>
      </c>
      <c r="BR27" s="72">
        <f t="shared" si="26"/>
        <v>3064075.1202251008</v>
      </c>
      <c r="BS27" s="72">
        <f t="shared" si="26"/>
        <v>3093329.253626694</v>
      </c>
      <c r="BT27" s="72">
        <f t="shared" si="26"/>
        <v>3170662.4849673617</v>
      </c>
    </row>
    <row r="28" spans="2:72">
      <c r="B28" s="37" t="str">
        <f>CaseData!D12</f>
        <v>Spain</v>
      </c>
      <c r="G28" s="72">
        <f t="shared" si="22"/>
        <v>180000</v>
      </c>
      <c r="H28" s="72">
        <f t="shared" si="22"/>
        <v>120000</v>
      </c>
      <c r="I28" s="72">
        <f t="shared" si="22"/>
        <v>120000</v>
      </c>
      <c r="J28" s="72">
        <f t="shared" si="22"/>
        <v>120000</v>
      </c>
      <c r="K28" s="72">
        <f t="shared" si="22"/>
        <v>120000</v>
      </c>
      <c r="L28" s="72">
        <f t="shared" si="22"/>
        <v>120000</v>
      </c>
      <c r="M28" s="72">
        <f t="shared" si="22"/>
        <v>180000</v>
      </c>
      <c r="N28" s="72">
        <f t="shared" si="22"/>
        <v>120000</v>
      </c>
      <c r="O28" s="72">
        <f t="shared" si="22"/>
        <v>120000</v>
      </c>
      <c r="P28" s="72">
        <f t="shared" si="22"/>
        <v>120000</v>
      </c>
      <c r="Q28" s="72">
        <f t="shared" si="22"/>
        <v>120000</v>
      </c>
      <c r="R28" s="72">
        <f t="shared" si="22"/>
        <v>144000</v>
      </c>
      <c r="S28" s="72">
        <f t="shared" si="22"/>
        <v>180899.99999999997</v>
      </c>
      <c r="T28" s="72">
        <f t="shared" si="22"/>
        <v>120599.99999999997</v>
      </c>
      <c r="U28" s="72">
        <f t="shared" si="22"/>
        <v>120599.99999999997</v>
      </c>
      <c r="V28" s="72">
        <f t="shared" si="22"/>
        <v>120599.99999999997</v>
      </c>
      <c r="W28" s="72">
        <f t="shared" si="23"/>
        <v>120599.99999999997</v>
      </c>
      <c r="X28" s="72">
        <f t="shared" si="23"/>
        <v>120599.99999999997</v>
      </c>
      <c r="Y28" s="72">
        <f t="shared" si="23"/>
        <v>180787.8719008264</v>
      </c>
      <c r="Z28" s="72">
        <f t="shared" si="23"/>
        <v>120599.99999999997</v>
      </c>
      <c r="AA28" s="72">
        <f t="shared" si="23"/>
        <v>120599.99999999997</v>
      </c>
      <c r="AB28" s="72">
        <f t="shared" si="23"/>
        <v>120599.99999999997</v>
      </c>
      <c r="AC28" s="72">
        <f t="shared" si="23"/>
        <v>120599.99999999997</v>
      </c>
      <c r="AD28" s="72">
        <f t="shared" si="23"/>
        <v>144719.99999999997</v>
      </c>
      <c r="AE28" s="72">
        <f t="shared" si="23"/>
        <v>180191.50269103594</v>
      </c>
      <c r="AF28" s="72">
        <f t="shared" si="23"/>
        <v>121202.99999999996</v>
      </c>
      <c r="AG28" s="72">
        <f t="shared" si="23"/>
        <v>121202.99999999996</v>
      </c>
      <c r="AH28" s="72">
        <f t="shared" si="23"/>
        <v>121202.99999999996</v>
      </c>
      <c r="AI28" s="72">
        <f t="shared" si="23"/>
        <v>121202.99999999996</v>
      </c>
      <c r="AJ28" s="72">
        <f t="shared" si="23"/>
        <v>121202.99999999996</v>
      </c>
      <c r="AK28" s="72">
        <f t="shared" si="23"/>
        <v>179806.71939900421</v>
      </c>
      <c r="AL28" s="72">
        <f t="shared" si="23"/>
        <v>121202.99999999996</v>
      </c>
      <c r="AM28" s="72">
        <f t="shared" si="24"/>
        <v>121202.99999999996</v>
      </c>
      <c r="AN28" s="72">
        <f t="shared" si="24"/>
        <v>121202.99999999996</v>
      </c>
      <c r="AO28" s="72">
        <f t="shared" si="24"/>
        <v>121202.99999999996</v>
      </c>
      <c r="AP28" s="72">
        <f t="shared" si="24"/>
        <v>145443.59999999995</v>
      </c>
      <c r="AQ28" s="72">
        <f t="shared" si="24"/>
        <v>181521.77859533892</v>
      </c>
      <c r="AR28" s="72">
        <f t="shared" si="24"/>
        <v>122415.02999999997</v>
      </c>
      <c r="AS28" s="72">
        <f t="shared" si="24"/>
        <v>122415.02999999997</v>
      </c>
      <c r="AT28" s="72">
        <f t="shared" si="24"/>
        <v>122415.02999999997</v>
      </c>
      <c r="AU28" s="72">
        <f t="shared" si="24"/>
        <v>122415.02999999997</v>
      </c>
      <c r="AV28" s="72">
        <f t="shared" si="24"/>
        <v>122415.02999999997</v>
      </c>
      <c r="AW28" s="72">
        <f t="shared" si="24"/>
        <v>181521.77859533892</v>
      </c>
      <c r="AX28" s="72">
        <f t="shared" si="24"/>
        <v>122415.02999999997</v>
      </c>
      <c r="AY28" s="72">
        <f t="shared" si="24"/>
        <v>122415.02999999997</v>
      </c>
      <c r="AZ28" s="72">
        <f t="shared" si="24"/>
        <v>122415.02999999997</v>
      </c>
      <c r="BA28" s="72">
        <f t="shared" si="24"/>
        <v>122415.02999999997</v>
      </c>
      <c r="BB28" s="72">
        <f t="shared" si="24"/>
        <v>146898.03599999996</v>
      </c>
      <c r="BC28" s="72">
        <f t="shared" si="25"/>
        <v>186059.82306022241</v>
      </c>
      <c r="BD28" s="72">
        <f t="shared" si="25"/>
        <v>125475.40574999995</v>
      </c>
      <c r="BE28" s="72">
        <f t="shared" si="25"/>
        <v>125475.40574999995</v>
      </c>
      <c r="BF28" s="72">
        <f t="shared" si="25"/>
        <v>125475.40574999995</v>
      </c>
      <c r="BG28" s="72">
        <f t="shared" si="25"/>
        <v>125475.40574999995</v>
      </c>
      <c r="BH28" s="72">
        <f t="shared" si="25"/>
        <v>125475.40574999995</v>
      </c>
      <c r="BI28" s="72">
        <f t="shared" si="25"/>
        <v>186059.82306022241</v>
      </c>
      <c r="BJ28" s="72">
        <f t="shared" si="25"/>
        <v>125475.40574999995</v>
      </c>
      <c r="BK28" s="72">
        <f t="shared" si="25"/>
        <v>125475.40574999995</v>
      </c>
      <c r="BL28" s="72">
        <f t="shared" si="25"/>
        <v>125475.40574999995</v>
      </c>
      <c r="BM28" s="72">
        <f t="shared" si="25"/>
        <v>125475.40574999995</v>
      </c>
      <c r="BN28" s="72">
        <f t="shared" si="25"/>
        <v>150570.48689999996</v>
      </c>
      <c r="BP28" s="72">
        <f t="shared" si="26"/>
        <v>1584000</v>
      </c>
      <c r="BQ28" s="72">
        <f t="shared" si="26"/>
        <v>1591807.8719008262</v>
      </c>
      <c r="BR28" s="72">
        <f t="shared" si="26"/>
        <v>1596268.82209004</v>
      </c>
      <c r="BS28" s="72">
        <f t="shared" si="26"/>
        <v>1611676.8631906779</v>
      </c>
      <c r="BT28" s="72">
        <f t="shared" si="26"/>
        <v>1651968.784770444</v>
      </c>
    </row>
    <row r="29" spans="2:72">
      <c r="B29" s="37" t="str">
        <f>CaseData!D13</f>
        <v>UK</v>
      </c>
      <c r="G29" s="72">
        <f t="shared" si="22"/>
        <v>182703.48837209304</v>
      </c>
      <c r="H29" s="72">
        <f t="shared" si="22"/>
        <v>121802.32558139534</v>
      </c>
      <c r="I29" s="72">
        <f t="shared" si="22"/>
        <v>121802.32558139534</v>
      </c>
      <c r="J29" s="72">
        <f t="shared" si="22"/>
        <v>121802.32558139534</v>
      </c>
      <c r="K29" s="72">
        <f t="shared" si="22"/>
        <v>121802.32558139534</v>
      </c>
      <c r="L29" s="72">
        <f t="shared" si="22"/>
        <v>121802.32558139534</v>
      </c>
      <c r="M29" s="72">
        <f t="shared" si="22"/>
        <v>182703.48837209304</v>
      </c>
      <c r="N29" s="72">
        <f t="shared" si="22"/>
        <v>121802.32558139534</v>
      </c>
      <c r="O29" s="72">
        <f t="shared" si="22"/>
        <v>121802.32558139534</v>
      </c>
      <c r="P29" s="72">
        <f t="shared" si="22"/>
        <v>121802.32558139534</v>
      </c>
      <c r="Q29" s="72">
        <f t="shared" si="22"/>
        <v>121802.32558139534</v>
      </c>
      <c r="R29" s="72">
        <f t="shared" si="22"/>
        <v>146162.79069767441</v>
      </c>
      <c r="S29" s="72">
        <f t="shared" si="22"/>
        <v>186021.55172413791</v>
      </c>
      <c r="T29" s="72">
        <f t="shared" si="22"/>
        <v>124014.36781609195</v>
      </c>
      <c r="U29" s="72">
        <f t="shared" si="22"/>
        <v>124014.36781609195</v>
      </c>
      <c r="V29" s="72">
        <f t="shared" si="22"/>
        <v>124014.36781609195</v>
      </c>
      <c r="W29" s="72">
        <f t="shared" si="23"/>
        <v>124014.36781609195</v>
      </c>
      <c r="X29" s="72">
        <f t="shared" si="23"/>
        <v>124014.36781609195</v>
      </c>
      <c r="Y29" s="72">
        <f t="shared" si="23"/>
        <v>185838.09489883156</v>
      </c>
      <c r="Z29" s="72">
        <f t="shared" si="23"/>
        <v>124014.36781609195</v>
      </c>
      <c r="AA29" s="72">
        <f t="shared" si="23"/>
        <v>124014.36781609195</v>
      </c>
      <c r="AB29" s="72">
        <f t="shared" si="23"/>
        <v>124014.36781609195</v>
      </c>
      <c r="AC29" s="72">
        <f t="shared" si="23"/>
        <v>124014.36781609195</v>
      </c>
      <c r="AD29" s="72">
        <f t="shared" si="23"/>
        <v>148817.24137931035</v>
      </c>
      <c r="AE29" s="72">
        <f t="shared" si="23"/>
        <v>183124.67312846505</v>
      </c>
      <c r="AF29" s="72">
        <f t="shared" si="23"/>
        <v>123831.16477272728</v>
      </c>
      <c r="AG29" s="72">
        <f t="shared" si="23"/>
        <v>123831.16477272728</v>
      </c>
      <c r="AH29" s="72">
        <f t="shared" si="23"/>
        <v>123831.16477272728</v>
      </c>
      <c r="AI29" s="72">
        <f t="shared" si="23"/>
        <v>123831.16477272728</v>
      </c>
      <c r="AJ29" s="72">
        <f t="shared" si="23"/>
        <v>123831.16477272728</v>
      </c>
      <c r="AK29" s="72">
        <f t="shared" si="23"/>
        <v>182499.17284284884</v>
      </c>
      <c r="AL29" s="72">
        <f t="shared" si="23"/>
        <v>123831.16477272728</v>
      </c>
      <c r="AM29" s="72">
        <f t="shared" si="24"/>
        <v>123831.16477272728</v>
      </c>
      <c r="AN29" s="72">
        <f t="shared" si="24"/>
        <v>123831.16477272728</v>
      </c>
      <c r="AO29" s="72">
        <f t="shared" si="24"/>
        <v>123831.16477272728</v>
      </c>
      <c r="AP29" s="72">
        <f t="shared" si="24"/>
        <v>148597.39772727271</v>
      </c>
      <c r="AQ29" s="72">
        <f t="shared" si="24"/>
        <v>182119.68562892784</v>
      </c>
      <c r="AR29" s="72">
        <f t="shared" si="24"/>
        <v>123664.20140449438</v>
      </c>
      <c r="AS29" s="72">
        <f t="shared" si="24"/>
        <v>123664.20140449438</v>
      </c>
      <c r="AT29" s="72">
        <f t="shared" si="24"/>
        <v>123664.20140449438</v>
      </c>
      <c r="AU29" s="72">
        <f t="shared" si="24"/>
        <v>123664.20140449438</v>
      </c>
      <c r="AV29" s="72">
        <f t="shared" si="24"/>
        <v>123664.20140449438</v>
      </c>
      <c r="AW29" s="72">
        <f t="shared" si="24"/>
        <v>182119.68562892784</v>
      </c>
      <c r="AX29" s="72">
        <f t="shared" si="24"/>
        <v>123664.20140449438</v>
      </c>
      <c r="AY29" s="72">
        <f t="shared" si="24"/>
        <v>123664.20140449438</v>
      </c>
      <c r="AZ29" s="72">
        <f t="shared" si="24"/>
        <v>123664.20140449438</v>
      </c>
      <c r="BA29" s="72">
        <f t="shared" si="24"/>
        <v>123664.20140449438</v>
      </c>
      <c r="BB29" s="72">
        <f t="shared" si="24"/>
        <v>148397.04168539323</v>
      </c>
      <c r="BC29" s="72">
        <f t="shared" si="25"/>
        <v>181897.094902048</v>
      </c>
      <c r="BD29" s="72">
        <f t="shared" si="25"/>
        <v>123513.05626944445</v>
      </c>
      <c r="BE29" s="72">
        <f t="shared" si="25"/>
        <v>123513.05626944445</v>
      </c>
      <c r="BF29" s="72">
        <f t="shared" si="25"/>
        <v>123513.05626944445</v>
      </c>
      <c r="BG29" s="72">
        <f t="shared" si="25"/>
        <v>123513.05626944445</v>
      </c>
      <c r="BH29" s="72">
        <f t="shared" si="25"/>
        <v>123513.05626944445</v>
      </c>
      <c r="BI29" s="72">
        <f t="shared" si="25"/>
        <v>181897.094902048</v>
      </c>
      <c r="BJ29" s="72">
        <f t="shared" si="25"/>
        <v>123513.05626944445</v>
      </c>
      <c r="BK29" s="72">
        <f t="shared" si="25"/>
        <v>123513.05626944445</v>
      </c>
      <c r="BL29" s="72">
        <f t="shared" si="25"/>
        <v>123513.05626944445</v>
      </c>
      <c r="BM29" s="72">
        <f t="shared" si="25"/>
        <v>123513.05626944445</v>
      </c>
      <c r="BN29" s="72">
        <f t="shared" si="25"/>
        <v>148215.66752333334</v>
      </c>
      <c r="BP29" s="72">
        <f t="shared" si="26"/>
        <v>1607790.6976744186</v>
      </c>
      <c r="BQ29" s="72">
        <f t="shared" si="26"/>
        <v>1636806.1983471075</v>
      </c>
      <c r="BR29" s="72">
        <f t="shared" si="26"/>
        <v>1628701.7266531321</v>
      </c>
      <c r="BS29" s="72">
        <f t="shared" si="26"/>
        <v>1625614.2255836986</v>
      </c>
      <c r="BT29" s="72">
        <f t="shared" si="26"/>
        <v>1623627.3637524296</v>
      </c>
    </row>
    <row r="30" spans="2:72">
      <c r="B30" s="37" t="str">
        <f>CaseData!D14</f>
        <v>US</v>
      </c>
      <c r="G30" s="72">
        <f t="shared" si="22"/>
        <v>0</v>
      </c>
      <c r="H30" s="72">
        <f t="shared" si="22"/>
        <v>0</v>
      </c>
      <c r="I30" s="72">
        <f t="shared" si="22"/>
        <v>52727.272727272721</v>
      </c>
      <c r="J30" s="72">
        <f t="shared" si="22"/>
        <v>57121.212121212098</v>
      </c>
      <c r="K30" s="72">
        <f t="shared" si="22"/>
        <v>61515.151515151505</v>
      </c>
      <c r="L30" s="72">
        <f t="shared" si="22"/>
        <v>65909.090909090912</v>
      </c>
      <c r="M30" s="72">
        <f t="shared" si="22"/>
        <v>105454.54545454544</v>
      </c>
      <c r="N30" s="72">
        <f t="shared" si="22"/>
        <v>74696.969696969696</v>
      </c>
      <c r="O30" s="72">
        <f t="shared" si="22"/>
        <v>79090.909090909074</v>
      </c>
      <c r="P30" s="72">
        <f t="shared" si="22"/>
        <v>83484.84848484848</v>
      </c>
      <c r="Q30" s="72">
        <f t="shared" si="22"/>
        <v>87878.787878787887</v>
      </c>
      <c r="R30" s="72">
        <f t="shared" si="22"/>
        <v>110727.27272727271</v>
      </c>
      <c r="S30" s="72">
        <f t="shared" si="22"/>
        <v>148004.5045045045</v>
      </c>
      <c r="T30" s="72">
        <f t="shared" si="22"/>
        <v>103154.65465465467</v>
      </c>
      <c r="U30" s="72">
        <f t="shared" si="22"/>
        <v>107639.63963963966</v>
      </c>
      <c r="V30" s="72">
        <f t="shared" si="22"/>
        <v>107639.63963963966</v>
      </c>
      <c r="W30" s="72">
        <f t="shared" si="23"/>
        <v>107639.63963963966</v>
      </c>
      <c r="X30" s="72">
        <f t="shared" si="23"/>
        <v>107639.63963963966</v>
      </c>
      <c r="Y30" s="72">
        <f t="shared" si="23"/>
        <v>161286.91087781996</v>
      </c>
      <c r="Z30" s="72">
        <f t="shared" si="23"/>
        <v>107639.63963963966</v>
      </c>
      <c r="AA30" s="72">
        <f t="shared" si="23"/>
        <v>107639.63963963966</v>
      </c>
      <c r="AB30" s="72">
        <f t="shared" si="23"/>
        <v>107639.63963963966</v>
      </c>
      <c r="AC30" s="72">
        <f t="shared" si="23"/>
        <v>107639.63963963966</v>
      </c>
      <c r="AD30" s="72">
        <f t="shared" si="23"/>
        <v>129167.56756756759</v>
      </c>
      <c r="AE30" s="72">
        <f t="shared" si="23"/>
        <v>160721.49542090899</v>
      </c>
      <c r="AF30" s="72">
        <f t="shared" si="23"/>
        <v>108812.14285714287</v>
      </c>
      <c r="AG30" s="72">
        <f t="shared" si="23"/>
        <v>108812.14285714287</v>
      </c>
      <c r="AH30" s="72">
        <f t="shared" si="23"/>
        <v>108812.14285714287</v>
      </c>
      <c r="AI30" s="72">
        <f t="shared" si="23"/>
        <v>108812.14285714287</v>
      </c>
      <c r="AJ30" s="72">
        <f t="shared" si="23"/>
        <v>108812.14285714287</v>
      </c>
      <c r="AK30" s="72">
        <f t="shared" si="23"/>
        <v>160125.89882645803</v>
      </c>
      <c r="AL30" s="72">
        <f t="shared" si="23"/>
        <v>108812.14285714287</v>
      </c>
      <c r="AM30" s="72">
        <f t="shared" si="24"/>
        <v>108812.14285714287</v>
      </c>
      <c r="AN30" s="72">
        <f t="shared" si="24"/>
        <v>108812.14285714287</v>
      </c>
      <c r="AO30" s="72">
        <f t="shared" si="24"/>
        <v>108812.14285714287</v>
      </c>
      <c r="AP30" s="72">
        <f t="shared" si="24"/>
        <v>130574.57142857143</v>
      </c>
      <c r="AQ30" s="72">
        <f t="shared" si="24"/>
        <v>163340.25038248088</v>
      </c>
      <c r="AR30" s="72">
        <f t="shared" si="24"/>
        <v>111084.67964601773</v>
      </c>
      <c r="AS30" s="72">
        <f t="shared" si="24"/>
        <v>111084.67964601773</v>
      </c>
      <c r="AT30" s="72">
        <f t="shared" si="24"/>
        <v>111084.67964601773</v>
      </c>
      <c r="AU30" s="72">
        <f t="shared" si="24"/>
        <v>111084.67964601773</v>
      </c>
      <c r="AV30" s="72">
        <f t="shared" si="24"/>
        <v>111084.67964601773</v>
      </c>
      <c r="AW30" s="72">
        <f t="shared" si="24"/>
        <v>163340.25038248088</v>
      </c>
      <c r="AX30" s="72">
        <f t="shared" si="24"/>
        <v>111084.67964601773</v>
      </c>
      <c r="AY30" s="72">
        <f t="shared" si="24"/>
        <v>111084.67964601773</v>
      </c>
      <c r="AZ30" s="72">
        <f t="shared" si="24"/>
        <v>111084.67964601773</v>
      </c>
      <c r="BA30" s="72">
        <f t="shared" si="24"/>
        <v>111084.67964601773</v>
      </c>
      <c r="BB30" s="72">
        <f t="shared" si="24"/>
        <v>133301.61557522128</v>
      </c>
      <c r="BC30" s="72">
        <f t="shared" si="25"/>
        <v>162716.97837444246</v>
      </c>
      <c r="BD30" s="72">
        <f t="shared" si="25"/>
        <v>110660.80389473686</v>
      </c>
      <c r="BE30" s="72">
        <f t="shared" si="25"/>
        <v>110660.80389473686</v>
      </c>
      <c r="BF30" s="72">
        <f t="shared" si="25"/>
        <v>110660.80389473686</v>
      </c>
      <c r="BG30" s="72">
        <f t="shared" si="25"/>
        <v>110660.80389473686</v>
      </c>
      <c r="BH30" s="72">
        <f t="shared" si="25"/>
        <v>110660.80389473686</v>
      </c>
      <c r="BI30" s="72">
        <f t="shared" si="25"/>
        <v>162716.97837444246</v>
      </c>
      <c r="BJ30" s="72">
        <f t="shared" si="25"/>
        <v>110660.80389473686</v>
      </c>
      <c r="BK30" s="72">
        <f t="shared" si="25"/>
        <v>110660.80389473686</v>
      </c>
      <c r="BL30" s="72">
        <f t="shared" si="25"/>
        <v>110660.80389473686</v>
      </c>
      <c r="BM30" s="72">
        <f t="shared" si="25"/>
        <v>110660.80389473686</v>
      </c>
      <c r="BN30" s="72">
        <f t="shared" si="25"/>
        <v>132792.96467368424</v>
      </c>
      <c r="BP30" s="72">
        <f t="shared" si="26"/>
        <v>778606.06060606055</v>
      </c>
      <c r="BQ30" s="72">
        <f t="shared" si="26"/>
        <v>1402730.7547216641</v>
      </c>
      <c r="BR30" s="72">
        <f t="shared" si="26"/>
        <v>1430731.2513902243</v>
      </c>
      <c r="BS30" s="72">
        <f t="shared" si="26"/>
        <v>1459744.2331543427</v>
      </c>
      <c r="BT30" s="72">
        <f t="shared" si="26"/>
        <v>1454174.1564752008</v>
      </c>
    </row>
    <row r="31" spans="2:72">
      <c r="B31" s="37" t="str">
        <f>CaseData!D15</f>
        <v>Canada</v>
      </c>
      <c r="G31" s="72">
        <f t="shared" si="22"/>
        <v>0</v>
      </c>
      <c r="H31" s="72">
        <f t="shared" si="22"/>
        <v>0</v>
      </c>
      <c r="I31" s="72">
        <f t="shared" si="22"/>
        <v>0</v>
      </c>
      <c r="J31" s="72">
        <f t="shared" si="22"/>
        <v>0</v>
      </c>
      <c r="K31" s="72">
        <f t="shared" si="22"/>
        <v>0</v>
      </c>
      <c r="L31" s="72">
        <f t="shared" si="22"/>
        <v>0</v>
      </c>
      <c r="M31" s="72">
        <f t="shared" si="22"/>
        <v>0</v>
      </c>
      <c r="N31" s="72">
        <f t="shared" si="22"/>
        <v>0</v>
      </c>
      <c r="O31" s="72">
        <f t="shared" si="22"/>
        <v>91107.382550335577</v>
      </c>
      <c r="P31" s="72">
        <f t="shared" si="22"/>
        <v>98699.664429530181</v>
      </c>
      <c r="Q31" s="72">
        <f t="shared" si="22"/>
        <v>106291.94630872482</v>
      </c>
      <c r="R31" s="72">
        <f t="shared" si="22"/>
        <v>136661.07382550335</v>
      </c>
      <c r="S31" s="72">
        <f t="shared" si="22"/>
        <v>184620</v>
      </c>
      <c r="T31" s="72">
        <f t="shared" si="22"/>
        <v>130772.49999999997</v>
      </c>
      <c r="U31" s="72">
        <f t="shared" si="22"/>
        <v>138465</v>
      </c>
      <c r="V31" s="72">
        <f t="shared" si="22"/>
        <v>146157.50000000003</v>
      </c>
      <c r="W31" s="72">
        <f t="shared" si="23"/>
        <v>153850</v>
      </c>
      <c r="X31" s="72">
        <f t="shared" si="23"/>
        <v>161542.5</v>
      </c>
      <c r="Y31" s="72">
        <f t="shared" si="23"/>
        <v>253450.68181818182</v>
      </c>
      <c r="Z31" s="72">
        <f t="shared" si="23"/>
        <v>176927.5</v>
      </c>
      <c r="AA31" s="72">
        <f t="shared" si="23"/>
        <v>184620.00000000003</v>
      </c>
      <c r="AB31" s="72">
        <f t="shared" si="23"/>
        <v>184620.00000000003</v>
      </c>
      <c r="AC31" s="72">
        <f t="shared" si="23"/>
        <v>184620.00000000003</v>
      </c>
      <c r="AD31" s="72">
        <f t="shared" si="23"/>
        <v>221544.00000000006</v>
      </c>
      <c r="AE31" s="72">
        <f t="shared" si="23"/>
        <v>274240.45608264284</v>
      </c>
      <c r="AF31" s="72">
        <f t="shared" si="23"/>
        <v>187065.29801324505</v>
      </c>
      <c r="AG31" s="72">
        <f t="shared" si="23"/>
        <v>187065.29801324505</v>
      </c>
      <c r="AH31" s="72">
        <f t="shared" si="23"/>
        <v>187065.29801324505</v>
      </c>
      <c r="AI31" s="72">
        <f t="shared" si="23"/>
        <v>187065.29801324505</v>
      </c>
      <c r="AJ31" s="72">
        <f t="shared" si="23"/>
        <v>187065.29801324505</v>
      </c>
      <c r="AK31" s="72">
        <f t="shared" si="23"/>
        <v>272723.86564675521</v>
      </c>
      <c r="AL31" s="72">
        <f t="shared" si="23"/>
        <v>187065.29801324505</v>
      </c>
      <c r="AM31" s="72">
        <f t="shared" si="24"/>
        <v>187065.29801324505</v>
      </c>
      <c r="AN31" s="72">
        <f t="shared" si="24"/>
        <v>187065.29801324505</v>
      </c>
      <c r="AO31" s="72">
        <f t="shared" si="24"/>
        <v>187065.29801324505</v>
      </c>
      <c r="AP31" s="72">
        <f t="shared" si="24"/>
        <v>224478.35761589409</v>
      </c>
      <c r="AQ31" s="72">
        <f t="shared" si="24"/>
        <v>277373.02695695811</v>
      </c>
      <c r="AR31" s="72">
        <f t="shared" si="24"/>
        <v>190480.47039473685</v>
      </c>
      <c r="AS31" s="72">
        <f t="shared" si="24"/>
        <v>190480.47039473685</v>
      </c>
      <c r="AT31" s="72">
        <f t="shared" si="24"/>
        <v>190480.47039473685</v>
      </c>
      <c r="AU31" s="72">
        <f t="shared" si="24"/>
        <v>190480.47039473685</v>
      </c>
      <c r="AV31" s="72">
        <f t="shared" si="24"/>
        <v>190480.47039473685</v>
      </c>
      <c r="AW31" s="72">
        <f t="shared" si="24"/>
        <v>277373.02695695811</v>
      </c>
      <c r="AX31" s="72">
        <f t="shared" si="24"/>
        <v>190480.47039473685</v>
      </c>
      <c r="AY31" s="72">
        <f t="shared" si="24"/>
        <v>190480.47039473685</v>
      </c>
      <c r="AZ31" s="72">
        <f t="shared" si="24"/>
        <v>190480.47039473685</v>
      </c>
      <c r="BA31" s="72">
        <f t="shared" si="24"/>
        <v>190480.47039473685</v>
      </c>
      <c r="BB31" s="72">
        <f t="shared" si="24"/>
        <v>228576.56447368424</v>
      </c>
      <c r="BC31" s="72">
        <f t="shared" si="25"/>
        <v>281071.33398305083</v>
      </c>
      <c r="BD31" s="72">
        <f t="shared" si="25"/>
        <v>193020.21</v>
      </c>
      <c r="BE31" s="72">
        <f t="shared" si="25"/>
        <v>193020.21</v>
      </c>
      <c r="BF31" s="72">
        <f t="shared" si="25"/>
        <v>193020.21</v>
      </c>
      <c r="BG31" s="72">
        <f t="shared" si="25"/>
        <v>193020.21</v>
      </c>
      <c r="BH31" s="72">
        <f t="shared" si="25"/>
        <v>193020.21</v>
      </c>
      <c r="BI31" s="72">
        <f t="shared" si="25"/>
        <v>281071.33398305083</v>
      </c>
      <c r="BJ31" s="72">
        <f t="shared" si="25"/>
        <v>193020.21</v>
      </c>
      <c r="BK31" s="72">
        <f t="shared" si="25"/>
        <v>193020.21</v>
      </c>
      <c r="BL31" s="72">
        <f t="shared" si="25"/>
        <v>193020.21</v>
      </c>
      <c r="BM31" s="72">
        <f t="shared" si="25"/>
        <v>193020.21</v>
      </c>
      <c r="BN31" s="72">
        <f t="shared" si="25"/>
        <v>231624.25200000004</v>
      </c>
      <c r="BP31" s="72">
        <f t="shared" si="26"/>
        <v>432760.06711409392</v>
      </c>
      <c r="BQ31" s="72">
        <f t="shared" si="26"/>
        <v>2121189.6818181821</v>
      </c>
      <c r="BR31" s="72">
        <f t="shared" si="26"/>
        <v>2455030.3614644972</v>
      </c>
      <c r="BS31" s="72">
        <f t="shared" si="26"/>
        <v>2497646.8519402323</v>
      </c>
      <c r="BT31" s="72">
        <f t="shared" si="26"/>
        <v>2530948.8099661013</v>
      </c>
    </row>
    <row r="32" spans="2:72">
      <c r="B32" s="37" t="str">
        <f>CaseData!D16</f>
        <v>Switzerland</v>
      </c>
      <c r="G32" s="72">
        <f t="shared" si="22"/>
        <v>0</v>
      </c>
      <c r="H32" s="72">
        <f t="shared" si="22"/>
        <v>0</v>
      </c>
      <c r="I32" s="72">
        <f t="shared" si="22"/>
        <v>0</v>
      </c>
      <c r="J32" s="72">
        <f t="shared" si="22"/>
        <v>0</v>
      </c>
      <c r="K32" s="72">
        <f t="shared" si="22"/>
        <v>0</v>
      </c>
      <c r="L32" s="72">
        <f t="shared" si="22"/>
        <v>0</v>
      </c>
      <c r="M32" s="72">
        <f t="shared" si="22"/>
        <v>0</v>
      </c>
      <c r="N32" s="72">
        <f t="shared" si="22"/>
        <v>0</v>
      </c>
      <c r="O32" s="72">
        <f t="shared" si="22"/>
        <v>0</v>
      </c>
      <c r="P32" s="72">
        <f t="shared" si="22"/>
        <v>0</v>
      </c>
      <c r="Q32" s="72">
        <f t="shared" si="22"/>
        <v>0</v>
      </c>
      <c r="R32" s="72">
        <f t="shared" si="22"/>
        <v>0</v>
      </c>
      <c r="S32" s="72">
        <f t="shared" si="22"/>
        <v>0</v>
      </c>
      <c r="T32" s="72">
        <f t="shared" si="22"/>
        <v>0</v>
      </c>
      <c r="U32" s="72">
        <f t="shared" si="22"/>
        <v>165604.55607476633</v>
      </c>
      <c r="V32" s="72">
        <f t="shared" si="22"/>
        <v>179404.93574766346</v>
      </c>
      <c r="W32" s="72">
        <f t="shared" si="23"/>
        <v>193205.31542056068</v>
      </c>
      <c r="X32" s="72">
        <f t="shared" si="23"/>
        <v>207005.69509345794</v>
      </c>
      <c r="Y32" s="72">
        <f t="shared" si="23"/>
        <v>330941.91704641999</v>
      </c>
      <c r="Z32" s="72">
        <f t="shared" si="23"/>
        <v>234606.45443925232</v>
      </c>
      <c r="AA32" s="72">
        <f t="shared" si="23"/>
        <v>248406.83411214955</v>
      </c>
      <c r="AB32" s="72">
        <f t="shared" si="23"/>
        <v>262207.21378504671</v>
      </c>
      <c r="AC32" s="72">
        <f t="shared" si="23"/>
        <v>276007.59345794388</v>
      </c>
      <c r="AD32" s="72">
        <f t="shared" si="23"/>
        <v>347769.5677570093</v>
      </c>
      <c r="AE32" s="72">
        <f t="shared" si="23"/>
        <v>448215.59553330869</v>
      </c>
      <c r="AF32" s="72">
        <f t="shared" si="23"/>
        <v>316042.11154513882</v>
      </c>
      <c r="AG32" s="72">
        <f t="shared" si="23"/>
        <v>329783.07291666663</v>
      </c>
      <c r="AH32" s="72">
        <f t="shared" si="23"/>
        <v>329783.07291666663</v>
      </c>
      <c r="AI32" s="72">
        <f t="shared" si="23"/>
        <v>329783.07291666663</v>
      </c>
      <c r="AJ32" s="72">
        <f t="shared" si="23"/>
        <v>329783.07291666663</v>
      </c>
      <c r="AK32" s="72">
        <f t="shared" si="23"/>
        <v>487599.82663584634</v>
      </c>
      <c r="AL32" s="72">
        <f t="shared" si="23"/>
        <v>329783.07291666663</v>
      </c>
      <c r="AM32" s="72">
        <f t="shared" si="24"/>
        <v>329783.07291666663</v>
      </c>
      <c r="AN32" s="72">
        <f t="shared" si="24"/>
        <v>329783.07291666663</v>
      </c>
      <c r="AO32" s="72">
        <f t="shared" si="24"/>
        <v>329783.07291666663</v>
      </c>
      <c r="AP32" s="72">
        <f t="shared" si="24"/>
        <v>395739.6875</v>
      </c>
      <c r="AQ32" s="72">
        <f t="shared" si="24"/>
        <v>497323.19807864242</v>
      </c>
      <c r="AR32" s="72">
        <f t="shared" si="24"/>
        <v>336560.26634174306</v>
      </c>
      <c r="AS32" s="72">
        <f t="shared" si="24"/>
        <v>336560.26634174306</v>
      </c>
      <c r="AT32" s="72">
        <f t="shared" si="24"/>
        <v>336560.26634174306</v>
      </c>
      <c r="AU32" s="72">
        <f t="shared" si="24"/>
        <v>336560.26634174306</v>
      </c>
      <c r="AV32" s="72">
        <f t="shared" si="24"/>
        <v>336560.26634174306</v>
      </c>
      <c r="AW32" s="72">
        <f t="shared" si="24"/>
        <v>497323.19807864242</v>
      </c>
      <c r="AX32" s="72">
        <f t="shared" si="24"/>
        <v>336560.26634174306</v>
      </c>
      <c r="AY32" s="72">
        <f t="shared" si="24"/>
        <v>336560.26634174306</v>
      </c>
      <c r="AZ32" s="72">
        <f t="shared" si="24"/>
        <v>336560.26634174306</v>
      </c>
      <c r="BA32" s="72">
        <f t="shared" si="24"/>
        <v>336560.26634174306</v>
      </c>
      <c r="BB32" s="72">
        <f t="shared" si="24"/>
        <v>403872.31961009168</v>
      </c>
      <c r="BC32" s="72">
        <f t="shared" si="25"/>
        <v>500194.10926755087</v>
      </c>
      <c r="BD32" s="72">
        <f t="shared" si="25"/>
        <v>338503.13697017031</v>
      </c>
      <c r="BE32" s="72">
        <f t="shared" si="25"/>
        <v>338503.13697017031</v>
      </c>
      <c r="BF32" s="72">
        <f t="shared" si="25"/>
        <v>338503.13697017031</v>
      </c>
      <c r="BG32" s="72">
        <f t="shared" si="25"/>
        <v>338503.13697017031</v>
      </c>
      <c r="BH32" s="72">
        <f t="shared" si="25"/>
        <v>338503.13697017031</v>
      </c>
      <c r="BI32" s="72">
        <f t="shared" si="25"/>
        <v>500194.10926755087</v>
      </c>
      <c r="BJ32" s="72">
        <f t="shared" si="25"/>
        <v>338503.13697017031</v>
      </c>
      <c r="BK32" s="72">
        <f t="shared" si="25"/>
        <v>338503.13697017031</v>
      </c>
      <c r="BL32" s="72">
        <f t="shared" si="25"/>
        <v>338503.13697017031</v>
      </c>
      <c r="BM32" s="72">
        <f t="shared" si="25"/>
        <v>338503.13697017031</v>
      </c>
      <c r="BN32" s="72">
        <f t="shared" si="25"/>
        <v>406203.76436420449</v>
      </c>
      <c r="BP32" s="72">
        <f t="shared" si="26"/>
        <v>0</v>
      </c>
      <c r="BQ32" s="72">
        <f t="shared" si="26"/>
        <v>2445160.0829342697</v>
      </c>
      <c r="BR32" s="72">
        <f t="shared" si="26"/>
        <v>4285861.8045476265</v>
      </c>
      <c r="BS32" s="72">
        <f t="shared" si="26"/>
        <v>4427561.1128430646</v>
      </c>
      <c r="BT32" s="72">
        <f t="shared" si="26"/>
        <v>4453120.2156308396</v>
      </c>
    </row>
    <row r="33" spans="2:72">
      <c r="B33" s="37" t="str">
        <f>CaseData!D17</f>
        <v>Russia</v>
      </c>
      <c r="G33" s="72">
        <f t="shared" si="22"/>
        <v>0</v>
      </c>
      <c r="H33" s="72">
        <f t="shared" si="22"/>
        <v>0</v>
      </c>
      <c r="I33" s="72">
        <f t="shared" si="22"/>
        <v>0</v>
      </c>
      <c r="J33" s="72">
        <f t="shared" si="22"/>
        <v>0</v>
      </c>
      <c r="K33" s="72">
        <f t="shared" si="22"/>
        <v>0</v>
      </c>
      <c r="L33" s="72">
        <f t="shared" si="22"/>
        <v>0</v>
      </c>
      <c r="M33" s="72">
        <f t="shared" si="22"/>
        <v>0</v>
      </c>
      <c r="N33" s="72">
        <f t="shared" si="22"/>
        <v>0</v>
      </c>
      <c r="O33" s="72">
        <f t="shared" si="22"/>
        <v>0</v>
      </c>
      <c r="P33" s="72">
        <f t="shared" si="22"/>
        <v>0</v>
      </c>
      <c r="Q33" s="72">
        <f t="shared" si="22"/>
        <v>0</v>
      </c>
      <c r="R33" s="72">
        <f t="shared" si="22"/>
        <v>0</v>
      </c>
      <c r="S33" s="72">
        <f t="shared" si="22"/>
        <v>0</v>
      </c>
      <c r="T33" s="72">
        <f t="shared" si="22"/>
        <v>0</v>
      </c>
      <c r="U33" s="72">
        <f t="shared" si="22"/>
        <v>0</v>
      </c>
      <c r="V33" s="72">
        <f t="shared" si="22"/>
        <v>0</v>
      </c>
      <c r="W33" s="72">
        <f t="shared" si="23"/>
        <v>0</v>
      </c>
      <c r="X33" s="72">
        <f t="shared" si="23"/>
        <v>0</v>
      </c>
      <c r="Y33" s="72">
        <f t="shared" si="23"/>
        <v>0</v>
      </c>
      <c r="Z33" s="72">
        <f t="shared" si="23"/>
        <v>0</v>
      </c>
      <c r="AA33" s="72">
        <f t="shared" si="23"/>
        <v>87010.135135135119</v>
      </c>
      <c r="AB33" s="72">
        <f t="shared" si="23"/>
        <v>94260.97972972969</v>
      </c>
      <c r="AC33" s="72">
        <f t="shared" si="23"/>
        <v>101511.82432432432</v>
      </c>
      <c r="AD33" s="72">
        <f t="shared" si="23"/>
        <v>130515.20270270269</v>
      </c>
      <c r="AE33" s="72">
        <f t="shared" si="23"/>
        <v>171003.53783982364</v>
      </c>
      <c r="AF33" s="72">
        <f t="shared" si="23"/>
        <v>122837.04166666666</v>
      </c>
      <c r="AG33" s="72">
        <f t="shared" si="23"/>
        <v>130062.75</v>
      </c>
      <c r="AH33" s="72">
        <f t="shared" si="23"/>
        <v>137288.45833333334</v>
      </c>
      <c r="AI33" s="72">
        <f t="shared" si="23"/>
        <v>144514.16666666669</v>
      </c>
      <c r="AJ33" s="72">
        <f t="shared" si="23"/>
        <v>151739.875</v>
      </c>
      <c r="AK33" s="72">
        <f t="shared" si="23"/>
        <v>234338.22812944523</v>
      </c>
      <c r="AL33" s="72">
        <f t="shared" si="23"/>
        <v>166191.29166666669</v>
      </c>
      <c r="AM33" s="72">
        <f t="shared" si="24"/>
        <v>173417.00000000006</v>
      </c>
      <c r="AN33" s="72">
        <f t="shared" si="24"/>
        <v>173417.00000000006</v>
      </c>
      <c r="AO33" s="72">
        <f t="shared" si="24"/>
        <v>173417.00000000006</v>
      </c>
      <c r="AP33" s="72">
        <f t="shared" si="24"/>
        <v>208100.40000000005</v>
      </c>
      <c r="AQ33" s="72">
        <f t="shared" si="24"/>
        <v>255877.40570640058</v>
      </c>
      <c r="AR33" s="72">
        <f t="shared" si="24"/>
        <v>173702.22532894739</v>
      </c>
      <c r="AS33" s="72">
        <f t="shared" si="24"/>
        <v>173702.22532894739</v>
      </c>
      <c r="AT33" s="72">
        <f t="shared" si="24"/>
        <v>173702.22532894739</v>
      </c>
      <c r="AU33" s="72">
        <f t="shared" si="24"/>
        <v>173702.22532894739</v>
      </c>
      <c r="AV33" s="72">
        <f t="shared" si="24"/>
        <v>173702.22532894739</v>
      </c>
      <c r="AW33" s="72">
        <f t="shared" si="24"/>
        <v>255877.40570640058</v>
      </c>
      <c r="AX33" s="72">
        <f t="shared" si="24"/>
        <v>173702.22532894739</v>
      </c>
      <c r="AY33" s="72">
        <f t="shared" si="24"/>
        <v>173702.22532894739</v>
      </c>
      <c r="AZ33" s="72">
        <f t="shared" si="24"/>
        <v>173702.22532894739</v>
      </c>
      <c r="BA33" s="72">
        <f t="shared" si="24"/>
        <v>173702.22532894739</v>
      </c>
      <c r="BB33" s="72">
        <f t="shared" si="24"/>
        <v>208442.67039473687</v>
      </c>
      <c r="BC33" s="72">
        <f t="shared" si="25"/>
        <v>255079.86574056244</v>
      </c>
      <c r="BD33" s="72">
        <f t="shared" si="25"/>
        <v>173160.81579545457</v>
      </c>
      <c r="BE33" s="72">
        <f t="shared" si="25"/>
        <v>173160.81579545457</v>
      </c>
      <c r="BF33" s="72">
        <f t="shared" si="25"/>
        <v>173160.81579545457</v>
      </c>
      <c r="BG33" s="72">
        <f t="shared" si="25"/>
        <v>173160.81579545457</v>
      </c>
      <c r="BH33" s="72">
        <f t="shared" si="25"/>
        <v>173160.81579545457</v>
      </c>
      <c r="BI33" s="72">
        <f t="shared" si="25"/>
        <v>255079.86574056244</v>
      </c>
      <c r="BJ33" s="72">
        <f t="shared" si="25"/>
        <v>173160.81579545457</v>
      </c>
      <c r="BK33" s="72">
        <f t="shared" si="25"/>
        <v>173160.81579545457</v>
      </c>
      <c r="BL33" s="72">
        <f t="shared" si="25"/>
        <v>173160.81579545457</v>
      </c>
      <c r="BM33" s="72">
        <f t="shared" si="25"/>
        <v>173160.81579545457</v>
      </c>
      <c r="BN33" s="72">
        <f t="shared" si="25"/>
        <v>207792.97895454551</v>
      </c>
      <c r="BP33" s="72">
        <f t="shared" si="26"/>
        <v>0</v>
      </c>
      <c r="BQ33" s="72">
        <f t="shared" si="26"/>
        <v>413298.14189189184</v>
      </c>
      <c r="BR33" s="72">
        <f t="shared" si="26"/>
        <v>1986326.7493026024</v>
      </c>
      <c r="BS33" s="72">
        <f t="shared" si="26"/>
        <v>2283517.5097680646</v>
      </c>
      <c r="BT33" s="72">
        <f t="shared" si="26"/>
        <v>2276400.0525947618</v>
      </c>
    </row>
    <row r="35" spans="2:72" ht="15" thickBot="1">
      <c r="B35" s="2" t="s">
        <v>59</v>
      </c>
      <c r="C35" s="2"/>
      <c r="D35" s="81"/>
      <c r="E35" s="8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spans="2:72" ht="15" thickTop="1"/>
    <row r="37" spans="2:72">
      <c r="B37" s="3" t="s">
        <v>60</v>
      </c>
    </row>
    <row r="38" spans="2:72">
      <c r="B38" s="3" t="s">
        <v>6</v>
      </c>
      <c r="C38" s="3" t="s">
        <v>61</v>
      </c>
    </row>
    <row r="39" spans="2:72">
      <c r="B39" s="37" t="str">
        <f>CaseData!$B$28</f>
        <v>Paris</v>
      </c>
      <c r="C39" t="str">
        <f>CaseData!C27</f>
        <v>Women's</v>
      </c>
      <c r="G39" s="72">
        <f>INDEX(CaseData!$B$27:$E$35,MATCH($B39,CaseData!$B$27:$B$35,0),MATCH($C39,CaseData!$B$27:$E$27,0))</f>
        <v>180</v>
      </c>
      <c r="H39" s="72">
        <f>INDEX(CaseData!$B$27:$E$35,MATCH($B39,CaseData!$B$27:$B$35,0),MATCH($C39,CaseData!$B$27:$E$27,0))</f>
        <v>180</v>
      </c>
      <c r="I39" s="72">
        <f>INDEX(CaseData!$B$27:$E$35,MATCH($B39,CaseData!$B$27:$B$35,0),MATCH($C39,CaseData!$B$27:$E$27,0))</f>
        <v>180</v>
      </c>
      <c r="J39" s="72">
        <f>INDEX(CaseData!$B$27:$E$35,MATCH($B39,CaseData!$B$27:$B$35,0),MATCH($C39,CaseData!$B$27:$E$27,0))</f>
        <v>180</v>
      </c>
      <c r="K39" s="72">
        <f>INDEX(CaseData!$B$27:$E$35,MATCH($B39,CaseData!$B$27:$B$35,0),MATCH($C39,CaseData!$B$27:$E$27,0))</f>
        <v>180</v>
      </c>
      <c r="L39" s="72">
        <f>INDEX(CaseData!$B$27:$E$35,MATCH($B39,CaseData!$B$27:$B$35,0),MATCH($C39,CaseData!$B$27:$E$27,0))</f>
        <v>180</v>
      </c>
      <c r="M39" s="72">
        <f>INDEX(CaseData!$B$27:$E$35,MATCH($B39,CaseData!$B$27:$B$35,0),MATCH($C39,CaseData!$B$27:$E$27,0))</f>
        <v>180</v>
      </c>
      <c r="N39" s="72">
        <f>INDEX(CaseData!$B$27:$E$35,MATCH($B39,CaseData!$B$27:$B$35,0),MATCH($C39,CaseData!$B$27:$E$27,0))</f>
        <v>180</v>
      </c>
      <c r="O39" s="72">
        <f>INDEX(CaseData!$B$27:$E$35,MATCH($B39,CaseData!$B$27:$B$35,0),MATCH($C39,CaseData!$B$27:$E$27,0))</f>
        <v>180</v>
      </c>
      <c r="P39" s="72">
        <f>INDEX(CaseData!$B$27:$E$35,MATCH($B39,CaseData!$B$27:$B$35,0),MATCH($C39,CaseData!$B$27:$E$27,0))</f>
        <v>180</v>
      </c>
      <c r="Q39" s="72">
        <f>INDEX(CaseData!$B$27:$E$35,MATCH($B39,CaseData!$B$27:$B$35,0),MATCH($C39,CaseData!$B$27:$E$27,0))</f>
        <v>180</v>
      </c>
      <c r="R39" s="72">
        <f>INDEX(CaseData!$B$27:$E$35,MATCH($B39,CaseData!$B$27:$B$35,0),MATCH($C39,CaseData!$B$27:$E$27,0))</f>
        <v>180</v>
      </c>
      <c r="S39" s="72">
        <f>INDEX(CaseData!$B$27:$E$35,MATCH($B39,CaseData!$B$27:$B$35,0),MATCH($C39,CaseData!$B$27:$E$27,0))</f>
        <v>180</v>
      </c>
      <c r="T39" s="72">
        <f>INDEX(CaseData!$B$27:$E$35,MATCH($B39,CaseData!$B$27:$B$35,0),MATCH($C39,CaseData!$B$27:$E$27,0))</f>
        <v>180</v>
      </c>
      <c r="U39" s="72">
        <f>INDEX(CaseData!$B$27:$E$35,MATCH($B39,CaseData!$B$27:$B$35,0),MATCH($C39,CaseData!$B$27:$E$27,0))</f>
        <v>180</v>
      </c>
      <c r="V39" s="72">
        <f>INDEX(CaseData!$B$27:$E$35,MATCH($B39,CaseData!$B$27:$B$35,0),MATCH($C39,CaseData!$B$27:$E$27,0))</f>
        <v>180</v>
      </c>
      <c r="W39" s="72">
        <f>INDEX(CaseData!$B$27:$E$35,MATCH($B39,CaseData!$B$27:$B$35,0),MATCH($C39,CaseData!$B$27:$E$27,0))</f>
        <v>180</v>
      </c>
      <c r="X39" s="72">
        <f>INDEX(CaseData!$B$27:$E$35,MATCH($B39,CaseData!$B$27:$B$35,0),MATCH($C39,CaseData!$B$27:$E$27,0))</f>
        <v>180</v>
      </c>
      <c r="Y39" s="72">
        <f>INDEX(CaseData!$B$27:$E$35,MATCH($B39,CaseData!$B$27:$B$35,0),MATCH($C39,CaseData!$B$27:$E$27,0))</f>
        <v>180</v>
      </c>
      <c r="Z39" s="72">
        <f>INDEX(CaseData!$B$27:$E$35,MATCH($B39,CaseData!$B$27:$B$35,0),MATCH($C39,CaseData!$B$27:$E$27,0))</f>
        <v>180</v>
      </c>
      <c r="AA39" s="72">
        <f>INDEX(CaseData!$B$27:$E$35,MATCH($B39,CaseData!$B$27:$B$35,0),MATCH($C39,CaseData!$B$27:$E$27,0))</f>
        <v>180</v>
      </c>
      <c r="AB39" s="72">
        <f>INDEX(CaseData!$B$27:$E$35,MATCH($B39,CaseData!$B$27:$B$35,0),MATCH($C39,CaseData!$B$27:$E$27,0))</f>
        <v>180</v>
      </c>
      <c r="AC39" s="72">
        <f>INDEX(CaseData!$B$27:$E$35,MATCH($B39,CaseData!$B$27:$B$35,0),MATCH($C39,CaseData!$B$27:$E$27,0))</f>
        <v>180</v>
      </c>
      <c r="AD39" s="72">
        <f>INDEX(CaseData!$B$27:$E$35,MATCH($B39,CaseData!$B$27:$B$35,0),MATCH($C39,CaseData!$B$27:$E$27,0))</f>
        <v>180</v>
      </c>
      <c r="AE39" s="72">
        <f>INDEX(CaseData!$B$27:$E$35,MATCH($B39,CaseData!$B$27:$B$35,0),MATCH($C39,CaseData!$B$27:$E$27,0))</f>
        <v>180</v>
      </c>
      <c r="AF39" s="72">
        <f>INDEX(CaseData!$B$27:$E$35,MATCH($B39,CaseData!$B$27:$B$35,0),MATCH($C39,CaseData!$B$27:$E$27,0))</f>
        <v>180</v>
      </c>
      <c r="AG39" s="72">
        <f>INDEX(CaseData!$B$27:$E$35,MATCH($B39,CaseData!$B$27:$B$35,0),MATCH($C39,CaseData!$B$27:$E$27,0))</f>
        <v>180</v>
      </c>
      <c r="AH39" s="72">
        <f>INDEX(CaseData!$B$27:$E$35,MATCH($B39,CaseData!$B$27:$B$35,0),MATCH($C39,CaseData!$B$27:$E$27,0))</f>
        <v>180</v>
      </c>
      <c r="AI39" s="72">
        <f>INDEX(CaseData!$B$27:$E$35,MATCH($B39,CaseData!$B$27:$B$35,0),MATCH($C39,CaseData!$B$27:$E$27,0))</f>
        <v>180</v>
      </c>
      <c r="AJ39" s="72">
        <f>INDEX(CaseData!$B$27:$E$35,MATCH($B39,CaseData!$B$27:$B$35,0),MATCH($C39,CaseData!$B$27:$E$27,0))</f>
        <v>180</v>
      </c>
      <c r="AK39" s="72">
        <f>INDEX(CaseData!$B$27:$E$35,MATCH($B39,CaseData!$B$27:$B$35,0),MATCH($C39,CaseData!$B$27:$E$27,0))</f>
        <v>180</v>
      </c>
      <c r="AL39" s="72">
        <f>INDEX(CaseData!$B$27:$E$35,MATCH($B39,CaseData!$B$27:$B$35,0),MATCH($C39,CaseData!$B$27:$E$27,0))</f>
        <v>180</v>
      </c>
      <c r="AM39" s="72">
        <f>INDEX(CaseData!$B$27:$E$35,MATCH($B39,CaseData!$B$27:$B$35,0),MATCH($C39,CaseData!$B$27:$E$27,0))</f>
        <v>180</v>
      </c>
      <c r="AN39" s="72">
        <f>INDEX(CaseData!$B$27:$E$35,MATCH($B39,CaseData!$B$27:$B$35,0),MATCH($C39,CaseData!$B$27:$E$27,0))</f>
        <v>180</v>
      </c>
      <c r="AO39" s="72">
        <f>INDEX(CaseData!$B$27:$E$35,MATCH($B39,CaseData!$B$27:$B$35,0),MATCH($C39,CaseData!$B$27:$E$27,0))</f>
        <v>180</v>
      </c>
      <c r="AP39" s="72">
        <f>INDEX(CaseData!$B$27:$E$35,MATCH($B39,CaseData!$B$27:$B$35,0),MATCH($C39,CaseData!$B$27:$E$27,0))</f>
        <v>180</v>
      </c>
      <c r="AQ39" s="72">
        <f>INDEX(CaseData!$B$27:$E$35,MATCH($B39,CaseData!$B$27:$B$35,0),MATCH($C39,CaseData!$B$27:$E$27,0))</f>
        <v>180</v>
      </c>
      <c r="AR39" s="72">
        <f>INDEX(CaseData!$B$27:$E$35,MATCH($B39,CaseData!$B$27:$B$35,0),MATCH($C39,CaseData!$B$27:$E$27,0))</f>
        <v>180</v>
      </c>
      <c r="AS39" s="72">
        <f>INDEX(CaseData!$B$27:$E$35,MATCH($B39,CaseData!$B$27:$B$35,0),MATCH($C39,CaseData!$B$27:$E$27,0))</f>
        <v>180</v>
      </c>
      <c r="AT39" s="72">
        <f>INDEX(CaseData!$B$27:$E$35,MATCH($B39,CaseData!$B$27:$B$35,0),MATCH($C39,CaseData!$B$27:$E$27,0))</f>
        <v>180</v>
      </c>
      <c r="AU39" s="72">
        <f>INDEX(CaseData!$B$27:$E$35,MATCH($B39,CaseData!$B$27:$B$35,0),MATCH($C39,CaseData!$B$27:$E$27,0))</f>
        <v>180</v>
      </c>
      <c r="AV39" s="72">
        <f>INDEX(CaseData!$B$27:$E$35,MATCH($B39,CaseData!$B$27:$B$35,0),MATCH($C39,CaseData!$B$27:$E$27,0))</f>
        <v>180</v>
      </c>
      <c r="AW39" s="72">
        <f>INDEX(CaseData!$B$27:$E$35,MATCH($B39,CaseData!$B$27:$B$35,0),MATCH($C39,CaseData!$B$27:$E$27,0))</f>
        <v>180</v>
      </c>
      <c r="AX39" s="72">
        <f>INDEX(CaseData!$B$27:$E$35,MATCH($B39,CaseData!$B$27:$B$35,0),MATCH($C39,CaseData!$B$27:$E$27,0))</f>
        <v>180</v>
      </c>
      <c r="AY39" s="72">
        <f>INDEX(CaseData!$B$27:$E$35,MATCH($B39,CaseData!$B$27:$B$35,0),MATCH($C39,CaseData!$B$27:$E$27,0))</f>
        <v>180</v>
      </c>
      <c r="AZ39" s="72">
        <f>INDEX(CaseData!$B$27:$E$35,MATCH($B39,CaseData!$B$27:$B$35,0),MATCH($C39,CaseData!$B$27:$E$27,0))</f>
        <v>180</v>
      </c>
      <c r="BA39" s="72">
        <f>INDEX(CaseData!$B$27:$E$35,MATCH($B39,CaseData!$B$27:$B$35,0),MATCH($C39,CaseData!$B$27:$E$27,0))</f>
        <v>180</v>
      </c>
      <c r="BB39" s="72">
        <f>INDEX(CaseData!$B$27:$E$35,MATCH($B39,CaseData!$B$27:$B$35,0),MATCH($C39,CaseData!$B$27:$E$27,0))</f>
        <v>180</v>
      </c>
      <c r="BC39" s="72">
        <f>INDEX(CaseData!$B$27:$E$35,MATCH($B39,CaseData!$B$27:$B$35,0),MATCH($C39,CaseData!$B$27:$E$27,0))</f>
        <v>180</v>
      </c>
      <c r="BD39" s="72">
        <f>INDEX(CaseData!$B$27:$E$35,MATCH($B39,CaseData!$B$27:$B$35,0),MATCH($C39,CaseData!$B$27:$E$27,0))</f>
        <v>180</v>
      </c>
      <c r="BE39" s="72">
        <f>INDEX(CaseData!$B$27:$E$35,MATCH($B39,CaseData!$B$27:$B$35,0),MATCH($C39,CaseData!$B$27:$E$27,0))</f>
        <v>180</v>
      </c>
      <c r="BF39" s="72">
        <f>INDEX(CaseData!$B$27:$E$35,MATCH($B39,CaseData!$B$27:$B$35,0),MATCH($C39,CaseData!$B$27:$E$27,0))</f>
        <v>180</v>
      </c>
      <c r="BG39" s="72">
        <f>INDEX(CaseData!$B$27:$E$35,MATCH($B39,CaseData!$B$27:$B$35,0),MATCH($C39,CaseData!$B$27:$E$27,0))</f>
        <v>180</v>
      </c>
      <c r="BH39" s="72">
        <f>INDEX(CaseData!$B$27:$E$35,MATCH($B39,CaseData!$B$27:$B$35,0),MATCH($C39,CaseData!$B$27:$E$27,0))</f>
        <v>180</v>
      </c>
      <c r="BI39" s="72">
        <f>INDEX(CaseData!$B$27:$E$35,MATCH($B39,CaseData!$B$27:$B$35,0),MATCH($C39,CaseData!$B$27:$E$27,0))</f>
        <v>180</v>
      </c>
      <c r="BJ39" s="72">
        <f>INDEX(CaseData!$B$27:$E$35,MATCH($B39,CaseData!$B$27:$B$35,0),MATCH($C39,CaseData!$B$27:$E$27,0))</f>
        <v>180</v>
      </c>
      <c r="BK39" s="72">
        <f>INDEX(CaseData!$B$27:$E$35,MATCH($B39,CaseData!$B$27:$B$35,0),MATCH($C39,CaseData!$B$27:$E$27,0))</f>
        <v>180</v>
      </c>
      <c r="BL39" s="72">
        <f>INDEX(CaseData!$B$27:$E$35,MATCH($B39,CaseData!$B$27:$B$35,0),MATCH($C39,CaseData!$B$27:$E$27,0))</f>
        <v>180</v>
      </c>
      <c r="BM39" s="72">
        <f>INDEX(CaseData!$B$27:$E$35,MATCH($B39,CaseData!$B$27:$B$35,0),MATCH($C39,CaseData!$B$27:$E$27,0))</f>
        <v>180</v>
      </c>
      <c r="BN39" s="72">
        <f>INDEX(CaseData!$B$27:$E$35,MATCH($B39,CaseData!$B$27:$B$35,0),MATCH($C39,CaseData!$B$27:$E$27,0))</f>
        <v>180</v>
      </c>
    </row>
    <row r="40" spans="2:72">
      <c r="B40" s="37" t="str">
        <f>B39</f>
        <v>Paris</v>
      </c>
      <c r="C40" t="str">
        <f>CaseData!D27</f>
        <v>Men's</v>
      </c>
      <c r="G40" s="72">
        <f>INDEX(CaseData!$B$27:$E$35,MATCH($B40,CaseData!$B$27:$B$35,0),MATCH($C40,CaseData!$B$27:$E$27,0))</f>
        <v>170</v>
      </c>
      <c r="H40" s="72">
        <f>INDEX(CaseData!$B$27:$E$35,MATCH($B40,CaseData!$B$27:$B$35,0),MATCH($C40,CaseData!$B$27:$E$27,0))</f>
        <v>170</v>
      </c>
      <c r="I40" s="72">
        <f>INDEX(CaseData!$B$27:$E$35,MATCH($B40,CaseData!$B$27:$B$35,0),MATCH($C40,CaseData!$B$27:$E$27,0))</f>
        <v>170</v>
      </c>
      <c r="J40" s="72">
        <f>INDEX(CaseData!$B$27:$E$35,MATCH($B40,CaseData!$B$27:$B$35,0),MATCH($C40,CaseData!$B$27:$E$27,0))</f>
        <v>170</v>
      </c>
      <c r="K40" s="72">
        <f>INDEX(CaseData!$B$27:$E$35,MATCH($B40,CaseData!$B$27:$B$35,0),MATCH($C40,CaseData!$B$27:$E$27,0))</f>
        <v>170</v>
      </c>
      <c r="L40" s="72">
        <f>INDEX(CaseData!$B$27:$E$35,MATCH($B40,CaseData!$B$27:$B$35,0),MATCH($C40,CaseData!$B$27:$E$27,0))</f>
        <v>170</v>
      </c>
      <c r="M40" s="72">
        <f>INDEX(CaseData!$B$27:$E$35,MATCH($B40,CaseData!$B$27:$B$35,0),MATCH($C40,CaseData!$B$27:$E$27,0))</f>
        <v>170</v>
      </c>
      <c r="N40" s="72">
        <f>INDEX(CaseData!$B$27:$E$35,MATCH($B40,CaseData!$B$27:$B$35,0),MATCH($C40,CaseData!$B$27:$E$27,0))</f>
        <v>170</v>
      </c>
      <c r="O40" s="72">
        <f>INDEX(CaseData!$B$27:$E$35,MATCH($B40,CaseData!$B$27:$B$35,0),MATCH($C40,CaseData!$B$27:$E$27,0))</f>
        <v>170</v>
      </c>
      <c r="P40" s="72">
        <f>INDEX(CaseData!$B$27:$E$35,MATCH($B40,CaseData!$B$27:$B$35,0),MATCH($C40,CaseData!$B$27:$E$27,0))</f>
        <v>170</v>
      </c>
      <c r="Q40" s="72">
        <f>INDEX(CaseData!$B$27:$E$35,MATCH($B40,CaseData!$B$27:$B$35,0),MATCH($C40,CaseData!$B$27:$E$27,0))</f>
        <v>170</v>
      </c>
      <c r="R40" s="72">
        <f>INDEX(CaseData!$B$27:$E$35,MATCH($B40,CaseData!$B$27:$B$35,0),MATCH($C40,CaseData!$B$27:$E$27,0))</f>
        <v>170</v>
      </c>
      <c r="S40" s="72">
        <f>INDEX(CaseData!$B$27:$E$35,MATCH($B40,CaseData!$B$27:$B$35,0),MATCH($C40,CaseData!$B$27:$E$27,0))</f>
        <v>170</v>
      </c>
      <c r="T40" s="72">
        <f>INDEX(CaseData!$B$27:$E$35,MATCH($B40,CaseData!$B$27:$B$35,0),MATCH($C40,CaseData!$B$27:$E$27,0))</f>
        <v>170</v>
      </c>
      <c r="U40" s="72">
        <f>INDEX(CaseData!$B$27:$E$35,MATCH($B40,CaseData!$B$27:$B$35,0),MATCH($C40,CaseData!$B$27:$E$27,0))</f>
        <v>170</v>
      </c>
      <c r="V40" s="72">
        <f>INDEX(CaseData!$B$27:$E$35,MATCH($B40,CaseData!$B$27:$B$35,0),MATCH($C40,CaseData!$B$27:$E$27,0))</f>
        <v>170</v>
      </c>
      <c r="W40" s="72">
        <f>INDEX(CaseData!$B$27:$E$35,MATCH($B40,CaseData!$B$27:$B$35,0),MATCH($C40,CaseData!$B$27:$E$27,0))</f>
        <v>170</v>
      </c>
      <c r="X40" s="72">
        <f>INDEX(CaseData!$B$27:$E$35,MATCH($B40,CaseData!$B$27:$B$35,0),MATCH($C40,CaseData!$B$27:$E$27,0))</f>
        <v>170</v>
      </c>
      <c r="Y40" s="72">
        <f>INDEX(CaseData!$B$27:$E$35,MATCH($B40,CaseData!$B$27:$B$35,0),MATCH($C40,CaseData!$B$27:$E$27,0))</f>
        <v>170</v>
      </c>
      <c r="Z40" s="72">
        <f>INDEX(CaseData!$B$27:$E$35,MATCH($B40,CaseData!$B$27:$B$35,0),MATCH($C40,CaseData!$B$27:$E$27,0))</f>
        <v>170</v>
      </c>
      <c r="AA40" s="72">
        <f>INDEX(CaseData!$B$27:$E$35,MATCH($B40,CaseData!$B$27:$B$35,0),MATCH($C40,CaseData!$B$27:$E$27,0))</f>
        <v>170</v>
      </c>
      <c r="AB40" s="72">
        <f>INDEX(CaseData!$B$27:$E$35,MATCH($B40,CaseData!$B$27:$B$35,0),MATCH($C40,CaseData!$B$27:$E$27,0))</f>
        <v>170</v>
      </c>
      <c r="AC40" s="72">
        <f>INDEX(CaseData!$B$27:$E$35,MATCH($B40,CaseData!$B$27:$B$35,0),MATCH($C40,CaseData!$B$27:$E$27,0))</f>
        <v>170</v>
      </c>
      <c r="AD40" s="72">
        <f>INDEX(CaseData!$B$27:$E$35,MATCH($B40,CaseData!$B$27:$B$35,0),MATCH($C40,CaseData!$B$27:$E$27,0))</f>
        <v>170</v>
      </c>
      <c r="AE40" s="72">
        <f>INDEX(CaseData!$B$27:$E$35,MATCH($B40,CaseData!$B$27:$B$35,0),MATCH($C40,CaseData!$B$27:$E$27,0))</f>
        <v>170</v>
      </c>
      <c r="AF40" s="72">
        <f>INDEX(CaseData!$B$27:$E$35,MATCH($B40,CaseData!$B$27:$B$35,0),MATCH($C40,CaseData!$B$27:$E$27,0))</f>
        <v>170</v>
      </c>
      <c r="AG40" s="72">
        <f>INDEX(CaseData!$B$27:$E$35,MATCH($B40,CaseData!$B$27:$B$35,0),MATCH($C40,CaseData!$B$27:$E$27,0))</f>
        <v>170</v>
      </c>
      <c r="AH40" s="72">
        <f>INDEX(CaseData!$B$27:$E$35,MATCH($B40,CaseData!$B$27:$B$35,0),MATCH($C40,CaseData!$B$27:$E$27,0))</f>
        <v>170</v>
      </c>
      <c r="AI40" s="72">
        <f>INDEX(CaseData!$B$27:$E$35,MATCH($B40,CaseData!$B$27:$B$35,0),MATCH($C40,CaseData!$B$27:$E$27,0))</f>
        <v>170</v>
      </c>
      <c r="AJ40" s="72">
        <f>INDEX(CaseData!$B$27:$E$35,MATCH($B40,CaseData!$B$27:$B$35,0),MATCH($C40,CaseData!$B$27:$E$27,0))</f>
        <v>170</v>
      </c>
      <c r="AK40" s="72">
        <f>INDEX(CaseData!$B$27:$E$35,MATCH($B40,CaseData!$B$27:$B$35,0),MATCH($C40,CaseData!$B$27:$E$27,0))</f>
        <v>170</v>
      </c>
      <c r="AL40" s="72">
        <f>INDEX(CaseData!$B$27:$E$35,MATCH($B40,CaseData!$B$27:$B$35,0),MATCH($C40,CaseData!$B$27:$E$27,0))</f>
        <v>170</v>
      </c>
      <c r="AM40" s="72">
        <f>INDEX(CaseData!$B$27:$E$35,MATCH($B40,CaseData!$B$27:$B$35,0),MATCH($C40,CaseData!$B$27:$E$27,0))</f>
        <v>170</v>
      </c>
      <c r="AN40" s="72">
        <f>INDEX(CaseData!$B$27:$E$35,MATCH($B40,CaseData!$B$27:$B$35,0),MATCH($C40,CaseData!$B$27:$E$27,0))</f>
        <v>170</v>
      </c>
      <c r="AO40" s="72">
        <f>INDEX(CaseData!$B$27:$E$35,MATCH($B40,CaseData!$B$27:$B$35,0),MATCH($C40,CaseData!$B$27:$E$27,0))</f>
        <v>170</v>
      </c>
      <c r="AP40" s="72">
        <f>INDEX(CaseData!$B$27:$E$35,MATCH($B40,CaseData!$B$27:$B$35,0),MATCH($C40,CaseData!$B$27:$E$27,0))</f>
        <v>170</v>
      </c>
      <c r="AQ40" s="72">
        <f>INDEX(CaseData!$B$27:$E$35,MATCH($B40,CaseData!$B$27:$B$35,0),MATCH($C40,CaseData!$B$27:$E$27,0))</f>
        <v>170</v>
      </c>
      <c r="AR40" s="72">
        <f>INDEX(CaseData!$B$27:$E$35,MATCH($B40,CaseData!$B$27:$B$35,0),MATCH($C40,CaseData!$B$27:$E$27,0))</f>
        <v>170</v>
      </c>
      <c r="AS40" s="72">
        <f>INDEX(CaseData!$B$27:$E$35,MATCH($B40,CaseData!$B$27:$B$35,0),MATCH($C40,CaseData!$B$27:$E$27,0))</f>
        <v>170</v>
      </c>
      <c r="AT40" s="72">
        <f>INDEX(CaseData!$B$27:$E$35,MATCH($B40,CaseData!$B$27:$B$35,0),MATCH($C40,CaseData!$B$27:$E$27,0))</f>
        <v>170</v>
      </c>
      <c r="AU40" s="72">
        <f>INDEX(CaseData!$B$27:$E$35,MATCH($B40,CaseData!$B$27:$B$35,0),MATCH($C40,CaseData!$B$27:$E$27,0))</f>
        <v>170</v>
      </c>
      <c r="AV40" s="72">
        <f>INDEX(CaseData!$B$27:$E$35,MATCH($B40,CaseData!$B$27:$B$35,0),MATCH($C40,CaseData!$B$27:$E$27,0))</f>
        <v>170</v>
      </c>
      <c r="AW40" s="72">
        <f>INDEX(CaseData!$B$27:$E$35,MATCH($B40,CaseData!$B$27:$B$35,0),MATCH($C40,CaseData!$B$27:$E$27,0))</f>
        <v>170</v>
      </c>
      <c r="AX40" s="72">
        <f>INDEX(CaseData!$B$27:$E$35,MATCH($B40,CaseData!$B$27:$B$35,0),MATCH($C40,CaseData!$B$27:$E$27,0))</f>
        <v>170</v>
      </c>
      <c r="AY40" s="72">
        <f>INDEX(CaseData!$B$27:$E$35,MATCH($B40,CaseData!$B$27:$B$35,0),MATCH($C40,CaseData!$B$27:$E$27,0))</f>
        <v>170</v>
      </c>
      <c r="AZ40" s="72">
        <f>INDEX(CaseData!$B$27:$E$35,MATCH($B40,CaseData!$B$27:$B$35,0),MATCH($C40,CaseData!$B$27:$E$27,0))</f>
        <v>170</v>
      </c>
      <c r="BA40" s="72">
        <f>INDEX(CaseData!$B$27:$E$35,MATCH($B40,CaseData!$B$27:$B$35,0),MATCH($C40,CaseData!$B$27:$E$27,0))</f>
        <v>170</v>
      </c>
      <c r="BB40" s="72">
        <f>INDEX(CaseData!$B$27:$E$35,MATCH($B40,CaseData!$B$27:$B$35,0),MATCH($C40,CaseData!$B$27:$E$27,0))</f>
        <v>170</v>
      </c>
      <c r="BC40" s="72">
        <f>INDEX(CaseData!$B$27:$E$35,MATCH($B40,CaseData!$B$27:$B$35,0),MATCH($C40,CaseData!$B$27:$E$27,0))</f>
        <v>170</v>
      </c>
      <c r="BD40" s="72">
        <f>INDEX(CaseData!$B$27:$E$35,MATCH($B40,CaseData!$B$27:$B$35,0),MATCH($C40,CaseData!$B$27:$E$27,0))</f>
        <v>170</v>
      </c>
      <c r="BE40" s="72">
        <f>INDEX(CaseData!$B$27:$E$35,MATCH($B40,CaseData!$B$27:$B$35,0),MATCH($C40,CaseData!$B$27:$E$27,0))</f>
        <v>170</v>
      </c>
      <c r="BF40" s="72">
        <f>INDEX(CaseData!$B$27:$E$35,MATCH($B40,CaseData!$B$27:$B$35,0),MATCH($C40,CaseData!$B$27:$E$27,0))</f>
        <v>170</v>
      </c>
      <c r="BG40" s="72">
        <f>INDEX(CaseData!$B$27:$E$35,MATCH($B40,CaseData!$B$27:$B$35,0),MATCH($C40,CaseData!$B$27:$E$27,0))</f>
        <v>170</v>
      </c>
      <c r="BH40" s="72">
        <f>INDEX(CaseData!$B$27:$E$35,MATCH($B40,CaseData!$B$27:$B$35,0),MATCH($C40,CaseData!$B$27:$E$27,0))</f>
        <v>170</v>
      </c>
      <c r="BI40" s="72">
        <f>INDEX(CaseData!$B$27:$E$35,MATCH($B40,CaseData!$B$27:$B$35,0),MATCH($C40,CaseData!$B$27:$E$27,0))</f>
        <v>170</v>
      </c>
      <c r="BJ40" s="72">
        <f>INDEX(CaseData!$B$27:$E$35,MATCH($B40,CaseData!$B$27:$B$35,0),MATCH($C40,CaseData!$B$27:$E$27,0))</f>
        <v>170</v>
      </c>
      <c r="BK40" s="72">
        <f>INDEX(CaseData!$B$27:$E$35,MATCH($B40,CaseData!$B$27:$B$35,0),MATCH($C40,CaseData!$B$27:$E$27,0))</f>
        <v>170</v>
      </c>
      <c r="BL40" s="72">
        <f>INDEX(CaseData!$B$27:$E$35,MATCH($B40,CaseData!$B$27:$B$35,0),MATCH($C40,CaseData!$B$27:$E$27,0))</f>
        <v>170</v>
      </c>
      <c r="BM40" s="72">
        <f>INDEX(CaseData!$B$27:$E$35,MATCH($B40,CaseData!$B$27:$B$35,0),MATCH($C40,CaseData!$B$27:$E$27,0))</f>
        <v>170</v>
      </c>
      <c r="BN40" s="72">
        <f>INDEX(CaseData!$B$27:$E$35,MATCH($B40,CaseData!$B$27:$B$35,0),MATCH($C40,CaseData!$B$27:$E$27,0))</f>
        <v>170</v>
      </c>
    </row>
    <row r="41" spans="2:72">
      <c r="B41" s="37" t="str">
        <f>B40</f>
        <v>Paris</v>
      </c>
      <c r="C41" t="str">
        <f>CaseData!E27</f>
        <v>Accessories</v>
      </c>
      <c r="G41" s="72">
        <f>INDEX(CaseData!$B$27:$E$35,MATCH($B41,CaseData!$B$27:$B$35,0),MATCH($C41,CaseData!$B$27:$E$27,0))</f>
        <v>260</v>
      </c>
      <c r="H41" s="72">
        <f>INDEX(CaseData!$B$27:$E$35,MATCH($B41,CaseData!$B$27:$B$35,0),MATCH($C41,CaseData!$B$27:$E$27,0))</f>
        <v>260</v>
      </c>
      <c r="I41" s="72">
        <f>INDEX(CaseData!$B$27:$E$35,MATCH($B41,CaseData!$B$27:$B$35,0),MATCH($C41,CaseData!$B$27:$E$27,0))</f>
        <v>260</v>
      </c>
      <c r="J41" s="72">
        <f>INDEX(CaseData!$B$27:$E$35,MATCH($B41,CaseData!$B$27:$B$35,0),MATCH($C41,CaseData!$B$27:$E$27,0))</f>
        <v>260</v>
      </c>
      <c r="K41" s="72">
        <f>INDEX(CaseData!$B$27:$E$35,MATCH($B41,CaseData!$B$27:$B$35,0),MATCH($C41,CaseData!$B$27:$E$27,0))</f>
        <v>260</v>
      </c>
      <c r="L41" s="72">
        <f>INDEX(CaseData!$B$27:$E$35,MATCH($B41,CaseData!$B$27:$B$35,0),MATCH($C41,CaseData!$B$27:$E$27,0))</f>
        <v>260</v>
      </c>
      <c r="M41" s="72">
        <f>INDEX(CaseData!$B$27:$E$35,MATCH($B41,CaseData!$B$27:$B$35,0),MATCH($C41,CaseData!$B$27:$E$27,0))</f>
        <v>260</v>
      </c>
      <c r="N41" s="72">
        <f>INDEX(CaseData!$B$27:$E$35,MATCH($B41,CaseData!$B$27:$B$35,0),MATCH($C41,CaseData!$B$27:$E$27,0))</f>
        <v>260</v>
      </c>
      <c r="O41" s="72">
        <f>INDEX(CaseData!$B$27:$E$35,MATCH($B41,CaseData!$B$27:$B$35,0),MATCH($C41,CaseData!$B$27:$E$27,0))</f>
        <v>260</v>
      </c>
      <c r="P41" s="72">
        <f>INDEX(CaseData!$B$27:$E$35,MATCH($B41,CaseData!$B$27:$B$35,0),MATCH($C41,CaseData!$B$27:$E$27,0))</f>
        <v>260</v>
      </c>
      <c r="Q41" s="72">
        <f>INDEX(CaseData!$B$27:$E$35,MATCH($B41,CaseData!$B$27:$B$35,0),MATCH($C41,CaseData!$B$27:$E$27,0))</f>
        <v>260</v>
      </c>
      <c r="R41" s="72">
        <f>INDEX(CaseData!$B$27:$E$35,MATCH($B41,CaseData!$B$27:$B$35,0),MATCH($C41,CaseData!$B$27:$E$27,0))</f>
        <v>260</v>
      </c>
      <c r="S41" s="72">
        <f>INDEX(CaseData!$B$27:$E$35,MATCH($B41,CaseData!$B$27:$B$35,0),MATCH($C41,CaseData!$B$27:$E$27,0))</f>
        <v>260</v>
      </c>
      <c r="T41" s="72">
        <f>INDEX(CaseData!$B$27:$E$35,MATCH($B41,CaseData!$B$27:$B$35,0),MATCH($C41,CaseData!$B$27:$E$27,0))</f>
        <v>260</v>
      </c>
      <c r="U41" s="72">
        <f>INDEX(CaseData!$B$27:$E$35,MATCH($B41,CaseData!$B$27:$B$35,0),MATCH($C41,CaseData!$B$27:$E$27,0))</f>
        <v>260</v>
      </c>
      <c r="V41" s="72">
        <f>INDEX(CaseData!$B$27:$E$35,MATCH($B41,CaseData!$B$27:$B$35,0),MATCH($C41,CaseData!$B$27:$E$27,0))</f>
        <v>260</v>
      </c>
      <c r="W41" s="72">
        <f>INDEX(CaseData!$B$27:$E$35,MATCH($B41,CaseData!$B$27:$B$35,0),MATCH($C41,CaseData!$B$27:$E$27,0))</f>
        <v>260</v>
      </c>
      <c r="X41" s="72">
        <f>INDEX(CaseData!$B$27:$E$35,MATCH($B41,CaseData!$B$27:$B$35,0),MATCH($C41,CaseData!$B$27:$E$27,0))</f>
        <v>260</v>
      </c>
      <c r="Y41" s="72">
        <f>INDEX(CaseData!$B$27:$E$35,MATCH($B41,CaseData!$B$27:$B$35,0),MATCH($C41,CaseData!$B$27:$E$27,0))</f>
        <v>260</v>
      </c>
      <c r="Z41" s="72">
        <f>INDEX(CaseData!$B$27:$E$35,MATCH($B41,CaseData!$B$27:$B$35,0),MATCH($C41,CaseData!$B$27:$E$27,0))</f>
        <v>260</v>
      </c>
      <c r="AA41" s="72">
        <f>INDEX(CaseData!$B$27:$E$35,MATCH($B41,CaseData!$B$27:$B$35,0),MATCH($C41,CaseData!$B$27:$E$27,0))</f>
        <v>260</v>
      </c>
      <c r="AB41" s="72">
        <f>INDEX(CaseData!$B$27:$E$35,MATCH($B41,CaseData!$B$27:$B$35,0),MATCH($C41,CaseData!$B$27:$E$27,0))</f>
        <v>260</v>
      </c>
      <c r="AC41" s="72">
        <f>INDEX(CaseData!$B$27:$E$35,MATCH($B41,CaseData!$B$27:$B$35,0),MATCH($C41,CaseData!$B$27:$E$27,0))</f>
        <v>260</v>
      </c>
      <c r="AD41" s="72">
        <f>INDEX(CaseData!$B$27:$E$35,MATCH($B41,CaseData!$B$27:$B$35,0),MATCH($C41,CaseData!$B$27:$E$27,0))</f>
        <v>260</v>
      </c>
      <c r="AE41" s="72">
        <f>INDEX(CaseData!$B$27:$E$35,MATCH($B41,CaseData!$B$27:$B$35,0),MATCH($C41,CaseData!$B$27:$E$27,0))</f>
        <v>260</v>
      </c>
      <c r="AF41" s="72">
        <f>INDEX(CaseData!$B$27:$E$35,MATCH($B41,CaseData!$B$27:$B$35,0),MATCH($C41,CaseData!$B$27:$E$27,0))</f>
        <v>260</v>
      </c>
      <c r="AG41" s="72">
        <f>INDEX(CaseData!$B$27:$E$35,MATCH($B41,CaseData!$B$27:$B$35,0),MATCH($C41,CaseData!$B$27:$E$27,0))</f>
        <v>260</v>
      </c>
      <c r="AH41" s="72">
        <f>INDEX(CaseData!$B$27:$E$35,MATCH($B41,CaseData!$B$27:$B$35,0),MATCH($C41,CaseData!$B$27:$E$27,0))</f>
        <v>260</v>
      </c>
      <c r="AI41" s="72">
        <f>INDEX(CaseData!$B$27:$E$35,MATCH($B41,CaseData!$B$27:$B$35,0),MATCH($C41,CaseData!$B$27:$E$27,0))</f>
        <v>260</v>
      </c>
      <c r="AJ41" s="72">
        <f>INDEX(CaseData!$B$27:$E$35,MATCH($B41,CaseData!$B$27:$B$35,0),MATCH($C41,CaseData!$B$27:$E$27,0))</f>
        <v>260</v>
      </c>
      <c r="AK41" s="72">
        <f>INDEX(CaseData!$B$27:$E$35,MATCH($B41,CaseData!$B$27:$B$35,0),MATCH($C41,CaseData!$B$27:$E$27,0))</f>
        <v>260</v>
      </c>
      <c r="AL41" s="72">
        <f>INDEX(CaseData!$B$27:$E$35,MATCH($B41,CaseData!$B$27:$B$35,0),MATCH($C41,CaseData!$B$27:$E$27,0))</f>
        <v>260</v>
      </c>
      <c r="AM41" s="72">
        <f>INDEX(CaseData!$B$27:$E$35,MATCH($B41,CaseData!$B$27:$B$35,0),MATCH($C41,CaseData!$B$27:$E$27,0))</f>
        <v>260</v>
      </c>
      <c r="AN41" s="72">
        <f>INDEX(CaseData!$B$27:$E$35,MATCH($B41,CaseData!$B$27:$B$35,0),MATCH($C41,CaseData!$B$27:$E$27,0))</f>
        <v>260</v>
      </c>
      <c r="AO41" s="72">
        <f>INDEX(CaseData!$B$27:$E$35,MATCH($B41,CaseData!$B$27:$B$35,0),MATCH($C41,CaseData!$B$27:$E$27,0))</f>
        <v>260</v>
      </c>
      <c r="AP41" s="72">
        <f>INDEX(CaseData!$B$27:$E$35,MATCH($B41,CaseData!$B$27:$B$35,0),MATCH($C41,CaseData!$B$27:$E$27,0))</f>
        <v>260</v>
      </c>
      <c r="AQ41" s="72">
        <f>INDEX(CaseData!$B$27:$E$35,MATCH($B41,CaseData!$B$27:$B$35,0),MATCH($C41,CaseData!$B$27:$E$27,0))</f>
        <v>260</v>
      </c>
      <c r="AR41" s="72">
        <f>INDEX(CaseData!$B$27:$E$35,MATCH($B41,CaseData!$B$27:$B$35,0),MATCH($C41,CaseData!$B$27:$E$27,0))</f>
        <v>260</v>
      </c>
      <c r="AS41" s="72">
        <f>INDEX(CaseData!$B$27:$E$35,MATCH($B41,CaseData!$B$27:$B$35,0),MATCH($C41,CaseData!$B$27:$E$27,0))</f>
        <v>260</v>
      </c>
      <c r="AT41" s="72">
        <f>INDEX(CaseData!$B$27:$E$35,MATCH($B41,CaseData!$B$27:$B$35,0),MATCH($C41,CaseData!$B$27:$E$27,0))</f>
        <v>260</v>
      </c>
      <c r="AU41" s="72">
        <f>INDEX(CaseData!$B$27:$E$35,MATCH($B41,CaseData!$B$27:$B$35,0),MATCH($C41,CaseData!$B$27:$E$27,0))</f>
        <v>260</v>
      </c>
      <c r="AV41" s="72">
        <f>INDEX(CaseData!$B$27:$E$35,MATCH($B41,CaseData!$B$27:$B$35,0),MATCH($C41,CaseData!$B$27:$E$27,0))</f>
        <v>260</v>
      </c>
      <c r="AW41" s="72">
        <f>INDEX(CaseData!$B$27:$E$35,MATCH($B41,CaseData!$B$27:$B$35,0),MATCH($C41,CaseData!$B$27:$E$27,0))</f>
        <v>260</v>
      </c>
      <c r="AX41" s="72">
        <f>INDEX(CaseData!$B$27:$E$35,MATCH($B41,CaseData!$B$27:$B$35,0),MATCH($C41,CaseData!$B$27:$E$27,0))</f>
        <v>260</v>
      </c>
      <c r="AY41" s="72">
        <f>INDEX(CaseData!$B$27:$E$35,MATCH($B41,CaseData!$B$27:$B$35,0),MATCH($C41,CaseData!$B$27:$E$27,0))</f>
        <v>260</v>
      </c>
      <c r="AZ41" s="72">
        <f>INDEX(CaseData!$B$27:$E$35,MATCH($B41,CaseData!$B$27:$B$35,0),MATCH($C41,CaseData!$B$27:$E$27,0))</f>
        <v>260</v>
      </c>
      <c r="BA41" s="72">
        <f>INDEX(CaseData!$B$27:$E$35,MATCH($B41,CaseData!$B$27:$B$35,0),MATCH($C41,CaseData!$B$27:$E$27,0))</f>
        <v>260</v>
      </c>
      <c r="BB41" s="72">
        <f>INDEX(CaseData!$B$27:$E$35,MATCH($B41,CaseData!$B$27:$B$35,0),MATCH($C41,CaseData!$B$27:$E$27,0))</f>
        <v>260</v>
      </c>
      <c r="BC41" s="72">
        <f>INDEX(CaseData!$B$27:$E$35,MATCH($B41,CaseData!$B$27:$B$35,0),MATCH($C41,CaseData!$B$27:$E$27,0))</f>
        <v>260</v>
      </c>
      <c r="BD41" s="72">
        <f>INDEX(CaseData!$B$27:$E$35,MATCH($B41,CaseData!$B$27:$B$35,0),MATCH($C41,CaseData!$B$27:$E$27,0))</f>
        <v>260</v>
      </c>
      <c r="BE41" s="72">
        <f>INDEX(CaseData!$B$27:$E$35,MATCH($B41,CaseData!$B$27:$B$35,0),MATCH($C41,CaseData!$B$27:$E$27,0))</f>
        <v>260</v>
      </c>
      <c r="BF41" s="72">
        <f>INDEX(CaseData!$B$27:$E$35,MATCH($B41,CaseData!$B$27:$B$35,0),MATCH($C41,CaseData!$B$27:$E$27,0))</f>
        <v>260</v>
      </c>
      <c r="BG41" s="72">
        <f>INDEX(CaseData!$B$27:$E$35,MATCH($B41,CaseData!$B$27:$B$35,0),MATCH($C41,CaseData!$B$27:$E$27,0))</f>
        <v>260</v>
      </c>
      <c r="BH41" s="72">
        <f>INDEX(CaseData!$B$27:$E$35,MATCH($B41,CaseData!$B$27:$B$35,0),MATCH($C41,CaseData!$B$27:$E$27,0))</f>
        <v>260</v>
      </c>
      <c r="BI41" s="72">
        <f>INDEX(CaseData!$B$27:$E$35,MATCH($B41,CaseData!$B$27:$B$35,0),MATCH($C41,CaseData!$B$27:$E$27,0))</f>
        <v>260</v>
      </c>
      <c r="BJ41" s="72">
        <f>INDEX(CaseData!$B$27:$E$35,MATCH($B41,CaseData!$B$27:$B$35,0),MATCH($C41,CaseData!$B$27:$E$27,0))</f>
        <v>260</v>
      </c>
      <c r="BK41" s="72">
        <f>INDEX(CaseData!$B$27:$E$35,MATCH($B41,CaseData!$B$27:$B$35,0),MATCH($C41,CaseData!$B$27:$E$27,0))</f>
        <v>260</v>
      </c>
      <c r="BL41" s="72">
        <f>INDEX(CaseData!$B$27:$E$35,MATCH($B41,CaseData!$B$27:$B$35,0),MATCH($C41,CaseData!$B$27:$E$27,0))</f>
        <v>260</v>
      </c>
      <c r="BM41" s="72">
        <f>INDEX(CaseData!$B$27:$E$35,MATCH($B41,CaseData!$B$27:$B$35,0),MATCH($C41,CaseData!$B$27:$E$27,0))</f>
        <v>260</v>
      </c>
      <c r="BN41" s="72">
        <f>INDEX(CaseData!$B$27:$E$35,MATCH($B41,CaseData!$B$27:$B$35,0),MATCH($C41,CaseData!$B$27:$E$27,0))</f>
        <v>260</v>
      </c>
    </row>
    <row r="42" spans="2:72">
      <c r="B42" s="37" t="str">
        <f>CaseData!$B$29</f>
        <v>Milano</v>
      </c>
      <c r="C42" t="str">
        <f>C39</f>
        <v>Women's</v>
      </c>
      <c r="G42" s="72">
        <f>INDEX(CaseData!$B$27:$E$35,MATCH($B42,CaseData!$B$27:$B$35,0),MATCH($C42,CaseData!$B$27:$E$27,0))</f>
        <v>280</v>
      </c>
      <c r="H42" s="72">
        <f>INDEX(CaseData!$B$27:$E$35,MATCH($B42,CaseData!$B$27:$B$35,0),MATCH($C42,CaseData!$B$27:$E$27,0))</f>
        <v>280</v>
      </c>
      <c r="I42" s="72">
        <f>INDEX(CaseData!$B$27:$E$35,MATCH($B42,CaseData!$B$27:$B$35,0),MATCH($C42,CaseData!$B$27:$E$27,0))</f>
        <v>280</v>
      </c>
      <c r="J42" s="72">
        <f>INDEX(CaseData!$B$27:$E$35,MATCH($B42,CaseData!$B$27:$B$35,0),MATCH($C42,CaseData!$B$27:$E$27,0))</f>
        <v>280</v>
      </c>
      <c r="K42" s="72">
        <f>INDEX(CaseData!$B$27:$E$35,MATCH($B42,CaseData!$B$27:$B$35,0),MATCH($C42,CaseData!$B$27:$E$27,0))</f>
        <v>280</v>
      </c>
      <c r="L42" s="72">
        <f>INDEX(CaseData!$B$27:$E$35,MATCH($B42,CaseData!$B$27:$B$35,0),MATCH($C42,CaseData!$B$27:$E$27,0))</f>
        <v>280</v>
      </c>
      <c r="M42" s="72">
        <f>INDEX(CaseData!$B$27:$E$35,MATCH($B42,CaseData!$B$27:$B$35,0),MATCH($C42,CaseData!$B$27:$E$27,0))</f>
        <v>280</v>
      </c>
      <c r="N42" s="72">
        <f>INDEX(CaseData!$B$27:$E$35,MATCH($B42,CaseData!$B$27:$B$35,0),MATCH($C42,CaseData!$B$27:$E$27,0))</f>
        <v>280</v>
      </c>
      <c r="O42" s="72">
        <f>INDEX(CaseData!$B$27:$E$35,MATCH($B42,CaseData!$B$27:$B$35,0),MATCH($C42,CaseData!$B$27:$E$27,0))</f>
        <v>280</v>
      </c>
      <c r="P42" s="72">
        <f>INDEX(CaseData!$B$27:$E$35,MATCH($B42,CaseData!$B$27:$B$35,0),MATCH($C42,CaseData!$B$27:$E$27,0))</f>
        <v>280</v>
      </c>
      <c r="Q42" s="72">
        <f>INDEX(CaseData!$B$27:$E$35,MATCH($B42,CaseData!$B$27:$B$35,0),MATCH($C42,CaseData!$B$27:$E$27,0))</f>
        <v>280</v>
      </c>
      <c r="R42" s="72">
        <f>INDEX(CaseData!$B$27:$E$35,MATCH($B42,CaseData!$B$27:$B$35,0),MATCH($C42,CaseData!$B$27:$E$27,0))</f>
        <v>280</v>
      </c>
      <c r="S42" s="72">
        <f>INDEX(CaseData!$B$27:$E$35,MATCH($B42,CaseData!$B$27:$B$35,0),MATCH($C42,CaseData!$B$27:$E$27,0))</f>
        <v>280</v>
      </c>
      <c r="T42" s="72">
        <f>INDEX(CaseData!$B$27:$E$35,MATCH($B42,CaseData!$B$27:$B$35,0),MATCH($C42,CaseData!$B$27:$E$27,0))</f>
        <v>280</v>
      </c>
      <c r="U42" s="72">
        <f>INDEX(CaseData!$B$27:$E$35,MATCH($B42,CaseData!$B$27:$B$35,0),MATCH($C42,CaseData!$B$27:$E$27,0))</f>
        <v>280</v>
      </c>
      <c r="V42" s="72">
        <f>INDEX(CaseData!$B$27:$E$35,MATCH($B42,CaseData!$B$27:$B$35,0),MATCH($C42,CaseData!$B$27:$E$27,0))</f>
        <v>280</v>
      </c>
      <c r="W42" s="72">
        <f>INDEX(CaseData!$B$27:$E$35,MATCH($B42,CaseData!$B$27:$B$35,0),MATCH($C42,CaseData!$B$27:$E$27,0))</f>
        <v>280</v>
      </c>
      <c r="X42" s="72">
        <f>INDEX(CaseData!$B$27:$E$35,MATCH($B42,CaseData!$B$27:$B$35,0),MATCH($C42,CaseData!$B$27:$E$27,0))</f>
        <v>280</v>
      </c>
      <c r="Y42" s="72">
        <f>INDEX(CaseData!$B$27:$E$35,MATCH($B42,CaseData!$B$27:$B$35,0),MATCH($C42,CaseData!$B$27:$E$27,0))</f>
        <v>280</v>
      </c>
      <c r="Z42" s="72">
        <f>INDEX(CaseData!$B$27:$E$35,MATCH($B42,CaseData!$B$27:$B$35,0),MATCH($C42,CaseData!$B$27:$E$27,0))</f>
        <v>280</v>
      </c>
      <c r="AA42" s="72">
        <f>INDEX(CaseData!$B$27:$E$35,MATCH($B42,CaseData!$B$27:$B$35,0),MATCH($C42,CaseData!$B$27:$E$27,0))</f>
        <v>280</v>
      </c>
      <c r="AB42" s="72">
        <f>INDEX(CaseData!$B$27:$E$35,MATCH($B42,CaseData!$B$27:$B$35,0),MATCH($C42,CaseData!$B$27:$E$27,0))</f>
        <v>280</v>
      </c>
      <c r="AC42" s="72">
        <f>INDEX(CaseData!$B$27:$E$35,MATCH($B42,CaseData!$B$27:$B$35,0),MATCH($C42,CaseData!$B$27:$E$27,0))</f>
        <v>280</v>
      </c>
      <c r="AD42" s="72">
        <f>INDEX(CaseData!$B$27:$E$35,MATCH($B42,CaseData!$B$27:$B$35,0),MATCH($C42,CaseData!$B$27:$E$27,0))</f>
        <v>280</v>
      </c>
      <c r="AE42" s="72">
        <f>INDEX(CaseData!$B$27:$E$35,MATCH($B42,CaseData!$B$27:$B$35,0),MATCH($C42,CaseData!$B$27:$E$27,0))</f>
        <v>280</v>
      </c>
      <c r="AF42" s="72">
        <f>INDEX(CaseData!$B$27:$E$35,MATCH($B42,CaseData!$B$27:$B$35,0),MATCH($C42,CaseData!$B$27:$E$27,0))</f>
        <v>280</v>
      </c>
      <c r="AG42" s="72">
        <f>INDEX(CaseData!$B$27:$E$35,MATCH($B42,CaseData!$B$27:$B$35,0),MATCH($C42,CaseData!$B$27:$E$27,0))</f>
        <v>280</v>
      </c>
      <c r="AH42" s="72">
        <f>INDEX(CaseData!$B$27:$E$35,MATCH($B42,CaseData!$B$27:$B$35,0),MATCH($C42,CaseData!$B$27:$E$27,0))</f>
        <v>280</v>
      </c>
      <c r="AI42" s="72">
        <f>INDEX(CaseData!$B$27:$E$35,MATCH($B42,CaseData!$B$27:$B$35,0),MATCH($C42,CaseData!$B$27:$E$27,0))</f>
        <v>280</v>
      </c>
      <c r="AJ42" s="72">
        <f>INDEX(CaseData!$B$27:$E$35,MATCH($B42,CaseData!$B$27:$B$35,0),MATCH($C42,CaseData!$B$27:$E$27,0))</f>
        <v>280</v>
      </c>
      <c r="AK42" s="72">
        <f>INDEX(CaseData!$B$27:$E$35,MATCH($B42,CaseData!$B$27:$B$35,0),MATCH($C42,CaseData!$B$27:$E$27,0))</f>
        <v>280</v>
      </c>
      <c r="AL42" s="72">
        <f>INDEX(CaseData!$B$27:$E$35,MATCH($B42,CaseData!$B$27:$B$35,0),MATCH($C42,CaseData!$B$27:$E$27,0))</f>
        <v>280</v>
      </c>
      <c r="AM42" s="72">
        <f>INDEX(CaseData!$B$27:$E$35,MATCH($B42,CaseData!$B$27:$B$35,0),MATCH($C42,CaseData!$B$27:$E$27,0))</f>
        <v>280</v>
      </c>
      <c r="AN42" s="72">
        <f>INDEX(CaseData!$B$27:$E$35,MATCH($B42,CaseData!$B$27:$B$35,0),MATCH($C42,CaseData!$B$27:$E$27,0))</f>
        <v>280</v>
      </c>
      <c r="AO42" s="72">
        <f>INDEX(CaseData!$B$27:$E$35,MATCH($B42,CaseData!$B$27:$B$35,0),MATCH($C42,CaseData!$B$27:$E$27,0))</f>
        <v>280</v>
      </c>
      <c r="AP42" s="72">
        <f>INDEX(CaseData!$B$27:$E$35,MATCH($B42,CaseData!$B$27:$B$35,0),MATCH($C42,CaseData!$B$27:$E$27,0))</f>
        <v>280</v>
      </c>
      <c r="AQ42" s="72">
        <f>INDEX(CaseData!$B$27:$E$35,MATCH($B42,CaseData!$B$27:$B$35,0),MATCH($C42,CaseData!$B$27:$E$27,0))</f>
        <v>280</v>
      </c>
      <c r="AR42" s="72">
        <f>INDEX(CaseData!$B$27:$E$35,MATCH($B42,CaseData!$B$27:$B$35,0),MATCH($C42,CaseData!$B$27:$E$27,0))</f>
        <v>280</v>
      </c>
      <c r="AS42" s="72">
        <f>INDEX(CaseData!$B$27:$E$35,MATCH($B42,CaseData!$B$27:$B$35,0),MATCH($C42,CaseData!$B$27:$E$27,0))</f>
        <v>280</v>
      </c>
      <c r="AT42" s="72">
        <f>INDEX(CaseData!$B$27:$E$35,MATCH($B42,CaseData!$B$27:$B$35,0),MATCH($C42,CaseData!$B$27:$E$27,0))</f>
        <v>280</v>
      </c>
      <c r="AU42" s="72">
        <f>INDEX(CaseData!$B$27:$E$35,MATCH($B42,CaseData!$B$27:$B$35,0),MATCH($C42,CaseData!$B$27:$E$27,0))</f>
        <v>280</v>
      </c>
      <c r="AV42" s="72">
        <f>INDEX(CaseData!$B$27:$E$35,MATCH($B42,CaseData!$B$27:$B$35,0),MATCH($C42,CaseData!$B$27:$E$27,0))</f>
        <v>280</v>
      </c>
      <c r="AW42" s="72">
        <f>INDEX(CaseData!$B$27:$E$35,MATCH($B42,CaseData!$B$27:$B$35,0),MATCH($C42,CaseData!$B$27:$E$27,0))</f>
        <v>280</v>
      </c>
      <c r="AX42" s="72">
        <f>INDEX(CaseData!$B$27:$E$35,MATCH($B42,CaseData!$B$27:$B$35,0),MATCH($C42,CaseData!$B$27:$E$27,0))</f>
        <v>280</v>
      </c>
      <c r="AY42" s="72">
        <f>INDEX(CaseData!$B$27:$E$35,MATCH($B42,CaseData!$B$27:$B$35,0),MATCH($C42,CaseData!$B$27:$E$27,0))</f>
        <v>280</v>
      </c>
      <c r="AZ42" s="72">
        <f>INDEX(CaseData!$B$27:$E$35,MATCH($B42,CaseData!$B$27:$B$35,0),MATCH($C42,CaseData!$B$27:$E$27,0))</f>
        <v>280</v>
      </c>
      <c r="BA42" s="72">
        <f>INDEX(CaseData!$B$27:$E$35,MATCH($B42,CaseData!$B$27:$B$35,0),MATCH($C42,CaseData!$B$27:$E$27,0))</f>
        <v>280</v>
      </c>
      <c r="BB42" s="72">
        <f>INDEX(CaseData!$B$27:$E$35,MATCH($B42,CaseData!$B$27:$B$35,0),MATCH($C42,CaseData!$B$27:$E$27,0))</f>
        <v>280</v>
      </c>
      <c r="BC42" s="72">
        <f>INDEX(CaseData!$B$27:$E$35,MATCH($B42,CaseData!$B$27:$B$35,0),MATCH($C42,CaseData!$B$27:$E$27,0))</f>
        <v>280</v>
      </c>
      <c r="BD42" s="72">
        <f>INDEX(CaseData!$B$27:$E$35,MATCH($B42,CaseData!$B$27:$B$35,0),MATCH($C42,CaseData!$B$27:$E$27,0))</f>
        <v>280</v>
      </c>
      <c r="BE42" s="72">
        <f>INDEX(CaseData!$B$27:$E$35,MATCH($B42,CaseData!$B$27:$B$35,0),MATCH($C42,CaseData!$B$27:$E$27,0))</f>
        <v>280</v>
      </c>
      <c r="BF42" s="72">
        <f>INDEX(CaseData!$B$27:$E$35,MATCH($B42,CaseData!$B$27:$B$35,0),MATCH($C42,CaseData!$B$27:$E$27,0))</f>
        <v>280</v>
      </c>
      <c r="BG42" s="72">
        <f>INDEX(CaseData!$B$27:$E$35,MATCH($B42,CaseData!$B$27:$B$35,0),MATCH($C42,CaseData!$B$27:$E$27,0))</f>
        <v>280</v>
      </c>
      <c r="BH42" s="72">
        <f>INDEX(CaseData!$B$27:$E$35,MATCH($B42,CaseData!$B$27:$B$35,0),MATCH($C42,CaseData!$B$27:$E$27,0))</f>
        <v>280</v>
      </c>
      <c r="BI42" s="72">
        <f>INDEX(CaseData!$B$27:$E$35,MATCH($B42,CaseData!$B$27:$B$35,0),MATCH($C42,CaseData!$B$27:$E$27,0))</f>
        <v>280</v>
      </c>
      <c r="BJ42" s="72">
        <f>INDEX(CaseData!$B$27:$E$35,MATCH($B42,CaseData!$B$27:$B$35,0),MATCH($C42,CaseData!$B$27:$E$27,0))</f>
        <v>280</v>
      </c>
      <c r="BK42" s="72">
        <f>INDEX(CaseData!$B$27:$E$35,MATCH($B42,CaseData!$B$27:$B$35,0),MATCH($C42,CaseData!$B$27:$E$27,0))</f>
        <v>280</v>
      </c>
      <c r="BL42" s="72">
        <f>INDEX(CaseData!$B$27:$E$35,MATCH($B42,CaseData!$B$27:$B$35,0),MATCH($C42,CaseData!$B$27:$E$27,0))</f>
        <v>280</v>
      </c>
      <c r="BM42" s="72">
        <f>INDEX(CaseData!$B$27:$E$35,MATCH($B42,CaseData!$B$27:$B$35,0),MATCH($C42,CaseData!$B$27:$E$27,0))</f>
        <v>280</v>
      </c>
      <c r="BN42" s="72">
        <f>INDEX(CaseData!$B$27:$E$35,MATCH($B42,CaseData!$B$27:$B$35,0),MATCH($C42,CaseData!$B$27:$E$27,0))</f>
        <v>280</v>
      </c>
    </row>
    <row r="43" spans="2:72">
      <c r="B43" s="37" t="str">
        <f>B42</f>
        <v>Milano</v>
      </c>
      <c r="C43" t="str">
        <f t="shared" ref="C43:C62" si="27">C40</f>
        <v>Men's</v>
      </c>
      <c r="G43" s="72">
        <f>INDEX(CaseData!$B$27:$E$35,MATCH($B43,CaseData!$B$27:$B$35,0),MATCH($C43,CaseData!$B$27:$E$27,0))</f>
        <v>170</v>
      </c>
      <c r="H43" s="72">
        <f>INDEX(CaseData!$B$27:$E$35,MATCH($B43,CaseData!$B$27:$B$35,0),MATCH($C43,CaseData!$B$27:$E$27,0))</f>
        <v>170</v>
      </c>
      <c r="I43" s="72">
        <f>INDEX(CaseData!$B$27:$E$35,MATCH($B43,CaseData!$B$27:$B$35,0),MATCH($C43,CaseData!$B$27:$E$27,0))</f>
        <v>170</v>
      </c>
      <c r="J43" s="72">
        <f>INDEX(CaseData!$B$27:$E$35,MATCH($B43,CaseData!$B$27:$B$35,0),MATCH($C43,CaseData!$B$27:$E$27,0))</f>
        <v>170</v>
      </c>
      <c r="K43" s="72">
        <f>INDEX(CaseData!$B$27:$E$35,MATCH($B43,CaseData!$B$27:$B$35,0),MATCH($C43,CaseData!$B$27:$E$27,0))</f>
        <v>170</v>
      </c>
      <c r="L43" s="72">
        <f>INDEX(CaseData!$B$27:$E$35,MATCH($B43,CaseData!$B$27:$B$35,0),MATCH($C43,CaseData!$B$27:$E$27,0))</f>
        <v>170</v>
      </c>
      <c r="M43" s="72">
        <f>INDEX(CaseData!$B$27:$E$35,MATCH($B43,CaseData!$B$27:$B$35,0),MATCH($C43,CaseData!$B$27:$E$27,0))</f>
        <v>170</v>
      </c>
      <c r="N43" s="72">
        <f>INDEX(CaseData!$B$27:$E$35,MATCH($B43,CaseData!$B$27:$B$35,0),MATCH($C43,CaseData!$B$27:$E$27,0))</f>
        <v>170</v>
      </c>
      <c r="O43" s="72">
        <f>INDEX(CaseData!$B$27:$E$35,MATCH($B43,CaseData!$B$27:$B$35,0),MATCH($C43,CaseData!$B$27:$E$27,0))</f>
        <v>170</v>
      </c>
      <c r="P43" s="72">
        <f>INDEX(CaseData!$B$27:$E$35,MATCH($B43,CaseData!$B$27:$B$35,0),MATCH($C43,CaseData!$B$27:$E$27,0))</f>
        <v>170</v>
      </c>
      <c r="Q43" s="72">
        <f>INDEX(CaseData!$B$27:$E$35,MATCH($B43,CaseData!$B$27:$B$35,0),MATCH($C43,CaseData!$B$27:$E$27,0))</f>
        <v>170</v>
      </c>
      <c r="R43" s="72">
        <f>INDEX(CaseData!$B$27:$E$35,MATCH($B43,CaseData!$B$27:$B$35,0),MATCH($C43,CaseData!$B$27:$E$27,0))</f>
        <v>170</v>
      </c>
      <c r="S43" s="72">
        <f>INDEX(CaseData!$B$27:$E$35,MATCH($B43,CaseData!$B$27:$B$35,0),MATCH($C43,CaseData!$B$27:$E$27,0))</f>
        <v>170</v>
      </c>
      <c r="T43" s="72">
        <f>INDEX(CaseData!$B$27:$E$35,MATCH($B43,CaseData!$B$27:$B$35,0),MATCH($C43,CaseData!$B$27:$E$27,0))</f>
        <v>170</v>
      </c>
      <c r="U43" s="72">
        <f>INDEX(CaseData!$B$27:$E$35,MATCH($B43,CaseData!$B$27:$B$35,0),MATCH($C43,CaseData!$B$27:$E$27,0))</f>
        <v>170</v>
      </c>
      <c r="V43" s="72">
        <f>INDEX(CaseData!$B$27:$E$35,MATCH($B43,CaseData!$B$27:$B$35,0),MATCH($C43,CaseData!$B$27:$E$27,0))</f>
        <v>170</v>
      </c>
      <c r="W43" s="72">
        <f>INDEX(CaseData!$B$27:$E$35,MATCH($B43,CaseData!$B$27:$B$35,0),MATCH($C43,CaseData!$B$27:$E$27,0))</f>
        <v>170</v>
      </c>
      <c r="X43" s="72">
        <f>INDEX(CaseData!$B$27:$E$35,MATCH($B43,CaseData!$B$27:$B$35,0),MATCH($C43,CaseData!$B$27:$E$27,0))</f>
        <v>170</v>
      </c>
      <c r="Y43" s="72">
        <f>INDEX(CaseData!$B$27:$E$35,MATCH($B43,CaseData!$B$27:$B$35,0),MATCH($C43,CaseData!$B$27:$E$27,0))</f>
        <v>170</v>
      </c>
      <c r="Z43" s="72">
        <f>INDEX(CaseData!$B$27:$E$35,MATCH($B43,CaseData!$B$27:$B$35,0),MATCH($C43,CaseData!$B$27:$E$27,0))</f>
        <v>170</v>
      </c>
      <c r="AA43" s="72">
        <f>INDEX(CaseData!$B$27:$E$35,MATCH($B43,CaseData!$B$27:$B$35,0),MATCH($C43,CaseData!$B$27:$E$27,0))</f>
        <v>170</v>
      </c>
      <c r="AB43" s="72">
        <f>INDEX(CaseData!$B$27:$E$35,MATCH($B43,CaseData!$B$27:$B$35,0),MATCH($C43,CaseData!$B$27:$E$27,0))</f>
        <v>170</v>
      </c>
      <c r="AC43" s="72">
        <f>INDEX(CaseData!$B$27:$E$35,MATCH($B43,CaseData!$B$27:$B$35,0),MATCH($C43,CaseData!$B$27:$E$27,0))</f>
        <v>170</v>
      </c>
      <c r="AD43" s="72">
        <f>INDEX(CaseData!$B$27:$E$35,MATCH($B43,CaseData!$B$27:$B$35,0),MATCH($C43,CaseData!$B$27:$E$27,0))</f>
        <v>170</v>
      </c>
      <c r="AE43" s="72">
        <f>INDEX(CaseData!$B$27:$E$35,MATCH($B43,CaseData!$B$27:$B$35,0),MATCH($C43,CaseData!$B$27:$E$27,0))</f>
        <v>170</v>
      </c>
      <c r="AF43" s="72">
        <f>INDEX(CaseData!$B$27:$E$35,MATCH($B43,CaseData!$B$27:$B$35,0),MATCH($C43,CaseData!$B$27:$E$27,0))</f>
        <v>170</v>
      </c>
      <c r="AG43" s="72">
        <f>INDEX(CaseData!$B$27:$E$35,MATCH($B43,CaseData!$B$27:$B$35,0),MATCH($C43,CaseData!$B$27:$E$27,0))</f>
        <v>170</v>
      </c>
      <c r="AH43" s="72">
        <f>INDEX(CaseData!$B$27:$E$35,MATCH($B43,CaseData!$B$27:$B$35,0),MATCH($C43,CaseData!$B$27:$E$27,0))</f>
        <v>170</v>
      </c>
      <c r="AI43" s="72">
        <f>INDEX(CaseData!$B$27:$E$35,MATCH($B43,CaseData!$B$27:$B$35,0),MATCH($C43,CaseData!$B$27:$E$27,0))</f>
        <v>170</v>
      </c>
      <c r="AJ43" s="72">
        <f>INDEX(CaseData!$B$27:$E$35,MATCH($B43,CaseData!$B$27:$B$35,0),MATCH($C43,CaseData!$B$27:$E$27,0))</f>
        <v>170</v>
      </c>
      <c r="AK43" s="72">
        <f>INDEX(CaseData!$B$27:$E$35,MATCH($B43,CaseData!$B$27:$B$35,0),MATCH($C43,CaseData!$B$27:$E$27,0))</f>
        <v>170</v>
      </c>
      <c r="AL43" s="72">
        <f>INDEX(CaseData!$B$27:$E$35,MATCH($B43,CaseData!$B$27:$B$35,0),MATCH($C43,CaseData!$B$27:$E$27,0))</f>
        <v>170</v>
      </c>
      <c r="AM43" s="72">
        <f>INDEX(CaseData!$B$27:$E$35,MATCH($B43,CaseData!$B$27:$B$35,0),MATCH($C43,CaseData!$B$27:$E$27,0))</f>
        <v>170</v>
      </c>
      <c r="AN43" s="72">
        <f>INDEX(CaseData!$B$27:$E$35,MATCH($B43,CaseData!$B$27:$B$35,0),MATCH($C43,CaseData!$B$27:$E$27,0))</f>
        <v>170</v>
      </c>
      <c r="AO43" s="72">
        <f>INDEX(CaseData!$B$27:$E$35,MATCH($B43,CaseData!$B$27:$B$35,0),MATCH($C43,CaseData!$B$27:$E$27,0))</f>
        <v>170</v>
      </c>
      <c r="AP43" s="72">
        <f>INDEX(CaseData!$B$27:$E$35,MATCH($B43,CaseData!$B$27:$B$35,0),MATCH($C43,CaseData!$B$27:$E$27,0))</f>
        <v>170</v>
      </c>
      <c r="AQ43" s="72">
        <f>INDEX(CaseData!$B$27:$E$35,MATCH($B43,CaseData!$B$27:$B$35,0),MATCH($C43,CaseData!$B$27:$E$27,0))</f>
        <v>170</v>
      </c>
      <c r="AR43" s="72">
        <f>INDEX(CaseData!$B$27:$E$35,MATCH($B43,CaseData!$B$27:$B$35,0),MATCH($C43,CaseData!$B$27:$E$27,0))</f>
        <v>170</v>
      </c>
      <c r="AS43" s="72">
        <f>INDEX(CaseData!$B$27:$E$35,MATCH($B43,CaseData!$B$27:$B$35,0),MATCH($C43,CaseData!$B$27:$E$27,0))</f>
        <v>170</v>
      </c>
      <c r="AT43" s="72">
        <f>INDEX(CaseData!$B$27:$E$35,MATCH($B43,CaseData!$B$27:$B$35,0),MATCH($C43,CaseData!$B$27:$E$27,0))</f>
        <v>170</v>
      </c>
      <c r="AU43" s="72">
        <f>INDEX(CaseData!$B$27:$E$35,MATCH($B43,CaseData!$B$27:$B$35,0),MATCH($C43,CaseData!$B$27:$E$27,0))</f>
        <v>170</v>
      </c>
      <c r="AV43" s="72">
        <f>INDEX(CaseData!$B$27:$E$35,MATCH($B43,CaseData!$B$27:$B$35,0),MATCH($C43,CaseData!$B$27:$E$27,0))</f>
        <v>170</v>
      </c>
      <c r="AW43" s="72">
        <f>INDEX(CaseData!$B$27:$E$35,MATCH($B43,CaseData!$B$27:$B$35,0),MATCH($C43,CaseData!$B$27:$E$27,0))</f>
        <v>170</v>
      </c>
      <c r="AX43" s="72">
        <f>INDEX(CaseData!$B$27:$E$35,MATCH($B43,CaseData!$B$27:$B$35,0),MATCH($C43,CaseData!$B$27:$E$27,0))</f>
        <v>170</v>
      </c>
      <c r="AY43" s="72">
        <f>INDEX(CaseData!$B$27:$E$35,MATCH($B43,CaseData!$B$27:$B$35,0),MATCH($C43,CaseData!$B$27:$E$27,0))</f>
        <v>170</v>
      </c>
      <c r="AZ43" s="72">
        <f>INDEX(CaseData!$B$27:$E$35,MATCH($B43,CaseData!$B$27:$B$35,0),MATCH($C43,CaseData!$B$27:$E$27,0))</f>
        <v>170</v>
      </c>
      <c r="BA43" s="72">
        <f>INDEX(CaseData!$B$27:$E$35,MATCH($B43,CaseData!$B$27:$B$35,0),MATCH($C43,CaseData!$B$27:$E$27,0))</f>
        <v>170</v>
      </c>
      <c r="BB43" s="72">
        <f>INDEX(CaseData!$B$27:$E$35,MATCH($B43,CaseData!$B$27:$B$35,0),MATCH($C43,CaseData!$B$27:$E$27,0))</f>
        <v>170</v>
      </c>
      <c r="BC43" s="72">
        <f>INDEX(CaseData!$B$27:$E$35,MATCH($B43,CaseData!$B$27:$B$35,0),MATCH($C43,CaseData!$B$27:$E$27,0))</f>
        <v>170</v>
      </c>
      <c r="BD43" s="72">
        <f>INDEX(CaseData!$B$27:$E$35,MATCH($B43,CaseData!$B$27:$B$35,0),MATCH($C43,CaseData!$B$27:$E$27,0))</f>
        <v>170</v>
      </c>
      <c r="BE43" s="72">
        <f>INDEX(CaseData!$B$27:$E$35,MATCH($B43,CaseData!$B$27:$B$35,0),MATCH($C43,CaseData!$B$27:$E$27,0))</f>
        <v>170</v>
      </c>
      <c r="BF43" s="72">
        <f>INDEX(CaseData!$B$27:$E$35,MATCH($B43,CaseData!$B$27:$B$35,0),MATCH($C43,CaseData!$B$27:$E$27,0))</f>
        <v>170</v>
      </c>
      <c r="BG43" s="72">
        <f>INDEX(CaseData!$B$27:$E$35,MATCH($B43,CaseData!$B$27:$B$35,0),MATCH($C43,CaseData!$B$27:$E$27,0))</f>
        <v>170</v>
      </c>
      <c r="BH43" s="72">
        <f>INDEX(CaseData!$B$27:$E$35,MATCH($B43,CaseData!$B$27:$B$35,0),MATCH($C43,CaseData!$B$27:$E$27,0))</f>
        <v>170</v>
      </c>
      <c r="BI43" s="72">
        <f>INDEX(CaseData!$B$27:$E$35,MATCH($B43,CaseData!$B$27:$B$35,0),MATCH($C43,CaseData!$B$27:$E$27,0))</f>
        <v>170</v>
      </c>
      <c r="BJ43" s="72">
        <f>INDEX(CaseData!$B$27:$E$35,MATCH($B43,CaseData!$B$27:$B$35,0),MATCH($C43,CaseData!$B$27:$E$27,0))</f>
        <v>170</v>
      </c>
      <c r="BK43" s="72">
        <f>INDEX(CaseData!$B$27:$E$35,MATCH($B43,CaseData!$B$27:$B$35,0),MATCH($C43,CaseData!$B$27:$E$27,0))</f>
        <v>170</v>
      </c>
      <c r="BL43" s="72">
        <f>INDEX(CaseData!$B$27:$E$35,MATCH($B43,CaseData!$B$27:$B$35,0),MATCH($C43,CaseData!$B$27:$E$27,0))</f>
        <v>170</v>
      </c>
      <c r="BM43" s="72">
        <f>INDEX(CaseData!$B$27:$E$35,MATCH($B43,CaseData!$B$27:$B$35,0),MATCH($C43,CaseData!$B$27:$E$27,0))</f>
        <v>170</v>
      </c>
      <c r="BN43" s="72">
        <f>INDEX(CaseData!$B$27:$E$35,MATCH($B43,CaseData!$B$27:$B$35,0),MATCH($C43,CaseData!$B$27:$E$27,0))</f>
        <v>170</v>
      </c>
    </row>
    <row r="44" spans="2:72">
      <c r="B44" s="37" t="str">
        <f t="shared" ref="B44:B62" si="28">B43</f>
        <v>Milano</v>
      </c>
      <c r="C44" t="str">
        <f t="shared" si="27"/>
        <v>Accessories</v>
      </c>
      <c r="G44" s="72">
        <f>INDEX(CaseData!$B$27:$E$35,MATCH($B44,CaseData!$B$27:$B$35,0),MATCH($C44,CaseData!$B$27:$E$27,0))</f>
        <v>150</v>
      </c>
      <c r="H44" s="72">
        <f>INDEX(CaseData!$B$27:$E$35,MATCH($B44,CaseData!$B$27:$B$35,0),MATCH($C44,CaseData!$B$27:$E$27,0))</f>
        <v>150</v>
      </c>
      <c r="I44" s="72">
        <f>INDEX(CaseData!$B$27:$E$35,MATCH($B44,CaseData!$B$27:$B$35,0),MATCH($C44,CaseData!$B$27:$E$27,0))</f>
        <v>150</v>
      </c>
      <c r="J44" s="72">
        <f>INDEX(CaseData!$B$27:$E$35,MATCH($B44,CaseData!$B$27:$B$35,0),MATCH($C44,CaseData!$B$27:$E$27,0))</f>
        <v>150</v>
      </c>
      <c r="K44" s="72">
        <f>INDEX(CaseData!$B$27:$E$35,MATCH($B44,CaseData!$B$27:$B$35,0),MATCH($C44,CaseData!$B$27:$E$27,0))</f>
        <v>150</v>
      </c>
      <c r="L44" s="72">
        <f>INDEX(CaseData!$B$27:$E$35,MATCH($B44,CaseData!$B$27:$B$35,0),MATCH($C44,CaseData!$B$27:$E$27,0))</f>
        <v>150</v>
      </c>
      <c r="M44" s="72">
        <f>INDEX(CaseData!$B$27:$E$35,MATCH($B44,CaseData!$B$27:$B$35,0),MATCH($C44,CaseData!$B$27:$E$27,0))</f>
        <v>150</v>
      </c>
      <c r="N44" s="72">
        <f>INDEX(CaseData!$B$27:$E$35,MATCH($B44,CaseData!$B$27:$B$35,0),MATCH($C44,CaseData!$B$27:$E$27,0))</f>
        <v>150</v>
      </c>
      <c r="O44" s="72">
        <f>INDEX(CaseData!$B$27:$E$35,MATCH($B44,CaseData!$B$27:$B$35,0),MATCH($C44,CaseData!$B$27:$E$27,0))</f>
        <v>150</v>
      </c>
      <c r="P44" s="72">
        <f>INDEX(CaseData!$B$27:$E$35,MATCH($B44,CaseData!$B$27:$B$35,0),MATCH($C44,CaseData!$B$27:$E$27,0))</f>
        <v>150</v>
      </c>
      <c r="Q44" s="72">
        <f>INDEX(CaseData!$B$27:$E$35,MATCH($B44,CaseData!$B$27:$B$35,0),MATCH($C44,CaseData!$B$27:$E$27,0))</f>
        <v>150</v>
      </c>
      <c r="R44" s="72">
        <f>INDEX(CaseData!$B$27:$E$35,MATCH($B44,CaseData!$B$27:$B$35,0),MATCH($C44,CaseData!$B$27:$E$27,0))</f>
        <v>150</v>
      </c>
      <c r="S44" s="72">
        <f>INDEX(CaseData!$B$27:$E$35,MATCH($B44,CaseData!$B$27:$B$35,0),MATCH($C44,CaseData!$B$27:$E$27,0))</f>
        <v>150</v>
      </c>
      <c r="T44" s="72">
        <f>INDEX(CaseData!$B$27:$E$35,MATCH($B44,CaseData!$B$27:$B$35,0),MATCH($C44,CaseData!$B$27:$E$27,0))</f>
        <v>150</v>
      </c>
      <c r="U44" s="72">
        <f>INDEX(CaseData!$B$27:$E$35,MATCH($B44,CaseData!$B$27:$B$35,0),MATCH($C44,CaseData!$B$27:$E$27,0))</f>
        <v>150</v>
      </c>
      <c r="V44" s="72">
        <f>INDEX(CaseData!$B$27:$E$35,MATCH($B44,CaseData!$B$27:$B$35,0),MATCH($C44,CaseData!$B$27:$E$27,0))</f>
        <v>150</v>
      </c>
      <c r="W44" s="72">
        <f>INDEX(CaseData!$B$27:$E$35,MATCH($B44,CaseData!$B$27:$B$35,0),MATCH($C44,CaseData!$B$27:$E$27,0))</f>
        <v>150</v>
      </c>
      <c r="X44" s="72">
        <f>INDEX(CaseData!$B$27:$E$35,MATCH($B44,CaseData!$B$27:$B$35,0),MATCH($C44,CaseData!$B$27:$E$27,0))</f>
        <v>150</v>
      </c>
      <c r="Y44" s="72">
        <f>INDEX(CaseData!$B$27:$E$35,MATCH($B44,CaseData!$B$27:$B$35,0),MATCH($C44,CaseData!$B$27:$E$27,0))</f>
        <v>150</v>
      </c>
      <c r="Z44" s="72">
        <f>INDEX(CaseData!$B$27:$E$35,MATCH($B44,CaseData!$B$27:$B$35,0),MATCH($C44,CaseData!$B$27:$E$27,0))</f>
        <v>150</v>
      </c>
      <c r="AA44" s="72">
        <f>INDEX(CaseData!$B$27:$E$35,MATCH($B44,CaseData!$B$27:$B$35,0),MATCH($C44,CaseData!$B$27:$E$27,0))</f>
        <v>150</v>
      </c>
      <c r="AB44" s="72">
        <f>INDEX(CaseData!$B$27:$E$35,MATCH($B44,CaseData!$B$27:$B$35,0),MATCH($C44,CaseData!$B$27:$E$27,0))</f>
        <v>150</v>
      </c>
      <c r="AC44" s="72">
        <f>INDEX(CaseData!$B$27:$E$35,MATCH($B44,CaseData!$B$27:$B$35,0),MATCH($C44,CaseData!$B$27:$E$27,0))</f>
        <v>150</v>
      </c>
      <c r="AD44" s="72">
        <f>INDEX(CaseData!$B$27:$E$35,MATCH($B44,CaseData!$B$27:$B$35,0),MATCH($C44,CaseData!$B$27:$E$27,0))</f>
        <v>150</v>
      </c>
      <c r="AE44" s="72">
        <f>INDEX(CaseData!$B$27:$E$35,MATCH($B44,CaseData!$B$27:$B$35,0),MATCH($C44,CaseData!$B$27:$E$27,0))</f>
        <v>150</v>
      </c>
      <c r="AF44" s="72">
        <f>INDEX(CaseData!$B$27:$E$35,MATCH($B44,CaseData!$B$27:$B$35,0),MATCH($C44,CaseData!$B$27:$E$27,0))</f>
        <v>150</v>
      </c>
      <c r="AG44" s="72">
        <f>INDEX(CaseData!$B$27:$E$35,MATCH($B44,CaseData!$B$27:$B$35,0),MATCH($C44,CaseData!$B$27:$E$27,0))</f>
        <v>150</v>
      </c>
      <c r="AH44" s="72">
        <f>INDEX(CaseData!$B$27:$E$35,MATCH($B44,CaseData!$B$27:$B$35,0),MATCH($C44,CaseData!$B$27:$E$27,0))</f>
        <v>150</v>
      </c>
      <c r="AI44" s="72">
        <f>INDEX(CaseData!$B$27:$E$35,MATCH($B44,CaseData!$B$27:$B$35,0),MATCH($C44,CaseData!$B$27:$E$27,0))</f>
        <v>150</v>
      </c>
      <c r="AJ44" s="72">
        <f>INDEX(CaseData!$B$27:$E$35,MATCH($B44,CaseData!$B$27:$B$35,0),MATCH($C44,CaseData!$B$27:$E$27,0))</f>
        <v>150</v>
      </c>
      <c r="AK44" s="72">
        <f>INDEX(CaseData!$B$27:$E$35,MATCH($B44,CaseData!$B$27:$B$35,0),MATCH($C44,CaseData!$B$27:$E$27,0))</f>
        <v>150</v>
      </c>
      <c r="AL44" s="72">
        <f>INDEX(CaseData!$B$27:$E$35,MATCH($B44,CaseData!$B$27:$B$35,0),MATCH($C44,CaseData!$B$27:$E$27,0))</f>
        <v>150</v>
      </c>
      <c r="AM44" s="72">
        <f>INDEX(CaseData!$B$27:$E$35,MATCH($B44,CaseData!$B$27:$B$35,0),MATCH($C44,CaseData!$B$27:$E$27,0))</f>
        <v>150</v>
      </c>
      <c r="AN44" s="72">
        <f>INDEX(CaseData!$B$27:$E$35,MATCH($B44,CaseData!$B$27:$B$35,0),MATCH($C44,CaseData!$B$27:$E$27,0))</f>
        <v>150</v>
      </c>
      <c r="AO44" s="72">
        <f>INDEX(CaseData!$B$27:$E$35,MATCH($B44,CaseData!$B$27:$B$35,0),MATCH($C44,CaseData!$B$27:$E$27,0))</f>
        <v>150</v>
      </c>
      <c r="AP44" s="72">
        <f>INDEX(CaseData!$B$27:$E$35,MATCH($B44,CaseData!$B$27:$B$35,0),MATCH($C44,CaseData!$B$27:$E$27,0))</f>
        <v>150</v>
      </c>
      <c r="AQ44" s="72">
        <f>INDEX(CaseData!$B$27:$E$35,MATCH($B44,CaseData!$B$27:$B$35,0),MATCH($C44,CaseData!$B$27:$E$27,0))</f>
        <v>150</v>
      </c>
      <c r="AR44" s="72">
        <f>INDEX(CaseData!$B$27:$E$35,MATCH($B44,CaseData!$B$27:$B$35,0),MATCH($C44,CaseData!$B$27:$E$27,0))</f>
        <v>150</v>
      </c>
      <c r="AS44" s="72">
        <f>INDEX(CaseData!$B$27:$E$35,MATCH($B44,CaseData!$B$27:$B$35,0),MATCH($C44,CaseData!$B$27:$E$27,0))</f>
        <v>150</v>
      </c>
      <c r="AT44" s="72">
        <f>INDEX(CaseData!$B$27:$E$35,MATCH($B44,CaseData!$B$27:$B$35,0),MATCH($C44,CaseData!$B$27:$E$27,0))</f>
        <v>150</v>
      </c>
      <c r="AU44" s="72">
        <f>INDEX(CaseData!$B$27:$E$35,MATCH($B44,CaseData!$B$27:$B$35,0),MATCH($C44,CaseData!$B$27:$E$27,0))</f>
        <v>150</v>
      </c>
      <c r="AV44" s="72">
        <f>INDEX(CaseData!$B$27:$E$35,MATCH($B44,CaseData!$B$27:$B$35,0),MATCH($C44,CaseData!$B$27:$E$27,0))</f>
        <v>150</v>
      </c>
      <c r="AW44" s="72">
        <f>INDEX(CaseData!$B$27:$E$35,MATCH($B44,CaseData!$B$27:$B$35,0),MATCH($C44,CaseData!$B$27:$E$27,0))</f>
        <v>150</v>
      </c>
      <c r="AX44" s="72">
        <f>INDEX(CaseData!$B$27:$E$35,MATCH($B44,CaseData!$B$27:$B$35,0),MATCH($C44,CaseData!$B$27:$E$27,0))</f>
        <v>150</v>
      </c>
      <c r="AY44" s="72">
        <f>INDEX(CaseData!$B$27:$E$35,MATCH($B44,CaseData!$B$27:$B$35,0),MATCH($C44,CaseData!$B$27:$E$27,0))</f>
        <v>150</v>
      </c>
      <c r="AZ44" s="72">
        <f>INDEX(CaseData!$B$27:$E$35,MATCH($B44,CaseData!$B$27:$B$35,0),MATCH($C44,CaseData!$B$27:$E$27,0))</f>
        <v>150</v>
      </c>
      <c r="BA44" s="72">
        <f>INDEX(CaseData!$B$27:$E$35,MATCH($B44,CaseData!$B$27:$B$35,0),MATCH($C44,CaseData!$B$27:$E$27,0))</f>
        <v>150</v>
      </c>
      <c r="BB44" s="72">
        <f>INDEX(CaseData!$B$27:$E$35,MATCH($B44,CaseData!$B$27:$B$35,0),MATCH($C44,CaseData!$B$27:$E$27,0))</f>
        <v>150</v>
      </c>
      <c r="BC44" s="72">
        <f>INDEX(CaseData!$B$27:$E$35,MATCH($B44,CaseData!$B$27:$B$35,0),MATCH($C44,CaseData!$B$27:$E$27,0))</f>
        <v>150</v>
      </c>
      <c r="BD44" s="72">
        <f>INDEX(CaseData!$B$27:$E$35,MATCH($B44,CaseData!$B$27:$B$35,0),MATCH($C44,CaseData!$B$27:$E$27,0))</f>
        <v>150</v>
      </c>
      <c r="BE44" s="72">
        <f>INDEX(CaseData!$B$27:$E$35,MATCH($B44,CaseData!$B$27:$B$35,0),MATCH($C44,CaseData!$B$27:$E$27,0))</f>
        <v>150</v>
      </c>
      <c r="BF44" s="72">
        <f>INDEX(CaseData!$B$27:$E$35,MATCH($B44,CaseData!$B$27:$B$35,0),MATCH($C44,CaseData!$B$27:$E$27,0))</f>
        <v>150</v>
      </c>
      <c r="BG44" s="72">
        <f>INDEX(CaseData!$B$27:$E$35,MATCH($B44,CaseData!$B$27:$B$35,0),MATCH($C44,CaseData!$B$27:$E$27,0))</f>
        <v>150</v>
      </c>
      <c r="BH44" s="72">
        <f>INDEX(CaseData!$B$27:$E$35,MATCH($B44,CaseData!$B$27:$B$35,0),MATCH($C44,CaseData!$B$27:$E$27,0))</f>
        <v>150</v>
      </c>
      <c r="BI44" s="72">
        <f>INDEX(CaseData!$B$27:$E$35,MATCH($B44,CaseData!$B$27:$B$35,0),MATCH($C44,CaseData!$B$27:$E$27,0))</f>
        <v>150</v>
      </c>
      <c r="BJ44" s="72">
        <f>INDEX(CaseData!$B$27:$E$35,MATCH($B44,CaseData!$B$27:$B$35,0),MATCH($C44,CaseData!$B$27:$E$27,0))</f>
        <v>150</v>
      </c>
      <c r="BK44" s="72">
        <f>INDEX(CaseData!$B$27:$E$35,MATCH($B44,CaseData!$B$27:$B$35,0),MATCH($C44,CaseData!$B$27:$E$27,0))</f>
        <v>150</v>
      </c>
      <c r="BL44" s="72">
        <f>INDEX(CaseData!$B$27:$E$35,MATCH($B44,CaseData!$B$27:$B$35,0),MATCH($C44,CaseData!$B$27:$E$27,0))</f>
        <v>150</v>
      </c>
      <c r="BM44" s="72">
        <f>INDEX(CaseData!$B$27:$E$35,MATCH($B44,CaseData!$B$27:$B$35,0),MATCH($C44,CaseData!$B$27:$E$27,0))</f>
        <v>150</v>
      </c>
      <c r="BN44" s="72">
        <f>INDEX(CaseData!$B$27:$E$35,MATCH($B44,CaseData!$B$27:$B$35,0),MATCH($C44,CaseData!$B$27:$E$27,0))</f>
        <v>150</v>
      </c>
    </row>
    <row r="45" spans="2:72">
      <c r="B45" s="37" t="str">
        <f>CaseData!$B$30</f>
        <v>Madrid</v>
      </c>
      <c r="C45" t="str">
        <f t="shared" si="27"/>
        <v>Women's</v>
      </c>
      <c r="G45" s="72">
        <f>INDEX(CaseData!$B$27:$E$35,MATCH($B45,CaseData!$B$27:$B$35,0),MATCH($C45,CaseData!$B$27:$E$27,0))</f>
        <v>150</v>
      </c>
      <c r="H45" s="72">
        <f>INDEX(CaseData!$B$27:$E$35,MATCH($B45,CaseData!$B$27:$B$35,0),MATCH($C45,CaseData!$B$27:$E$27,0))</f>
        <v>150</v>
      </c>
      <c r="I45" s="72">
        <f>INDEX(CaseData!$B$27:$E$35,MATCH($B45,CaseData!$B$27:$B$35,0),MATCH($C45,CaseData!$B$27:$E$27,0))</f>
        <v>150</v>
      </c>
      <c r="J45" s="72">
        <f>INDEX(CaseData!$B$27:$E$35,MATCH($B45,CaseData!$B$27:$B$35,0),MATCH($C45,CaseData!$B$27:$E$27,0))</f>
        <v>150</v>
      </c>
      <c r="K45" s="72">
        <f>INDEX(CaseData!$B$27:$E$35,MATCH($B45,CaseData!$B$27:$B$35,0),MATCH($C45,CaseData!$B$27:$E$27,0))</f>
        <v>150</v>
      </c>
      <c r="L45" s="72">
        <f>INDEX(CaseData!$B$27:$E$35,MATCH($B45,CaseData!$B$27:$B$35,0),MATCH($C45,CaseData!$B$27:$E$27,0))</f>
        <v>150</v>
      </c>
      <c r="M45" s="72">
        <f>INDEX(CaseData!$B$27:$E$35,MATCH($B45,CaseData!$B$27:$B$35,0),MATCH($C45,CaseData!$B$27:$E$27,0))</f>
        <v>150</v>
      </c>
      <c r="N45" s="72">
        <f>INDEX(CaseData!$B$27:$E$35,MATCH($B45,CaseData!$B$27:$B$35,0),MATCH($C45,CaseData!$B$27:$E$27,0))</f>
        <v>150</v>
      </c>
      <c r="O45" s="72">
        <f>INDEX(CaseData!$B$27:$E$35,MATCH($B45,CaseData!$B$27:$B$35,0),MATCH($C45,CaseData!$B$27:$E$27,0))</f>
        <v>150</v>
      </c>
      <c r="P45" s="72">
        <f>INDEX(CaseData!$B$27:$E$35,MATCH($B45,CaseData!$B$27:$B$35,0),MATCH($C45,CaseData!$B$27:$E$27,0))</f>
        <v>150</v>
      </c>
      <c r="Q45" s="72">
        <f>INDEX(CaseData!$B$27:$E$35,MATCH($B45,CaseData!$B$27:$B$35,0),MATCH($C45,CaseData!$B$27:$E$27,0))</f>
        <v>150</v>
      </c>
      <c r="R45" s="72">
        <f>INDEX(CaseData!$B$27:$E$35,MATCH($B45,CaseData!$B$27:$B$35,0),MATCH($C45,CaseData!$B$27:$E$27,0))</f>
        <v>150</v>
      </c>
      <c r="S45" s="72">
        <f>INDEX(CaseData!$B$27:$E$35,MATCH($B45,CaseData!$B$27:$B$35,0),MATCH($C45,CaseData!$B$27:$E$27,0))</f>
        <v>150</v>
      </c>
      <c r="T45" s="72">
        <f>INDEX(CaseData!$B$27:$E$35,MATCH($B45,CaseData!$B$27:$B$35,0),MATCH($C45,CaseData!$B$27:$E$27,0))</f>
        <v>150</v>
      </c>
      <c r="U45" s="72">
        <f>INDEX(CaseData!$B$27:$E$35,MATCH($B45,CaseData!$B$27:$B$35,0),MATCH($C45,CaseData!$B$27:$E$27,0))</f>
        <v>150</v>
      </c>
      <c r="V45" s="72">
        <f>INDEX(CaseData!$B$27:$E$35,MATCH($B45,CaseData!$B$27:$B$35,0),MATCH($C45,CaseData!$B$27:$E$27,0))</f>
        <v>150</v>
      </c>
      <c r="W45" s="72">
        <f>INDEX(CaseData!$B$27:$E$35,MATCH($B45,CaseData!$B$27:$B$35,0),MATCH($C45,CaseData!$B$27:$E$27,0))</f>
        <v>150</v>
      </c>
      <c r="X45" s="72">
        <f>INDEX(CaseData!$B$27:$E$35,MATCH($B45,CaseData!$B$27:$B$35,0),MATCH($C45,CaseData!$B$27:$E$27,0))</f>
        <v>150</v>
      </c>
      <c r="Y45" s="72">
        <f>INDEX(CaseData!$B$27:$E$35,MATCH($B45,CaseData!$B$27:$B$35,0),MATCH($C45,CaseData!$B$27:$E$27,0))</f>
        <v>150</v>
      </c>
      <c r="Z45" s="72">
        <f>INDEX(CaseData!$B$27:$E$35,MATCH($B45,CaseData!$B$27:$B$35,0),MATCH($C45,CaseData!$B$27:$E$27,0))</f>
        <v>150</v>
      </c>
      <c r="AA45" s="72">
        <f>INDEX(CaseData!$B$27:$E$35,MATCH($B45,CaseData!$B$27:$B$35,0),MATCH($C45,CaseData!$B$27:$E$27,0))</f>
        <v>150</v>
      </c>
      <c r="AB45" s="72">
        <f>INDEX(CaseData!$B$27:$E$35,MATCH($B45,CaseData!$B$27:$B$35,0),MATCH($C45,CaseData!$B$27:$E$27,0))</f>
        <v>150</v>
      </c>
      <c r="AC45" s="72">
        <f>INDEX(CaseData!$B$27:$E$35,MATCH($B45,CaseData!$B$27:$B$35,0),MATCH($C45,CaseData!$B$27:$E$27,0))</f>
        <v>150</v>
      </c>
      <c r="AD45" s="72">
        <f>INDEX(CaseData!$B$27:$E$35,MATCH($B45,CaseData!$B$27:$B$35,0),MATCH($C45,CaseData!$B$27:$E$27,0))</f>
        <v>150</v>
      </c>
      <c r="AE45" s="72">
        <f>INDEX(CaseData!$B$27:$E$35,MATCH($B45,CaseData!$B$27:$B$35,0),MATCH($C45,CaseData!$B$27:$E$27,0))</f>
        <v>150</v>
      </c>
      <c r="AF45" s="72">
        <f>INDEX(CaseData!$B$27:$E$35,MATCH($B45,CaseData!$B$27:$B$35,0),MATCH($C45,CaseData!$B$27:$E$27,0))</f>
        <v>150</v>
      </c>
      <c r="AG45" s="72">
        <f>INDEX(CaseData!$B$27:$E$35,MATCH($B45,CaseData!$B$27:$B$35,0),MATCH($C45,CaseData!$B$27:$E$27,0))</f>
        <v>150</v>
      </c>
      <c r="AH45" s="72">
        <f>INDEX(CaseData!$B$27:$E$35,MATCH($B45,CaseData!$B$27:$B$35,0),MATCH($C45,CaseData!$B$27:$E$27,0))</f>
        <v>150</v>
      </c>
      <c r="AI45" s="72">
        <f>INDEX(CaseData!$B$27:$E$35,MATCH($B45,CaseData!$B$27:$B$35,0),MATCH($C45,CaseData!$B$27:$E$27,0))</f>
        <v>150</v>
      </c>
      <c r="AJ45" s="72">
        <f>INDEX(CaseData!$B$27:$E$35,MATCH($B45,CaseData!$B$27:$B$35,0),MATCH($C45,CaseData!$B$27:$E$27,0))</f>
        <v>150</v>
      </c>
      <c r="AK45" s="72">
        <f>INDEX(CaseData!$B$27:$E$35,MATCH($B45,CaseData!$B$27:$B$35,0),MATCH($C45,CaseData!$B$27:$E$27,0))</f>
        <v>150</v>
      </c>
      <c r="AL45" s="72">
        <f>INDEX(CaseData!$B$27:$E$35,MATCH($B45,CaseData!$B$27:$B$35,0),MATCH($C45,CaseData!$B$27:$E$27,0))</f>
        <v>150</v>
      </c>
      <c r="AM45" s="72">
        <f>INDEX(CaseData!$B$27:$E$35,MATCH($B45,CaseData!$B$27:$B$35,0),MATCH($C45,CaseData!$B$27:$E$27,0))</f>
        <v>150</v>
      </c>
      <c r="AN45" s="72">
        <f>INDEX(CaseData!$B$27:$E$35,MATCH($B45,CaseData!$B$27:$B$35,0),MATCH($C45,CaseData!$B$27:$E$27,0))</f>
        <v>150</v>
      </c>
      <c r="AO45" s="72">
        <f>INDEX(CaseData!$B$27:$E$35,MATCH($B45,CaseData!$B$27:$B$35,0),MATCH($C45,CaseData!$B$27:$E$27,0))</f>
        <v>150</v>
      </c>
      <c r="AP45" s="72">
        <f>INDEX(CaseData!$B$27:$E$35,MATCH($B45,CaseData!$B$27:$B$35,0),MATCH($C45,CaseData!$B$27:$E$27,0))</f>
        <v>150</v>
      </c>
      <c r="AQ45" s="72">
        <f>INDEX(CaseData!$B$27:$E$35,MATCH($B45,CaseData!$B$27:$B$35,0),MATCH($C45,CaseData!$B$27:$E$27,0))</f>
        <v>150</v>
      </c>
      <c r="AR45" s="72">
        <f>INDEX(CaseData!$B$27:$E$35,MATCH($B45,CaseData!$B$27:$B$35,0),MATCH($C45,CaseData!$B$27:$E$27,0))</f>
        <v>150</v>
      </c>
      <c r="AS45" s="72">
        <f>INDEX(CaseData!$B$27:$E$35,MATCH($B45,CaseData!$B$27:$B$35,0),MATCH($C45,CaseData!$B$27:$E$27,0))</f>
        <v>150</v>
      </c>
      <c r="AT45" s="72">
        <f>INDEX(CaseData!$B$27:$E$35,MATCH($B45,CaseData!$B$27:$B$35,0),MATCH($C45,CaseData!$B$27:$E$27,0))</f>
        <v>150</v>
      </c>
      <c r="AU45" s="72">
        <f>INDEX(CaseData!$B$27:$E$35,MATCH($B45,CaseData!$B$27:$B$35,0),MATCH($C45,CaseData!$B$27:$E$27,0))</f>
        <v>150</v>
      </c>
      <c r="AV45" s="72">
        <f>INDEX(CaseData!$B$27:$E$35,MATCH($B45,CaseData!$B$27:$B$35,0),MATCH($C45,CaseData!$B$27:$E$27,0))</f>
        <v>150</v>
      </c>
      <c r="AW45" s="72">
        <f>INDEX(CaseData!$B$27:$E$35,MATCH($B45,CaseData!$B$27:$B$35,0),MATCH($C45,CaseData!$B$27:$E$27,0))</f>
        <v>150</v>
      </c>
      <c r="AX45" s="72">
        <f>INDEX(CaseData!$B$27:$E$35,MATCH($B45,CaseData!$B$27:$B$35,0),MATCH($C45,CaseData!$B$27:$E$27,0))</f>
        <v>150</v>
      </c>
      <c r="AY45" s="72">
        <f>INDEX(CaseData!$B$27:$E$35,MATCH($B45,CaseData!$B$27:$B$35,0),MATCH($C45,CaseData!$B$27:$E$27,0))</f>
        <v>150</v>
      </c>
      <c r="AZ45" s="72">
        <f>INDEX(CaseData!$B$27:$E$35,MATCH($B45,CaseData!$B$27:$B$35,0),MATCH($C45,CaseData!$B$27:$E$27,0))</f>
        <v>150</v>
      </c>
      <c r="BA45" s="72">
        <f>INDEX(CaseData!$B$27:$E$35,MATCH($B45,CaseData!$B$27:$B$35,0),MATCH($C45,CaseData!$B$27:$E$27,0))</f>
        <v>150</v>
      </c>
      <c r="BB45" s="72">
        <f>INDEX(CaseData!$B$27:$E$35,MATCH($B45,CaseData!$B$27:$B$35,0),MATCH($C45,CaseData!$B$27:$E$27,0))</f>
        <v>150</v>
      </c>
      <c r="BC45" s="72">
        <f>INDEX(CaseData!$B$27:$E$35,MATCH($B45,CaseData!$B$27:$B$35,0),MATCH($C45,CaseData!$B$27:$E$27,0))</f>
        <v>150</v>
      </c>
      <c r="BD45" s="72">
        <f>INDEX(CaseData!$B$27:$E$35,MATCH($B45,CaseData!$B$27:$B$35,0),MATCH($C45,CaseData!$B$27:$E$27,0))</f>
        <v>150</v>
      </c>
      <c r="BE45" s="72">
        <f>INDEX(CaseData!$B$27:$E$35,MATCH($B45,CaseData!$B$27:$B$35,0),MATCH($C45,CaseData!$B$27:$E$27,0))</f>
        <v>150</v>
      </c>
      <c r="BF45" s="72">
        <f>INDEX(CaseData!$B$27:$E$35,MATCH($B45,CaseData!$B$27:$B$35,0),MATCH($C45,CaseData!$B$27:$E$27,0))</f>
        <v>150</v>
      </c>
      <c r="BG45" s="72">
        <f>INDEX(CaseData!$B$27:$E$35,MATCH($B45,CaseData!$B$27:$B$35,0),MATCH($C45,CaseData!$B$27:$E$27,0))</f>
        <v>150</v>
      </c>
      <c r="BH45" s="72">
        <f>INDEX(CaseData!$B$27:$E$35,MATCH($B45,CaseData!$B$27:$B$35,0),MATCH($C45,CaseData!$B$27:$E$27,0))</f>
        <v>150</v>
      </c>
      <c r="BI45" s="72">
        <f>INDEX(CaseData!$B$27:$E$35,MATCH($B45,CaseData!$B$27:$B$35,0),MATCH($C45,CaseData!$B$27:$E$27,0))</f>
        <v>150</v>
      </c>
      <c r="BJ45" s="72">
        <f>INDEX(CaseData!$B$27:$E$35,MATCH($B45,CaseData!$B$27:$B$35,0),MATCH($C45,CaseData!$B$27:$E$27,0))</f>
        <v>150</v>
      </c>
      <c r="BK45" s="72">
        <f>INDEX(CaseData!$B$27:$E$35,MATCH($B45,CaseData!$B$27:$B$35,0),MATCH($C45,CaseData!$B$27:$E$27,0))</f>
        <v>150</v>
      </c>
      <c r="BL45" s="72">
        <f>INDEX(CaseData!$B$27:$E$35,MATCH($B45,CaseData!$B$27:$B$35,0),MATCH($C45,CaseData!$B$27:$E$27,0))</f>
        <v>150</v>
      </c>
      <c r="BM45" s="72">
        <f>INDEX(CaseData!$B$27:$E$35,MATCH($B45,CaseData!$B$27:$B$35,0),MATCH($C45,CaseData!$B$27:$E$27,0))</f>
        <v>150</v>
      </c>
      <c r="BN45" s="72">
        <f>INDEX(CaseData!$B$27:$E$35,MATCH($B45,CaseData!$B$27:$B$35,0),MATCH($C45,CaseData!$B$27:$E$27,0))</f>
        <v>150</v>
      </c>
    </row>
    <row r="46" spans="2:72">
      <c r="B46" s="37" t="str">
        <f t="shared" si="28"/>
        <v>Madrid</v>
      </c>
      <c r="C46" t="str">
        <f t="shared" si="27"/>
        <v>Men's</v>
      </c>
      <c r="G46" s="72">
        <f>INDEX(CaseData!$B$27:$E$35,MATCH($B46,CaseData!$B$27:$B$35,0),MATCH($C46,CaseData!$B$27:$E$27,0))</f>
        <v>90</v>
      </c>
      <c r="H46" s="72">
        <f>INDEX(CaseData!$B$27:$E$35,MATCH($B46,CaseData!$B$27:$B$35,0),MATCH($C46,CaseData!$B$27:$E$27,0))</f>
        <v>90</v>
      </c>
      <c r="I46" s="72">
        <f>INDEX(CaseData!$B$27:$E$35,MATCH($B46,CaseData!$B$27:$B$35,0),MATCH($C46,CaseData!$B$27:$E$27,0))</f>
        <v>90</v>
      </c>
      <c r="J46" s="72">
        <f>INDEX(CaseData!$B$27:$E$35,MATCH($B46,CaseData!$B$27:$B$35,0),MATCH($C46,CaseData!$B$27:$E$27,0))</f>
        <v>90</v>
      </c>
      <c r="K46" s="72">
        <f>INDEX(CaseData!$B$27:$E$35,MATCH($B46,CaseData!$B$27:$B$35,0),MATCH($C46,CaseData!$B$27:$E$27,0))</f>
        <v>90</v>
      </c>
      <c r="L46" s="72">
        <f>INDEX(CaseData!$B$27:$E$35,MATCH($B46,CaseData!$B$27:$B$35,0),MATCH($C46,CaseData!$B$27:$E$27,0))</f>
        <v>90</v>
      </c>
      <c r="M46" s="72">
        <f>INDEX(CaseData!$B$27:$E$35,MATCH($B46,CaseData!$B$27:$B$35,0),MATCH($C46,CaseData!$B$27:$E$27,0))</f>
        <v>90</v>
      </c>
      <c r="N46" s="72">
        <f>INDEX(CaseData!$B$27:$E$35,MATCH($B46,CaseData!$B$27:$B$35,0),MATCH($C46,CaseData!$B$27:$E$27,0))</f>
        <v>90</v>
      </c>
      <c r="O46" s="72">
        <f>INDEX(CaseData!$B$27:$E$35,MATCH($B46,CaseData!$B$27:$B$35,0),MATCH($C46,CaseData!$B$27:$E$27,0))</f>
        <v>90</v>
      </c>
      <c r="P46" s="72">
        <f>INDEX(CaseData!$B$27:$E$35,MATCH($B46,CaseData!$B$27:$B$35,0),MATCH($C46,CaseData!$B$27:$E$27,0))</f>
        <v>90</v>
      </c>
      <c r="Q46" s="72">
        <f>INDEX(CaseData!$B$27:$E$35,MATCH($B46,CaseData!$B$27:$B$35,0),MATCH($C46,CaseData!$B$27:$E$27,0))</f>
        <v>90</v>
      </c>
      <c r="R46" s="72">
        <f>INDEX(CaseData!$B$27:$E$35,MATCH($B46,CaseData!$B$27:$B$35,0),MATCH($C46,CaseData!$B$27:$E$27,0))</f>
        <v>90</v>
      </c>
      <c r="S46" s="72">
        <f>INDEX(CaseData!$B$27:$E$35,MATCH($B46,CaseData!$B$27:$B$35,0),MATCH($C46,CaseData!$B$27:$E$27,0))</f>
        <v>90</v>
      </c>
      <c r="T46" s="72">
        <f>INDEX(CaseData!$B$27:$E$35,MATCH($B46,CaseData!$B$27:$B$35,0),MATCH($C46,CaseData!$B$27:$E$27,0))</f>
        <v>90</v>
      </c>
      <c r="U46" s="72">
        <f>INDEX(CaseData!$B$27:$E$35,MATCH($B46,CaseData!$B$27:$B$35,0),MATCH($C46,CaseData!$B$27:$E$27,0))</f>
        <v>90</v>
      </c>
      <c r="V46" s="72">
        <f>INDEX(CaseData!$B$27:$E$35,MATCH($B46,CaseData!$B$27:$B$35,0),MATCH($C46,CaseData!$B$27:$E$27,0))</f>
        <v>90</v>
      </c>
      <c r="W46" s="72">
        <f>INDEX(CaseData!$B$27:$E$35,MATCH($B46,CaseData!$B$27:$B$35,0),MATCH($C46,CaseData!$B$27:$E$27,0))</f>
        <v>90</v>
      </c>
      <c r="X46" s="72">
        <f>INDEX(CaseData!$B$27:$E$35,MATCH($B46,CaseData!$B$27:$B$35,0),MATCH($C46,CaseData!$B$27:$E$27,0))</f>
        <v>90</v>
      </c>
      <c r="Y46" s="72">
        <f>INDEX(CaseData!$B$27:$E$35,MATCH($B46,CaseData!$B$27:$B$35,0),MATCH($C46,CaseData!$B$27:$E$27,0))</f>
        <v>90</v>
      </c>
      <c r="Z46" s="72">
        <f>INDEX(CaseData!$B$27:$E$35,MATCH($B46,CaseData!$B$27:$B$35,0),MATCH($C46,CaseData!$B$27:$E$27,0))</f>
        <v>90</v>
      </c>
      <c r="AA46" s="72">
        <f>INDEX(CaseData!$B$27:$E$35,MATCH($B46,CaseData!$B$27:$B$35,0),MATCH($C46,CaseData!$B$27:$E$27,0))</f>
        <v>90</v>
      </c>
      <c r="AB46" s="72">
        <f>INDEX(CaseData!$B$27:$E$35,MATCH($B46,CaseData!$B$27:$B$35,0),MATCH($C46,CaseData!$B$27:$E$27,0))</f>
        <v>90</v>
      </c>
      <c r="AC46" s="72">
        <f>INDEX(CaseData!$B$27:$E$35,MATCH($B46,CaseData!$B$27:$B$35,0),MATCH($C46,CaseData!$B$27:$E$27,0))</f>
        <v>90</v>
      </c>
      <c r="AD46" s="72">
        <f>INDEX(CaseData!$B$27:$E$35,MATCH($B46,CaseData!$B$27:$B$35,0),MATCH($C46,CaseData!$B$27:$E$27,0))</f>
        <v>90</v>
      </c>
      <c r="AE46" s="72">
        <f>INDEX(CaseData!$B$27:$E$35,MATCH($B46,CaseData!$B$27:$B$35,0),MATCH($C46,CaseData!$B$27:$E$27,0))</f>
        <v>90</v>
      </c>
      <c r="AF46" s="72">
        <f>INDEX(CaseData!$B$27:$E$35,MATCH($B46,CaseData!$B$27:$B$35,0),MATCH($C46,CaseData!$B$27:$E$27,0))</f>
        <v>90</v>
      </c>
      <c r="AG46" s="72">
        <f>INDEX(CaseData!$B$27:$E$35,MATCH($B46,CaseData!$B$27:$B$35,0),MATCH($C46,CaseData!$B$27:$E$27,0))</f>
        <v>90</v>
      </c>
      <c r="AH46" s="72">
        <f>INDEX(CaseData!$B$27:$E$35,MATCH($B46,CaseData!$B$27:$B$35,0),MATCH($C46,CaseData!$B$27:$E$27,0))</f>
        <v>90</v>
      </c>
      <c r="AI46" s="72">
        <f>INDEX(CaseData!$B$27:$E$35,MATCH($B46,CaseData!$B$27:$B$35,0),MATCH($C46,CaseData!$B$27:$E$27,0))</f>
        <v>90</v>
      </c>
      <c r="AJ46" s="72">
        <f>INDEX(CaseData!$B$27:$E$35,MATCH($B46,CaseData!$B$27:$B$35,0),MATCH($C46,CaseData!$B$27:$E$27,0))</f>
        <v>90</v>
      </c>
      <c r="AK46" s="72">
        <f>INDEX(CaseData!$B$27:$E$35,MATCH($B46,CaseData!$B$27:$B$35,0),MATCH($C46,CaseData!$B$27:$E$27,0))</f>
        <v>90</v>
      </c>
      <c r="AL46" s="72">
        <f>INDEX(CaseData!$B$27:$E$35,MATCH($B46,CaseData!$B$27:$B$35,0),MATCH($C46,CaseData!$B$27:$E$27,0))</f>
        <v>90</v>
      </c>
      <c r="AM46" s="72">
        <f>INDEX(CaseData!$B$27:$E$35,MATCH($B46,CaseData!$B$27:$B$35,0),MATCH($C46,CaseData!$B$27:$E$27,0))</f>
        <v>90</v>
      </c>
      <c r="AN46" s="72">
        <f>INDEX(CaseData!$B$27:$E$35,MATCH($B46,CaseData!$B$27:$B$35,0),MATCH($C46,CaseData!$B$27:$E$27,0))</f>
        <v>90</v>
      </c>
      <c r="AO46" s="72">
        <f>INDEX(CaseData!$B$27:$E$35,MATCH($B46,CaseData!$B$27:$B$35,0),MATCH($C46,CaseData!$B$27:$E$27,0))</f>
        <v>90</v>
      </c>
      <c r="AP46" s="72">
        <f>INDEX(CaseData!$B$27:$E$35,MATCH($B46,CaseData!$B$27:$B$35,0),MATCH($C46,CaseData!$B$27:$E$27,0))</f>
        <v>90</v>
      </c>
      <c r="AQ46" s="72">
        <f>INDEX(CaseData!$B$27:$E$35,MATCH($B46,CaseData!$B$27:$B$35,0),MATCH($C46,CaseData!$B$27:$E$27,0))</f>
        <v>90</v>
      </c>
      <c r="AR46" s="72">
        <f>INDEX(CaseData!$B$27:$E$35,MATCH($B46,CaseData!$B$27:$B$35,0),MATCH($C46,CaseData!$B$27:$E$27,0))</f>
        <v>90</v>
      </c>
      <c r="AS46" s="72">
        <f>INDEX(CaseData!$B$27:$E$35,MATCH($B46,CaseData!$B$27:$B$35,0),MATCH($C46,CaseData!$B$27:$E$27,0))</f>
        <v>90</v>
      </c>
      <c r="AT46" s="72">
        <f>INDEX(CaseData!$B$27:$E$35,MATCH($B46,CaseData!$B$27:$B$35,0),MATCH($C46,CaseData!$B$27:$E$27,0))</f>
        <v>90</v>
      </c>
      <c r="AU46" s="72">
        <f>INDEX(CaseData!$B$27:$E$35,MATCH($B46,CaseData!$B$27:$B$35,0),MATCH($C46,CaseData!$B$27:$E$27,0))</f>
        <v>90</v>
      </c>
      <c r="AV46" s="72">
        <f>INDEX(CaseData!$B$27:$E$35,MATCH($B46,CaseData!$B$27:$B$35,0),MATCH($C46,CaseData!$B$27:$E$27,0))</f>
        <v>90</v>
      </c>
      <c r="AW46" s="72">
        <f>INDEX(CaseData!$B$27:$E$35,MATCH($B46,CaseData!$B$27:$B$35,0),MATCH($C46,CaseData!$B$27:$E$27,0))</f>
        <v>90</v>
      </c>
      <c r="AX46" s="72">
        <f>INDEX(CaseData!$B$27:$E$35,MATCH($B46,CaseData!$B$27:$B$35,0),MATCH($C46,CaseData!$B$27:$E$27,0))</f>
        <v>90</v>
      </c>
      <c r="AY46" s="72">
        <f>INDEX(CaseData!$B$27:$E$35,MATCH($B46,CaseData!$B$27:$B$35,0),MATCH($C46,CaseData!$B$27:$E$27,0))</f>
        <v>90</v>
      </c>
      <c r="AZ46" s="72">
        <f>INDEX(CaseData!$B$27:$E$35,MATCH($B46,CaseData!$B$27:$B$35,0),MATCH($C46,CaseData!$B$27:$E$27,0))</f>
        <v>90</v>
      </c>
      <c r="BA46" s="72">
        <f>INDEX(CaseData!$B$27:$E$35,MATCH($B46,CaseData!$B$27:$B$35,0),MATCH($C46,CaseData!$B$27:$E$27,0))</f>
        <v>90</v>
      </c>
      <c r="BB46" s="72">
        <f>INDEX(CaseData!$B$27:$E$35,MATCH($B46,CaseData!$B$27:$B$35,0),MATCH($C46,CaseData!$B$27:$E$27,0))</f>
        <v>90</v>
      </c>
      <c r="BC46" s="72">
        <f>INDEX(CaseData!$B$27:$E$35,MATCH($B46,CaseData!$B$27:$B$35,0),MATCH($C46,CaseData!$B$27:$E$27,0))</f>
        <v>90</v>
      </c>
      <c r="BD46" s="72">
        <f>INDEX(CaseData!$B$27:$E$35,MATCH($B46,CaseData!$B$27:$B$35,0),MATCH($C46,CaseData!$B$27:$E$27,0))</f>
        <v>90</v>
      </c>
      <c r="BE46" s="72">
        <f>INDEX(CaseData!$B$27:$E$35,MATCH($B46,CaseData!$B$27:$B$35,0),MATCH($C46,CaseData!$B$27:$E$27,0))</f>
        <v>90</v>
      </c>
      <c r="BF46" s="72">
        <f>INDEX(CaseData!$B$27:$E$35,MATCH($B46,CaseData!$B$27:$B$35,0),MATCH($C46,CaseData!$B$27:$E$27,0))</f>
        <v>90</v>
      </c>
      <c r="BG46" s="72">
        <f>INDEX(CaseData!$B$27:$E$35,MATCH($B46,CaseData!$B$27:$B$35,0),MATCH($C46,CaseData!$B$27:$E$27,0))</f>
        <v>90</v>
      </c>
      <c r="BH46" s="72">
        <f>INDEX(CaseData!$B$27:$E$35,MATCH($B46,CaseData!$B$27:$B$35,0),MATCH($C46,CaseData!$B$27:$E$27,0))</f>
        <v>90</v>
      </c>
      <c r="BI46" s="72">
        <f>INDEX(CaseData!$B$27:$E$35,MATCH($B46,CaseData!$B$27:$B$35,0),MATCH($C46,CaseData!$B$27:$E$27,0))</f>
        <v>90</v>
      </c>
      <c r="BJ46" s="72">
        <f>INDEX(CaseData!$B$27:$E$35,MATCH($B46,CaseData!$B$27:$B$35,0),MATCH($C46,CaseData!$B$27:$E$27,0))</f>
        <v>90</v>
      </c>
      <c r="BK46" s="72">
        <f>INDEX(CaseData!$B$27:$E$35,MATCH($B46,CaseData!$B$27:$B$35,0),MATCH($C46,CaseData!$B$27:$E$27,0))</f>
        <v>90</v>
      </c>
      <c r="BL46" s="72">
        <f>INDEX(CaseData!$B$27:$E$35,MATCH($B46,CaseData!$B$27:$B$35,0),MATCH($C46,CaseData!$B$27:$E$27,0))</f>
        <v>90</v>
      </c>
      <c r="BM46" s="72">
        <f>INDEX(CaseData!$B$27:$E$35,MATCH($B46,CaseData!$B$27:$B$35,0),MATCH($C46,CaseData!$B$27:$E$27,0))</f>
        <v>90</v>
      </c>
      <c r="BN46" s="72">
        <f>INDEX(CaseData!$B$27:$E$35,MATCH($B46,CaseData!$B$27:$B$35,0),MATCH($C46,CaseData!$B$27:$E$27,0))</f>
        <v>90</v>
      </c>
    </row>
    <row r="47" spans="2:72">
      <c r="B47" s="37" t="str">
        <f t="shared" si="28"/>
        <v>Madrid</v>
      </c>
      <c r="C47" t="str">
        <f t="shared" si="27"/>
        <v>Accessories</v>
      </c>
      <c r="G47" s="72">
        <f>INDEX(CaseData!$B$27:$E$35,MATCH($B47,CaseData!$B$27:$B$35,0),MATCH($C47,CaseData!$B$27:$E$27,0))</f>
        <v>60</v>
      </c>
      <c r="H47" s="72">
        <f>INDEX(CaseData!$B$27:$E$35,MATCH($B47,CaseData!$B$27:$B$35,0),MATCH($C47,CaseData!$B$27:$E$27,0))</f>
        <v>60</v>
      </c>
      <c r="I47" s="72">
        <f>INDEX(CaseData!$B$27:$E$35,MATCH($B47,CaseData!$B$27:$B$35,0),MATCH($C47,CaseData!$B$27:$E$27,0))</f>
        <v>60</v>
      </c>
      <c r="J47" s="72">
        <f>INDEX(CaseData!$B$27:$E$35,MATCH($B47,CaseData!$B$27:$B$35,0),MATCH($C47,CaseData!$B$27:$E$27,0))</f>
        <v>60</v>
      </c>
      <c r="K47" s="72">
        <f>INDEX(CaseData!$B$27:$E$35,MATCH($B47,CaseData!$B$27:$B$35,0),MATCH($C47,CaseData!$B$27:$E$27,0))</f>
        <v>60</v>
      </c>
      <c r="L47" s="72">
        <f>INDEX(CaseData!$B$27:$E$35,MATCH($B47,CaseData!$B$27:$B$35,0),MATCH($C47,CaseData!$B$27:$E$27,0))</f>
        <v>60</v>
      </c>
      <c r="M47" s="72">
        <f>INDEX(CaseData!$B$27:$E$35,MATCH($B47,CaseData!$B$27:$B$35,0),MATCH($C47,CaseData!$B$27:$E$27,0))</f>
        <v>60</v>
      </c>
      <c r="N47" s="72">
        <f>INDEX(CaseData!$B$27:$E$35,MATCH($B47,CaseData!$B$27:$B$35,0),MATCH($C47,CaseData!$B$27:$E$27,0))</f>
        <v>60</v>
      </c>
      <c r="O47" s="72">
        <f>INDEX(CaseData!$B$27:$E$35,MATCH($B47,CaseData!$B$27:$B$35,0),MATCH($C47,CaseData!$B$27:$E$27,0))</f>
        <v>60</v>
      </c>
      <c r="P47" s="72">
        <f>INDEX(CaseData!$B$27:$E$35,MATCH($B47,CaseData!$B$27:$B$35,0),MATCH($C47,CaseData!$B$27:$E$27,0))</f>
        <v>60</v>
      </c>
      <c r="Q47" s="72">
        <f>INDEX(CaseData!$B$27:$E$35,MATCH($B47,CaseData!$B$27:$B$35,0),MATCH($C47,CaseData!$B$27:$E$27,0))</f>
        <v>60</v>
      </c>
      <c r="R47" s="72">
        <f>INDEX(CaseData!$B$27:$E$35,MATCH($B47,CaseData!$B$27:$B$35,0),MATCH($C47,CaseData!$B$27:$E$27,0))</f>
        <v>60</v>
      </c>
      <c r="S47" s="72">
        <f>INDEX(CaseData!$B$27:$E$35,MATCH($B47,CaseData!$B$27:$B$35,0),MATCH($C47,CaseData!$B$27:$E$27,0))</f>
        <v>60</v>
      </c>
      <c r="T47" s="72">
        <f>INDEX(CaseData!$B$27:$E$35,MATCH($B47,CaseData!$B$27:$B$35,0),MATCH($C47,CaseData!$B$27:$E$27,0))</f>
        <v>60</v>
      </c>
      <c r="U47" s="72">
        <f>INDEX(CaseData!$B$27:$E$35,MATCH($B47,CaseData!$B$27:$B$35,0),MATCH($C47,CaseData!$B$27:$E$27,0))</f>
        <v>60</v>
      </c>
      <c r="V47" s="72">
        <f>INDEX(CaseData!$B$27:$E$35,MATCH($B47,CaseData!$B$27:$B$35,0),MATCH($C47,CaseData!$B$27:$E$27,0))</f>
        <v>60</v>
      </c>
      <c r="W47" s="72">
        <f>INDEX(CaseData!$B$27:$E$35,MATCH($B47,CaseData!$B$27:$B$35,0),MATCH($C47,CaseData!$B$27:$E$27,0))</f>
        <v>60</v>
      </c>
      <c r="X47" s="72">
        <f>INDEX(CaseData!$B$27:$E$35,MATCH($B47,CaseData!$B$27:$B$35,0),MATCH($C47,CaseData!$B$27:$E$27,0))</f>
        <v>60</v>
      </c>
      <c r="Y47" s="72">
        <f>INDEX(CaseData!$B$27:$E$35,MATCH($B47,CaseData!$B$27:$B$35,0),MATCH($C47,CaseData!$B$27:$E$27,0))</f>
        <v>60</v>
      </c>
      <c r="Z47" s="72">
        <f>INDEX(CaseData!$B$27:$E$35,MATCH($B47,CaseData!$B$27:$B$35,0),MATCH($C47,CaseData!$B$27:$E$27,0))</f>
        <v>60</v>
      </c>
      <c r="AA47" s="72">
        <f>INDEX(CaseData!$B$27:$E$35,MATCH($B47,CaseData!$B$27:$B$35,0),MATCH($C47,CaseData!$B$27:$E$27,0))</f>
        <v>60</v>
      </c>
      <c r="AB47" s="72">
        <f>INDEX(CaseData!$B$27:$E$35,MATCH($B47,CaseData!$B$27:$B$35,0),MATCH($C47,CaseData!$B$27:$E$27,0))</f>
        <v>60</v>
      </c>
      <c r="AC47" s="72">
        <f>INDEX(CaseData!$B$27:$E$35,MATCH($B47,CaseData!$B$27:$B$35,0),MATCH($C47,CaseData!$B$27:$E$27,0))</f>
        <v>60</v>
      </c>
      <c r="AD47" s="72">
        <f>INDEX(CaseData!$B$27:$E$35,MATCH($B47,CaseData!$B$27:$B$35,0),MATCH($C47,CaseData!$B$27:$E$27,0))</f>
        <v>60</v>
      </c>
      <c r="AE47" s="72">
        <f>INDEX(CaseData!$B$27:$E$35,MATCH($B47,CaseData!$B$27:$B$35,0),MATCH($C47,CaseData!$B$27:$E$27,0))</f>
        <v>60</v>
      </c>
      <c r="AF47" s="72">
        <f>INDEX(CaseData!$B$27:$E$35,MATCH($B47,CaseData!$B$27:$B$35,0),MATCH($C47,CaseData!$B$27:$E$27,0))</f>
        <v>60</v>
      </c>
      <c r="AG47" s="72">
        <f>INDEX(CaseData!$B$27:$E$35,MATCH($B47,CaseData!$B$27:$B$35,0),MATCH($C47,CaseData!$B$27:$E$27,0))</f>
        <v>60</v>
      </c>
      <c r="AH47" s="72">
        <f>INDEX(CaseData!$B$27:$E$35,MATCH($B47,CaseData!$B$27:$B$35,0),MATCH($C47,CaseData!$B$27:$E$27,0))</f>
        <v>60</v>
      </c>
      <c r="AI47" s="72">
        <f>INDEX(CaseData!$B$27:$E$35,MATCH($B47,CaseData!$B$27:$B$35,0),MATCH($C47,CaseData!$B$27:$E$27,0))</f>
        <v>60</v>
      </c>
      <c r="AJ47" s="72">
        <f>INDEX(CaseData!$B$27:$E$35,MATCH($B47,CaseData!$B$27:$B$35,0),MATCH($C47,CaseData!$B$27:$E$27,0))</f>
        <v>60</v>
      </c>
      <c r="AK47" s="72">
        <f>INDEX(CaseData!$B$27:$E$35,MATCH($B47,CaseData!$B$27:$B$35,0),MATCH($C47,CaseData!$B$27:$E$27,0))</f>
        <v>60</v>
      </c>
      <c r="AL47" s="72">
        <f>INDEX(CaseData!$B$27:$E$35,MATCH($B47,CaseData!$B$27:$B$35,0),MATCH($C47,CaseData!$B$27:$E$27,0))</f>
        <v>60</v>
      </c>
      <c r="AM47" s="72">
        <f>INDEX(CaseData!$B$27:$E$35,MATCH($B47,CaseData!$B$27:$B$35,0),MATCH($C47,CaseData!$B$27:$E$27,0))</f>
        <v>60</v>
      </c>
      <c r="AN47" s="72">
        <f>INDEX(CaseData!$B$27:$E$35,MATCH($B47,CaseData!$B$27:$B$35,0),MATCH($C47,CaseData!$B$27:$E$27,0))</f>
        <v>60</v>
      </c>
      <c r="AO47" s="72">
        <f>INDEX(CaseData!$B$27:$E$35,MATCH($B47,CaseData!$B$27:$B$35,0),MATCH($C47,CaseData!$B$27:$E$27,0))</f>
        <v>60</v>
      </c>
      <c r="AP47" s="72">
        <f>INDEX(CaseData!$B$27:$E$35,MATCH($B47,CaseData!$B$27:$B$35,0),MATCH($C47,CaseData!$B$27:$E$27,0))</f>
        <v>60</v>
      </c>
      <c r="AQ47" s="72">
        <f>INDEX(CaseData!$B$27:$E$35,MATCH($B47,CaseData!$B$27:$B$35,0),MATCH($C47,CaseData!$B$27:$E$27,0))</f>
        <v>60</v>
      </c>
      <c r="AR47" s="72">
        <f>INDEX(CaseData!$B$27:$E$35,MATCH($B47,CaseData!$B$27:$B$35,0),MATCH($C47,CaseData!$B$27:$E$27,0))</f>
        <v>60</v>
      </c>
      <c r="AS47" s="72">
        <f>INDEX(CaseData!$B$27:$E$35,MATCH($B47,CaseData!$B$27:$B$35,0),MATCH($C47,CaseData!$B$27:$E$27,0))</f>
        <v>60</v>
      </c>
      <c r="AT47" s="72">
        <f>INDEX(CaseData!$B$27:$E$35,MATCH($B47,CaseData!$B$27:$B$35,0),MATCH($C47,CaseData!$B$27:$E$27,0))</f>
        <v>60</v>
      </c>
      <c r="AU47" s="72">
        <f>INDEX(CaseData!$B$27:$E$35,MATCH($B47,CaseData!$B$27:$B$35,0),MATCH($C47,CaseData!$B$27:$E$27,0))</f>
        <v>60</v>
      </c>
      <c r="AV47" s="72">
        <f>INDEX(CaseData!$B$27:$E$35,MATCH($B47,CaseData!$B$27:$B$35,0),MATCH($C47,CaseData!$B$27:$E$27,0))</f>
        <v>60</v>
      </c>
      <c r="AW47" s="72">
        <f>INDEX(CaseData!$B$27:$E$35,MATCH($B47,CaseData!$B$27:$B$35,0),MATCH($C47,CaseData!$B$27:$E$27,0))</f>
        <v>60</v>
      </c>
      <c r="AX47" s="72">
        <f>INDEX(CaseData!$B$27:$E$35,MATCH($B47,CaseData!$B$27:$B$35,0),MATCH($C47,CaseData!$B$27:$E$27,0))</f>
        <v>60</v>
      </c>
      <c r="AY47" s="72">
        <f>INDEX(CaseData!$B$27:$E$35,MATCH($B47,CaseData!$B$27:$B$35,0),MATCH($C47,CaseData!$B$27:$E$27,0))</f>
        <v>60</v>
      </c>
      <c r="AZ47" s="72">
        <f>INDEX(CaseData!$B$27:$E$35,MATCH($B47,CaseData!$B$27:$B$35,0),MATCH($C47,CaseData!$B$27:$E$27,0))</f>
        <v>60</v>
      </c>
      <c r="BA47" s="72">
        <f>INDEX(CaseData!$B$27:$E$35,MATCH($B47,CaseData!$B$27:$B$35,0),MATCH($C47,CaseData!$B$27:$E$27,0))</f>
        <v>60</v>
      </c>
      <c r="BB47" s="72">
        <f>INDEX(CaseData!$B$27:$E$35,MATCH($B47,CaseData!$B$27:$B$35,0),MATCH($C47,CaseData!$B$27:$E$27,0))</f>
        <v>60</v>
      </c>
      <c r="BC47" s="72">
        <f>INDEX(CaseData!$B$27:$E$35,MATCH($B47,CaseData!$B$27:$B$35,0),MATCH($C47,CaseData!$B$27:$E$27,0))</f>
        <v>60</v>
      </c>
      <c r="BD47" s="72">
        <f>INDEX(CaseData!$B$27:$E$35,MATCH($B47,CaseData!$B$27:$B$35,0),MATCH($C47,CaseData!$B$27:$E$27,0))</f>
        <v>60</v>
      </c>
      <c r="BE47" s="72">
        <f>INDEX(CaseData!$B$27:$E$35,MATCH($B47,CaseData!$B$27:$B$35,0),MATCH($C47,CaseData!$B$27:$E$27,0))</f>
        <v>60</v>
      </c>
      <c r="BF47" s="72">
        <f>INDEX(CaseData!$B$27:$E$35,MATCH($B47,CaseData!$B$27:$B$35,0),MATCH($C47,CaseData!$B$27:$E$27,0))</f>
        <v>60</v>
      </c>
      <c r="BG47" s="72">
        <f>INDEX(CaseData!$B$27:$E$35,MATCH($B47,CaseData!$B$27:$B$35,0),MATCH($C47,CaseData!$B$27:$E$27,0))</f>
        <v>60</v>
      </c>
      <c r="BH47" s="72">
        <f>INDEX(CaseData!$B$27:$E$35,MATCH($B47,CaseData!$B$27:$B$35,0),MATCH($C47,CaseData!$B$27:$E$27,0))</f>
        <v>60</v>
      </c>
      <c r="BI47" s="72">
        <f>INDEX(CaseData!$B$27:$E$35,MATCH($B47,CaseData!$B$27:$B$35,0),MATCH($C47,CaseData!$B$27:$E$27,0))</f>
        <v>60</v>
      </c>
      <c r="BJ47" s="72">
        <f>INDEX(CaseData!$B$27:$E$35,MATCH($B47,CaseData!$B$27:$B$35,0),MATCH($C47,CaseData!$B$27:$E$27,0))</f>
        <v>60</v>
      </c>
      <c r="BK47" s="72">
        <f>INDEX(CaseData!$B$27:$E$35,MATCH($B47,CaseData!$B$27:$B$35,0),MATCH($C47,CaseData!$B$27:$E$27,0))</f>
        <v>60</v>
      </c>
      <c r="BL47" s="72">
        <f>INDEX(CaseData!$B$27:$E$35,MATCH($B47,CaseData!$B$27:$B$35,0),MATCH($C47,CaseData!$B$27:$E$27,0))</f>
        <v>60</v>
      </c>
      <c r="BM47" s="72">
        <f>INDEX(CaseData!$B$27:$E$35,MATCH($B47,CaseData!$B$27:$B$35,0),MATCH($C47,CaseData!$B$27:$E$27,0))</f>
        <v>60</v>
      </c>
      <c r="BN47" s="72">
        <f>INDEX(CaseData!$B$27:$E$35,MATCH($B47,CaseData!$B$27:$B$35,0),MATCH($C47,CaseData!$B$27:$E$27,0))</f>
        <v>60</v>
      </c>
    </row>
    <row r="48" spans="2:72">
      <c r="B48" s="37" t="str">
        <f>CaseData!$B$31</f>
        <v>London</v>
      </c>
      <c r="C48" t="str">
        <f t="shared" si="27"/>
        <v>Women's</v>
      </c>
      <c r="G48" s="72">
        <f>INDEX(CaseData!$B$27:$E$35,MATCH($B48,CaseData!$B$27:$B$35,0),MATCH($C48,CaseData!$B$27:$E$27,0))</f>
        <v>110</v>
      </c>
      <c r="H48" s="72">
        <f>INDEX(CaseData!$B$27:$E$35,MATCH($B48,CaseData!$B$27:$B$35,0),MATCH($C48,CaseData!$B$27:$E$27,0))</f>
        <v>110</v>
      </c>
      <c r="I48" s="72">
        <f>INDEX(CaseData!$B$27:$E$35,MATCH($B48,CaseData!$B$27:$B$35,0),MATCH($C48,CaseData!$B$27:$E$27,0))</f>
        <v>110</v>
      </c>
      <c r="J48" s="72">
        <f>INDEX(CaseData!$B$27:$E$35,MATCH($B48,CaseData!$B$27:$B$35,0),MATCH($C48,CaseData!$B$27:$E$27,0))</f>
        <v>110</v>
      </c>
      <c r="K48" s="72">
        <f>INDEX(CaseData!$B$27:$E$35,MATCH($B48,CaseData!$B$27:$B$35,0),MATCH($C48,CaseData!$B$27:$E$27,0))</f>
        <v>110</v>
      </c>
      <c r="L48" s="72">
        <f>INDEX(CaseData!$B$27:$E$35,MATCH($B48,CaseData!$B$27:$B$35,0),MATCH($C48,CaseData!$B$27:$E$27,0))</f>
        <v>110</v>
      </c>
      <c r="M48" s="72">
        <f>INDEX(CaseData!$B$27:$E$35,MATCH($B48,CaseData!$B$27:$B$35,0),MATCH($C48,CaseData!$B$27:$E$27,0))</f>
        <v>110</v>
      </c>
      <c r="N48" s="72">
        <f>INDEX(CaseData!$B$27:$E$35,MATCH($B48,CaseData!$B$27:$B$35,0),MATCH($C48,CaseData!$B$27:$E$27,0))</f>
        <v>110</v>
      </c>
      <c r="O48" s="72">
        <f>INDEX(CaseData!$B$27:$E$35,MATCH($B48,CaseData!$B$27:$B$35,0),MATCH($C48,CaseData!$B$27:$E$27,0))</f>
        <v>110</v>
      </c>
      <c r="P48" s="72">
        <f>INDEX(CaseData!$B$27:$E$35,MATCH($B48,CaseData!$B$27:$B$35,0),MATCH($C48,CaseData!$B$27:$E$27,0))</f>
        <v>110</v>
      </c>
      <c r="Q48" s="72">
        <f>INDEX(CaseData!$B$27:$E$35,MATCH($B48,CaseData!$B$27:$B$35,0),MATCH($C48,CaseData!$B$27:$E$27,0))</f>
        <v>110</v>
      </c>
      <c r="R48" s="72">
        <f>INDEX(CaseData!$B$27:$E$35,MATCH($B48,CaseData!$B$27:$B$35,0),MATCH($C48,CaseData!$B$27:$E$27,0))</f>
        <v>110</v>
      </c>
      <c r="S48" s="72">
        <f>INDEX(CaseData!$B$27:$E$35,MATCH($B48,CaseData!$B$27:$B$35,0),MATCH($C48,CaseData!$B$27:$E$27,0))</f>
        <v>110</v>
      </c>
      <c r="T48" s="72">
        <f>INDEX(CaseData!$B$27:$E$35,MATCH($B48,CaseData!$B$27:$B$35,0),MATCH($C48,CaseData!$B$27:$E$27,0))</f>
        <v>110</v>
      </c>
      <c r="U48" s="72">
        <f>INDEX(CaseData!$B$27:$E$35,MATCH($B48,CaseData!$B$27:$B$35,0),MATCH($C48,CaseData!$B$27:$E$27,0))</f>
        <v>110</v>
      </c>
      <c r="V48" s="72">
        <f>INDEX(CaseData!$B$27:$E$35,MATCH($B48,CaseData!$B$27:$B$35,0),MATCH($C48,CaseData!$B$27:$E$27,0))</f>
        <v>110</v>
      </c>
      <c r="W48" s="72">
        <f>INDEX(CaseData!$B$27:$E$35,MATCH($B48,CaseData!$B$27:$B$35,0),MATCH($C48,CaseData!$B$27:$E$27,0))</f>
        <v>110</v>
      </c>
      <c r="X48" s="72">
        <f>INDEX(CaseData!$B$27:$E$35,MATCH($B48,CaseData!$B$27:$B$35,0),MATCH($C48,CaseData!$B$27:$E$27,0))</f>
        <v>110</v>
      </c>
      <c r="Y48" s="72">
        <f>INDEX(CaseData!$B$27:$E$35,MATCH($B48,CaseData!$B$27:$B$35,0),MATCH($C48,CaseData!$B$27:$E$27,0))</f>
        <v>110</v>
      </c>
      <c r="Z48" s="72">
        <f>INDEX(CaseData!$B$27:$E$35,MATCH($B48,CaseData!$B$27:$B$35,0),MATCH($C48,CaseData!$B$27:$E$27,0))</f>
        <v>110</v>
      </c>
      <c r="AA48" s="72">
        <f>INDEX(CaseData!$B$27:$E$35,MATCH($B48,CaseData!$B$27:$B$35,0),MATCH($C48,CaseData!$B$27:$E$27,0))</f>
        <v>110</v>
      </c>
      <c r="AB48" s="72">
        <f>INDEX(CaseData!$B$27:$E$35,MATCH($B48,CaseData!$B$27:$B$35,0),MATCH($C48,CaseData!$B$27:$E$27,0))</f>
        <v>110</v>
      </c>
      <c r="AC48" s="72">
        <f>INDEX(CaseData!$B$27:$E$35,MATCH($B48,CaseData!$B$27:$B$35,0),MATCH($C48,CaseData!$B$27:$E$27,0))</f>
        <v>110</v>
      </c>
      <c r="AD48" s="72">
        <f>INDEX(CaseData!$B$27:$E$35,MATCH($B48,CaseData!$B$27:$B$35,0),MATCH($C48,CaseData!$B$27:$E$27,0))</f>
        <v>110</v>
      </c>
      <c r="AE48" s="72">
        <f>INDEX(CaseData!$B$27:$E$35,MATCH($B48,CaseData!$B$27:$B$35,0),MATCH($C48,CaseData!$B$27:$E$27,0))</f>
        <v>110</v>
      </c>
      <c r="AF48" s="72">
        <f>INDEX(CaseData!$B$27:$E$35,MATCH($B48,CaseData!$B$27:$B$35,0),MATCH($C48,CaseData!$B$27:$E$27,0))</f>
        <v>110</v>
      </c>
      <c r="AG48" s="72">
        <f>INDEX(CaseData!$B$27:$E$35,MATCH($B48,CaseData!$B$27:$B$35,0),MATCH($C48,CaseData!$B$27:$E$27,0))</f>
        <v>110</v>
      </c>
      <c r="AH48" s="72">
        <f>INDEX(CaseData!$B$27:$E$35,MATCH($B48,CaseData!$B$27:$B$35,0),MATCH($C48,CaseData!$B$27:$E$27,0))</f>
        <v>110</v>
      </c>
      <c r="AI48" s="72">
        <f>INDEX(CaseData!$B$27:$E$35,MATCH($B48,CaseData!$B$27:$B$35,0),MATCH($C48,CaseData!$B$27:$E$27,0))</f>
        <v>110</v>
      </c>
      <c r="AJ48" s="72">
        <f>INDEX(CaseData!$B$27:$E$35,MATCH($B48,CaseData!$B$27:$B$35,0),MATCH($C48,CaseData!$B$27:$E$27,0))</f>
        <v>110</v>
      </c>
      <c r="AK48" s="72">
        <f>INDEX(CaseData!$B$27:$E$35,MATCH($B48,CaseData!$B$27:$B$35,0),MATCH($C48,CaseData!$B$27:$E$27,0))</f>
        <v>110</v>
      </c>
      <c r="AL48" s="72">
        <f>INDEX(CaseData!$B$27:$E$35,MATCH($B48,CaseData!$B$27:$B$35,0),MATCH($C48,CaseData!$B$27:$E$27,0))</f>
        <v>110</v>
      </c>
      <c r="AM48" s="72">
        <f>INDEX(CaseData!$B$27:$E$35,MATCH($B48,CaseData!$B$27:$B$35,0),MATCH($C48,CaseData!$B$27:$E$27,0))</f>
        <v>110</v>
      </c>
      <c r="AN48" s="72">
        <f>INDEX(CaseData!$B$27:$E$35,MATCH($B48,CaseData!$B$27:$B$35,0),MATCH($C48,CaseData!$B$27:$E$27,0))</f>
        <v>110</v>
      </c>
      <c r="AO48" s="72">
        <f>INDEX(CaseData!$B$27:$E$35,MATCH($B48,CaseData!$B$27:$B$35,0),MATCH($C48,CaseData!$B$27:$E$27,0))</f>
        <v>110</v>
      </c>
      <c r="AP48" s="72">
        <f>INDEX(CaseData!$B$27:$E$35,MATCH($B48,CaseData!$B$27:$B$35,0),MATCH($C48,CaseData!$B$27:$E$27,0))</f>
        <v>110</v>
      </c>
      <c r="AQ48" s="72">
        <f>INDEX(CaseData!$B$27:$E$35,MATCH($B48,CaseData!$B$27:$B$35,0),MATCH($C48,CaseData!$B$27:$E$27,0))</f>
        <v>110</v>
      </c>
      <c r="AR48" s="72">
        <f>INDEX(CaseData!$B$27:$E$35,MATCH($B48,CaseData!$B$27:$B$35,0),MATCH($C48,CaseData!$B$27:$E$27,0))</f>
        <v>110</v>
      </c>
      <c r="AS48" s="72">
        <f>INDEX(CaseData!$B$27:$E$35,MATCH($B48,CaseData!$B$27:$B$35,0),MATCH($C48,CaseData!$B$27:$E$27,0))</f>
        <v>110</v>
      </c>
      <c r="AT48" s="72">
        <f>INDEX(CaseData!$B$27:$E$35,MATCH($B48,CaseData!$B$27:$B$35,0),MATCH($C48,CaseData!$B$27:$E$27,0))</f>
        <v>110</v>
      </c>
      <c r="AU48" s="72">
        <f>INDEX(CaseData!$B$27:$E$35,MATCH($B48,CaseData!$B$27:$B$35,0),MATCH($C48,CaseData!$B$27:$E$27,0))</f>
        <v>110</v>
      </c>
      <c r="AV48" s="72">
        <f>INDEX(CaseData!$B$27:$E$35,MATCH($B48,CaseData!$B$27:$B$35,0),MATCH($C48,CaseData!$B$27:$E$27,0))</f>
        <v>110</v>
      </c>
      <c r="AW48" s="72">
        <f>INDEX(CaseData!$B$27:$E$35,MATCH($B48,CaseData!$B$27:$B$35,0),MATCH($C48,CaseData!$B$27:$E$27,0))</f>
        <v>110</v>
      </c>
      <c r="AX48" s="72">
        <f>INDEX(CaseData!$B$27:$E$35,MATCH($B48,CaseData!$B$27:$B$35,0),MATCH($C48,CaseData!$B$27:$E$27,0))</f>
        <v>110</v>
      </c>
      <c r="AY48" s="72">
        <f>INDEX(CaseData!$B$27:$E$35,MATCH($B48,CaseData!$B$27:$B$35,0),MATCH($C48,CaseData!$B$27:$E$27,0))</f>
        <v>110</v>
      </c>
      <c r="AZ48" s="72">
        <f>INDEX(CaseData!$B$27:$E$35,MATCH($B48,CaseData!$B$27:$B$35,0),MATCH($C48,CaseData!$B$27:$E$27,0))</f>
        <v>110</v>
      </c>
      <c r="BA48" s="72">
        <f>INDEX(CaseData!$B$27:$E$35,MATCH($B48,CaseData!$B$27:$B$35,0),MATCH($C48,CaseData!$B$27:$E$27,0))</f>
        <v>110</v>
      </c>
      <c r="BB48" s="72">
        <f>INDEX(CaseData!$B$27:$E$35,MATCH($B48,CaseData!$B$27:$B$35,0),MATCH($C48,CaseData!$B$27:$E$27,0))</f>
        <v>110</v>
      </c>
      <c r="BC48" s="72">
        <f>INDEX(CaseData!$B$27:$E$35,MATCH($B48,CaseData!$B$27:$B$35,0),MATCH($C48,CaseData!$B$27:$E$27,0))</f>
        <v>110</v>
      </c>
      <c r="BD48" s="72">
        <f>INDEX(CaseData!$B$27:$E$35,MATCH($B48,CaseData!$B$27:$B$35,0),MATCH($C48,CaseData!$B$27:$E$27,0))</f>
        <v>110</v>
      </c>
      <c r="BE48" s="72">
        <f>INDEX(CaseData!$B$27:$E$35,MATCH($B48,CaseData!$B$27:$B$35,0),MATCH($C48,CaseData!$B$27:$E$27,0))</f>
        <v>110</v>
      </c>
      <c r="BF48" s="72">
        <f>INDEX(CaseData!$B$27:$E$35,MATCH($B48,CaseData!$B$27:$B$35,0),MATCH($C48,CaseData!$B$27:$E$27,0))</f>
        <v>110</v>
      </c>
      <c r="BG48" s="72">
        <f>INDEX(CaseData!$B$27:$E$35,MATCH($B48,CaseData!$B$27:$B$35,0),MATCH($C48,CaseData!$B$27:$E$27,0))</f>
        <v>110</v>
      </c>
      <c r="BH48" s="72">
        <f>INDEX(CaseData!$B$27:$E$35,MATCH($B48,CaseData!$B$27:$B$35,0),MATCH($C48,CaseData!$B$27:$E$27,0))</f>
        <v>110</v>
      </c>
      <c r="BI48" s="72">
        <f>INDEX(CaseData!$B$27:$E$35,MATCH($B48,CaseData!$B$27:$B$35,0),MATCH($C48,CaseData!$B$27:$E$27,0))</f>
        <v>110</v>
      </c>
      <c r="BJ48" s="72">
        <f>INDEX(CaseData!$B$27:$E$35,MATCH($B48,CaseData!$B$27:$B$35,0),MATCH($C48,CaseData!$B$27:$E$27,0))</f>
        <v>110</v>
      </c>
      <c r="BK48" s="72">
        <f>INDEX(CaseData!$B$27:$E$35,MATCH($B48,CaseData!$B$27:$B$35,0),MATCH($C48,CaseData!$B$27:$E$27,0))</f>
        <v>110</v>
      </c>
      <c r="BL48" s="72">
        <f>INDEX(CaseData!$B$27:$E$35,MATCH($B48,CaseData!$B$27:$B$35,0),MATCH($C48,CaseData!$B$27:$E$27,0))</f>
        <v>110</v>
      </c>
      <c r="BM48" s="72">
        <f>INDEX(CaseData!$B$27:$E$35,MATCH($B48,CaseData!$B$27:$B$35,0),MATCH($C48,CaseData!$B$27:$E$27,0))</f>
        <v>110</v>
      </c>
      <c r="BN48" s="72">
        <f>INDEX(CaseData!$B$27:$E$35,MATCH($B48,CaseData!$B$27:$B$35,0),MATCH($C48,CaseData!$B$27:$E$27,0))</f>
        <v>110</v>
      </c>
    </row>
    <row r="49" spans="2:66">
      <c r="B49" s="37" t="str">
        <f t="shared" si="28"/>
        <v>London</v>
      </c>
      <c r="C49" t="str">
        <f t="shared" si="27"/>
        <v>Men's</v>
      </c>
      <c r="G49" s="72">
        <f>INDEX(CaseData!$B$27:$E$35,MATCH($B49,CaseData!$B$27:$B$35,0),MATCH($C49,CaseData!$B$27:$E$27,0))</f>
        <v>130</v>
      </c>
      <c r="H49" s="72">
        <f>INDEX(CaseData!$B$27:$E$35,MATCH($B49,CaseData!$B$27:$B$35,0),MATCH($C49,CaseData!$B$27:$E$27,0))</f>
        <v>130</v>
      </c>
      <c r="I49" s="72">
        <f>INDEX(CaseData!$B$27:$E$35,MATCH($B49,CaseData!$B$27:$B$35,0),MATCH($C49,CaseData!$B$27:$E$27,0))</f>
        <v>130</v>
      </c>
      <c r="J49" s="72">
        <f>INDEX(CaseData!$B$27:$E$35,MATCH($B49,CaseData!$B$27:$B$35,0),MATCH($C49,CaseData!$B$27:$E$27,0))</f>
        <v>130</v>
      </c>
      <c r="K49" s="72">
        <f>INDEX(CaseData!$B$27:$E$35,MATCH($B49,CaseData!$B$27:$B$35,0),MATCH($C49,CaseData!$B$27:$E$27,0))</f>
        <v>130</v>
      </c>
      <c r="L49" s="72">
        <f>INDEX(CaseData!$B$27:$E$35,MATCH($B49,CaseData!$B$27:$B$35,0),MATCH($C49,CaseData!$B$27:$E$27,0))</f>
        <v>130</v>
      </c>
      <c r="M49" s="72">
        <f>INDEX(CaseData!$B$27:$E$35,MATCH($B49,CaseData!$B$27:$B$35,0),MATCH($C49,CaseData!$B$27:$E$27,0))</f>
        <v>130</v>
      </c>
      <c r="N49" s="72">
        <f>INDEX(CaseData!$B$27:$E$35,MATCH($B49,CaseData!$B$27:$B$35,0),MATCH($C49,CaseData!$B$27:$E$27,0))</f>
        <v>130</v>
      </c>
      <c r="O49" s="72">
        <f>INDEX(CaseData!$B$27:$E$35,MATCH($B49,CaseData!$B$27:$B$35,0),MATCH($C49,CaseData!$B$27:$E$27,0))</f>
        <v>130</v>
      </c>
      <c r="P49" s="72">
        <f>INDEX(CaseData!$B$27:$E$35,MATCH($B49,CaseData!$B$27:$B$35,0),MATCH($C49,CaseData!$B$27:$E$27,0))</f>
        <v>130</v>
      </c>
      <c r="Q49" s="72">
        <f>INDEX(CaseData!$B$27:$E$35,MATCH($B49,CaseData!$B$27:$B$35,0),MATCH($C49,CaseData!$B$27:$E$27,0))</f>
        <v>130</v>
      </c>
      <c r="R49" s="72">
        <f>INDEX(CaseData!$B$27:$E$35,MATCH($B49,CaseData!$B$27:$B$35,0),MATCH($C49,CaseData!$B$27:$E$27,0))</f>
        <v>130</v>
      </c>
      <c r="S49" s="72">
        <f>INDEX(CaseData!$B$27:$E$35,MATCH($B49,CaseData!$B$27:$B$35,0),MATCH($C49,CaseData!$B$27:$E$27,0))</f>
        <v>130</v>
      </c>
      <c r="T49" s="72">
        <f>INDEX(CaseData!$B$27:$E$35,MATCH($B49,CaseData!$B$27:$B$35,0),MATCH($C49,CaseData!$B$27:$E$27,0))</f>
        <v>130</v>
      </c>
      <c r="U49" s="72">
        <f>INDEX(CaseData!$B$27:$E$35,MATCH($B49,CaseData!$B$27:$B$35,0),MATCH($C49,CaseData!$B$27:$E$27,0))</f>
        <v>130</v>
      </c>
      <c r="V49" s="72">
        <f>INDEX(CaseData!$B$27:$E$35,MATCH($B49,CaseData!$B$27:$B$35,0),MATCH($C49,CaseData!$B$27:$E$27,0))</f>
        <v>130</v>
      </c>
      <c r="W49" s="72">
        <f>INDEX(CaseData!$B$27:$E$35,MATCH($B49,CaseData!$B$27:$B$35,0),MATCH($C49,CaseData!$B$27:$E$27,0))</f>
        <v>130</v>
      </c>
      <c r="X49" s="72">
        <f>INDEX(CaseData!$B$27:$E$35,MATCH($B49,CaseData!$B$27:$B$35,0),MATCH($C49,CaseData!$B$27:$E$27,0))</f>
        <v>130</v>
      </c>
      <c r="Y49" s="72">
        <f>INDEX(CaseData!$B$27:$E$35,MATCH($B49,CaseData!$B$27:$B$35,0),MATCH($C49,CaseData!$B$27:$E$27,0))</f>
        <v>130</v>
      </c>
      <c r="Z49" s="72">
        <f>INDEX(CaseData!$B$27:$E$35,MATCH($B49,CaseData!$B$27:$B$35,0),MATCH($C49,CaseData!$B$27:$E$27,0))</f>
        <v>130</v>
      </c>
      <c r="AA49" s="72">
        <f>INDEX(CaseData!$B$27:$E$35,MATCH($B49,CaseData!$B$27:$B$35,0),MATCH($C49,CaseData!$B$27:$E$27,0))</f>
        <v>130</v>
      </c>
      <c r="AB49" s="72">
        <f>INDEX(CaseData!$B$27:$E$35,MATCH($B49,CaseData!$B$27:$B$35,0),MATCH($C49,CaseData!$B$27:$E$27,0))</f>
        <v>130</v>
      </c>
      <c r="AC49" s="72">
        <f>INDEX(CaseData!$B$27:$E$35,MATCH($B49,CaseData!$B$27:$B$35,0),MATCH($C49,CaseData!$B$27:$E$27,0))</f>
        <v>130</v>
      </c>
      <c r="AD49" s="72">
        <f>INDEX(CaseData!$B$27:$E$35,MATCH($B49,CaseData!$B$27:$B$35,0),MATCH($C49,CaseData!$B$27:$E$27,0))</f>
        <v>130</v>
      </c>
      <c r="AE49" s="72">
        <f>INDEX(CaseData!$B$27:$E$35,MATCH($B49,CaseData!$B$27:$B$35,0),MATCH($C49,CaseData!$B$27:$E$27,0))</f>
        <v>130</v>
      </c>
      <c r="AF49" s="72">
        <f>INDEX(CaseData!$B$27:$E$35,MATCH($B49,CaseData!$B$27:$B$35,0),MATCH($C49,CaseData!$B$27:$E$27,0))</f>
        <v>130</v>
      </c>
      <c r="AG49" s="72">
        <f>INDEX(CaseData!$B$27:$E$35,MATCH($B49,CaseData!$B$27:$B$35,0),MATCH($C49,CaseData!$B$27:$E$27,0))</f>
        <v>130</v>
      </c>
      <c r="AH49" s="72">
        <f>INDEX(CaseData!$B$27:$E$35,MATCH($B49,CaseData!$B$27:$B$35,0),MATCH($C49,CaseData!$B$27:$E$27,0))</f>
        <v>130</v>
      </c>
      <c r="AI49" s="72">
        <f>INDEX(CaseData!$B$27:$E$35,MATCH($B49,CaseData!$B$27:$B$35,0),MATCH($C49,CaseData!$B$27:$E$27,0))</f>
        <v>130</v>
      </c>
      <c r="AJ49" s="72">
        <f>INDEX(CaseData!$B$27:$E$35,MATCH($B49,CaseData!$B$27:$B$35,0),MATCH($C49,CaseData!$B$27:$E$27,0))</f>
        <v>130</v>
      </c>
      <c r="AK49" s="72">
        <f>INDEX(CaseData!$B$27:$E$35,MATCH($B49,CaseData!$B$27:$B$35,0),MATCH($C49,CaseData!$B$27:$E$27,0))</f>
        <v>130</v>
      </c>
      <c r="AL49" s="72">
        <f>INDEX(CaseData!$B$27:$E$35,MATCH($B49,CaseData!$B$27:$B$35,0),MATCH($C49,CaseData!$B$27:$E$27,0))</f>
        <v>130</v>
      </c>
      <c r="AM49" s="72">
        <f>INDEX(CaseData!$B$27:$E$35,MATCH($B49,CaseData!$B$27:$B$35,0),MATCH($C49,CaseData!$B$27:$E$27,0))</f>
        <v>130</v>
      </c>
      <c r="AN49" s="72">
        <f>INDEX(CaseData!$B$27:$E$35,MATCH($B49,CaseData!$B$27:$B$35,0),MATCH($C49,CaseData!$B$27:$E$27,0))</f>
        <v>130</v>
      </c>
      <c r="AO49" s="72">
        <f>INDEX(CaseData!$B$27:$E$35,MATCH($B49,CaseData!$B$27:$B$35,0),MATCH($C49,CaseData!$B$27:$E$27,0))</f>
        <v>130</v>
      </c>
      <c r="AP49" s="72">
        <f>INDEX(CaseData!$B$27:$E$35,MATCH($B49,CaseData!$B$27:$B$35,0),MATCH($C49,CaseData!$B$27:$E$27,0))</f>
        <v>130</v>
      </c>
      <c r="AQ49" s="72">
        <f>INDEX(CaseData!$B$27:$E$35,MATCH($B49,CaseData!$B$27:$B$35,0),MATCH($C49,CaseData!$B$27:$E$27,0))</f>
        <v>130</v>
      </c>
      <c r="AR49" s="72">
        <f>INDEX(CaseData!$B$27:$E$35,MATCH($B49,CaseData!$B$27:$B$35,0),MATCH($C49,CaseData!$B$27:$E$27,0))</f>
        <v>130</v>
      </c>
      <c r="AS49" s="72">
        <f>INDEX(CaseData!$B$27:$E$35,MATCH($B49,CaseData!$B$27:$B$35,0),MATCH($C49,CaseData!$B$27:$E$27,0))</f>
        <v>130</v>
      </c>
      <c r="AT49" s="72">
        <f>INDEX(CaseData!$B$27:$E$35,MATCH($B49,CaseData!$B$27:$B$35,0),MATCH($C49,CaseData!$B$27:$E$27,0))</f>
        <v>130</v>
      </c>
      <c r="AU49" s="72">
        <f>INDEX(CaseData!$B$27:$E$35,MATCH($B49,CaseData!$B$27:$B$35,0),MATCH($C49,CaseData!$B$27:$E$27,0))</f>
        <v>130</v>
      </c>
      <c r="AV49" s="72">
        <f>INDEX(CaseData!$B$27:$E$35,MATCH($B49,CaseData!$B$27:$B$35,0),MATCH($C49,CaseData!$B$27:$E$27,0))</f>
        <v>130</v>
      </c>
      <c r="AW49" s="72">
        <f>INDEX(CaseData!$B$27:$E$35,MATCH($B49,CaseData!$B$27:$B$35,0),MATCH($C49,CaseData!$B$27:$E$27,0))</f>
        <v>130</v>
      </c>
      <c r="AX49" s="72">
        <f>INDEX(CaseData!$B$27:$E$35,MATCH($B49,CaseData!$B$27:$B$35,0),MATCH($C49,CaseData!$B$27:$E$27,0))</f>
        <v>130</v>
      </c>
      <c r="AY49" s="72">
        <f>INDEX(CaseData!$B$27:$E$35,MATCH($B49,CaseData!$B$27:$B$35,0),MATCH($C49,CaseData!$B$27:$E$27,0))</f>
        <v>130</v>
      </c>
      <c r="AZ49" s="72">
        <f>INDEX(CaseData!$B$27:$E$35,MATCH($B49,CaseData!$B$27:$B$35,0),MATCH($C49,CaseData!$B$27:$E$27,0))</f>
        <v>130</v>
      </c>
      <c r="BA49" s="72">
        <f>INDEX(CaseData!$B$27:$E$35,MATCH($B49,CaseData!$B$27:$B$35,0),MATCH($C49,CaseData!$B$27:$E$27,0))</f>
        <v>130</v>
      </c>
      <c r="BB49" s="72">
        <f>INDEX(CaseData!$B$27:$E$35,MATCH($B49,CaseData!$B$27:$B$35,0),MATCH($C49,CaseData!$B$27:$E$27,0))</f>
        <v>130</v>
      </c>
      <c r="BC49" s="72">
        <f>INDEX(CaseData!$B$27:$E$35,MATCH($B49,CaseData!$B$27:$B$35,0),MATCH($C49,CaseData!$B$27:$E$27,0))</f>
        <v>130</v>
      </c>
      <c r="BD49" s="72">
        <f>INDEX(CaseData!$B$27:$E$35,MATCH($B49,CaseData!$B$27:$B$35,0),MATCH($C49,CaseData!$B$27:$E$27,0))</f>
        <v>130</v>
      </c>
      <c r="BE49" s="72">
        <f>INDEX(CaseData!$B$27:$E$35,MATCH($B49,CaseData!$B$27:$B$35,0),MATCH($C49,CaseData!$B$27:$E$27,0))</f>
        <v>130</v>
      </c>
      <c r="BF49" s="72">
        <f>INDEX(CaseData!$B$27:$E$35,MATCH($B49,CaseData!$B$27:$B$35,0),MATCH($C49,CaseData!$B$27:$E$27,0))</f>
        <v>130</v>
      </c>
      <c r="BG49" s="72">
        <f>INDEX(CaseData!$B$27:$E$35,MATCH($B49,CaseData!$B$27:$B$35,0),MATCH($C49,CaseData!$B$27:$E$27,0))</f>
        <v>130</v>
      </c>
      <c r="BH49" s="72">
        <f>INDEX(CaseData!$B$27:$E$35,MATCH($B49,CaseData!$B$27:$B$35,0),MATCH($C49,CaseData!$B$27:$E$27,0))</f>
        <v>130</v>
      </c>
      <c r="BI49" s="72">
        <f>INDEX(CaseData!$B$27:$E$35,MATCH($B49,CaseData!$B$27:$B$35,0),MATCH($C49,CaseData!$B$27:$E$27,0))</f>
        <v>130</v>
      </c>
      <c r="BJ49" s="72">
        <f>INDEX(CaseData!$B$27:$E$35,MATCH($B49,CaseData!$B$27:$B$35,0),MATCH($C49,CaseData!$B$27:$E$27,0))</f>
        <v>130</v>
      </c>
      <c r="BK49" s="72">
        <f>INDEX(CaseData!$B$27:$E$35,MATCH($B49,CaseData!$B$27:$B$35,0),MATCH($C49,CaseData!$B$27:$E$27,0))</f>
        <v>130</v>
      </c>
      <c r="BL49" s="72">
        <f>INDEX(CaseData!$B$27:$E$35,MATCH($B49,CaseData!$B$27:$B$35,0),MATCH($C49,CaseData!$B$27:$E$27,0))</f>
        <v>130</v>
      </c>
      <c r="BM49" s="72">
        <f>INDEX(CaseData!$B$27:$E$35,MATCH($B49,CaseData!$B$27:$B$35,0),MATCH($C49,CaseData!$B$27:$E$27,0))</f>
        <v>130</v>
      </c>
      <c r="BN49" s="72">
        <f>INDEX(CaseData!$B$27:$E$35,MATCH($B49,CaseData!$B$27:$B$35,0),MATCH($C49,CaseData!$B$27:$E$27,0))</f>
        <v>130</v>
      </c>
    </row>
    <row r="50" spans="2:66">
      <c r="B50" s="37" t="str">
        <f t="shared" si="28"/>
        <v>London</v>
      </c>
      <c r="C50" t="str">
        <f t="shared" si="27"/>
        <v>Accessories</v>
      </c>
      <c r="G50" s="72">
        <f>INDEX(CaseData!$B$27:$E$35,MATCH($B50,CaseData!$B$27:$B$35,0),MATCH($C50,CaseData!$B$27:$E$27,0))</f>
        <v>100</v>
      </c>
      <c r="H50" s="72">
        <f>INDEX(CaseData!$B$27:$E$35,MATCH($B50,CaseData!$B$27:$B$35,0),MATCH($C50,CaseData!$B$27:$E$27,0))</f>
        <v>100</v>
      </c>
      <c r="I50" s="72">
        <f>INDEX(CaseData!$B$27:$E$35,MATCH($B50,CaseData!$B$27:$B$35,0),MATCH($C50,CaseData!$B$27:$E$27,0))</f>
        <v>100</v>
      </c>
      <c r="J50" s="72">
        <f>INDEX(CaseData!$B$27:$E$35,MATCH($B50,CaseData!$B$27:$B$35,0),MATCH($C50,CaseData!$B$27:$E$27,0))</f>
        <v>100</v>
      </c>
      <c r="K50" s="72">
        <f>INDEX(CaseData!$B$27:$E$35,MATCH($B50,CaseData!$B$27:$B$35,0),MATCH($C50,CaseData!$B$27:$E$27,0))</f>
        <v>100</v>
      </c>
      <c r="L50" s="72">
        <f>INDEX(CaseData!$B$27:$E$35,MATCH($B50,CaseData!$B$27:$B$35,0),MATCH($C50,CaseData!$B$27:$E$27,0))</f>
        <v>100</v>
      </c>
      <c r="M50" s="72">
        <f>INDEX(CaseData!$B$27:$E$35,MATCH($B50,CaseData!$B$27:$B$35,0),MATCH($C50,CaseData!$B$27:$E$27,0))</f>
        <v>100</v>
      </c>
      <c r="N50" s="72">
        <f>INDEX(CaseData!$B$27:$E$35,MATCH($B50,CaseData!$B$27:$B$35,0),MATCH($C50,CaseData!$B$27:$E$27,0))</f>
        <v>100</v>
      </c>
      <c r="O50" s="72">
        <f>INDEX(CaseData!$B$27:$E$35,MATCH($B50,CaseData!$B$27:$B$35,0),MATCH($C50,CaseData!$B$27:$E$27,0))</f>
        <v>100</v>
      </c>
      <c r="P50" s="72">
        <f>INDEX(CaseData!$B$27:$E$35,MATCH($B50,CaseData!$B$27:$B$35,0),MATCH($C50,CaseData!$B$27:$E$27,0))</f>
        <v>100</v>
      </c>
      <c r="Q50" s="72">
        <f>INDEX(CaseData!$B$27:$E$35,MATCH($B50,CaseData!$B$27:$B$35,0),MATCH($C50,CaseData!$B$27:$E$27,0))</f>
        <v>100</v>
      </c>
      <c r="R50" s="72">
        <f>INDEX(CaseData!$B$27:$E$35,MATCH($B50,CaseData!$B$27:$B$35,0),MATCH($C50,CaseData!$B$27:$E$27,0))</f>
        <v>100</v>
      </c>
      <c r="S50" s="72">
        <f>INDEX(CaseData!$B$27:$E$35,MATCH($B50,CaseData!$B$27:$B$35,0),MATCH($C50,CaseData!$B$27:$E$27,0))</f>
        <v>100</v>
      </c>
      <c r="T50" s="72">
        <f>INDEX(CaseData!$B$27:$E$35,MATCH($B50,CaseData!$B$27:$B$35,0),MATCH($C50,CaseData!$B$27:$E$27,0))</f>
        <v>100</v>
      </c>
      <c r="U50" s="72">
        <f>INDEX(CaseData!$B$27:$E$35,MATCH($B50,CaseData!$B$27:$B$35,0),MATCH($C50,CaseData!$B$27:$E$27,0))</f>
        <v>100</v>
      </c>
      <c r="V50" s="72">
        <f>INDEX(CaseData!$B$27:$E$35,MATCH($B50,CaseData!$B$27:$B$35,0),MATCH($C50,CaseData!$B$27:$E$27,0))</f>
        <v>100</v>
      </c>
      <c r="W50" s="72">
        <f>INDEX(CaseData!$B$27:$E$35,MATCH($B50,CaseData!$B$27:$B$35,0),MATCH($C50,CaseData!$B$27:$E$27,0))</f>
        <v>100</v>
      </c>
      <c r="X50" s="72">
        <f>INDEX(CaseData!$B$27:$E$35,MATCH($B50,CaseData!$B$27:$B$35,0),MATCH($C50,CaseData!$B$27:$E$27,0))</f>
        <v>100</v>
      </c>
      <c r="Y50" s="72">
        <f>INDEX(CaseData!$B$27:$E$35,MATCH($B50,CaseData!$B$27:$B$35,0),MATCH($C50,CaseData!$B$27:$E$27,0))</f>
        <v>100</v>
      </c>
      <c r="Z50" s="72">
        <f>INDEX(CaseData!$B$27:$E$35,MATCH($B50,CaseData!$B$27:$B$35,0),MATCH($C50,CaseData!$B$27:$E$27,0))</f>
        <v>100</v>
      </c>
      <c r="AA50" s="72">
        <f>INDEX(CaseData!$B$27:$E$35,MATCH($B50,CaseData!$B$27:$B$35,0),MATCH($C50,CaseData!$B$27:$E$27,0))</f>
        <v>100</v>
      </c>
      <c r="AB50" s="72">
        <f>INDEX(CaseData!$B$27:$E$35,MATCH($B50,CaseData!$B$27:$B$35,0),MATCH($C50,CaseData!$B$27:$E$27,0))</f>
        <v>100</v>
      </c>
      <c r="AC50" s="72">
        <f>INDEX(CaseData!$B$27:$E$35,MATCH($B50,CaseData!$B$27:$B$35,0),MATCH($C50,CaseData!$B$27:$E$27,0))</f>
        <v>100</v>
      </c>
      <c r="AD50" s="72">
        <f>INDEX(CaseData!$B$27:$E$35,MATCH($B50,CaseData!$B$27:$B$35,0),MATCH($C50,CaseData!$B$27:$E$27,0))</f>
        <v>100</v>
      </c>
      <c r="AE50" s="72">
        <f>INDEX(CaseData!$B$27:$E$35,MATCH($B50,CaseData!$B$27:$B$35,0),MATCH($C50,CaseData!$B$27:$E$27,0))</f>
        <v>100</v>
      </c>
      <c r="AF50" s="72">
        <f>INDEX(CaseData!$B$27:$E$35,MATCH($B50,CaseData!$B$27:$B$35,0),MATCH($C50,CaseData!$B$27:$E$27,0))</f>
        <v>100</v>
      </c>
      <c r="AG50" s="72">
        <f>INDEX(CaseData!$B$27:$E$35,MATCH($B50,CaseData!$B$27:$B$35,0),MATCH($C50,CaseData!$B$27:$E$27,0))</f>
        <v>100</v>
      </c>
      <c r="AH50" s="72">
        <f>INDEX(CaseData!$B$27:$E$35,MATCH($B50,CaseData!$B$27:$B$35,0),MATCH($C50,CaseData!$B$27:$E$27,0))</f>
        <v>100</v>
      </c>
      <c r="AI50" s="72">
        <f>INDEX(CaseData!$B$27:$E$35,MATCH($B50,CaseData!$B$27:$B$35,0),MATCH($C50,CaseData!$B$27:$E$27,0))</f>
        <v>100</v>
      </c>
      <c r="AJ50" s="72">
        <f>INDEX(CaseData!$B$27:$E$35,MATCH($B50,CaseData!$B$27:$B$35,0),MATCH($C50,CaseData!$B$27:$E$27,0))</f>
        <v>100</v>
      </c>
      <c r="AK50" s="72">
        <f>INDEX(CaseData!$B$27:$E$35,MATCH($B50,CaseData!$B$27:$B$35,0),MATCH($C50,CaseData!$B$27:$E$27,0))</f>
        <v>100</v>
      </c>
      <c r="AL50" s="72">
        <f>INDEX(CaseData!$B$27:$E$35,MATCH($B50,CaseData!$B$27:$B$35,0),MATCH($C50,CaseData!$B$27:$E$27,0))</f>
        <v>100</v>
      </c>
      <c r="AM50" s="72">
        <f>INDEX(CaseData!$B$27:$E$35,MATCH($B50,CaseData!$B$27:$B$35,0),MATCH($C50,CaseData!$B$27:$E$27,0))</f>
        <v>100</v>
      </c>
      <c r="AN50" s="72">
        <f>INDEX(CaseData!$B$27:$E$35,MATCH($B50,CaseData!$B$27:$B$35,0),MATCH($C50,CaseData!$B$27:$E$27,0))</f>
        <v>100</v>
      </c>
      <c r="AO50" s="72">
        <f>INDEX(CaseData!$B$27:$E$35,MATCH($B50,CaseData!$B$27:$B$35,0),MATCH($C50,CaseData!$B$27:$E$27,0))</f>
        <v>100</v>
      </c>
      <c r="AP50" s="72">
        <f>INDEX(CaseData!$B$27:$E$35,MATCH($B50,CaseData!$B$27:$B$35,0),MATCH($C50,CaseData!$B$27:$E$27,0))</f>
        <v>100</v>
      </c>
      <c r="AQ50" s="72">
        <f>INDEX(CaseData!$B$27:$E$35,MATCH($B50,CaseData!$B$27:$B$35,0),MATCH($C50,CaseData!$B$27:$E$27,0))</f>
        <v>100</v>
      </c>
      <c r="AR50" s="72">
        <f>INDEX(CaseData!$B$27:$E$35,MATCH($B50,CaseData!$B$27:$B$35,0),MATCH($C50,CaseData!$B$27:$E$27,0))</f>
        <v>100</v>
      </c>
      <c r="AS50" s="72">
        <f>INDEX(CaseData!$B$27:$E$35,MATCH($B50,CaseData!$B$27:$B$35,0),MATCH($C50,CaseData!$B$27:$E$27,0))</f>
        <v>100</v>
      </c>
      <c r="AT50" s="72">
        <f>INDEX(CaseData!$B$27:$E$35,MATCH($B50,CaseData!$B$27:$B$35,0),MATCH($C50,CaseData!$B$27:$E$27,0))</f>
        <v>100</v>
      </c>
      <c r="AU50" s="72">
        <f>INDEX(CaseData!$B$27:$E$35,MATCH($B50,CaseData!$B$27:$B$35,0),MATCH($C50,CaseData!$B$27:$E$27,0))</f>
        <v>100</v>
      </c>
      <c r="AV50" s="72">
        <f>INDEX(CaseData!$B$27:$E$35,MATCH($B50,CaseData!$B$27:$B$35,0),MATCH($C50,CaseData!$B$27:$E$27,0))</f>
        <v>100</v>
      </c>
      <c r="AW50" s="72">
        <f>INDEX(CaseData!$B$27:$E$35,MATCH($B50,CaseData!$B$27:$B$35,0),MATCH($C50,CaseData!$B$27:$E$27,0))</f>
        <v>100</v>
      </c>
      <c r="AX50" s="72">
        <f>INDEX(CaseData!$B$27:$E$35,MATCH($B50,CaseData!$B$27:$B$35,0),MATCH($C50,CaseData!$B$27:$E$27,0))</f>
        <v>100</v>
      </c>
      <c r="AY50" s="72">
        <f>INDEX(CaseData!$B$27:$E$35,MATCH($B50,CaseData!$B$27:$B$35,0),MATCH($C50,CaseData!$B$27:$E$27,0))</f>
        <v>100</v>
      </c>
      <c r="AZ50" s="72">
        <f>INDEX(CaseData!$B$27:$E$35,MATCH($B50,CaseData!$B$27:$B$35,0),MATCH($C50,CaseData!$B$27:$E$27,0))</f>
        <v>100</v>
      </c>
      <c r="BA50" s="72">
        <f>INDEX(CaseData!$B$27:$E$35,MATCH($B50,CaseData!$B$27:$B$35,0),MATCH($C50,CaseData!$B$27:$E$27,0))</f>
        <v>100</v>
      </c>
      <c r="BB50" s="72">
        <f>INDEX(CaseData!$B$27:$E$35,MATCH($B50,CaseData!$B$27:$B$35,0),MATCH($C50,CaseData!$B$27:$E$27,0))</f>
        <v>100</v>
      </c>
      <c r="BC50" s="72">
        <f>INDEX(CaseData!$B$27:$E$35,MATCH($B50,CaseData!$B$27:$B$35,0),MATCH($C50,CaseData!$B$27:$E$27,0))</f>
        <v>100</v>
      </c>
      <c r="BD50" s="72">
        <f>INDEX(CaseData!$B$27:$E$35,MATCH($B50,CaseData!$B$27:$B$35,0),MATCH($C50,CaseData!$B$27:$E$27,0))</f>
        <v>100</v>
      </c>
      <c r="BE50" s="72">
        <f>INDEX(CaseData!$B$27:$E$35,MATCH($B50,CaseData!$B$27:$B$35,0),MATCH($C50,CaseData!$B$27:$E$27,0))</f>
        <v>100</v>
      </c>
      <c r="BF50" s="72">
        <f>INDEX(CaseData!$B$27:$E$35,MATCH($B50,CaseData!$B$27:$B$35,0),MATCH($C50,CaseData!$B$27:$E$27,0))</f>
        <v>100</v>
      </c>
      <c r="BG50" s="72">
        <f>INDEX(CaseData!$B$27:$E$35,MATCH($B50,CaseData!$B$27:$B$35,0),MATCH($C50,CaseData!$B$27:$E$27,0))</f>
        <v>100</v>
      </c>
      <c r="BH50" s="72">
        <f>INDEX(CaseData!$B$27:$E$35,MATCH($B50,CaseData!$B$27:$B$35,0),MATCH($C50,CaseData!$B$27:$E$27,0))</f>
        <v>100</v>
      </c>
      <c r="BI50" s="72">
        <f>INDEX(CaseData!$B$27:$E$35,MATCH($B50,CaseData!$B$27:$B$35,0),MATCH($C50,CaseData!$B$27:$E$27,0))</f>
        <v>100</v>
      </c>
      <c r="BJ50" s="72">
        <f>INDEX(CaseData!$B$27:$E$35,MATCH($B50,CaseData!$B$27:$B$35,0),MATCH($C50,CaseData!$B$27:$E$27,0))</f>
        <v>100</v>
      </c>
      <c r="BK50" s="72">
        <f>INDEX(CaseData!$B$27:$E$35,MATCH($B50,CaseData!$B$27:$B$35,0),MATCH($C50,CaseData!$B$27:$E$27,0))</f>
        <v>100</v>
      </c>
      <c r="BL50" s="72">
        <f>INDEX(CaseData!$B$27:$E$35,MATCH($B50,CaseData!$B$27:$B$35,0),MATCH($C50,CaseData!$B$27:$E$27,0))</f>
        <v>100</v>
      </c>
      <c r="BM50" s="72">
        <f>INDEX(CaseData!$B$27:$E$35,MATCH($B50,CaseData!$B$27:$B$35,0),MATCH($C50,CaseData!$B$27:$E$27,0))</f>
        <v>100</v>
      </c>
      <c r="BN50" s="72">
        <f>INDEX(CaseData!$B$27:$E$35,MATCH($B50,CaseData!$B$27:$B$35,0),MATCH($C50,CaseData!$B$27:$E$27,0))</f>
        <v>100</v>
      </c>
    </row>
    <row r="51" spans="2:66">
      <c r="B51" s="37" t="str">
        <f>CaseData!$B$32</f>
        <v>New York</v>
      </c>
      <c r="C51" t="str">
        <f t="shared" si="27"/>
        <v>Women's</v>
      </c>
      <c r="G51" s="72">
        <f>INDEX(CaseData!$B$27:$E$35,MATCH($B51,CaseData!$B$27:$B$35,0),MATCH($C51,CaseData!$B$27:$E$27,0))</f>
        <v>110</v>
      </c>
      <c r="H51" s="72">
        <f>INDEX(CaseData!$B$27:$E$35,MATCH($B51,CaseData!$B$27:$B$35,0),MATCH($C51,CaseData!$B$27:$E$27,0))</f>
        <v>110</v>
      </c>
      <c r="I51" s="72">
        <f>INDEX(CaseData!$B$27:$E$35,MATCH($B51,CaseData!$B$27:$B$35,0),MATCH($C51,CaseData!$B$27:$E$27,0))</f>
        <v>110</v>
      </c>
      <c r="J51" s="72">
        <f>INDEX(CaseData!$B$27:$E$35,MATCH($B51,CaseData!$B$27:$B$35,0),MATCH($C51,CaseData!$B$27:$E$27,0))</f>
        <v>110</v>
      </c>
      <c r="K51" s="72">
        <f>INDEX(CaseData!$B$27:$E$35,MATCH($B51,CaseData!$B$27:$B$35,0),MATCH($C51,CaseData!$B$27:$E$27,0))</f>
        <v>110</v>
      </c>
      <c r="L51" s="72">
        <f>INDEX(CaseData!$B$27:$E$35,MATCH($B51,CaseData!$B$27:$B$35,0),MATCH($C51,CaseData!$B$27:$E$27,0))</f>
        <v>110</v>
      </c>
      <c r="M51" s="72">
        <f>INDEX(CaseData!$B$27:$E$35,MATCH($B51,CaseData!$B$27:$B$35,0),MATCH($C51,CaseData!$B$27:$E$27,0))</f>
        <v>110</v>
      </c>
      <c r="N51" s="72">
        <f>INDEX(CaseData!$B$27:$E$35,MATCH($B51,CaseData!$B$27:$B$35,0),MATCH($C51,CaseData!$B$27:$E$27,0))</f>
        <v>110</v>
      </c>
      <c r="O51" s="72">
        <f>INDEX(CaseData!$B$27:$E$35,MATCH($B51,CaseData!$B$27:$B$35,0),MATCH($C51,CaseData!$B$27:$E$27,0))</f>
        <v>110</v>
      </c>
      <c r="P51" s="72">
        <f>INDEX(CaseData!$B$27:$E$35,MATCH($B51,CaseData!$B$27:$B$35,0),MATCH($C51,CaseData!$B$27:$E$27,0))</f>
        <v>110</v>
      </c>
      <c r="Q51" s="72">
        <f>INDEX(CaseData!$B$27:$E$35,MATCH($B51,CaseData!$B$27:$B$35,0),MATCH($C51,CaseData!$B$27:$E$27,0))</f>
        <v>110</v>
      </c>
      <c r="R51" s="72">
        <f>INDEX(CaseData!$B$27:$E$35,MATCH($B51,CaseData!$B$27:$B$35,0),MATCH($C51,CaseData!$B$27:$E$27,0))</f>
        <v>110</v>
      </c>
      <c r="S51" s="72">
        <f>INDEX(CaseData!$B$27:$E$35,MATCH($B51,CaseData!$B$27:$B$35,0),MATCH($C51,CaseData!$B$27:$E$27,0))</f>
        <v>110</v>
      </c>
      <c r="T51" s="72">
        <f>INDEX(CaseData!$B$27:$E$35,MATCH($B51,CaseData!$B$27:$B$35,0),MATCH($C51,CaseData!$B$27:$E$27,0))</f>
        <v>110</v>
      </c>
      <c r="U51" s="72">
        <f>INDEX(CaseData!$B$27:$E$35,MATCH($B51,CaseData!$B$27:$B$35,0),MATCH($C51,CaseData!$B$27:$E$27,0))</f>
        <v>110</v>
      </c>
      <c r="V51" s="72">
        <f>INDEX(CaseData!$B$27:$E$35,MATCH($B51,CaseData!$B$27:$B$35,0),MATCH($C51,CaseData!$B$27:$E$27,0))</f>
        <v>110</v>
      </c>
      <c r="W51" s="72">
        <f>INDEX(CaseData!$B$27:$E$35,MATCH($B51,CaseData!$B$27:$B$35,0),MATCH($C51,CaseData!$B$27:$E$27,0))</f>
        <v>110</v>
      </c>
      <c r="X51" s="72">
        <f>INDEX(CaseData!$B$27:$E$35,MATCH($B51,CaseData!$B$27:$B$35,0),MATCH($C51,CaseData!$B$27:$E$27,0))</f>
        <v>110</v>
      </c>
      <c r="Y51" s="72">
        <f>INDEX(CaseData!$B$27:$E$35,MATCH($B51,CaseData!$B$27:$B$35,0),MATCH($C51,CaseData!$B$27:$E$27,0))</f>
        <v>110</v>
      </c>
      <c r="Z51" s="72">
        <f>INDEX(CaseData!$B$27:$E$35,MATCH($B51,CaseData!$B$27:$B$35,0),MATCH($C51,CaseData!$B$27:$E$27,0))</f>
        <v>110</v>
      </c>
      <c r="AA51" s="72">
        <f>INDEX(CaseData!$B$27:$E$35,MATCH($B51,CaseData!$B$27:$B$35,0),MATCH($C51,CaseData!$B$27:$E$27,0))</f>
        <v>110</v>
      </c>
      <c r="AB51" s="72">
        <f>INDEX(CaseData!$B$27:$E$35,MATCH($B51,CaseData!$B$27:$B$35,0),MATCH($C51,CaseData!$B$27:$E$27,0))</f>
        <v>110</v>
      </c>
      <c r="AC51" s="72">
        <f>INDEX(CaseData!$B$27:$E$35,MATCH($B51,CaseData!$B$27:$B$35,0),MATCH($C51,CaseData!$B$27:$E$27,0))</f>
        <v>110</v>
      </c>
      <c r="AD51" s="72">
        <f>INDEX(CaseData!$B$27:$E$35,MATCH($B51,CaseData!$B$27:$B$35,0),MATCH($C51,CaseData!$B$27:$E$27,0))</f>
        <v>110</v>
      </c>
      <c r="AE51" s="72">
        <f>INDEX(CaseData!$B$27:$E$35,MATCH($B51,CaseData!$B$27:$B$35,0),MATCH($C51,CaseData!$B$27:$E$27,0))</f>
        <v>110</v>
      </c>
      <c r="AF51" s="72">
        <f>INDEX(CaseData!$B$27:$E$35,MATCH($B51,CaseData!$B$27:$B$35,0),MATCH($C51,CaseData!$B$27:$E$27,0))</f>
        <v>110</v>
      </c>
      <c r="AG51" s="72">
        <f>INDEX(CaseData!$B$27:$E$35,MATCH($B51,CaseData!$B$27:$B$35,0),MATCH($C51,CaseData!$B$27:$E$27,0))</f>
        <v>110</v>
      </c>
      <c r="AH51" s="72">
        <f>INDEX(CaseData!$B$27:$E$35,MATCH($B51,CaseData!$B$27:$B$35,0),MATCH($C51,CaseData!$B$27:$E$27,0))</f>
        <v>110</v>
      </c>
      <c r="AI51" s="72">
        <f>INDEX(CaseData!$B$27:$E$35,MATCH($B51,CaseData!$B$27:$B$35,0),MATCH($C51,CaseData!$B$27:$E$27,0))</f>
        <v>110</v>
      </c>
      <c r="AJ51" s="72">
        <f>INDEX(CaseData!$B$27:$E$35,MATCH($B51,CaseData!$B$27:$B$35,0),MATCH($C51,CaseData!$B$27:$E$27,0))</f>
        <v>110</v>
      </c>
      <c r="AK51" s="72">
        <f>INDEX(CaseData!$B$27:$E$35,MATCH($B51,CaseData!$B$27:$B$35,0),MATCH($C51,CaseData!$B$27:$E$27,0))</f>
        <v>110</v>
      </c>
      <c r="AL51" s="72">
        <f>INDEX(CaseData!$B$27:$E$35,MATCH($B51,CaseData!$B$27:$B$35,0),MATCH($C51,CaseData!$B$27:$E$27,0))</f>
        <v>110</v>
      </c>
      <c r="AM51" s="72">
        <f>INDEX(CaseData!$B$27:$E$35,MATCH($B51,CaseData!$B$27:$B$35,0),MATCH($C51,CaseData!$B$27:$E$27,0))</f>
        <v>110</v>
      </c>
      <c r="AN51" s="72">
        <f>INDEX(CaseData!$B$27:$E$35,MATCH($B51,CaseData!$B$27:$B$35,0),MATCH($C51,CaseData!$B$27:$E$27,0))</f>
        <v>110</v>
      </c>
      <c r="AO51" s="72">
        <f>INDEX(CaseData!$B$27:$E$35,MATCH($B51,CaseData!$B$27:$B$35,0),MATCH($C51,CaseData!$B$27:$E$27,0))</f>
        <v>110</v>
      </c>
      <c r="AP51" s="72">
        <f>INDEX(CaseData!$B$27:$E$35,MATCH($B51,CaseData!$B$27:$B$35,0),MATCH($C51,CaseData!$B$27:$E$27,0))</f>
        <v>110</v>
      </c>
      <c r="AQ51" s="72">
        <f>INDEX(CaseData!$B$27:$E$35,MATCH($B51,CaseData!$B$27:$B$35,0),MATCH($C51,CaseData!$B$27:$E$27,0))</f>
        <v>110</v>
      </c>
      <c r="AR51" s="72">
        <f>INDEX(CaseData!$B$27:$E$35,MATCH($B51,CaseData!$B$27:$B$35,0),MATCH($C51,CaseData!$B$27:$E$27,0))</f>
        <v>110</v>
      </c>
      <c r="AS51" s="72">
        <f>INDEX(CaseData!$B$27:$E$35,MATCH($B51,CaseData!$B$27:$B$35,0),MATCH($C51,CaseData!$B$27:$E$27,0))</f>
        <v>110</v>
      </c>
      <c r="AT51" s="72">
        <f>INDEX(CaseData!$B$27:$E$35,MATCH($B51,CaseData!$B$27:$B$35,0),MATCH($C51,CaseData!$B$27:$E$27,0))</f>
        <v>110</v>
      </c>
      <c r="AU51" s="72">
        <f>INDEX(CaseData!$B$27:$E$35,MATCH($B51,CaseData!$B$27:$B$35,0),MATCH($C51,CaseData!$B$27:$E$27,0))</f>
        <v>110</v>
      </c>
      <c r="AV51" s="72">
        <f>INDEX(CaseData!$B$27:$E$35,MATCH($B51,CaseData!$B$27:$B$35,0),MATCH($C51,CaseData!$B$27:$E$27,0))</f>
        <v>110</v>
      </c>
      <c r="AW51" s="72">
        <f>INDEX(CaseData!$B$27:$E$35,MATCH($B51,CaseData!$B$27:$B$35,0),MATCH($C51,CaseData!$B$27:$E$27,0))</f>
        <v>110</v>
      </c>
      <c r="AX51" s="72">
        <f>INDEX(CaseData!$B$27:$E$35,MATCH($B51,CaseData!$B$27:$B$35,0),MATCH($C51,CaseData!$B$27:$E$27,0))</f>
        <v>110</v>
      </c>
      <c r="AY51" s="72">
        <f>INDEX(CaseData!$B$27:$E$35,MATCH($B51,CaseData!$B$27:$B$35,0),MATCH($C51,CaseData!$B$27:$E$27,0))</f>
        <v>110</v>
      </c>
      <c r="AZ51" s="72">
        <f>INDEX(CaseData!$B$27:$E$35,MATCH($B51,CaseData!$B$27:$B$35,0),MATCH($C51,CaseData!$B$27:$E$27,0))</f>
        <v>110</v>
      </c>
      <c r="BA51" s="72">
        <f>INDEX(CaseData!$B$27:$E$35,MATCH($B51,CaseData!$B$27:$B$35,0),MATCH($C51,CaseData!$B$27:$E$27,0))</f>
        <v>110</v>
      </c>
      <c r="BB51" s="72">
        <f>INDEX(CaseData!$B$27:$E$35,MATCH($B51,CaseData!$B$27:$B$35,0),MATCH($C51,CaseData!$B$27:$E$27,0))</f>
        <v>110</v>
      </c>
      <c r="BC51" s="72">
        <f>INDEX(CaseData!$B$27:$E$35,MATCH($B51,CaseData!$B$27:$B$35,0),MATCH($C51,CaseData!$B$27:$E$27,0))</f>
        <v>110</v>
      </c>
      <c r="BD51" s="72">
        <f>INDEX(CaseData!$B$27:$E$35,MATCH($B51,CaseData!$B$27:$B$35,0),MATCH($C51,CaseData!$B$27:$E$27,0))</f>
        <v>110</v>
      </c>
      <c r="BE51" s="72">
        <f>INDEX(CaseData!$B$27:$E$35,MATCH($B51,CaseData!$B$27:$B$35,0),MATCH($C51,CaseData!$B$27:$E$27,0))</f>
        <v>110</v>
      </c>
      <c r="BF51" s="72">
        <f>INDEX(CaseData!$B$27:$E$35,MATCH($B51,CaseData!$B$27:$B$35,0),MATCH($C51,CaseData!$B$27:$E$27,0))</f>
        <v>110</v>
      </c>
      <c r="BG51" s="72">
        <f>INDEX(CaseData!$B$27:$E$35,MATCH($B51,CaseData!$B$27:$B$35,0),MATCH($C51,CaseData!$B$27:$E$27,0))</f>
        <v>110</v>
      </c>
      <c r="BH51" s="72">
        <f>INDEX(CaseData!$B$27:$E$35,MATCH($B51,CaseData!$B$27:$B$35,0),MATCH($C51,CaseData!$B$27:$E$27,0))</f>
        <v>110</v>
      </c>
      <c r="BI51" s="72">
        <f>INDEX(CaseData!$B$27:$E$35,MATCH($B51,CaseData!$B$27:$B$35,0),MATCH($C51,CaseData!$B$27:$E$27,0))</f>
        <v>110</v>
      </c>
      <c r="BJ51" s="72">
        <f>INDEX(CaseData!$B$27:$E$35,MATCH($B51,CaseData!$B$27:$B$35,0),MATCH($C51,CaseData!$B$27:$E$27,0))</f>
        <v>110</v>
      </c>
      <c r="BK51" s="72">
        <f>INDEX(CaseData!$B$27:$E$35,MATCH($B51,CaseData!$B$27:$B$35,0),MATCH($C51,CaseData!$B$27:$E$27,0))</f>
        <v>110</v>
      </c>
      <c r="BL51" s="72">
        <f>INDEX(CaseData!$B$27:$E$35,MATCH($B51,CaseData!$B$27:$B$35,0),MATCH($C51,CaseData!$B$27:$E$27,0))</f>
        <v>110</v>
      </c>
      <c r="BM51" s="72">
        <f>INDEX(CaseData!$B$27:$E$35,MATCH($B51,CaseData!$B$27:$B$35,0),MATCH($C51,CaseData!$B$27:$E$27,0))</f>
        <v>110</v>
      </c>
      <c r="BN51" s="72">
        <f>INDEX(CaseData!$B$27:$E$35,MATCH($B51,CaseData!$B$27:$B$35,0),MATCH($C51,CaseData!$B$27:$E$27,0))</f>
        <v>110</v>
      </c>
    </row>
    <row r="52" spans="2:66">
      <c r="B52" s="37" t="str">
        <f t="shared" si="28"/>
        <v>New York</v>
      </c>
      <c r="C52" t="str">
        <f t="shared" si="27"/>
        <v>Men's</v>
      </c>
      <c r="G52" s="72">
        <f>INDEX(CaseData!$B$27:$E$35,MATCH($B52,CaseData!$B$27:$B$35,0),MATCH($C52,CaseData!$B$27:$E$27,0))</f>
        <v>130</v>
      </c>
      <c r="H52" s="72">
        <f>INDEX(CaseData!$B$27:$E$35,MATCH($B52,CaseData!$B$27:$B$35,0),MATCH($C52,CaseData!$B$27:$E$27,0))</f>
        <v>130</v>
      </c>
      <c r="I52" s="72">
        <f>INDEX(CaseData!$B$27:$E$35,MATCH($B52,CaseData!$B$27:$B$35,0),MATCH($C52,CaseData!$B$27:$E$27,0))</f>
        <v>130</v>
      </c>
      <c r="J52" s="72">
        <f>INDEX(CaseData!$B$27:$E$35,MATCH($B52,CaseData!$B$27:$B$35,0),MATCH($C52,CaseData!$B$27:$E$27,0))</f>
        <v>130</v>
      </c>
      <c r="K52" s="72">
        <f>INDEX(CaseData!$B$27:$E$35,MATCH($B52,CaseData!$B$27:$B$35,0),MATCH($C52,CaseData!$B$27:$E$27,0))</f>
        <v>130</v>
      </c>
      <c r="L52" s="72">
        <f>INDEX(CaseData!$B$27:$E$35,MATCH($B52,CaseData!$B$27:$B$35,0),MATCH($C52,CaseData!$B$27:$E$27,0))</f>
        <v>130</v>
      </c>
      <c r="M52" s="72">
        <f>INDEX(CaseData!$B$27:$E$35,MATCH($B52,CaseData!$B$27:$B$35,0),MATCH($C52,CaseData!$B$27:$E$27,0))</f>
        <v>130</v>
      </c>
      <c r="N52" s="72">
        <f>INDEX(CaseData!$B$27:$E$35,MATCH($B52,CaseData!$B$27:$B$35,0),MATCH($C52,CaseData!$B$27:$E$27,0))</f>
        <v>130</v>
      </c>
      <c r="O52" s="72">
        <f>INDEX(CaseData!$B$27:$E$35,MATCH($B52,CaseData!$B$27:$B$35,0),MATCH($C52,CaseData!$B$27:$E$27,0))</f>
        <v>130</v>
      </c>
      <c r="P52" s="72">
        <f>INDEX(CaseData!$B$27:$E$35,MATCH($B52,CaseData!$B$27:$B$35,0),MATCH($C52,CaseData!$B$27:$E$27,0))</f>
        <v>130</v>
      </c>
      <c r="Q52" s="72">
        <f>INDEX(CaseData!$B$27:$E$35,MATCH($B52,CaseData!$B$27:$B$35,0),MATCH($C52,CaseData!$B$27:$E$27,0))</f>
        <v>130</v>
      </c>
      <c r="R52" s="72">
        <f>INDEX(CaseData!$B$27:$E$35,MATCH($B52,CaseData!$B$27:$B$35,0),MATCH($C52,CaseData!$B$27:$E$27,0))</f>
        <v>130</v>
      </c>
      <c r="S52" s="72">
        <f>INDEX(CaseData!$B$27:$E$35,MATCH($B52,CaseData!$B$27:$B$35,0),MATCH($C52,CaseData!$B$27:$E$27,0))</f>
        <v>130</v>
      </c>
      <c r="T52" s="72">
        <f>INDEX(CaseData!$B$27:$E$35,MATCH($B52,CaseData!$B$27:$B$35,0),MATCH($C52,CaseData!$B$27:$E$27,0))</f>
        <v>130</v>
      </c>
      <c r="U52" s="72">
        <f>INDEX(CaseData!$B$27:$E$35,MATCH($B52,CaseData!$B$27:$B$35,0),MATCH($C52,CaseData!$B$27:$E$27,0))</f>
        <v>130</v>
      </c>
      <c r="V52" s="72">
        <f>INDEX(CaseData!$B$27:$E$35,MATCH($B52,CaseData!$B$27:$B$35,0),MATCH($C52,CaseData!$B$27:$E$27,0))</f>
        <v>130</v>
      </c>
      <c r="W52" s="72">
        <f>INDEX(CaseData!$B$27:$E$35,MATCH($B52,CaseData!$B$27:$B$35,0),MATCH($C52,CaseData!$B$27:$E$27,0))</f>
        <v>130</v>
      </c>
      <c r="X52" s="72">
        <f>INDEX(CaseData!$B$27:$E$35,MATCH($B52,CaseData!$B$27:$B$35,0),MATCH($C52,CaseData!$B$27:$E$27,0))</f>
        <v>130</v>
      </c>
      <c r="Y52" s="72">
        <f>INDEX(CaseData!$B$27:$E$35,MATCH($B52,CaseData!$B$27:$B$35,0),MATCH($C52,CaseData!$B$27:$E$27,0))</f>
        <v>130</v>
      </c>
      <c r="Z52" s="72">
        <f>INDEX(CaseData!$B$27:$E$35,MATCH($B52,CaseData!$B$27:$B$35,0),MATCH($C52,CaseData!$B$27:$E$27,0))</f>
        <v>130</v>
      </c>
      <c r="AA52" s="72">
        <f>INDEX(CaseData!$B$27:$E$35,MATCH($B52,CaseData!$B$27:$B$35,0),MATCH($C52,CaseData!$B$27:$E$27,0))</f>
        <v>130</v>
      </c>
      <c r="AB52" s="72">
        <f>INDEX(CaseData!$B$27:$E$35,MATCH($B52,CaseData!$B$27:$B$35,0),MATCH($C52,CaseData!$B$27:$E$27,0))</f>
        <v>130</v>
      </c>
      <c r="AC52" s="72">
        <f>INDEX(CaseData!$B$27:$E$35,MATCH($B52,CaseData!$B$27:$B$35,0),MATCH($C52,CaseData!$B$27:$E$27,0))</f>
        <v>130</v>
      </c>
      <c r="AD52" s="72">
        <f>INDEX(CaseData!$B$27:$E$35,MATCH($B52,CaseData!$B$27:$B$35,0),MATCH($C52,CaseData!$B$27:$E$27,0))</f>
        <v>130</v>
      </c>
      <c r="AE52" s="72">
        <f>INDEX(CaseData!$B$27:$E$35,MATCH($B52,CaseData!$B$27:$B$35,0),MATCH($C52,CaseData!$B$27:$E$27,0))</f>
        <v>130</v>
      </c>
      <c r="AF52" s="72">
        <f>INDEX(CaseData!$B$27:$E$35,MATCH($B52,CaseData!$B$27:$B$35,0),MATCH($C52,CaseData!$B$27:$E$27,0))</f>
        <v>130</v>
      </c>
      <c r="AG52" s="72">
        <f>INDEX(CaseData!$B$27:$E$35,MATCH($B52,CaseData!$B$27:$B$35,0),MATCH($C52,CaseData!$B$27:$E$27,0))</f>
        <v>130</v>
      </c>
      <c r="AH52" s="72">
        <f>INDEX(CaseData!$B$27:$E$35,MATCH($B52,CaseData!$B$27:$B$35,0),MATCH($C52,CaseData!$B$27:$E$27,0))</f>
        <v>130</v>
      </c>
      <c r="AI52" s="72">
        <f>INDEX(CaseData!$B$27:$E$35,MATCH($B52,CaseData!$B$27:$B$35,0),MATCH($C52,CaseData!$B$27:$E$27,0))</f>
        <v>130</v>
      </c>
      <c r="AJ52" s="72">
        <f>INDEX(CaseData!$B$27:$E$35,MATCH($B52,CaseData!$B$27:$B$35,0),MATCH($C52,CaseData!$B$27:$E$27,0))</f>
        <v>130</v>
      </c>
      <c r="AK52" s="72">
        <f>INDEX(CaseData!$B$27:$E$35,MATCH($B52,CaseData!$B$27:$B$35,0),MATCH($C52,CaseData!$B$27:$E$27,0))</f>
        <v>130</v>
      </c>
      <c r="AL52" s="72">
        <f>INDEX(CaseData!$B$27:$E$35,MATCH($B52,CaseData!$B$27:$B$35,0),MATCH($C52,CaseData!$B$27:$E$27,0))</f>
        <v>130</v>
      </c>
      <c r="AM52" s="72">
        <f>INDEX(CaseData!$B$27:$E$35,MATCH($B52,CaseData!$B$27:$B$35,0),MATCH($C52,CaseData!$B$27:$E$27,0))</f>
        <v>130</v>
      </c>
      <c r="AN52" s="72">
        <f>INDEX(CaseData!$B$27:$E$35,MATCH($B52,CaseData!$B$27:$B$35,0),MATCH($C52,CaseData!$B$27:$E$27,0))</f>
        <v>130</v>
      </c>
      <c r="AO52" s="72">
        <f>INDEX(CaseData!$B$27:$E$35,MATCH($B52,CaseData!$B$27:$B$35,0),MATCH($C52,CaseData!$B$27:$E$27,0))</f>
        <v>130</v>
      </c>
      <c r="AP52" s="72">
        <f>INDEX(CaseData!$B$27:$E$35,MATCH($B52,CaseData!$B$27:$B$35,0),MATCH($C52,CaseData!$B$27:$E$27,0))</f>
        <v>130</v>
      </c>
      <c r="AQ52" s="72">
        <f>INDEX(CaseData!$B$27:$E$35,MATCH($B52,CaseData!$B$27:$B$35,0),MATCH($C52,CaseData!$B$27:$E$27,0))</f>
        <v>130</v>
      </c>
      <c r="AR52" s="72">
        <f>INDEX(CaseData!$B$27:$E$35,MATCH($B52,CaseData!$B$27:$B$35,0),MATCH($C52,CaseData!$B$27:$E$27,0))</f>
        <v>130</v>
      </c>
      <c r="AS52" s="72">
        <f>INDEX(CaseData!$B$27:$E$35,MATCH($B52,CaseData!$B$27:$B$35,0),MATCH($C52,CaseData!$B$27:$E$27,0))</f>
        <v>130</v>
      </c>
      <c r="AT52" s="72">
        <f>INDEX(CaseData!$B$27:$E$35,MATCH($B52,CaseData!$B$27:$B$35,0),MATCH($C52,CaseData!$B$27:$E$27,0))</f>
        <v>130</v>
      </c>
      <c r="AU52" s="72">
        <f>INDEX(CaseData!$B$27:$E$35,MATCH($B52,CaseData!$B$27:$B$35,0),MATCH($C52,CaseData!$B$27:$E$27,0))</f>
        <v>130</v>
      </c>
      <c r="AV52" s="72">
        <f>INDEX(CaseData!$B$27:$E$35,MATCH($B52,CaseData!$B$27:$B$35,0),MATCH($C52,CaseData!$B$27:$E$27,0))</f>
        <v>130</v>
      </c>
      <c r="AW52" s="72">
        <f>INDEX(CaseData!$B$27:$E$35,MATCH($B52,CaseData!$B$27:$B$35,0),MATCH($C52,CaseData!$B$27:$E$27,0))</f>
        <v>130</v>
      </c>
      <c r="AX52" s="72">
        <f>INDEX(CaseData!$B$27:$E$35,MATCH($B52,CaseData!$B$27:$B$35,0),MATCH($C52,CaseData!$B$27:$E$27,0))</f>
        <v>130</v>
      </c>
      <c r="AY52" s="72">
        <f>INDEX(CaseData!$B$27:$E$35,MATCH($B52,CaseData!$B$27:$B$35,0),MATCH($C52,CaseData!$B$27:$E$27,0))</f>
        <v>130</v>
      </c>
      <c r="AZ52" s="72">
        <f>INDEX(CaseData!$B$27:$E$35,MATCH($B52,CaseData!$B$27:$B$35,0),MATCH($C52,CaseData!$B$27:$E$27,0))</f>
        <v>130</v>
      </c>
      <c r="BA52" s="72">
        <f>INDEX(CaseData!$B$27:$E$35,MATCH($B52,CaseData!$B$27:$B$35,0),MATCH($C52,CaseData!$B$27:$E$27,0))</f>
        <v>130</v>
      </c>
      <c r="BB52" s="72">
        <f>INDEX(CaseData!$B$27:$E$35,MATCH($B52,CaseData!$B$27:$B$35,0),MATCH($C52,CaseData!$B$27:$E$27,0))</f>
        <v>130</v>
      </c>
      <c r="BC52" s="72">
        <f>INDEX(CaseData!$B$27:$E$35,MATCH($B52,CaseData!$B$27:$B$35,0),MATCH($C52,CaseData!$B$27:$E$27,0))</f>
        <v>130</v>
      </c>
      <c r="BD52" s="72">
        <f>INDEX(CaseData!$B$27:$E$35,MATCH($B52,CaseData!$B$27:$B$35,0),MATCH($C52,CaseData!$B$27:$E$27,0))</f>
        <v>130</v>
      </c>
      <c r="BE52" s="72">
        <f>INDEX(CaseData!$B$27:$E$35,MATCH($B52,CaseData!$B$27:$B$35,0),MATCH($C52,CaseData!$B$27:$E$27,0))</f>
        <v>130</v>
      </c>
      <c r="BF52" s="72">
        <f>INDEX(CaseData!$B$27:$E$35,MATCH($B52,CaseData!$B$27:$B$35,0),MATCH($C52,CaseData!$B$27:$E$27,0))</f>
        <v>130</v>
      </c>
      <c r="BG52" s="72">
        <f>INDEX(CaseData!$B$27:$E$35,MATCH($B52,CaseData!$B$27:$B$35,0),MATCH($C52,CaseData!$B$27:$E$27,0))</f>
        <v>130</v>
      </c>
      <c r="BH52" s="72">
        <f>INDEX(CaseData!$B$27:$E$35,MATCH($B52,CaseData!$B$27:$B$35,0),MATCH($C52,CaseData!$B$27:$E$27,0))</f>
        <v>130</v>
      </c>
      <c r="BI52" s="72">
        <f>INDEX(CaseData!$B$27:$E$35,MATCH($B52,CaseData!$B$27:$B$35,0),MATCH($C52,CaseData!$B$27:$E$27,0))</f>
        <v>130</v>
      </c>
      <c r="BJ52" s="72">
        <f>INDEX(CaseData!$B$27:$E$35,MATCH($B52,CaseData!$B$27:$B$35,0),MATCH($C52,CaseData!$B$27:$E$27,0))</f>
        <v>130</v>
      </c>
      <c r="BK52" s="72">
        <f>INDEX(CaseData!$B$27:$E$35,MATCH($B52,CaseData!$B$27:$B$35,0),MATCH($C52,CaseData!$B$27:$E$27,0))</f>
        <v>130</v>
      </c>
      <c r="BL52" s="72">
        <f>INDEX(CaseData!$B$27:$E$35,MATCH($B52,CaseData!$B$27:$B$35,0),MATCH($C52,CaseData!$B$27:$E$27,0))</f>
        <v>130</v>
      </c>
      <c r="BM52" s="72">
        <f>INDEX(CaseData!$B$27:$E$35,MATCH($B52,CaseData!$B$27:$B$35,0),MATCH($C52,CaseData!$B$27:$E$27,0))</f>
        <v>130</v>
      </c>
      <c r="BN52" s="72">
        <f>INDEX(CaseData!$B$27:$E$35,MATCH($B52,CaseData!$B$27:$B$35,0),MATCH($C52,CaseData!$B$27:$E$27,0))</f>
        <v>130</v>
      </c>
    </row>
    <row r="53" spans="2:66">
      <c r="B53" s="37" t="str">
        <f t="shared" si="28"/>
        <v>New York</v>
      </c>
      <c r="C53" t="str">
        <f t="shared" si="27"/>
        <v>Accessories</v>
      </c>
      <c r="G53" s="72">
        <f>INDEX(CaseData!$B$27:$E$35,MATCH($B53,CaseData!$B$27:$B$35,0),MATCH($C53,CaseData!$B$27:$E$27,0))</f>
        <v>100</v>
      </c>
      <c r="H53" s="72">
        <f>INDEX(CaseData!$B$27:$E$35,MATCH($B53,CaseData!$B$27:$B$35,0),MATCH($C53,CaseData!$B$27:$E$27,0))</f>
        <v>100</v>
      </c>
      <c r="I53" s="72">
        <f>INDEX(CaseData!$B$27:$E$35,MATCH($B53,CaseData!$B$27:$B$35,0),MATCH($C53,CaseData!$B$27:$E$27,0))</f>
        <v>100</v>
      </c>
      <c r="J53" s="72">
        <f>INDEX(CaseData!$B$27:$E$35,MATCH($B53,CaseData!$B$27:$B$35,0),MATCH($C53,CaseData!$B$27:$E$27,0))</f>
        <v>100</v>
      </c>
      <c r="K53" s="72">
        <f>INDEX(CaseData!$B$27:$E$35,MATCH($B53,CaseData!$B$27:$B$35,0),MATCH($C53,CaseData!$B$27:$E$27,0))</f>
        <v>100</v>
      </c>
      <c r="L53" s="72">
        <f>INDEX(CaseData!$B$27:$E$35,MATCH($B53,CaseData!$B$27:$B$35,0),MATCH($C53,CaseData!$B$27:$E$27,0))</f>
        <v>100</v>
      </c>
      <c r="M53" s="72">
        <f>INDEX(CaseData!$B$27:$E$35,MATCH($B53,CaseData!$B$27:$B$35,0),MATCH($C53,CaseData!$B$27:$E$27,0))</f>
        <v>100</v>
      </c>
      <c r="N53" s="72">
        <f>INDEX(CaseData!$B$27:$E$35,MATCH($B53,CaseData!$B$27:$B$35,0),MATCH($C53,CaseData!$B$27:$E$27,0))</f>
        <v>100</v>
      </c>
      <c r="O53" s="72">
        <f>INDEX(CaseData!$B$27:$E$35,MATCH($B53,CaseData!$B$27:$B$35,0),MATCH($C53,CaseData!$B$27:$E$27,0))</f>
        <v>100</v>
      </c>
      <c r="P53" s="72">
        <f>INDEX(CaseData!$B$27:$E$35,MATCH($B53,CaseData!$B$27:$B$35,0),MATCH($C53,CaseData!$B$27:$E$27,0))</f>
        <v>100</v>
      </c>
      <c r="Q53" s="72">
        <f>INDEX(CaseData!$B$27:$E$35,MATCH($B53,CaseData!$B$27:$B$35,0),MATCH($C53,CaseData!$B$27:$E$27,0))</f>
        <v>100</v>
      </c>
      <c r="R53" s="72">
        <f>INDEX(CaseData!$B$27:$E$35,MATCH($B53,CaseData!$B$27:$B$35,0),MATCH($C53,CaseData!$B$27:$E$27,0))</f>
        <v>100</v>
      </c>
      <c r="S53" s="72">
        <f>INDEX(CaseData!$B$27:$E$35,MATCH($B53,CaseData!$B$27:$B$35,0),MATCH($C53,CaseData!$B$27:$E$27,0))</f>
        <v>100</v>
      </c>
      <c r="T53" s="72">
        <f>INDEX(CaseData!$B$27:$E$35,MATCH($B53,CaseData!$B$27:$B$35,0),MATCH($C53,CaseData!$B$27:$E$27,0))</f>
        <v>100</v>
      </c>
      <c r="U53" s="72">
        <f>INDEX(CaseData!$B$27:$E$35,MATCH($B53,CaseData!$B$27:$B$35,0),MATCH($C53,CaseData!$B$27:$E$27,0))</f>
        <v>100</v>
      </c>
      <c r="V53" s="72">
        <f>INDEX(CaseData!$B$27:$E$35,MATCH($B53,CaseData!$B$27:$B$35,0),MATCH($C53,CaseData!$B$27:$E$27,0))</f>
        <v>100</v>
      </c>
      <c r="W53" s="72">
        <f>INDEX(CaseData!$B$27:$E$35,MATCH($B53,CaseData!$B$27:$B$35,0),MATCH($C53,CaseData!$B$27:$E$27,0))</f>
        <v>100</v>
      </c>
      <c r="X53" s="72">
        <f>INDEX(CaseData!$B$27:$E$35,MATCH($B53,CaseData!$B$27:$B$35,0),MATCH($C53,CaseData!$B$27:$E$27,0))</f>
        <v>100</v>
      </c>
      <c r="Y53" s="72">
        <f>INDEX(CaseData!$B$27:$E$35,MATCH($B53,CaseData!$B$27:$B$35,0),MATCH($C53,CaseData!$B$27:$E$27,0))</f>
        <v>100</v>
      </c>
      <c r="Z53" s="72">
        <f>INDEX(CaseData!$B$27:$E$35,MATCH($B53,CaseData!$B$27:$B$35,0),MATCH($C53,CaseData!$B$27:$E$27,0))</f>
        <v>100</v>
      </c>
      <c r="AA53" s="72">
        <f>INDEX(CaseData!$B$27:$E$35,MATCH($B53,CaseData!$B$27:$B$35,0),MATCH($C53,CaseData!$B$27:$E$27,0))</f>
        <v>100</v>
      </c>
      <c r="AB53" s="72">
        <f>INDEX(CaseData!$B$27:$E$35,MATCH($B53,CaseData!$B$27:$B$35,0),MATCH($C53,CaseData!$B$27:$E$27,0))</f>
        <v>100</v>
      </c>
      <c r="AC53" s="72">
        <f>INDEX(CaseData!$B$27:$E$35,MATCH($B53,CaseData!$B$27:$B$35,0),MATCH($C53,CaseData!$B$27:$E$27,0))</f>
        <v>100</v>
      </c>
      <c r="AD53" s="72">
        <f>INDEX(CaseData!$B$27:$E$35,MATCH($B53,CaseData!$B$27:$B$35,0),MATCH($C53,CaseData!$B$27:$E$27,0))</f>
        <v>100</v>
      </c>
      <c r="AE53" s="72">
        <f>INDEX(CaseData!$B$27:$E$35,MATCH($B53,CaseData!$B$27:$B$35,0),MATCH($C53,CaseData!$B$27:$E$27,0))</f>
        <v>100</v>
      </c>
      <c r="AF53" s="72">
        <f>INDEX(CaseData!$B$27:$E$35,MATCH($B53,CaseData!$B$27:$B$35,0),MATCH($C53,CaseData!$B$27:$E$27,0))</f>
        <v>100</v>
      </c>
      <c r="AG53" s="72">
        <f>INDEX(CaseData!$B$27:$E$35,MATCH($B53,CaseData!$B$27:$B$35,0),MATCH($C53,CaseData!$B$27:$E$27,0))</f>
        <v>100</v>
      </c>
      <c r="AH53" s="72">
        <f>INDEX(CaseData!$B$27:$E$35,MATCH($B53,CaseData!$B$27:$B$35,0),MATCH($C53,CaseData!$B$27:$E$27,0))</f>
        <v>100</v>
      </c>
      <c r="AI53" s="72">
        <f>INDEX(CaseData!$B$27:$E$35,MATCH($B53,CaseData!$B$27:$B$35,0),MATCH($C53,CaseData!$B$27:$E$27,0))</f>
        <v>100</v>
      </c>
      <c r="AJ53" s="72">
        <f>INDEX(CaseData!$B$27:$E$35,MATCH($B53,CaseData!$B$27:$B$35,0),MATCH($C53,CaseData!$B$27:$E$27,0))</f>
        <v>100</v>
      </c>
      <c r="AK53" s="72">
        <f>INDEX(CaseData!$B$27:$E$35,MATCH($B53,CaseData!$B$27:$B$35,0),MATCH($C53,CaseData!$B$27:$E$27,0))</f>
        <v>100</v>
      </c>
      <c r="AL53" s="72">
        <f>INDEX(CaseData!$B$27:$E$35,MATCH($B53,CaseData!$B$27:$B$35,0),MATCH($C53,CaseData!$B$27:$E$27,0))</f>
        <v>100</v>
      </c>
      <c r="AM53" s="72">
        <f>INDEX(CaseData!$B$27:$E$35,MATCH($B53,CaseData!$B$27:$B$35,0),MATCH($C53,CaseData!$B$27:$E$27,0))</f>
        <v>100</v>
      </c>
      <c r="AN53" s="72">
        <f>INDEX(CaseData!$B$27:$E$35,MATCH($B53,CaseData!$B$27:$B$35,0),MATCH($C53,CaseData!$B$27:$E$27,0))</f>
        <v>100</v>
      </c>
      <c r="AO53" s="72">
        <f>INDEX(CaseData!$B$27:$E$35,MATCH($B53,CaseData!$B$27:$B$35,0),MATCH($C53,CaseData!$B$27:$E$27,0))</f>
        <v>100</v>
      </c>
      <c r="AP53" s="72">
        <f>INDEX(CaseData!$B$27:$E$35,MATCH($B53,CaseData!$B$27:$B$35,0),MATCH($C53,CaseData!$B$27:$E$27,0))</f>
        <v>100</v>
      </c>
      <c r="AQ53" s="72">
        <f>INDEX(CaseData!$B$27:$E$35,MATCH($B53,CaseData!$B$27:$B$35,0),MATCH($C53,CaseData!$B$27:$E$27,0))</f>
        <v>100</v>
      </c>
      <c r="AR53" s="72">
        <f>INDEX(CaseData!$B$27:$E$35,MATCH($B53,CaseData!$B$27:$B$35,0),MATCH($C53,CaseData!$B$27:$E$27,0))</f>
        <v>100</v>
      </c>
      <c r="AS53" s="72">
        <f>INDEX(CaseData!$B$27:$E$35,MATCH($B53,CaseData!$B$27:$B$35,0),MATCH($C53,CaseData!$B$27:$E$27,0))</f>
        <v>100</v>
      </c>
      <c r="AT53" s="72">
        <f>INDEX(CaseData!$B$27:$E$35,MATCH($B53,CaseData!$B$27:$B$35,0),MATCH($C53,CaseData!$B$27:$E$27,0))</f>
        <v>100</v>
      </c>
      <c r="AU53" s="72">
        <f>INDEX(CaseData!$B$27:$E$35,MATCH($B53,CaseData!$B$27:$B$35,0),MATCH($C53,CaseData!$B$27:$E$27,0))</f>
        <v>100</v>
      </c>
      <c r="AV53" s="72">
        <f>INDEX(CaseData!$B$27:$E$35,MATCH($B53,CaseData!$B$27:$B$35,0),MATCH($C53,CaseData!$B$27:$E$27,0))</f>
        <v>100</v>
      </c>
      <c r="AW53" s="72">
        <f>INDEX(CaseData!$B$27:$E$35,MATCH($B53,CaseData!$B$27:$B$35,0),MATCH($C53,CaseData!$B$27:$E$27,0))</f>
        <v>100</v>
      </c>
      <c r="AX53" s="72">
        <f>INDEX(CaseData!$B$27:$E$35,MATCH($B53,CaseData!$B$27:$B$35,0),MATCH($C53,CaseData!$B$27:$E$27,0))</f>
        <v>100</v>
      </c>
      <c r="AY53" s="72">
        <f>INDEX(CaseData!$B$27:$E$35,MATCH($B53,CaseData!$B$27:$B$35,0),MATCH($C53,CaseData!$B$27:$E$27,0))</f>
        <v>100</v>
      </c>
      <c r="AZ53" s="72">
        <f>INDEX(CaseData!$B$27:$E$35,MATCH($B53,CaseData!$B$27:$B$35,0),MATCH($C53,CaseData!$B$27:$E$27,0))</f>
        <v>100</v>
      </c>
      <c r="BA53" s="72">
        <f>INDEX(CaseData!$B$27:$E$35,MATCH($B53,CaseData!$B$27:$B$35,0),MATCH($C53,CaseData!$B$27:$E$27,0))</f>
        <v>100</v>
      </c>
      <c r="BB53" s="72">
        <f>INDEX(CaseData!$B$27:$E$35,MATCH($B53,CaseData!$B$27:$B$35,0),MATCH($C53,CaseData!$B$27:$E$27,0))</f>
        <v>100</v>
      </c>
      <c r="BC53" s="72">
        <f>INDEX(CaseData!$B$27:$E$35,MATCH($B53,CaseData!$B$27:$B$35,0),MATCH($C53,CaseData!$B$27:$E$27,0))</f>
        <v>100</v>
      </c>
      <c r="BD53" s="72">
        <f>INDEX(CaseData!$B$27:$E$35,MATCH($B53,CaseData!$B$27:$B$35,0),MATCH($C53,CaseData!$B$27:$E$27,0))</f>
        <v>100</v>
      </c>
      <c r="BE53" s="72">
        <f>INDEX(CaseData!$B$27:$E$35,MATCH($B53,CaseData!$B$27:$B$35,0),MATCH($C53,CaseData!$B$27:$E$27,0))</f>
        <v>100</v>
      </c>
      <c r="BF53" s="72">
        <f>INDEX(CaseData!$B$27:$E$35,MATCH($B53,CaseData!$B$27:$B$35,0),MATCH($C53,CaseData!$B$27:$E$27,0))</f>
        <v>100</v>
      </c>
      <c r="BG53" s="72">
        <f>INDEX(CaseData!$B$27:$E$35,MATCH($B53,CaseData!$B$27:$B$35,0),MATCH($C53,CaseData!$B$27:$E$27,0))</f>
        <v>100</v>
      </c>
      <c r="BH53" s="72">
        <f>INDEX(CaseData!$B$27:$E$35,MATCH($B53,CaseData!$B$27:$B$35,0),MATCH($C53,CaseData!$B$27:$E$27,0))</f>
        <v>100</v>
      </c>
      <c r="BI53" s="72">
        <f>INDEX(CaseData!$B$27:$E$35,MATCH($B53,CaseData!$B$27:$B$35,0),MATCH($C53,CaseData!$B$27:$E$27,0))</f>
        <v>100</v>
      </c>
      <c r="BJ53" s="72">
        <f>INDEX(CaseData!$B$27:$E$35,MATCH($B53,CaseData!$B$27:$B$35,0),MATCH($C53,CaseData!$B$27:$E$27,0))</f>
        <v>100</v>
      </c>
      <c r="BK53" s="72">
        <f>INDEX(CaseData!$B$27:$E$35,MATCH($B53,CaseData!$B$27:$B$35,0),MATCH($C53,CaseData!$B$27:$E$27,0))</f>
        <v>100</v>
      </c>
      <c r="BL53" s="72">
        <f>INDEX(CaseData!$B$27:$E$35,MATCH($B53,CaseData!$B$27:$B$35,0),MATCH($C53,CaseData!$B$27:$E$27,0))</f>
        <v>100</v>
      </c>
      <c r="BM53" s="72">
        <f>INDEX(CaseData!$B$27:$E$35,MATCH($B53,CaseData!$B$27:$B$35,0),MATCH($C53,CaseData!$B$27:$E$27,0))</f>
        <v>100</v>
      </c>
      <c r="BN53" s="72">
        <f>INDEX(CaseData!$B$27:$E$35,MATCH($B53,CaseData!$B$27:$B$35,0),MATCH($C53,CaseData!$B$27:$E$27,0))</f>
        <v>100</v>
      </c>
    </row>
    <row r="54" spans="2:66">
      <c r="B54" s="37" t="str">
        <f>CaseData!$B$33</f>
        <v>Montreal</v>
      </c>
      <c r="C54" t="str">
        <f t="shared" si="27"/>
        <v>Women's</v>
      </c>
      <c r="G54" s="72">
        <f>INDEX(CaseData!$B$27:$E$35,MATCH($B54,CaseData!$B$27:$B$35,0),MATCH($C54,CaseData!$B$27:$E$27,0))</f>
        <v>180</v>
      </c>
      <c r="H54" s="72">
        <f>INDEX(CaseData!$B$27:$E$35,MATCH($B54,CaseData!$B$27:$B$35,0),MATCH($C54,CaseData!$B$27:$E$27,0))</f>
        <v>180</v>
      </c>
      <c r="I54" s="72">
        <f>INDEX(CaseData!$B$27:$E$35,MATCH($B54,CaseData!$B$27:$B$35,0),MATCH($C54,CaseData!$B$27:$E$27,0))</f>
        <v>180</v>
      </c>
      <c r="J54" s="72">
        <f>INDEX(CaseData!$B$27:$E$35,MATCH($B54,CaseData!$B$27:$B$35,0),MATCH($C54,CaseData!$B$27:$E$27,0))</f>
        <v>180</v>
      </c>
      <c r="K54" s="72">
        <f>INDEX(CaseData!$B$27:$E$35,MATCH($B54,CaseData!$B$27:$B$35,0),MATCH($C54,CaseData!$B$27:$E$27,0))</f>
        <v>180</v>
      </c>
      <c r="L54" s="72">
        <f>INDEX(CaseData!$B$27:$E$35,MATCH($B54,CaseData!$B$27:$B$35,0),MATCH($C54,CaseData!$B$27:$E$27,0))</f>
        <v>180</v>
      </c>
      <c r="M54" s="72">
        <f>INDEX(CaseData!$B$27:$E$35,MATCH($B54,CaseData!$B$27:$B$35,0),MATCH($C54,CaseData!$B$27:$E$27,0))</f>
        <v>180</v>
      </c>
      <c r="N54" s="72">
        <f>INDEX(CaseData!$B$27:$E$35,MATCH($B54,CaseData!$B$27:$B$35,0),MATCH($C54,CaseData!$B$27:$E$27,0))</f>
        <v>180</v>
      </c>
      <c r="O54" s="72">
        <f>INDEX(CaseData!$B$27:$E$35,MATCH($B54,CaseData!$B$27:$B$35,0),MATCH($C54,CaseData!$B$27:$E$27,0))</f>
        <v>180</v>
      </c>
      <c r="P54" s="72">
        <f>INDEX(CaseData!$B$27:$E$35,MATCH($B54,CaseData!$B$27:$B$35,0),MATCH($C54,CaseData!$B$27:$E$27,0))</f>
        <v>180</v>
      </c>
      <c r="Q54" s="72">
        <f>INDEX(CaseData!$B$27:$E$35,MATCH($B54,CaseData!$B$27:$B$35,0),MATCH($C54,CaseData!$B$27:$E$27,0))</f>
        <v>180</v>
      </c>
      <c r="R54" s="72">
        <f>INDEX(CaseData!$B$27:$E$35,MATCH($B54,CaseData!$B$27:$B$35,0),MATCH($C54,CaseData!$B$27:$E$27,0))</f>
        <v>180</v>
      </c>
      <c r="S54" s="72">
        <f>INDEX(CaseData!$B$27:$E$35,MATCH($B54,CaseData!$B$27:$B$35,0),MATCH($C54,CaseData!$B$27:$E$27,0))</f>
        <v>180</v>
      </c>
      <c r="T54" s="72">
        <f>INDEX(CaseData!$B$27:$E$35,MATCH($B54,CaseData!$B$27:$B$35,0),MATCH($C54,CaseData!$B$27:$E$27,0))</f>
        <v>180</v>
      </c>
      <c r="U54" s="72">
        <f>INDEX(CaseData!$B$27:$E$35,MATCH($B54,CaseData!$B$27:$B$35,0),MATCH($C54,CaseData!$B$27:$E$27,0))</f>
        <v>180</v>
      </c>
      <c r="V54" s="72">
        <f>INDEX(CaseData!$B$27:$E$35,MATCH($B54,CaseData!$B$27:$B$35,0),MATCH($C54,CaseData!$B$27:$E$27,0))</f>
        <v>180</v>
      </c>
      <c r="W54" s="72">
        <f>INDEX(CaseData!$B$27:$E$35,MATCH($B54,CaseData!$B$27:$B$35,0),MATCH($C54,CaseData!$B$27:$E$27,0))</f>
        <v>180</v>
      </c>
      <c r="X54" s="72">
        <f>INDEX(CaseData!$B$27:$E$35,MATCH($B54,CaseData!$B$27:$B$35,0),MATCH($C54,CaseData!$B$27:$E$27,0))</f>
        <v>180</v>
      </c>
      <c r="Y54" s="72">
        <f>INDEX(CaseData!$B$27:$E$35,MATCH($B54,CaseData!$B$27:$B$35,0),MATCH($C54,CaseData!$B$27:$E$27,0))</f>
        <v>180</v>
      </c>
      <c r="Z54" s="72">
        <f>INDEX(CaseData!$B$27:$E$35,MATCH($B54,CaseData!$B$27:$B$35,0),MATCH($C54,CaseData!$B$27:$E$27,0))</f>
        <v>180</v>
      </c>
      <c r="AA54" s="72">
        <f>INDEX(CaseData!$B$27:$E$35,MATCH($B54,CaseData!$B$27:$B$35,0),MATCH($C54,CaseData!$B$27:$E$27,0))</f>
        <v>180</v>
      </c>
      <c r="AB54" s="72">
        <f>INDEX(CaseData!$B$27:$E$35,MATCH($B54,CaseData!$B$27:$B$35,0),MATCH($C54,CaseData!$B$27:$E$27,0))</f>
        <v>180</v>
      </c>
      <c r="AC54" s="72">
        <f>INDEX(CaseData!$B$27:$E$35,MATCH($B54,CaseData!$B$27:$B$35,0),MATCH($C54,CaseData!$B$27:$E$27,0))</f>
        <v>180</v>
      </c>
      <c r="AD54" s="72">
        <f>INDEX(CaseData!$B$27:$E$35,MATCH($B54,CaseData!$B$27:$B$35,0),MATCH($C54,CaseData!$B$27:$E$27,0))</f>
        <v>180</v>
      </c>
      <c r="AE54" s="72">
        <f>INDEX(CaseData!$B$27:$E$35,MATCH($B54,CaseData!$B$27:$B$35,0),MATCH($C54,CaseData!$B$27:$E$27,0))</f>
        <v>180</v>
      </c>
      <c r="AF54" s="72">
        <f>INDEX(CaseData!$B$27:$E$35,MATCH($B54,CaseData!$B$27:$B$35,0),MATCH($C54,CaseData!$B$27:$E$27,0))</f>
        <v>180</v>
      </c>
      <c r="AG54" s="72">
        <f>INDEX(CaseData!$B$27:$E$35,MATCH($B54,CaseData!$B$27:$B$35,0),MATCH($C54,CaseData!$B$27:$E$27,0))</f>
        <v>180</v>
      </c>
      <c r="AH54" s="72">
        <f>INDEX(CaseData!$B$27:$E$35,MATCH($B54,CaseData!$B$27:$B$35,0),MATCH($C54,CaseData!$B$27:$E$27,0))</f>
        <v>180</v>
      </c>
      <c r="AI54" s="72">
        <f>INDEX(CaseData!$B$27:$E$35,MATCH($B54,CaseData!$B$27:$B$35,0),MATCH($C54,CaseData!$B$27:$E$27,0))</f>
        <v>180</v>
      </c>
      <c r="AJ54" s="72">
        <f>INDEX(CaseData!$B$27:$E$35,MATCH($B54,CaseData!$B$27:$B$35,0),MATCH($C54,CaseData!$B$27:$E$27,0))</f>
        <v>180</v>
      </c>
      <c r="AK54" s="72">
        <f>INDEX(CaseData!$B$27:$E$35,MATCH($B54,CaseData!$B$27:$B$35,0),MATCH($C54,CaseData!$B$27:$E$27,0))</f>
        <v>180</v>
      </c>
      <c r="AL54" s="72">
        <f>INDEX(CaseData!$B$27:$E$35,MATCH($B54,CaseData!$B$27:$B$35,0),MATCH($C54,CaseData!$B$27:$E$27,0))</f>
        <v>180</v>
      </c>
      <c r="AM54" s="72">
        <f>INDEX(CaseData!$B$27:$E$35,MATCH($B54,CaseData!$B$27:$B$35,0),MATCH($C54,CaseData!$B$27:$E$27,0))</f>
        <v>180</v>
      </c>
      <c r="AN54" s="72">
        <f>INDEX(CaseData!$B$27:$E$35,MATCH($B54,CaseData!$B$27:$B$35,0),MATCH($C54,CaseData!$B$27:$E$27,0))</f>
        <v>180</v>
      </c>
      <c r="AO54" s="72">
        <f>INDEX(CaseData!$B$27:$E$35,MATCH($B54,CaseData!$B$27:$B$35,0),MATCH($C54,CaseData!$B$27:$E$27,0))</f>
        <v>180</v>
      </c>
      <c r="AP54" s="72">
        <f>INDEX(CaseData!$B$27:$E$35,MATCH($B54,CaseData!$B$27:$B$35,0),MATCH($C54,CaseData!$B$27:$E$27,0))</f>
        <v>180</v>
      </c>
      <c r="AQ54" s="72">
        <f>INDEX(CaseData!$B$27:$E$35,MATCH($B54,CaseData!$B$27:$B$35,0),MATCH($C54,CaseData!$B$27:$E$27,0))</f>
        <v>180</v>
      </c>
      <c r="AR54" s="72">
        <f>INDEX(CaseData!$B$27:$E$35,MATCH($B54,CaseData!$B$27:$B$35,0),MATCH($C54,CaseData!$B$27:$E$27,0))</f>
        <v>180</v>
      </c>
      <c r="AS54" s="72">
        <f>INDEX(CaseData!$B$27:$E$35,MATCH($B54,CaseData!$B$27:$B$35,0),MATCH($C54,CaseData!$B$27:$E$27,0))</f>
        <v>180</v>
      </c>
      <c r="AT54" s="72">
        <f>INDEX(CaseData!$B$27:$E$35,MATCH($B54,CaseData!$B$27:$B$35,0),MATCH($C54,CaseData!$B$27:$E$27,0))</f>
        <v>180</v>
      </c>
      <c r="AU54" s="72">
        <f>INDEX(CaseData!$B$27:$E$35,MATCH($B54,CaseData!$B$27:$B$35,0),MATCH($C54,CaseData!$B$27:$E$27,0))</f>
        <v>180</v>
      </c>
      <c r="AV54" s="72">
        <f>INDEX(CaseData!$B$27:$E$35,MATCH($B54,CaseData!$B$27:$B$35,0),MATCH($C54,CaseData!$B$27:$E$27,0))</f>
        <v>180</v>
      </c>
      <c r="AW54" s="72">
        <f>INDEX(CaseData!$B$27:$E$35,MATCH($B54,CaseData!$B$27:$B$35,0),MATCH($C54,CaseData!$B$27:$E$27,0))</f>
        <v>180</v>
      </c>
      <c r="AX54" s="72">
        <f>INDEX(CaseData!$B$27:$E$35,MATCH($B54,CaseData!$B$27:$B$35,0),MATCH($C54,CaseData!$B$27:$E$27,0))</f>
        <v>180</v>
      </c>
      <c r="AY54" s="72">
        <f>INDEX(CaseData!$B$27:$E$35,MATCH($B54,CaseData!$B$27:$B$35,0),MATCH($C54,CaseData!$B$27:$E$27,0))</f>
        <v>180</v>
      </c>
      <c r="AZ54" s="72">
        <f>INDEX(CaseData!$B$27:$E$35,MATCH($B54,CaseData!$B$27:$B$35,0),MATCH($C54,CaseData!$B$27:$E$27,0))</f>
        <v>180</v>
      </c>
      <c r="BA54" s="72">
        <f>INDEX(CaseData!$B$27:$E$35,MATCH($B54,CaseData!$B$27:$B$35,0),MATCH($C54,CaseData!$B$27:$E$27,0))</f>
        <v>180</v>
      </c>
      <c r="BB54" s="72">
        <f>INDEX(CaseData!$B$27:$E$35,MATCH($B54,CaseData!$B$27:$B$35,0),MATCH($C54,CaseData!$B$27:$E$27,0))</f>
        <v>180</v>
      </c>
      <c r="BC54" s="72">
        <f>INDEX(CaseData!$B$27:$E$35,MATCH($B54,CaseData!$B$27:$B$35,0),MATCH($C54,CaseData!$B$27:$E$27,0))</f>
        <v>180</v>
      </c>
      <c r="BD54" s="72">
        <f>INDEX(CaseData!$B$27:$E$35,MATCH($B54,CaseData!$B$27:$B$35,0),MATCH($C54,CaseData!$B$27:$E$27,0))</f>
        <v>180</v>
      </c>
      <c r="BE54" s="72">
        <f>INDEX(CaseData!$B$27:$E$35,MATCH($B54,CaseData!$B$27:$B$35,0),MATCH($C54,CaseData!$B$27:$E$27,0))</f>
        <v>180</v>
      </c>
      <c r="BF54" s="72">
        <f>INDEX(CaseData!$B$27:$E$35,MATCH($B54,CaseData!$B$27:$B$35,0),MATCH($C54,CaseData!$B$27:$E$27,0))</f>
        <v>180</v>
      </c>
      <c r="BG54" s="72">
        <f>INDEX(CaseData!$B$27:$E$35,MATCH($B54,CaseData!$B$27:$B$35,0),MATCH($C54,CaseData!$B$27:$E$27,0))</f>
        <v>180</v>
      </c>
      <c r="BH54" s="72">
        <f>INDEX(CaseData!$B$27:$E$35,MATCH($B54,CaseData!$B$27:$B$35,0),MATCH($C54,CaseData!$B$27:$E$27,0))</f>
        <v>180</v>
      </c>
      <c r="BI54" s="72">
        <f>INDEX(CaseData!$B$27:$E$35,MATCH($B54,CaseData!$B$27:$B$35,0),MATCH($C54,CaseData!$B$27:$E$27,0))</f>
        <v>180</v>
      </c>
      <c r="BJ54" s="72">
        <f>INDEX(CaseData!$B$27:$E$35,MATCH($B54,CaseData!$B$27:$B$35,0),MATCH($C54,CaseData!$B$27:$E$27,0))</f>
        <v>180</v>
      </c>
      <c r="BK54" s="72">
        <f>INDEX(CaseData!$B$27:$E$35,MATCH($B54,CaseData!$B$27:$B$35,0),MATCH($C54,CaseData!$B$27:$E$27,0))</f>
        <v>180</v>
      </c>
      <c r="BL54" s="72">
        <f>INDEX(CaseData!$B$27:$E$35,MATCH($B54,CaseData!$B$27:$B$35,0),MATCH($C54,CaseData!$B$27:$E$27,0))</f>
        <v>180</v>
      </c>
      <c r="BM54" s="72">
        <f>INDEX(CaseData!$B$27:$E$35,MATCH($B54,CaseData!$B$27:$B$35,0),MATCH($C54,CaseData!$B$27:$E$27,0))</f>
        <v>180</v>
      </c>
      <c r="BN54" s="72">
        <f>INDEX(CaseData!$B$27:$E$35,MATCH($B54,CaseData!$B$27:$B$35,0),MATCH($C54,CaseData!$B$27:$E$27,0))</f>
        <v>180</v>
      </c>
    </row>
    <row r="55" spans="2:66">
      <c r="B55" s="37" t="str">
        <f>B54</f>
        <v>Montreal</v>
      </c>
      <c r="C55" t="str">
        <f t="shared" si="27"/>
        <v>Men's</v>
      </c>
      <c r="G55" s="72">
        <f>INDEX(CaseData!$B$27:$E$35,MATCH($B55,CaseData!$B$27:$B$35,0),MATCH($C55,CaseData!$B$27:$E$27,0))</f>
        <v>170</v>
      </c>
      <c r="H55" s="72">
        <f>INDEX(CaseData!$B$27:$E$35,MATCH($B55,CaseData!$B$27:$B$35,0),MATCH($C55,CaseData!$B$27:$E$27,0))</f>
        <v>170</v>
      </c>
      <c r="I55" s="72">
        <f>INDEX(CaseData!$B$27:$E$35,MATCH($B55,CaseData!$B$27:$B$35,0),MATCH($C55,CaseData!$B$27:$E$27,0))</f>
        <v>170</v>
      </c>
      <c r="J55" s="72">
        <f>INDEX(CaseData!$B$27:$E$35,MATCH($B55,CaseData!$B$27:$B$35,0),MATCH($C55,CaseData!$B$27:$E$27,0))</f>
        <v>170</v>
      </c>
      <c r="K55" s="72">
        <f>INDEX(CaseData!$B$27:$E$35,MATCH($B55,CaseData!$B$27:$B$35,0),MATCH($C55,CaseData!$B$27:$E$27,0))</f>
        <v>170</v>
      </c>
      <c r="L55" s="72">
        <f>INDEX(CaseData!$B$27:$E$35,MATCH($B55,CaseData!$B$27:$B$35,0),MATCH($C55,CaseData!$B$27:$E$27,0))</f>
        <v>170</v>
      </c>
      <c r="M55" s="72">
        <f>INDEX(CaseData!$B$27:$E$35,MATCH($B55,CaseData!$B$27:$B$35,0),MATCH($C55,CaseData!$B$27:$E$27,0))</f>
        <v>170</v>
      </c>
      <c r="N55" s="72">
        <f>INDEX(CaseData!$B$27:$E$35,MATCH($B55,CaseData!$B$27:$B$35,0),MATCH($C55,CaseData!$B$27:$E$27,0))</f>
        <v>170</v>
      </c>
      <c r="O55" s="72">
        <f>INDEX(CaseData!$B$27:$E$35,MATCH($B55,CaseData!$B$27:$B$35,0),MATCH($C55,CaseData!$B$27:$E$27,0))</f>
        <v>170</v>
      </c>
      <c r="P55" s="72">
        <f>INDEX(CaseData!$B$27:$E$35,MATCH($B55,CaseData!$B$27:$B$35,0),MATCH($C55,CaseData!$B$27:$E$27,0))</f>
        <v>170</v>
      </c>
      <c r="Q55" s="72">
        <f>INDEX(CaseData!$B$27:$E$35,MATCH($B55,CaseData!$B$27:$B$35,0),MATCH($C55,CaseData!$B$27:$E$27,0))</f>
        <v>170</v>
      </c>
      <c r="R55" s="72">
        <f>INDEX(CaseData!$B$27:$E$35,MATCH($B55,CaseData!$B$27:$B$35,0),MATCH($C55,CaseData!$B$27:$E$27,0))</f>
        <v>170</v>
      </c>
      <c r="S55" s="72">
        <f>INDEX(CaseData!$B$27:$E$35,MATCH($B55,CaseData!$B$27:$B$35,0),MATCH($C55,CaseData!$B$27:$E$27,0))</f>
        <v>170</v>
      </c>
      <c r="T55" s="72">
        <f>INDEX(CaseData!$B$27:$E$35,MATCH($B55,CaseData!$B$27:$B$35,0),MATCH($C55,CaseData!$B$27:$E$27,0))</f>
        <v>170</v>
      </c>
      <c r="U55" s="72">
        <f>INDEX(CaseData!$B$27:$E$35,MATCH($B55,CaseData!$B$27:$B$35,0),MATCH($C55,CaseData!$B$27:$E$27,0))</f>
        <v>170</v>
      </c>
      <c r="V55" s="72">
        <f>INDEX(CaseData!$B$27:$E$35,MATCH($B55,CaseData!$B$27:$B$35,0),MATCH($C55,CaseData!$B$27:$E$27,0))</f>
        <v>170</v>
      </c>
      <c r="W55" s="72">
        <f>INDEX(CaseData!$B$27:$E$35,MATCH($B55,CaseData!$B$27:$B$35,0),MATCH($C55,CaseData!$B$27:$E$27,0))</f>
        <v>170</v>
      </c>
      <c r="X55" s="72">
        <f>INDEX(CaseData!$B$27:$E$35,MATCH($B55,CaseData!$B$27:$B$35,0),MATCH($C55,CaseData!$B$27:$E$27,0))</f>
        <v>170</v>
      </c>
      <c r="Y55" s="72">
        <f>INDEX(CaseData!$B$27:$E$35,MATCH($B55,CaseData!$B$27:$B$35,0),MATCH($C55,CaseData!$B$27:$E$27,0))</f>
        <v>170</v>
      </c>
      <c r="Z55" s="72">
        <f>INDEX(CaseData!$B$27:$E$35,MATCH($B55,CaseData!$B$27:$B$35,0),MATCH($C55,CaseData!$B$27:$E$27,0))</f>
        <v>170</v>
      </c>
      <c r="AA55" s="72">
        <f>INDEX(CaseData!$B$27:$E$35,MATCH($B55,CaseData!$B$27:$B$35,0),MATCH($C55,CaseData!$B$27:$E$27,0))</f>
        <v>170</v>
      </c>
      <c r="AB55" s="72">
        <f>INDEX(CaseData!$B$27:$E$35,MATCH($B55,CaseData!$B$27:$B$35,0),MATCH($C55,CaseData!$B$27:$E$27,0))</f>
        <v>170</v>
      </c>
      <c r="AC55" s="72">
        <f>INDEX(CaseData!$B$27:$E$35,MATCH($B55,CaseData!$B$27:$B$35,0),MATCH($C55,CaseData!$B$27:$E$27,0))</f>
        <v>170</v>
      </c>
      <c r="AD55" s="72">
        <f>INDEX(CaseData!$B$27:$E$35,MATCH($B55,CaseData!$B$27:$B$35,0),MATCH($C55,CaseData!$B$27:$E$27,0))</f>
        <v>170</v>
      </c>
      <c r="AE55" s="72">
        <f>INDEX(CaseData!$B$27:$E$35,MATCH($B55,CaseData!$B$27:$B$35,0),MATCH($C55,CaseData!$B$27:$E$27,0))</f>
        <v>170</v>
      </c>
      <c r="AF55" s="72">
        <f>INDEX(CaseData!$B$27:$E$35,MATCH($B55,CaseData!$B$27:$B$35,0),MATCH($C55,CaseData!$B$27:$E$27,0))</f>
        <v>170</v>
      </c>
      <c r="AG55" s="72">
        <f>INDEX(CaseData!$B$27:$E$35,MATCH($B55,CaseData!$B$27:$B$35,0),MATCH($C55,CaseData!$B$27:$E$27,0))</f>
        <v>170</v>
      </c>
      <c r="AH55" s="72">
        <f>INDEX(CaseData!$B$27:$E$35,MATCH($B55,CaseData!$B$27:$B$35,0),MATCH($C55,CaseData!$B$27:$E$27,0))</f>
        <v>170</v>
      </c>
      <c r="AI55" s="72">
        <f>INDEX(CaseData!$B$27:$E$35,MATCH($B55,CaseData!$B$27:$B$35,0),MATCH($C55,CaseData!$B$27:$E$27,0))</f>
        <v>170</v>
      </c>
      <c r="AJ55" s="72">
        <f>INDEX(CaseData!$B$27:$E$35,MATCH($B55,CaseData!$B$27:$B$35,0),MATCH($C55,CaseData!$B$27:$E$27,0))</f>
        <v>170</v>
      </c>
      <c r="AK55" s="72">
        <f>INDEX(CaseData!$B$27:$E$35,MATCH($B55,CaseData!$B$27:$B$35,0),MATCH($C55,CaseData!$B$27:$E$27,0))</f>
        <v>170</v>
      </c>
      <c r="AL55" s="72">
        <f>INDEX(CaseData!$B$27:$E$35,MATCH($B55,CaseData!$B$27:$B$35,0),MATCH($C55,CaseData!$B$27:$E$27,0))</f>
        <v>170</v>
      </c>
      <c r="AM55" s="72">
        <f>INDEX(CaseData!$B$27:$E$35,MATCH($B55,CaseData!$B$27:$B$35,0),MATCH($C55,CaseData!$B$27:$E$27,0))</f>
        <v>170</v>
      </c>
      <c r="AN55" s="72">
        <f>INDEX(CaseData!$B$27:$E$35,MATCH($B55,CaseData!$B$27:$B$35,0),MATCH($C55,CaseData!$B$27:$E$27,0))</f>
        <v>170</v>
      </c>
      <c r="AO55" s="72">
        <f>INDEX(CaseData!$B$27:$E$35,MATCH($B55,CaseData!$B$27:$B$35,0),MATCH($C55,CaseData!$B$27:$E$27,0))</f>
        <v>170</v>
      </c>
      <c r="AP55" s="72">
        <f>INDEX(CaseData!$B$27:$E$35,MATCH($B55,CaseData!$B$27:$B$35,0),MATCH($C55,CaseData!$B$27:$E$27,0))</f>
        <v>170</v>
      </c>
      <c r="AQ55" s="72">
        <f>INDEX(CaseData!$B$27:$E$35,MATCH($B55,CaseData!$B$27:$B$35,0),MATCH($C55,CaseData!$B$27:$E$27,0))</f>
        <v>170</v>
      </c>
      <c r="AR55" s="72">
        <f>INDEX(CaseData!$B$27:$E$35,MATCH($B55,CaseData!$B$27:$B$35,0),MATCH($C55,CaseData!$B$27:$E$27,0))</f>
        <v>170</v>
      </c>
      <c r="AS55" s="72">
        <f>INDEX(CaseData!$B$27:$E$35,MATCH($B55,CaseData!$B$27:$B$35,0),MATCH($C55,CaseData!$B$27:$E$27,0))</f>
        <v>170</v>
      </c>
      <c r="AT55" s="72">
        <f>INDEX(CaseData!$B$27:$E$35,MATCH($B55,CaseData!$B$27:$B$35,0),MATCH($C55,CaseData!$B$27:$E$27,0))</f>
        <v>170</v>
      </c>
      <c r="AU55" s="72">
        <f>INDEX(CaseData!$B$27:$E$35,MATCH($B55,CaseData!$B$27:$B$35,0),MATCH($C55,CaseData!$B$27:$E$27,0))</f>
        <v>170</v>
      </c>
      <c r="AV55" s="72">
        <f>INDEX(CaseData!$B$27:$E$35,MATCH($B55,CaseData!$B$27:$B$35,0),MATCH($C55,CaseData!$B$27:$E$27,0))</f>
        <v>170</v>
      </c>
      <c r="AW55" s="72">
        <f>INDEX(CaseData!$B$27:$E$35,MATCH($B55,CaseData!$B$27:$B$35,0),MATCH($C55,CaseData!$B$27:$E$27,0))</f>
        <v>170</v>
      </c>
      <c r="AX55" s="72">
        <f>INDEX(CaseData!$B$27:$E$35,MATCH($B55,CaseData!$B$27:$B$35,0),MATCH($C55,CaseData!$B$27:$E$27,0))</f>
        <v>170</v>
      </c>
      <c r="AY55" s="72">
        <f>INDEX(CaseData!$B$27:$E$35,MATCH($B55,CaseData!$B$27:$B$35,0),MATCH($C55,CaseData!$B$27:$E$27,0))</f>
        <v>170</v>
      </c>
      <c r="AZ55" s="72">
        <f>INDEX(CaseData!$B$27:$E$35,MATCH($B55,CaseData!$B$27:$B$35,0),MATCH($C55,CaseData!$B$27:$E$27,0))</f>
        <v>170</v>
      </c>
      <c r="BA55" s="72">
        <f>INDEX(CaseData!$B$27:$E$35,MATCH($B55,CaseData!$B$27:$B$35,0),MATCH($C55,CaseData!$B$27:$E$27,0))</f>
        <v>170</v>
      </c>
      <c r="BB55" s="72">
        <f>INDEX(CaseData!$B$27:$E$35,MATCH($B55,CaseData!$B$27:$B$35,0),MATCH($C55,CaseData!$B$27:$E$27,0))</f>
        <v>170</v>
      </c>
      <c r="BC55" s="72">
        <f>INDEX(CaseData!$B$27:$E$35,MATCH($B55,CaseData!$B$27:$B$35,0),MATCH($C55,CaseData!$B$27:$E$27,0))</f>
        <v>170</v>
      </c>
      <c r="BD55" s="72">
        <f>INDEX(CaseData!$B$27:$E$35,MATCH($B55,CaseData!$B$27:$B$35,0),MATCH($C55,CaseData!$B$27:$E$27,0))</f>
        <v>170</v>
      </c>
      <c r="BE55" s="72">
        <f>INDEX(CaseData!$B$27:$E$35,MATCH($B55,CaseData!$B$27:$B$35,0),MATCH($C55,CaseData!$B$27:$E$27,0))</f>
        <v>170</v>
      </c>
      <c r="BF55" s="72">
        <f>INDEX(CaseData!$B$27:$E$35,MATCH($B55,CaseData!$B$27:$B$35,0),MATCH($C55,CaseData!$B$27:$E$27,0))</f>
        <v>170</v>
      </c>
      <c r="BG55" s="72">
        <f>INDEX(CaseData!$B$27:$E$35,MATCH($B55,CaseData!$B$27:$B$35,0),MATCH($C55,CaseData!$B$27:$E$27,0))</f>
        <v>170</v>
      </c>
      <c r="BH55" s="72">
        <f>INDEX(CaseData!$B$27:$E$35,MATCH($B55,CaseData!$B$27:$B$35,0),MATCH($C55,CaseData!$B$27:$E$27,0))</f>
        <v>170</v>
      </c>
      <c r="BI55" s="72">
        <f>INDEX(CaseData!$B$27:$E$35,MATCH($B55,CaseData!$B$27:$B$35,0),MATCH($C55,CaseData!$B$27:$E$27,0))</f>
        <v>170</v>
      </c>
      <c r="BJ55" s="72">
        <f>INDEX(CaseData!$B$27:$E$35,MATCH($B55,CaseData!$B$27:$B$35,0),MATCH($C55,CaseData!$B$27:$E$27,0))</f>
        <v>170</v>
      </c>
      <c r="BK55" s="72">
        <f>INDEX(CaseData!$B$27:$E$35,MATCH($B55,CaseData!$B$27:$B$35,0),MATCH($C55,CaseData!$B$27:$E$27,0))</f>
        <v>170</v>
      </c>
      <c r="BL55" s="72">
        <f>INDEX(CaseData!$B$27:$E$35,MATCH($B55,CaseData!$B$27:$B$35,0),MATCH($C55,CaseData!$B$27:$E$27,0))</f>
        <v>170</v>
      </c>
      <c r="BM55" s="72">
        <f>INDEX(CaseData!$B$27:$E$35,MATCH($B55,CaseData!$B$27:$B$35,0),MATCH($C55,CaseData!$B$27:$E$27,0))</f>
        <v>170</v>
      </c>
      <c r="BN55" s="72">
        <f>INDEX(CaseData!$B$27:$E$35,MATCH($B55,CaseData!$B$27:$B$35,0),MATCH($C55,CaseData!$B$27:$E$27,0))</f>
        <v>170</v>
      </c>
    </row>
    <row r="56" spans="2:66">
      <c r="B56" s="37" t="str">
        <f t="shared" si="28"/>
        <v>Montreal</v>
      </c>
      <c r="C56" t="str">
        <f t="shared" si="27"/>
        <v>Accessories</v>
      </c>
      <c r="G56" s="72">
        <f>INDEX(CaseData!$B$27:$E$35,MATCH($B56,CaseData!$B$27:$B$35,0),MATCH($C56,CaseData!$B$27:$E$27,0))</f>
        <v>260</v>
      </c>
      <c r="H56" s="72">
        <f>INDEX(CaseData!$B$27:$E$35,MATCH($B56,CaseData!$B$27:$B$35,0),MATCH($C56,CaseData!$B$27:$E$27,0))</f>
        <v>260</v>
      </c>
      <c r="I56" s="72">
        <f>INDEX(CaseData!$B$27:$E$35,MATCH($B56,CaseData!$B$27:$B$35,0),MATCH($C56,CaseData!$B$27:$E$27,0))</f>
        <v>260</v>
      </c>
      <c r="J56" s="72">
        <f>INDEX(CaseData!$B$27:$E$35,MATCH($B56,CaseData!$B$27:$B$35,0),MATCH($C56,CaseData!$B$27:$E$27,0))</f>
        <v>260</v>
      </c>
      <c r="K56" s="72">
        <f>INDEX(CaseData!$B$27:$E$35,MATCH($B56,CaseData!$B$27:$B$35,0),MATCH($C56,CaseData!$B$27:$E$27,0))</f>
        <v>260</v>
      </c>
      <c r="L56" s="72">
        <f>INDEX(CaseData!$B$27:$E$35,MATCH($B56,CaseData!$B$27:$B$35,0),MATCH($C56,CaseData!$B$27:$E$27,0))</f>
        <v>260</v>
      </c>
      <c r="M56" s="72">
        <f>INDEX(CaseData!$B$27:$E$35,MATCH($B56,CaseData!$B$27:$B$35,0),MATCH($C56,CaseData!$B$27:$E$27,0))</f>
        <v>260</v>
      </c>
      <c r="N56" s="72">
        <f>INDEX(CaseData!$B$27:$E$35,MATCH($B56,CaseData!$B$27:$B$35,0),MATCH($C56,CaseData!$B$27:$E$27,0))</f>
        <v>260</v>
      </c>
      <c r="O56" s="72">
        <f>INDEX(CaseData!$B$27:$E$35,MATCH($B56,CaseData!$B$27:$B$35,0),MATCH($C56,CaseData!$B$27:$E$27,0))</f>
        <v>260</v>
      </c>
      <c r="P56" s="72">
        <f>INDEX(CaseData!$B$27:$E$35,MATCH($B56,CaseData!$B$27:$B$35,0),MATCH($C56,CaseData!$B$27:$E$27,0))</f>
        <v>260</v>
      </c>
      <c r="Q56" s="72">
        <f>INDEX(CaseData!$B$27:$E$35,MATCH($B56,CaseData!$B$27:$B$35,0),MATCH($C56,CaseData!$B$27:$E$27,0))</f>
        <v>260</v>
      </c>
      <c r="R56" s="72">
        <f>INDEX(CaseData!$B$27:$E$35,MATCH($B56,CaseData!$B$27:$B$35,0),MATCH($C56,CaseData!$B$27:$E$27,0))</f>
        <v>260</v>
      </c>
      <c r="S56" s="72">
        <f>INDEX(CaseData!$B$27:$E$35,MATCH($B56,CaseData!$B$27:$B$35,0),MATCH($C56,CaseData!$B$27:$E$27,0))</f>
        <v>260</v>
      </c>
      <c r="T56" s="72">
        <f>INDEX(CaseData!$B$27:$E$35,MATCH($B56,CaseData!$B$27:$B$35,0),MATCH($C56,CaseData!$B$27:$E$27,0))</f>
        <v>260</v>
      </c>
      <c r="U56" s="72">
        <f>INDEX(CaseData!$B$27:$E$35,MATCH($B56,CaseData!$B$27:$B$35,0),MATCH($C56,CaseData!$B$27:$E$27,0))</f>
        <v>260</v>
      </c>
      <c r="V56" s="72">
        <f>INDEX(CaseData!$B$27:$E$35,MATCH($B56,CaseData!$B$27:$B$35,0),MATCH($C56,CaseData!$B$27:$E$27,0))</f>
        <v>260</v>
      </c>
      <c r="W56" s="72">
        <f>INDEX(CaseData!$B$27:$E$35,MATCH($B56,CaseData!$B$27:$B$35,0),MATCH($C56,CaseData!$B$27:$E$27,0))</f>
        <v>260</v>
      </c>
      <c r="X56" s="72">
        <f>INDEX(CaseData!$B$27:$E$35,MATCH($B56,CaseData!$B$27:$B$35,0),MATCH($C56,CaseData!$B$27:$E$27,0))</f>
        <v>260</v>
      </c>
      <c r="Y56" s="72">
        <f>INDEX(CaseData!$B$27:$E$35,MATCH($B56,CaseData!$B$27:$B$35,0),MATCH($C56,CaseData!$B$27:$E$27,0))</f>
        <v>260</v>
      </c>
      <c r="Z56" s="72">
        <f>INDEX(CaseData!$B$27:$E$35,MATCH($B56,CaseData!$B$27:$B$35,0),MATCH($C56,CaseData!$B$27:$E$27,0))</f>
        <v>260</v>
      </c>
      <c r="AA56" s="72">
        <f>INDEX(CaseData!$B$27:$E$35,MATCH($B56,CaseData!$B$27:$B$35,0),MATCH($C56,CaseData!$B$27:$E$27,0))</f>
        <v>260</v>
      </c>
      <c r="AB56" s="72">
        <f>INDEX(CaseData!$B$27:$E$35,MATCH($B56,CaseData!$B$27:$B$35,0),MATCH($C56,CaseData!$B$27:$E$27,0))</f>
        <v>260</v>
      </c>
      <c r="AC56" s="72">
        <f>INDEX(CaseData!$B$27:$E$35,MATCH($B56,CaseData!$B$27:$B$35,0),MATCH($C56,CaseData!$B$27:$E$27,0))</f>
        <v>260</v>
      </c>
      <c r="AD56" s="72">
        <f>INDEX(CaseData!$B$27:$E$35,MATCH($B56,CaseData!$B$27:$B$35,0),MATCH($C56,CaseData!$B$27:$E$27,0))</f>
        <v>260</v>
      </c>
      <c r="AE56" s="72">
        <f>INDEX(CaseData!$B$27:$E$35,MATCH($B56,CaseData!$B$27:$B$35,0),MATCH($C56,CaseData!$B$27:$E$27,0))</f>
        <v>260</v>
      </c>
      <c r="AF56" s="72">
        <f>INDEX(CaseData!$B$27:$E$35,MATCH($B56,CaseData!$B$27:$B$35,0),MATCH($C56,CaseData!$B$27:$E$27,0))</f>
        <v>260</v>
      </c>
      <c r="AG56" s="72">
        <f>INDEX(CaseData!$B$27:$E$35,MATCH($B56,CaseData!$B$27:$B$35,0),MATCH($C56,CaseData!$B$27:$E$27,0))</f>
        <v>260</v>
      </c>
      <c r="AH56" s="72">
        <f>INDEX(CaseData!$B$27:$E$35,MATCH($B56,CaseData!$B$27:$B$35,0),MATCH($C56,CaseData!$B$27:$E$27,0))</f>
        <v>260</v>
      </c>
      <c r="AI56" s="72">
        <f>INDEX(CaseData!$B$27:$E$35,MATCH($B56,CaseData!$B$27:$B$35,0),MATCH($C56,CaseData!$B$27:$E$27,0))</f>
        <v>260</v>
      </c>
      <c r="AJ56" s="72">
        <f>INDEX(CaseData!$B$27:$E$35,MATCH($B56,CaseData!$B$27:$B$35,0),MATCH($C56,CaseData!$B$27:$E$27,0))</f>
        <v>260</v>
      </c>
      <c r="AK56" s="72">
        <f>INDEX(CaseData!$B$27:$E$35,MATCH($B56,CaseData!$B$27:$B$35,0),MATCH($C56,CaseData!$B$27:$E$27,0))</f>
        <v>260</v>
      </c>
      <c r="AL56" s="72">
        <f>INDEX(CaseData!$B$27:$E$35,MATCH($B56,CaseData!$B$27:$B$35,0),MATCH($C56,CaseData!$B$27:$E$27,0))</f>
        <v>260</v>
      </c>
      <c r="AM56" s="72">
        <f>INDEX(CaseData!$B$27:$E$35,MATCH($B56,CaseData!$B$27:$B$35,0),MATCH($C56,CaseData!$B$27:$E$27,0))</f>
        <v>260</v>
      </c>
      <c r="AN56" s="72">
        <f>INDEX(CaseData!$B$27:$E$35,MATCH($B56,CaseData!$B$27:$B$35,0),MATCH($C56,CaseData!$B$27:$E$27,0))</f>
        <v>260</v>
      </c>
      <c r="AO56" s="72">
        <f>INDEX(CaseData!$B$27:$E$35,MATCH($B56,CaseData!$B$27:$B$35,0),MATCH($C56,CaseData!$B$27:$E$27,0))</f>
        <v>260</v>
      </c>
      <c r="AP56" s="72">
        <f>INDEX(CaseData!$B$27:$E$35,MATCH($B56,CaseData!$B$27:$B$35,0),MATCH($C56,CaseData!$B$27:$E$27,0))</f>
        <v>260</v>
      </c>
      <c r="AQ56" s="72">
        <f>INDEX(CaseData!$B$27:$E$35,MATCH($B56,CaseData!$B$27:$B$35,0),MATCH($C56,CaseData!$B$27:$E$27,0))</f>
        <v>260</v>
      </c>
      <c r="AR56" s="72">
        <f>INDEX(CaseData!$B$27:$E$35,MATCH($B56,CaseData!$B$27:$B$35,0),MATCH($C56,CaseData!$B$27:$E$27,0))</f>
        <v>260</v>
      </c>
      <c r="AS56" s="72">
        <f>INDEX(CaseData!$B$27:$E$35,MATCH($B56,CaseData!$B$27:$B$35,0),MATCH($C56,CaseData!$B$27:$E$27,0))</f>
        <v>260</v>
      </c>
      <c r="AT56" s="72">
        <f>INDEX(CaseData!$B$27:$E$35,MATCH($B56,CaseData!$B$27:$B$35,0),MATCH($C56,CaseData!$B$27:$E$27,0))</f>
        <v>260</v>
      </c>
      <c r="AU56" s="72">
        <f>INDEX(CaseData!$B$27:$E$35,MATCH($B56,CaseData!$B$27:$B$35,0),MATCH($C56,CaseData!$B$27:$E$27,0))</f>
        <v>260</v>
      </c>
      <c r="AV56" s="72">
        <f>INDEX(CaseData!$B$27:$E$35,MATCH($B56,CaseData!$B$27:$B$35,0),MATCH($C56,CaseData!$B$27:$E$27,0))</f>
        <v>260</v>
      </c>
      <c r="AW56" s="72">
        <f>INDEX(CaseData!$B$27:$E$35,MATCH($B56,CaseData!$B$27:$B$35,0),MATCH($C56,CaseData!$B$27:$E$27,0))</f>
        <v>260</v>
      </c>
      <c r="AX56" s="72">
        <f>INDEX(CaseData!$B$27:$E$35,MATCH($B56,CaseData!$B$27:$B$35,0),MATCH($C56,CaseData!$B$27:$E$27,0))</f>
        <v>260</v>
      </c>
      <c r="AY56" s="72">
        <f>INDEX(CaseData!$B$27:$E$35,MATCH($B56,CaseData!$B$27:$B$35,0),MATCH($C56,CaseData!$B$27:$E$27,0))</f>
        <v>260</v>
      </c>
      <c r="AZ56" s="72">
        <f>INDEX(CaseData!$B$27:$E$35,MATCH($B56,CaseData!$B$27:$B$35,0),MATCH($C56,CaseData!$B$27:$E$27,0))</f>
        <v>260</v>
      </c>
      <c r="BA56" s="72">
        <f>INDEX(CaseData!$B$27:$E$35,MATCH($B56,CaseData!$B$27:$B$35,0),MATCH($C56,CaseData!$B$27:$E$27,0))</f>
        <v>260</v>
      </c>
      <c r="BB56" s="72">
        <f>INDEX(CaseData!$B$27:$E$35,MATCH($B56,CaseData!$B$27:$B$35,0),MATCH($C56,CaseData!$B$27:$E$27,0))</f>
        <v>260</v>
      </c>
      <c r="BC56" s="72">
        <f>INDEX(CaseData!$B$27:$E$35,MATCH($B56,CaseData!$B$27:$B$35,0),MATCH($C56,CaseData!$B$27:$E$27,0))</f>
        <v>260</v>
      </c>
      <c r="BD56" s="72">
        <f>INDEX(CaseData!$B$27:$E$35,MATCH($B56,CaseData!$B$27:$B$35,0),MATCH($C56,CaseData!$B$27:$E$27,0))</f>
        <v>260</v>
      </c>
      <c r="BE56" s="72">
        <f>INDEX(CaseData!$B$27:$E$35,MATCH($B56,CaseData!$B$27:$B$35,0),MATCH($C56,CaseData!$B$27:$E$27,0))</f>
        <v>260</v>
      </c>
      <c r="BF56" s="72">
        <f>INDEX(CaseData!$B$27:$E$35,MATCH($B56,CaseData!$B$27:$B$35,0),MATCH($C56,CaseData!$B$27:$E$27,0))</f>
        <v>260</v>
      </c>
      <c r="BG56" s="72">
        <f>INDEX(CaseData!$B$27:$E$35,MATCH($B56,CaseData!$B$27:$B$35,0),MATCH($C56,CaseData!$B$27:$E$27,0))</f>
        <v>260</v>
      </c>
      <c r="BH56" s="72">
        <f>INDEX(CaseData!$B$27:$E$35,MATCH($B56,CaseData!$B$27:$B$35,0),MATCH($C56,CaseData!$B$27:$E$27,0))</f>
        <v>260</v>
      </c>
      <c r="BI56" s="72">
        <f>INDEX(CaseData!$B$27:$E$35,MATCH($B56,CaseData!$B$27:$B$35,0),MATCH($C56,CaseData!$B$27:$E$27,0))</f>
        <v>260</v>
      </c>
      <c r="BJ56" s="72">
        <f>INDEX(CaseData!$B$27:$E$35,MATCH($B56,CaseData!$B$27:$B$35,0),MATCH($C56,CaseData!$B$27:$E$27,0))</f>
        <v>260</v>
      </c>
      <c r="BK56" s="72">
        <f>INDEX(CaseData!$B$27:$E$35,MATCH($B56,CaseData!$B$27:$B$35,0),MATCH($C56,CaseData!$B$27:$E$27,0))</f>
        <v>260</v>
      </c>
      <c r="BL56" s="72">
        <f>INDEX(CaseData!$B$27:$E$35,MATCH($B56,CaseData!$B$27:$B$35,0),MATCH($C56,CaseData!$B$27:$E$27,0))</f>
        <v>260</v>
      </c>
      <c r="BM56" s="72">
        <f>INDEX(CaseData!$B$27:$E$35,MATCH($B56,CaseData!$B$27:$B$35,0),MATCH($C56,CaseData!$B$27:$E$27,0))</f>
        <v>260</v>
      </c>
      <c r="BN56" s="72">
        <f>INDEX(CaseData!$B$27:$E$35,MATCH($B56,CaseData!$B$27:$B$35,0),MATCH($C56,CaseData!$B$27:$E$27,0))</f>
        <v>260</v>
      </c>
    </row>
    <row r="57" spans="2:66">
      <c r="B57" s="37" t="str">
        <f>CaseData!$B$34</f>
        <v>Zurich</v>
      </c>
      <c r="C57" t="str">
        <f t="shared" si="27"/>
        <v>Women's</v>
      </c>
      <c r="G57" s="72">
        <f>INDEX(CaseData!$B$27:$E$35,MATCH($B57,CaseData!$B$27:$B$35,0),MATCH($C57,CaseData!$B$27:$E$27,0))</f>
        <v>280</v>
      </c>
      <c r="H57" s="72">
        <f>INDEX(CaseData!$B$27:$E$35,MATCH($B57,CaseData!$B$27:$B$35,0),MATCH($C57,CaseData!$B$27:$E$27,0))</f>
        <v>280</v>
      </c>
      <c r="I57" s="72">
        <f>INDEX(CaseData!$B$27:$E$35,MATCH($B57,CaseData!$B$27:$B$35,0),MATCH($C57,CaseData!$B$27:$E$27,0))</f>
        <v>280</v>
      </c>
      <c r="J57" s="72">
        <f>INDEX(CaseData!$B$27:$E$35,MATCH($B57,CaseData!$B$27:$B$35,0),MATCH($C57,CaseData!$B$27:$E$27,0))</f>
        <v>280</v>
      </c>
      <c r="K57" s="72">
        <f>INDEX(CaseData!$B$27:$E$35,MATCH($B57,CaseData!$B$27:$B$35,0),MATCH($C57,CaseData!$B$27:$E$27,0))</f>
        <v>280</v>
      </c>
      <c r="L57" s="72">
        <f>INDEX(CaseData!$B$27:$E$35,MATCH($B57,CaseData!$B$27:$B$35,0),MATCH($C57,CaseData!$B$27:$E$27,0))</f>
        <v>280</v>
      </c>
      <c r="M57" s="72">
        <f>INDEX(CaseData!$B$27:$E$35,MATCH($B57,CaseData!$B$27:$B$35,0),MATCH($C57,CaseData!$B$27:$E$27,0))</f>
        <v>280</v>
      </c>
      <c r="N57" s="72">
        <f>INDEX(CaseData!$B$27:$E$35,MATCH($B57,CaseData!$B$27:$B$35,0),MATCH($C57,CaseData!$B$27:$E$27,0))</f>
        <v>280</v>
      </c>
      <c r="O57" s="72">
        <f>INDEX(CaseData!$B$27:$E$35,MATCH($B57,CaseData!$B$27:$B$35,0),MATCH($C57,CaseData!$B$27:$E$27,0))</f>
        <v>280</v>
      </c>
      <c r="P57" s="72">
        <f>INDEX(CaseData!$B$27:$E$35,MATCH($B57,CaseData!$B$27:$B$35,0),MATCH($C57,CaseData!$B$27:$E$27,0))</f>
        <v>280</v>
      </c>
      <c r="Q57" s="72">
        <f>INDEX(CaseData!$B$27:$E$35,MATCH($B57,CaseData!$B$27:$B$35,0),MATCH($C57,CaseData!$B$27:$E$27,0))</f>
        <v>280</v>
      </c>
      <c r="R57" s="72">
        <f>INDEX(CaseData!$B$27:$E$35,MATCH($B57,CaseData!$B$27:$B$35,0),MATCH($C57,CaseData!$B$27:$E$27,0))</f>
        <v>280</v>
      </c>
      <c r="S57" s="72">
        <f>INDEX(CaseData!$B$27:$E$35,MATCH($B57,CaseData!$B$27:$B$35,0),MATCH($C57,CaseData!$B$27:$E$27,0))</f>
        <v>280</v>
      </c>
      <c r="T57" s="72">
        <f>INDEX(CaseData!$B$27:$E$35,MATCH($B57,CaseData!$B$27:$B$35,0),MATCH($C57,CaseData!$B$27:$E$27,0))</f>
        <v>280</v>
      </c>
      <c r="U57" s="72">
        <f>INDEX(CaseData!$B$27:$E$35,MATCH($B57,CaseData!$B$27:$B$35,0),MATCH($C57,CaseData!$B$27:$E$27,0))</f>
        <v>280</v>
      </c>
      <c r="V57" s="72">
        <f>INDEX(CaseData!$B$27:$E$35,MATCH($B57,CaseData!$B$27:$B$35,0),MATCH($C57,CaseData!$B$27:$E$27,0))</f>
        <v>280</v>
      </c>
      <c r="W57" s="72">
        <f>INDEX(CaseData!$B$27:$E$35,MATCH($B57,CaseData!$B$27:$B$35,0),MATCH($C57,CaseData!$B$27:$E$27,0))</f>
        <v>280</v>
      </c>
      <c r="X57" s="72">
        <f>INDEX(CaseData!$B$27:$E$35,MATCH($B57,CaseData!$B$27:$B$35,0),MATCH($C57,CaseData!$B$27:$E$27,0))</f>
        <v>280</v>
      </c>
      <c r="Y57" s="72">
        <f>INDEX(CaseData!$B$27:$E$35,MATCH($B57,CaseData!$B$27:$B$35,0),MATCH($C57,CaseData!$B$27:$E$27,0))</f>
        <v>280</v>
      </c>
      <c r="Z57" s="72">
        <f>INDEX(CaseData!$B$27:$E$35,MATCH($B57,CaseData!$B$27:$B$35,0),MATCH($C57,CaseData!$B$27:$E$27,0))</f>
        <v>280</v>
      </c>
      <c r="AA57" s="72">
        <f>INDEX(CaseData!$B$27:$E$35,MATCH($B57,CaseData!$B$27:$B$35,0),MATCH($C57,CaseData!$B$27:$E$27,0))</f>
        <v>280</v>
      </c>
      <c r="AB57" s="72">
        <f>INDEX(CaseData!$B$27:$E$35,MATCH($B57,CaseData!$B$27:$B$35,0),MATCH($C57,CaseData!$B$27:$E$27,0))</f>
        <v>280</v>
      </c>
      <c r="AC57" s="72">
        <f>INDEX(CaseData!$B$27:$E$35,MATCH($B57,CaseData!$B$27:$B$35,0),MATCH($C57,CaseData!$B$27:$E$27,0))</f>
        <v>280</v>
      </c>
      <c r="AD57" s="72">
        <f>INDEX(CaseData!$B$27:$E$35,MATCH($B57,CaseData!$B$27:$B$35,0),MATCH($C57,CaseData!$B$27:$E$27,0))</f>
        <v>280</v>
      </c>
      <c r="AE57" s="72">
        <f>INDEX(CaseData!$B$27:$E$35,MATCH($B57,CaseData!$B$27:$B$35,0),MATCH($C57,CaseData!$B$27:$E$27,0))</f>
        <v>280</v>
      </c>
      <c r="AF57" s="72">
        <f>INDEX(CaseData!$B$27:$E$35,MATCH($B57,CaseData!$B$27:$B$35,0),MATCH($C57,CaseData!$B$27:$E$27,0))</f>
        <v>280</v>
      </c>
      <c r="AG57" s="72">
        <f>INDEX(CaseData!$B$27:$E$35,MATCH($B57,CaseData!$B$27:$B$35,0),MATCH($C57,CaseData!$B$27:$E$27,0))</f>
        <v>280</v>
      </c>
      <c r="AH57" s="72">
        <f>INDEX(CaseData!$B$27:$E$35,MATCH($B57,CaseData!$B$27:$B$35,0),MATCH($C57,CaseData!$B$27:$E$27,0))</f>
        <v>280</v>
      </c>
      <c r="AI57" s="72">
        <f>INDEX(CaseData!$B$27:$E$35,MATCH($B57,CaseData!$B$27:$B$35,0),MATCH($C57,CaseData!$B$27:$E$27,0))</f>
        <v>280</v>
      </c>
      <c r="AJ57" s="72">
        <f>INDEX(CaseData!$B$27:$E$35,MATCH($B57,CaseData!$B$27:$B$35,0),MATCH($C57,CaseData!$B$27:$E$27,0))</f>
        <v>280</v>
      </c>
      <c r="AK57" s="72">
        <f>INDEX(CaseData!$B$27:$E$35,MATCH($B57,CaseData!$B$27:$B$35,0),MATCH($C57,CaseData!$B$27:$E$27,0))</f>
        <v>280</v>
      </c>
      <c r="AL57" s="72">
        <f>INDEX(CaseData!$B$27:$E$35,MATCH($B57,CaseData!$B$27:$B$35,0),MATCH($C57,CaseData!$B$27:$E$27,0))</f>
        <v>280</v>
      </c>
      <c r="AM57" s="72">
        <f>INDEX(CaseData!$B$27:$E$35,MATCH($B57,CaseData!$B$27:$B$35,0),MATCH($C57,CaseData!$B$27:$E$27,0))</f>
        <v>280</v>
      </c>
      <c r="AN57" s="72">
        <f>INDEX(CaseData!$B$27:$E$35,MATCH($B57,CaseData!$B$27:$B$35,0),MATCH($C57,CaseData!$B$27:$E$27,0))</f>
        <v>280</v>
      </c>
      <c r="AO57" s="72">
        <f>INDEX(CaseData!$B$27:$E$35,MATCH($B57,CaseData!$B$27:$B$35,0),MATCH($C57,CaseData!$B$27:$E$27,0))</f>
        <v>280</v>
      </c>
      <c r="AP57" s="72">
        <f>INDEX(CaseData!$B$27:$E$35,MATCH($B57,CaseData!$B$27:$B$35,0),MATCH($C57,CaseData!$B$27:$E$27,0))</f>
        <v>280</v>
      </c>
      <c r="AQ57" s="72">
        <f>INDEX(CaseData!$B$27:$E$35,MATCH($B57,CaseData!$B$27:$B$35,0),MATCH($C57,CaseData!$B$27:$E$27,0))</f>
        <v>280</v>
      </c>
      <c r="AR57" s="72">
        <f>INDEX(CaseData!$B$27:$E$35,MATCH($B57,CaseData!$B$27:$B$35,0),MATCH($C57,CaseData!$B$27:$E$27,0))</f>
        <v>280</v>
      </c>
      <c r="AS57" s="72">
        <f>INDEX(CaseData!$B$27:$E$35,MATCH($B57,CaseData!$B$27:$B$35,0),MATCH($C57,CaseData!$B$27:$E$27,0))</f>
        <v>280</v>
      </c>
      <c r="AT57" s="72">
        <f>INDEX(CaseData!$B$27:$E$35,MATCH($B57,CaseData!$B$27:$B$35,0),MATCH($C57,CaseData!$B$27:$E$27,0))</f>
        <v>280</v>
      </c>
      <c r="AU57" s="72">
        <f>INDEX(CaseData!$B$27:$E$35,MATCH($B57,CaseData!$B$27:$B$35,0),MATCH($C57,CaseData!$B$27:$E$27,0))</f>
        <v>280</v>
      </c>
      <c r="AV57" s="72">
        <f>INDEX(CaseData!$B$27:$E$35,MATCH($B57,CaseData!$B$27:$B$35,0),MATCH($C57,CaseData!$B$27:$E$27,0))</f>
        <v>280</v>
      </c>
      <c r="AW57" s="72">
        <f>INDEX(CaseData!$B$27:$E$35,MATCH($B57,CaseData!$B$27:$B$35,0),MATCH($C57,CaseData!$B$27:$E$27,0))</f>
        <v>280</v>
      </c>
      <c r="AX57" s="72">
        <f>INDEX(CaseData!$B$27:$E$35,MATCH($B57,CaseData!$B$27:$B$35,0),MATCH($C57,CaseData!$B$27:$E$27,0))</f>
        <v>280</v>
      </c>
      <c r="AY57" s="72">
        <f>INDEX(CaseData!$B$27:$E$35,MATCH($B57,CaseData!$B$27:$B$35,0),MATCH($C57,CaseData!$B$27:$E$27,0))</f>
        <v>280</v>
      </c>
      <c r="AZ57" s="72">
        <f>INDEX(CaseData!$B$27:$E$35,MATCH($B57,CaseData!$B$27:$B$35,0),MATCH($C57,CaseData!$B$27:$E$27,0))</f>
        <v>280</v>
      </c>
      <c r="BA57" s="72">
        <f>INDEX(CaseData!$B$27:$E$35,MATCH($B57,CaseData!$B$27:$B$35,0),MATCH($C57,CaseData!$B$27:$E$27,0))</f>
        <v>280</v>
      </c>
      <c r="BB57" s="72">
        <f>INDEX(CaseData!$B$27:$E$35,MATCH($B57,CaseData!$B$27:$B$35,0),MATCH($C57,CaseData!$B$27:$E$27,0))</f>
        <v>280</v>
      </c>
      <c r="BC57" s="72">
        <f>INDEX(CaseData!$B$27:$E$35,MATCH($B57,CaseData!$B$27:$B$35,0),MATCH($C57,CaseData!$B$27:$E$27,0))</f>
        <v>280</v>
      </c>
      <c r="BD57" s="72">
        <f>INDEX(CaseData!$B$27:$E$35,MATCH($B57,CaseData!$B$27:$B$35,0),MATCH($C57,CaseData!$B$27:$E$27,0))</f>
        <v>280</v>
      </c>
      <c r="BE57" s="72">
        <f>INDEX(CaseData!$B$27:$E$35,MATCH($B57,CaseData!$B$27:$B$35,0),MATCH($C57,CaseData!$B$27:$E$27,0))</f>
        <v>280</v>
      </c>
      <c r="BF57" s="72">
        <f>INDEX(CaseData!$B$27:$E$35,MATCH($B57,CaseData!$B$27:$B$35,0),MATCH($C57,CaseData!$B$27:$E$27,0))</f>
        <v>280</v>
      </c>
      <c r="BG57" s="72">
        <f>INDEX(CaseData!$B$27:$E$35,MATCH($B57,CaseData!$B$27:$B$35,0),MATCH($C57,CaseData!$B$27:$E$27,0))</f>
        <v>280</v>
      </c>
      <c r="BH57" s="72">
        <f>INDEX(CaseData!$B$27:$E$35,MATCH($B57,CaseData!$B$27:$B$35,0),MATCH($C57,CaseData!$B$27:$E$27,0))</f>
        <v>280</v>
      </c>
      <c r="BI57" s="72">
        <f>INDEX(CaseData!$B$27:$E$35,MATCH($B57,CaseData!$B$27:$B$35,0),MATCH($C57,CaseData!$B$27:$E$27,0))</f>
        <v>280</v>
      </c>
      <c r="BJ57" s="72">
        <f>INDEX(CaseData!$B$27:$E$35,MATCH($B57,CaseData!$B$27:$B$35,0),MATCH($C57,CaseData!$B$27:$E$27,0))</f>
        <v>280</v>
      </c>
      <c r="BK57" s="72">
        <f>INDEX(CaseData!$B$27:$E$35,MATCH($B57,CaseData!$B$27:$B$35,0),MATCH($C57,CaseData!$B$27:$E$27,0))</f>
        <v>280</v>
      </c>
      <c r="BL57" s="72">
        <f>INDEX(CaseData!$B$27:$E$35,MATCH($B57,CaseData!$B$27:$B$35,0),MATCH($C57,CaseData!$B$27:$E$27,0))</f>
        <v>280</v>
      </c>
      <c r="BM57" s="72">
        <f>INDEX(CaseData!$B$27:$E$35,MATCH($B57,CaseData!$B$27:$B$35,0),MATCH($C57,CaseData!$B$27:$E$27,0))</f>
        <v>280</v>
      </c>
      <c r="BN57" s="72">
        <f>INDEX(CaseData!$B$27:$E$35,MATCH($B57,CaseData!$B$27:$B$35,0),MATCH($C57,CaseData!$B$27:$E$27,0))</f>
        <v>280</v>
      </c>
    </row>
    <row r="58" spans="2:66">
      <c r="B58" s="37" t="str">
        <f t="shared" si="28"/>
        <v>Zurich</v>
      </c>
      <c r="C58" t="str">
        <f t="shared" si="27"/>
        <v>Men's</v>
      </c>
      <c r="G58" s="72">
        <f>INDEX(CaseData!$B$27:$E$35,MATCH($B58,CaseData!$B$27:$B$35,0),MATCH($C58,CaseData!$B$27:$E$27,0))</f>
        <v>170</v>
      </c>
      <c r="H58" s="72">
        <f>INDEX(CaseData!$B$27:$E$35,MATCH($B58,CaseData!$B$27:$B$35,0),MATCH($C58,CaseData!$B$27:$E$27,0))</f>
        <v>170</v>
      </c>
      <c r="I58" s="72">
        <f>INDEX(CaseData!$B$27:$E$35,MATCH($B58,CaseData!$B$27:$B$35,0),MATCH($C58,CaseData!$B$27:$E$27,0))</f>
        <v>170</v>
      </c>
      <c r="J58" s="72">
        <f>INDEX(CaseData!$B$27:$E$35,MATCH($B58,CaseData!$B$27:$B$35,0),MATCH($C58,CaseData!$B$27:$E$27,0))</f>
        <v>170</v>
      </c>
      <c r="K58" s="72">
        <f>INDEX(CaseData!$B$27:$E$35,MATCH($B58,CaseData!$B$27:$B$35,0),MATCH($C58,CaseData!$B$27:$E$27,0))</f>
        <v>170</v>
      </c>
      <c r="L58" s="72">
        <f>INDEX(CaseData!$B$27:$E$35,MATCH($B58,CaseData!$B$27:$B$35,0),MATCH($C58,CaseData!$B$27:$E$27,0))</f>
        <v>170</v>
      </c>
      <c r="M58" s="72">
        <f>INDEX(CaseData!$B$27:$E$35,MATCH($B58,CaseData!$B$27:$B$35,0),MATCH($C58,CaseData!$B$27:$E$27,0))</f>
        <v>170</v>
      </c>
      <c r="N58" s="72">
        <f>INDEX(CaseData!$B$27:$E$35,MATCH($B58,CaseData!$B$27:$B$35,0),MATCH($C58,CaseData!$B$27:$E$27,0))</f>
        <v>170</v>
      </c>
      <c r="O58" s="72">
        <f>INDEX(CaseData!$B$27:$E$35,MATCH($B58,CaseData!$B$27:$B$35,0),MATCH($C58,CaseData!$B$27:$E$27,0))</f>
        <v>170</v>
      </c>
      <c r="P58" s="72">
        <f>INDEX(CaseData!$B$27:$E$35,MATCH($B58,CaseData!$B$27:$B$35,0),MATCH($C58,CaseData!$B$27:$E$27,0))</f>
        <v>170</v>
      </c>
      <c r="Q58" s="72">
        <f>INDEX(CaseData!$B$27:$E$35,MATCH($B58,CaseData!$B$27:$B$35,0),MATCH($C58,CaseData!$B$27:$E$27,0))</f>
        <v>170</v>
      </c>
      <c r="R58" s="72">
        <f>INDEX(CaseData!$B$27:$E$35,MATCH($B58,CaseData!$B$27:$B$35,0),MATCH($C58,CaseData!$B$27:$E$27,0))</f>
        <v>170</v>
      </c>
      <c r="S58" s="72">
        <f>INDEX(CaseData!$B$27:$E$35,MATCH($B58,CaseData!$B$27:$B$35,0),MATCH($C58,CaseData!$B$27:$E$27,0))</f>
        <v>170</v>
      </c>
      <c r="T58" s="72">
        <f>INDEX(CaseData!$B$27:$E$35,MATCH($B58,CaseData!$B$27:$B$35,0),MATCH($C58,CaseData!$B$27:$E$27,0))</f>
        <v>170</v>
      </c>
      <c r="U58" s="72">
        <f>INDEX(CaseData!$B$27:$E$35,MATCH($B58,CaseData!$B$27:$B$35,0),MATCH($C58,CaseData!$B$27:$E$27,0))</f>
        <v>170</v>
      </c>
      <c r="V58" s="72">
        <f>INDEX(CaseData!$B$27:$E$35,MATCH($B58,CaseData!$B$27:$B$35,0),MATCH($C58,CaseData!$B$27:$E$27,0))</f>
        <v>170</v>
      </c>
      <c r="W58" s="72">
        <f>INDEX(CaseData!$B$27:$E$35,MATCH($B58,CaseData!$B$27:$B$35,0),MATCH($C58,CaseData!$B$27:$E$27,0))</f>
        <v>170</v>
      </c>
      <c r="X58" s="72">
        <f>INDEX(CaseData!$B$27:$E$35,MATCH($B58,CaseData!$B$27:$B$35,0),MATCH($C58,CaseData!$B$27:$E$27,0))</f>
        <v>170</v>
      </c>
      <c r="Y58" s="72">
        <f>INDEX(CaseData!$B$27:$E$35,MATCH($B58,CaseData!$B$27:$B$35,0),MATCH($C58,CaseData!$B$27:$E$27,0))</f>
        <v>170</v>
      </c>
      <c r="Z58" s="72">
        <f>INDEX(CaseData!$B$27:$E$35,MATCH($B58,CaseData!$B$27:$B$35,0),MATCH($C58,CaseData!$B$27:$E$27,0))</f>
        <v>170</v>
      </c>
      <c r="AA58" s="72">
        <f>INDEX(CaseData!$B$27:$E$35,MATCH($B58,CaseData!$B$27:$B$35,0),MATCH($C58,CaseData!$B$27:$E$27,0))</f>
        <v>170</v>
      </c>
      <c r="AB58" s="72">
        <f>INDEX(CaseData!$B$27:$E$35,MATCH($B58,CaseData!$B$27:$B$35,0),MATCH($C58,CaseData!$B$27:$E$27,0))</f>
        <v>170</v>
      </c>
      <c r="AC58" s="72">
        <f>INDEX(CaseData!$B$27:$E$35,MATCH($B58,CaseData!$B$27:$B$35,0),MATCH($C58,CaseData!$B$27:$E$27,0))</f>
        <v>170</v>
      </c>
      <c r="AD58" s="72">
        <f>INDEX(CaseData!$B$27:$E$35,MATCH($B58,CaseData!$B$27:$B$35,0),MATCH($C58,CaseData!$B$27:$E$27,0))</f>
        <v>170</v>
      </c>
      <c r="AE58" s="72">
        <f>INDEX(CaseData!$B$27:$E$35,MATCH($B58,CaseData!$B$27:$B$35,0),MATCH($C58,CaseData!$B$27:$E$27,0))</f>
        <v>170</v>
      </c>
      <c r="AF58" s="72">
        <f>INDEX(CaseData!$B$27:$E$35,MATCH($B58,CaseData!$B$27:$B$35,0),MATCH($C58,CaseData!$B$27:$E$27,0))</f>
        <v>170</v>
      </c>
      <c r="AG58" s="72">
        <f>INDEX(CaseData!$B$27:$E$35,MATCH($B58,CaseData!$B$27:$B$35,0),MATCH($C58,CaseData!$B$27:$E$27,0))</f>
        <v>170</v>
      </c>
      <c r="AH58" s="72">
        <f>INDEX(CaseData!$B$27:$E$35,MATCH($B58,CaseData!$B$27:$B$35,0),MATCH($C58,CaseData!$B$27:$E$27,0))</f>
        <v>170</v>
      </c>
      <c r="AI58" s="72">
        <f>INDEX(CaseData!$B$27:$E$35,MATCH($B58,CaseData!$B$27:$B$35,0),MATCH($C58,CaseData!$B$27:$E$27,0))</f>
        <v>170</v>
      </c>
      <c r="AJ58" s="72">
        <f>INDEX(CaseData!$B$27:$E$35,MATCH($B58,CaseData!$B$27:$B$35,0),MATCH($C58,CaseData!$B$27:$E$27,0))</f>
        <v>170</v>
      </c>
      <c r="AK58" s="72">
        <f>INDEX(CaseData!$B$27:$E$35,MATCH($B58,CaseData!$B$27:$B$35,0),MATCH($C58,CaseData!$B$27:$E$27,0))</f>
        <v>170</v>
      </c>
      <c r="AL58" s="72">
        <f>INDEX(CaseData!$B$27:$E$35,MATCH($B58,CaseData!$B$27:$B$35,0),MATCH($C58,CaseData!$B$27:$E$27,0))</f>
        <v>170</v>
      </c>
      <c r="AM58" s="72">
        <f>INDEX(CaseData!$B$27:$E$35,MATCH($B58,CaseData!$B$27:$B$35,0),MATCH($C58,CaseData!$B$27:$E$27,0))</f>
        <v>170</v>
      </c>
      <c r="AN58" s="72">
        <f>INDEX(CaseData!$B$27:$E$35,MATCH($B58,CaseData!$B$27:$B$35,0),MATCH($C58,CaseData!$B$27:$E$27,0))</f>
        <v>170</v>
      </c>
      <c r="AO58" s="72">
        <f>INDEX(CaseData!$B$27:$E$35,MATCH($B58,CaseData!$B$27:$B$35,0),MATCH($C58,CaseData!$B$27:$E$27,0))</f>
        <v>170</v>
      </c>
      <c r="AP58" s="72">
        <f>INDEX(CaseData!$B$27:$E$35,MATCH($B58,CaseData!$B$27:$B$35,0),MATCH($C58,CaseData!$B$27:$E$27,0))</f>
        <v>170</v>
      </c>
      <c r="AQ58" s="72">
        <f>INDEX(CaseData!$B$27:$E$35,MATCH($B58,CaseData!$B$27:$B$35,0),MATCH($C58,CaseData!$B$27:$E$27,0))</f>
        <v>170</v>
      </c>
      <c r="AR58" s="72">
        <f>INDEX(CaseData!$B$27:$E$35,MATCH($B58,CaseData!$B$27:$B$35,0),MATCH($C58,CaseData!$B$27:$E$27,0))</f>
        <v>170</v>
      </c>
      <c r="AS58" s="72">
        <f>INDEX(CaseData!$B$27:$E$35,MATCH($B58,CaseData!$B$27:$B$35,0),MATCH($C58,CaseData!$B$27:$E$27,0))</f>
        <v>170</v>
      </c>
      <c r="AT58" s="72">
        <f>INDEX(CaseData!$B$27:$E$35,MATCH($B58,CaseData!$B$27:$B$35,0),MATCH($C58,CaseData!$B$27:$E$27,0))</f>
        <v>170</v>
      </c>
      <c r="AU58" s="72">
        <f>INDEX(CaseData!$B$27:$E$35,MATCH($B58,CaseData!$B$27:$B$35,0),MATCH($C58,CaseData!$B$27:$E$27,0))</f>
        <v>170</v>
      </c>
      <c r="AV58" s="72">
        <f>INDEX(CaseData!$B$27:$E$35,MATCH($B58,CaseData!$B$27:$B$35,0),MATCH($C58,CaseData!$B$27:$E$27,0))</f>
        <v>170</v>
      </c>
      <c r="AW58" s="72">
        <f>INDEX(CaseData!$B$27:$E$35,MATCH($B58,CaseData!$B$27:$B$35,0),MATCH($C58,CaseData!$B$27:$E$27,0))</f>
        <v>170</v>
      </c>
      <c r="AX58" s="72">
        <f>INDEX(CaseData!$B$27:$E$35,MATCH($B58,CaseData!$B$27:$B$35,0),MATCH($C58,CaseData!$B$27:$E$27,0))</f>
        <v>170</v>
      </c>
      <c r="AY58" s="72">
        <f>INDEX(CaseData!$B$27:$E$35,MATCH($B58,CaseData!$B$27:$B$35,0),MATCH($C58,CaseData!$B$27:$E$27,0))</f>
        <v>170</v>
      </c>
      <c r="AZ58" s="72">
        <f>INDEX(CaseData!$B$27:$E$35,MATCH($B58,CaseData!$B$27:$B$35,0),MATCH($C58,CaseData!$B$27:$E$27,0))</f>
        <v>170</v>
      </c>
      <c r="BA58" s="72">
        <f>INDEX(CaseData!$B$27:$E$35,MATCH($B58,CaseData!$B$27:$B$35,0),MATCH($C58,CaseData!$B$27:$E$27,0))</f>
        <v>170</v>
      </c>
      <c r="BB58" s="72">
        <f>INDEX(CaseData!$B$27:$E$35,MATCH($B58,CaseData!$B$27:$B$35,0),MATCH($C58,CaseData!$B$27:$E$27,0))</f>
        <v>170</v>
      </c>
      <c r="BC58" s="72">
        <f>INDEX(CaseData!$B$27:$E$35,MATCH($B58,CaseData!$B$27:$B$35,0),MATCH($C58,CaseData!$B$27:$E$27,0))</f>
        <v>170</v>
      </c>
      <c r="BD58" s="72">
        <f>INDEX(CaseData!$B$27:$E$35,MATCH($B58,CaseData!$B$27:$B$35,0),MATCH($C58,CaseData!$B$27:$E$27,0))</f>
        <v>170</v>
      </c>
      <c r="BE58" s="72">
        <f>INDEX(CaseData!$B$27:$E$35,MATCH($B58,CaseData!$B$27:$B$35,0),MATCH($C58,CaseData!$B$27:$E$27,0))</f>
        <v>170</v>
      </c>
      <c r="BF58" s="72">
        <f>INDEX(CaseData!$B$27:$E$35,MATCH($B58,CaseData!$B$27:$B$35,0),MATCH($C58,CaseData!$B$27:$E$27,0))</f>
        <v>170</v>
      </c>
      <c r="BG58" s="72">
        <f>INDEX(CaseData!$B$27:$E$35,MATCH($B58,CaseData!$B$27:$B$35,0),MATCH($C58,CaseData!$B$27:$E$27,0))</f>
        <v>170</v>
      </c>
      <c r="BH58" s="72">
        <f>INDEX(CaseData!$B$27:$E$35,MATCH($B58,CaseData!$B$27:$B$35,0),MATCH($C58,CaseData!$B$27:$E$27,0))</f>
        <v>170</v>
      </c>
      <c r="BI58" s="72">
        <f>INDEX(CaseData!$B$27:$E$35,MATCH($B58,CaseData!$B$27:$B$35,0),MATCH($C58,CaseData!$B$27:$E$27,0))</f>
        <v>170</v>
      </c>
      <c r="BJ58" s="72">
        <f>INDEX(CaseData!$B$27:$E$35,MATCH($B58,CaseData!$B$27:$B$35,0),MATCH($C58,CaseData!$B$27:$E$27,0))</f>
        <v>170</v>
      </c>
      <c r="BK58" s="72">
        <f>INDEX(CaseData!$B$27:$E$35,MATCH($B58,CaseData!$B$27:$B$35,0),MATCH($C58,CaseData!$B$27:$E$27,0))</f>
        <v>170</v>
      </c>
      <c r="BL58" s="72">
        <f>INDEX(CaseData!$B$27:$E$35,MATCH($B58,CaseData!$B$27:$B$35,0),MATCH($C58,CaseData!$B$27:$E$27,0))</f>
        <v>170</v>
      </c>
      <c r="BM58" s="72">
        <f>INDEX(CaseData!$B$27:$E$35,MATCH($B58,CaseData!$B$27:$B$35,0),MATCH($C58,CaseData!$B$27:$E$27,0))</f>
        <v>170</v>
      </c>
      <c r="BN58" s="72">
        <f>INDEX(CaseData!$B$27:$E$35,MATCH($B58,CaseData!$B$27:$B$35,0),MATCH($C58,CaseData!$B$27:$E$27,0))</f>
        <v>170</v>
      </c>
    </row>
    <row r="59" spans="2:66">
      <c r="B59" s="37" t="str">
        <f t="shared" si="28"/>
        <v>Zurich</v>
      </c>
      <c r="C59" t="str">
        <f t="shared" si="27"/>
        <v>Accessories</v>
      </c>
      <c r="G59" s="72">
        <f>INDEX(CaseData!$B$27:$E$35,MATCH($B59,CaseData!$B$27:$B$35,0),MATCH($C59,CaseData!$B$27:$E$27,0))</f>
        <v>150</v>
      </c>
      <c r="H59" s="72">
        <f>INDEX(CaseData!$B$27:$E$35,MATCH($B59,CaseData!$B$27:$B$35,0),MATCH($C59,CaseData!$B$27:$E$27,0))</f>
        <v>150</v>
      </c>
      <c r="I59" s="72">
        <f>INDEX(CaseData!$B$27:$E$35,MATCH($B59,CaseData!$B$27:$B$35,0),MATCH($C59,CaseData!$B$27:$E$27,0))</f>
        <v>150</v>
      </c>
      <c r="J59" s="72">
        <f>INDEX(CaseData!$B$27:$E$35,MATCH($B59,CaseData!$B$27:$B$35,0),MATCH($C59,CaseData!$B$27:$E$27,0))</f>
        <v>150</v>
      </c>
      <c r="K59" s="72">
        <f>INDEX(CaseData!$B$27:$E$35,MATCH($B59,CaseData!$B$27:$B$35,0),MATCH($C59,CaseData!$B$27:$E$27,0))</f>
        <v>150</v>
      </c>
      <c r="L59" s="72">
        <f>INDEX(CaseData!$B$27:$E$35,MATCH($B59,CaseData!$B$27:$B$35,0),MATCH($C59,CaseData!$B$27:$E$27,0))</f>
        <v>150</v>
      </c>
      <c r="M59" s="72">
        <f>INDEX(CaseData!$B$27:$E$35,MATCH($B59,CaseData!$B$27:$B$35,0),MATCH($C59,CaseData!$B$27:$E$27,0))</f>
        <v>150</v>
      </c>
      <c r="N59" s="72">
        <f>INDEX(CaseData!$B$27:$E$35,MATCH($B59,CaseData!$B$27:$B$35,0),MATCH($C59,CaseData!$B$27:$E$27,0))</f>
        <v>150</v>
      </c>
      <c r="O59" s="72">
        <f>INDEX(CaseData!$B$27:$E$35,MATCH($B59,CaseData!$B$27:$B$35,0),MATCH($C59,CaseData!$B$27:$E$27,0))</f>
        <v>150</v>
      </c>
      <c r="P59" s="72">
        <f>INDEX(CaseData!$B$27:$E$35,MATCH($B59,CaseData!$B$27:$B$35,0),MATCH($C59,CaseData!$B$27:$E$27,0))</f>
        <v>150</v>
      </c>
      <c r="Q59" s="72">
        <f>INDEX(CaseData!$B$27:$E$35,MATCH($B59,CaseData!$B$27:$B$35,0),MATCH($C59,CaseData!$B$27:$E$27,0))</f>
        <v>150</v>
      </c>
      <c r="R59" s="72">
        <f>INDEX(CaseData!$B$27:$E$35,MATCH($B59,CaseData!$B$27:$B$35,0),MATCH($C59,CaseData!$B$27:$E$27,0))</f>
        <v>150</v>
      </c>
      <c r="S59" s="72">
        <f>INDEX(CaseData!$B$27:$E$35,MATCH($B59,CaseData!$B$27:$B$35,0),MATCH($C59,CaseData!$B$27:$E$27,0))</f>
        <v>150</v>
      </c>
      <c r="T59" s="72">
        <f>INDEX(CaseData!$B$27:$E$35,MATCH($B59,CaseData!$B$27:$B$35,0),MATCH($C59,CaseData!$B$27:$E$27,0))</f>
        <v>150</v>
      </c>
      <c r="U59" s="72">
        <f>INDEX(CaseData!$B$27:$E$35,MATCH($B59,CaseData!$B$27:$B$35,0),MATCH($C59,CaseData!$B$27:$E$27,0))</f>
        <v>150</v>
      </c>
      <c r="V59" s="72">
        <f>INDEX(CaseData!$B$27:$E$35,MATCH($B59,CaseData!$B$27:$B$35,0),MATCH($C59,CaseData!$B$27:$E$27,0))</f>
        <v>150</v>
      </c>
      <c r="W59" s="72">
        <f>INDEX(CaseData!$B$27:$E$35,MATCH($B59,CaseData!$B$27:$B$35,0),MATCH($C59,CaseData!$B$27:$E$27,0))</f>
        <v>150</v>
      </c>
      <c r="X59" s="72">
        <f>INDEX(CaseData!$B$27:$E$35,MATCH($B59,CaseData!$B$27:$B$35,0),MATCH($C59,CaseData!$B$27:$E$27,0))</f>
        <v>150</v>
      </c>
      <c r="Y59" s="72">
        <f>INDEX(CaseData!$B$27:$E$35,MATCH($B59,CaseData!$B$27:$B$35,0),MATCH($C59,CaseData!$B$27:$E$27,0))</f>
        <v>150</v>
      </c>
      <c r="Z59" s="72">
        <f>INDEX(CaseData!$B$27:$E$35,MATCH($B59,CaseData!$B$27:$B$35,0),MATCH($C59,CaseData!$B$27:$E$27,0))</f>
        <v>150</v>
      </c>
      <c r="AA59" s="72">
        <f>INDEX(CaseData!$B$27:$E$35,MATCH($B59,CaseData!$B$27:$B$35,0),MATCH($C59,CaseData!$B$27:$E$27,0))</f>
        <v>150</v>
      </c>
      <c r="AB59" s="72">
        <f>INDEX(CaseData!$B$27:$E$35,MATCH($B59,CaseData!$B$27:$B$35,0),MATCH($C59,CaseData!$B$27:$E$27,0))</f>
        <v>150</v>
      </c>
      <c r="AC59" s="72">
        <f>INDEX(CaseData!$B$27:$E$35,MATCH($B59,CaseData!$B$27:$B$35,0),MATCH($C59,CaseData!$B$27:$E$27,0))</f>
        <v>150</v>
      </c>
      <c r="AD59" s="72">
        <f>INDEX(CaseData!$B$27:$E$35,MATCH($B59,CaseData!$B$27:$B$35,0),MATCH($C59,CaseData!$B$27:$E$27,0))</f>
        <v>150</v>
      </c>
      <c r="AE59" s="72">
        <f>INDEX(CaseData!$B$27:$E$35,MATCH($B59,CaseData!$B$27:$B$35,0),MATCH($C59,CaseData!$B$27:$E$27,0))</f>
        <v>150</v>
      </c>
      <c r="AF59" s="72">
        <f>INDEX(CaseData!$B$27:$E$35,MATCH($B59,CaseData!$B$27:$B$35,0),MATCH($C59,CaseData!$B$27:$E$27,0))</f>
        <v>150</v>
      </c>
      <c r="AG59" s="72">
        <f>INDEX(CaseData!$B$27:$E$35,MATCH($B59,CaseData!$B$27:$B$35,0),MATCH($C59,CaseData!$B$27:$E$27,0))</f>
        <v>150</v>
      </c>
      <c r="AH59" s="72">
        <f>INDEX(CaseData!$B$27:$E$35,MATCH($B59,CaseData!$B$27:$B$35,0),MATCH($C59,CaseData!$B$27:$E$27,0))</f>
        <v>150</v>
      </c>
      <c r="AI59" s="72">
        <f>INDEX(CaseData!$B$27:$E$35,MATCH($B59,CaseData!$B$27:$B$35,0),MATCH($C59,CaseData!$B$27:$E$27,0))</f>
        <v>150</v>
      </c>
      <c r="AJ59" s="72">
        <f>INDEX(CaseData!$B$27:$E$35,MATCH($B59,CaseData!$B$27:$B$35,0),MATCH($C59,CaseData!$B$27:$E$27,0))</f>
        <v>150</v>
      </c>
      <c r="AK59" s="72">
        <f>INDEX(CaseData!$B$27:$E$35,MATCH($B59,CaseData!$B$27:$B$35,0),MATCH($C59,CaseData!$B$27:$E$27,0))</f>
        <v>150</v>
      </c>
      <c r="AL59" s="72">
        <f>INDEX(CaseData!$B$27:$E$35,MATCH($B59,CaseData!$B$27:$B$35,0),MATCH($C59,CaseData!$B$27:$E$27,0))</f>
        <v>150</v>
      </c>
      <c r="AM59" s="72">
        <f>INDEX(CaseData!$B$27:$E$35,MATCH($B59,CaseData!$B$27:$B$35,0),MATCH($C59,CaseData!$B$27:$E$27,0))</f>
        <v>150</v>
      </c>
      <c r="AN59" s="72">
        <f>INDEX(CaseData!$B$27:$E$35,MATCH($B59,CaseData!$B$27:$B$35,0),MATCH($C59,CaseData!$B$27:$E$27,0))</f>
        <v>150</v>
      </c>
      <c r="AO59" s="72">
        <f>INDEX(CaseData!$B$27:$E$35,MATCH($B59,CaseData!$B$27:$B$35,0),MATCH($C59,CaseData!$B$27:$E$27,0))</f>
        <v>150</v>
      </c>
      <c r="AP59" s="72">
        <f>INDEX(CaseData!$B$27:$E$35,MATCH($B59,CaseData!$B$27:$B$35,0),MATCH($C59,CaseData!$B$27:$E$27,0))</f>
        <v>150</v>
      </c>
      <c r="AQ59" s="72">
        <f>INDEX(CaseData!$B$27:$E$35,MATCH($B59,CaseData!$B$27:$B$35,0),MATCH($C59,CaseData!$B$27:$E$27,0))</f>
        <v>150</v>
      </c>
      <c r="AR59" s="72">
        <f>INDEX(CaseData!$B$27:$E$35,MATCH($B59,CaseData!$B$27:$B$35,0),MATCH($C59,CaseData!$B$27:$E$27,0))</f>
        <v>150</v>
      </c>
      <c r="AS59" s="72">
        <f>INDEX(CaseData!$B$27:$E$35,MATCH($B59,CaseData!$B$27:$B$35,0),MATCH($C59,CaseData!$B$27:$E$27,0))</f>
        <v>150</v>
      </c>
      <c r="AT59" s="72">
        <f>INDEX(CaseData!$B$27:$E$35,MATCH($B59,CaseData!$B$27:$B$35,0),MATCH($C59,CaseData!$B$27:$E$27,0))</f>
        <v>150</v>
      </c>
      <c r="AU59" s="72">
        <f>INDEX(CaseData!$B$27:$E$35,MATCH($B59,CaseData!$B$27:$B$35,0),MATCH($C59,CaseData!$B$27:$E$27,0))</f>
        <v>150</v>
      </c>
      <c r="AV59" s="72">
        <f>INDEX(CaseData!$B$27:$E$35,MATCH($B59,CaseData!$B$27:$B$35,0),MATCH($C59,CaseData!$B$27:$E$27,0))</f>
        <v>150</v>
      </c>
      <c r="AW59" s="72">
        <f>INDEX(CaseData!$B$27:$E$35,MATCH($B59,CaseData!$B$27:$B$35,0),MATCH($C59,CaseData!$B$27:$E$27,0))</f>
        <v>150</v>
      </c>
      <c r="AX59" s="72">
        <f>INDEX(CaseData!$B$27:$E$35,MATCH($B59,CaseData!$B$27:$B$35,0),MATCH($C59,CaseData!$B$27:$E$27,0))</f>
        <v>150</v>
      </c>
      <c r="AY59" s="72">
        <f>INDEX(CaseData!$B$27:$E$35,MATCH($B59,CaseData!$B$27:$B$35,0),MATCH($C59,CaseData!$B$27:$E$27,0))</f>
        <v>150</v>
      </c>
      <c r="AZ59" s="72">
        <f>INDEX(CaseData!$B$27:$E$35,MATCH($B59,CaseData!$B$27:$B$35,0),MATCH($C59,CaseData!$B$27:$E$27,0))</f>
        <v>150</v>
      </c>
      <c r="BA59" s="72">
        <f>INDEX(CaseData!$B$27:$E$35,MATCH($B59,CaseData!$B$27:$B$35,0),MATCH($C59,CaseData!$B$27:$E$27,0))</f>
        <v>150</v>
      </c>
      <c r="BB59" s="72">
        <f>INDEX(CaseData!$B$27:$E$35,MATCH($B59,CaseData!$B$27:$B$35,0),MATCH($C59,CaseData!$B$27:$E$27,0))</f>
        <v>150</v>
      </c>
      <c r="BC59" s="72">
        <f>INDEX(CaseData!$B$27:$E$35,MATCH($B59,CaseData!$B$27:$B$35,0),MATCH($C59,CaseData!$B$27:$E$27,0))</f>
        <v>150</v>
      </c>
      <c r="BD59" s="72">
        <f>INDEX(CaseData!$B$27:$E$35,MATCH($B59,CaseData!$B$27:$B$35,0),MATCH($C59,CaseData!$B$27:$E$27,0))</f>
        <v>150</v>
      </c>
      <c r="BE59" s="72">
        <f>INDEX(CaseData!$B$27:$E$35,MATCH($B59,CaseData!$B$27:$B$35,0),MATCH($C59,CaseData!$B$27:$E$27,0))</f>
        <v>150</v>
      </c>
      <c r="BF59" s="72">
        <f>INDEX(CaseData!$B$27:$E$35,MATCH($B59,CaseData!$B$27:$B$35,0),MATCH($C59,CaseData!$B$27:$E$27,0))</f>
        <v>150</v>
      </c>
      <c r="BG59" s="72">
        <f>INDEX(CaseData!$B$27:$E$35,MATCH($B59,CaseData!$B$27:$B$35,0),MATCH($C59,CaseData!$B$27:$E$27,0))</f>
        <v>150</v>
      </c>
      <c r="BH59" s="72">
        <f>INDEX(CaseData!$B$27:$E$35,MATCH($B59,CaseData!$B$27:$B$35,0),MATCH($C59,CaseData!$B$27:$E$27,0))</f>
        <v>150</v>
      </c>
      <c r="BI59" s="72">
        <f>INDEX(CaseData!$B$27:$E$35,MATCH($B59,CaseData!$B$27:$B$35,0),MATCH($C59,CaseData!$B$27:$E$27,0))</f>
        <v>150</v>
      </c>
      <c r="BJ59" s="72">
        <f>INDEX(CaseData!$B$27:$E$35,MATCH($B59,CaseData!$B$27:$B$35,0),MATCH($C59,CaseData!$B$27:$E$27,0))</f>
        <v>150</v>
      </c>
      <c r="BK59" s="72">
        <f>INDEX(CaseData!$B$27:$E$35,MATCH($B59,CaseData!$B$27:$B$35,0),MATCH($C59,CaseData!$B$27:$E$27,0))</f>
        <v>150</v>
      </c>
      <c r="BL59" s="72">
        <f>INDEX(CaseData!$B$27:$E$35,MATCH($B59,CaseData!$B$27:$B$35,0),MATCH($C59,CaseData!$B$27:$E$27,0))</f>
        <v>150</v>
      </c>
      <c r="BM59" s="72">
        <f>INDEX(CaseData!$B$27:$E$35,MATCH($B59,CaseData!$B$27:$B$35,0),MATCH($C59,CaseData!$B$27:$E$27,0))</f>
        <v>150</v>
      </c>
      <c r="BN59" s="72">
        <f>INDEX(CaseData!$B$27:$E$35,MATCH($B59,CaseData!$B$27:$B$35,0),MATCH($C59,CaseData!$B$27:$E$27,0))</f>
        <v>150</v>
      </c>
    </row>
    <row r="60" spans="2:66">
      <c r="B60" s="37" t="str">
        <f>CaseData!$B$35</f>
        <v>Moscow</v>
      </c>
      <c r="C60" t="str">
        <f t="shared" si="27"/>
        <v>Women's</v>
      </c>
      <c r="G60" s="72">
        <f>INDEX(CaseData!$B$27:$E$35,MATCH($B60,CaseData!$B$27:$B$35,0),MATCH($C60,CaseData!$B$27:$E$27,0))</f>
        <v>110</v>
      </c>
      <c r="H60" s="72">
        <f>INDEX(CaseData!$B$27:$E$35,MATCH($B60,CaseData!$B$27:$B$35,0),MATCH($C60,CaseData!$B$27:$E$27,0))</f>
        <v>110</v>
      </c>
      <c r="I60" s="72">
        <f>INDEX(CaseData!$B$27:$E$35,MATCH($B60,CaseData!$B$27:$B$35,0),MATCH($C60,CaseData!$B$27:$E$27,0))</f>
        <v>110</v>
      </c>
      <c r="J60" s="72">
        <f>INDEX(CaseData!$B$27:$E$35,MATCH($B60,CaseData!$B$27:$B$35,0),MATCH($C60,CaseData!$B$27:$E$27,0))</f>
        <v>110</v>
      </c>
      <c r="K60" s="72">
        <f>INDEX(CaseData!$B$27:$E$35,MATCH($B60,CaseData!$B$27:$B$35,0),MATCH($C60,CaseData!$B$27:$E$27,0))</f>
        <v>110</v>
      </c>
      <c r="L60" s="72">
        <f>INDEX(CaseData!$B$27:$E$35,MATCH($B60,CaseData!$B$27:$B$35,0),MATCH($C60,CaseData!$B$27:$E$27,0))</f>
        <v>110</v>
      </c>
      <c r="M60" s="72">
        <f>INDEX(CaseData!$B$27:$E$35,MATCH($B60,CaseData!$B$27:$B$35,0),MATCH($C60,CaseData!$B$27:$E$27,0))</f>
        <v>110</v>
      </c>
      <c r="N60" s="72">
        <f>INDEX(CaseData!$B$27:$E$35,MATCH($B60,CaseData!$B$27:$B$35,0),MATCH($C60,CaseData!$B$27:$E$27,0))</f>
        <v>110</v>
      </c>
      <c r="O60" s="72">
        <f>INDEX(CaseData!$B$27:$E$35,MATCH($B60,CaseData!$B$27:$B$35,0),MATCH($C60,CaseData!$B$27:$E$27,0))</f>
        <v>110</v>
      </c>
      <c r="P60" s="72">
        <f>INDEX(CaseData!$B$27:$E$35,MATCH($B60,CaseData!$B$27:$B$35,0),MATCH($C60,CaseData!$B$27:$E$27,0))</f>
        <v>110</v>
      </c>
      <c r="Q60" s="72">
        <f>INDEX(CaseData!$B$27:$E$35,MATCH($B60,CaseData!$B$27:$B$35,0),MATCH($C60,CaseData!$B$27:$E$27,0))</f>
        <v>110</v>
      </c>
      <c r="R60" s="72">
        <f>INDEX(CaseData!$B$27:$E$35,MATCH($B60,CaseData!$B$27:$B$35,0),MATCH($C60,CaseData!$B$27:$E$27,0))</f>
        <v>110</v>
      </c>
      <c r="S60" s="72">
        <f>INDEX(CaseData!$B$27:$E$35,MATCH($B60,CaseData!$B$27:$B$35,0),MATCH($C60,CaseData!$B$27:$E$27,0))</f>
        <v>110</v>
      </c>
      <c r="T60" s="72">
        <f>INDEX(CaseData!$B$27:$E$35,MATCH($B60,CaseData!$B$27:$B$35,0),MATCH($C60,CaseData!$B$27:$E$27,0))</f>
        <v>110</v>
      </c>
      <c r="U60" s="72">
        <f>INDEX(CaseData!$B$27:$E$35,MATCH($B60,CaseData!$B$27:$B$35,0),MATCH($C60,CaseData!$B$27:$E$27,0))</f>
        <v>110</v>
      </c>
      <c r="V60" s="72">
        <f>INDEX(CaseData!$B$27:$E$35,MATCH($B60,CaseData!$B$27:$B$35,0),MATCH($C60,CaseData!$B$27:$E$27,0))</f>
        <v>110</v>
      </c>
      <c r="W60" s="72">
        <f>INDEX(CaseData!$B$27:$E$35,MATCH($B60,CaseData!$B$27:$B$35,0),MATCH($C60,CaseData!$B$27:$E$27,0))</f>
        <v>110</v>
      </c>
      <c r="X60" s="72">
        <f>INDEX(CaseData!$B$27:$E$35,MATCH($B60,CaseData!$B$27:$B$35,0),MATCH($C60,CaseData!$B$27:$E$27,0))</f>
        <v>110</v>
      </c>
      <c r="Y60" s="72">
        <f>INDEX(CaseData!$B$27:$E$35,MATCH($B60,CaseData!$B$27:$B$35,0),MATCH($C60,CaseData!$B$27:$E$27,0))</f>
        <v>110</v>
      </c>
      <c r="Z60" s="72">
        <f>INDEX(CaseData!$B$27:$E$35,MATCH($B60,CaseData!$B$27:$B$35,0),MATCH($C60,CaseData!$B$27:$E$27,0))</f>
        <v>110</v>
      </c>
      <c r="AA60" s="72">
        <f>INDEX(CaseData!$B$27:$E$35,MATCH($B60,CaseData!$B$27:$B$35,0),MATCH($C60,CaseData!$B$27:$E$27,0))</f>
        <v>110</v>
      </c>
      <c r="AB60" s="72">
        <f>INDEX(CaseData!$B$27:$E$35,MATCH($B60,CaseData!$B$27:$B$35,0),MATCH($C60,CaseData!$B$27:$E$27,0))</f>
        <v>110</v>
      </c>
      <c r="AC60" s="72">
        <f>INDEX(CaseData!$B$27:$E$35,MATCH($B60,CaseData!$B$27:$B$35,0),MATCH($C60,CaseData!$B$27:$E$27,0))</f>
        <v>110</v>
      </c>
      <c r="AD60" s="72">
        <f>INDEX(CaseData!$B$27:$E$35,MATCH($B60,CaseData!$B$27:$B$35,0),MATCH($C60,CaseData!$B$27:$E$27,0))</f>
        <v>110</v>
      </c>
      <c r="AE60" s="72">
        <f>INDEX(CaseData!$B$27:$E$35,MATCH($B60,CaseData!$B$27:$B$35,0),MATCH($C60,CaseData!$B$27:$E$27,0))</f>
        <v>110</v>
      </c>
      <c r="AF60" s="72">
        <f>INDEX(CaseData!$B$27:$E$35,MATCH($B60,CaseData!$B$27:$B$35,0),MATCH($C60,CaseData!$B$27:$E$27,0))</f>
        <v>110</v>
      </c>
      <c r="AG60" s="72">
        <f>INDEX(CaseData!$B$27:$E$35,MATCH($B60,CaseData!$B$27:$B$35,0),MATCH($C60,CaseData!$B$27:$E$27,0))</f>
        <v>110</v>
      </c>
      <c r="AH60" s="72">
        <f>INDEX(CaseData!$B$27:$E$35,MATCH($B60,CaseData!$B$27:$B$35,0),MATCH($C60,CaseData!$B$27:$E$27,0))</f>
        <v>110</v>
      </c>
      <c r="AI60" s="72">
        <f>INDEX(CaseData!$B$27:$E$35,MATCH($B60,CaseData!$B$27:$B$35,0),MATCH($C60,CaseData!$B$27:$E$27,0))</f>
        <v>110</v>
      </c>
      <c r="AJ60" s="72">
        <f>INDEX(CaseData!$B$27:$E$35,MATCH($B60,CaseData!$B$27:$B$35,0),MATCH($C60,CaseData!$B$27:$E$27,0))</f>
        <v>110</v>
      </c>
      <c r="AK60" s="72">
        <f>INDEX(CaseData!$B$27:$E$35,MATCH($B60,CaseData!$B$27:$B$35,0),MATCH($C60,CaseData!$B$27:$E$27,0))</f>
        <v>110</v>
      </c>
      <c r="AL60" s="72">
        <f>INDEX(CaseData!$B$27:$E$35,MATCH($B60,CaseData!$B$27:$B$35,0),MATCH($C60,CaseData!$B$27:$E$27,0))</f>
        <v>110</v>
      </c>
      <c r="AM60" s="72">
        <f>INDEX(CaseData!$B$27:$E$35,MATCH($B60,CaseData!$B$27:$B$35,0),MATCH($C60,CaseData!$B$27:$E$27,0))</f>
        <v>110</v>
      </c>
      <c r="AN60" s="72">
        <f>INDEX(CaseData!$B$27:$E$35,MATCH($B60,CaseData!$B$27:$B$35,0),MATCH($C60,CaseData!$B$27:$E$27,0))</f>
        <v>110</v>
      </c>
      <c r="AO60" s="72">
        <f>INDEX(CaseData!$B$27:$E$35,MATCH($B60,CaseData!$B$27:$B$35,0),MATCH($C60,CaseData!$B$27:$E$27,0))</f>
        <v>110</v>
      </c>
      <c r="AP60" s="72">
        <f>INDEX(CaseData!$B$27:$E$35,MATCH($B60,CaseData!$B$27:$B$35,0),MATCH($C60,CaseData!$B$27:$E$27,0))</f>
        <v>110</v>
      </c>
      <c r="AQ60" s="72">
        <f>INDEX(CaseData!$B$27:$E$35,MATCH($B60,CaseData!$B$27:$B$35,0),MATCH($C60,CaseData!$B$27:$E$27,0))</f>
        <v>110</v>
      </c>
      <c r="AR60" s="72">
        <f>INDEX(CaseData!$B$27:$E$35,MATCH($B60,CaseData!$B$27:$B$35,0),MATCH($C60,CaseData!$B$27:$E$27,0))</f>
        <v>110</v>
      </c>
      <c r="AS60" s="72">
        <f>INDEX(CaseData!$B$27:$E$35,MATCH($B60,CaseData!$B$27:$B$35,0),MATCH($C60,CaseData!$B$27:$E$27,0))</f>
        <v>110</v>
      </c>
      <c r="AT60" s="72">
        <f>INDEX(CaseData!$B$27:$E$35,MATCH($B60,CaseData!$B$27:$B$35,0),MATCH($C60,CaseData!$B$27:$E$27,0))</f>
        <v>110</v>
      </c>
      <c r="AU60" s="72">
        <f>INDEX(CaseData!$B$27:$E$35,MATCH($B60,CaseData!$B$27:$B$35,0),MATCH($C60,CaseData!$B$27:$E$27,0))</f>
        <v>110</v>
      </c>
      <c r="AV60" s="72">
        <f>INDEX(CaseData!$B$27:$E$35,MATCH($B60,CaseData!$B$27:$B$35,0),MATCH($C60,CaseData!$B$27:$E$27,0))</f>
        <v>110</v>
      </c>
      <c r="AW60" s="72">
        <f>INDEX(CaseData!$B$27:$E$35,MATCH($B60,CaseData!$B$27:$B$35,0),MATCH($C60,CaseData!$B$27:$E$27,0))</f>
        <v>110</v>
      </c>
      <c r="AX60" s="72">
        <f>INDEX(CaseData!$B$27:$E$35,MATCH($B60,CaseData!$B$27:$B$35,0),MATCH($C60,CaseData!$B$27:$E$27,0))</f>
        <v>110</v>
      </c>
      <c r="AY60" s="72">
        <f>INDEX(CaseData!$B$27:$E$35,MATCH($B60,CaseData!$B$27:$B$35,0),MATCH($C60,CaseData!$B$27:$E$27,0))</f>
        <v>110</v>
      </c>
      <c r="AZ60" s="72">
        <f>INDEX(CaseData!$B$27:$E$35,MATCH($B60,CaseData!$B$27:$B$35,0),MATCH($C60,CaseData!$B$27:$E$27,0))</f>
        <v>110</v>
      </c>
      <c r="BA60" s="72">
        <f>INDEX(CaseData!$B$27:$E$35,MATCH($B60,CaseData!$B$27:$B$35,0),MATCH($C60,CaseData!$B$27:$E$27,0))</f>
        <v>110</v>
      </c>
      <c r="BB60" s="72">
        <f>INDEX(CaseData!$B$27:$E$35,MATCH($B60,CaseData!$B$27:$B$35,0),MATCH($C60,CaseData!$B$27:$E$27,0))</f>
        <v>110</v>
      </c>
      <c r="BC60" s="72">
        <f>INDEX(CaseData!$B$27:$E$35,MATCH($B60,CaseData!$B$27:$B$35,0),MATCH($C60,CaseData!$B$27:$E$27,0))</f>
        <v>110</v>
      </c>
      <c r="BD60" s="72">
        <f>INDEX(CaseData!$B$27:$E$35,MATCH($B60,CaseData!$B$27:$B$35,0),MATCH($C60,CaseData!$B$27:$E$27,0))</f>
        <v>110</v>
      </c>
      <c r="BE60" s="72">
        <f>INDEX(CaseData!$B$27:$E$35,MATCH($B60,CaseData!$B$27:$B$35,0),MATCH($C60,CaseData!$B$27:$E$27,0))</f>
        <v>110</v>
      </c>
      <c r="BF60" s="72">
        <f>INDEX(CaseData!$B$27:$E$35,MATCH($B60,CaseData!$B$27:$B$35,0),MATCH($C60,CaseData!$B$27:$E$27,0))</f>
        <v>110</v>
      </c>
      <c r="BG60" s="72">
        <f>INDEX(CaseData!$B$27:$E$35,MATCH($B60,CaseData!$B$27:$B$35,0),MATCH($C60,CaseData!$B$27:$E$27,0))</f>
        <v>110</v>
      </c>
      <c r="BH60" s="72">
        <f>INDEX(CaseData!$B$27:$E$35,MATCH($B60,CaseData!$B$27:$B$35,0),MATCH($C60,CaseData!$B$27:$E$27,0))</f>
        <v>110</v>
      </c>
      <c r="BI60" s="72">
        <f>INDEX(CaseData!$B$27:$E$35,MATCH($B60,CaseData!$B$27:$B$35,0),MATCH($C60,CaseData!$B$27:$E$27,0))</f>
        <v>110</v>
      </c>
      <c r="BJ60" s="72">
        <f>INDEX(CaseData!$B$27:$E$35,MATCH($B60,CaseData!$B$27:$B$35,0),MATCH($C60,CaseData!$B$27:$E$27,0))</f>
        <v>110</v>
      </c>
      <c r="BK60" s="72">
        <f>INDEX(CaseData!$B$27:$E$35,MATCH($B60,CaseData!$B$27:$B$35,0),MATCH($C60,CaseData!$B$27:$E$27,0))</f>
        <v>110</v>
      </c>
      <c r="BL60" s="72">
        <f>INDEX(CaseData!$B$27:$E$35,MATCH($B60,CaseData!$B$27:$B$35,0),MATCH($C60,CaseData!$B$27:$E$27,0))</f>
        <v>110</v>
      </c>
      <c r="BM60" s="72">
        <f>INDEX(CaseData!$B$27:$E$35,MATCH($B60,CaseData!$B$27:$B$35,0),MATCH($C60,CaseData!$B$27:$E$27,0))</f>
        <v>110</v>
      </c>
      <c r="BN60" s="72">
        <f>INDEX(CaseData!$B$27:$E$35,MATCH($B60,CaseData!$B$27:$B$35,0),MATCH($C60,CaseData!$B$27:$E$27,0))</f>
        <v>110</v>
      </c>
    </row>
    <row r="61" spans="2:66">
      <c r="B61" s="37" t="str">
        <f t="shared" si="28"/>
        <v>Moscow</v>
      </c>
      <c r="C61" t="str">
        <f t="shared" si="27"/>
        <v>Men's</v>
      </c>
      <c r="G61" s="72">
        <f>INDEX(CaseData!$B$27:$E$35,MATCH($B61,CaseData!$B$27:$B$35,0),MATCH($C61,CaseData!$B$27:$E$27,0))</f>
        <v>130</v>
      </c>
      <c r="H61" s="72">
        <f>INDEX(CaseData!$B$27:$E$35,MATCH($B61,CaseData!$B$27:$B$35,0),MATCH($C61,CaseData!$B$27:$E$27,0))</f>
        <v>130</v>
      </c>
      <c r="I61" s="72">
        <f>INDEX(CaseData!$B$27:$E$35,MATCH($B61,CaseData!$B$27:$B$35,0),MATCH($C61,CaseData!$B$27:$E$27,0))</f>
        <v>130</v>
      </c>
      <c r="J61" s="72">
        <f>INDEX(CaseData!$B$27:$E$35,MATCH($B61,CaseData!$B$27:$B$35,0),MATCH($C61,CaseData!$B$27:$E$27,0))</f>
        <v>130</v>
      </c>
      <c r="K61" s="72">
        <f>INDEX(CaseData!$B$27:$E$35,MATCH($B61,CaseData!$B$27:$B$35,0),MATCH($C61,CaseData!$B$27:$E$27,0))</f>
        <v>130</v>
      </c>
      <c r="L61" s="72">
        <f>INDEX(CaseData!$B$27:$E$35,MATCH($B61,CaseData!$B$27:$B$35,0),MATCH($C61,CaseData!$B$27:$E$27,0))</f>
        <v>130</v>
      </c>
      <c r="M61" s="72">
        <f>INDEX(CaseData!$B$27:$E$35,MATCH($B61,CaseData!$B$27:$B$35,0),MATCH($C61,CaseData!$B$27:$E$27,0))</f>
        <v>130</v>
      </c>
      <c r="N61" s="72">
        <f>INDEX(CaseData!$B$27:$E$35,MATCH($B61,CaseData!$B$27:$B$35,0),MATCH($C61,CaseData!$B$27:$E$27,0))</f>
        <v>130</v>
      </c>
      <c r="O61" s="72">
        <f>INDEX(CaseData!$B$27:$E$35,MATCH($B61,CaseData!$B$27:$B$35,0),MATCH($C61,CaseData!$B$27:$E$27,0))</f>
        <v>130</v>
      </c>
      <c r="P61" s="72">
        <f>INDEX(CaseData!$B$27:$E$35,MATCH($B61,CaseData!$B$27:$B$35,0),MATCH($C61,CaseData!$B$27:$E$27,0))</f>
        <v>130</v>
      </c>
      <c r="Q61" s="72">
        <f>INDEX(CaseData!$B$27:$E$35,MATCH($B61,CaseData!$B$27:$B$35,0),MATCH($C61,CaseData!$B$27:$E$27,0))</f>
        <v>130</v>
      </c>
      <c r="R61" s="72">
        <f>INDEX(CaseData!$B$27:$E$35,MATCH($B61,CaseData!$B$27:$B$35,0),MATCH($C61,CaseData!$B$27:$E$27,0))</f>
        <v>130</v>
      </c>
      <c r="S61" s="72">
        <f>INDEX(CaseData!$B$27:$E$35,MATCH($B61,CaseData!$B$27:$B$35,0),MATCH($C61,CaseData!$B$27:$E$27,0))</f>
        <v>130</v>
      </c>
      <c r="T61" s="72">
        <f>INDEX(CaseData!$B$27:$E$35,MATCH($B61,CaseData!$B$27:$B$35,0),MATCH($C61,CaseData!$B$27:$E$27,0))</f>
        <v>130</v>
      </c>
      <c r="U61" s="72">
        <f>INDEX(CaseData!$B$27:$E$35,MATCH($B61,CaseData!$B$27:$B$35,0),MATCH($C61,CaseData!$B$27:$E$27,0))</f>
        <v>130</v>
      </c>
      <c r="V61" s="72">
        <f>INDEX(CaseData!$B$27:$E$35,MATCH($B61,CaseData!$B$27:$B$35,0),MATCH($C61,CaseData!$B$27:$E$27,0))</f>
        <v>130</v>
      </c>
      <c r="W61" s="72">
        <f>INDEX(CaseData!$B$27:$E$35,MATCH($B61,CaseData!$B$27:$B$35,0),MATCH($C61,CaseData!$B$27:$E$27,0))</f>
        <v>130</v>
      </c>
      <c r="X61" s="72">
        <f>INDEX(CaseData!$B$27:$E$35,MATCH($B61,CaseData!$B$27:$B$35,0),MATCH($C61,CaseData!$B$27:$E$27,0))</f>
        <v>130</v>
      </c>
      <c r="Y61" s="72">
        <f>INDEX(CaseData!$B$27:$E$35,MATCH($B61,CaseData!$B$27:$B$35,0),MATCH($C61,CaseData!$B$27:$E$27,0))</f>
        <v>130</v>
      </c>
      <c r="Z61" s="72">
        <f>INDEX(CaseData!$B$27:$E$35,MATCH($B61,CaseData!$B$27:$B$35,0),MATCH($C61,CaseData!$B$27:$E$27,0))</f>
        <v>130</v>
      </c>
      <c r="AA61" s="72">
        <f>INDEX(CaseData!$B$27:$E$35,MATCH($B61,CaseData!$B$27:$B$35,0),MATCH($C61,CaseData!$B$27:$E$27,0))</f>
        <v>130</v>
      </c>
      <c r="AB61" s="72">
        <f>INDEX(CaseData!$B$27:$E$35,MATCH($B61,CaseData!$B$27:$B$35,0),MATCH($C61,CaseData!$B$27:$E$27,0))</f>
        <v>130</v>
      </c>
      <c r="AC61" s="72">
        <f>INDEX(CaseData!$B$27:$E$35,MATCH($B61,CaseData!$B$27:$B$35,0),MATCH($C61,CaseData!$B$27:$E$27,0))</f>
        <v>130</v>
      </c>
      <c r="AD61" s="72">
        <f>INDEX(CaseData!$B$27:$E$35,MATCH($B61,CaseData!$B$27:$B$35,0),MATCH($C61,CaseData!$B$27:$E$27,0))</f>
        <v>130</v>
      </c>
      <c r="AE61" s="72">
        <f>INDEX(CaseData!$B$27:$E$35,MATCH($B61,CaseData!$B$27:$B$35,0),MATCH($C61,CaseData!$B$27:$E$27,0))</f>
        <v>130</v>
      </c>
      <c r="AF61" s="72">
        <f>INDEX(CaseData!$B$27:$E$35,MATCH($B61,CaseData!$B$27:$B$35,0),MATCH($C61,CaseData!$B$27:$E$27,0))</f>
        <v>130</v>
      </c>
      <c r="AG61" s="72">
        <f>INDEX(CaseData!$B$27:$E$35,MATCH($B61,CaseData!$B$27:$B$35,0),MATCH($C61,CaseData!$B$27:$E$27,0))</f>
        <v>130</v>
      </c>
      <c r="AH61" s="72">
        <f>INDEX(CaseData!$B$27:$E$35,MATCH($B61,CaseData!$B$27:$B$35,0),MATCH($C61,CaseData!$B$27:$E$27,0))</f>
        <v>130</v>
      </c>
      <c r="AI61" s="72">
        <f>INDEX(CaseData!$B$27:$E$35,MATCH($B61,CaseData!$B$27:$B$35,0),MATCH($C61,CaseData!$B$27:$E$27,0))</f>
        <v>130</v>
      </c>
      <c r="AJ61" s="72">
        <f>INDEX(CaseData!$B$27:$E$35,MATCH($B61,CaseData!$B$27:$B$35,0),MATCH($C61,CaseData!$B$27:$E$27,0))</f>
        <v>130</v>
      </c>
      <c r="AK61" s="72">
        <f>INDEX(CaseData!$B$27:$E$35,MATCH($B61,CaseData!$B$27:$B$35,0),MATCH($C61,CaseData!$B$27:$E$27,0))</f>
        <v>130</v>
      </c>
      <c r="AL61" s="72">
        <f>INDEX(CaseData!$B$27:$E$35,MATCH($B61,CaseData!$B$27:$B$35,0),MATCH($C61,CaseData!$B$27:$E$27,0))</f>
        <v>130</v>
      </c>
      <c r="AM61" s="72">
        <f>INDEX(CaseData!$B$27:$E$35,MATCH($B61,CaseData!$B$27:$B$35,0),MATCH($C61,CaseData!$B$27:$E$27,0))</f>
        <v>130</v>
      </c>
      <c r="AN61" s="72">
        <f>INDEX(CaseData!$B$27:$E$35,MATCH($B61,CaseData!$B$27:$B$35,0),MATCH($C61,CaseData!$B$27:$E$27,0))</f>
        <v>130</v>
      </c>
      <c r="AO61" s="72">
        <f>INDEX(CaseData!$B$27:$E$35,MATCH($B61,CaseData!$B$27:$B$35,0),MATCH($C61,CaseData!$B$27:$E$27,0))</f>
        <v>130</v>
      </c>
      <c r="AP61" s="72">
        <f>INDEX(CaseData!$B$27:$E$35,MATCH($B61,CaseData!$B$27:$B$35,0),MATCH($C61,CaseData!$B$27:$E$27,0))</f>
        <v>130</v>
      </c>
      <c r="AQ61" s="72">
        <f>INDEX(CaseData!$B$27:$E$35,MATCH($B61,CaseData!$B$27:$B$35,0),MATCH($C61,CaseData!$B$27:$E$27,0))</f>
        <v>130</v>
      </c>
      <c r="AR61" s="72">
        <f>INDEX(CaseData!$B$27:$E$35,MATCH($B61,CaseData!$B$27:$B$35,0),MATCH($C61,CaseData!$B$27:$E$27,0))</f>
        <v>130</v>
      </c>
      <c r="AS61" s="72">
        <f>INDEX(CaseData!$B$27:$E$35,MATCH($B61,CaseData!$B$27:$B$35,0),MATCH($C61,CaseData!$B$27:$E$27,0))</f>
        <v>130</v>
      </c>
      <c r="AT61" s="72">
        <f>INDEX(CaseData!$B$27:$E$35,MATCH($B61,CaseData!$B$27:$B$35,0),MATCH($C61,CaseData!$B$27:$E$27,0))</f>
        <v>130</v>
      </c>
      <c r="AU61" s="72">
        <f>INDEX(CaseData!$B$27:$E$35,MATCH($B61,CaseData!$B$27:$B$35,0),MATCH($C61,CaseData!$B$27:$E$27,0))</f>
        <v>130</v>
      </c>
      <c r="AV61" s="72">
        <f>INDEX(CaseData!$B$27:$E$35,MATCH($B61,CaseData!$B$27:$B$35,0),MATCH($C61,CaseData!$B$27:$E$27,0))</f>
        <v>130</v>
      </c>
      <c r="AW61" s="72">
        <f>INDEX(CaseData!$B$27:$E$35,MATCH($B61,CaseData!$B$27:$B$35,0),MATCH($C61,CaseData!$B$27:$E$27,0))</f>
        <v>130</v>
      </c>
      <c r="AX61" s="72">
        <f>INDEX(CaseData!$B$27:$E$35,MATCH($B61,CaseData!$B$27:$B$35,0),MATCH($C61,CaseData!$B$27:$E$27,0))</f>
        <v>130</v>
      </c>
      <c r="AY61" s="72">
        <f>INDEX(CaseData!$B$27:$E$35,MATCH($B61,CaseData!$B$27:$B$35,0),MATCH($C61,CaseData!$B$27:$E$27,0))</f>
        <v>130</v>
      </c>
      <c r="AZ61" s="72">
        <f>INDEX(CaseData!$B$27:$E$35,MATCH($B61,CaseData!$B$27:$B$35,0),MATCH($C61,CaseData!$B$27:$E$27,0))</f>
        <v>130</v>
      </c>
      <c r="BA61" s="72">
        <f>INDEX(CaseData!$B$27:$E$35,MATCH($B61,CaseData!$B$27:$B$35,0),MATCH($C61,CaseData!$B$27:$E$27,0))</f>
        <v>130</v>
      </c>
      <c r="BB61" s="72">
        <f>INDEX(CaseData!$B$27:$E$35,MATCH($B61,CaseData!$B$27:$B$35,0),MATCH($C61,CaseData!$B$27:$E$27,0))</f>
        <v>130</v>
      </c>
      <c r="BC61" s="72">
        <f>INDEX(CaseData!$B$27:$E$35,MATCH($B61,CaseData!$B$27:$B$35,0),MATCH($C61,CaseData!$B$27:$E$27,0))</f>
        <v>130</v>
      </c>
      <c r="BD61" s="72">
        <f>INDEX(CaseData!$B$27:$E$35,MATCH($B61,CaseData!$B$27:$B$35,0),MATCH($C61,CaseData!$B$27:$E$27,0))</f>
        <v>130</v>
      </c>
      <c r="BE61" s="72">
        <f>INDEX(CaseData!$B$27:$E$35,MATCH($B61,CaseData!$B$27:$B$35,0),MATCH($C61,CaseData!$B$27:$E$27,0))</f>
        <v>130</v>
      </c>
      <c r="BF61" s="72">
        <f>INDEX(CaseData!$B$27:$E$35,MATCH($B61,CaseData!$B$27:$B$35,0),MATCH($C61,CaseData!$B$27:$E$27,0))</f>
        <v>130</v>
      </c>
      <c r="BG61" s="72">
        <f>INDEX(CaseData!$B$27:$E$35,MATCH($B61,CaseData!$B$27:$B$35,0),MATCH($C61,CaseData!$B$27:$E$27,0))</f>
        <v>130</v>
      </c>
      <c r="BH61" s="72">
        <f>INDEX(CaseData!$B$27:$E$35,MATCH($B61,CaseData!$B$27:$B$35,0),MATCH($C61,CaseData!$B$27:$E$27,0))</f>
        <v>130</v>
      </c>
      <c r="BI61" s="72">
        <f>INDEX(CaseData!$B$27:$E$35,MATCH($B61,CaseData!$B$27:$B$35,0),MATCH($C61,CaseData!$B$27:$E$27,0))</f>
        <v>130</v>
      </c>
      <c r="BJ61" s="72">
        <f>INDEX(CaseData!$B$27:$E$35,MATCH($B61,CaseData!$B$27:$B$35,0),MATCH($C61,CaseData!$B$27:$E$27,0))</f>
        <v>130</v>
      </c>
      <c r="BK61" s="72">
        <f>INDEX(CaseData!$B$27:$E$35,MATCH($B61,CaseData!$B$27:$B$35,0),MATCH($C61,CaseData!$B$27:$E$27,0))</f>
        <v>130</v>
      </c>
      <c r="BL61" s="72">
        <f>INDEX(CaseData!$B$27:$E$35,MATCH($B61,CaseData!$B$27:$B$35,0),MATCH($C61,CaseData!$B$27:$E$27,0))</f>
        <v>130</v>
      </c>
      <c r="BM61" s="72">
        <f>INDEX(CaseData!$B$27:$E$35,MATCH($B61,CaseData!$B$27:$B$35,0),MATCH($C61,CaseData!$B$27:$E$27,0))</f>
        <v>130</v>
      </c>
      <c r="BN61" s="72">
        <f>INDEX(CaseData!$B$27:$E$35,MATCH($B61,CaseData!$B$27:$B$35,0),MATCH($C61,CaseData!$B$27:$E$27,0))</f>
        <v>130</v>
      </c>
    </row>
    <row r="62" spans="2:66">
      <c r="B62" s="37" t="str">
        <f t="shared" si="28"/>
        <v>Moscow</v>
      </c>
      <c r="C62" t="str">
        <f t="shared" si="27"/>
        <v>Accessories</v>
      </c>
      <c r="G62" s="72">
        <f>INDEX(CaseData!$B$27:$E$35,MATCH($B62,CaseData!$B$27:$B$35,0),MATCH($C62,CaseData!$B$27:$E$27,0))</f>
        <v>100</v>
      </c>
      <c r="H62" s="72">
        <f>INDEX(CaseData!$B$27:$E$35,MATCH($B62,CaseData!$B$27:$B$35,0),MATCH($C62,CaseData!$B$27:$E$27,0))</f>
        <v>100</v>
      </c>
      <c r="I62" s="72">
        <f>INDEX(CaseData!$B$27:$E$35,MATCH($B62,CaseData!$B$27:$B$35,0),MATCH($C62,CaseData!$B$27:$E$27,0))</f>
        <v>100</v>
      </c>
      <c r="J62" s="72">
        <f>INDEX(CaseData!$B$27:$E$35,MATCH($B62,CaseData!$B$27:$B$35,0),MATCH($C62,CaseData!$B$27:$E$27,0))</f>
        <v>100</v>
      </c>
      <c r="K62" s="72">
        <f>INDEX(CaseData!$B$27:$E$35,MATCH($B62,CaseData!$B$27:$B$35,0),MATCH($C62,CaseData!$B$27:$E$27,0))</f>
        <v>100</v>
      </c>
      <c r="L62" s="72">
        <f>INDEX(CaseData!$B$27:$E$35,MATCH($B62,CaseData!$B$27:$B$35,0),MATCH($C62,CaseData!$B$27:$E$27,0))</f>
        <v>100</v>
      </c>
      <c r="M62" s="72">
        <f>INDEX(CaseData!$B$27:$E$35,MATCH($B62,CaseData!$B$27:$B$35,0),MATCH($C62,CaseData!$B$27:$E$27,0))</f>
        <v>100</v>
      </c>
      <c r="N62" s="72">
        <f>INDEX(CaseData!$B$27:$E$35,MATCH($B62,CaseData!$B$27:$B$35,0),MATCH($C62,CaseData!$B$27:$E$27,0))</f>
        <v>100</v>
      </c>
      <c r="O62" s="72">
        <f>INDEX(CaseData!$B$27:$E$35,MATCH($B62,CaseData!$B$27:$B$35,0),MATCH($C62,CaseData!$B$27:$E$27,0))</f>
        <v>100</v>
      </c>
      <c r="P62" s="72">
        <f>INDEX(CaseData!$B$27:$E$35,MATCH($B62,CaseData!$B$27:$B$35,0),MATCH($C62,CaseData!$B$27:$E$27,0))</f>
        <v>100</v>
      </c>
      <c r="Q62" s="72">
        <f>INDEX(CaseData!$B$27:$E$35,MATCH($B62,CaseData!$B$27:$B$35,0),MATCH($C62,CaseData!$B$27:$E$27,0))</f>
        <v>100</v>
      </c>
      <c r="R62" s="72">
        <f>INDEX(CaseData!$B$27:$E$35,MATCH($B62,CaseData!$B$27:$B$35,0),MATCH($C62,CaseData!$B$27:$E$27,0))</f>
        <v>100</v>
      </c>
      <c r="S62" s="72">
        <f>INDEX(CaseData!$B$27:$E$35,MATCH($B62,CaseData!$B$27:$B$35,0),MATCH($C62,CaseData!$B$27:$E$27,0))</f>
        <v>100</v>
      </c>
      <c r="T62" s="72">
        <f>INDEX(CaseData!$B$27:$E$35,MATCH($B62,CaseData!$B$27:$B$35,0),MATCH($C62,CaseData!$B$27:$E$27,0))</f>
        <v>100</v>
      </c>
      <c r="U62" s="72">
        <f>INDEX(CaseData!$B$27:$E$35,MATCH($B62,CaseData!$B$27:$B$35,0),MATCH($C62,CaseData!$B$27:$E$27,0))</f>
        <v>100</v>
      </c>
      <c r="V62" s="72">
        <f>INDEX(CaseData!$B$27:$E$35,MATCH($B62,CaseData!$B$27:$B$35,0),MATCH($C62,CaseData!$B$27:$E$27,0))</f>
        <v>100</v>
      </c>
      <c r="W62" s="72">
        <f>INDEX(CaseData!$B$27:$E$35,MATCH($B62,CaseData!$B$27:$B$35,0),MATCH($C62,CaseData!$B$27:$E$27,0))</f>
        <v>100</v>
      </c>
      <c r="X62" s="72">
        <f>INDEX(CaseData!$B$27:$E$35,MATCH($B62,CaseData!$B$27:$B$35,0),MATCH($C62,CaseData!$B$27:$E$27,0))</f>
        <v>100</v>
      </c>
      <c r="Y62" s="72">
        <f>INDEX(CaseData!$B$27:$E$35,MATCH($B62,CaseData!$B$27:$B$35,0),MATCH($C62,CaseData!$B$27:$E$27,0))</f>
        <v>100</v>
      </c>
      <c r="Z62" s="72">
        <f>INDEX(CaseData!$B$27:$E$35,MATCH($B62,CaseData!$B$27:$B$35,0),MATCH($C62,CaseData!$B$27:$E$27,0))</f>
        <v>100</v>
      </c>
      <c r="AA62" s="72">
        <f>INDEX(CaseData!$B$27:$E$35,MATCH($B62,CaseData!$B$27:$B$35,0),MATCH($C62,CaseData!$B$27:$E$27,0))</f>
        <v>100</v>
      </c>
      <c r="AB62" s="72">
        <f>INDEX(CaseData!$B$27:$E$35,MATCH($B62,CaseData!$B$27:$B$35,0),MATCH($C62,CaseData!$B$27:$E$27,0))</f>
        <v>100</v>
      </c>
      <c r="AC62" s="72">
        <f>INDEX(CaseData!$B$27:$E$35,MATCH($B62,CaseData!$B$27:$B$35,0),MATCH($C62,CaseData!$B$27:$E$27,0))</f>
        <v>100</v>
      </c>
      <c r="AD62" s="72">
        <f>INDEX(CaseData!$B$27:$E$35,MATCH($B62,CaseData!$B$27:$B$35,0),MATCH($C62,CaseData!$B$27:$E$27,0))</f>
        <v>100</v>
      </c>
      <c r="AE62" s="72">
        <f>INDEX(CaseData!$B$27:$E$35,MATCH($B62,CaseData!$B$27:$B$35,0),MATCH($C62,CaseData!$B$27:$E$27,0))</f>
        <v>100</v>
      </c>
      <c r="AF62" s="72">
        <f>INDEX(CaseData!$B$27:$E$35,MATCH($B62,CaseData!$B$27:$B$35,0),MATCH($C62,CaseData!$B$27:$E$27,0))</f>
        <v>100</v>
      </c>
      <c r="AG62" s="72">
        <f>INDEX(CaseData!$B$27:$E$35,MATCH($B62,CaseData!$B$27:$B$35,0),MATCH($C62,CaseData!$B$27:$E$27,0))</f>
        <v>100</v>
      </c>
      <c r="AH62" s="72">
        <f>INDEX(CaseData!$B$27:$E$35,MATCH($B62,CaseData!$B$27:$B$35,0),MATCH($C62,CaseData!$B$27:$E$27,0))</f>
        <v>100</v>
      </c>
      <c r="AI62" s="72">
        <f>INDEX(CaseData!$B$27:$E$35,MATCH($B62,CaseData!$B$27:$B$35,0),MATCH($C62,CaseData!$B$27:$E$27,0))</f>
        <v>100</v>
      </c>
      <c r="AJ62" s="72">
        <f>INDEX(CaseData!$B$27:$E$35,MATCH($B62,CaseData!$B$27:$B$35,0),MATCH($C62,CaseData!$B$27:$E$27,0))</f>
        <v>100</v>
      </c>
      <c r="AK62" s="72">
        <f>INDEX(CaseData!$B$27:$E$35,MATCH($B62,CaseData!$B$27:$B$35,0),MATCH($C62,CaseData!$B$27:$E$27,0))</f>
        <v>100</v>
      </c>
      <c r="AL62" s="72">
        <f>INDEX(CaseData!$B$27:$E$35,MATCH($B62,CaseData!$B$27:$B$35,0),MATCH($C62,CaseData!$B$27:$E$27,0))</f>
        <v>100</v>
      </c>
      <c r="AM62" s="72">
        <f>INDEX(CaseData!$B$27:$E$35,MATCH($B62,CaseData!$B$27:$B$35,0),MATCH($C62,CaseData!$B$27:$E$27,0))</f>
        <v>100</v>
      </c>
      <c r="AN62" s="72">
        <f>INDEX(CaseData!$B$27:$E$35,MATCH($B62,CaseData!$B$27:$B$35,0),MATCH($C62,CaseData!$B$27:$E$27,0))</f>
        <v>100</v>
      </c>
      <c r="AO62" s="72">
        <f>INDEX(CaseData!$B$27:$E$35,MATCH($B62,CaseData!$B$27:$B$35,0),MATCH($C62,CaseData!$B$27:$E$27,0))</f>
        <v>100</v>
      </c>
      <c r="AP62" s="72">
        <f>INDEX(CaseData!$B$27:$E$35,MATCH($B62,CaseData!$B$27:$B$35,0),MATCH($C62,CaseData!$B$27:$E$27,0))</f>
        <v>100</v>
      </c>
      <c r="AQ62" s="72">
        <f>INDEX(CaseData!$B$27:$E$35,MATCH($B62,CaseData!$B$27:$B$35,0),MATCH($C62,CaseData!$B$27:$E$27,0))</f>
        <v>100</v>
      </c>
      <c r="AR62" s="72">
        <f>INDEX(CaseData!$B$27:$E$35,MATCH($B62,CaseData!$B$27:$B$35,0),MATCH($C62,CaseData!$B$27:$E$27,0))</f>
        <v>100</v>
      </c>
      <c r="AS62" s="72">
        <f>INDEX(CaseData!$B$27:$E$35,MATCH($B62,CaseData!$B$27:$B$35,0),MATCH($C62,CaseData!$B$27:$E$27,0))</f>
        <v>100</v>
      </c>
      <c r="AT62" s="72">
        <f>INDEX(CaseData!$B$27:$E$35,MATCH($B62,CaseData!$B$27:$B$35,0),MATCH($C62,CaseData!$B$27:$E$27,0))</f>
        <v>100</v>
      </c>
      <c r="AU62" s="72">
        <f>INDEX(CaseData!$B$27:$E$35,MATCH($B62,CaseData!$B$27:$B$35,0),MATCH($C62,CaseData!$B$27:$E$27,0))</f>
        <v>100</v>
      </c>
      <c r="AV62" s="72">
        <f>INDEX(CaseData!$B$27:$E$35,MATCH($B62,CaseData!$B$27:$B$35,0),MATCH($C62,CaseData!$B$27:$E$27,0))</f>
        <v>100</v>
      </c>
      <c r="AW62" s="72">
        <f>INDEX(CaseData!$B$27:$E$35,MATCH($B62,CaseData!$B$27:$B$35,0),MATCH($C62,CaseData!$B$27:$E$27,0))</f>
        <v>100</v>
      </c>
      <c r="AX62" s="72">
        <f>INDEX(CaseData!$B$27:$E$35,MATCH($B62,CaseData!$B$27:$B$35,0),MATCH($C62,CaseData!$B$27:$E$27,0))</f>
        <v>100</v>
      </c>
      <c r="AY62" s="72">
        <f>INDEX(CaseData!$B$27:$E$35,MATCH($B62,CaseData!$B$27:$B$35,0),MATCH($C62,CaseData!$B$27:$E$27,0))</f>
        <v>100</v>
      </c>
      <c r="AZ62" s="72">
        <f>INDEX(CaseData!$B$27:$E$35,MATCH($B62,CaseData!$B$27:$B$35,0),MATCH($C62,CaseData!$B$27:$E$27,0))</f>
        <v>100</v>
      </c>
      <c r="BA62" s="72">
        <f>INDEX(CaseData!$B$27:$E$35,MATCH($B62,CaseData!$B$27:$B$35,0),MATCH($C62,CaseData!$B$27:$E$27,0))</f>
        <v>100</v>
      </c>
      <c r="BB62" s="72">
        <f>INDEX(CaseData!$B$27:$E$35,MATCH($B62,CaseData!$B$27:$B$35,0),MATCH($C62,CaseData!$B$27:$E$27,0))</f>
        <v>100</v>
      </c>
      <c r="BC62" s="72">
        <f>INDEX(CaseData!$B$27:$E$35,MATCH($B62,CaseData!$B$27:$B$35,0),MATCH($C62,CaseData!$B$27:$E$27,0))</f>
        <v>100</v>
      </c>
      <c r="BD62" s="72">
        <f>INDEX(CaseData!$B$27:$E$35,MATCH($B62,CaseData!$B$27:$B$35,0),MATCH($C62,CaseData!$B$27:$E$27,0))</f>
        <v>100</v>
      </c>
      <c r="BE62" s="72">
        <f>INDEX(CaseData!$B$27:$E$35,MATCH($B62,CaseData!$B$27:$B$35,0),MATCH($C62,CaseData!$B$27:$E$27,0))</f>
        <v>100</v>
      </c>
      <c r="BF62" s="72">
        <f>INDEX(CaseData!$B$27:$E$35,MATCH($B62,CaseData!$B$27:$B$35,0),MATCH($C62,CaseData!$B$27:$E$27,0))</f>
        <v>100</v>
      </c>
      <c r="BG62" s="72">
        <f>INDEX(CaseData!$B$27:$E$35,MATCH($B62,CaseData!$B$27:$B$35,0),MATCH($C62,CaseData!$B$27:$E$27,0))</f>
        <v>100</v>
      </c>
      <c r="BH62" s="72">
        <f>INDEX(CaseData!$B$27:$E$35,MATCH($B62,CaseData!$B$27:$B$35,0),MATCH($C62,CaseData!$B$27:$E$27,0))</f>
        <v>100</v>
      </c>
      <c r="BI62" s="72">
        <f>INDEX(CaseData!$B$27:$E$35,MATCH($B62,CaseData!$B$27:$B$35,0),MATCH($C62,CaseData!$B$27:$E$27,0))</f>
        <v>100</v>
      </c>
      <c r="BJ62" s="72">
        <f>INDEX(CaseData!$B$27:$E$35,MATCH($B62,CaseData!$B$27:$B$35,0),MATCH($C62,CaseData!$B$27:$E$27,0))</f>
        <v>100</v>
      </c>
      <c r="BK62" s="72">
        <f>INDEX(CaseData!$B$27:$E$35,MATCH($B62,CaseData!$B$27:$B$35,0),MATCH($C62,CaseData!$B$27:$E$27,0))</f>
        <v>100</v>
      </c>
      <c r="BL62" s="72">
        <f>INDEX(CaseData!$B$27:$E$35,MATCH($B62,CaseData!$B$27:$B$35,0),MATCH($C62,CaseData!$B$27:$E$27,0))</f>
        <v>100</v>
      </c>
      <c r="BM62" s="72">
        <f>INDEX(CaseData!$B$27:$E$35,MATCH($B62,CaseData!$B$27:$B$35,0),MATCH($C62,CaseData!$B$27:$E$27,0))</f>
        <v>100</v>
      </c>
      <c r="BN62" s="72">
        <f>INDEX(CaseData!$B$27:$E$35,MATCH($B62,CaseData!$B$27:$B$35,0),MATCH($C62,CaseData!$B$27:$E$27,0))</f>
        <v>100</v>
      </c>
    </row>
    <row r="64" spans="2:66">
      <c r="B64" s="3" t="s">
        <v>62</v>
      </c>
      <c r="D64" s="83" t="s">
        <v>9</v>
      </c>
      <c r="E64" s="83"/>
    </row>
    <row r="65" spans="2:66" ht="13.8">
      <c r="B65" s="37" t="str">
        <f>CaseData!C14</f>
        <v>New York</v>
      </c>
      <c r="D65" s="84">
        <f>CaseData!F14</f>
        <v>3</v>
      </c>
      <c r="E65" s="85"/>
      <c r="G65" s="72">
        <f t="shared" ref="G65:BN68" si="29">IF(G$8&lt;$D65,0,F65+1)</f>
        <v>0</v>
      </c>
      <c r="H65" s="72">
        <f t="shared" si="29"/>
        <v>0</v>
      </c>
      <c r="I65" s="72">
        <f t="shared" si="29"/>
        <v>1</v>
      </c>
      <c r="J65" s="72">
        <f t="shared" si="29"/>
        <v>2</v>
      </c>
      <c r="K65" s="72">
        <f t="shared" si="29"/>
        <v>3</v>
      </c>
      <c r="L65" s="72">
        <f t="shared" si="29"/>
        <v>4</v>
      </c>
      <c r="M65" s="72">
        <f t="shared" si="29"/>
        <v>5</v>
      </c>
      <c r="N65" s="72">
        <f t="shared" si="29"/>
        <v>6</v>
      </c>
      <c r="O65" s="72">
        <f t="shared" si="29"/>
        <v>7</v>
      </c>
      <c r="P65" s="72">
        <f t="shared" si="29"/>
        <v>8</v>
      </c>
      <c r="Q65" s="72">
        <f t="shared" si="29"/>
        <v>9</v>
      </c>
      <c r="R65" s="72">
        <f t="shared" si="29"/>
        <v>10</v>
      </c>
      <c r="S65" s="72">
        <f t="shared" si="29"/>
        <v>11</v>
      </c>
      <c r="T65" s="72">
        <f t="shared" si="29"/>
        <v>12</v>
      </c>
      <c r="U65" s="72">
        <f t="shared" si="29"/>
        <v>13</v>
      </c>
      <c r="V65" s="72">
        <f t="shared" si="29"/>
        <v>14</v>
      </c>
      <c r="W65" s="72">
        <f t="shared" si="29"/>
        <v>15</v>
      </c>
      <c r="X65" s="72">
        <f t="shared" si="29"/>
        <v>16</v>
      </c>
      <c r="Y65" s="72">
        <f t="shared" si="29"/>
        <v>17</v>
      </c>
      <c r="Z65" s="72">
        <f t="shared" si="29"/>
        <v>18</v>
      </c>
      <c r="AA65" s="72">
        <f t="shared" si="29"/>
        <v>19</v>
      </c>
      <c r="AB65" s="72">
        <f t="shared" si="29"/>
        <v>20</v>
      </c>
      <c r="AC65" s="72">
        <f t="shared" si="29"/>
        <v>21</v>
      </c>
      <c r="AD65" s="72">
        <f t="shared" si="29"/>
        <v>22</v>
      </c>
      <c r="AE65" s="72">
        <f t="shared" si="29"/>
        <v>23</v>
      </c>
      <c r="AF65" s="72">
        <f t="shared" si="29"/>
        <v>24</v>
      </c>
      <c r="AG65" s="72">
        <f t="shared" si="29"/>
        <v>25</v>
      </c>
      <c r="AH65" s="72">
        <f t="shared" si="29"/>
        <v>26</v>
      </c>
      <c r="AI65" s="72">
        <f t="shared" si="29"/>
        <v>27</v>
      </c>
      <c r="AJ65" s="72">
        <f t="shared" si="29"/>
        <v>28</v>
      </c>
      <c r="AK65" s="72">
        <f t="shared" si="29"/>
        <v>29</v>
      </c>
      <c r="AL65" s="72">
        <f t="shared" si="29"/>
        <v>30</v>
      </c>
      <c r="AM65" s="72">
        <f t="shared" si="29"/>
        <v>31</v>
      </c>
      <c r="AN65" s="72">
        <f t="shared" si="29"/>
        <v>32</v>
      </c>
      <c r="AO65" s="72">
        <f t="shared" si="29"/>
        <v>33</v>
      </c>
      <c r="AP65" s="72">
        <f t="shared" si="29"/>
        <v>34</v>
      </c>
      <c r="AQ65" s="72">
        <f t="shared" si="29"/>
        <v>35</v>
      </c>
      <c r="AR65" s="72">
        <f t="shared" si="29"/>
        <v>36</v>
      </c>
      <c r="AS65" s="72">
        <f t="shared" si="29"/>
        <v>37</v>
      </c>
      <c r="AT65" s="72">
        <f t="shared" si="29"/>
        <v>38</v>
      </c>
      <c r="AU65" s="72">
        <f t="shared" si="29"/>
        <v>39</v>
      </c>
      <c r="AV65" s="72">
        <f t="shared" si="29"/>
        <v>40</v>
      </c>
      <c r="AW65" s="72">
        <f t="shared" si="29"/>
        <v>41</v>
      </c>
      <c r="AX65" s="72">
        <f t="shared" si="29"/>
        <v>42</v>
      </c>
      <c r="AY65" s="72">
        <f t="shared" si="29"/>
        <v>43</v>
      </c>
      <c r="AZ65" s="72">
        <f t="shared" si="29"/>
        <v>44</v>
      </c>
      <c r="BA65" s="72">
        <f t="shared" si="29"/>
        <v>45</v>
      </c>
      <c r="BB65" s="72">
        <f t="shared" si="29"/>
        <v>46</v>
      </c>
      <c r="BC65" s="72">
        <f t="shared" si="29"/>
        <v>47</v>
      </c>
      <c r="BD65" s="72">
        <f t="shared" si="29"/>
        <v>48</v>
      </c>
      <c r="BE65" s="72">
        <f t="shared" si="29"/>
        <v>49</v>
      </c>
      <c r="BF65" s="72">
        <f t="shared" si="29"/>
        <v>50</v>
      </c>
      <c r="BG65" s="72">
        <f t="shared" si="29"/>
        <v>51</v>
      </c>
      <c r="BH65" s="72">
        <f t="shared" si="29"/>
        <v>52</v>
      </c>
      <c r="BI65" s="72">
        <f t="shared" si="29"/>
        <v>53</v>
      </c>
      <c r="BJ65" s="72">
        <f t="shared" si="29"/>
        <v>54</v>
      </c>
      <c r="BK65" s="72">
        <f t="shared" si="29"/>
        <v>55</v>
      </c>
      <c r="BL65" s="72">
        <f t="shared" si="29"/>
        <v>56</v>
      </c>
      <c r="BM65" s="72">
        <f t="shared" si="29"/>
        <v>57</v>
      </c>
      <c r="BN65" s="72">
        <f t="shared" si="29"/>
        <v>58</v>
      </c>
    </row>
    <row r="66" spans="2:66" ht="13.8">
      <c r="B66" s="37" t="str">
        <f>CaseData!C15</f>
        <v>Montreal</v>
      </c>
      <c r="D66" s="84">
        <f>CaseData!F15</f>
        <v>9</v>
      </c>
      <c r="E66" s="85"/>
      <c r="G66" s="72">
        <f t="shared" si="29"/>
        <v>0</v>
      </c>
      <c r="H66" s="72">
        <f t="shared" si="29"/>
        <v>0</v>
      </c>
      <c r="I66" s="72">
        <f t="shared" si="29"/>
        <v>0</v>
      </c>
      <c r="J66" s="72">
        <f t="shared" si="29"/>
        <v>0</v>
      </c>
      <c r="K66" s="72">
        <f t="shared" si="29"/>
        <v>0</v>
      </c>
      <c r="L66" s="72">
        <f t="shared" si="29"/>
        <v>0</v>
      </c>
      <c r="M66" s="72">
        <f t="shared" si="29"/>
        <v>0</v>
      </c>
      <c r="N66" s="72">
        <f t="shared" si="29"/>
        <v>0</v>
      </c>
      <c r="O66" s="72">
        <f t="shared" si="29"/>
        <v>1</v>
      </c>
      <c r="P66" s="72">
        <f t="shared" si="29"/>
        <v>2</v>
      </c>
      <c r="Q66" s="72">
        <f t="shared" si="29"/>
        <v>3</v>
      </c>
      <c r="R66" s="72">
        <f t="shared" si="29"/>
        <v>4</v>
      </c>
      <c r="S66" s="72">
        <f t="shared" si="29"/>
        <v>5</v>
      </c>
      <c r="T66" s="72">
        <f t="shared" si="29"/>
        <v>6</v>
      </c>
      <c r="U66" s="72">
        <f t="shared" si="29"/>
        <v>7</v>
      </c>
      <c r="V66" s="72">
        <f t="shared" si="29"/>
        <v>8</v>
      </c>
      <c r="W66" s="72">
        <f t="shared" si="29"/>
        <v>9</v>
      </c>
      <c r="X66" s="72">
        <f t="shared" si="29"/>
        <v>10</v>
      </c>
      <c r="Y66" s="72">
        <f t="shared" si="29"/>
        <v>11</v>
      </c>
      <c r="Z66" s="72">
        <f t="shared" si="29"/>
        <v>12</v>
      </c>
      <c r="AA66" s="72">
        <f t="shared" si="29"/>
        <v>13</v>
      </c>
      <c r="AB66" s="72">
        <f t="shared" si="29"/>
        <v>14</v>
      </c>
      <c r="AC66" s="72">
        <f t="shared" si="29"/>
        <v>15</v>
      </c>
      <c r="AD66" s="72">
        <f t="shared" si="29"/>
        <v>16</v>
      </c>
      <c r="AE66" s="72">
        <f t="shared" si="29"/>
        <v>17</v>
      </c>
      <c r="AF66" s="72">
        <f t="shared" si="29"/>
        <v>18</v>
      </c>
      <c r="AG66" s="72">
        <f t="shared" si="29"/>
        <v>19</v>
      </c>
      <c r="AH66" s="72">
        <f t="shared" si="29"/>
        <v>20</v>
      </c>
      <c r="AI66" s="72">
        <f t="shared" si="29"/>
        <v>21</v>
      </c>
      <c r="AJ66" s="72">
        <f t="shared" si="29"/>
        <v>22</v>
      </c>
      <c r="AK66" s="72">
        <f t="shared" si="29"/>
        <v>23</v>
      </c>
      <c r="AL66" s="72">
        <f t="shared" si="29"/>
        <v>24</v>
      </c>
      <c r="AM66" s="72">
        <f t="shared" si="29"/>
        <v>25</v>
      </c>
      <c r="AN66" s="72">
        <f t="shared" si="29"/>
        <v>26</v>
      </c>
      <c r="AO66" s="72">
        <f t="shared" si="29"/>
        <v>27</v>
      </c>
      <c r="AP66" s="72">
        <f t="shared" si="29"/>
        <v>28</v>
      </c>
      <c r="AQ66" s="72">
        <f t="shared" si="29"/>
        <v>29</v>
      </c>
      <c r="AR66" s="72">
        <f t="shared" si="29"/>
        <v>30</v>
      </c>
      <c r="AS66" s="72">
        <f t="shared" si="29"/>
        <v>31</v>
      </c>
      <c r="AT66" s="72">
        <f t="shared" si="29"/>
        <v>32</v>
      </c>
      <c r="AU66" s="72">
        <f t="shared" si="29"/>
        <v>33</v>
      </c>
      <c r="AV66" s="72">
        <f t="shared" si="29"/>
        <v>34</v>
      </c>
      <c r="AW66" s="72">
        <f t="shared" si="29"/>
        <v>35</v>
      </c>
      <c r="AX66" s="72">
        <f t="shared" si="29"/>
        <v>36</v>
      </c>
      <c r="AY66" s="72">
        <f t="shared" si="29"/>
        <v>37</v>
      </c>
      <c r="AZ66" s="72">
        <f t="shared" si="29"/>
        <v>38</v>
      </c>
      <c r="BA66" s="72">
        <f t="shared" si="29"/>
        <v>39</v>
      </c>
      <c r="BB66" s="72">
        <f t="shared" si="29"/>
        <v>40</v>
      </c>
      <c r="BC66" s="72">
        <f t="shared" si="29"/>
        <v>41</v>
      </c>
      <c r="BD66" s="72">
        <f t="shared" si="29"/>
        <v>42</v>
      </c>
      <c r="BE66" s="72">
        <f t="shared" si="29"/>
        <v>43</v>
      </c>
      <c r="BF66" s="72">
        <f t="shared" si="29"/>
        <v>44</v>
      </c>
      <c r="BG66" s="72">
        <f t="shared" si="29"/>
        <v>45</v>
      </c>
      <c r="BH66" s="72">
        <f t="shared" si="29"/>
        <v>46</v>
      </c>
      <c r="BI66" s="72">
        <f t="shared" si="29"/>
        <v>47</v>
      </c>
      <c r="BJ66" s="72">
        <f t="shared" si="29"/>
        <v>48</v>
      </c>
      <c r="BK66" s="72">
        <f t="shared" si="29"/>
        <v>49</v>
      </c>
      <c r="BL66" s="72">
        <f t="shared" si="29"/>
        <v>50</v>
      </c>
      <c r="BM66" s="72">
        <f t="shared" si="29"/>
        <v>51</v>
      </c>
      <c r="BN66" s="72">
        <f t="shared" si="29"/>
        <v>52</v>
      </c>
    </row>
    <row r="67" spans="2:66" ht="13.8">
      <c r="B67" s="37" t="str">
        <f>CaseData!C16</f>
        <v>Zurich</v>
      </c>
      <c r="D67" s="84">
        <f>CaseData!F16</f>
        <v>15</v>
      </c>
      <c r="E67" s="85"/>
      <c r="G67" s="72">
        <f t="shared" si="29"/>
        <v>0</v>
      </c>
      <c r="H67" s="72">
        <f t="shared" si="29"/>
        <v>0</v>
      </c>
      <c r="I67" s="72">
        <f t="shared" si="29"/>
        <v>0</v>
      </c>
      <c r="J67" s="72">
        <f t="shared" si="29"/>
        <v>0</v>
      </c>
      <c r="K67" s="72">
        <f t="shared" si="29"/>
        <v>0</v>
      </c>
      <c r="L67" s="72">
        <f t="shared" si="29"/>
        <v>0</v>
      </c>
      <c r="M67" s="72">
        <f t="shared" si="29"/>
        <v>0</v>
      </c>
      <c r="N67" s="72">
        <f t="shared" si="29"/>
        <v>0</v>
      </c>
      <c r="O67" s="72">
        <f t="shared" si="29"/>
        <v>0</v>
      </c>
      <c r="P67" s="72">
        <f t="shared" si="29"/>
        <v>0</v>
      </c>
      <c r="Q67" s="72">
        <f t="shared" si="29"/>
        <v>0</v>
      </c>
      <c r="R67" s="72">
        <f t="shared" si="29"/>
        <v>0</v>
      </c>
      <c r="S67" s="72">
        <f t="shared" si="29"/>
        <v>0</v>
      </c>
      <c r="T67" s="72">
        <f t="shared" si="29"/>
        <v>0</v>
      </c>
      <c r="U67" s="72">
        <f t="shared" si="29"/>
        <v>1</v>
      </c>
      <c r="V67" s="72">
        <f t="shared" si="29"/>
        <v>2</v>
      </c>
      <c r="W67" s="72">
        <f t="shared" si="29"/>
        <v>3</v>
      </c>
      <c r="X67" s="72">
        <f t="shared" si="29"/>
        <v>4</v>
      </c>
      <c r="Y67" s="72">
        <f t="shared" si="29"/>
        <v>5</v>
      </c>
      <c r="Z67" s="72">
        <f t="shared" si="29"/>
        <v>6</v>
      </c>
      <c r="AA67" s="72">
        <f t="shared" si="29"/>
        <v>7</v>
      </c>
      <c r="AB67" s="72">
        <f t="shared" si="29"/>
        <v>8</v>
      </c>
      <c r="AC67" s="72">
        <f t="shared" si="29"/>
        <v>9</v>
      </c>
      <c r="AD67" s="72">
        <f t="shared" si="29"/>
        <v>10</v>
      </c>
      <c r="AE67" s="72">
        <f t="shared" si="29"/>
        <v>11</v>
      </c>
      <c r="AF67" s="72">
        <f t="shared" si="29"/>
        <v>12</v>
      </c>
      <c r="AG67" s="72">
        <f t="shared" si="29"/>
        <v>13</v>
      </c>
      <c r="AH67" s="72">
        <f t="shared" si="29"/>
        <v>14</v>
      </c>
      <c r="AI67" s="72">
        <f t="shared" si="29"/>
        <v>15</v>
      </c>
      <c r="AJ67" s="72">
        <f t="shared" si="29"/>
        <v>16</v>
      </c>
      <c r="AK67" s="72">
        <f t="shared" si="29"/>
        <v>17</v>
      </c>
      <c r="AL67" s="72">
        <f t="shared" si="29"/>
        <v>18</v>
      </c>
      <c r="AM67" s="72">
        <f t="shared" si="29"/>
        <v>19</v>
      </c>
      <c r="AN67" s="72">
        <f t="shared" si="29"/>
        <v>20</v>
      </c>
      <c r="AO67" s="72">
        <f t="shared" si="29"/>
        <v>21</v>
      </c>
      <c r="AP67" s="72">
        <f t="shared" si="29"/>
        <v>22</v>
      </c>
      <c r="AQ67" s="72">
        <f t="shared" si="29"/>
        <v>23</v>
      </c>
      <c r="AR67" s="72">
        <f t="shared" si="29"/>
        <v>24</v>
      </c>
      <c r="AS67" s="72">
        <f t="shared" si="29"/>
        <v>25</v>
      </c>
      <c r="AT67" s="72">
        <f t="shared" si="29"/>
        <v>26</v>
      </c>
      <c r="AU67" s="72">
        <f t="shared" si="29"/>
        <v>27</v>
      </c>
      <c r="AV67" s="72">
        <f t="shared" si="29"/>
        <v>28</v>
      </c>
      <c r="AW67" s="72">
        <f t="shared" si="29"/>
        <v>29</v>
      </c>
      <c r="AX67" s="72">
        <f t="shared" si="29"/>
        <v>30</v>
      </c>
      <c r="AY67" s="72">
        <f t="shared" si="29"/>
        <v>31</v>
      </c>
      <c r="AZ67" s="72">
        <f t="shared" si="29"/>
        <v>32</v>
      </c>
      <c r="BA67" s="72">
        <f t="shared" si="29"/>
        <v>33</v>
      </c>
      <c r="BB67" s="72">
        <f t="shared" si="29"/>
        <v>34</v>
      </c>
      <c r="BC67" s="72">
        <f t="shared" si="29"/>
        <v>35</v>
      </c>
      <c r="BD67" s="72">
        <f t="shared" si="29"/>
        <v>36</v>
      </c>
      <c r="BE67" s="72">
        <f t="shared" si="29"/>
        <v>37</v>
      </c>
      <c r="BF67" s="72">
        <f t="shared" si="29"/>
        <v>38</v>
      </c>
      <c r="BG67" s="72">
        <f t="shared" si="29"/>
        <v>39</v>
      </c>
      <c r="BH67" s="72">
        <f t="shared" si="29"/>
        <v>40</v>
      </c>
      <c r="BI67" s="72">
        <f t="shared" si="29"/>
        <v>41</v>
      </c>
      <c r="BJ67" s="72">
        <f t="shared" si="29"/>
        <v>42</v>
      </c>
      <c r="BK67" s="72">
        <f t="shared" si="29"/>
        <v>43</v>
      </c>
      <c r="BL67" s="72">
        <f t="shared" si="29"/>
        <v>44</v>
      </c>
      <c r="BM67" s="72">
        <f t="shared" si="29"/>
        <v>45</v>
      </c>
      <c r="BN67" s="72">
        <f t="shared" si="29"/>
        <v>46</v>
      </c>
    </row>
    <row r="68" spans="2:66" ht="13.8">
      <c r="B68" s="37" t="str">
        <f>CaseData!C17</f>
        <v>Moscow</v>
      </c>
      <c r="D68" s="84">
        <f>CaseData!F17</f>
        <v>21</v>
      </c>
      <c r="E68" s="85"/>
      <c r="G68" s="72">
        <f t="shared" si="29"/>
        <v>0</v>
      </c>
      <c r="H68" s="72">
        <f t="shared" si="29"/>
        <v>0</v>
      </c>
      <c r="I68" s="72">
        <f t="shared" si="29"/>
        <v>0</v>
      </c>
      <c r="J68" s="72">
        <f t="shared" si="29"/>
        <v>0</v>
      </c>
      <c r="K68" s="72">
        <f t="shared" si="29"/>
        <v>0</v>
      </c>
      <c r="L68" s="72">
        <f t="shared" si="29"/>
        <v>0</v>
      </c>
      <c r="M68" s="72">
        <f t="shared" si="29"/>
        <v>0</v>
      </c>
      <c r="N68" s="72">
        <f t="shared" si="29"/>
        <v>0</v>
      </c>
      <c r="O68" s="72">
        <f t="shared" si="29"/>
        <v>0</v>
      </c>
      <c r="P68" s="72">
        <f t="shared" si="29"/>
        <v>0</v>
      </c>
      <c r="Q68" s="72">
        <f t="shared" si="29"/>
        <v>0</v>
      </c>
      <c r="R68" s="72">
        <f t="shared" si="29"/>
        <v>0</v>
      </c>
      <c r="S68" s="72">
        <f t="shared" si="29"/>
        <v>0</v>
      </c>
      <c r="T68" s="72">
        <f t="shared" si="29"/>
        <v>0</v>
      </c>
      <c r="U68" s="72">
        <f t="shared" si="29"/>
        <v>0</v>
      </c>
      <c r="V68" s="72">
        <f t="shared" si="29"/>
        <v>0</v>
      </c>
      <c r="W68" s="72">
        <f t="shared" si="29"/>
        <v>0</v>
      </c>
      <c r="X68" s="72">
        <f t="shared" si="29"/>
        <v>0</v>
      </c>
      <c r="Y68" s="72">
        <f t="shared" si="29"/>
        <v>0</v>
      </c>
      <c r="Z68" s="72">
        <f t="shared" si="29"/>
        <v>0</v>
      </c>
      <c r="AA68" s="72">
        <f t="shared" si="29"/>
        <v>1</v>
      </c>
      <c r="AB68" s="72">
        <f t="shared" si="29"/>
        <v>2</v>
      </c>
      <c r="AC68" s="72">
        <f t="shared" si="29"/>
        <v>3</v>
      </c>
      <c r="AD68" s="72">
        <f t="shared" si="29"/>
        <v>4</v>
      </c>
      <c r="AE68" s="72">
        <f t="shared" si="29"/>
        <v>5</v>
      </c>
      <c r="AF68" s="72">
        <f t="shared" si="29"/>
        <v>6</v>
      </c>
      <c r="AG68" s="72">
        <f t="shared" si="29"/>
        <v>7</v>
      </c>
      <c r="AH68" s="72">
        <f t="shared" si="29"/>
        <v>8</v>
      </c>
      <c r="AI68" s="72">
        <f t="shared" si="29"/>
        <v>9</v>
      </c>
      <c r="AJ68" s="72">
        <f t="shared" si="29"/>
        <v>10</v>
      </c>
      <c r="AK68" s="72">
        <f t="shared" si="29"/>
        <v>11</v>
      </c>
      <c r="AL68" s="72">
        <f t="shared" si="29"/>
        <v>12</v>
      </c>
      <c r="AM68" s="72">
        <f t="shared" si="29"/>
        <v>13</v>
      </c>
      <c r="AN68" s="72">
        <f t="shared" si="29"/>
        <v>14</v>
      </c>
      <c r="AO68" s="72">
        <f t="shared" si="29"/>
        <v>15</v>
      </c>
      <c r="AP68" s="72">
        <f t="shared" si="29"/>
        <v>16</v>
      </c>
      <c r="AQ68" s="72">
        <f t="shared" si="29"/>
        <v>17</v>
      </c>
      <c r="AR68" s="72">
        <f t="shared" si="29"/>
        <v>18</v>
      </c>
      <c r="AS68" s="72">
        <f t="shared" si="29"/>
        <v>19</v>
      </c>
      <c r="AT68" s="72">
        <f t="shared" si="29"/>
        <v>20</v>
      </c>
      <c r="AU68" s="72">
        <f t="shared" si="29"/>
        <v>21</v>
      </c>
      <c r="AV68" s="72">
        <f t="shared" si="29"/>
        <v>22</v>
      </c>
      <c r="AW68" s="72">
        <f t="shared" si="29"/>
        <v>23</v>
      </c>
      <c r="AX68" s="72">
        <f t="shared" si="29"/>
        <v>24</v>
      </c>
      <c r="AY68" s="72">
        <f t="shared" si="29"/>
        <v>25</v>
      </c>
      <c r="AZ68" s="72">
        <f t="shared" si="29"/>
        <v>26</v>
      </c>
      <c r="BA68" s="72">
        <f t="shared" si="29"/>
        <v>27</v>
      </c>
      <c r="BB68" s="72">
        <f t="shared" si="29"/>
        <v>28</v>
      </c>
      <c r="BC68" s="72">
        <f t="shared" si="29"/>
        <v>29</v>
      </c>
      <c r="BD68" s="72">
        <f t="shared" si="29"/>
        <v>30</v>
      </c>
      <c r="BE68" s="72">
        <f t="shared" si="29"/>
        <v>31</v>
      </c>
      <c r="BF68" s="72">
        <f t="shared" si="29"/>
        <v>32</v>
      </c>
      <c r="BG68" s="72">
        <f t="shared" si="29"/>
        <v>33</v>
      </c>
      <c r="BH68" s="72">
        <f t="shared" si="29"/>
        <v>34</v>
      </c>
      <c r="BI68" s="72">
        <f t="shared" si="29"/>
        <v>35</v>
      </c>
      <c r="BJ68" s="72">
        <f t="shared" si="29"/>
        <v>36</v>
      </c>
      <c r="BK68" s="72">
        <f t="shared" si="29"/>
        <v>37</v>
      </c>
      <c r="BL68" s="72">
        <f t="shared" si="29"/>
        <v>38</v>
      </c>
      <c r="BM68" s="72">
        <f t="shared" si="29"/>
        <v>39</v>
      </c>
      <c r="BN68" s="72">
        <f t="shared" si="29"/>
        <v>40</v>
      </c>
    </row>
    <row r="70" spans="2:66">
      <c r="B70" s="3" t="s">
        <v>63</v>
      </c>
    </row>
    <row r="71" spans="2:66">
      <c r="B71" s="37" t="str">
        <f>CaseData!C14</f>
        <v>New York</v>
      </c>
      <c r="G71" s="73">
        <f>IFERROR(VLOOKUP(G65,CaseData!$I$10:$J$22,2,1),0)</f>
        <v>0</v>
      </c>
      <c r="H71" s="73">
        <f>IFERROR(VLOOKUP(H65,CaseData!$I$10:$J$22,2,1),0)</f>
        <v>0</v>
      </c>
      <c r="I71" s="73">
        <f>IFERROR(VLOOKUP(I65,CaseData!$I$10:$J$22,2,1),0)</f>
        <v>0.5</v>
      </c>
      <c r="J71" s="73">
        <f>IFERROR(VLOOKUP(J65,CaseData!$I$10:$J$22,2,1),0)</f>
        <v>0.54166666666666652</v>
      </c>
      <c r="K71" s="73">
        <f>IFERROR(VLOOKUP(K65,CaseData!$I$10:$J$22,2,1),0)</f>
        <v>0.58333333333333326</v>
      </c>
      <c r="L71" s="73">
        <f>IFERROR(VLOOKUP(L65,CaseData!$I$10:$J$22,2,1),0)</f>
        <v>0.625</v>
      </c>
      <c r="M71" s="73">
        <f>IFERROR(VLOOKUP(M65,CaseData!$I$10:$J$22,2,1),0)</f>
        <v>0.66666666666666663</v>
      </c>
      <c r="N71" s="73">
        <f>IFERROR(VLOOKUP(N65,CaseData!$I$10:$J$22,2,1),0)</f>
        <v>0.70833333333333326</v>
      </c>
      <c r="O71" s="73">
        <f>IFERROR(VLOOKUP(O65,CaseData!$I$10:$J$22,2,1),0)</f>
        <v>0.75</v>
      </c>
      <c r="P71" s="73">
        <f>IFERROR(VLOOKUP(P65,CaseData!$I$10:$J$22,2,1),0)</f>
        <v>0.79166666666666674</v>
      </c>
      <c r="Q71" s="73">
        <f>IFERROR(VLOOKUP(Q65,CaseData!$I$10:$J$22,2,1),0)</f>
        <v>0.83333333333333337</v>
      </c>
      <c r="R71" s="73">
        <f>IFERROR(VLOOKUP(R65,CaseData!$I$10:$J$22,2,1),0)</f>
        <v>0.875</v>
      </c>
      <c r="S71" s="73">
        <f>IFERROR(VLOOKUP(S65,CaseData!$I$10:$J$22,2,1),0)</f>
        <v>0.91666666666666674</v>
      </c>
      <c r="T71" s="73">
        <f>IFERROR(VLOOKUP(T65,CaseData!$I$10:$J$22,2,1),0)</f>
        <v>0.95833333333333348</v>
      </c>
      <c r="U71" s="73">
        <f>IFERROR(VLOOKUP(U65,CaseData!$I$10:$J$22,2,1),0)</f>
        <v>1.0000000000000002</v>
      </c>
      <c r="V71" s="73">
        <f>IFERROR(VLOOKUP(V65,CaseData!$I$10:$J$22,2,1),0)</f>
        <v>1.0000000000000002</v>
      </c>
      <c r="W71" s="73">
        <f>IFERROR(VLOOKUP(W65,CaseData!$I$10:$J$22,2,1),0)</f>
        <v>1.0000000000000002</v>
      </c>
      <c r="X71" s="73">
        <f>IFERROR(VLOOKUP(X65,CaseData!$I$10:$J$22,2,1),0)</f>
        <v>1.0000000000000002</v>
      </c>
      <c r="Y71" s="73">
        <f>IFERROR(VLOOKUP(Y65,CaseData!$I$10:$J$22,2,1),0)</f>
        <v>1.0000000000000002</v>
      </c>
      <c r="Z71" s="73">
        <f>IFERROR(VLOOKUP(Z65,CaseData!$I$10:$J$22,2,1),0)</f>
        <v>1.0000000000000002</v>
      </c>
      <c r="AA71" s="73">
        <f>IFERROR(VLOOKUP(AA65,CaseData!$I$10:$J$22,2,1),0)</f>
        <v>1.0000000000000002</v>
      </c>
      <c r="AB71" s="73">
        <f>IFERROR(VLOOKUP(AB65,CaseData!$I$10:$J$22,2,1),0)</f>
        <v>1.0000000000000002</v>
      </c>
      <c r="AC71" s="73">
        <f>IFERROR(VLOOKUP(AC65,CaseData!$I$10:$J$22,2,1),0)</f>
        <v>1.0000000000000002</v>
      </c>
      <c r="AD71" s="73">
        <f>IFERROR(VLOOKUP(AD65,CaseData!$I$10:$J$22,2,1),0)</f>
        <v>1.0000000000000002</v>
      </c>
      <c r="AE71" s="73">
        <f>IFERROR(VLOOKUP(AE65,CaseData!$I$10:$J$22,2,1),0)</f>
        <v>1.0000000000000002</v>
      </c>
      <c r="AF71" s="73">
        <f>IFERROR(VLOOKUP(AF65,CaseData!$I$10:$J$22,2,1),0)</f>
        <v>1.0000000000000002</v>
      </c>
      <c r="AG71" s="73">
        <f>IFERROR(VLOOKUP(AG65,CaseData!$I$10:$J$22,2,1),0)</f>
        <v>1.0000000000000002</v>
      </c>
      <c r="AH71" s="73">
        <f>IFERROR(VLOOKUP(AH65,CaseData!$I$10:$J$22,2,1),0)</f>
        <v>1.0000000000000002</v>
      </c>
      <c r="AI71" s="73">
        <f>IFERROR(VLOOKUP(AI65,CaseData!$I$10:$J$22,2,1),0)</f>
        <v>1.0000000000000002</v>
      </c>
      <c r="AJ71" s="73">
        <f>IFERROR(VLOOKUP(AJ65,CaseData!$I$10:$J$22,2,1),0)</f>
        <v>1.0000000000000002</v>
      </c>
      <c r="AK71" s="73">
        <f>IFERROR(VLOOKUP(AK65,CaseData!$I$10:$J$22,2,1),0)</f>
        <v>1.0000000000000002</v>
      </c>
      <c r="AL71" s="73">
        <f>IFERROR(VLOOKUP(AL65,CaseData!$I$10:$J$22,2,1),0)</f>
        <v>1.0000000000000002</v>
      </c>
      <c r="AM71" s="73">
        <f>IFERROR(VLOOKUP(AM65,CaseData!$I$10:$J$22,2,1),0)</f>
        <v>1.0000000000000002</v>
      </c>
      <c r="AN71" s="73">
        <f>IFERROR(VLOOKUP(AN65,CaseData!$I$10:$J$22,2,1),0)</f>
        <v>1.0000000000000002</v>
      </c>
      <c r="AO71" s="73">
        <f>IFERROR(VLOOKUP(AO65,CaseData!$I$10:$J$22,2,1),0)</f>
        <v>1.0000000000000002</v>
      </c>
      <c r="AP71" s="73">
        <f>IFERROR(VLOOKUP(AP65,CaseData!$I$10:$J$22,2,1),0)</f>
        <v>1.0000000000000002</v>
      </c>
      <c r="AQ71" s="73">
        <f>IFERROR(VLOOKUP(AQ65,CaseData!$I$10:$J$22,2,1),0)</f>
        <v>1.0000000000000002</v>
      </c>
      <c r="AR71" s="73">
        <f>IFERROR(VLOOKUP(AR65,CaseData!$I$10:$J$22,2,1),0)</f>
        <v>1.0000000000000002</v>
      </c>
      <c r="AS71" s="73">
        <f>IFERROR(VLOOKUP(AS65,CaseData!$I$10:$J$22,2,1),0)</f>
        <v>1.0000000000000002</v>
      </c>
      <c r="AT71" s="73">
        <f>IFERROR(VLOOKUP(AT65,CaseData!$I$10:$J$22,2,1),0)</f>
        <v>1.0000000000000002</v>
      </c>
      <c r="AU71" s="73">
        <f>IFERROR(VLOOKUP(AU65,CaseData!$I$10:$J$22,2,1),0)</f>
        <v>1.0000000000000002</v>
      </c>
      <c r="AV71" s="73">
        <f>IFERROR(VLOOKUP(AV65,CaseData!$I$10:$J$22,2,1),0)</f>
        <v>1.0000000000000002</v>
      </c>
      <c r="AW71" s="73">
        <f>IFERROR(VLOOKUP(AW65,CaseData!$I$10:$J$22,2,1),0)</f>
        <v>1.0000000000000002</v>
      </c>
      <c r="AX71" s="73">
        <f>IFERROR(VLOOKUP(AX65,CaseData!$I$10:$J$22,2,1),0)</f>
        <v>1.0000000000000002</v>
      </c>
      <c r="AY71" s="73">
        <f>IFERROR(VLOOKUP(AY65,CaseData!$I$10:$J$22,2,1),0)</f>
        <v>1.0000000000000002</v>
      </c>
      <c r="AZ71" s="73">
        <f>IFERROR(VLOOKUP(AZ65,CaseData!$I$10:$J$22,2,1),0)</f>
        <v>1.0000000000000002</v>
      </c>
      <c r="BA71" s="73">
        <f>IFERROR(VLOOKUP(BA65,CaseData!$I$10:$J$22,2,1),0)</f>
        <v>1.0000000000000002</v>
      </c>
      <c r="BB71" s="73">
        <f>IFERROR(VLOOKUP(BB65,CaseData!$I$10:$J$22,2,1),0)</f>
        <v>1.0000000000000002</v>
      </c>
      <c r="BC71" s="73">
        <f>IFERROR(VLOOKUP(BC65,CaseData!$I$10:$J$22,2,1),0)</f>
        <v>1.0000000000000002</v>
      </c>
      <c r="BD71" s="73">
        <f>IFERROR(VLOOKUP(BD65,CaseData!$I$10:$J$22,2,1),0)</f>
        <v>1.0000000000000002</v>
      </c>
      <c r="BE71" s="73">
        <f>IFERROR(VLOOKUP(BE65,CaseData!$I$10:$J$22,2,1),0)</f>
        <v>1.0000000000000002</v>
      </c>
      <c r="BF71" s="73">
        <f>IFERROR(VLOOKUP(BF65,CaseData!$I$10:$J$22,2,1),0)</f>
        <v>1.0000000000000002</v>
      </c>
      <c r="BG71" s="73">
        <f>IFERROR(VLOOKUP(BG65,CaseData!$I$10:$J$22,2,1),0)</f>
        <v>1.0000000000000002</v>
      </c>
      <c r="BH71" s="73">
        <f>IFERROR(VLOOKUP(BH65,CaseData!$I$10:$J$22,2,1),0)</f>
        <v>1.0000000000000002</v>
      </c>
      <c r="BI71" s="73">
        <f>IFERROR(VLOOKUP(BI65,CaseData!$I$10:$J$22,2,1),0)</f>
        <v>1.0000000000000002</v>
      </c>
      <c r="BJ71" s="73">
        <f>IFERROR(VLOOKUP(BJ65,CaseData!$I$10:$J$22,2,1),0)</f>
        <v>1.0000000000000002</v>
      </c>
      <c r="BK71" s="73">
        <f>IFERROR(VLOOKUP(BK65,CaseData!$I$10:$J$22,2,1),0)</f>
        <v>1.0000000000000002</v>
      </c>
      <c r="BL71" s="73">
        <f>IFERROR(VLOOKUP(BL65,CaseData!$I$10:$J$22,2,1),0)</f>
        <v>1.0000000000000002</v>
      </c>
      <c r="BM71" s="73">
        <f>IFERROR(VLOOKUP(BM65,CaseData!$I$10:$J$22,2,1),0)</f>
        <v>1.0000000000000002</v>
      </c>
      <c r="BN71" s="73">
        <f>IFERROR(VLOOKUP(BN65,CaseData!$I$10:$J$22,2,1),0)</f>
        <v>1.0000000000000002</v>
      </c>
    </row>
    <row r="72" spans="2:66">
      <c r="B72" s="37" t="str">
        <f>CaseData!C15</f>
        <v>Montreal</v>
      </c>
      <c r="G72" s="73">
        <f>IFERROR(VLOOKUP(G66,CaseData!$I$10:$J$22,2,1),0)</f>
        <v>0</v>
      </c>
      <c r="H72" s="73">
        <f>IFERROR(VLOOKUP(H66,CaseData!$I$10:$J$22,2,1),0)</f>
        <v>0</v>
      </c>
      <c r="I72" s="73">
        <f>IFERROR(VLOOKUP(I66,CaseData!$I$10:$J$22,2,1),0)</f>
        <v>0</v>
      </c>
      <c r="J72" s="73">
        <f>IFERROR(VLOOKUP(J66,CaseData!$I$10:$J$22,2,1),0)</f>
        <v>0</v>
      </c>
      <c r="K72" s="73">
        <f>IFERROR(VLOOKUP(K66,CaseData!$I$10:$J$22,2,1),0)</f>
        <v>0</v>
      </c>
      <c r="L72" s="73">
        <f>IFERROR(VLOOKUP(L66,CaseData!$I$10:$J$22,2,1),0)</f>
        <v>0</v>
      </c>
      <c r="M72" s="73">
        <f>IFERROR(VLOOKUP(M66,CaseData!$I$10:$J$22,2,1),0)</f>
        <v>0</v>
      </c>
      <c r="N72" s="73">
        <f>IFERROR(VLOOKUP(N66,CaseData!$I$10:$J$22,2,1),0)</f>
        <v>0</v>
      </c>
      <c r="O72" s="73">
        <f>IFERROR(VLOOKUP(O66,CaseData!$I$10:$J$22,2,1),0)</f>
        <v>0.5</v>
      </c>
      <c r="P72" s="73">
        <f>IFERROR(VLOOKUP(P66,CaseData!$I$10:$J$22,2,1),0)</f>
        <v>0.54166666666666652</v>
      </c>
      <c r="Q72" s="73">
        <f>IFERROR(VLOOKUP(Q66,CaseData!$I$10:$J$22,2,1),0)</f>
        <v>0.58333333333333326</v>
      </c>
      <c r="R72" s="73">
        <f>IFERROR(VLOOKUP(R66,CaseData!$I$10:$J$22,2,1),0)</f>
        <v>0.625</v>
      </c>
      <c r="S72" s="73">
        <f>IFERROR(VLOOKUP(S66,CaseData!$I$10:$J$22,2,1),0)</f>
        <v>0.66666666666666663</v>
      </c>
      <c r="T72" s="73">
        <f>IFERROR(VLOOKUP(T66,CaseData!$I$10:$J$22,2,1),0)</f>
        <v>0.70833333333333326</v>
      </c>
      <c r="U72" s="73">
        <f>IFERROR(VLOOKUP(U66,CaseData!$I$10:$J$22,2,1),0)</f>
        <v>0.75</v>
      </c>
      <c r="V72" s="73">
        <f>IFERROR(VLOOKUP(V66,CaseData!$I$10:$J$22,2,1),0)</f>
        <v>0.79166666666666674</v>
      </c>
      <c r="W72" s="73">
        <f>IFERROR(VLOOKUP(W66,CaseData!$I$10:$J$22,2,1),0)</f>
        <v>0.83333333333333337</v>
      </c>
      <c r="X72" s="73">
        <f>IFERROR(VLOOKUP(X66,CaseData!$I$10:$J$22,2,1),0)</f>
        <v>0.875</v>
      </c>
      <c r="Y72" s="73">
        <f>IFERROR(VLOOKUP(Y66,CaseData!$I$10:$J$22,2,1),0)</f>
        <v>0.91666666666666674</v>
      </c>
      <c r="Z72" s="73">
        <f>IFERROR(VLOOKUP(Z66,CaseData!$I$10:$J$22,2,1),0)</f>
        <v>0.95833333333333348</v>
      </c>
      <c r="AA72" s="73">
        <f>IFERROR(VLOOKUP(AA66,CaseData!$I$10:$J$22,2,1),0)</f>
        <v>1.0000000000000002</v>
      </c>
      <c r="AB72" s="73">
        <f>IFERROR(VLOOKUP(AB66,CaseData!$I$10:$J$22,2,1),0)</f>
        <v>1.0000000000000002</v>
      </c>
      <c r="AC72" s="73">
        <f>IFERROR(VLOOKUP(AC66,CaseData!$I$10:$J$22,2,1),0)</f>
        <v>1.0000000000000002</v>
      </c>
      <c r="AD72" s="73">
        <f>IFERROR(VLOOKUP(AD66,CaseData!$I$10:$J$22,2,1),0)</f>
        <v>1.0000000000000002</v>
      </c>
      <c r="AE72" s="73">
        <f>IFERROR(VLOOKUP(AE66,CaseData!$I$10:$J$22,2,1),0)</f>
        <v>1.0000000000000002</v>
      </c>
      <c r="AF72" s="73">
        <f>IFERROR(VLOOKUP(AF66,CaseData!$I$10:$J$22,2,1),0)</f>
        <v>1.0000000000000002</v>
      </c>
      <c r="AG72" s="73">
        <f>IFERROR(VLOOKUP(AG66,CaseData!$I$10:$J$22,2,1),0)</f>
        <v>1.0000000000000002</v>
      </c>
      <c r="AH72" s="73">
        <f>IFERROR(VLOOKUP(AH66,CaseData!$I$10:$J$22,2,1),0)</f>
        <v>1.0000000000000002</v>
      </c>
      <c r="AI72" s="73">
        <f>IFERROR(VLOOKUP(AI66,CaseData!$I$10:$J$22,2,1),0)</f>
        <v>1.0000000000000002</v>
      </c>
      <c r="AJ72" s="73">
        <f>IFERROR(VLOOKUP(AJ66,CaseData!$I$10:$J$22,2,1),0)</f>
        <v>1.0000000000000002</v>
      </c>
      <c r="AK72" s="73">
        <f>IFERROR(VLOOKUP(AK66,CaseData!$I$10:$J$22,2,1),0)</f>
        <v>1.0000000000000002</v>
      </c>
      <c r="AL72" s="73">
        <f>IFERROR(VLOOKUP(AL66,CaseData!$I$10:$J$22,2,1),0)</f>
        <v>1.0000000000000002</v>
      </c>
      <c r="AM72" s="73">
        <f>IFERROR(VLOOKUP(AM66,CaseData!$I$10:$J$22,2,1),0)</f>
        <v>1.0000000000000002</v>
      </c>
      <c r="AN72" s="73">
        <f>IFERROR(VLOOKUP(AN66,CaseData!$I$10:$J$22,2,1),0)</f>
        <v>1.0000000000000002</v>
      </c>
      <c r="AO72" s="73">
        <f>IFERROR(VLOOKUP(AO66,CaseData!$I$10:$J$22,2,1),0)</f>
        <v>1.0000000000000002</v>
      </c>
      <c r="AP72" s="73">
        <f>IFERROR(VLOOKUP(AP66,CaseData!$I$10:$J$22,2,1),0)</f>
        <v>1.0000000000000002</v>
      </c>
      <c r="AQ72" s="73">
        <f>IFERROR(VLOOKUP(AQ66,CaseData!$I$10:$J$22,2,1),0)</f>
        <v>1.0000000000000002</v>
      </c>
      <c r="AR72" s="73">
        <f>IFERROR(VLOOKUP(AR66,CaseData!$I$10:$J$22,2,1),0)</f>
        <v>1.0000000000000002</v>
      </c>
      <c r="AS72" s="73">
        <f>IFERROR(VLOOKUP(AS66,CaseData!$I$10:$J$22,2,1),0)</f>
        <v>1.0000000000000002</v>
      </c>
      <c r="AT72" s="73">
        <f>IFERROR(VLOOKUP(AT66,CaseData!$I$10:$J$22,2,1),0)</f>
        <v>1.0000000000000002</v>
      </c>
      <c r="AU72" s="73">
        <f>IFERROR(VLOOKUP(AU66,CaseData!$I$10:$J$22,2,1),0)</f>
        <v>1.0000000000000002</v>
      </c>
      <c r="AV72" s="73">
        <f>IFERROR(VLOOKUP(AV66,CaseData!$I$10:$J$22,2,1),0)</f>
        <v>1.0000000000000002</v>
      </c>
      <c r="AW72" s="73">
        <f>IFERROR(VLOOKUP(AW66,CaseData!$I$10:$J$22,2,1),0)</f>
        <v>1.0000000000000002</v>
      </c>
      <c r="AX72" s="73">
        <f>IFERROR(VLOOKUP(AX66,CaseData!$I$10:$J$22,2,1),0)</f>
        <v>1.0000000000000002</v>
      </c>
      <c r="AY72" s="73">
        <f>IFERROR(VLOOKUP(AY66,CaseData!$I$10:$J$22,2,1),0)</f>
        <v>1.0000000000000002</v>
      </c>
      <c r="AZ72" s="73">
        <f>IFERROR(VLOOKUP(AZ66,CaseData!$I$10:$J$22,2,1),0)</f>
        <v>1.0000000000000002</v>
      </c>
      <c r="BA72" s="73">
        <f>IFERROR(VLOOKUP(BA66,CaseData!$I$10:$J$22,2,1),0)</f>
        <v>1.0000000000000002</v>
      </c>
      <c r="BB72" s="73">
        <f>IFERROR(VLOOKUP(BB66,CaseData!$I$10:$J$22,2,1),0)</f>
        <v>1.0000000000000002</v>
      </c>
      <c r="BC72" s="73">
        <f>IFERROR(VLOOKUP(BC66,CaseData!$I$10:$J$22,2,1),0)</f>
        <v>1.0000000000000002</v>
      </c>
      <c r="BD72" s="73">
        <f>IFERROR(VLOOKUP(BD66,CaseData!$I$10:$J$22,2,1),0)</f>
        <v>1.0000000000000002</v>
      </c>
      <c r="BE72" s="73">
        <f>IFERROR(VLOOKUP(BE66,CaseData!$I$10:$J$22,2,1),0)</f>
        <v>1.0000000000000002</v>
      </c>
      <c r="BF72" s="73">
        <f>IFERROR(VLOOKUP(BF66,CaseData!$I$10:$J$22,2,1),0)</f>
        <v>1.0000000000000002</v>
      </c>
      <c r="BG72" s="73">
        <f>IFERROR(VLOOKUP(BG66,CaseData!$I$10:$J$22,2,1),0)</f>
        <v>1.0000000000000002</v>
      </c>
      <c r="BH72" s="73">
        <f>IFERROR(VLOOKUP(BH66,CaseData!$I$10:$J$22,2,1),0)</f>
        <v>1.0000000000000002</v>
      </c>
      <c r="BI72" s="73">
        <f>IFERROR(VLOOKUP(BI66,CaseData!$I$10:$J$22,2,1),0)</f>
        <v>1.0000000000000002</v>
      </c>
      <c r="BJ72" s="73">
        <f>IFERROR(VLOOKUP(BJ66,CaseData!$I$10:$J$22,2,1),0)</f>
        <v>1.0000000000000002</v>
      </c>
      <c r="BK72" s="73">
        <f>IFERROR(VLOOKUP(BK66,CaseData!$I$10:$J$22,2,1),0)</f>
        <v>1.0000000000000002</v>
      </c>
      <c r="BL72" s="73">
        <f>IFERROR(VLOOKUP(BL66,CaseData!$I$10:$J$22,2,1),0)</f>
        <v>1.0000000000000002</v>
      </c>
      <c r="BM72" s="73">
        <f>IFERROR(VLOOKUP(BM66,CaseData!$I$10:$J$22,2,1),0)</f>
        <v>1.0000000000000002</v>
      </c>
      <c r="BN72" s="73">
        <f>IFERROR(VLOOKUP(BN66,CaseData!$I$10:$J$22,2,1),0)</f>
        <v>1.0000000000000002</v>
      </c>
    </row>
    <row r="73" spans="2:66">
      <c r="B73" s="37" t="str">
        <f>CaseData!C16</f>
        <v>Zurich</v>
      </c>
      <c r="G73" s="73">
        <f>IFERROR(VLOOKUP(G67,CaseData!$I$10:$J$22,2,1),0)</f>
        <v>0</v>
      </c>
      <c r="H73" s="73">
        <f>IFERROR(VLOOKUP(H67,CaseData!$I$10:$J$22,2,1),0)</f>
        <v>0</v>
      </c>
      <c r="I73" s="73">
        <f>IFERROR(VLOOKUP(I67,CaseData!$I$10:$J$22,2,1),0)</f>
        <v>0</v>
      </c>
      <c r="J73" s="73">
        <f>IFERROR(VLOOKUP(J67,CaseData!$I$10:$J$22,2,1),0)</f>
        <v>0</v>
      </c>
      <c r="K73" s="73">
        <f>IFERROR(VLOOKUP(K67,CaseData!$I$10:$J$22,2,1),0)</f>
        <v>0</v>
      </c>
      <c r="L73" s="73">
        <f>IFERROR(VLOOKUP(L67,CaseData!$I$10:$J$22,2,1),0)</f>
        <v>0</v>
      </c>
      <c r="M73" s="73">
        <f>IFERROR(VLOOKUP(M67,CaseData!$I$10:$J$22,2,1),0)</f>
        <v>0</v>
      </c>
      <c r="N73" s="73">
        <f>IFERROR(VLOOKUP(N67,CaseData!$I$10:$J$22,2,1),0)</f>
        <v>0</v>
      </c>
      <c r="O73" s="73">
        <f>IFERROR(VLOOKUP(O67,CaseData!$I$10:$J$22,2,1),0)</f>
        <v>0</v>
      </c>
      <c r="P73" s="73">
        <f>IFERROR(VLOOKUP(P67,CaseData!$I$10:$J$22,2,1),0)</f>
        <v>0</v>
      </c>
      <c r="Q73" s="73">
        <f>IFERROR(VLOOKUP(Q67,CaseData!$I$10:$J$22,2,1),0)</f>
        <v>0</v>
      </c>
      <c r="R73" s="73">
        <f>IFERROR(VLOOKUP(R67,CaseData!$I$10:$J$22,2,1),0)</f>
        <v>0</v>
      </c>
      <c r="S73" s="73">
        <f>IFERROR(VLOOKUP(S67,CaseData!$I$10:$J$22,2,1),0)</f>
        <v>0</v>
      </c>
      <c r="T73" s="73">
        <f>IFERROR(VLOOKUP(T67,CaseData!$I$10:$J$22,2,1),0)</f>
        <v>0</v>
      </c>
      <c r="U73" s="73">
        <f>IFERROR(VLOOKUP(U67,CaseData!$I$10:$J$22,2,1),0)</f>
        <v>0.5</v>
      </c>
      <c r="V73" s="73">
        <f>IFERROR(VLOOKUP(V67,CaseData!$I$10:$J$22,2,1),0)</f>
        <v>0.54166666666666652</v>
      </c>
      <c r="W73" s="73">
        <f>IFERROR(VLOOKUP(W67,CaseData!$I$10:$J$22,2,1),0)</f>
        <v>0.58333333333333326</v>
      </c>
      <c r="X73" s="73">
        <f>IFERROR(VLOOKUP(X67,CaseData!$I$10:$J$22,2,1),0)</f>
        <v>0.625</v>
      </c>
      <c r="Y73" s="73">
        <f>IFERROR(VLOOKUP(Y67,CaseData!$I$10:$J$22,2,1),0)</f>
        <v>0.66666666666666663</v>
      </c>
      <c r="Z73" s="73">
        <f>IFERROR(VLOOKUP(Z67,CaseData!$I$10:$J$22,2,1),0)</f>
        <v>0.70833333333333326</v>
      </c>
      <c r="AA73" s="73">
        <f>IFERROR(VLOOKUP(AA67,CaseData!$I$10:$J$22,2,1),0)</f>
        <v>0.75</v>
      </c>
      <c r="AB73" s="73">
        <f>IFERROR(VLOOKUP(AB67,CaseData!$I$10:$J$22,2,1),0)</f>
        <v>0.79166666666666674</v>
      </c>
      <c r="AC73" s="73">
        <f>IFERROR(VLOOKUP(AC67,CaseData!$I$10:$J$22,2,1),0)</f>
        <v>0.83333333333333337</v>
      </c>
      <c r="AD73" s="73">
        <f>IFERROR(VLOOKUP(AD67,CaseData!$I$10:$J$22,2,1),0)</f>
        <v>0.875</v>
      </c>
      <c r="AE73" s="73">
        <f>IFERROR(VLOOKUP(AE67,CaseData!$I$10:$J$22,2,1),0)</f>
        <v>0.91666666666666674</v>
      </c>
      <c r="AF73" s="73">
        <f>IFERROR(VLOOKUP(AF67,CaseData!$I$10:$J$22,2,1),0)</f>
        <v>0.95833333333333348</v>
      </c>
      <c r="AG73" s="73">
        <f>IFERROR(VLOOKUP(AG67,CaseData!$I$10:$J$22,2,1),0)</f>
        <v>1.0000000000000002</v>
      </c>
      <c r="AH73" s="73">
        <f>IFERROR(VLOOKUP(AH67,CaseData!$I$10:$J$22,2,1),0)</f>
        <v>1.0000000000000002</v>
      </c>
      <c r="AI73" s="73">
        <f>IFERROR(VLOOKUP(AI67,CaseData!$I$10:$J$22,2,1),0)</f>
        <v>1.0000000000000002</v>
      </c>
      <c r="AJ73" s="73">
        <f>IFERROR(VLOOKUP(AJ67,CaseData!$I$10:$J$22,2,1),0)</f>
        <v>1.0000000000000002</v>
      </c>
      <c r="AK73" s="73">
        <f>IFERROR(VLOOKUP(AK67,CaseData!$I$10:$J$22,2,1),0)</f>
        <v>1.0000000000000002</v>
      </c>
      <c r="AL73" s="73">
        <f>IFERROR(VLOOKUP(AL67,CaseData!$I$10:$J$22,2,1),0)</f>
        <v>1.0000000000000002</v>
      </c>
      <c r="AM73" s="73">
        <f>IFERROR(VLOOKUP(AM67,CaseData!$I$10:$J$22,2,1),0)</f>
        <v>1.0000000000000002</v>
      </c>
      <c r="AN73" s="73">
        <f>IFERROR(VLOOKUP(AN67,CaseData!$I$10:$J$22,2,1),0)</f>
        <v>1.0000000000000002</v>
      </c>
      <c r="AO73" s="73">
        <f>IFERROR(VLOOKUP(AO67,CaseData!$I$10:$J$22,2,1),0)</f>
        <v>1.0000000000000002</v>
      </c>
      <c r="AP73" s="73">
        <f>IFERROR(VLOOKUP(AP67,CaseData!$I$10:$J$22,2,1),0)</f>
        <v>1.0000000000000002</v>
      </c>
      <c r="AQ73" s="73">
        <f>IFERROR(VLOOKUP(AQ67,CaseData!$I$10:$J$22,2,1),0)</f>
        <v>1.0000000000000002</v>
      </c>
      <c r="AR73" s="73">
        <f>IFERROR(VLOOKUP(AR67,CaseData!$I$10:$J$22,2,1),0)</f>
        <v>1.0000000000000002</v>
      </c>
      <c r="AS73" s="73">
        <f>IFERROR(VLOOKUP(AS67,CaseData!$I$10:$J$22,2,1),0)</f>
        <v>1.0000000000000002</v>
      </c>
      <c r="AT73" s="73">
        <f>IFERROR(VLOOKUP(AT67,CaseData!$I$10:$J$22,2,1),0)</f>
        <v>1.0000000000000002</v>
      </c>
      <c r="AU73" s="73">
        <f>IFERROR(VLOOKUP(AU67,CaseData!$I$10:$J$22,2,1),0)</f>
        <v>1.0000000000000002</v>
      </c>
      <c r="AV73" s="73">
        <f>IFERROR(VLOOKUP(AV67,CaseData!$I$10:$J$22,2,1),0)</f>
        <v>1.0000000000000002</v>
      </c>
      <c r="AW73" s="73">
        <f>IFERROR(VLOOKUP(AW67,CaseData!$I$10:$J$22,2,1),0)</f>
        <v>1.0000000000000002</v>
      </c>
      <c r="AX73" s="73">
        <f>IFERROR(VLOOKUP(AX67,CaseData!$I$10:$J$22,2,1),0)</f>
        <v>1.0000000000000002</v>
      </c>
      <c r="AY73" s="73">
        <f>IFERROR(VLOOKUP(AY67,CaseData!$I$10:$J$22,2,1),0)</f>
        <v>1.0000000000000002</v>
      </c>
      <c r="AZ73" s="73">
        <f>IFERROR(VLOOKUP(AZ67,CaseData!$I$10:$J$22,2,1),0)</f>
        <v>1.0000000000000002</v>
      </c>
      <c r="BA73" s="73">
        <f>IFERROR(VLOOKUP(BA67,CaseData!$I$10:$J$22,2,1),0)</f>
        <v>1.0000000000000002</v>
      </c>
      <c r="BB73" s="73">
        <f>IFERROR(VLOOKUP(BB67,CaseData!$I$10:$J$22,2,1),0)</f>
        <v>1.0000000000000002</v>
      </c>
      <c r="BC73" s="73">
        <f>IFERROR(VLOOKUP(BC67,CaseData!$I$10:$J$22,2,1),0)</f>
        <v>1.0000000000000002</v>
      </c>
      <c r="BD73" s="73">
        <f>IFERROR(VLOOKUP(BD67,CaseData!$I$10:$J$22,2,1),0)</f>
        <v>1.0000000000000002</v>
      </c>
      <c r="BE73" s="73">
        <f>IFERROR(VLOOKUP(BE67,CaseData!$I$10:$J$22,2,1),0)</f>
        <v>1.0000000000000002</v>
      </c>
      <c r="BF73" s="73">
        <f>IFERROR(VLOOKUP(BF67,CaseData!$I$10:$J$22,2,1),0)</f>
        <v>1.0000000000000002</v>
      </c>
      <c r="BG73" s="73">
        <f>IFERROR(VLOOKUP(BG67,CaseData!$I$10:$J$22,2,1),0)</f>
        <v>1.0000000000000002</v>
      </c>
      <c r="BH73" s="73">
        <f>IFERROR(VLOOKUP(BH67,CaseData!$I$10:$J$22,2,1),0)</f>
        <v>1.0000000000000002</v>
      </c>
      <c r="BI73" s="73">
        <f>IFERROR(VLOOKUP(BI67,CaseData!$I$10:$J$22,2,1),0)</f>
        <v>1.0000000000000002</v>
      </c>
      <c r="BJ73" s="73">
        <f>IFERROR(VLOOKUP(BJ67,CaseData!$I$10:$J$22,2,1),0)</f>
        <v>1.0000000000000002</v>
      </c>
      <c r="BK73" s="73">
        <f>IFERROR(VLOOKUP(BK67,CaseData!$I$10:$J$22,2,1),0)</f>
        <v>1.0000000000000002</v>
      </c>
      <c r="BL73" s="73">
        <f>IFERROR(VLOOKUP(BL67,CaseData!$I$10:$J$22,2,1),0)</f>
        <v>1.0000000000000002</v>
      </c>
      <c r="BM73" s="73">
        <f>IFERROR(VLOOKUP(BM67,CaseData!$I$10:$J$22,2,1),0)</f>
        <v>1.0000000000000002</v>
      </c>
      <c r="BN73" s="73">
        <f>IFERROR(VLOOKUP(BN67,CaseData!$I$10:$J$22,2,1),0)</f>
        <v>1.0000000000000002</v>
      </c>
    </row>
    <row r="74" spans="2:66">
      <c r="B74" s="37" t="str">
        <f>CaseData!C17</f>
        <v>Moscow</v>
      </c>
      <c r="G74" s="73">
        <f>IFERROR(VLOOKUP(G68,CaseData!$I$10:$J$22,2,1),0)</f>
        <v>0</v>
      </c>
      <c r="H74" s="73">
        <f>IFERROR(VLOOKUP(H68,CaseData!$I$10:$J$22,2,1),0)</f>
        <v>0</v>
      </c>
      <c r="I74" s="73">
        <f>IFERROR(VLOOKUP(I68,CaseData!$I$10:$J$22,2,1),0)</f>
        <v>0</v>
      </c>
      <c r="J74" s="73">
        <f>IFERROR(VLOOKUP(J68,CaseData!$I$10:$J$22,2,1),0)</f>
        <v>0</v>
      </c>
      <c r="K74" s="73">
        <f>IFERROR(VLOOKUP(K68,CaseData!$I$10:$J$22,2,1),0)</f>
        <v>0</v>
      </c>
      <c r="L74" s="73">
        <f>IFERROR(VLOOKUP(L68,CaseData!$I$10:$J$22,2,1),0)</f>
        <v>0</v>
      </c>
      <c r="M74" s="73">
        <f>IFERROR(VLOOKUP(M68,CaseData!$I$10:$J$22,2,1),0)</f>
        <v>0</v>
      </c>
      <c r="N74" s="73">
        <f>IFERROR(VLOOKUP(N68,CaseData!$I$10:$J$22,2,1),0)</f>
        <v>0</v>
      </c>
      <c r="O74" s="73">
        <f>IFERROR(VLOOKUP(O68,CaseData!$I$10:$J$22,2,1),0)</f>
        <v>0</v>
      </c>
      <c r="P74" s="73">
        <f>IFERROR(VLOOKUP(P68,CaseData!$I$10:$J$22,2,1),0)</f>
        <v>0</v>
      </c>
      <c r="Q74" s="73">
        <f>IFERROR(VLOOKUP(Q68,CaseData!$I$10:$J$22,2,1),0)</f>
        <v>0</v>
      </c>
      <c r="R74" s="73">
        <f>IFERROR(VLOOKUP(R68,CaseData!$I$10:$J$22,2,1),0)</f>
        <v>0</v>
      </c>
      <c r="S74" s="73">
        <f>IFERROR(VLOOKUP(S68,CaseData!$I$10:$J$22,2,1),0)</f>
        <v>0</v>
      </c>
      <c r="T74" s="73">
        <f>IFERROR(VLOOKUP(T68,CaseData!$I$10:$J$22,2,1),0)</f>
        <v>0</v>
      </c>
      <c r="U74" s="73">
        <f>IFERROR(VLOOKUP(U68,CaseData!$I$10:$J$22,2,1),0)</f>
        <v>0</v>
      </c>
      <c r="V74" s="73">
        <f>IFERROR(VLOOKUP(V68,CaseData!$I$10:$J$22,2,1),0)</f>
        <v>0</v>
      </c>
      <c r="W74" s="73">
        <f>IFERROR(VLOOKUP(W68,CaseData!$I$10:$J$22,2,1),0)</f>
        <v>0</v>
      </c>
      <c r="X74" s="73">
        <f>IFERROR(VLOOKUP(X68,CaseData!$I$10:$J$22,2,1),0)</f>
        <v>0</v>
      </c>
      <c r="Y74" s="73">
        <f>IFERROR(VLOOKUP(Y68,CaseData!$I$10:$J$22,2,1),0)</f>
        <v>0</v>
      </c>
      <c r="Z74" s="73">
        <f>IFERROR(VLOOKUP(Z68,CaseData!$I$10:$J$22,2,1),0)</f>
        <v>0</v>
      </c>
      <c r="AA74" s="73">
        <f>IFERROR(VLOOKUP(AA68,CaseData!$I$10:$J$22,2,1),0)</f>
        <v>0.5</v>
      </c>
      <c r="AB74" s="73">
        <f>IFERROR(VLOOKUP(AB68,CaseData!$I$10:$J$22,2,1),0)</f>
        <v>0.54166666666666652</v>
      </c>
      <c r="AC74" s="73">
        <f>IFERROR(VLOOKUP(AC68,CaseData!$I$10:$J$22,2,1),0)</f>
        <v>0.58333333333333326</v>
      </c>
      <c r="AD74" s="73">
        <f>IFERROR(VLOOKUP(AD68,CaseData!$I$10:$J$22,2,1),0)</f>
        <v>0.625</v>
      </c>
      <c r="AE74" s="73">
        <f>IFERROR(VLOOKUP(AE68,CaseData!$I$10:$J$22,2,1),0)</f>
        <v>0.66666666666666663</v>
      </c>
      <c r="AF74" s="73">
        <f>IFERROR(VLOOKUP(AF68,CaseData!$I$10:$J$22,2,1),0)</f>
        <v>0.70833333333333326</v>
      </c>
      <c r="AG74" s="73">
        <f>IFERROR(VLOOKUP(AG68,CaseData!$I$10:$J$22,2,1),0)</f>
        <v>0.75</v>
      </c>
      <c r="AH74" s="73">
        <f>IFERROR(VLOOKUP(AH68,CaseData!$I$10:$J$22,2,1),0)</f>
        <v>0.79166666666666674</v>
      </c>
      <c r="AI74" s="73">
        <f>IFERROR(VLOOKUP(AI68,CaseData!$I$10:$J$22,2,1),0)</f>
        <v>0.83333333333333337</v>
      </c>
      <c r="AJ74" s="73">
        <f>IFERROR(VLOOKUP(AJ68,CaseData!$I$10:$J$22,2,1),0)</f>
        <v>0.875</v>
      </c>
      <c r="AK74" s="73">
        <f>IFERROR(VLOOKUP(AK68,CaseData!$I$10:$J$22,2,1),0)</f>
        <v>0.91666666666666674</v>
      </c>
      <c r="AL74" s="73">
        <f>IFERROR(VLOOKUP(AL68,CaseData!$I$10:$J$22,2,1),0)</f>
        <v>0.95833333333333348</v>
      </c>
      <c r="AM74" s="73">
        <f>IFERROR(VLOOKUP(AM68,CaseData!$I$10:$J$22,2,1),0)</f>
        <v>1.0000000000000002</v>
      </c>
      <c r="AN74" s="73">
        <f>IFERROR(VLOOKUP(AN68,CaseData!$I$10:$J$22,2,1),0)</f>
        <v>1.0000000000000002</v>
      </c>
      <c r="AO74" s="73">
        <f>IFERROR(VLOOKUP(AO68,CaseData!$I$10:$J$22,2,1),0)</f>
        <v>1.0000000000000002</v>
      </c>
      <c r="AP74" s="73">
        <f>IFERROR(VLOOKUP(AP68,CaseData!$I$10:$J$22,2,1),0)</f>
        <v>1.0000000000000002</v>
      </c>
      <c r="AQ74" s="73">
        <f>IFERROR(VLOOKUP(AQ68,CaseData!$I$10:$J$22,2,1),0)</f>
        <v>1.0000000000000002</v>
      </c>
      <c r="AR74" s="73">
        <f>IFERROR(VLOOKUP(AR68,CaseData!$I$10:$J$22,2,1),0)</f>
        <v>1.0000000000000002</v>
      </c>
      <c r="AS74" s="73">
        <f>IFERROR(VLOOKUP(AS68,CaseData!$I$10:$J$22,2,1),0)</f>
        <v>1.0000000000000002</v>
      </c>
      <c r="AT74" s="73">
        <f>IFERROR(VLOOKUP(AT68,CaseData!$I$10:$J$22,2,1),0)</f>
        <v>1.0000000000000002</v>
      </c>
      <c r="AU74" s="73">
        <f>IFERROR(VLOOKUP(AU68,CaseData!$I$10:$J$22,2,1),0)</f>
        <v>1.0000000000000002</v>
      </c>
      <c r="AV74" s="73">
        <f>IFERROR(VLOOKUP(AV68,CaseData!$I$10:$J$22,2,1),0)</f>
        <v>1.0000000000000002</v>
      </c>
      <c r="AW74" s="73">
        <f>IFERROR(VLOOKUP(AW68,CaseData!$I$10:$J$22,2,1),0)</f>
        <v>1.0000000000000002</v>
      </c>
      <c r="AX74" s="73">
        <f>IFERROR(VLOOKUP(AX68,CaseData!$I$10:$J$22,2,1),0)</f>
        <v>1.0000000000000002</v>
      </c>
      <c r="AY74" s="73">
        <f>IFERROR(VLOOKUP(AY68,CaseData!$I$10:$J$22,2,1),0)</f>
        <v>1.0000000000000002</v>
      </c>
      <c r="AZ74" s="73">
        <f>IFERROR(VLOOKUP(AZ68,CaseData!$I$10:$J$22,2,1),0)</f>
        <v>1.0000000000000002</v>
      </c>
      <c r="BA74" s="73">
        <f>IFERROR(VLOOKUP(BA68,CaseData!$I$10:$J$22,2,1),0)</f>
        <v>1.0000000000000002</v>
      </c>
      <c r="BB74" s="73">
        <f>IFERROR(VLOOKUP(BB68,CaseData!$I$10:$J$22,2,1),0)</f>
        <v>1.0000000000000002</v>
      </c>
      <c r="BC74" s="73">
        <f>IFERROR(VLOOKUP(BC68,CaseData!$I$10:$J$22,2,1),0)</f>
        <v>1.0000000000000002</v>
      </c>
      <c r="BD74" s="73">
        <f>IFERROR(VLOOKUP(BD68,CaseData!$I$10:$J$22,2,1),0)</f>
        <v>1.0000000000000002</v>
      </c>
      <c r="BE74" s="73">
        <f>IFERROR(VLOOKUP(BE68,CaseData!$I$10:$J$22,2,1),0)</f>
        <v>1.0000000000000002</v>
      </c>
      <c r="BF74" s="73">
        <f>IFERROR(VLOOKUP(BF68,CaseData!$I$10:$J$22,2,1),0)</f>
        <v>1.0000000000000002</v>
      </c>
      <c r="BG74" s="73">
        <f>IFERROR(VLOOKUP(BG68,CaseData!$I$10:$J$22,2,1),0)</f>
        <v>1.0000000000000002</v>
      </c>
      <c r="BH74" s="73">
        <f>IFERROR(VLOOKUP(BH68,CaseData!$I$10:$J$22,2,1),0)</f>
        <v>1.0000000000000002</v>
      </c>
      <c r="BI74" s="73">
        <f>IFERROR(VLOOKUP(BI68,CaseData!$I$10:$J$22,2,1),0)</f>
        <v>1.0000000000000002</v>
      </c>
      <c r="BJ74" s="73">
        <f>IFERROR(VLOOKUP(BJ68,CaseData!$I$10:$J$22,2,1),0)</f>
        <v>1.0000000000000002</v>
      </c>
      <c r="BK74" s="73">
        <f>IFERROR(VLOOKUP(BK68,CaseData!$I$10:$J$22,2,1),0)</f>
        <v>1.0000000000000002</v>
      </c>
      <c r="BL74" s="73">
        <f>IFERROR(VLOOKUP(BL68,CaseData!$I$10:$J$22,2,1),0)</f>
        <v>1.0000000000000002</v>
      </c>
      <c r="BM74" s="73">
        <f>IFERROR(VLOOKUP(BM68,CaseData!$I$10:$J$22,2,1),0)</f>
        <v>1.0000000000000002</v>
      </c>
      <c r="BN74" s="73">
        <f>IFERROR(VLOOKUP(BN68,CaseData!$I$10:$J$22,2,1),0)</f>
        <v>1.0000000000000002</v>
      </c>
    </row>
    <row r="76" spans="2:66">
      <c r="B76" s="3" t="s">
        <v>64</v>
      </c>
      <c r="G76" s="74">
        <f>INDEX(CaseData!$D$58:$D$69,MATCH(MONTH(G$5),CaseData!$C$58:$C$69,0))</f>
        <v>2.5</v>
      </c>
      <c r="H76" s="74">
        <f>INDEX(CaseData!$D$58:$D$69,MATCH(MONTH(H$5),CaseData!$C$58:$C$69,0))</f>
        <v>1</v>
      </c>
      <c r="I76" s="74">
        <f>INDEX(CaseData!$D$58:$D$69,MATCH(MONTH(I$5),CaseData!$C$58:$C$69,0))</f>
        <v>1</v>
      </c>
      <c r="J76" s="74">
        <f>INDEX(CaseData!$D$58:$D$69,MATCH(MONTH(J$5),CaseData!$C$58:$C$69,0))</f>
        <v>1</v>
      </c>
      <c r="K76" s="74">
        <f>INDEX(CaseData!$D$58:$D$69,MATCH(MONTH(K$5),CaseData!$C$58:$C$69,0))</f>
        <v>1</v>
      </c>
      <c r="L76" s="74">
        <f>INDEX(CaseData!$D$58:$D$69,MATCH(MONTH(L$5),CaseData!$C$58:$C$69,0))</f>
        <v>1</v>
      </c>
      <c r="M76" s="74">
        <f>INDEX(CaseData!$D$58:$D$69,MATCH(MONTH(M$5),CaseData!$C$58:$C$69,0))</f>
        <v>2.5</v>
      </c>
      <c r="N76" s="74">
        <f>INDEX(CaseData!$D$58:$D$69,MATCH(MONTH(N$5),CaseData!$C$58:$C$69,0))</f>
        <v>1</v>
      </c>
      <c r="O76" s="74">
        <f>INDEX(CaseData!$D$58:$D$69,MATCH(MONTH(O$5),CaseData!$C$58:$C$69,0))</f>
        <v>1</v>
      </c>
      <c r="P76" s="74">
        <f>INDEX(CaseData!$D$58:$D$69,MATCH(MONTH(P$5),CaseData!$C$58:$C$69,0))</f>
        <v>1</v>
      </c>
      <c r="Q76" s="74">
        <f>INDEX(CaseData!$D$58:$D$69,MATCH(MONTH(Q$5),CaseData!$C$58:$C$69,0))</f>
        <v>1</v>
      </c>
      <c r="R76" s="74">
        <f>INDEX(CaseData!$D$58:$D$69,MATCH(MONTH(R$5),CaseData!$C$58:$C$69,0))</f>
        <v>1.5</v>
      </c>
      <c r="S76" s="74">
        <f>INDEX(CaseData!$D$58:$D$69,MATCH(MONTH(S$5),CaseData!$C$58:$C$69,0))</f>
        <v>2.5</v>
      </c>
      <c r="T76" s="74">
        <f>INDEX(CaseData!$D$58:$D$69,MATCH(MONTH(T$5),CaseData!$C$58:$C$69,0))</f>
        <v>1</v>
      </c>
      <c r="U76" s="74">
        <f>INDEX(CaseData!$D$58:$D$69,MATCH(MONTH(U$5),CaseData!$C$58:$C$69,0))</f>
        <v>1</v>
      </c>
      <c r="V76" s="74">
        <f>INDEX(CaseData!$D$58:$D$69,MATCH(MONTH(V$5),CaseData!$C$58:$C$69,0))</f>
        <v>1</v>
      </c>
      <c r="W76" s="74">
        <f>INDEX(CaseData!$D$58:$D$69,MATCH(MONTH(W$5),CaseData!$C$58:$C$69,0))</f>
        <v>1</v>
      </c>
      <c r="X76" s="74">
        <f>INDEX(CaseData!$D$58:$D$69,MATCH(MONTH(X$5),CaseData!$C$58:$C$69,0))</f>
        <v>1</v>
      </c>
      <c r="Y76" s="74">
        <f>INDEX(CaseData!$D$58:$D$69,MATCH(MONTH(Y$5),CaseData!$C$58:$C$69,0))</f>
        <v>2.5</v>
      </c>
      <c r="Z76" s="74">
        <f>INDEX(CaseData!$D$58:$D$69,MATCH(MONTH(Z$5),CaseData!$C$58:$C$69,0))</f>
        <v>1</v>
      </c>
      <c r="AA76" s="74">
        <f>INDEX(CaseData!$D$58:$D$69,MATCH(MONTH(AA$5),CaseData!$C$58:$C$69,0))</f>
        <v>1</v>
      </c>
      <c r="AB76" s="74">
        <f>INDEX(CaseData!$D$58:$D$69,MATCH(MONTH(AB$5),CaseData!$C$58:$C$69,0))</f>
        <v>1</v>
      </c>
      <c r="AC76" s="74">
        <f>INDEX(CaseData!$D$58:$D$69,MATCH(MONTH(AC$5),CaseData!$C$58:$C$69,0))</f>
        <v>1</v>
      </c>
      <c r="AD76" s="74">
        <f>INDEX(CaseData!$D$58:$D$69,MATCH(MONTH(AD$5),CaseData!$C$58:$C$69,0))</f>
        <v>1.5</v>
      </c>
      <c r="AE76" s="74">
        <f>INDEX(CaseData!$D$58:$D$69,MATCH(MONTH(AE$5),CaseData!$C$58:$C$69,0))</f>
        <v>2.5</v>
      </c>
      <c r="AF76" s="74">
        <f>INDEX(CaseData!$D$58:$D$69,MATCH(MONTH(AF$5),CaseData!$C$58:$C$69,0))</f>
        <v>1</v>
      </c>
      <c r="AG76" s="74">
        <f>INDEX(CaseData!$D$58:$D$69,MATCH(MONTH(AG$5),CaseData!$C$58:$C$69,0))</f>
        <v>1</v>
      </c>
      <c r="AH76" s="74">
        <f>INDEX(CaseData!$D$58:$D$69,MATCH(MONTH(AH$5),CaseData!$C$58:$C$69,0))</f>
        <v>1</v>
      </c>
      <c r="AI76" s="74">
        <f>INDEX(CaseData!$D$58:$D$69,MATCH(MONTH(AI$5),CaseData!$C$58:$C$69,0))</f>
        <v>1</v>
      </c>
      <c r="AJ76" s="74">
        <f>INDEX(CaseData!$D$58:$D$69,MATCH(MONTH(AJ$5),CaseData!$C$58:$C$69,0))</f>
        <v>1</v>
      </c>
      <c r="AK76" s="74">
        <f>INDEX(CaseData!$D$58:$D$69,MATCH(MONTH(AK$5),CaseData!$C$58:$C$69,0))</f>
        <v>2.5</v>
      </c>
      <c r="AL76" s="74">
        <f>INDEX(CaseData!$D$58:$D$69,MATCH(MONTH(AL$5),CaseData!$C$58:$C$69,0))</f>
        <v>1</v>
      </c>
      <c r="AM76" s="74">
        <f>INDEX(CaseData!$D$58:$D$69,MATCH(MONTH(AM$5),CaseData!$C$58:$C$69,0))</f>
        <v>1</v>
      </c>
      <c r="AN76" s="74">
        <f>INDEX(CaseData!$D$58:$D$69,MATCH(MONTH(AN$5),CaseData!$C$58:$C$69,0))</f>
        <v>1</v>
      </c>
      <c r="AO76" s="74">
        <f>INDEX(CaseData!$D$58:$D$69,MATCH(MONTH(AO$5),CaseData!$C$58:$C$69,0))</f>
        <v>1</v>
      </c>
      <c r="AP76" s="74">
        <f>INDEX(CaseData!$D$58:$D$69,MATCH(MONTH(AP$5),CaseData!$C$58:$C$69,0))</f>
        <v>1.5</v>
      </c>
      <c r="AQ76" s="74">
        <f>INDEX(CaseData!$D$58:$D$69,MATCH(MONTH(AQ$5),CaseData!$C$58:$C$69,0))</f>
        <v>2.5</v>
      </c>
      <c r="AR76" s="74">
        <f>INDEX(CaseData!$D$58:$D$69,MATCH(MONTH(AR$5),CaseData!$C$58:$C$69,0))</f>
        <v>1</v>
      </c>
      <c r="AS76" s="74">
        <f>INDEX(CaseData!$D$58:$D$69,MATCH(MONTH(AS$5),CaseData!$C$58:$C$69,0))</f>
        <v>1</v>
      </c>
      <c r="AT76" s="74">
        <f>INDEX(CaseData!$D$58:$D$69,MATCH(MONTH(AT$5),CaseData!$C$58:$C$69,0))</f>
        <v>1</v>
      </c>
      <c r="AU76" s="74">
        <f>INDEX(CaseData!$D$58:$D$69,MATCH(MONTH(AU$5),CaseData!$C$58:$C$69,0))</f>
        <v>1</v>
      </c>
      <c r="AV76" s="74">
        <f>INDEX(CaseData!$D$58:$D$69,MATCH(MONTH(AV$5),CaseData!$C$58:$C$69,0))</f>
        <v>1</v>
      </c>
      <c r="AW76" s="74">
        <f>INDEX(CaseData!$D$58:$D$69,MATCH(MONTH(AW$5),CaseData!$C$58:$C$69,0))</f>
        <v>2.5</v>
      </c>
      <c r="AX76" s="74">
        <f>INDEX(CaseData!$D$58:$D$69,MATCH(MONTH(AX$5),CaseData!$C$58:$C$69,0))</f>
        <v>1</v>
      </c>
      <c r="AY76" s="74">
        <f>INDEX(CaseData!$D$58:$D$69,MATCH(MONTH(AY$5),CaseData!$C$58:$C$69,0))</f>
        <v>1</v>
      </c>
      <c r="AZ76" s="74">
        <f>INDEX(CaseData!$D$58:$D$69,MATCH(MONTH(AZ$5),CaseData!$C$58:$C$69,0))</f>
        <v>1</v>
      </c>
      <c r="BA76" s="74">
        <f>INDEX(CaseData!$D$58:$D$69,MATCH(MONTH(BA$5),CaseData!$C$58:$C$69,0))</f>
        <v>1</v>
      </c>
      <c r="BB76" s="74">
        <f>INDEX(CaseData!$D$58:$D$69,MATCH(MONTH(BB$5),CaseData!$C$58:$C$69,0))</f>
        <v>1.5</v>
      </c>
      <c r="BC76" s="74">
        <f>INDEX(CaseData!$D$58:$D$69,MATCH(MONTH(BC$5),CaseData!$C$58:$C$69,0))</f>
        <v>2.5</v>
      </c>
      <c r="BD76" s="74">
        <f>INDEX(CaseData!$D$58:$D$69,MATCH(MONTH(BD$5),CaseData!$C$58:$C$69,0))</f>
        <v>1</v>
      </c>
      <c r="BE76" s="74">
        <f>INDEX(CaseData!$D$58:$D$69,MATCH(MONTH(BE$5),CaseData!$C$58:$C$69,0))</f>
        <v>1</v>
      </c>
      <c r="BF76" s="74">
        <f>INDEX(CaseData!$D$58:$D$69,MATCH(MONTH(BF$5),CaseData!$C$58:$C$69,0))</f>
        <v>1</v>
      </c>
      <c r="BG76" s="74">
        <f>INDEX(CaseData!$D$58:$D$69,MATCH(MONTH(BG$5),CaseData!$C$58:$C$69,0))</f>
        <v>1</v>
      </c>
      <c r="BH76" s="74">
        <f>INDEX(CaseData!$D$58:$D$69,MATCH(MONTH(BH$5),CaseData!$C$58:$C$69,0))</f>
        <v>1</v>
      </c>
      <c r="BI76" s="74">
        <f>INDEX(CaseData!$D$58:$D$69,MATCH(MONTH(BI$5),CaseData!$C$58:$C$69,0))</f>
        <v>2.5</v>
      </c>
      <c r="BJ76" s="74">
        <f>INDEX(CaseData!$D$58:$D$69,MATCH(MONTH(BJ$5),CaseData!$C$58:$C$69,0))</f>
        <v>1</v>
      </c>
      <c r="BK76" s="74">
        <f>INDEX(CaseData!$D$58:$D$69,MATCH(MONTH(BK$5),CaseData!$C$58:$C$69,0))</f>
        <v>1</v>
      </c>
      <c r="BL76" s="74">
        <f>INDEX(CaseData!$D$58:$D$69,MATCH(MONTH(BL$5),CaseData!$C$58:$C$69,0))</f>
        <v>1</v>
      </c>
      <c r="BM76" s="74">
        <f>INDEX(CaseData!$D$58:$D$69,MATCH(MONTH(BM$5),CaseData!$C$58:$C$69,0))</f>
        <v>1</v>
      </c>
      <c r="BN76" s="74">
        <f>INDEX(CaseData!$D$58:$D$69,MATCH(MONTH(BN$5),CaseData!$C$58:$C$69,0))</f>
        <v>1.5</v>
      </c>
    </row>
    <row r="78" spans="2:66">
      <c r="B78" s="3" t="s">
        <v>76</v>
      </c>
    </row>
    <row r="79" spans="2:66">
      <c r="B79" s="3" t="s">
        <v>6</v>
      </c>
      <c r="C79" s="3" t="s">
        <v>61</v>
      </c>
      <c r="G79" s="70">
        <f>SUM(G80:G103)</f>
        <v>4625</v>
      </c>
      <c r="H79" s="70">
        <f t="shared" ref="H79:BN79" si="30">SUM(H80:H103)</f>
        <v>1850</v>
      </c>
      <c r="I79" s="70">
        <f t="shared" si="30"/>
        <v>2020</v>
      </c>
      <c r="J79" s="70">
        <f t="shared" si="30"/>
        <v>2034.1666666666667</v>
      </c>
      <c r="K79" s="70">
        <f t="shared" si="30"/>
        <v>2048.3333333333335</v>
      </c>
      <c r="L79" s="70">
        <f t="shared" si="30"/>
        <v>2062.5</v>
      </c>
      <c r="M79" s="70">
        <f t="shared" si="30"/>
        <v>5191.666666666667</v>
      </c>
      <c r="N79" s="70">
        <f t="shared" si="30"/>
        <v>2090.8333333333335</v>
      </c>
      <c r="O79" s="70">
        <f t="shared" si="30"/>
        <v>2410</v>
      </c>
      <c r="P79" s="70">
        <f t="shared" si="30"/>
        <v>2449.5833333333335</v>
      </c>
      <c r="Q79" s="70">
        <f t="shared" si="30"/>
        <v>2489.1666666666665</v>
      </c>
      <c r="R79" s="70">
        <f t="shared" si="30"/>
        <v>3793.125</v>
      </c>
      <c r="S79" s="70">
        <f t="shared" si="30"/>
        <v>6420.833333333333</v>
      </c>
      <c r="T79" s="70">
        <f t="shared" si="30"/>
        <v>2607.9166666666665</v>
      </c>
      <c r="U79" s="70">
        <f t="shared" si="30"/>
        <v>2947.5</v>
      </c>
      <c r="V79" s="70">
        <f t="shared" si="30"/>
        <v>2997.916666666667</v>
      </c>
      <c r="W79" s="70">
        <f t="shared" si="30"/>
        <v>3048.333333333333</v>
      </c>
      <c r="X79" s="70">
        <f t="shared" si="30"/>
        <v>3098.75</v>
      </c>
      <c r="Y79" s="70">
        <f t="shared" si="30"/>
        <v>7872.9166666666661</v>
      </c>
      <c r="Z79" s="70">
        <f t="shared" si="30"/>
        <v>3199.583333333333</v>
      </c>
      <c r="AA79" s="70">
        <f t="shared" si="30"/>
        <v>3420</v>
      </c>
      <c r="AB79" s="70">
        <f t="shared" si="30"/>
        <v>3459.1666666666665</v>
      </c>
      <c r="AC79" s="70">
        <f t="shared" si="30"/>
        <v>3498.3333333333335</v>
      </c>
      <c r="AD79" s="70">
        <f t="shared" si="30"/>
        <v>5306.25</v>
      </c>
      <c r="AE79" s="70">
        <f t="shared" si="30"/>
        <v>8941.6666666666661</v>
      </c>
      <c r="AF79" s="70">
        <f t="shared" si="30"/>
        <v>3615.8333333333335</v>
      </c>
      <c r="AG79" s="70">
        <f t="shared" si="30"/>
        <v>3655</v>
      </c>
      <c r="AH79" s="70">
        <f t="shared" si="30"/>
        <v>3669.1666666666665</v>
      </c>
      <c r="AI79" s="70">
        <f t="shared" si="30"/>
        <v>3683.3333333333335</v>
      </c>
      <c r="AJ79" s="70">
        <f t="shared" si="30"/>
        <v>3697.5</v>
      </c>
      <c r="AK79" s="70">
        <f t="shared" si="30"/>
        <v>9279.1666666666661</v>
      </c>
      <c r="AL79" s="70">
        <f t="shared" si="30"/>
        <v>3725.8333333333335</v>
      </c>
      <c r="AM79" s="70">
        <f t="shared" si="30"/>
        <v>3740</v>
      </c>
      <c r="AN79" s="70">
        <f t="shared" si="30"/>
        <v>3740</v>
      </c>
      <c r="AO79" s="70">
        <f t="shared" si="30"/>
        <v>3740</v>
      </c>
      <c r="AP79" s="70">
        <f t="shared" si="30"/>
        <v>5610</v>
      </c>
      <c r="AQ79" s="70">
        <f t="shared" si="30"/>
        <v>9350</v>
      </c>
      <c r="AR79" s="70">
        <f t="shared" si="30"/>
        <v>3740</v>
      </c>
      <c r="AS79" s="70">
        <f t="shared" si="30"/>
        <v>3740</v>
      </c>
      <c r="AT79" s="70">
        <f t="shared" si="30"/>
        <v>3740</v>
      </c>
      <c r="AU79" s="70">
        <f t="shared" si="30"/>
        <v>3740</v>
      </c>
      <c r="AV79" s="70">
        <f t="shared" si="30"/>
        <v>3740</v>
      </c>
      <c r="AW79" s="70">
        <f t="shared" si="30"/>
        <v>9350</v>
      </c>
      <c r="AX79" s="70">
        <f t="shared" si="30"/>
        <v>3740</v>
      </c>
      <c r="AY79" s="70">
        <f t="shared" si="30"/>
        <v>3740</v>
      </c>
      <c r="AZ79" s="70">
        <f t="shared" si="30"/>
        <v>3740</v>
      </c>
      <c r="BA79" s="70">
        <f t="shared" si="30"/>
        <v>3740</v>
      </c>
      <c r="BB79" s="70">
        <f t="shared" si="30"/>
        <v>5610</v>
      </c>
      <c r="BC79" s="70">
        <f t="shared" si="30"/>
        <v>9350</v>
      </c>
      <c r="BD79" s="70">
        <f t="shared" si="30"/>
        <v>3740</v>
      </c>
      <c r="BE79" s="70">
        <f t="shared" si="30"/>
        <v>3740</v>
      </c>
      <c r="BF79" s="70">
        <f t="shared" si="30"/>
        <v>3740</v>
      </c>
      <c r="BG79" s="70">
        <f t="shared" si="30"/>
        <v>3740</v>
      </c>
      <c r="BH79" s="70">
        <f t="shared" si="30"/>
        <v>3740</v>
      </c>
      <c r="BI79" s="70">
        <f t="shared" si="30"/>
        <v>9350</v>
      </c>
      <c r="BJ79" s="70">
        <f t="shared" si="30"/>
        <v>3740</v>
      </c>
      <c r="BK79" s="70">
        <f t="shared" si="30"/>
        <v>3740</v>
      </c>
      <c r="BL79" s="70">
        <f t="shared" si="30"/>
        <v>3740</v>
      </c>
      <c r="BM79" s="70">
        <f t="shared" si="30"/>
        <v>3740</v>
      </c>
      <c r="BN79" s="70">
        <f t="shared" si="30"/>
        <v>5610</v>
      </c>
    </row>
    <row r="80" spans="2:66">
      <c r="B80" s="37" t="str">
        <f>CaseData!$B$28</f>
        <v>Paris</v>
      </c>
      <c r="C80" t="str">
        <f>CaseData!$C$27</f>
        <v>Women's</v>
      </c>
      <c r="G80" s="72">
        <f t="shared" ref="G80:BN84" si="31">G39*G$76*IFERROR(INDEX(G$71:G$74,MATCH($B80,$B$71:$B$74,0)),1)</f>
        <v>450</v>
      </c>
      <c r="H80" s="72">
        <f t="shared" si="31"/>
        <v>180</v>
      </c>
      <c r="I80" s="72">
        <f t="shared" si="31"/>
        <v>180</v>
      </c>
      <c r="J80" s="72">
        <f t="shared" si="31"/>
        <v>180</v>
      </c>
      <c r="K80" s="72">
        <f t="shared" si="31"/>
        <v>180</v>
      </c>
      <c r="L80" s="72">
        <f t="shared" si="31"/>
        <v>180</v>
      </c>
      <c r="M80" s="72">
        <f t="shared" si="31"/>
        <v>450</v>
      </c>
      <c r="N80" s="72">
        <f t="shared" si="31"/>
        <v>180</v>
      </c>
      <c r="O80" s="72">
        <f t="shared" si="31"/>
        <v>180</v>
      </c>
      <c r="P80" s="72">
        <f t="shared" si="31"/>
        <v>180</v>
      </c>
      <c r="Q80" s="72">
        <f t="shared" si="31"/>
        <v>180</v>
      </c>
      <c r="R80" s="72">
        <f t="shared" si="31"/>
        <v>270</v>
      </c>
      <c r="S80" s="72">
        <f t="shared" si="31"/>
        <v>450</v>
      </c>
      <c r="T80" s="72">
        <f t="shared" si="31"/>
        <v>180</v>
      </c>
      <c r="U80" s="72">
        <f t="shared" si="31"/>
        <v>180</v>
      </c>
      <c r="V80" s="72">
        <f t="shared" si="31"/>
        <v>180</v>
      </c>
      <c r="W80" s="72">
        <f t="shared" si="31"/>
        <v>180</v>
      </c>
      <c r="X80" s="72">
        <f t="shared" si="31"/>
        <v>180</v>
      </c>
      <c r="Y80" s="72">
        <f t="shared" si="31"/>
        <v>450</v>
      </c>
      <c r="Z80" s="72">
        <f t="shared" si="31"/>
        <v>180</v>
      </c>
      <c r="AA80" s="72">
        <f t="shared" si="31"/>
        <v>180</v>
      </c>
      <c r="AB80" s="72">
        <f t="shared" si="31"/>
        <v>180</v>
      </c>
      <c r="AC80" s="72">
        <f t="shared" si="31"/>
        <v>180</v>
      </c>
      <c r="AD80" s="72">
        <f t="shared" si="31"/>
        <v>270</v>
      </c>
      <c r="AE80" s="72">
        <f t="shared" si="31"/>
        <v>450</v>
      </c>
      <c r="AF80" s="72">
        <f t="shared" si="31"/>
        <v>180</v>
      </c>
      <c r="AG80" s="72">
        <f t="shared" si="31"/>
        <v>180</v>
      </c>
      <c r="AH80" s="72">
        <f t="shared" si="31"/>
        <v>180</v>
      </c>
      <c r="AI80" s="72">
        <f t="shared" si="31"/>
        <v>180</v>
      </c>
      <c r="AJ80" s="72">
        <f t="shared" si="31"/>
        <v>180</v>
      </c>
      <c r="AK80" s="72">
        <f t="shared" si="31"/>
        <v>450</v>
      </c>
      <c r="AL80" s="72">
        <f t="shared" si="31"/>
        <v>180</v>
      </c>
      <c r="AM80" s="72">
        <f t="shared" si="31"/>
        <v>180</v>
      </c>
      <c r="AN80" s="72">
        <f t="shared" si="31"/>
        <v>180</v>
      </c>
      <c r="AO80" s="72">
        <f t="shared" si="31"/>
        <v>180</v>
      </c>
      <c r="AP80" s="72">
        <f t="shared" si="31"/>
        <v>270</v>
      </c>
      <c r="AQ80" s="72">
        <f t="shared" si="31"/>
        <v>450</v>
      </c>
      <c r="AR80" s="72">
        <f t="shared" si="31"/>
        <v>180</v>
      </c>
      <c r="AS80" s="72">
        <f t="shared" si="31"/>
        <v>180</v>
      </c>
      <c r="AT80" s="72">
        <f t="shared" si="31"/>
        <v>180</v>
      </c>
      <c r="AU80" s="72">
        <f t="shared" si="31"/>
        <v>180</v>
      </c>
      <c r="AV80" s="72">
        <f t="shared" si="31"/>
        <v>180</v>
      </c>
      <c r="AW80" s="72">
        <f t="shared" si="31"/>
        <v>450</v>
      </c>
      <c r="AX80" s="72">
        <f t="shared" si="31"/>
        <v>180</v>
      </c>
      <c r="AY80" s="72">
        <f t="shared" si="31"/>
        <v>180</v>
      </c>
      <c r="AZ80" s="72">
        <f t="shared" si="31"/>
        <v>180</v>
      </c>
      <c r="BA80" s="72">
        <f t="shared" si="31"/>
        <v>180</v>
      </c>
      <c r="BB80" s="72">
        <f t="shared" si="31"/>
        <v>270</v>
      </c>
      <c r="BC80" s="72">
        <f t="shared" si="31"/>
        <v>450</v>
      </c>
      <c r="BD80" s="72">
        <f t="shared" si="31"/>
        <v>180</v>
      </c>
      <c r="BE80" s="72">
        <f t="shared" si="31"/>
        <v>180</v>
      </c>
      <c r="BF80" s="72">
        <f t="shared" si="31"/>
        <v>180</v>
      </c>
      <c r="BG80" s="72">
        <f t="shared" si="31"/>
        <v>180</v>
      </c>
      <c r="BH80" s="72">
        <f t="shared" si="31"/>
        <v>180</v>
      </c>
      <c r="BI80" s="72">
        <f t="shared" si="31"/>
        <v>450</v>
      </c>
      <c r="BJ80" s="72">
        <f t="shared" si="31"/>
        <v>180</v>
      </c>
      <c r="BK80" s="72">
        <f t="shared" si="31"/>
        <v>180</v>
      </c>
      <c r="BL80" s="72">
        <f t="shared" si="31"/>
        <v>180</v>
      </c>
      <c r="BM80" s="72">
        <f t="shared" si="31"/>
        <v>180</v>
      </c>
      <c r="BN80" s="72">
        <f t="shared" si="31"/>
        <v>270</v>
      </c>
    </row>
    <row r="81" spans="2:66">
      <c r="B81" s="37" t="str">
        <f>B80</f>
        <v>Paris</v>
      </c>
      <c r="C81" t="str">
        <f>CaseData!$D$27</f>
        <v>Men's</v>
      </c>
      <c r="G81" s="72">
        <f t="shared" si="31"/>
        <v>425</v>
      </c>
      <c r="H81" s="72">
        <f t="shared" si="31"/>
        <v>170</v>
      </c>
      <c r="I81" s="72">
        <f t="shared" si="31"/>
        <v>170</v>
      </c>
      <c r="J81" s="72">
        <f t="shared" si="31"/>
        <v>170</v>
      </c>
      <c r="K81" s="72">
        <f t="shared" si="31"/>
        <v>170</v>
      </c>
      <c r="L81" s="72">
        <f t="shared" si="31"/>
        <v>170</v>
      </c>
      <c r="M81" s="72">
        <f t="shared" si="31"/>
        <v>425</v>
      </c>
      <c r="N81" s="72">
        <f t="shared" si="31"/>
        <v>170</v>
      </c>
      <c r="O81" s="72">
        <f t="shared" si="31"/>
        <v>170</v>
      </c>
      <c r="P81" s="72">
        <f t="shared" si="31"/>
        <v>170</v>
      </c>
      <c r="Q81" s="72">
        <f t="shared" si="31"/>
        <v>170</v>
      </c>
      <c r="R81" s="72">
        <f t="shared" si="31"/>
        <v>255</v>
      </c>
      <c r="S81" s="72">
        <f t="shared" si="31"/>
        <v>425</v>
      </c>
      <c r="T81" s="72">
        <f t="shared" si="31"/>
        <v>170</v>
      </c>
      <c r="U81" s="72">
        <f t="shared" si="31"/>
        <v>170</v>
      </c>
      <c r="V81" s="72">
        <f t="shared" si="31"/>
        <v>170</v>
      </c>
      <c r="W81" s="72">
        <f t="shared" si="31"/>
        <v>170</v>
      </c>
      <c r="X81" s="72">
        <f t="shared" si="31"/>
        <v>170</v>
      </c>
      <c r="Y81" s="72">
        <f t="shared" si="31"/>
        <v>425</v>
      </c>
      <c r="Z81" s="72">
        <f t="shared" si="31"/>
        <v>170</v>
      </c>
      <c r="AA81" s="72">
        <f t="shared" si="31"/>
        <v>170</v>
      </c>
      <c r="AB81" s="72">
        <f t="shared" si="31"/>
        <v>170</v>
      </c>
      <c r="AC81" s="72">
        <f t="shared" si="31"/>
        <v>170</v>
      </c>
      <c r="AD81" s="72">
        <f t="shared" si="31"/>
        <v>255</v>
      </c>
      <c r="AE81" s="72">
        <f t="shared" si="31"/>
        <v>425</v>
      </c>
      <c r="AF81" s="72">
        <f t="shared" si="31"/>
        <v>170</v>
      </c>
      <c r="AG81" s="72">
        <f t="shared" si="31"/>
        <v>170</v>
      </c>
      <c r="AH81" s="72">
        <f t="shared" si="31"/>
        <v>170</v>
      </c>
      <c r="AI81" s="72">
        <f t="shared" si="31"/>
        <v>170</v>
      </c>
      <c r="AJ81" s="72">
        <f t="shared" si="31"/>
        <v>170</v>
      </c>
      <c r="AK81" s="72">
        <f t="shared" si="31"/>
        <v>425</v>
      </c>
      <c r="AL81" s="72">
        <f t="shared" si="31"/>
        <v>170</v>
      </c>
      <c r="AM81" s="72">
        <f t="shared" si="31"/>
        <v>170</v>
      </c>
      <c r="AN81" s="72">
        <f t="shared" si="31"/>
        <v>170</v>
      </c>
      <c r="AO81" s="72">
        <f t="shared" si="31"/>
        <v>170</v>
      </c>
      <c r="AP81" s="72">
        <f t="shared" si="31"/>
        <v>255</v>
      </c>
      <c r="AQ81" s="72">
        <f t="shared" si="31"/>
        <v>425</v>
      </c>
      <c r="AR81" s="72">
        <f t="shared" si="31"/>
        <v>170</v>
      </c>
      <c r="AS81" s="72">
        <f t="shared" si="31"/>
        <v>170</v>
      </c>
      <c r="AT81" s="72">
        <f t="shared" si="31"/>
        <v>170</v>
      </c>
      <c r="AU81" s="72">
        <f t="shared" si="31"/>
        <v>170</v>
      </c>
      <c r="AV81" s="72">
        <f t="shared" si="31"/>
        <v>170</v>
      </c>
      <c r="AW81" s="72">
        <f t="shared" si="31"/>
        <v>425</v>
      </c>
      <c r="AX81" s="72">
        <f t="shared" si="31"/>
        <v>170</v>
      </c>
      <c r="AY81" s="72">
        <f t="shared" si="31"/>
        <v>170</v>
      </c>
      <c r="AZ81" s="72">
        <f t="shared" si="31"/>
        <v>170</v>
      </c>
      <c r="BA81" s="72">
        <f t="shared" si="31"/>
        <v>170</v>
      </c>
      <c r="BB81" s="72">
        <f t="shared" si="31"/>
        <v>255</v>
      </c>
      <c r="BC81" s="72">
        <f t="shared" si="31"/>
        <v>425</v>
      </c>
      <c r="BD81" s="72">
        <f t="shared" si="31"/>
        <v>170</v>
      </c>
      <c r="BE81" s="72">
        <f t="shared" si="31"/>
        <v>170</v>
      </c>
      <c r="BF81" s="72">
        <f t="shared" si="31"/>
        <v>170</v>
      </c>
      <c r="BG81" s="72">
        <f t="shared" si="31"/>
        <v>170</v>
      </c>
      <c r="BH81" s="72">
        <f t="shared" si="31"/>
        <v>170</v>
      </c>
      <c r="BI81" s="72">
        <f t="shared" si="31"/>
        <v>425</v>
      </c>
      <c r="BJ81" s="72">
        <f t="shared" si="31"/>
        <v>170</v>
      </c>
      <c r="BK81" s="72">
        <f t="shared" si="31"/>
        <v>170</v>
      </c>
      <c r="BL81" s="72">
        <f t="shared" si="31"/>
        <v>170</v>
      </c>
      <c r="BM81" s="72">
        <f t="shared" si="31"/>
        <v>170</v>
      </c>
      <c r="BN81" s="72">
        <f t="shared" si="31"/>
        <v>255</v>
      </c>
    </row>
    <row r="82" spans="2:66">
      <c r="B82" s="37" t="str">
        <f>B81</f>
        <v>Paris</v>
      </c>
      <c r="C82" t="str">
        <f>CaseData!$E$27</f>
        <v>Accessories</v>
      </c>
      <c r="G82" s="72">
        <f t="shared" si="31"/>
        <v>650</v>
      </c>
      <c r="H82" s="72">
        <f t="shared" si="31"/>
        <v>260</v>
      </c>
      <c r="I82" s="72">
        <f t="shared" si="31"/>
        <v>260</v>
      </c>
      <c r="J82" s="72">
        <f t="shared" si="31"/>
        <v>260</v>
      </c>
      <c r="K82" s="72">
        <f t="shared" si="31"/>
        <v>260</v>
      </c>
      <c r="L82" s="72">
        <f t="shared" si="31"/>
        <v>260</v>
      </c>
      <c r="M82" s="72">
        <f t="shared" si="31"/>
        <v>650</v>
      </c>
      <c r="N82" s="72">
        <f t="shared" si="31"/>
        <v>260</v>
      </c>
      <c r="O82" s="72">
        <f t="shared" si="31"/>
        <v>260</v>
      </c>
      <c r="P82" s="72">
        <f t="shared" si="31"/>
        <v>260</v>
      </c>
      <c r="Q82" s="72">
        <f t="shared" si="31"/>
        <v>260</v>
      </c>
      <c r="R82" s="72">
        <f t="shared" si="31"/>
        <v>390</v>
      </c>
      <c r="S82" s="72">
        <f t="shared" si="31"/>
        <v>650</v>
      </c>
      <c r="T82" s="72">
        <f t="shared" si="31"/>
        <v>260</v>
      </c>
      <c r="U82" s="72">
        <f t="shared" si="31"/>
        <v>260</v>
      </c>
      <c r="V82" s="72">
        <f t="shared" si="31"/>
        <v>260</v>
      </c>
      <c r="W82" s="72">
        <f t="shared" si="31"/>
        <v>260</v>
      </c>
      <c r="X82" s="72">
        <f t="shared" si="31"/>
        <v>260</v>
      </c>
      <c r="Y82" s="72">
        <f t="shared" si="31"/>
        <v>650</v>
      </c>
      <c r="Z82" s="72">
        <f t="shared" si="31"/>
        <v>260</v>
      </c>
      <c r="AA82" s="72">
        <f t="shared" si="31"/>
        <v>260</v>
      </c>
      <c r="AB82" s="72">
        <f t="shared" si="31"/>
        <v>260</v>
      </c>
      <c r="AC82" s="72">
        <f t="shared" si="31"/>
        <v>260</v>
      </c>
      <c r="AD82" s="72">
        <f t="shared" si="31"/>
        <v>390</v>
      </c>
      <c r="AE82" s="72">
        <f t="shared" si="31"/>
        <v>650</v>
      </c>
      <c r="AF82" s="72">
        <f t="shared" si="31"/>
        <v>260</v>
      </c>
      <c r="AG82" s="72">
        <f t="shared" si="31"/>
        <v>260</v>
      </c>
      <c r="AH82" s="72">
        <f t="shared" si="31"/>
        <v>260</v>
      </c>
      <c r="AI82" s="72">
        <f t="shared" si="31"/>
        <v>260</v>
      </c>
      <c r="AJ82" s="72">
        <f t="shared" si="31"/>
        <v>260</v>
      </c>
      <c r="AK82" s="72">
        <f t="shared" si="31"/>
        <v>650</v>
      </c>
      <c r="AL82" s="72">
        <f t="shared" si="31"/>
        <v>260</v>
      </c>
      <c r="AM82" s="72">
        <f t="shared" si="31"/>
        <v>260</v>
      </c>
      <c r="AN82" s="72">
        <f t="shared" si="31"/>
        <v>260</v>
      </c>
      <c r="AO82" s="72">
        <f t="shared" si="31"/>
        <v>260</v>
      </c>
      <c r="AP82" s="72">
        <f t="shared" si="31"/>
        <v>390</v>
      </c>
      <c r="AQ82" s="72">
        <f t="shared" si="31"/>
        <v>650</v>
      </c>
      <c r="AR82" s="72">
        <f t="shared" si="31"/>
        <v>260</v>
      </c>
      <c r="AS82" s="72">
        <f t="shared" si="31"/>
        <v>260</v>
      </c>
      <c r="AT82" s="72">
        <f t="shared" si="31"/>
        <v>260</v>
      </c>
      <c r="AU82" s="72">
        <f t="shared" si="31"/>
        <v>260</v>
      </c>
      <c r="AV82" s="72">
        <f t="shared" si="31"/>
        <v>260</v>
      </c>
      <c r="AW82" s="72">
        <f t="shared" si="31"/>
        <v>650</v>
      </c>
      <c r="AX82" s="72">
        <f t="shared" si="31"/>
        <v>260</v>
      </c>
      <c r="AY82" s="72">
        <f t="shared" si="31"/>
        <v>260</v>
      </c>
      <c r="AZ82" s="72">
        <f t="shared" si="31"/>
        <v>260</v>
      </c>
      <c r="BA82" s="72">
        <f t="shared" si="31"/>
        <v>260</v>
      </c>
      <c r="BB82" s="72">
        <f t="shared" si="31"/>
        <v>390</v>
      </c>
      <c r="BC82" s="72">
        <f t="shared" si="31"/>
        <v>650</v>
      </c>
      <c r="BD82" s="72">
        <f t="shared" si="31"/>
        <v>260</v>
      </c>
      <c r="BE82" s="72">
        <f t="shared" si="31"/>
        <v>260</v>
      </c>
      <c r="BF82" s="72">
        <f t="shared" si="31"/>
        <v>260</v>
      </c>
      <c r="BG82" s="72">
        <f t="shared" si="31"/>
        <v>260</v>
      </c>
      <c r="BH82" s="72">
        <f t="shared" si="31"/>
        <v>260</v>
      </c>
      <c r="BI82" s="72">
        <f t="shared" si="31"/>
        <v>650</v>
      </c>
      <c r="BJ82" s="72">
        <f t="shared" si="31"/>
        <v>260</v>
      </c>
      <c r="BK82" s="72">
        <f t="shared" si="31"/>
        <v>260</v>
      </c>
      <c r="BL82" s="72">
        <f t="shared" si="31"/>
        <v>260</v>
      </c>
      <c r="BM82" s="72">
        <f t="shared" si="31"/>
        <v>260</v>
      </c>
      <c r="BN82" s="72">
        <f t="shared" si="31"/>
        <v>390</v>
      </c>
    </row>
    <row r="83" spans="2:66">
      <c r="B83" s="37" t="str">
        <f>CaseData!$B$29</f>
        <v>Milano</v>
      </c>
      <c r="C83" t="str">
        <f>C80</f>
        <v>Women's</v>
      </c>
      <c r="G83" s="72">
        <f t="shared" si="31"/>
        <v>700</v>
      </c>
      <c r="H83" s="72">
        <f t="shared" si="31"/>
        <v>280</v>
      </c>
      <c r="I83" s="72">
        <f t="shared" si="31"/>
        <v>280</v>
      </c>
      <c r="J83" s="72">
        <f t="shared" si="31"/>
        <v>280</v>
      </c>
      <c r="K83" s="72">
        <f t="shared" si="31"/>
        <v>280</v>
      </c>
      <c r="L83" s="72">
        <f t="shared" si="31"/>
        <v>280</v>
      </c>
      <c r="M83" s="72">
        <f t="shared" si="31"/>
        <v>700</v>
      </c>
      <c r="N83" s="72">
        <f t="shared" si="31"/>
        <v>280</v>
      </c>
      <c r="O83" s="72">
        <f t="shared" si="31"/>
        <v>280</v>
      </c>
      <c r="P83" s="72">
        <f t="shared" si="31"/>
        <v>280</v>
      </c>
      <c r="Q83" s="72">
        <f t="shared" si="31"/>
        <v>280</v>
      </c>
      <c r="R83" s="72">
        <f t="shared" si="31"/>
        <v>420</v>
      </c>
      <c r="S83" s="72">
        <f t="shared" si="31"/>
        <v>700</v>
      </c>
      <c r="T83" s="72">
        <f t="shared" si="31"/>
        <v>280</v>
      </c>
      <c r="U83" s="72">
        <f t="shared" si="31"/>
        <v>280</v>
      </c>
      <c r="V83" s="72">
        <f t="shared" si="31"/>
        <v>280</v>
      </c>
      <c r="W83" s="72">
        <f t="shared" si="31"/>
        <v>280</v>
      </c>
      <c r="X83" s="72">
        <f t="shared" si="31"/>
        <v>280</v>
      </c>
      <c r="Y83" s="72">
        <f t="shared" si="31"/>
        <v>700</v>
      </c>
      <c r="Z83" s="72">
        <f t="shared" si="31"/>
        <v>280</v>
      </c>
      <c r="AA83" s="72">
        <f t="shared" si="31"/>
        <v>280</v>
      </c>
      <c r="AB83" s="72">
        <f t="shared" si="31"/>
        <v>280</v>
      </c>
      <c r="AC83" s="72">
        <f t="shared" si="31"/>
        <v>280</v>
      </c>
      <c r="AD83" s="72">
        <f t="shared" si="31"/>
        <v>420</v>
      </c>
      <c r="AE83" s="72">
        <f t="shared" si="31"/>
        <v>700</v>
      </c>
      <c r="AF83" s="72">
        <f t="shared" si="31"/>
        <v>280</v>
      </c>
      <c r="AG83" s="72">
        <f t="shared" si="31"/>
        <v>280</v>
      </c>
      <c r="AH83" s="72">
        <f t="shared" si="31"/>
        <v>280</v>
      </c>
      <c r="AI83" s="72">
        <f t="shared" si="31"/>
        <v>280</v>
      </c>
      <c r="AJ83" s="72">
        <f t="shared" si="31"/>
        <v>280</v>
      </c>
      <c r="AK83" s="72">
        <f t="shared" si="31"/>
        <v>700</v>
      </c>
      <c r="AL83" s="72">
        <f t="shared" si="31"/>
        <v>280</v>
      </c>
      <c r="AM83" s="72">
        <f t="shared" si="31"/>
        <v>280</v>
      </c>
      <c r="AN83" s="72">
        <f t="shared" si="31"/>
        <v>280</v>
      </c>
      <c r="AO83" s="72">
        <f t="shared" si="31"/>
        <v>280</v>
      </c>
      <c r="AP83" s="72">
        <f t="shared" si="31"/>
        <v>420</v>
      </c>
      <c r="AQ83" s="72">
        <f t="shared" si="31"/>
        <v>700</v>
      </c>
      <c r="AR83" s="72">
        <f t="shared" si="31"/>
        <v>280</v>
      </c>
      <c r="AS83" s="72">
        <f t="shared" si="31"/>
        <v>280</v>
      </c>
      <c r="AT83" s="72">
        <f t="shared" si="31"/>
        <v>280</v>
      </c>
      <c r="AU83" s="72">
        <f t="shared" si="31"/>
        <v>280</v>
      </c>
      <c r="AV83" s="72">
        <f t="shared" si="31"/>
        <v>280</v>
      </c>
      <c r="AW83" s="72">
        <f t="shared" si="31"/>
        <v>700</v>
      </c>
      <c r="AX83" s="72">
        <f t="shared" si="31"/>
        <v>280</v>
      </c>
      <c r="AY83" s="72">
        <f t="shared" si="31"/>
        <v>280</v>
      </c>
      <c r="AZ83" s="72">
        <f t="shared" si="31"/>
        <v>280</v>
      </c>
      <c r="BA83" s="72">
        <f t="shared" si="31"/>
        <v>280</v>
      </c>
      <c r="BB83" s="72">
        <f t="shared" si="31"/>
        <v>420</v>
      </c>
      <c r="BC83" s="72">
        <f t="shared" si="31"/>
        <v>700</v>
      </c>
      <c r="BD83" s="72">
        <f t="shared" si="31"/>
        <v>280</v>
      </c>
      <c r="BE83" s="72">
        <f t="shared" si="31"/>
        <v>280</v>
      </c>
      <c r="BF83" s="72">
        <f t="shared" si="31"/>
        <v>280</v>
      </c>
      <c r="BG83" s="72">
        <f t="shared" si="31"/>
        <v>280</v>
      </c>
      <c r="BH83" s="72">
        <f t="shared" si="31"/>
        <v>280</v>
      </c>
      <c r="BI83" s="72">
        <f t="shared" si="31"/>
        <v>700</v>
      </c>
      <c r="BJ83" s="72">
        <f t="shared" si="31"/>
        <v>280</v>
      </c>
      <c r="BK83" s="72">
        <f t="shared" si="31"/>
        <v>280</v>
      </c>
      <c r="BL83" s="72">
        <f t="shared" si="31"/>
        <v>280</v>
      </c>
      <c r="BM83" s="72">
        <f t="shared" si="31"/>
        <v>280</v>
      </c>
      <c r="BN83" s="72">
        <f t="shared" si="31"/>
        <v>420</v>
      </c>
    </row>
    <row r="84" spans="2:66">
      <c r="B84" s="37" t="str">
        <f>B83</f>
        <v>Milano</v>
      </c>
      <c r="C84" t="str">
        <f t="shared" ref="C84:C103" si="32">C81</f>
        <v>Men's</v>
      </c>
      <c r="G84" s="72">
        <f t="shared" si="31"/>
        <v>425</v>
      </c>
      <c r="H84" s="72">
        <f t="shared" si="31"/>
        <v>170</v>
      </c>
      <c r="I84" s="72">
        <f t="shared" si="31"/>
        <v>170</v>
      </c>
      <c r="J84" s="72">
        <f t="shared" si="31"/>
        <v>170</v>
      </c>
      <c r="K84" s="72">
        <f t="shared" si="31"/>
        <v>170</v>
      </c>
      <c r="L84" s="72">
        <f t="shared" si="31"/>
        <v>170</v>
      </c>
      <c r="M84" s="72">
        <f t="shared" si="31"/>
        <v>425</v>
      </c>
      <c r="N84" s="72">
        <f t="shared" si="31"/>
        <v>170</v>
      </c>
      <c r="O84" s="72">
        <f t="shared" si="31"/>
        <v>170</v>
      </c>
      <c r="P84" s="72">
        <f t="shared" si="31"/>
        <v>170</v>
      </c>
      <c r="Q84" s="72">
        <f t="shared" si="31"/>
        <v>170</v>
      </c>
      <c r="R84" s="72">
        <f t="shared" si="31"/>
        <v>255</v>
      </c>
      <c r="S84" s="72">
        <f t="shared" si="31"/>
        <v>425</v>
      </c>
      <c r="T84" s="72">
        <f t="shared" si="31"/>
        <v>170</v>
      </c>
      <c r="U84" s="72">
        <f t="shared" si="31"/>
        <v>170</v>
      </c>
      <c r="V84" s="72">
        <f t="shared" ref="V84:BN92" si="33">V43*V$76*IFERROR(INDEX(V$71:V$74,MATCH($B84,$B$71:$B$74,0)),1)</f>
        <v>170</v>
      </c>
      <c r="W84" s="72">
        <f t="shared" si="33"/>
        <v>170</v>
      </c>
      <c r="X84" s="72">
        <f t="shared" si="33"/>
        <v>170</v>
      </c>
      <c r="Y84" s="72">
        <f t="shared" si="33"/>
        <v>425</v>
      </c>
      <c r="Z84" s="72">
        <f t="shared" si="33"/>
        <v>170</v>
      </c>
      <c r="AA84" s="72">
        <f t="shared" si="33"/>
        <v>170</v>
      </c>
      <c r="AB84" s="72">
        <f t="shared" si="33"/>
        <v>170</v>
      </c>
      <c r="AC84" s="72">
        <f t="shared" si="33"/>
        <v>170</v>
      </c>
      <c r="AD84" s="72">
        <f t="shared" si="33"/>
        <v>255</v>
      </c>
      <c r="AE84" s="72">
        <f t="shared" si="33"/>
        <v>425</v>
      </c>
      <c r="AF84" s="72">
        <f t="shared" si="33"/>
        <v>170</v>
      </c>
      <c r="AG84" s="72">
        <f t="shared" si="33"/>
        <v>170</v>
      </c>
      <c r="AH84" s="72">
        <f t="shared" si="33"/>
        <v>170</v>
      </c>
      <c r="AI84" s="72">
        <f t="shared" si="33"/>
        <v>170</v>
      </c>
      <c r="AJ84" s="72">
        <f t="shared" si="33"/>
        <v>170</v>
      </c>
      <c r="AK84" s="72">
        <f t="shared" si="33"/>
        <v>425</v>
      </c>
      <c r="AL84" s="72">
        <f t="shared" si="33"/>
        <v>170</v>
      </c>
      <c r="AM84" s="72">
        <f t="shared" si="33"/>
        <v>170</v>
      </c>
      <c r="AN84" s="72">
        <f t="shared" si="33"/>
        <v>170</v>
      </c>
      <c r="AO84" s="72">
        <f t="shared" si="33"/>
        <v>170</v>
      </c>
      <c r="AP84" s="72">
        <f t="shared" si="33"/>
        <v>255</v>
      </c>
      <c r="AQ84" s="72">
        <f t="shared" si="33"/>
        <v>425</v>
      </c>
      <c r="AR84" s="72">
        <f t="shared" si="33"/>
        <v>170</v>
      </c>
      <c r="AS84" s="72">
        <f t="shared" si="33"/>
        <v>170</v>
      </c>
      <c r="AT84" s="72">
        <f t="shared" si="33"/>
        <v>170</v>
      </c>
      <c r="AU84" s="72">
        <f t="shared" si="33"/>
        <v>170</v>
      </c>
      <c r="AV84" s="72">
        <f t="shared" si="33"/>
        <v>170</v>
      </c>
      <c r="AW84" s="72">
        <f t="shared" si="33"/>
        <v>425</v>
      </c>
      <c r="AX84" s="72">
        <f t="shared" si="33"/>
        <v>170</v>
      </c>
      <c r="AY84" s="72">
        <f t="shared" si="33"/>
        <v>170</v>
      </c>
      <c r="AZ84" s="72">
        <f t="shared" si="33"/>
        <v>170</v>
      </c>
      <c r="BA84" s="72">
        <f t="shared" si="33"/>
        <v>170</v>
      </c>
      <c r="BB84" s="72">
        <f t="shared" si="33"/>
        <v>255</v>
      </c>
      <c r="BC84" s="72">
        <f t="shared" si="33"/>
        <v>425</v>
      </c>
      <c r="BD84" s="72">
        <f t="shared" si="33"/>
        <v>170</v>
      </c>
      <c r="BE84" s="72">
        <f t="shared" si="33"/>
        <v>170</v>
      </c>
      <c r="BF84" s="72">
        <f t="shared" si="33"/>
        <v>170</v>
      </c>
      <c r="BG84" s="72">
        <f t="shared" si="33"/>
        <v>170</v>
      </c>
      <c r="BH84" s="72">
        <f t="shared" si="33"/>
        <v>170</v>
      </c>
      <c r="BI84" s="72">
        <f t="shared" si="33"/>
        <v>425</v>
      </c>
      <c r="BJ84" s="72">
        <f t="shared" si="33"/>
        <v>170</v>
      </c>
      <c r="BK84" s="72">
        <f t="shared" si="33"/>
        <v>170</v>
      </c>
      <c r="BL84" s="72">
        <f t="shared" si="33"/>
        <v>170</v>
      </c>
      <c r="BM84" s="72">
        <f t="shared" si="33"/>
        <v>170</v>
      </c>
      <c r="BN84" s="72">
        <f t="shared" si="33"/>
        <v>255</v>
      </c>
    </row>
    <row r="85" spans="2:66">
      <c r="B85" s="37" t="str">
        <f t="shared" ref="B85" si="34">B84</f>
        <v>Milano</v>
      </c>
      <c r="C85" t="str">
        <f t="shared" si="32"/>
        <v>Accessories</v>
      </c>
      <c r="G85" s="72">
        <f t="shared" ref="G85:AL92" si="35">G44*G$76*IFERROR(INDEX(G$71:G$74,MATCH($B85,$B$71:$B$74,0)),1)</f>
        <v>375</v>
      </c>
      <c r="H85" s="72">
        <f t="shared" si="35"/>
        <v>150</v>
      </c>
      <c r="I85" s="72">
        <f t="shared" si="35"/>
        <v>150</v>
      </c>
      <c r="J85" s="72">
        <f t="shared" si="35"/>
        <v>150</v>
      </c>
      <c r="K85" s="72">
        <f t="shared" si="35"/>
        <v>150</v>
      </c>
      <c r="L85" s="72">
        <f t="shared" si="35"/>
        <v>150</v>
      </c>
      <c r="M85" s="72">
        <f t="shared" si="35"/>
        <v>375</v>
      </c>
      <c r="N85" s="72">
        <f t="shared" si="35"/>
        <v>150</v>
      </c>
      <c r="O85" s="72">
        <f t="shared" si="35"/>
        <v>150</v>
      </c>
      <c r="P85" s="72">
        <f t="shared" si="35"/>
        <v>150</v>
      </c>
      <c r="Q85" s="72">
        <f t="shared" si="35"/>
        <v>150</v>
      </c>
      <c r="R85" s="72">
        <f t="shared" si="35"/>
        <v>225</v>
      </c>
      <c r="S85" s="72">
        <f t="shared" si="35"/>
        <v>375</v>
      </c>
      <c r="T85" s="72">
        <f t="shared" si="35"/>
        <v>150</v>
      </c>
      <c r="U85" s="72">
        <f t="shared" si="35"/>
        <v>150</v>
      </c>
      <c r="V85" s="72">
        <f t="shared" si="35"/>
        <v>150</v>
      </c>
      <c r="W85" s="72">
        <f t="shared" si="35"/>
        <v>150</v>
      </c>
      <c r="X85" s="72">
        <f t="shared" si="35"/>
        <v>150</v>
      </c>
      <c r="Y85" s="72">
        <f t="shared" si="35"/>
        <v>375</v>
      </c>
      <c r="Z85" s="72">
        <f t="shared" si="35"/>
        <v>150</v>
      </c>
      <c r="AA85" s="72">
        <f t="shared" si="35"/>
        <v>150</v>
      </c>
      <c r="AB85" s="72">
        <f t="shared" si="35"/>
        <v>150</v>
      </c>
      <c r="AC85" s="72">
        <f t="shared" si="35"/>
        <v>150</v>
      </c>
      <c r="AD85" s="72">
        <f t="shared" si="35"/>
        <v>225</v>
      </c>
      <c r="AE85" s="72">
        <f t="shared" si="35"/>
        <v>375</v>
      </c>
      <c r="AF85" s="72">
        <f t="shared" si="35"/>
        <v>150</v>
      </c>
      <c r="AG85" s="72">
        <f t="shared" si="35"/>
        <v>150</v>
      </c>
      <c r="AH85" s="72">
        <f t="shared" si="35"/>
        <v>150</v>
      </c>
      <c r="AI85" s="72">
        <f t="shared" si="35"/>
        <v>150</v>
      </c>
      <c r="AJ85" s="72">
        <f t="shared" si="35"/>
        <v>150</v>
      </c>
      <c r="AK85" s="72">
        <f t="shared" si="35"/>
        <v>375</v>
      </c>
      <c r="AL85" s="72">
        <f t="shared" si="35"/>
        <v>150</v>
      </c>
      <c r="AM85" s="72">
        <f t="shared" si="33"/>
        <v>150</v>
      </c>
      <c r="AN85" s="72">
        <f t="shared" si="33"/>
        <v>150</v>
      </c>
      <c r="AO85" s="72">
        <f t="shared" si="33"/>
        <v>150</v>
      </c>
      <c r="AP85" s="72">
        <f t="shared" si="33"/>
        <v>225</v>
      </c>
      <c r="AQ85" s="72">
        <f t="shared" si="33"/>
        <v>375</v>
      </c>
      <c r="AR85" s="72">
        <f t="shared" si="33"/>
        <v>150</v>
      </c>
      <c r="AS85" s="72">
        <f t="shared" si="33"/>
        <v>150</v>
      </c>
      <c r="AT85" s="72">
        <f t="shared" si="33"/>
        <v>150</v>
      </c>
      <c r="AU85" s="72">
        <f t="shared" si="33"/>
        <v>150</v>
      </c>
      <c r="AV85" s="72">
        <f t="shared" si="33"/>
        <v>150</v>
      </c>
      <c r="AW85" s="72">
        <f t="shared" si="33"/>
        <v>375</v>
      </c>
      <c r="AX85" s="72">
        <f t="shared" si="33"/>
        <v>150</v>
      </c>
      <c r="AY85" s="72">
        <f t="shared" si="33"/>
        <v>150</v>
      </c>
      <c r="AZ85" s="72">
        <f t="shared" si="33"/>
        <v>150</v>
      </c>
      <c r="BA85" s="72">
        <f t="shared" si="33"/>
        <v>150</v>
      </c>
      <c r="BB85" s="72">
        <f t="shared" si="33"/>
        <v>225</v>
      </c>
      <c r="BC85" s="72">
        <f t="shared" si="33"/>
        <v>375</v>
      </c>
      <c r="BD85" s="72">
        <f t="shared" si="33"/>
        <v>150</v>
      </c>
      <c r="BE85" s="72">
        <f t="shared" si="33"/>
        <v>150</v>
      </c>
      <c r="BF85" s="72">
        <f t="shared" si="33"/>
        <v>150</v>
      </c>
      <c r="BG85" s="72">
        <f t="shared" si="33"/>
        <v>150</v>
      </c>
      <c r="BH85" s="72">
        <f t="shared" si="33"/>
        <v>150</v>
      </c>
      <c r="BI85" s="72">
        <f t="shared" si="33"/>
        <v>375</v>
      </c>
      <c r="BJ85" s="72">
        <f t="shared" si="33"/>
        <v>150</v>
      </c>
      <c r="BK85" s="72">
        <f t="shared" si="33"/>
        <v>150</v>
      </c>
      <c r="BL85" s="72">
        <f t="shared" si="33"/>
        <v>150</v>
      </c>
      <c r="BM85" s="72">
        <f t="shared" si="33"/>
        <v>150</v>
      </c>
      <c r="BN85" s="72">
        <f t="shared" si="33"/>
        <v>225</v>
      </c>
    </row>
    <row r="86" spans="2:66">
      <c r="B86" s="37" t="str">
        <f>CaseData!$B$30</f>
        <v>Madrid</v>
      </c>
      <c r="C86" t="str">
        <f t="shared" si="32"/>
        <v>Women's</v>
      </c>
      <c r="G86" s="72">
        <f t="shared" si="35"/>
        <v>375</v>
      </c>
      <c r="H86" s="72">
        <f t="shared" si="35"/>
        <v>150</v>
      </c>
      <c r="I86" s="72">
        <f t="shared" si="35"/>
        <v>150</v>
      </c>
      <c r="J86" s="72">
        <f t="shared" si="35"/>
        <v>150</v>
      </c>
      <c r="K86" s="72">
        <f t="shared" si="35"/>
        <v>150</v>
      </c>
      <c r="L86" s="72">
        <f t="shared" si="35"/>
        <v>150</v>
      </c>
      <c r="M86" s="72">
        <f t="shared" si="35"/>
        <v>375</v>
      </c>
      <c r="N86" s="72">
        <f t="shared" si="35"/>
        <v>150</v>
      </c>
      <c r="O86" s="72">
        <f t="shared" si="35"/>
        <v>150</v>
      </c>
      <c r="P86" s="72">
        <f t="shared" si="35"/>
        <v>150</v>
      </c>
      <c r="Q86" s="72">
        <f t="shared" si="35"/>
        <v>150</v>
      </c>
      <c r="R86" s="72">
        <f t="shared" si="35"/>
        <v>225</v>
      </c>
      <c r="S86" s="72">
        <f t="shared" si="35"/>
        <v>375</v>
      </c>
      <c r="T86" s="72">
        <f t="shared" si="35"/>
        <v>150</v>
      </c>
      <c r="U86" s="72">
        <f t="shared" si="35"/>
        <v>150</v>
      </c>
      <c r="V86" s="72">
        <f t="shared" si="35"/>
        <v>150</v>
      </c>
      <c r="W86" s="72">
        <f t="shared" si="35"/>
        <v>150</v>
      </c>
      <c r="X86" s="72">
        <f t="shared" si="35"/>
        <v>150</v>
      </c>
      <c r="Y86" s="72">
        <f t="shared" si="35"/>
        <v>375</v>
      </c>
      <c r="Z86" s="72">
        <f t="shared" si="35"/>
        <v>150</v>
      </c>
      <c r="AA86" s="72">
        <f t="shared" si="35"/>
        <v>150</v>
      </c>
      <c r="AB86" s="72">
        <f t="shared" si="35"/>
        <v>150</v>
      </c>
      <c r="AC86" s="72">
        <f t="shared" si="35"/>
        <v>150</v>
      </c>
      <c r="AD86" s="72">
        <f t="shared" si="35"/>
        <v>225</v>
      </c>
      <c r="AE86" s="72">
        <f t="shared" si="35"/>
        <v>375</v>
      </c>
      <c r="AF86" s="72">
        <f t="shared" si="35"/>
        <v>150</v>
      </c>
      <c r="AG86" s="72">
        <f t="shared" si="35"/>
        <v>150</v>
      </c>
      <c r="AH86" s="72">
        <f t="shared" si="35"/>
        <v>150</v>
      </c>
      <c r="AI86" s="72">
        <f t="shared" si="35"/>
        <v>150</v>
      </c>
      <c r="AJ86" s="72">
        <f t="shared" si="35"/>
        <v>150</v>
      </c>
      <c r="AK86" s="72">
        <f t="shared" si="35"/>
        <v>375</v>
      </c>
      <c r="AL86" s="72">
        <f t="shared" si="35"/>
        <v>150</v>
      </c>
      <c r="AM86" s="72">
        <f t="shared" si="33"/>
        <v>150</v>
      </c>
      <c r="AN86" s="72">
        <f t="shared" si="33"/>
        <v>150</v>
      </c>
      <c r="AO86" s="72">
        <f t="shared" si="33"/>
        <v>150</v>
      </c>
      <c r="AP86" s="72">
        <f t="shared" si="33"/>
        <v>225</v>
      </c>
      <c r="AQ86" s="72">
        <f t="shared" si="33"/>
        <v>375</v>
      </c>
      <c r="AR86" s="72">
        <f t="shared" si="33"/>
        <v>150</v>
      </c>
      <c r="AS86" s="72">
        <f t="shared" si="33"/>
        <v>150</v>
      </c>
      <c r="AT86" s="72">
        <f t="shared" si="33"/>
        <v>150</v>
      </c>
      <c r="AU86" s="72">
        <f t="shared" si="33"/>
        <v>150</v>
      </c>
      <c r="AV86" s="72">
        <f t="shared" si="33"/>
        <v>150</v>
      </c>
      <c r="AW86" s="72">
        <f t="shared" si="33"/>
        <v>375</v>
      </c>
      <c r="AX86" s="72">
        <f t="shared" si="33"/>
        <v>150</v>
      </c>
      <c r="AY86" s="72">
        <f t="shared" si="33"/>
        <v>150</v>
      </c>
      <c r="AZ86" s="72">
        <f t="shared" si="33"/>
        <v>150</v>
      </c>
      <c r="BA86" s="72">
        <f t="shared" si="33"/>
        <v>150</v>
      </c>
      <c r="BB86" s="72">
        <f t="shared" si="33"/>
        <v>225</v>
      </c>
      <c r="BC86" s="72">
        <f t="shared" si="33"/>
        <v>375</v>
      </c>
      <c r="BD86" s="72">
        <f t="shared" si="33"/>
        <v>150</v>
      </c>
      <c r="BE86" s="72">
        <f t="shared" si="33"/>
        <v>150</v>
      </c>
      <c r="BF86" s="72">
        <f t="shared" si="33"/>
        <v>150</v>
      </c>
      <c r="BG86" s="72">
        <f t="shared" si="33"/>
        <v>150</v>
      </c>
      <c r="BH86" s="72">
        <f t="shared" si="33"/>
        <v>150</v>
      </c>
      <c r="BI86" s="72">
        <f t="shared" si="33"/>
        <v>375</v>
      </c>
      <c r="BJ86" s="72">
        <f t="shared" si="33"/>
        <v>150</v>
      </c>
      <c r="BK86" s="72">
        <f t="shared" si="33"/>
        <v>150</v>
      </c>
      <c r="BL86" s="72">
        <f t="shared" si="33"/>
        <v>150</v>
      </c>
      <c r="BM86" s="72">
        <f t="shared" si="33"/>
        <v>150</v>
      </c>
      <c r="BN86" s="72">
        <f t="shared" si="33"/>
        <v>225</v>
      </c>
    </row>
    <row r="87" spans="2:66">
      <c r="B87" s="37" t="str">
        <f t="shared" ref="B87:B88" si="36">B86</f>
        <v>Madrid</v>
      </c>
      <c r="C87" t="str">
        <f t="shared" si="32"/>
        <v>Men's</v>
      </c>
      <c r="G87" s="72">
        <f t="shared" si="35"/>
        <v>225</v>
      </c>
      <c r="H87" s="72">
        <f t="shared" si="35"/>
        <v>90</v>
      </c>
      <c r="I87" s="72">
        <f t="shared" si="35"/>
        <v>90</v>
      </c>
      <c r="J87" s="72">
        <f t="shared" si="35"/>
        <v>90</v>
      </c>
      <c r="K87" s="72">
        <f t="shared" si="35"/>
        <v>90</v>
      </c>
      <c r="L87" s="72">
        <f t="shared" si="35"/>
        <v>90</v>
      </c>
      <c r="M87" s="72">
        <f t="shared" si="35"/>
        <v>225</v>
      </c>
      <c r="N87" s="72">
        <f t="shared" si="35"/>
        <v>90</v>
      </c>
      <c r="O87" s="72">
        <f t="shared" si="35"/>
        <v>90</v>
      </c>
      <c r="P87" s="72">
        <f t="shared" si="35"/>
        <v>90</v>
      </c>
      <c r="Q87" s="72">
        <f t="shared" si="35"/>
        <v>90</v>
      </c>
      <c r="R87" s="72">
        <f t="shared" si="35"/>
        <v>135</v>
      </c>
      <c r="S87" s="72">
        <f t="shared" si="35"/>
        <v>225</v>
      </c>
      <c r="T87" s="72">
        <f t="shared" si="35"/>
        <v>90</v>
      </c>
      <c r="U87" s="72">
        <f t="shared" si="35"/>
        <v>90</v>
      </c>
      <c r="V87" s="72">
        <f t="shared" si="35"/>
        <v>90</v>
      </c>
      <c r="W87" s="72">
        <f t="shared" si="35"/>
        <v>90</v>
      </c>
      <c r="X87" s="72">
        <f t="shared" si="35"/>
        <v>90</v>
      </c>
      <c r="Y87" s="72">
        <f t="shared" si="35"/>
        <v>225</v>
      </c>
      <c r="Z87" s="72">
        <f t="shared" si="35"/>
        <v>90</v>
      </c>
      <c r="AA87" s="72">
        <f t="shared" si="35"/>
        <v>90</v>
      </c>
      <c r="AB87" s="72">
        <f t="shared" si="35"/>
        <v>90</v>
      </c>
      <c r="AC87" s="72">
        <f t="shared" si="35"/>
        <v>90</v>
      </c>
      <c r="AD87" s="72">
        <f t="shared" si="35"/>
        <v>135</v>
      </c>
      <c r="AE87" s="72">
        <f t="shared" si="35"/>
        <v>225</v>
      </c>
      <c r="AF87" s="72">
        <f t="shared" si="35"/>
        <v>90</v>
      </c>
      <c r="AG87" s="72">
        <f t="shared" si="35"/>
        <v>90</v>
      </c>
      <c r="AH87" s="72">
        <f t="shared" si="35"/>
        <v>90</v>
      </c>
      <c r="AI87" s="72">
        <f t="shared" si="35"/>
        <v>90</v>
      </c>
      <c r="AJ87" s="72">
        <f t="shared" si="35"/>
        <v>90</v>
      </c>
      <c r="AK87" s="72">
        <f t="shared" si="35"/>
        <v>225</v>
      </c>
      <c r="AL87" s="72">
        <f t="shared" si="35"/>
        <v>90</v>
      </c>
      <c r="AM87" s="72">
        <f t="shared" si="33"/>
        <v>90</v>
      </c>
      <c r="AN87" s="72">
        <f t="shared" si="33"/>
        <v>90</v>
      </c>
      <c r="AO87" s="72">
        <f t="shared" si="33"/>
        <v>90</v>
      </c>
      <c r="AP87" s="72">
        <f t="shared" si="33"/>
        <v>135</v>
      </c>
      <c r="AQ87" s="72">
        <f t="shared" si="33"/>
        <v>225</v>
      </c>
      <c r="AR87" s="72">
        <f t="shared" si="33"/>
        <v>90</v>
      </c>
      <c r="AS87" s="72">
        <f t="shared" si="33"/>
        <v>90</v>
      </c>
      <c r="AT87" s="72">
        <f t="shared" si="33"/>
        <v>90</v>
      </c>
      <c r="AU87" s="72">
        <f t="shared" si="33"/>
        <v>90</v>
      </c>
      <c r="AV87" s="72">
        <f t="shared" si="33"/>
        <v>90</v>
      </c>
      <c r="AW87" s="72">
        <f t="shared" si="33"/>
        <v>225</v>
      </c>
      <c r="AX87" s="72">
        <f t="shared" si="33"/>
        <v>90</v>
      </c>
      <c r="AY87" s="72">
        <f t="shared" si="33"/>
        <v>90</v>
      </c>
      <c r="AZ87" s="72">
        <f t="shared" si="33"/>
        <v>90</v>
      </c>
      <c r="BA87" s="72">
        <f t="shared" si="33"/>
        <v>90</v>
      </c>
      <c r="BB87" s="72">
        <f t="shared" si="33"/>
        <v>135</v>
      </c>
      <c r="BC87" s="72">
        <f t="shared" si="33"/>
        <v>225</v>
      </c>
      <c r="BD87" s="72">
        <f t="shared" si="33"/>
        <v>90</v>
      </c>
      <c r="BE87" s="72">
        <f t="shared" si="33"/>
        <v>90</v>
      </c>
      <c r="BF87" s="72">
        <f t="shared" si="33"/>
        <v>90</v>
      </c>
      <c r="BG87" s="72">
        <f t="shared" si="33"/>
        <v>90</v>
      </c>
      <c r="BH87" s="72">
        <f t="shared" si="33"/>
        <v>90</v>
      </c>
      <c r="BI87" s="72">
        <f t="shared" si="33"/>
        <v>225</v>
      </c>
      <c r="BJ87" s="72">
        <f t="shared" si="33"/>
        <v>90</v>
      </c>
      <c r="BK87" s="72">
        <f t="shared" si="33"/>
        <v>90</v>
      </c>
      <c r="BL87" s="72">
        <f t="shared" si="33"/>
        <v>90</v>
      </c>
      <c r="BM87" s="72">
        <f t="shared" si="33"/>
        <v>90</v>
      </c>
      <c r="BN87" s="72">
        <f t="shared" si="33"/>
        <v>135</v>
      </c>
    </row>
    <row r="88" spans="2:66">
      <c r="B88" s="37" t="str">
        <f t="shared" si="36"/>
        <v>Madrid</v>
      </c>
      <c r="C88" t="str">
        <f t="shared" si="32"/>
        <v>Accessories</v>
      </c>
      <c r="G88" s="72">
        <f t="shared" si="35"/>
        <v>150</v>
      </c>
      <c r="H88" s="72">
        <f t="shared" si="35"/>
        <v>60</v>
      </c>
      <c r="I88" s="72">
        <f t="shared" si="35"/>
        <v>60</v>
      </c>
      <c r="J88" s="72">
        <f t="shared" si="35"/>
        <v>60</v>
      </c>
      <c r="K88" s="72">
        <f t="shared" si="35"/>
        <v>60</v>
      </c>
      <c r="L88" s="72">
        <f t="shared" si="35"/>
        <v>60</v>
      </c>
      <c r="M88" s="72">
        <f t="shared" si="35"/>
        <v>150</v>
      </c>
      <c r="N88" s="72">
        <f t="shared" si="35"/>
        <v>60</v>
      </c>
      <c r="O88" s="72">
        <f t="shared" si="35"/>
        <v>60</v>
      </c>
      <c r="P88" s="72">
        <f t="shared" si="35"/>
        <v>60</v>
      </c>
      <c r="Q88" s="72">
        <f t="shared" si="35"/>
        <v>60</v>
      </c>
      <c r="R88" s="72">
        <f t="shared" si="35"/>
        <v>90</v>
      </c>
      <c r="S88" s="72">
        <f t="shared" si="35"/>
        <v>150</v>
      </c>
      <c r="T88" s="72">
        <f t="shared" si="35"/>
        <v>60</v>
      </c>
      <c r="U88" s="72">
        <f t="shared" si="35"/>
        <v>60</v>
      </c>
      <c r="V88" s="72">
        <f t="shared" si="35"/>
        <v>60</v>
      </c>
      <c r="W88" s="72">
        <f t="shared" si="35"/>
        <v>60</v>
      </c>
      <c r="X88" s="72">
        <f t="shared" si="35"/>
        <v>60</v>
      </c>
      <c r="Y88" s="72">
        <f t="shared" si="35"/>
        <v>150</v>
      </c>
      <c r="Z88" s="72">
        <f t="shared" si="35"/>
        <v>60</v>
      </c>
      <c r="AA88" s="72">
        <f t="shared" si="35"/>
        <v>60</v>
      </c>
      <c r="AB88" s="72">
        <f t="shared" si="35"/>
        <v>60</v>
      </c>
      <c r="AC88" s="72">
        <f t="shared" si="35"/>
        <v>60</v>
      </c>
      <c r="AD88" s="72">
        <f t="shared" si="35"/>
        <v>90</v>
      </c>
      <c r="AE88" s="72">
        <f t="shared" si="35"/>
        <v>150</v>
      </c>
      <c r="AF88" s="72">
        <f t="shared" si="35"/>
        <v>60</v>
      </c>
      <c r="AG88" s="72">
        <f t="shared" si="35"/>
        <v>60</v>
      </c>
      <c r="AH88" s="72">
        <f t="shared" si="35"/>
        <v>60</v>
      </c>
      <c r="AI88" s="72">
        <f t="shared" si="35"/>
        <v>60</v>
      </c>
      <c r="AJ88" s="72">
        <f t="shared" si="35"/>
        <v>60</v>
      </c>
      <c r="AK88" s="72">
        <f t="shared" si="35"/>
        <v>150</v>
      </c>
      <c r="AL88" s="72">
        <f t="shared" si="35"/>
        <v>60</v>
      </c>
      <c r="AM88" s="72">
        <f t="shared" si="33"/>
        <v>60</v>
      </c>
      <c r="AN88" s="72">
        <f t="shared" si="33"/>
        <v>60</v>
      </c>
      <c r="AO88" s="72">
        <f t="shared" si="33"/>
        <v>60</v>
      </c>
      <c r="AP88" s="72">
        <f t="shared" si="33"/>
        <v>90</v>
      </c>
      <c r="AQ88" s="72">
        <f t="shared" si="33"/>
        <v>150</v>
      </c>
      <c r="AR88" s="72">
        <f t="shared" si="33"/>
        <v>60</v>
      </c>
      <c r="AS88" s="72">
        <f t="shared" si="33"/>
        <v>60</v>
      </c>
      <c r="AT88" s="72">
        <f t="shared" si="33"/>
        <v>60</v>
      </c>
      <c r="AU88" s="72">
        <f t="shared" si="33"/>
        <v>60</v>
      </c>
      <c r="AV88" s="72">
        <f t="shared" si="33"/>
        <v>60</v>
      </c>
      <c r="AW88" s="72">
        <f t="shared" si="33"/>
        <v>150</v>
      </c>
      <c r="AX88" s="72">
        <f t="shared" si="33"/>
        <v>60</v>
      </c>
      <c r="AY88" s="72">
        <f t="shared" si="33"/>
        <v>60</v>
      </c>
      <c r="AZ88" s="72">
        <f t="shared" si="33"/>
        <v>60</v>
      </c>
      <c r="BA88" s="72">
        <f t="shared" si="33"/>
        <v>60</v>
      </c>
      <c r="BB88" s="72">
        <f t="shared" si="33"/>
        <v>90</v>
      </c>
      <c r="BC88" s="72">
        <f t="shared" si="33"/>
        <v>150</v>
      </c>
      <c r="BD88" s="72">
        <f t="shared" si="33"/>
        <v>60</v>
      </c>
      <c r="BE88" s="72">
        <f t="shared" si="33"/>
        <v>60</v>
      </c>
      <c r="BF88" s="72">
        <f t="shared" si="33"/>
        <v>60</v>
      </c>
      <c r="BG88" s="72">
        <f t="shared" si="33"/>
        <v>60</v>
      </c>
      <c r="BH88" s="72">
        <f t="shared" si="33"/>
        <v>60</v>
      </c>
      <c r="BI88" s="72">
        <f t="shared" si="33"/>
        <v>150</v>
      </c>
      <c r="BJ88" s="72">
        <f t="shared" si="33"/>
        <v>60</v>
      </c>
      <c r="BK88" s="72">
        <f t="shared" si="33"/>
        <v>60</v>
      </c>
      <c r="BL88" s="72">
        <f t="shared" si="33"/>
        <v>60</v>
      </c>
      <c r="BM88" s="72">
        <f t="shared" si="33"/>
        <v>60</v>
      </c>
      <c r="BN88" s="72">
        <f t="shared" si="33"/>
        <v>90</v>
      </c>
    </row>
    <row r="89" spans="2:66">
      <c r="B89" s="37" t="str">
        <f>CaseData!$B$31</f>
        <v>London</v>
      </c>
      <c r="C89" t="str">
        <f t="shared" si="32"/>
        <v>Women's</v>
      </c>
      <c r="G89" s="72">
        <f t="shared" si="35"/>
        <v>275</v>
      </c>
      <c r="H89" s="72">
        <f t="shared" si="35"/>
        <v>110</v>
      </c>
      <c r="I89" s="72">
        <f t="shared" si="35"/>
        <v>110</v>
      </c>
      <c r="J89" s="72">
        <f t="shared" si="35"/>
        <v>110</v>
      </c>
      <c r="K89" s="72">
        <f t="shared" si="35"/>
        <v>110</v>
      </c>
      <c r="L89" s="72">
        <f t="shared" si="35"/>
        <v>110</v>
      </c>
      <c r="M89" s="72">
        <f t="shared" si="35"/>
        <v>275</v>
      </c>
      <c r="N89" s="72">
        <f t="shared" si="35"/>
        <v>110</v>
      </c>
      <c r="O89" s="72">
        <f t="shared" si="35"/>
        <v>110</v>
      </c>
      <c r="P89" s="72">
        <f t="shared" si="35"/>
        <v>110</v>
      </c>
      <c r="Q89" s="72">
        <f t="shared" si="35"/>
        <v>110</v>
      </c>
      <c r="R89" s="72">
        <f t="shared" si="35"/>
        <v>165</v>
      </c>
      <c r="S89" s="72">
        <f t="shared" si="35"/>
        <v>275</v>
      </c>
      <c r="T89" s="72">
        <f t="shared" si="35"/>
        <v>110</v>
      </c>
      <c r="U89" s="72">
        <f t="shared" si="35"/>
        <v>110</v>
      </c>
      <c r="V89" s="72">
        <f t="shared" si="35"/>
        <v>110</v>
      </c>
      <c r="W89" s="72">
        <f t="shared" si="35"/>
        <v>110</v>
      </c>
      <c r="X89" s="72">
        <f t="shared" si="35"/>
        <v>110</v>
      </c>
      <c r="Y89" s="72">
        <f t="shared" si="35"/>
        <v>275</v>
      </c>
      <c r="Z89" s="72">
        <f t="shared" si="35"/>
        <v>110</v>
      </c>
      <c r="AA89" s="72">
        <f t="shared" si="35"/>
        <v>110</v>
      </c>
      <c r="AB89" s="72">
        <f t="shared" si="35"/>
        <v>110</v>
      </c>
      <c r="AC89" s="72">
        <f t="shared" si="35"/>
        <v>110</v>
      </c>
      <c r="AD89" s="72">
        <f t="shared" si="35"/>
        <v>165</v>
      </c>
      <c r="AE89" s="72">
        <f t="shared" si="35"/>
        <v>275</v>
      </c>
      <c r="AF89" s="72">
        <f t="shared" si="35"/>
        <v>110</v>
      </c>
      <c r="AG89" s="72">
        <f t="shared" si="35"/>
        <v>110</v>
      </c>
      <c r="AH89" s="72">
        <f t="shared" si="35"/>
        <v>110</v>
      </c>
      <c r="AI89" s="72">
        <f t="shared" si="35"/>
        <v>110</v>
      </c>
      <c r="AJ89" s="72">
        <f t="shared" si="35"/>
        <v>110</v>
      </c>
      <c r="AK89" s="72">
        <f t="shared" si="35"/>
        <v>275</v>
      </c>
      <c r="AL89" s="72">
        <f t="shared" si="35"/>
        <v>110</v>
      </c>
      <c r="AM89" s="72">
        <f t="shared" si="33"/>
        <v>110</v>
      </c>
      <c r="AN89" s="72">
        <f t="shared" si="33"/>
        <v>110</v>
      </c>
      <c r="AO89" s="72">
        <f t="shared" si="33"/>
        <v>110</v>
      </c>
      <c r="AP89" s="72">
        <f t="shared" si="33"/>
        <v>165</v>
      </c>
      <c r="AQ89" s="72">
        <f t="shared" si="33"/>
        <v>275</v>
      </c>
      <c r="AR89" s="72">
        <f t="shared" si="33"/>
        <v>110</v>
      </c>
      <c r="AS89" s="72">
        <f t="shared" si="33"/>
        <v>110</v>
      </c>
      <c r="AT89" s="72">
        <f t="shared" si="33"/>
        <v>110</v>
      </c>
      <c r="AU89" s="72">
        <f t="shared" si="33"/>
        <v>110</v>
      </c>
      <c r="AV89" s="72">
        <f t="shared" si="33"/>
        <v>110</v>
      </c>
      <c r="AW89" s="72">
        <f t="shared" si="33"/>
        <v>275</v>
      </c>
      <c r="AX89" s="72">
        <f t="shared" si="33"/>
        <v>110</v>
      </c>
      <c r="AY89" s="72">
        <f t="shared" si="33"/>
        <v>110</v>
      </c>
      <c r="AZ89" s="72">
        <f t="shared" si="33"/>
        <v>110</v>
      </c>
      <c r="BA89" s="72">
        <f t="shared" si="33"/>
        <v>110</v>
      </c>
      <c r="BB89" s="72">
        <f t="shared" si="33"/>
        <v>165</v>
      </c>
      <c r="BC89" s="72">
        <f t="shared" si="33"/>
        <v>275</v>
      </c>
      <c r="BD89" s="72">
        <f t="shared" si="33"/>
        <v>110</v>
      </c>
      <c r="BE89" s="72">
        <f t="shared" si="33"/>
        <v>110</v>
      </c>
      <c r="BF89" s="72">
        <f t="shared" si="33"/>
        <v>110</v>
      </c>
      <c r="BG89" s="72">
        <f t="shared" si="33"/>
        <v>110</v>
      </c>
      <c r="BH89" s="72">
        <f t="shared" si="33"/>
        <v>110</v>
      </c>
      <c r="BI89" s="72">
        <f t="shared" si="33"/>
        <v>275</v>
      </c>
      <c r="BJ89" s="72">
        <f t="shared" si="33"/>
        <v>110</v>
      </c>
      <c r="BK89" s="72">
        <f t="shared" si="33"/>
        <v>110</v>
      </c>
      <c r="BL89" s="72">
        <f t="shared" si="33"/>
        <v>110</v>
      </c>
      <c r="BM89" s="72">
        <f t="shared" si="33"/>
        <v>110</v>
      </c>
      <c r="BN89" s="72">
        <f t="shared" si="33"/>
        <v>165</v>
      </c>
    </row>
    <row r="90" spans="2:66">
      <c r="B90" s="37" t="str">
        <f t="shared" ref="B90:B91" si="37">B89</f>
        <v>London</v>
      </c>
      <c r="C90" t="str">
        <f t="shared" si="32"/>
        <v>Men's</v>
      </c>
      <c r="G90" s="72">
        <f t="shared" si="35"/>
        <v>325</v>
      </c>
      <c r="H90" s="72">
        <f t="shared" si="35"/>
        <v>130</v>
      </c>
      <c r="I90" s="72">
        <f t="shared" si="35"/>
        <v>130</v>
      </c>
      <c r="J90" s="72">
        <f t="shared" si="35"/>
        <v>130</v>
      </c>
      <c r="K90" s="72">
        <f t="shared" si="35"/>
        <v>130</v>
      </c>
      <c r="L90" s="72">
        <f t="shared" si="35"/>
        <v>130</v>
      </c>
      <c r="M90" s="72">
        <f t="shared" si="35"/>
        <v>325</v>
      </c>
      <c r="N90" s="72">
        <f t="shared" si="35"/>
        <v>130</v>
      </c>
      <c r="O90" s="72">
        <f t="shared" si="35"/>
        <v>130</v>
      </c>
      <c r="P90" s="72">
        <f t="shared" si="35"/>
        <v>130</v>
      </c>
      <c r="Q90" s="72">
        <f t="shared" si="35"/>
        <v>130</v>
      </c>
      <c r="R90" s="72">
        <f t="shared" si="35"/>
        <v>195</v>
      </c>
      <c r="S90" s="72">
        <f t="shared" si="35"/>
        <v>325</v>
      </c>
      <c r="T90" s="72">
        <f t="shared" si="35"/>
        <v>130</v>
      </c>
      <c r="U90" s="72">
        <f t="shared" si="35"/>
        <v>130</v>
      </c>
      <c r="V90" s="72">
        <f t="shared" si="35"/>
        <v>130</v>
      </c>
      <c r="W90" s="72">
        <f t="shared" si="35"/>
        <v>130</v>
      </c>
      <c r="X90" s="72">
        <f t="shared" si="35"/>
        <v>130</v>
      </c>
      <c r="Y90" s="72">
        <f t="shared" si="35"/>
        <v>325</v>
      </c>
      <c r="Z90" s="72">
        <f t="shared" si="35"/>
        <v>130</v>
      </c>
      <c r="AA90" s="72">
        <f t="shared" si="35"/>
        <v>130</v>
      </c>
      <c r="AB90" s="72">
        <f t="shared" si="35"/>
        <v>130</v>
      </c>
      <c r="AC90" s="72">
        <f t="shared" si="35"/>
        <v>130</v>
      </c>
      <c r="AD90" s="72">
        <f t="shared" si="35"/>
        <v>195</v>
      </c>
      <c r="AE90" s="72">
        <f t="shared" si="35"/>
        <v>325</v>
      </c>
      <c r="AF90" s="72">
        <f t="shared" si="35"/>
        <v>130</v>
      </c>
      <c r="AG90" s="72">
        <f t="shared" si="35"/>
        <v>130</v>
      </c>
      <c r="AH90" s="72">
        <f t="shared" si="35"/>
        <v>130</v>
      </c>
      <c r="AI90" s="72">
        <f t="shared" si="35"/>
        <v>130</v>
      </c>
      <c r="AJ90" s="72">
        <f t="shared" si="35"/>
        <v>130</v>
      </c>
      <c r="AK90" s="72">
        <f t="shared" si="35"/>
        <v>325</v>
      </c>
      <c r="AL90" s="72">
        <f t="shared" si="35"/>
        <v>130</v>
      </c>
      <c r="AM90" s="72">
        <f t="shared" si="33"/>
        <v>130</v>
      </c>
      <c r="AN90" s="72">
        <f t="shared" si="33"/>
        <v>130</v>
      </c>
      <c r="AO90" s="72">
        <f t="shared" si="33"/>
        <v>130</v>
      </c>
      <c r="AP90" s="72">
        <f t="shared" si="33"/>
        <v>195</v>
      </c>
      <c r="AQ90" s="72">
        <f t="shared" si="33"/>
        <v>325</v>
      </c>
      <c r="AR90" s="72">
        <f t="shared" si="33"/>
        <v>130</v>
      </c>
      <c r="AS90" s="72">
        <f t="shared" si="33"/>
        <v>130</v>
      </c>
      <c r="AT90" s="72">
        <f t="shared" si="33"/>
        <v>130</v>
      </c>
      <c r="AU90" s="72">
        <f t="shared" si="33"/>
        <v>130</v>
      </c>
      <c r="AV90" s="72">
        <f t="shared" si="33"/>
        <v>130</v>
      </c>
      <c r="AW90" s="72">
        <f t="shared" si="33"/>
        <v>325</v>
      </c>
      <c r="AX90" s="72">
        <f t="shared" si="33"/>
        <v>130</v>
      </c>
      <c r="AY90" s="72">
        <f t="shared" si="33"/>
        <v>130</v>
      </c>
      <c r="AZ90" s="72">
        <f t="shared" si="33"/>
        <v>130</v>
      </c>
      <c r="BA90" s="72">
        <f t="shared" si="33"/>
        <v>130</v>
      </c>
      <c r="BB90" s="72">
        <f t="shared" si="33"/>
        <v>195</v>
      </c>
      <c r="BC90" s="72">
        <f t="shared" si="33"/>
        <v>325</v>
      </c>
      <c r="BD90" s="72">
        <f t="shared" si="33"/>
        <v>130</v>
      </c>
      <c r="BE90" s="72">
        <f t="shared" si="33"/>
        <v>130</v>
      </c>
      <c r="BF90" s="72">
        <f t="shared" si="33"/>
        <v>130</v>
      </c>
      <c r="BG90" s="72">
        <f t="shared" si="33"/>
        <v>130</v>
      </c>
      <c r="BH90" s="72">
        <f t="shared" si="33"/>
        <v>130</v>
      </c>
      <c r="BI90" s="72">
        <f t="shared" si="33"/>
        <v>325</v>
      </c>
      <c r="BJ90" s="72">
        <f t="shared" si="33"/>
        <v>130</v>
      </c>
      <c r="BK90" s="72">
        <f t="shared" si="33"/>
        <v>130</v>
      </c>
      <c r="BL90" s="72">
        <f t="shared" si="33"/>
        <v>130</v>
      </c>
      <c r="BM90" s="72">
        <f t="shared" si="33"/>
        <v>130</v>
      </c>
      <c r="BN90" s="72">
        <f t="shared" si="33"/>
        <v>195</v>
      </c>
    </row>
    <row r="91" spans="2:66">
      <c r="B91" s="37" t="str">
        <f t="shared" si="37"/>
        <v>London</v>
      </c>
      <c r="C91" t="str">
        <f t="shared" si="32"/>
        <v>Accessories</v>
      </c>
      <c r="G91" s="72">
        <f t="shared" si="35"/>
        <v>250</v>
      </c>
      <c r="H91" s="72">
        <f t="shared" si="35"/>
        <v>100</v>
      </c>
      <c r="I91" s="72">
        <f t="shared" si="35"/>
        <v>100</v>
      </c>
      <c r="J91" s="72">
        <f t="shared" si="35"/>
        <v>100</v>
      </c>
      <c r="K91" s="72">
        <f t="shared" si="35"/>
        <v>100</v>
      </c>
      <c r="L91" s="72">
        <f t="shared" si="35"/>
        <v>100</v>
      </c>
      <c r="M91" s="72">
        <f t="shared" si="35"/>
        <v>250</v>
      </c>
      <c r="N91" s="72">
        <f t="shared" si="35"/>
        <v>100</v>
      </c>
      <c r="O91" s="72">
        <f t="shared" si="35"/>
        <v>100</v>
      </c>
      <c r="P91" s="72">
        <f t="shared" si="35"/>
        <v>100</v>
      </c>
      <c r="Q91" s="72">
        <f t="shared" si="35"/>
        <v>100</v>
      </c>
      <c r="R91" s="72">
        <f t="shared" si="35"/>
        <v>150</v>
      </c>
      <c r="S91" s="72">
        <f t="shared" si="35"/>
        <v>250</v>
      </c>
      <c r="T91" s="72">
        <f t="shared" si="35"/>
        <v>100</v>
      </c>
      <c r="U91" s="72">
        <f t="shared" si="35"/>
        <v>100</v>
      </c>
      <c r="V91" s="72">
        <f t="shared" si="35"/>
        <v>100</v>
      </c>
      <c r="W91" s="72">
        <f t="shared" si="35"/>
        <v>100</v>
      </c>
      <c r="X91" s="72">
        <f t="shared" si="35"/>
        <v>100</v>
      </c>
      <c r="Y91" s="72">
        <f t="shared" si="35"/>
        <v>250</v>
      </c>
      <c r="Z91" s="72">
        <f t="shared" si="35"/>
        <v>100</v>
      </c>
      <c r="AA91" s="72">
        <f t="shared" si="35"/>
        <v>100</v>
      </c>
      <c r="AB91" s="72">
        <f t="shared" si="35"/>
        <v>100</v>
      </c>
      <c r="AC91" s="72">
        <f t="shared" si="35"/>
        <v>100</v>
      </c>
      <c r="AD91" s="72">
        <f t="shared" si="35"/>
        <v>150</v>
      </c>
      <c r="AE91" s="72">
        <f t="shared" si="35"/>
        <v>250</v>
      </c>
      <c r="AF91" s="72">
        <f t="shared" si="35"/>
        <v>100</v>
      </c>
      <c r="AG91" s="72">
        <f t="shared" si="35"/>
        <v>100</v>
      </c>
      <c r="AH91" s="72">
        <f t="shared" si="35"/>
        <v>100</v>
      </c>
      <c r="AI91" s="72">
        <f t="shared" si="35"/>
        <v>100</v>
      </c>
      <c r="AJ91" s="72">
        <f t="shared" si="35"/>
        <v>100</v>
      </c>
      <c r="AK91" s="72">
        <f t="shared" si="35"/>
        <v>250</v>
      </c>
      <c r="AL91" s="72">
        <f t="shared" si="35"/>
        <v>100</v>
      </c>
      <c r="AM91" s="72">
        <f t="shared" si="33"/>
        <v>100</v>
      </c>
      <c r="AN91" s="72">
        <f t="shared" si="33"/>
        <v>100</v>
      </c>
      <c r="AO91" s="72">
        <f t="shared" si="33"/>
        <v>100</v>
      </c>
      <c r="AP91" s="72">
        <f t="shared" si="33"/>
        <v>150</v>
      </c>
      <c r="AQ91" s="72">
        <f t="shared" si="33"/>
        <v>250</v>
      </c>
      <c r="AR91" s="72">
        <f t="shared" si="33"/>
        <v>100</v>
      </c>
      <c r="AS91" s="72">
        <f t="shared" si="33"/>
        <v>100</v>
      </c>
      <c r="AT91" s="72">
        <f t="shared" si="33"/>
        <v>100</v>
      </c>
      <c r="AU91" s="72">
        <f t="shared" si="33"/>
        <v>100</v>
      </c>
      <c r="AV91" s="72">
        <f t="shared" si="33"/>
        <v>100</v>
      </c>
      <c r="AW91" s="72">
        <f t="shared" si="33"/>
        <v>250</v>
      </c>
      <c r="AX91" s="72">
        <f t="shared" si="33"/>
        <v>100</v>
      </c>
      <c r="AY91" s="72">
        <f t="shared" si="33"/>
        <v>100</v>
      </c>
      <c r="AZ91" s="72">
        <f t="shared" si="33"/>
        <v>100</v>
      </c>
      <c r="BA91" s="72">
        <f t="shared" si="33"/>
        <v>100</v>
      </c>
      <c r="BB91" s="72">
        <f t="shared" si="33"/>
        <v>150</v>
      </c>
      <c r="BC91" s="72">
        <f t="shared" si="33"/>
        <v>250</v>
      </c>
      <c r="BD91" s="72">
        <f t="shared" si="33"/>
        <v>100</v>
      </c>
      <c r="BE91" s="72">
        <f t="shared" si="33"/>
        <v>100</v>
      </c>
      <c r="BF91" s="72">
        <f t="shared" si="33"/>
        <v>100</v>
      </c>
      <c r="BG91" s="72">
        <f t="shared" si="33"/>
        <v>100</v>
      </c>
      <c r="BH91" s="72">
        <f t="shared" si="33"/>
        <v>100</v>
      </c>
      <c r="BI91" s="72">
        <f t="shared" si="33"/>
        <v>250</v>
      </c>
      <c r="BJ91" s="72">
        <f t="shared" si="33"/>
        <v>100</v>
      </c>
      <c r="BK91" s="72">
        <f t="shared" si="33"/>
        <v>100</v>
      </c>
      <c r="BL91" s="72">
        <f t="shared" si="33"/>
        <v>100</v>
      </c>
      <c r="BM91" s="72">
        <f t="shared" si="33"/>
        <v>100</v>
      </c>
      <c r="BN91" s="72">
        <f t="shared" si="33"/>
        <v>150</v>
      </c>
    </row>
    <row r="92" spans="2:66">
      <c r="B92" s="37" t="str">
        <f>CaseData!$B$32</f>
        <v>New York</v>
      </c>
      <c r="C92" t="str">
        <f t="shared" si="32"/>
        <v>Women's</v>
      </c>
      <c r="G92" s="72">
        <f t="shared" si="35"/>
        <v>0</v>
      </c>
      <c r="H92" s="72">
        <f t="shared" si="35"/>
        <v>0</v>
      </c>
      <c r="I92" s="72">
        <f t="shared" si="35"/>
        <v>55</v>
      </c>
      <c r="J92" s="72">
        <f t="shared" si="35"/>
        <v>59.583333333333314</v>
      </c>
      <c r="K92" s="72">
        <f t="shared" si="35"/>
        <v>64.166666666666657</v>
      </c>
      <c r="L92" s="72">
        <f t="shared" si="35"/>
        <v>68.75</v>
      </c>
      <c r="M92" s="72">
        <f t="shared" si="35"/>
        <v>183.33333333333331</v>
      </c>
      <c r="N92" s="72">
        <f t="shared" si="35"/>
        <v>77.916666666666657</v>
      </c>
      <c r="O92" s="72">
        <f t="shared" si="35"/>
        <v>82.5</v>
      </c>
      <c r="P92" s="72">
        <f t="shared" si="35"/>
        <v>87.083333333333343</v>
      </c>
      <c r="Q92" s="72">
        <f t="shared" si="35"/>
        <v>91.666666666666671</v>
      </c>
      <c r="R92" s="72">
        <f t="shared" si="35"/>
        <v>144.375</v>
      </c>
      <c r="S92" s="72">
        <f t="shared" si="35"/>
        <v>252.08333333333334</v>
      </c>
      <c r="T92" s="72">
        <f t="shared" si="35"/>
        <v>105.41666666666669</v>
      </c>
      <c r="U92" s="72">
        <f t="shared" si="35"/>
        <v>110.00000000000003</v>
      </c>
      <c r="V92" s="72">
        <f t="shared" si="35"/>
        <v>110.00000000000003</v>
      </c>
      <c r="W92" s="72">
        <f t="shared" si="35"/>
        <v>110.00000000000003</v>
      </c>
      <c r="X92" s="72">
        <f t="shared" si="35"/>
        <v>110.00000000000003</v>
      </c>
      <c r="Y92" s="72">
        <f t="shared" si="35"/>
        <v>275.00000000000006</v>
      </c>
      <c r="Z92" s="72">
        <f t="shared" si="35"/>
        <v>110.00000000000003</v>
      </c>
      <c r="AA92" s="72">
        <f t="shared" si="35"/>
        <v>110.00000000000003</v>
      </c>
      <c r="AB92" s="72">
        <f t="shared" si="35"/>
        <v>110.00000000000003</v>
      </c>
      <c r="AC92" s="72">
        <f t="shared" si="35"/>
        <v>110.00000000000003</v>
      </c>
      <c r="AD92" s="72">
        <f t="shared" si="35"/>
        <v>165.00000000000003</v>
      </c>
      <c r="AE92" s="72">
        <f t="shared" si="35"/>
        <v>275.00000000000006</v>
      </c>
      <c r="AF92" s="72">
        <f t="shared" si="35"/>
        <v>110.00000000000003</v>
      </c>
      <c r="AG92" s="72">
        <f t="shared" si="35"/>
        <v>110.00000000000003</v>
      </c>
      <c r="AH92" s="72">
        <f t="shared" si="35"/>
        <v>110.00000000000003</v>
      </c>
      <c r="AI92" s="72">
        <f t="shared" si="35"/>
        <v>110.00000000000003</v>
      </c>
      <c r="AJ92" s="72">
        <f t="shared" si="35"/>
        <v>110.00000000000003</v>
      </c>
      <c r="AK92" s="72">
        <f t="shared" si="35"/>
        <v>275.00000000000006</v>
      </c>
      <c r="AL92" s="72">
        <f t="shared" ref="AL92" si="38">AL51*AL$76*IFERROR(INDEX(AL$71:AL$74,MATCH($B92,$B$71:$B$74,0)),1)</f>
        <v>110.00000000000003</v>
      </c>
      <c r="AM92" s="72">
        <f t="shared" si="33"/>
        <v>110.00000000000003</v>
      </c>
      <c r="AN92" s="72">
        <f t="shared" si="33"/>
        <v>110.00000000000003</v>
      </c>
      <c r="AO92" s="72">
        <f t="shared" si="33"/>
        <v>110.00000000000003</v>
      </c>
      <c r="AP92" s="72">
        <f t="shared" si="33"/>
        <v>165.00000000000003</v>
      </c>
      <c r="AQ92" s="72">
        <f t="shared" si="33"/>
        <v>275.00000000000006</v>
      </c>
      <c r="AR92" s="72">
        <f t="shared" si="33"/>
        <v>110.00000000000003</v>
      </c>
      <c r="AS92" s="72">
        <f t="shared" si="33"/>
        <v>110.00000000000003</v>
      </c>
      <c r="AT92" s="72">
        <f t="shared" si="33"/>
        <v>110.00000000000003</v>
      </c>
      <c r="AU92" s="72">
        <f t="shared" si="33"/>
        <v>110.00000000000003</v>
      </c>
      <c r="AV92" s="72">
        <f t="shared" si="33"/>
        <v>110.00000000000003</v>
      </c>
      <c r="AW92" s="72">
        <f t="shared" si="33"/>
        <v>275.00000000000006</v>
      </c>
      <c r="AX92" s="72">
        <f t="shared" si="33"/>
        <v>110.00000000000003</v>
      </c>
      <c r="AY92" s="72">
        <f t="shared" si="33"/>
        <v>110.00000000000003</v>
      </c>
      <c r="AZ92" s="72">
        <f t="shared" si="33"/>
        <v>110.00000000000003</v>
      </c>
      <c r="BA92" s="72">
        <f t="shared" ref="BA92:BN92" si="39">BA51*BA$76*IFERROR(INDEX(BA$71:BA$74,MATCH($B92,$B$71:$B$74,0)),1)</f>
        <v>110.00000000000003</v>
      </c>
      <c r="BB92" s="72">
        <f t="shared" si="39"/>
        <v>165.00000000000003</v>
      </c>
      <c r="BC92" s="72">
        <f t="shared" si="39"/>
        <v>275.00000000000006</v>
      </c>
      <c r="BD92" s="72">
        <f t="shared" si="39"/>
        <v>110.00000000000003</v>
      </c>
      <c r="BE92" s="72">
        <f t="shared" si="39"/>
        <v>110.00000000000003</v>
      </c>
      <c r="BF92" s="72">
        <f t="shared" si="39"/>
        <v>110.00000000000003</v>
      </c>
      <c r="BG92" s="72">
        <f t="shared" si="39"/>
        <v>110.00000000000003</v>
      </c>
      <c r="BH92" s="72">
        <f t="shared" si="39"/>
        <v>110.00000000000003</v>
      </c>
      <c r="BI92" s="72">
        <f t="shared" si="39"/>
        <v>275.00000000000006</v>
      </c>
      <c r="BJ92" s="72">
        <f t="shared" si="39"/>
        <v>110.00000000000003</v>
      </c>
      <c r="BK92" s="72">
        <f t="shared" si="39"/>
        <v>110.00000000000003</v>
      </c>
      <c r="BL92" s="72">
        <f t="shared" si="39"/>
        <v>110.00000000000003</v>
      </c>
      <c r="BM92" s="72">
        <f t="shared" si="39"/>
        <v>110.00000000000003</v>
      </c>
      <c r="BN92" s="72">
        <f t="shared" si="39"/>
        <v>165.00000000000003</v>
      </c>
    </row>
    <row r="93" spans="2:66">
      <c r="B93" s="37" t="str">
        <f t="shared" ref="B93:B94" si="40">B92</f>
        <v>New York</v>
      </c>
      <c r="C93" t="str">
        <f t="shared" si="32"/>
        <v>Men's</v>
      </c>
      <c r="G93" s="72">
        <f t="shared" ref="G93:BN97" si="41">G52*G$76*IFERROR(INDEX(G$71:G$74,MATCH($B93,$B$71:$B$74,0)),1)</f>
        <v>0</v>
      </c>
      <c r="H93" s="72">
        <f t="shared" si="41"/>
        <v>0</v>
      </c>
      <c r="I93" s="72">
        <f t="shared" si="41"/>
        <v>65</v>
      </c>
      <c r="J93" s="72">
        <f t="shared" si="41"/>
        <v>70.416666666666643</v>
      </c>
      <c r="K93" s="72">
        <f t="shared" si="41"/>
        <v>75.833333333333329</v>
      </c>
      <c r="L93" s="72">
        <f t="shared" si="41"/>
        <v>81.25</v>
      </c>
      <c r="M93" s="72">
        <f t="shared" si="41"/>
        <v>216.66666666666666</v>
      </c>
      <c r="N93" s="72">
        <f t="shared" si="41"/>
        <v>92.083333333333329</v>
      </c>
      <c r="O93" s="72">
        <f t="shared" si="41"/>
        <v>97.5</v>
      </c>
      <c r="P93" s="72">
        <f t="shared" si="41"/>
        <v>102.91666666666667</v>
      </c>
      <c r="Q93" s="72">
        <f t="shared" si="41"/>
        <v>108.33333333333334</v>
      </c>
      <c r="R93" s="72">
        <f t="shared" si="41"/>
        <v>170.625</v>
      </c>
      <c r="S93" s="72">
        <f t="shared" si="41"/>
        <v>297.91666666666669</v>
      </c>
      <c r="T93" s="72">
        <f t="shared" si="41"/>
        <v>124.58333333333336</v>
      </c>
      <c r="U93" s="72">
        <f t="shared" si="41"/>
        <v>130.00000000000003</v>
      </c>
      <c r="V93" s="72">
        <f t="shared" si="41"/>
        <v>130.00000000000003</v>
      </c>
      <c r="W93" s="72">
        <f t="shared" si="41"/>
        <v>130.00000000000003</v>
      </c>
      <c r="X93" s="72">
        <f t="shared" si="41"/>
        <v>130.00000000000003</v>
      </c>
      <c r="Y93" s="72">
        <f t="shared" si="41"/>
        <v>325.00000000000006</v>
      </c>
      <c r="Z93" s="72">
        <f t="shared" si="41"/>
        <v>130.00000000000003</v>
      </c>
      <c r="AA93" s="72">
        <f t="shared" si="41"/>
        <v>130.00000000000003</v>
      </c>
      <c r="AB93" s="72">
        <f t="shared" si="41"/>
        <v>130.00000000000003</v>
      </c>
      <c r="AC93" s="72">
        <f t="shared" si="41"/>
        <v>130.00000000000003</v>
      </c>
      <c r="AD93" s="72">
        <f t="shared" si="41"/>
        <v>195.00000000000006</v>
      </c>
      <c r="AE93" s="72">
        <f t="shared" si="41"/>
        <v>325.00000000000006</v>
      </c>
      <c r="AF93" s="72">
        <f t="shared" si="41"/>
        <v>130.00000000000003</v>
      </c>
      <c r="AG93" s="72">
        <f t="shared" si="41"/>
        <v>130.00000000000003</v>
      </c>
      <c r="AH93" s="72">
        <f t="shared" si="41"/>
        <v>130.00000000000003</v>
      </c>
      <c r="AI93" s="72">
        <f t="shared" si="41"/>
        <v>130.00000000000003</v>
      </c>
      <c r="AJ93" s="72">
        <f t="shared" si="41"/>
        <v>130.00000000000003</v>
      </c>
      <c r="AK93" s="72">
        <f t="shared" si="41"/>
        <v>325.00000000000006</v>
      </c>
      <c r="AL93" s="72">
        <f t="shared" si="41"/>
        <v>130.00000000000003</v>
      </c>
      <c r="AM93" s="72">
        <f t="shared" si="41"/>
        <v>130.00000000000003</v>
      </c>
      <c r="AN93" s="72">
        <f t="shared" si="41"/>
        <v>130.00000000000003</v>
      </c>
      <c r="AO93" s="72">
        <f t="shared" si="41"/>
        <v>130.00000000000003</v>
      </c>
      <c r="AP93" s="72">
        <f t="shared" si="41"/>
        <v>195.00000000000006</v>
      </c>
      <c r="AQ93" s="72">
        <f t="shared" si="41"/>
        <v>325.00000000000006</v>
      </c>
      <c r="AR93" s="72">
        <f t="shared" si="41"/>
        <v>130.00000000000003</v>
      </c>
      <c r="AS93" s="72">
        <f t="shared" si="41"/>
        <v>130.00000000000003</v>
      </c>
      <c r="AT93" s="72">
        <f t="shared" si="41"/>
        <v>130.00000000000003</v>
      </c>
      <c r="AU93" s="72">
        <f t="shared" si="41"/>
        <v>130.00000000000003</v>
      </c>
      <c r="AV93" s="72">
        <f t="shared" si="41"/>
        <v>130.00000000000003</v>
      </c>
      <c r="AW93" s="72">
        <f t="shared" si="41"/>
        <v>325.00000000000006</v>
      </c>
      <c r="AX93" s="72">
        <f t="shared" si="41"/>
        <v>130.00000000000003</v>
      </c>
      <c r="AY93" s="72">
        <f t="shared" si="41"/>
        <v>130.00000000000003</v>
      </c>
      <c r="AZ93" s="72">
        <f t="shared" si="41"/>
        <v>130.00000000000003</v>
      </c>
      <c r="BA93" s="72">
        <f t="shared" si="41"/>
        <v>130.00000000000003</v>
      </c>
      <c r="BB93" s="72">
        <f t="shared" si="41"/>
        <v>195.00000000000006</v>
      </c>
      <c r="BC93" s="72">
        <f t="shared" si="41"/>
        <v>325.00000000000006</v>
      </c>
      <c r="BD93" s="72">
        <f t="shared" si="41"/>
        <v>130.00000000000003</v>
      </c>
      <c r="BE93" s="72">
        <f t="shared" si="41"/>
        <v>130.00000000000003</v>
      </c>
      <c r="BF93" s="72">
        <f t="shared" si="41"/>
        <v>130.00000000000003</v>
      </c>
      <c r="BG93" s="72">
        <f t="shared" si="41"/>
        <v>130.00000000000003</v>
      </c>
      <c r="BH93" s="72">
        <f t="shared" si="41"/>
        <v>130.00000000000003</v>
      </c>
      <c r="BI93" s="72">
        <f t="shared" si="41"/>
        <v>325.00000000000006</v>
      </c>
      <c r="BJ93" s="72">
        <f t="shared" si="41"/>
        <v>130.00000000000003</v>
      </c>
      <c r="BK93" s="72">
        <f t="shared" si="41"/>
        <v>130.00000000000003</v>
      </c>
      <c r="BL93" s="72">
        <f t="shared" si="41"/>
        <v>130.00000000000003</v>
      </c>
      <c r="BM93" s="72">
        <f t="shared" si="41"/>
        <v>130.00000000000003</v>
      </c>
      <c r="BN93" s="72">
        <f t="shared" si="41"/>
        <v>195.00000000000006</v>
      </c>
    </row>
    <row r="94" spans="2:66">
      <c r="B94" s="37" t="str">
        <f t="shared" si="40"/>
        <v>New York</v>
      </c>
      <c r="C94" t="str">
        <f t="shared" si="32"/>
        <v>Accessories</v>
      </c>
      <c r="G94" s="72">
        <f t="shared" si="41"/>
        <v>0</v>
      </c>
      <c r="H94" s="72">
        <f t="shared" si="41"/>
        <v>0</v>
      </c>
      <c r="I94" s="72">
        <f t="shared" si="41"/>
        <v>50</v>
      </c>
      <c r="J94" s="72">
        <f t="shared" si="41"/>
        <v>54.16666666666665</v>
      </c>
      <c r="K94" s="72">
        <f t="shared" si="41"/>
        <v>58.333333333333329</v>
      </c>
      <c r="L94" s="72">
        <f t="shared" si="41"/>
        <v>62.5</v>
      </c>
      <c r="M94" s="72">
        <f t="shared" si="41"/>
        <v>166.66666666666666</v>
      </c>
      <c r="N94" s="72">
        <f t="shared" si="41"/>
        <v>70.833333333333329</v>
      </c>
      <c r="O94" s="72">
        <f t="shared" si="41"/>
        <v>75</v>
      </c>
      <c r="P94" s="72">
        <f t="shared" si="41"/>
        <v>79.166666666666671</v>
      </c>
      <c r="Q94" s="72">
        <f t="shared" si="41"/>
        <v>83.333333333333343</v>
      </c>
      <c r="R94" s="72">
        <f t="shared" si="41"/>
        <v>131.25</v>
      </c>
      <c r="S94" s="72">
        <f t="shared" si="41"/>
        <v>229.16666666666669</v>
      </c>
      <c r="T94" s="72">
        <f t="shared" si="41"/>
        <v>95.833333333333343</v>
      </c>
      <c r="U94" s="72">
        <f t="shared" si="41"/>
        <v>100.00000000000003</v>
      </c>
      <c r="V94" s="72">
        <f t="shared" si="41"/>
        <v>100.00000000000003</v>
      </c>
      <c r="W94" s="72">
        <f t="shared" si="41"/>
        <v>100.00000000000003</v>
      </c>
      <c r="X94" s="72">
        <f t="shared" si="41"/>
        <v>100.00000000000003</v>
      </c>
      <c r="Y94" s="72">
        <f t="shared" si="41"/>
        <v>250.00000000000006</v>
      </c>
      <c r="Z94" s="72">
        <f t="shared" si="41"/>
        <v>100.00000000000003</v>
      </c>
      <c r="AA94" s="72">
        <f t="shared" si="41"/>
        <v>100.00000000000003</v>
      </c>
      <c r="AB94" s="72">
        <f t="shared" si="41"/>
        <v>100.00000000000003</v>
      </c>
      <c r="AC94" s="72">
        <f t="shared" si="41"/>
        <v>100.00000000000003</v>
      </c>
      <c r="AD94" s="72">
        <f t="shared" si="41"/>
        <v>150.00000000000003</v>
      </c>
      <c r="AE94" s="72">
        <f t="shared" si="41"/>
        <v>250.00000000000006</v>
      </c>
      <c r="AF94" s="72">
        <f t="shared" si="41"/>
        <v>100.00000000000003</v>
      </c>
      <c r="AG94" s="72">
        <f t="shared" si="41"/>
        <v>100.00000000000003</v>
      </c>
      <c r="AH94" s="72">
        <f t="shared" si="41"/>
        <v>100.00000000000003</v>
      </c>
      <c r="AI94" s="72">
        <f t="shared" si="41"/>
        <v>100.00000000000003</v>
      </c>
      <c r="AJ94" s="72">
        <f t="shared" si="41"/>
        <v>100.00000000000003</v>
      </c>
      <c r="AK94" s="72">
        <f t="shared" si="41"/>
        <v>250.00000000000006</v>
      </c>
      <c r="AL94" s="72">
        <f t="shared" si="41"/>
        <v>100.00000000000003</v>
      </c>
      <c r="AM94" s="72">
        <f t="shared" si="41"/>
        <v>100.00000000000003</v>
      </c>
      <c r="AN94" s="72">
        <f t="shared" si="41"/>
        <v>100.00000000000003</v>
      </c>
      <c r="AO94" s="72">
        <f t="shared" si="41"/>
        <v>100.00000000000003</v>
      </c>
      <c r="AP94" s="72">
        <f t="shared" si="41"/>
        <v>150.00000000000003</v>
      </c>
      <c r="AQ94" s="72">
        <f t="shared" si="41"/>
        <v>250.00000000000006</v>
      </c>
      <c r="AR94" s="72">
        <f t="shared" si="41"/>
        <v>100.00000000000003</v>
      </c>
      <c r="AS94" s="72">
        <f t="shared" si="41"/>
        <v>100.00000000000003</v>
      </c>
      <c r="AT94" s="72">
        <f t="shared" si="41"/>
        <v>100.00000000000003</v>
      </c>
      <c r="AU94" s="72">
        <f t="shared" si="41"/>
        <v>100.00000000000003</v>
      </c>
      <c r="AV94" s="72">
        <f t="shared" si="41"/>
        <v>100.00000000000003</v>
      </c>
      <c r="AW94" s="72">
        <f t="shared" si="41"/>
        <v>250.00000000000006</v>
      </c>
      <c r="AX94" s="72">
        <f t="shared" si="41"/>
        <v>100.00000000000003</v>
      </c>
      <c r="AY94" s="72">
        <f t="shared" si="41"/>
        <v>100.00000000000003</v>
      </c>
      <c r="AZ94" s="72">
        <f t="shared" si="41"/>
        <v>100.00000000000003</v>
      </c>
      <c r="BA94" s="72">
        <f t="shared" si="41"/>
        <v>100.00000000000003</v>
      </c>
      <c r="BB94" s="72">
        <f t="shared" si="41"/>
        <v>150.00000000000003</v>
      </c>
      <c r="BC94" s="72">
        <f t="shared" si="41"/>
        <v>250.00000000000006</v>
      </c>
      <c r="BD94" s="72">
        <f t="shared" si="41"/>
        <v>100.00000000000003</v>
      </c>
      <c r="BE94" s="72">
        <f t="shared" si="41"/>
        <v>100.00000000000003</v>
      </c>
      <c r="BF94" s="72">
        <f t="shared" si="41"/>
        <v>100.00000000000003</v>
      </c>
      <c r="BG94" s="72">
        <f t="shared" si="41"/>
        <v>100.00000000000003</v>
      </c>
      <c r="BH94" s="72">
        <f t="shared" si="41"/>
        <v>100.00000000000003</v>
      </c>
      <c r="BI94" s="72">
        <f t="shared" si="41"/>
        <v>250.00000000000006</v>
      </c>
      <c r="BJ94" s="72">
        <f t="shared" si="41"/>
        <v>100.00000000000003</v>
      </c>
      <c r="BK94" s="72">
        <f t="shared" si="41"/>
        <v>100.00000000000003</v>
      </c>
      <c r="BL94" s="72">
        <f t="shared" si="41"/>
        <v>100.00000000000003</v>
      </c>
      <c r="BM94" s="72">
        <f t="shared" si="41"/>
        <v>100.00000000000003</v>
      </c>
      <c r="BN94" s="72">
        <f t="shared" si="41"/>
        <v>150.00000000000003</v>
      </c>
    </row>
    <row r="95" spans="2:66">
      <c r="B95" s="37" t="str">
        <f>CaseData!$B$33</f>
        <v>Montreal</v>
      </c>
      <c r="C95" t="str">
        <f t="shared" si="32"/>
        <v>Women's</v>
      </c>
      <c r="G95" s="72">
        <f t="shared" si="41"/>
        <v>0</v>
      </c>
      <c r="H95" s="72">
        <f t="shared" si="41"/>
        <v>0</v>
      </c>
      <c r="I95" s="72">
        <f t="shared" si="41"/>
        <v>0</v>
      </c>
      <c r="J95" s="72">
        <f t="shared" si="41"/>
        <v>0</v>
      </c>
      <c r="K95" s="72">
        <f t="shared" si="41"/>
        <v>0</v>
      </c>
      <c r="L95" s="72">
        <f t="shared" si="41"/>
        <v>0</v>
      </c>
      <c r="M95" s="72">
        <f t="shared" si="41"/>
        <v>0</v>
      </c>
      <c r="N95" s="72">
        <f t="shared" si="41"/>
        <v>0</v>
      </c>
      <c r="O95" s="72">
        <f t="shared" si="41"/>
        <v>90</v>
      </c>
      <c r="P95" s="72">
        <f t="shared" si="41"/>
        <v>97.499999999999972</v>
      </c>
      <c r="Q95" s="72">
        <f t="shared" si="41"/>
        <v>104.99999999999999</v>
      </c>
      <c r="R95" s="72">
        <f t="shared" si="41"/>
        <v>168.75</v>
      </c>
      <c r="S95" s="72">
        <f t="shared" si="41"/>
        <v>300</v>
      </c>
      <c r="T95" s="72">
        <f t="shared" si="41"/>
        <v>127.49999999999999</v>
      </c>
      <c r="U95" s="72">
        <f t="shared" si="41"/>
        <v>135</v>
      </c>
      <c r="V95" s="72">
        <f t="shared" si="41"/>
        <v>142.5</v>
      </c>
      <c r="W95" s="72">
        <f t="shared" si="41"/>
        <v>150</v>
      </c>
      <c r="X95" s="72">
        <f t="shared" si="41"/>
        <v>157.5</v>
      </c>
      <c r="Y95" s="72">
        <f t="shared" si="41"/>
        <v>412.50000000000006</v>
      </c>
      <c r="Z95" s="72">
        <f t="shared" si="41"/>
        <v>172.50000000000003</v>
      </c>
      <c r="AA95" s="72">
        <f t="shared" si="41"/>
        <v>180.00000000000003</v>
      </c>
      <c r="AB95" s="72">
        <f t="shared" si="41"/>
        <v>180.00000000000003</v>
      </c>
      <c r="AC95" s="72">
        <f t="shared" si="41"/>
        <v>180.00000000000003</v>
      </c>
      <c r="AD95" s="72">
        <f t="shared" si="41"/>
        <v>270.00000000000006</v>
      </c>
      <c r="AE95" s="72">
        <f t="shared" si="41"/>
        <v>450.00000000000011</v>
      </c>
      <c r="AF95" s="72">
        <f t="shared" si="41"/>
        <v>180.00000000000003</v>
      </c>
      <c r="AG95" s="72">
        <f t="shared" si="41"/>
        <v>180.00000000000003</v>
      </c>
      <c r="AH95" s="72">
        <f t="shared" si="41"/>
        <v>180.00000000000003</v>
      </c>
      <c r="AI95" s="72">
        <f t="shared" si="41"/>
        <v>180.00000000000003</v>
      </c>
      <c r="AJ95" s="72">
        <f t="shared" si="41"/>
        <v>180.00000000000003</v>
      </c>
      <c r="AK95" s="72">
        <f t="shared" si="41"/>
        <v>450.00000000000011</v>
      </c>
      <c r="AL95" s="72">
        <f t="shared" si="41"/>
        <v>180.00000000000003</v>
      </c>
      <c r="AM95" s="72">
        <f t="shared" si="41"/>
        <v>180.00000000000003</v>
      </c>
      <c r="AN95" s="72">
        <f t="shared" si="41"/>
        <v>180.00000000000003</v>
      </c>
      <c r="AO95" s="72">
        <f t="shared" si="41"/>
        <v>180.00000000000003</v>
      </c>
      <c r="AP95" s="72">
        <f t="shared" si="41"/>
        <v>270.00000000000006</v>
      </c>
      <c r="AQ95" s="72">
        <f t="shared" si="41"/>
        <v>450.00000000000011</v>
      </c>
      <c r="AR95" s="72">
        <f t="shared" si="41"/>
        <v>180.00000000000003</v>
      </c>
      <c r="AS95" s="72">
        <f t="shared" si="41"/>
        <v>180.00000000000003</v>
      </c>
      <c r="AT95" s="72">
        <f t="shared" si="41"/>
        <v>180.00000000000003</v>
      </c>
      <c r="AU95" s="72">
        <f t="shared" si="41"/>
        <v>180.00000000000003</v>
      </c>
      <c r="AV95" s="72">
        <f t="shared" si="41"/>
        <v>180.00000000000003</v>
      </c>
      <c r="AW95" s="72">
        <f t="shared" si="41"/>
        <v>450.00000000000011</v>
      </c>
      <c r="AX95" s="72">
        <f t="shared" si="41"/>
        <v>180.00000000000003</v>
      </c>
      <c r="AY95" s="72">
        <f t="shared" si="41"/>
        <v>180.00000000000003</v>
      </c>
      <c r="AZ95" s="72">
        <f t="shared" si="41"/>
        <v>180.00000000000003</v>
      </c>
      <c r="BA95" s="72">
        <f t="shared" si="41"/>
        <v>180.00000000000003</v>
      </c>
      <c r="BB95" s="72">
        <f t="shared" si="41"/>
        <v>270.00000000000006</v>
      </c>
      <c r="BC95" s="72">
        <f t="shared" si="41"/>
        <v>450.00000000000011</v>
      </c>
      <c r="BD95" s="72">
        <f t="shared" si="41"/>
        <v>180.00000000000003</v>
      </c>
      <c r="BE95" s="72">
        <f t="shared" si="41"/>
        <v>180.00000000000003</v>
      </c>
      <c r="BF95" s="72">
        <f t="shared" si="41"/>
        <v>180.00000000000003</v>
      </c>
      <c r="BG95" s="72">
        <f t="shared" si="41"/>
        <v>180.00000000000003</v>
      </c>
      <c r="BH95" s="72">
        <f t="shared" si="41"/>
        <v>180.00000000000003</v>
      </c>
      <c r="BI95" s="72">
        <f t="shared" si="41"/>
        <v>450.00000000000011</v>
      </c>
      <c r="BJ95" s="72">
        <f t="shared" si="41"/>
        <v>180.00000000000003</v>
      </c>
      <c r="BK95" s="72">
        <f t="shared" si="41"/>
        <v>180.00000000000003</v>
      </c>
      <c r="BL95" s="72">
        <f t="shared" si="41"/>
        <v>180.00000000000003</v>
      </c>
      <c r="BM95" s="72">
        <f t="shared" si="41"/>
        <v>180.00000000000003</v>
      </c>
      <c r="BN95" s="72">
        <f t="shared" si="41"/>
        <v>270.00000000000006</v>
      </c>
    </row>
    <row r="96" spans="2:66">
      <c r="B96" s="37" t="str">
        <f>B95</f>
        <v>Montreal</v>
      </c>
      <c r="C96" t="str">
        <f t="shared" si="32"/>
        <v>Men's</v>
      </c>
      <c r="G96" s="72">
        <f t="shared" si="41"/>
        <v>0</v>
      </c>
      <c r="H96" s="72">
        <f t="shared" si="41"/>
        <v>0</v>
      </c>
      <c r="I96" s="72">
        <f t="shared" si="41"/>
        <v>0</v>
      </c>
      <c r="J96" s="72">
        <f t="shared" si="41"/>
        <v>0</v>
      </c>
      <c r="K96" s="72">
        <f t="shared" si="41"/>
        <v>0</v>
      </c>
      <c r="L96" s="72">
        <f t="shared" si="41"/>
        <v>0</v>
      </c>
      <c r="M96" s="72">
        <f t="shared" si="41"/>
        <v>0</v>
      </c>
      <c r="N96" s="72">
        <f t="shared" si="41"/>
        <v>0</v>
      </c>
      <c r="O96" s="72">
        <f t="shared" si="41"/>
        <v>85</v>
      </c>
      <c r="P96" s="72">
        <f t="shared" si="41"/>
        <v>92.083333333333314</v>
      </c>
      <c r="Q96" s="72">
        <f t="shared" si="41"/>
        <v>99.166666666666657</v>
      </c>
      <c r="R96" s="72">
        <f t="shared" si="41"/>
        <v>159.375</v>
      </c>
      <c r="S96" s="72">
        <f t="shared" si="41"/>
        <v>283.33333333333331</v>
      </c>
      <c r="T96" s="72">
        <f t="shared" si="41"/>
        <v>120.41666666666666</v>
      </c>
      <c r="U96" s="72">
        <f t="shared" si="41"/>
        <v>127.5</v>
      </c>
      <c r="V96" s="72">
        <f t="shared" si="41"/>
        <v>134.58333333333334</v>
      </c>
      <c r="W96" s="72">
        <f t="shared" si="41"/>
        <v>141.66666666666669</v>
      </c>
      <c r="X96" s="72">
        <f t="shared" si="41"/>
        <v>148.75</v>
      </c>
      <c r="Y96" s="72">
        <f t="shared" si="41"/>
        <v>389.58333333333337</v>
      </c>
      <c r="Z96" s="72">
        <f t="shared" si="41"/>
        <v>162.91666666666669</v>
      </c>
      <c r="AA96" s="72">
        <f t="shared" si="41"/>
        <v>170.00000000000003</v>
      </c>
      <c r="AB96" s="72">
        <f t="shared" si="41"/>
        <v>170.00000000000003</v>
      </c>
      <c r="AC96" s="72">
        <f t="shared" si="41"/>
        <v>170.00000000000003</v>
      </c>
      <c r="AD96" s="72">
        <f t="shared" si="41"/>
        <v>255.00000000000006</v>
      </c>
      <c r="AE96" s="72">
        <f t="shared" si="41"/>
        <v>425.00000000000011</v>
      </c>
      <c r="AF96" s="72">
        <f t="shared" si="41"/>
        <v>170.00000000000003</v>
      </c>
      <c r="AG96" s="72">
        <f t="shared" si="41"/>
        <v>170.00000000000003</v>
      </c>
      <c r="AH96" s="72">
        <f t="shared" si="41"/>
        <v>170.00000000000003</v>
      </c>
      <c r="AI96" s="72">
        <f t="shared" si="41"/>
        <v>170.00000000000003</v>
      </c>
      <c r="AJ96" s="72">
        <f t="shared" si="41"/>
        <v>170.00000000000003</v>
      </c>
      <c r="AK96" s="72">
        <f t="shared" si="41"/>
        <v>425.00000000000011</v>
      </c>
      <c r="AL96" s="72">
        <f t="shared" si="41"/>
        <v>170.00000000000003</v>
      </c>
      <c r="AM96" s="72">
        <f t="shared" si="41"/>
        <v>170.00000000000003</v>
      </c>
      <c r="AN96" s="72">
        <f t="shared" si="41"/>
        <v>170.00000000000003</v>
      </c>
      <c r="AO96" s="72">
        <f t="shared" si="41"/>
        <v>170.00000000000003</v>
      </c>
      <c r="AP96" s="72">
        <f t="shared" si="41"/>
        <v>255.00000000000006</v>
      </c>
      <c r="AQ96" s="72">
        <f t="shared" si="41"/>
        <v>425.00000000000011</v>
      </c>
      <c r="AR96" s="72">
        <f t="shared" si="41"/>
        <v>170.00000000000003</v>
      </c>
      <c r="AS96" s="72">
        <f t="shared" si="41"/>
        <v>170.00000000000003</v>
      </c>
      <c r="AT96" s="72">
        <f t="shared" si="41"/>
        <v>170.00000000000003</v>
      </c>
      <c r="AU96" s="72">
        <f t="shared" si="41"/>
        <v>170.00000000000003</v>
      </c>
      <c r="AV96" s="72">
        <f t="shared" si="41"/>
        <v>170.00000000000003</v>
      </c>
      <c r="AW96" s="72">
        <f t="shared" si="41"/>
        <v>425.00000000000011</v>
      </c>
      <c r="AX96" s="72">
        <f t="shared" si="41"/>
        <v>170.00000000000003</v>
      </c>
      <c r="AY96" s="72">
        <f t="shared" si="41"/>
        <v>170.00000000000003</v>
      </c>
      <c r="AZ96" s="72">
        <f t="shared" si="41"/>
        <v>170.00000000000003</v>
      </c>
      <c r="BA96" s="72">
        <f t="shared" si="41"/>
        <v>170.00000000000003</v>
      </c>
      <c r="BB96" s="72">
        <f t="shared" si="41"/>
        <v>255.00000000000006</v>
      </c>
      <c r="BC96" s="72">
        <f t="shared" si="41"/>
        <v>425.00000000000011</v>
      </c>
      <c r="BD96" s="72">
        <f t="shared" si="41"/>
        <v>170.00000000000003</v>
      </c>
      <c r="BE96" s="72">
        <f t="shared" si="41"/>
        <v>170.00000000000003</v>
      </c>
      <c r="BF96" s="72">
        <f t="shared" si="41"/>
        <v>170.00000000000003</v>
      </c>
      <c r="BG96" s="72">
        <f t="shared" si="41"/>
        <v>170.00000000000003</v>
      </c>
      <c r="BH96" s="72">
        <f t="shared" si="41"/>
        <v>170.00000000000003</v>
      </c>
      <c r="BI96" s="72">
        <f t="shared" si="41"/>
        <v>425.00000000000011</v>
      </c>
      <c r="BJ96" s="72">
        <f t="shared" si="41"/>
        <v>170.00000000000003</v>
      </c>
      <c r="BK96" s="72">
        <f t="shared" si="41"/>
        <v>170.00000000000003</v>
      </c>
      <c r="BL96" s="72">
        <f t="shared" si="41"/>
        <v>170.00000000000003</v>
      </c>
      <c r="BM96" s="72">
        <f t="shared" si="41"/>
        <v>170.00000000000003</v>
      </c>
      <c r="BN96" s="72">
        <f t="shared" si="41"/>
        <v>255.00000000000006</v>
      </c>
    </row>
    <row r="97" spans="2:66">
      <c r="B97" s="37" t="str">
        <f t="shared" ref="B97" si="42">B96</f>
        <v>Montreal</v>
      </c>
      <c r="C97" t="str">
        <f t="shared" si="32"/>
        <v>Accessories</v>
      </c>
      <c r="G97" s="72">
        <f t="shared" si="41"/>
        <v>0</v>
      </c>
      <c r="H97" s="72">
        <f t="shared" si="41"/>
        <v>0</v>
      </c>
      <c r="I97" s="72">
        <f t="shared" si="41"/>
        <v>0</v>
      </c>
      <c r="J97" s="72">
        <f t="shared" si="41"/>
        <v>0</v>
      </c>
      <c r="K97" s="72">
        <f t="shared" si="41"/>
        <v>0</v>
      </c>
      <c r="L97" s="72">
        <f t="shared" si="41"/>
        <v>0</v>
      </c>
      <c r="M97" s="72">
        <f t="shared" si="41"/>
        <v>0</v>
      </c>
      <c r="N97" s="72">
        <f t="shared" si="41"/>
        <v>0</v>
      </c>
      <c r="O97" s="72">
        <f t="shared" si="41"/>
        <v>130</v>
      </c>
      <c r="P97" s="72">
        <f t="shared" si="41"/>
        <v>140.83333333333329</v>
      </c>
      <c r="Q97" s="72">
        <f t="shared" si="41"/>
        <v>151.66666666666666</v>
      </c>
      <c r="R97" s="72">
        <f t="shared" si="41"/>
        <v>243.75</v>
      </c>
      <c r="S97" s="72">
        <f t="shared" si="41"/>
        <v>433.33333333333331</v>
      </c>
      <c r="T97" s="72">
        <f t="shared" si="41"/>
        <v>184.16666666666666</v>
      </c>
      <c r="U97" s="72">
        <f t="shared" si="41"/>
        <v>195</v>
      </c>
      <c r="V97" s="72">
        <f t="shared" ref="V97:BN103" si="43">V56*V$76*IFERROR(INDEX(V$71:V$74,MATCH($B97,$B$71:$B$74,0)),1)</f>
        <v>205.83333333333334</v>
      </c>
      <c r="W97" s="72">
        <f t="shared" si="43"/>
        <v>216.66666666666669</v>
      </c>
      <c r="X97" s="72">
        <f t="shared" si="43"/>
        <v>227.5</v>
      </c>
      <c r="Y97" s="72">
        <f t="shared" si="43"/>
        <v>595.83333333333337</v>
      </c>
      <c r="Z97" s="72">
        <f t="shared" si="43"/>
        <v>249.16666666666671</v>
      </c>
      <c r="AA97" s="72">
        <f t="shared" si="43"/>
        <v>260.00000000000006</v>
      </c>
      <c r="AB97" s="72">
        <f t="shared" si="43"/>
        <v>260.00000000000006</v>
      </c>
      <c r="AC97" s="72">
        <f t="shared" si="43"/>
        <v>260.00000000000006</v>
      </c>
      <c r="AD97" s="72">
        <f t="shared" si="43"/>
        <v>390.00000000000011</v>
      </c>
      <c r="AE97" s="72">
        <f t="shared" si="43"/>
        <v>650.00000000000011</v>
      </c>
      <c r="AF97" s="72">
        <f t="shared" si="43"/>
        <v>260.00000000000006</v>
      </c>
      <c r="AG97" s="72">
        <f t="shared" si="43"/>
        <v>260.00000000000006</v>
      </c>
      <c r="AH97" s="72">
        <f t="shared" si="43"/>
        <v>260.00000000000006</v>
      </c>
      <c r="AI97" s="72">
        <f t="shared" si="43"/>
        <v>260.00000000000006</v>
      </c>
      <c r="AJ97" s="72">
        <f t="shared" si="43"/>
        <v>260.00000000000006</v>
      </c>
      <c r="AK97" s="72">
        <f t="shared" si="43"/>
        <v>650.00000000000011</v>
      </c>
      <c r="AL97" s="72">
        <f t="shared" si="43"/>
        <v>260.00000000000006</v>
      </c>
      <c r="AM97" s="72">
        <f t="shared" si="43"/>
        <v>260.00000000000006</v>
      </c>
      <c r="AN97" s="72">
        <f t="shared" si="43"/>
        <v>260.00000000000006</v>
      </c>
      <c r="AO97" s="72">
        <f t="shared" si="43"/>
        <v>260.00000000000006</v>
      </c>
      <c r="AP97" s="72">
        <f t="shared" si="43"/>
        <v>390.00000000000011</v>
      </c>
      <c r="AQ97" s="72">
        <f t="shared" si="43"/>
        <v>650.00000000000011</v>
      </c>
      <c r="AR97" s="72">
        <f t="shared" si="43"/>
        <v>260.00000000000006</v>
      </c>
      <c r="AS97" s="72">
        <f t="shared" si="43"/>
        <v>260.00000000000006</v>
      </c>
      <c r="AT97" s="72">
        <f t="shared" si="43"/>
        <v>260.00000000000006</v>
      </c>
      <c r="AU97" s="72">
        <f t="shared" si="43"/>
        <v>260.00000000000006</v>
      </c>
      <c r="AV97" s="72">
        <f t="shared" si="43"/>
        <v>260.00000000000006</v>
      </c>
      <c r="AW97" s="72">
        <f t="shared" si="43"/>
        <v>650.00000000000011</v>
      </c>
      <c r="AX97" s="72">
        <f t="shared" si="43"/>
        <v>260.00000000000006</v>
      </c>
      <c r="AY97" s="72">
        <f t="shared" si="43"/>
        <v>260.00000000000006</v>
      </c>
      <c r="AZ97" s="72">
        <f t="shared" si="43"/>
        <v>260.00000000000006</v>
      </c>
      <c r="BA97" s="72">
        <f t="shared" si="43"/>
        <v>260.00000000000006</v>
      </c>
      <c r="BB97" s="72">
        <f t="shared" si="43"/>
        <v>390.00000000000011</v>
      </c>
      <c r="BC97" s="72">
        <f t="shared" si="43"/>
        <v>650.00000000000011</v>
      </c>
      <c r="BD97" s="72">
        <f t="shared" si="43"/>
        <v>260.00000000000006</v>
      </c>
      <c r="BE97" s="72">
        <f t="shared" si="43"/>
        <v>260.00000000000006</v>
      </c>
      <c r="BF97" s="72">
        <f t="shared" si="43"/>
        <v>260.00000000000006</v>
      </c>
      <c r="BG97" s="72">
        <f t="shared" si="43"/>
        <v>260.00000000000006</v>
      </c>
      <c r="BH97" s="72">
        <f t="shared" si="43"/>
        <v>260.00000000000006</v>
      </c>
      <c r="BI97" s="72">
        <f t="shared" si="43"/>
        <v>650.00000000000011</v>
      </c>
      <c r="BJ97" s="72">
        <f t="shared" si="43"/>
        <v>260.00000000000006</v>
      </c>
      <c r="BK97" s="72">
        <f t="shared" si="43"/>
        <v>260.00000000000006</v>
      </c>
      <c r="BL97" s="72">
        <f t="shared" si="43"/>
        <v>260.00000000000006</v>
      </c>
      <c r="BM97" s="72">
        <f t="shared" si="43"/>
        <v>260.00000000000006</v>
      </c>
      <c r="BN97" s="72">
        <f t="shared" si="43"/>
        <v>390.00000000000011</v>
      </c>
    </row>
    <row r="98" spans="2:66">
      <c r="B98" s="37" t="str">
        <f>CaseData!$B$34</f>
        <v>Zurich</v>
      </c>
      <c r="C98" t="str">
        <f t="shared" si="32"/>
        <v>Women's</v>
      </c>
      <c r="G98" s="72">
        <f t="shared" ref="G98:AL103" si="44">G57*G$76*IFERROR(INDEX(G$71:G$74,MATCH($B98,$B$71:$B$74,0)),1)</f>
        <v>0</v>
      </c>
      <c r="H98" s="72">
        <f t="shared" si="44"/>
        <v>0</v>
      </c>
      <c r="I98" s="72">
        <f t="shared" si="44"/>
        <v>0</v>
      </c>
      <c r="J98" s="72">
        <f t="shared" si="44"/>
        <v>0</v>
      </c>
      <c r="K98" s="72">
        <f t="shared" si="44"/>
        <v>0</v>
      </c>
      <c r="L98" s="72">
        <f t="shared" si="44"/>
        <v>0</v>
      </c>
      <c r="M98" s="72">
        <f t="shared" si="44"/>
        <v>0</v>
      </c>
      <c r="N98" s="72">
        <f t="shared" si="44"/>
        <v>0</v>
      </c>
      <c r="O98" s="72">
        <f t="shared" si="44"/>
        <v>0</v>
      </c>
      <c r="P98" s="72">
        <f t="shared" si="44"/>
        <v>0</v>
      </c>
      <c r="Q98" s="72">
        <f t="shared" si="44"/>
        <v>0</v>
      </c>
      <c r="R98" s="72">
        <f t="shared" si="44"/>
        <v>0</v>
      </c>
      <c r="S98" s="72">
        <f t="shared" si="44"/>
        <v>0</v>
      </c>
      <c r="T98" s="72">
        <f t="shared" si="44"/>
        <v>0</v>
      </c>
      <c r="U98" s="72">
        <f t="shared" si="44"/>
        <v>140</v>
      </c>
      <c r="V98" s="72">
        <f t="shared" si="44"/>
        <v>151.66666666666663</v>
      </c>
      <c r="W98" s="72">
        <f t="shared" si="44"/>
        <v>163.33333333333331</v>
      </c>
      <c r="X98" s="72">
        <f t="shared" si="44"/>
        <v>175</v>
      </c>
      <c r="Y98" s="72">
        <f t="shared" si="44"/>
        <v>466.66666666666663</v>
      </c>
      <c r="Z98" s="72">
        <f t="shared" si="44"/>
        <v>198.33333333333331</v>
      </c>
      <c r="AA98" s="72">
        <f t="shared" si="44"/>
        <v>210</v>
      </c>
      <c r="AB98" s="72">
        <f t="shared" si="44"/>
        <v>221.66666666666669</v>
      </c>
      <c r="AC98" s="72">
        <f t="shared" si="44"/>
        <v>233.33333333333334</v>
      </c>
      <c r="AD98" s="72">
        <f t="shared" si="44"/>
        <v>367.5</v>
      </c>
      <c r="AE98" s="72">
        <f t="shared" si="44"/>
        <v>641.66666666666674</v>
      </c>
      <c r="AF98" s="72">
        <f t="shared" si="44"/>
        <v>268.33333333333337</v>
      </c>
      <c r="AG98" s="72">
        <f t="shared" si="44"/>
        <v>280.00000000000006</v>
      </c>
      <c r="AH98" s="72">
        <f t="shared" si="44"/>
        <v>280.00000000000006</v>
      </c>
      <c r="AI98" s="72">
        <f t="shared" si="44"/>
        <v>280.00000000000006</v>
      </c>
      <c r="AJ98" s="72">
        <f t="shared" si="44"/>
        <v>280.00000000000006</v>
      </c>
      <c r="AK98" s="72">
        <f t="shared" si="44"/>
        <v>700.00000000000011</v>
      </c>
      <c r="AL98" s="72">
        <f t="shared" si="44"/>
        <v>280.00000000000006</v>
      </c>
      <c r="AM98" s="72">
        <f t="shared" si="43"/>
        <v>280.00000000000006</v>
      </c>
      <c r="AN98" s="72">
        <f t="shared" si="43"/>
        <v>280.00000000000006</v>
      </c>
      <c r="AO98" s="72">
        <f t="shared" si="43"/>
        <v>280.00000000000006</v>
      </c>
      <c r="AP98" s="72">
        <f t="shared" si="43"/>
        <v>420.00000000000011</v>
      </c>
      <c r="AQ98" s="72">
        <f t="shared" si="43"/>
        <v>700.00000000000011</v>
      </c>
      <c r="AR98" s="72">
        <f t="shared" si="43"/>
        <v>280.00000000000006</v>
      </c>
      <c r="AS98" s="72">
        <f t="shared" si="43"/>
        <v>280.00000000000006</v>
      </c>
      <c r="AT98" s="72">
        <f t="shared" si="43"/>
        <v>280.00000000000006</v>
      </c>
      <c r="AU98" s="72">
        <f t="shared" si="43"/>
        <v>280.00000000000006</v>
      </c>
      <c r="AV98" s="72">
        <f t="shared" si="43"/>
        <v>280.00000000000006</v>
      </c>
      <c r="AW98" s="72">
        <f t="shared" si="43"/>
        <v>700.00000000000011</v>
      </c>
      <c r="AX98" s="72">
        <f t="shared" si="43"/>
        <v>280.00000000000006</v>
      </c>
      <c r="AY98" s="72">
        <f t="shared" si="43"/>
        <v>280.00000000000006</v>
      </c>
      <c r="AZ98" s="72">
        <f t="shared" si="43"/>
        <v>280.00000000000006</v>
      </c>
      <c r="BA98" s="72">
        <f t="shared" si="43"/>
        <v>280.00000000000006</v>
      </c>
      <c r="BB98" s="72">
        <f t="shared" si="43"/>
        <v>420.00000000000011</v>
      </c>
      <c r="BC98" s="72">
        <f t="shared" si="43"/>
        <v>700.00000000000011</v>
      </c>
      <c r="BD98" s="72">
        <f t="shared" si="43"/>
        <v>280.00000000000006</v>
      </c>
      <c r="BE98" s="72">
        <f t="shared" si="43"/>
        <v>280.00000000000006</v>
      </c>
      <c r="BF98" s="72">
        <f t="shared" si="43"/>
        <v>280.00000000000006</v>
      </c>
      <c r="BG98" s="72">
        <f t="shared" si="43"/>
        <v>280.00000000000006</v>
      </c>
      <c r="BH98" s="72">
        <f t="shared" si="43"/>
        <v>280.00000000000006</v>
      </c>
      <c r="BI98" s="72">
        <f t="shared" si="43"/>
        <v>700.00000000000011</v>
      </c>
      <c r="BJ98" s="72">
        <f t="shared" si="43"/>
        <v>280.00000000000006</v>
      </c>
      <c r="BK98" s="72">
        <f t="shared" si="43"/>
        <v>280.00000000000006</v>
      </c>
      <c r="BL98" s="72">
        <f t="shared" si="43"/>
        <v>280.00000000000006</v>
      </c>
      <c r="BM98" s="72">
        <f t="shared" si="43"/>
        <v>280.00000000000006</v>
      </c>
      <c r="BN98" s="72">
        <f t="shared" si="43"/>
        <v>420.00000000000011</v>
      </c>
    </row>
    <row r="99" spans="2:66">
      <c r="B99" s="37" t="str">
        <f t="shared" ref="B99:B100" si="45">B98</f>
        <v>Zurich</v>
      </c>
      <c r="C99" t="str">
        <f t="shared" si="32"/>
        <v>Men's</v>
      </c>
      <c r="G99" s="72">
        <f t="shared" si="44"/>
        <v>0</v>
      </c>
      <c r="H99" s="72">
        <f t="shared" si="44"/>
        <v>0</v>
      </c>
      <c r="I99" s="72">
        <f t="shared" si="44"/>
        <v>0</v>
      </c>
      <c r="J99" s="72">
        <f t="shared" si="44"/>
        <v>0</v>
      </c>
      <c r="K99" s="72">
        <f t="shared" si="44"/>
        <v>0</v>
      </c>
      <c r="L99" s="72">
        <f t="shared" si="44"/>
        <v>0</v>
      </c>
      <c r="M99" s="72">
        <f t="shared" si="44"/>
        <v>0</v>
      </c>
      <c r="N99" s="72">
        <f t="shared" si="44"/>
        <v>0</v>
      </c>
      <c r="O99" s="72">
        <f t="shared" si="44"/>
        <v>0</v>
      </c>
      <c r="P99" s="72">
        <f t="shared" si="44"/>
        <v>0</v>
      </c>
      <c r="Q99" s="72">
        <f t="shared" si="44"/>
        <v>0</v>
      </c>
      <c r="R99" s="72">
        <f t="shared" si="44"/>
        <v>0</v>
      </c>
      <c r="S99" s="72">
        <f t="shared" si="44"/>
        <v>0</v>
      </c>
      <c r="T99" s="72">
        <f t="shared" si="44"/>
        <v>0</v>
      </c>
      <c r="U99" s="72">
        <f t="shared" si="44"/>
        <v>85</v>
      </c>
      <c r="V99" s="72">
        <f t="shared" si="44"/>
        <v>92.083333333333314</v>
      </c>
      <c r="W99" s="72">
        <f t="shared" si="44"/>
        <v>99.166666666666657</v>
      </c>
      <c r="X99" s="72">
        <f t="shared" si="44"/>
        <v>106.25</v>
      </c>
      <c r="Y99" s="72">
        <f t="shared" si="44"/>
        <v>283.33333333333331</v>
      </c>
      <c r="Z99" s="72">
        <f t="shared" si="44"/>
        <v>120.41666666666666</v>
      </c>
      <c r="AA99" s="72">
        <f t="shared" si="44"/>
        <v>127.5</v>
      </c>
      <c r="AB99" s="72">
        <f t="shared" si="44"/>
        <v>134.58333333333334</v>
      </c>
      <c r="AC99" s="72">
        <f t="shared" si="44"/>
        <v>141.66666666666669</v>
      </c>
      <c r="AD99" s="72">
        <f t="shared" si="44"/>
        <v>223.125</v>
      </c>
      <c r="AE99" s="72">
        <f t="shared" si="44"/>
        <v>389.58333333333337</v>
      </c>
      <c r="AF99" s="72">
        <f t="shared" si="44"/>
        <v>162.91666666666669</v>
      </c>
      <c r="AG99" s="72">
        <f t="shared" si="44"/>
        <v>170.00000000000003</v>
      </c>
      <c r="AH99" s="72">
        <f t="shared" si="44"/>
        <v>170.00000000000003</v>
      </c>
      <c r="AI99" s="72">
        <f t="shared" si="44"/>
        <v>170.00000000000003</v>
      </c>
      <c r="AJ99" s="72">
        <f t="shared" si="44"/>
        <v>170.00000000000003</v>
      </c>
      <c r="AK99" s="72">
        <f t="shared" si="44"/>
        <v>425.00000000000011</v>
      </c>
      <c r="AL99" s="72">
        <f t="shared" si="44"/>
        <v>170.00000000000003</v>
      </c>
      <c r="AM99" s="72">
        <f t="shared" si="43"/>
        <v>170.00000000000003</v>
      </c>
      <c r="AN99" s="72">
        <f t="shared" si="43"/>
        <v>170.00000000000003</v>
      </c>
      <c r="AO99" s="72">
        <f t="shared" si="43"/>
        <v>170.00000000000003</v>
      </c>
      <c r="AP99" s="72">
        <f t="shared" si="43"/>
        <v>255.00000000000006</v>
      </c>
      <c r="AQ99" s="72">
        <f t="shared" si="43"/>
        <v>425.00000000000011</v>
      </c>
      <c r="AR99" s="72">
        <f t="shared" si="43"/>
        <v>170.00000000000003</v>
      </c>
      <c r="AS99" s="72">
        <f t="shared" si="43"/>
        <v>170.00000000000003</v>
      </c>
      <c r="AT99" s="72">
        <f t="shared" si="43"/>
        <v>170.00000000000003</v>
      </c>
      <c r="AU99" s="72">
        <f t="shared" si="43"/>
        <v>170.00000000000003</v>
      </c>
      <c r="AV99" s="72">
        <f t="shared" si="43"/>
        <v>170.00000000000003</v>
      </c>
      <c r="AW99" s="72">
        <f t="shared" si="43"/>
        <v>425.00000000000011</v>
      </c>
      <c r="AX99" s="72">
        <f t="shared" si="43"/>
        <v>170.00000000000003</v>
      </c>
      <c r="AY99" s="72">
        <f t="shared" si="43"/>
        <v>170.00000000000003</v>
      </c>
      <c r="AZ99" s="72">
        <f t="shared" si="43"/>
        <v>170.00000000000003</v>
      </c>
      <c r="BA99" s="72">
        <f t="shared" si="43"/>
        <v>170.00000000000003</v>
      </c>
      <c r="BB99" s="72">
        <f t="shared" si="43"/>
        <v>255.00000000000006</v>
      </c>
      <c r="BC99" s="72">
        <f t="shared" si="43"/>
        <v>425.00000000000011</v>
      </c>
      <c r="BD99" s="72">
        <f t="shared" si="43"/>
        <v>170.00000000000003</v>
      </c>
      <c r="BE99" s="72">
        <f t="shared" si="43"/>
        <v>170.00000000000003</v>
      </c>
      <c r="BF99" s="72">
        <f t="shared" si="43"/>
        <v>170.00000000000003</v>
      </c>
      <c r="BG99" s="72">
        <f t="shared" si="43"/>
        <v>170.00000000000003</v>
      </c>
      <c r="BH99" s="72">
        <f t="shared" si="43"/>
        <v>170.00000000000003</v>
      </c>
      <c r="BI99" s="72">
        <f t="shared" si="43"/>
        <v>425.00000000000011</v>
      </c>
      <c r="BJ99" s="72">
        <f t="shared" si="43"/>
        <v>170.00000000000003</v>
      </c>
      <c r="BK99" s="72">
        <f t="shared" si="43"/>
        <v>170.00000000000003</v>
      </c>
      <c r="BL99" s="72">
        <f t="shared" si="43"/>
        <v>170.00000000000003</v>
      </c>
      <c r="BM99" s="72">
        <f t="shared" si="43"/>
        <v>170.00000000000003</v>
      </c>
      <c r="BN99" s="72">
        <f t="shared" si="43"/>
        <v>255.00000000000006</v>
      </c>
    </row>
    <row r="100" spans="2:66">
      <c r="B100" s="37" t="str">
        <f t="shared" si="45"/>
        <v>Zurich</v>
      </c>
      <c r="C100" t="str">
        <f t="shared" si="32"/>
        <v>Accessories</v>
      </c>
      <c r="G100" s="72">
        <f t="shared" si="44"/>
        <v>0</v>
      </c>
      <c r="H100" s="72">
        <f t="shared" si="44"/>
        <v>0</v>
      </c>
      <c r="I100" s="72">
        <f t="shared" si="44"/>
        <v>0</v>
      </c>
      <c r="J100" s="72">
        <f t="shared" si="44"/>
        <v>0</v>
      </c>
      <c r="K100" s="72">
        <f t="shared" si="44"/>
        <v>0</v>
      </c>
      <c r="L100" s="72">
        <f t="shared" si="44"/>
        <v>0</v>
      </c>
      <c r="M100" s="72">
        <f t="shared" si="44"/>
        <v>0</v>
      </c>
      <c r="N100" s="72">
        <f t="shared" si="44"/>
        <v>0</v>
      </c>
      <c r="O100" s="72">
        <f t="shared" si="44"/>
        <v>0</v>
      </c>
      <c r="P100" s="72">
        <f t="shared" si="44"/>
        <v>0</v>
      </c>
      <c r="Q100" s="72">
        <f t="shared" si="44"/>
        <v>0</v>
      </c>
      <c r="R100" s="72">
        <f t="shared" si="44"/>
        <v>0</v>
      </c>
      <c r="S100" s="72">
        <f t="shared" si="44"/>
        <v>0</v>
      </c>
      <c r="T100" s="72">
        <f t="shared" si="44"/>
        <v>0</v>
      </c>
      <c r="U100" s="72">
        <f t="shared" si="44"/>
        <v>75</v>
      </c>
      <c r="V100" s="72">
        <f t="shared" si="44"/>
        <v>81.249999999999972</v>
      </c>
      <c r="W100" s="72">
        <f t="shared" si="44"/>
        <v>87.499999999999986</v>
      </c>
      <c r="X100" s="72">
        <f t="shared" si="44"/>
        <v>93.75</v>
      </c>
      <c r="Y100" s="72">
        <f t="shared" si="44"/>
        <v>250</v>
      </c>
      <c r="Z100" s="72">
        <f t="shared" si="44"/>
        <v>106.24999999999999</v>
      </c>
      <c r="AA100" s="72">
        <f t="shared" si="44"/>
        <v>112.5</v>
      </c>
      <c r="AB100" s="72">
        <f t="shared" si="44"/>
        <v>118.75000000000001</v>
      </c>
      <c r="AC100" s="72">
        <f t="shared" si="44"/>
        <v>125</v>
      </c>
      <c r="AD100" s="72">
        <f t="shared" si="44"/>
        <v>196.875</v>
      </c>
      <c r="AE100" s="72">
        <f t="shared" si="44"/>
        <v>343.75</v>
      </c>
      <c r="AF100" s="72">
        <f t="shared" si="44"/>
        <v>143.75000000000003</v>
      </c>
      <c r="AG100" s="72">
        <f t="shared" si="44"/>
        <v>150.00000000000003</v>
      </c>
      <c r="AH100" s="72">
        <f t="shared" si="44"/>
        <v>150.00000000000003</v>
      </c>
      <c r="AI100" s="72">
        <f t="shared" si="44"/>
        <v>150.00000000000003</v>
      </c>
      <c r="AJ100" s="72">
        <f t="shared" si="44"/>
        <v>150.00000000000003</v>
      </c>
      <c r="AK100" s="72">
        <f t="shared" si="44"/>
        <v>375.00000000000006</v>
      </c>
      <c r="AL100" s="72">
        <f t="shared" si="44"/>
        <v>150.00000000000003</v>
      </c>
      <c r="AM100" s="72">
        <f t="shared" si="43"/>
        <v>150.00000000000003</v>
      </c>
      <c r="AN100" s="72">
        <f t="shared" si="43"/>
        <v>150.00000000000003</v>
      </c>
      <c r="AO100" s="72">
        <f t="shared" si="43"/>
        <v>150.00000000000003</v>
      </c>
      <c r="AP100" s="72">
        <f t="shared" si="43"/>
        <v>225.00000000000006</v>
      </c>
      <c r="AQ100" s="72">
        <f t="shared" si="43"/>
        <v>375.00000000000006</v>
      </c>
      <c r="AR100" s="72">
        <f t="shared" si="43"/>
        <v>150.00000000000003</v>
      </c>
      <c r="AS100" s="72">
        <f t="shared" si="43"/>
        <v>150.00000000000003</v>
      </c>
      <c r="AT100" s="72">
        <f t="shared" si="43"/>
        <v>150.00000000000003</v>
      </c>
      <c r="AU100" s="72">
        <f t="shared" si="43"/>
        <v>150.00000000000003</v>
      </c>
      <c r="AV100" s="72">
        <f t="shared" si="43"/>
        <v>150.00000000000003</v>
      </c>
      <c r="AW100" s="72">
        <f t="shared" si="43"/>
        <v>375.00000000000006</v>
      </c>
      <c r="AX100" s="72">
        <f t="shared" si="43"/>
        <v>150.00000000000003</v>
      </c>
      <c r="AY100" s="72">
        <f t="shared" si="43"/>
        <v>150.00000000000003</v>
      </c>
      <c r="AZ100" s="72">
        <f t="shared" si="43"/>
        <v>150.00000000000003</v>
      </c>
      <c r="BA100" s="72">
        <f t="shared" si="43"/>
        <v>150.00000000000003</v>
      </c>
      <c r="BB100" s="72">
        <f t="shared" si="43"/>
        <v>225.00000000000006</v>
      </c>
      <c r="BC100" s="72">
        <f t="shared" si="43"/>
        <v>375.00000000000006</v>
      </c>
      <c r="BD100" s="72">
        <f t="shared" si="43"/>
        <v>150.00000000000003</v>
      </c>
      <c r="BE100" s="72">
        <f t="shared" si="43"/>
        <v>150.00000000000003</v>
      </c>
      <c r="BF100" s="72">
        <f t="shared" si="43"/>
        <v>150.00000000000003</v>
      </c>
      <c r="BG100" s="72">
        <f t="shared" si="43"/>
        <v>150.00000000000003</v>
      </c>
      <c r="BH100" s="72">
        <f t="shared" si="43"/>
        <v>150.00000000000003</v>
      </c>
      <c r="BI100" s="72">
        <f t="shared" si="43"/>
        <v>375.00000000000006</v>
      </c>
      <c r="BJ100" s="72">
        <f t="shared" si="43"/>
        <v>150.00000000000003</v>
      </c>
      <c r="BK100" s="72">
        <f t="shared" si="43"/>
        <v>150.00000000000003</v>
      </c>
      <c r="BL100" s="72">
        <f t="shared" si="43"/>
        <v>150.00000000000003</v>
      </c>
      <c r="BM100" s="72">
        <f t="shared" si="43"/>
        <v>150.00000000000003</v>
      </c>
      <c r="BN100" s="72">
        <f t="shared" si="43"/>
        <v>225.00000000000006</v>
      </c>
    </row>
    <row r="101" spans="2:66">
      <c r="B101" s="37" t="str">
        <f>CaseData!$B$35</f>
        <v>Moscow</v>
      </c>
      <c r="C101" t="str">
        <f t="shared" si="32"/>
        <v>Women's</v>
      </c>
      <c r="G101" s="72">
        <f t="shared" si="44"/>
        <v>0</v>
      </c>
      <c r="H101" s="72">
        <f t="shared" si="44"/>
        <v>0</v>
      </c>
      <c r="I101" s="72">
        <f t="shared" si="44"/>
        <v>0</v>
      </c>
      <c r="J101" s="72">
        <f t="shared" si="44"/>
        <v>0</v>
      </c>
      <c r="K101" s="72">
        <f t="shared" si="44"/>
        <v>0</v>
      </c>
      <c r="L101" s="72">
        <f t="shared" si="44"/>
        <v>0</v>
      </c>
      <c r="M101" s="72">
        <f t="shared" si="44"/>
        <v>0</v>
      </c>
      <c r="N101" s="72">
        <f t="shared" si="44"/>
        <v>0</v>
      </c>
      <c r="O101" s="72">
        <f t="shared" si="44"/>
        <v>0</v>
      </c>
      <c r="P101" s="72">
        <f t="shared" si="44"/>
        <v>0</v>
      </c>
      <c r="Q101" s="72">
        <f t="shared" si="44"/>
        <v>0</v>
      </c>
      <c r="R101" s="72">
        <f t="shared" si="44"/>
        <v>0</v>
      </c>
      <c r="S101" s="72">
        <f t="shared" si="44"/>
        <v>0</v>
      </c>
      <c r="T101" s="72">
        <f t="shared" si="44"/>
        <v>0</v>
      </c>
      <c r="U101" s="72">
        <f t="shared" si="44"/>
        <v>0</v>
      </c>
      <c r="V101" s="72">
        <f t="shared" si="44"/>
        <v>0</v>
      </c>
      <c r="W101" s="72">
        <f t="shared" si="44"/>
        <v>0</v>
      </c>
      <c r="X101" s="72">
        <f t="shared" si="44"/>
        <v>0</v>
      </c>
      <c r="Y101" s="72">
        <f t="shared" si="44"/>
        <v>0</v>
      </c>
      <c r="Z101" s="72">
        <f t="shared" si="44"/>
        <v>0</v>
      </c>
      <c r="AA101" s="72">
        <f t="shared" si="44"/>
        <v>55</v>
      </c>
      <c r="AB101" s="72">
        <f t="shared" si="44"/>
        <v>59.583333333333314</v>
      </c>
      <c r="AC101" s="72">
        <f t="shared" si="44"/>
        <v>64.166666666666657</v>
      </c>
      <c r="AD101" s="72">
        <f t="shared" si="44"/>
        <v>103.125</v>
      </c>
      <c r="AE101" s="72">
        <f t="shared" si="44"/>
        <v>183.33333333333331</v>
      </c>
      <c r="AF101" s="72">
        <f t="shared" si="44"/>
        <v>77.916666666666657</v>
      </c>
      <c r="AG101" s="72">
        <f t="shared" si="44"/>
        <v>82.5</v>
      </c>
      <c r="AH101" s="72">
        <f t="shared" si="44"/>
        <v>87.083333333333343</v>
      </c>
      <c r="AI101" s="72">
        <f t="shared" si="44"/>
        <v>91.666666666666671</v>
      </c>
      <c r="AJ101" s="72">
        <f t="shared" si="44"/>
        <v>96.25</v>
      </c>
      <c r="AK101" s="72">
        <f t="shared" si="44"/>
        <v>252.08333333333334</v>
      </c>
      <c r="AL101" s="72">
        <f t="shared" si="44"/>
        <v>105.41666666666669</v>
      </c>
      <c r="AM101" s="72">
        <f t="shared" si="43"/>
        <v>110.00000000000003</v>
      </c>
      <c r="AN101" s="72">
        <f t="shared" si="43"/>
        <v>110.00000000000003</v>
      </c>
      <c r="AO101" s="72">
        <f t="shared" si="43"/>
        <v>110.00000000000003</v>
      </c>
      <c r="AP101" s="72">
        <f t="shared" si="43"/>
        <v>165.00000000000003</v>
      </c>
      <c r="AQ101" s="72">
        <f t="shared" si="43"/>
        <v>275.00000000000006</v>
      </c>
      <c r="AR101" s="72">
        <f t="shared" si="43"/>
        <v>110.00000000000003</v>
      </c>
      <c r="AS101" s="72">
        <f t="shared" si="43"/>
        <v>110.00000000000003</v>
      </c>
      <c r="AT101" s="72">
        <f t="shared" si="43"/>
        <v>110.00000000000003</v>
      </c>
      <c r="AU101" s="72">
        <f t="shared" si="43"/>
        <v>110.00000000000003</v>
      </c>
      <c r="AV101" s="72">
        <f t="shared" si="43"/>
        <v>110.00000000000003</v>
      </c>
      <c r="AW101" s="72">
        <f t="shared" si="43"/>
        <v>275.00000000000006</v>
      </c>
      <c r="AX101" s="72">
        <f t="shared" si="43"/>
        <v>110.00000000000003</v>
      </c>
      <c r="AY101" s="72">
        <f t="shared" si="43"/>
        <v>110.00000000000003</v>
      </c>
      <c r="AZ101" s="72">
        <f t="shared" si="43"/>
        <v>110.00000000000003</v>
      </c>
      <c r="BA101" s="72">
        <f t="shared" si="43"/>
        <v>110.00000000000003</v>
      </c>
      <c r="BB101" s="72">
        <f t="shared" si="43"/>
        <v>165.00000000000003</v>
      </c>
      <c r="BC101" s="72">
        <f t="shared" si="43"/>
        <v>275.00000000000006</v>
      </c>
      <c r="BD101" s="72">
        <f t="shared" si="43"/>
        <v>110.00000000000003</v>
      </c>
      <c r="BE101" s="72">
        <f t="shared" si="43"/>
        <v>110.00000000000003</v>
      </c>
      <c r="BF101" s="72">
        <f t="shared" si="43"/>
        <v>110.00000000000003</v>
      </c>
      <c r="BG101" s="72">
        <f t="shared" si="43"/>
        <v>110.00000000000003</v>
      </c>
      <c r="BH101" s="72">
        <f t="shared" si="43"/>
        <v>110.00000000000003</v>
      </c>
      <c r="BI101" s="72">
        <f t="shared" si="43"/>
        <v>275.00000000000006</v>
      </c>
      <c r="BJ101" s="72">
        <f t="shared" si="43"/>
        <v>110.00000000000003</v>
      </c>
      <c r="BK101" s="72">
        <f t="shared" si="43"/>
        <v>110.00000000000003</v>
      </c>
      <c r="BL101" s="72">
        <f t="shared" si="43"/>
        <v>110.00000000000003</v>
      </c>
      <c r="BM101" s="72">
        <f t="shared" si="43"/>
        <v>110.00000000000003</v>
      </c>
      <c r="BN101" s="72">
        <f t="shared" si="43"/>
        <v>165.00000000000003</v>
      </c>
    </row>
    <row r="102" spans="2:66">
      <c r="B102" s="37" t="str">
        <f t="shared" ref="B102:B103" si="46">B101</f>
        <v>Moscow</v>
      </c>
      <c r="C102" t="str">
        <f t="shared" si="32"/>
        <v>Men's</v>
      </c>
      <c r="G102" s="72">
        <f t="shared" si="44"/>
        <v>0</v>
      </c>
      <c r="H102" s="72">
        <f t="shared" si="44"/>
        <v>0</v>
      </c>
      <c r="I102" s="72">
        <f t="shared" si="44"/>
        <v>0</v>
      </c>
      <c r="J102" s="72">
        <f t="shared" si="44"/>
        <v>0</v>
      </c>
      <c r="K102" s="72">
        <f t="shared" si="44"/>
        <v>0</v>
      </c>
      <c r="L102" s="72">
        <f t="shared" si="44"/>
        <v>0</v>
      </c>
      <c r="M102" s="72">
        <f t="shared" si="44"/>
        <v>0</v>
      </c>
      <c r="N102" s="72">
        <f t="shared" si="44"/>
        <v>0</v>
      </c>
      <c r="O102" s="72">
        <f t="shared" si="44"/>
        <v>0</v>
      </c>
      <c r="P102" s="72">
        <f t="shared" si="44"/>
        <v>0</v>
      </c>
      <c r="Q102" s="72">
        <f t="shared" si="44"/>
        <v>0</v>
      </c>
      <c r="R102" s="72">
        <f t="shared" si="44"/>
        <v>0</v>
      </c>
      <c r="S102" s="72">
        <f t="shared" si="44"/>
        <v>0</v>
      </c>
      <c r="T102" s="72">
        <f t="shared" si="44"/>
        <v>0</v>
      </c>
      <c r="U102" s="72">
        <f t="shared" si="44"/>
        <v>0</v>
      </c>
      <c r="V102" s="72">
        <f t="shared" si="44"/>
        <v>0</v>
      </c>
      <c r="W102" s="72">
        <f t="shared" si="44"/>
        <v>0</v>
      </c>
      <c r="X102" s="72">
        <f t="shared" si="44"/>
        <v>0</v>
      </c>
      <c r="Y102" s="72">
        <f t="shared" si="44"/>
        <v>0</v>
      </c>
      <c r="Z102" s="72">
        <f t="shared" si="44"/>
        <v>0</v>
      </c>
      <c r="AA102" s="72">
        <f t="shared" si="44"/>
        <v>65</v>
      </c>
      <c r="AB102" s="72">
        <f t="shared" si="44"/>
        <v>70.416666666666643</v>
      </c>
      <c r="AC102" s="72">
        <f t="shared" si="44"/>
        <v>75.833333333333329</v>
      </c>
      <c r="AD102" s="72">
        <f t="shared" si="44"/>
        <v>121.875</v>
      </c>
      <c r="AE102" s="72">
        <f t="shared" si="44"/>
        <v>216.66666666666666</v>
      </c>
      <c r="AF102" s="72">
        <f t="shared" si="44"/>
        <v>92.083333333333329</v>
      </c>
      <c r="AG102" s="72">
        <f t="shared" si="44"/>
        <v>97.5</v>
      </c>
      <c r="AH102" s="72">
        <f t="shared" si="44"/>
        <v>102.91666666666667</v>
      </c>
      <c r="AI102" s="72">
        <f t="shared" si="44"/>
        <v>108.33333333333334</v>
      </c>
      <c r="AJ102" s="72">
        <f t="shared" si="44"/>
        <v>113.75</v>
      </c>
      <c r="AK102" s="72">
        <f t="shared" si="44"/>
        <v>297.91666666666669</v>
      </c>
      <c r="AL102" s="72">
        <f t="shared" si="44"/>
        <v>124.58333333333336</v>
      </c>
      <c r="AM102" s="72">
        <f t="shared" si="43"/>
        <v>130.00000000000003</v>
      </c>
      <c r="AN102" s="72">
        <f t="shared" si="43"/>
        <v>130.00000000000003</v>
      </c>
      <c r="AO102" s="72">
        <f t="shared" si="43"/>
        <v>130.00000000000003</v>
      </c>
      <c r="AP102" s="72">
        <f t="shared" si="43"/>
        <v>195.00000000000006</v>
      </c>
      <c r="AQ102" s="72">
        <f t="shared" si="43"/>
        <v>325.00000000000006</v>
      </c>
      <c r="AR102" s="72">
        <f t="shared" si="43"/>
        <v>130.00000000000003</v>
      </c>
      <c r="AS102" s="72">
        <f t="shared" si="43"/>
        <v>130.00000000000003</v>
      </c>
      <c r="AT102" s="72">
        <f t="shared" si="43"/>
        <v>130.00000000000003</v>
      </c>
      <c r="AU102" s="72">
        <f t="shared" si="43"/>
        <v>130.00000000000003</v>
      </c>
      <c r="AV102" s="72">
        <f t="shared" si="43"/>
        <v>130.00000000000003</v>
      </c>
      <c r="AW102" s="72">
        <f t="shared" si="43"/>
        <v>325.00000000000006</v>
      </c>
      <c r="AX102" s="72">
        <f t="shared" si="43"/>
        <v>130.00000000000003</v>
      </c>
      <c r="AY102" s="72">
        <f t="shared" si="43"/>
        <v>130.00000000000003</v>
      </c>
      <c r="AZ102" s="72">
        <f t="shared" si="43"/>
        <v>130.00000000000003</v>
      </c>
      <c r="BA102" s="72">
        <f t="shared" si="43"/>
        <v>130.00000000000003</v>
      </c>
      <c r="BB102" s="72">
        <f t="shared" si="43"/>
        <v>195.00000000000006</v>
      </c>
      <c r="BC102" s="72">
        <f t="shared" si="43"/>
        <v>325.00000000000006</v>
      </c>
      <c r="BD102" s="72">
        <f t="shared" si="43"/>
        <v>130.00000000000003</v>
      </c>
      <c r="BE102" s="72">
        <f t="shared" si="43"/>
        <v>130.00000000000003</v>
      </c>
      <c r="BF102" s="72">
        <f t="shared" si="43"/>
        <v>130.00000000000003</v>
      </c>
      <c r="BG102" s="72">
        <f t="shared" si="43"/>
        <v>130.00000000000003</v>
      </c>
      <c r="BH102" s="72">
        <f t="shared" si="43"/>
        <v>130.00000000000003</v>
      </c>
      <c r="BI102" s="72">
        <f t="shared" si="43"/>
        <v>325.00000000000006</v>
      </c>
      <c r="BJ102" s="72">
        <f t="shared" si="43"/>
        <v>130.00000000000003</v>
      </c>
      <c r="BK102" s="72">
        <f t="shared" si="43"/>
        <v>130.00000000000003</v>
      </c>
      <c r="BL102" s="72">
        <f t="shared" si="43"/>
        <v>130.00000000000003</v>
      </c>
      <c r="BM102" s="72">
        <f t="shared" si="43"/>
        <v>130.00000000000003</v>
      </c>
      <c r="BN102" s="72">
        <f t="shared" si="43"/>
        <v>195.00000000000006</v>
      </c>
    </row>
    <row r="103" spans="2:66">
      <c r="B103" s="37" t="str">
        <f t="shared" si="46"/>
        <v>Moscow</v>
      </c>
      <c r="C103" t="str">
        <f t="shared" si="32"/>
        <v>Accessories</v>
      </c>
      <c r="G103" s="72">
        <f t="shared" si="44"/>
        <v>0</v>
      </c>
      <c r="H103" s="72">
        <f t="shared" si="44"/>
        <v>0</v>
      </c>
      <c r="I103" s="72">
        <f t="shared" si="44"/>
        <v>0</v>
      </c>
      <c r="J103" s="72">
        <f t="shared" si="44"/>
        <v>0</v>
      </c>
      <c r="K103" s="72">
        <f t="shared" si="44"/>
        <v>0</v>
      </c>
      <c r="L103" s="72">
        <f t="shared" si="44"/>
        <v>0</v>
      </c>
      <c r="M103" s="72">
        <f t="shared" si="44"/>
        <v>0</v>
      </c>
      <c r="N103" s="72">
        <f t="shared" si="44"/>
        <v>0</v>
      </c>
      <c r="O103" s="72">
        <f t="shared" si="44"/>
        <v>0</v>
      </c>
      <c r="P103" s="72">
        <f t="shared" si="44"/>
        <v>0</v>
      </c>
      <c r="Q103" s="72">
        <f t="shared" si="44"/>
        <v>0</v>
      </c>
      <c r="R103" s="72">
        <f t="shared" si="44"/>
        <v>0</v>
      </c>
      <c r="S103" s="72">
        <f t="shared" si="44"/>
        <v>0</v>
      </c>
      <c r="T103" s="72">
        <f t="shared" si="44"/>
        <v>0</v>
      </c>
      <c r="U103" s="72">
        <f t="shared" si="44"/>
        <v>0</v>
      </c>
      <c r="V103" s="72">
        <f t="shared" si="44"/>
        <v>0</v>
      </c>
      <c r="W103" s="72">
        <f t="shared" si="44"/>
        <v>0</v>
      </c>
      <c r="X103" s="72">
        <f t="shared" si="44"/>
        <v>0</v>
      </c>
      <c r="Y103" s="72">
        <f t="shared" si="44"/>
        <v>0</v>
      </c>
      <c r="Z103" s="72">
        <f t="shared" si="44"/>
        <v>0</v>
      </c>
      <c r="AA103" s="72">
        <f t="shared" si="44"/>
        <v>50</v>
      </c>
      <c r="AB103" s="72">
        <f t="shared" si="44"/>
        <v>54.16666666666665</v>
      </c>
      <c r="AC103" s="72">
        <f t="shared" si="44"/>
        <v>58.333333333333329</v>
      </c>
      <c r="AD103" s="72">
        <f t="shared" si="44"/>
        <v>93.75</v>
      </c>
      <c r="AE103" s="72">
        <f t="shared" si="44"/>
        <v>166.66666666666666</v>
      </c>
      <c r="AF103" s="72">
        <f t="shared" si="44"/>
        <v>70.833333333333329</v>
      </c>
      <c r="AG103" s="72">
        <f t="shared" si="44"/>
        <v>75</v>
      </c>
      <c r="AH103" s="72">
        <f t="shared" si="44"/>
        <v>79.166666666666671</v>
      </c>
      <c r="AI103" s="72">
        <f t="shared" si="44"/>
        <v>83.333333333333343</v>
      </c>
      <c r="AJ103" s="72">
        <f t="shared" si="44"/>
        <v>87.5</v>
      </c>
      <c r="AK103" s="72">
        <f t="shared" si="44"/>
        <v>229.16666666666669</v>
      </c>
      <c r="AL103" s="72">
        <f t="shared" si="44"/>
        <v>95.833333333333343</v>
      </c>
      <c r="AM103" s="72">
        <f t="shared" si="43"/>
        <v>100.00000000000003</v>
      </c>
      <c r="AN103" s="72">
        <f t="shared" si="43"/>
        <v>100.00000000000003</v>
      </c>
      <c r="AO103" s="72">
        <f t="shared" si="43"/>
        <v>100.00000000000003</v>
      </c>
      <c r="AP103" s="72">
        <f t="shared" si="43"/>
        <v>150.00000000000003</v>
      </c>
      <c r="AQ103" s="72">
        <f t="shared" si="43"/>
        <v>250.00000000000006</v>
      </c>
      <c r="AR103" s="72">
        <f t="shared" si="43"/>
        <v>100.00000000000003</v>
      </c>
      <c r="AS103" s="72">
        <f t="shared" si="43"/>
        <v>100.00000000000003</v>
      </c>
      <c r="AT103" s="72">
        <f t="shared" si="43"/>
        <v>100.00000000000003</v>
      </c>
      <c r="AU103" s="72">
        <f t="shared" si="43"/>
        <v>100.00000000000003</v>
      </c>
      <c r="AV103" s="72">
        <f t="shared" si="43"/>
        <v>100.00000000000003</v>
      </c>
      <c r="AW103" s="72">
        <f t="shared" si="43"/>
        <v>250.00000000000006</v>
      </c>
      <c r="AX103" s="72">
        <f t="shared" si="43"/>
        <v>100.00000000000003</v>
      </c>
      <c r="AY103" s="72">
        <f t="shared" si="43"/>
        <v>100.00000000000003</v>
      </c>
      <c r="AZ103" s="72">
        <f t="shared" si="43"/>
        <v>100.00000000000003</v>
      </c>
      <c r="BA103" s="72">
        <f t="shared" si="43"/>
        <v>100.00000000000003</v>
      </c>
      <c r="BB103" s="72">
        <f t="shared" si="43"/>
        <v>150.00000000000003</v>
      </c>
      <c r="BC103" s="72">
        <f t="shared" si="43"/>
        <v>250.00000000000006</v>
      </c>
      <c r="BD103" s="72">
        <f t="shared" si="43"/>
        <v>100.00000000000003</v>
      </c>
      <c r="BE103" s="72">
        <f t="shared" si="43"/>
        <v>100.00000000000003</v>
      </c>
      <c r="BF103" s="72">
        <f t="shared" si="43"/>
        <v>100.00000000000003</v>
      </c>
      <c r="BG103" s="72">
        <f t="shared" si="43"/>
        <v>100.00000000000003</v>
      </c>
      <c r="BH103" s="72">
        <f t="shared" si="43"/>
        <v>100.00000000000003</v>
      </c>
      <c r="BI103" s="72">
        <f t="shared" si="43"/>
        <v>250.00000000000006</v>
      </c>
      <c r="BJ103" s="72">
        <f t="shared" si="43"/>
        <v>100.00000000000003</v>
      </c>
      <c r="BK103" s="72">
        <f t="shared" si="43"/>
        <v>100.00000000000003</v>
      </c>
      <c r="BL103" s="72">
        <f t="shared" si="43"/>
        <v>100.00000000000003</v>
      </c>
      <c r="BM103" s="72">
        <f t="shared" si="43"/>
        <v>100.00000000000003</v>
      </c>
      <c r="BN103" s="72">
        <f t="shared" si="43"/>
        <v>150.00000000000003</v>
      </c>
    </row>
    <row r="105" spans="2:66">
      <c r="B105" s="3" t="s">
        <v>11</v>
      </c>
      <c r="C105" s="3" t="str">
        <f>CaseData!C40</f>
        <v>Accessories</v>
      </c>
    </row>
    <row r="106" spans="2:66">
      <c r="B106" t="s">
        <v>65</v>
      </c>
      <c r="G106" s="72">
        <f>SUMIFS(G$80:G$103,$C$80:$C$103,$C$105)</f>
        <v>1425</v>
      </c>
      <c r="H106" s="72">
        <f t="shared" ref="H106:BN106" si="47">SUMIFS(H$80:H$103,$C$80:$C$103,$C$105)</f>
        <v>570</v>
      </c>
      <c r="I106" s="72">
        <f t="shared" si="47"/>
        <v>620</v>
      </c>
      <c r="J106" s="72">
        <f t="shared" si="47"/>
        <v>624.16666666666663</v>
      </c>
      <c r="K106" s="72">
        <f t="shared" si="47"/>
        <v>628.33333333333337</v>
      </c>
      <c r="L106" s="72">
        <f t="shared" si="47"/>
        <v>632.5</v>
      </c>
      <c r="M106" s="72">
        <f t="shared" si="47"/>
        <v>1591.6666666666667</v>
      </c>
      <c r="N106" s="72">
        <f t="shared" si="47"/>
        <v>640.83333333333337</v>
      </c>
      <c r="O106" s="72">
        <f t="shared" si="47"/>
        <v>775</v>
      </c>
      <c r="P106" s="72">
        <f t="shared" si="47"/>
        <v>789.99999999999989</v>
      </c>
      <c r="Q106" s="72">
        <f t="shared" si="47"/>
        <v>805</v>
      </c>
      <c r="R106" s="72">
        <f t="shared" si="47"/>
        <v>1230</v>
      </c>
      <c r="S106" s="72">
        <f t="shared" si="47"/>
        <v>2087.5</v>
      </c>
      <c r="T106" s="72">
        <f t="shared" si="47"/>
        <v>850</v>
      </c>
      <c r="U106" s="72">
        <f t="shared" si="47"/>
        <v>940</v>
      </c>
      <c r="V106" s="72">
        <f t="shared" si="47"/>
        <v>957.08333333333337</v>
      </c>
      <c r="W106" s="72">
        <f t="shared" si="47"/>
        <v>974.16666666666674</v>
      </c>
      <c r="X106" s="72">
        <f t="shared" si="47"/>
        <v>991.25</v>
      </c>
      <c r="Y106" s="72">
        <f t="shared" si="47"/>
        <v>2520.8333333333335</v>
      </c>
      <c r="Z106" s="72">
        <f t="shared" si="47"/>
        <v>1025.4166666666667</v>
      </c>
      <c r="AA106" s="72">
        <f t="shared" si="47"/>
        <v>1092.5</v>
      </c>
      <c r="AB106" s="72">
        <f t="shared" si="47"/>
        <v>1102.9166666666667</v>
      </c>
      <c r="AC106" s="72">
        <f t="shared" si="47"/>
        <v>1113.3333333333333</v>
      </c>
      <c r="AD106" s="72">
        <f t="shared" si="47"/>
        <v>1685.625</v>
      </c>
      <c r="AE106" s="72">
        <f t="shared" si="47"/>
        <v>2835.4166666666665</v>
      </c>
      <c r="AF106" s="72">
        <f t="shared" si="47"/>
        <v>1144.5833333333333</v>
      </c>
      <c r="AG106" s="72">
        <f t="shared" si="47"/>
        <v>1155</v>
      </c>
      <c r="AH106" s="72">
        <f t="shared" si="47"/>
        <v>1159.1666666666667</v>
      </c>
      <c r="AI106" s="72">
        <f t="shared" si="47"/>
        <v>1163.3333333333333</v>
      </c>
      <c r="AJ106" s="72">
        <f t="shared" si="47"/>
        <v>1167.5</v>
      </c>
      <c r="AK106" s="72">
        <f t="shared" si="47"/>
        <v>2929.1666666666665</v>
      </c>
      <c r="AL106" s="72">
        <f t="shared" si="47"/>
        <v>1175.8333333333333</v>
      </c>
      <c r="AM106" s="72">
        <f t="shared" si="47"/>
        <v>1180</v>
      </c>
      <c r="AN106" s="72">
        <f t="shared" si="47"/>
        <v>1180</v>
      </c>
      <c r="AO106" s="72">
        <f t="shared" si="47"/>
        <v>1180</v>
      </c>
      <c r="AP106" s="72">
        <f t="shared" si="47"/>
        <v>1770</v>
      </c>
      <c r="AQ106" s="72">
        <f t="shared" si="47"/>
        <v>2950</v>
      </c>
      <c r="AR106" s="72">
        <f t="shared" si="47"/>
        <v>1180</v>
      </c>
      <c r="AS106" s="72">
        <f t="shared" si="47"/>
        <v>1180</v>
      </c>
      <c r="AT106" s="72">
        <f t="shared" si="47"/>
        <v>1180</v>
      </c>
      <c r="AU106" s="72">
        <f t="shared" si="47"/>
        <v>1180</v>
      </c>
      <c r="AV106" s="72">
        <f t="shared" si="47"/>
        <v>1180</v>
      </c>
      <c r="AW106" s="72">
        <f t="shared" si="47"/>
        <v>2950</v>
      </c>
      <c r="AX106" s="72">
        <f t="shared" si="47"/>
        <v>1180</v>
      </c>
      <c r="AY106" s="72">
        <f t="shared" si="47"/>
        <v>1180</v>
      </c>
      <c r="AZ106" s="72">
        <f t="shared" si="47"/>
        <v>1180</v>
      </c>
      <c r="BA106" s="72">
        <f t="shared" si="47"/>
        <v>1180</v>
      </c>
      <c r="BB106" s="72">
        <f t="shared" si="47"/>
        <v>1770</v>
      </c>
      <c r="BC106" s="72">
        <f t="shared" si="47"/>
        <v>2950</v>
      </c>
      <c r="BD106" s="72">
        <f t="shared" si="47"/>
        <v>1180</v>
      </c>
      <c r="BE106" s="72">
        <f t="shared" si="47"/>
        <v>1180</v>
      </c>
      <c r="BF106" s="72">
        <f t="shared" si="47"/>
        <v>1180</v>
      </c>
      <c r="BG106" s="72">
        <f t="shared" si="47"/>
        <v>1180</v>
      </c>
      <c r="BH106" s="72">
        <f t="shared" si="47"/>
        <v>1180</v>
      </c>
      <c r="BI106" s="72">
        <f t="shared" si="47"/>
        <v>2950</v>
      </c>
      <c r="BJ106" s="72">
        <f t="shared" si="47"/>
        <v>1180</v>
      </c>
      <c r="BK106" s="72">
        <f t="shared" si="47"/>
        <v>1180</v>
      </c>
      <c r="BL106" s="72">
        <f t="shared" si="47"/>
        <v>1180</v>
      </c>
      <c r="BM106" s="72">
        <f t="shared" si="47"/>
        <v>1180</v>
      </c>
      <c r="BN106" s="72">
        <f t="shared" si="47"/>
        <v>1770</v>
      </c>
    </row>
    <row r="107" spans="2:66">
      <c r="B107" t="s">
        <v>66</v>
      </c>
      <c r="G107" s="72">
        <f>CaseData!$C$41</f>
        <v>2500</v>
      </c>
      <c r="H107" s="72">
        <f>CaseData!$C$41</f>
        <v>2500</v>
      </c>
      <c r="I107" s="72">
        <f>CaseData!$C$41</f>
        <v>2500</v>
      </c>
      <c r="J107" s="72">
        <f>CaseData!$C$41</f>
        <v>2500</v>
      </c>
      <c r="K107" s="72">
        <f>CaseData!$C$41</f>
        <v>2500</v>
      </c>
      <c r="L107" s="72">
        <f>CaseData!$C$41</f>
        <v>2500</v>
      </c>
      <c r="M107" s="72">
        <f>CaseData!$C$41</f>
        <v>2500</v>
      </c>
      <c r="N107" s="72">
        <f>CaseData!$C$41</f>
        <v>2500</v>
      </c>
      <c r="O107" s="72">
        <f>CaseData!$C$41</f>
        <v>2500</v>
      </c>
      <c r="P107" s="72">
        <f>CaseData!$C$41</f>
        <v>2500</v>
      </c>
      <c r="Q107" s="72">
        <f>CaseData!$C$41</f>
        <v>2500</v>
      </c>
      <c r="R107" s="72">
        <f>CaseData!$C$41</f>
        <v>2500</v>
      </c>
      <c r="S107" s="72">
        <f>CaseData!$C$41</f>
        <v>2500</v>
      </c>
      <c r="T107" s="72">
        <f>CaseData!$C$41</f>
        <v>2500</v>
      </c>
      <c r="U107" s="72">
        <f>CaseData!$C$41</f>
        <v>2500</v>
      </c>
      <c r="V107" s="72">
        <f>CaseData!$C$41</f>
        <v>2500</v>
      </c>
      <c r="W107" s="72">
        <f>CaseData!$C$41</f>
        <v>2500</v>
      </c>
      <c r="X107" s="72">
        <f>CaseData!$C$41</f>
        <v>2500</v>
      </c>
      <c r="Y107" s="72">
        <f>CaseData!$C$41</f>
        <v>2500</v>
      </c>
      <c r="Z107" s="72">
        <f>CaseData!$C$41</f>
        <v>2500</v>
      </c>
      <c r="AA107" s="72">
        <f>CaseData!$C$41</f>
        <v>2500</v>
      </c>
      <c r="AB107" s="72">
        <f>CaseData!$C$41</f>
        <v>2500</v>
      </c>
      <c r="AC107" s="72">
        <f>CaseData!$C$41</f>
        <v>2500</v>
      </c>
      <c r="AD107" s="72">
        <f>CaseData!$C$41</f>
        <v>2500</v>
      </c>
      <c r="AE107" s="72">
        <f>CaseData!$C$41</f>
        <v>2500</v>
      </c>
      <c r="AF107" s="72">
        <f>CaseData!$C$41</f>
        <v>2500</v>
      </c>
      <c r="AG107" s="72">
        <f>CaseData!$C$41</f>
        <v>2500</v>
      </c>
      <c r="AH107" s="72">
        <f>CaseData!$C$41</f>
        <v>2500</v>
      </c>
      <c r="AI107" s="72">
        <f>CaseData!$C$41</f>
        <v>2500</v>
      </c>
      <c r="AJ107" s="72">
        <f>CaseData!$C$41</f>
        <v>2500</v>
      </c>
      <c r="AK107" s="72">
        <f>CaseData!$C$41</f>
        <v>2500</v>
      </c>
      <c r="AL107" s="72">
        <f>CaseData!$C$41</f>
        <v>2500</v>
      </c>
      <c r="AM107" s="72">
        <f>CaseData!$C$41</f>
        <v>2500</v>
      </c>
      <c r="AN107" s="72">
        <f>CaseData!$C$41</f>
        <v>2500</v>
      </c>
      <c r="AO107" s="72">
        <f>CaseData!$C$41</f>
        <v>2500</v>
      </c>
      <c r="AP107" s="72">
        <f>CaseData!$C$41</f>
        <v>2500</v>
      </c>
      <c r="AQ107" s="72">
        <f>CaseData!$C$41</f>
        <v>2500</v>
      </c>
      <c r="AR107" s="72">
        <f>CaseData!$C$41</f>
        <v>2500</v>
      </c>
      <c r="AS107" s="72">
        <f>CaseData!$C$41</f>
        <v>2500</v>
      </c>
      <c r="AT107" s="72">
        <f>CaseData!$C$41</f>
        <v>2500</v>
      </c>
      <c r="AU107" s="72">
        <f>CaseData!$C$41</f>
        <v>2500</v>
      </c>
      <c r="AV107" s="72">
        <f>CaseData!$C$41</f>
        <v>2500</v>
      </c>
      <c r="AW107" s="72">
        <f>CaseData!$C$41</f>
        <v>2500</v>
      </c>
      <c r="AX107" s="72">
        <f>CaseData!$C$41</f>
        <v>2500</v>
      </c>
      <c r="AY107" s="72">
        <f>CaseData!$C$41</f>
        <v>2500</v>
      </c>
      <c r="AZ107" s="72">
        <f>CaseData!$C$41</f>
        <v>2500</v>
      </c>
      <c r="BA107" s="72">
        <f>CaseData!$C$41</f>
        <v>2500</v>
      </c>
      <c r="BB107" s="72">
        <f>CaseData!$C$41</f>
        <v>2500</v>
      </c>
      <c r="BC107" s="72">
        <f>CaseData!$C$41</f>
        <v>2500</v>
      </c>
      <c r="BD107" s="72">
        <f>CaseData!$C$41</f>
        <v>2500</v>
      </c>
      <c r="BE107" s="72">
        <f>CaseData!$C$41</f>
        <v>2500</v>
      </c>
      <c r="BF107" s="72">
        <f>CaseData!$C$41</f>
        <v>2500</v>
      </c>
      <c r="BG107" s="72">
        <f>CaseData!$C$41</f>
        <v>2500</v>
      </c>
      <c r="BH107" s="72">
        <f>CaseData!$C$41</f>
        <v>2500</v>
      </c>
      <c r="BI107" s="72">
        <f>CaseData!$C$41</f>
        <v>2500</v>
      </c>
      <c r="BJ107" s="72">
        <f>CaseData!$C$41</f>
        <v>2500</v>
      </c>
      <c r="BK107" s="72">
        <f>CaseData!$C$41</f>
        <v>2500</v>
      </c>
      <c r="BL107" s="72">
        <f>CaseData!$C$41</f>
        <v>2500</v>
      </c>
      <c r="BM107" s="72">
        <f>CaseData!$C$41</f>
        <v>2500</v>
      </c>
      <c r="BN107" s="72">
        <f>CaseData!$C$41</f>
        <v>2500</v>
      </c>
    </row>
    <row r="108" spans="2:66">
      <c r="B108" t="s">
        <v>67</v>
      </c>
      <c r="G108" s="74">
        <f>MIN(G107/G106,1)</f>
        <v>1</v>
      </c>
      <c r="H108" s="74">
        <f t="shared" ref="H108:BN108" si="48">MIN(H107/H106,1)</f>
        <v>1</v>
      </c>
      <c r="I108" s="74">
        <f t="shared" si="48"/>
        <v>1</v>
      </c>
      <c r="J108" s="74">
        <f t="shared" si="48"/>
        <v>1</v>
      </c>
      <c r="K108" s="74">
        <f t="shared" si="48"/>
        <v>1</v>
      </c>
      <c r="L108" s="74">
        <f t="shared" si="48"/>
        <v>1</v>
      </c>
      <c r="M108" s="74">
        <f t="shared" si="48"/>
        <v>1</v>
      </c>
      <c r="N108" s="74">
        <f t="shared" si="48"/>
        <v>1</v>
      </c>
      <c r="O108" s="74">
        <f t="shared" si="48"/>
        <v>1</v>
      </c>
      <c r="P108" s="74">
        <f t="shared" si="48"/>
        <v>1</v>
      </c>
      <c r="Q108" s="74">
        <f t="shared" si="48"/>
        <v>1</v>
      </c>
      <c r="R108" s="74">
        <f t="shared" si="48"/>
        <v>1</v>
      </c>
      <c r="S108" s="74">
        <f t="shared" si="48"/>
        <v>1</v>
      </c>
      <c r="T108" s="74">
        <f t="shared" si="48"/>
        <v>1</v>
      </c>
      <c r="U108" s="74">
        <f t="shared" si="48"/>
        <v>1</v>
      </c>
      <c r="V108" s="74">
        <f t="shared" si="48"/>
        <v>1</v>
      </c>
      <c r="W108" s="74">
        <f t="shared" si="48"/>
        <v>1</v>
      </c>
      <c r="X108" s="74">
        <f t="shared" si="48"/>
        <v>1</v>
      </c>
      <c r="Y108" s="74">
        <f t="shared" si="48"/>
        <v>0.99173553719008256</v>
      </c>
      <c r="Z108" s="74">
        <f t="shared" si="48"/>
        <v>1</v>
      </c>
      <c r="AA108" s="74">
        <f t="shared" si="48"/>
        <v>1</v>
      </c>
      <c r="AB108" s="74">
        <f t="shared" si="48"/>
        <v>1</v>
      </c>
      <c r="AC108" s="74">
        <f t="shared" si="48"/>
        <v>1</v>
      </c>
      <c r="AD108" s="74">
        <f t="shared" si="48"/>
        <v>1</v>
      </c>
      <c r="AE108" s="74">
        <f t="shared" si="48"/>
        <v>0.88170462894930202</v>
      </c>
      <c r="AF108" s="74">
        <f t="shared" si="48"/>
        <v>1</v>
      </c>
      <c r="AG108" s="74">
        <f t="shared" si="48"/>
        <v>1</v>
      </c>
      <c r="AH108" s="74">
        <f t="shared" si="48"/>
        <v>1</v>
      </c>
      <c r="AI108" s="74">
        <f t="shared" si="48"/>
        <v>1</v>
      </c>
      <c r="AJ108" s="74">
        <f t="shared" si="48"/>
        <v>1</v>
      </c>
      <c r="AK108" s="74">
        <f t="shared" si="48"/>
        <v>0.8534850640113798</v>
      </c>
      <c r="AL108" s="74">
        <f t="shared" si="48"/>
        <v>1</v>
      </c>
      <c r="AM108" s="74">
        <f t="shared" si="48"/>
        <v>1</v>
      </c>
      <c r="AN108" s="74">
        <f t="shared" si="48"/>
        <v>1</v>
      </c>
      <c r="AO108" s="74">
        <f t="shared" si="48"/>
        <v>1</v>
      </c>
      <c r="AP108" s="74">
        <f t="shared" si="48"/>
        <v>1</v>
      </c>
      <c r="AQ108" s="74">
        <f t="shared" si="48"/>
        <v>0.84745762711864403</v>
      </c>
      <c r="AR108" s="74">
        <f t="shared" si="48"/>
        <v>1</v>
      </c>
      <c r="AS108" s="74">
        <f t="shared" si="48"/>
        <v>1</v>
      </c>
      <c r="AT108" s="74">
        <f t="shared" si="48"/>
        <v>1</v>
      </c>
      <c r="AU108" s="74">
        <f t="shared" si="48"/>
        <v>1</v>
      </c>
      <c r="AV108" s="74">
        <f t="shared" si="48"/>
        <v>1</v>
      </c>
      <c r="AW108" s="74">
        <f t="shared" si="48"/>
        <v>0.84745762711864403</v>
      </c>
      <c r="AX108" s="74">
        <f t="shared" si="48"/>
        <v>1</v>
      </c>
      <c r="AY108" s="74">
        <f t="shared" si="48"/>
        <v>1</v>
      </c>
      <c r="AZ108" s="74">
        <f t="shared" si="48"/>
        <v>1</v>
      </c>
      <c r="BA108" s="74">
        <f t="shared" si="48"/>
        <v>1</v>
      </c>
      <c r="BB108" s="74">
        <f t="shared" si="48"/>
        <v>1</v>
      </c>
      <c r="BC108" s="74">
        <f t="shared" si="48"/>
        <v>0.84745762711864403</v>
      </c>
      <c r="BD108" s="74">
        <f t="shared" si="48"/>
        <v>1</v>
      </c>
      <c r="BE108" s="74">
        <f t="shared" si="48"/>
        <v>1</v>
      </c>
      <c r="BF108" s="74">
        <f t="shared" si="48"/>
        <v>1</v>
      </c>
      <c r="BG108" s="74">
        <f t="shared" si="48"/>
        <v>1</v>
      </c>
      <c r="BH108" s="74">
        <f t="shared" si="48"/>
        <v>1</v>
      </c>
      <c r="BI108" s="74">
        <f t="shared" si="48"/>
        <v>0.84745762711864403</v>
      </c>
      <c r="BJ108" s="74">
        <f t="shared" si="48"/>
        <v>1</v>
      </c>
      <c r="BK108" s="74">
        <f t="shared" si="48"/>
        <v>1</v>
      </c>
      <c r="BL108" s="74">
        <f t="shared" si="48"/>
        <v>1</v>
      </c>
      <c r="BM108" s="74">
        <f t="shared" si="48"/>
        <v>1</v>
      </c>
      <c r="BN108" s="74">
        <f t="shared" si="48"/>
        <v>1</v>
      </c>
    </row>
    <row r="110" spans="2:66">
      <c r="B110" s="3" t="s">
        <v>68</v>
      </c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  <c r="BM110" s="75"/>
      <c r="BN110" s="75"/>
    </row>
    <row r="111" spans="2:66">
      <c r="B111" s="3" t="s">
        <v>6</v>
      </c>
      <c r="C111" s="3" t="s">
        <v>61</v>
      </c>
      <c r="G111" s="70">
        <f>SUM(G112:G135)</f>
        <v>4625</v>
      </c>
      <c r="H111" s="70">
        <f t="shared" ref="H111:BN111" si="49">SUM(H112:H135)</f>
        <v>1850</v>
      </c>
      <c r="I111" s="70">
        <f t="shared" si="49"/>
        <v>2020</v>
      </c>
      <c r="J111" s="70">
        <f t="shared" si="49"/>
        <v>2034.1666666666667</v>
      </c>
      <c r="K111" s="70">
        <f t="shared" si="49"/>
        <v>2048.3333333333335</v>
      </c>
      <c r="L111" s="70">
        <f t="shared" si="49"/>
        <v>2062.5</v>
      </c>
      <c r="M111" s="70">
        <f t="shared" si="49"/>
        <v>5191.666666666667</v>
      </c>
      <c r="N111" s="70">
        <f t="shared" si="49"/>
        <v>2090.8333333333335</v>
      </c>
      <c r="O111" s="70">
        <f t="shared" si="49"/>
        <v>2410</v>
      </c>
      <c r="P111" s="70">
        <f t="shared" si="49"/>
        <v>2449.5833333333335</v>
      </c>
      <c r="Q111" s="70">
        <f t="shared" si="49"/>
        <v>2489.1666666666665</v>
      </c>
      <c r="R111" s="70">
        <f t="shared" si="49"/>
        <v>3793.125</v>
      </c>
      <c r="S111" s="70">
        <f t="shared" si="49"/>
        <v>6420.833333333333</v>
      </c>
      <c r="T111" s="70">
        <f t="shared" si="49"/>
        <v>2607.9166666666665</v>
      </c>
      <c r="U111" s="70">
        <f t="shared" si="49"/>
        <v>2947.5</v>
      </c>
      <c r="V111" s="70">
        <f t="shared" si="49"/>
        <v>2997.916666666667</v>
      </c>
      <c r="W111" s="70">
        <f t="shared" si="49"/>
        <v>3048.333333333333</v>
      </c>
      <c r="X111" s="70">
        <f t="shared" si="49"/>
        <v>3098.75</v>
      </c>
      <c r="Y111" s="70">
        <f t="shared" si="49"/>
        <v>7852.0833333333321</v>
      </c>
      <c r="Z111" s="70">
        <f t="shared" si="49"/>
        <v>3199.583333333333</v>
      </c>
      <c r="AA111" s="70">
        <f t="shared" si="49"/>
        <v>3420</v>
      </c>
      <c r="AB111" s="70">
        <f t="shared" si="49"/>
        <v>3459.1666666666665</v>
      </c>
      <c r="AC111" s="70">
        <f t="shared" si="49"/>
        <v>3498.3333333333335</v>
      </c>
      <c r="AD111" s="70">
        <f t="shared" si="49"/>
        <v>5306.25</v>
      </c>
      <c r="AE111" s="70">
        <f t="shared" si="49"/>
        <v>8606.25</v>
      </c>
      <c r="AF111" s="70">
        <f t="shared" si="49"/>
        <v>3615.8333333333335</v>
      </c>
      <c r="AG111" s="70">
        <f t="shared" si="49"/>
        <v>3655</v>
      </c>
      <c r="AH111" s="70">
        <f t="shared" si="49"/>
        <v>3669.1666666666665</v>
      </c>
      <c r="AI111" s="70">
        <f t="shared" si="49"/>
        <v>3683.3333333333335</v>
      </c>
      <c r="AJ111" s="70">
        <f t="shared" si="49"/>
        <v>3697.5</v>
      </c>
      <c r="AK111" s="70">
        <f t="shared" si="49"/>
        <v>8850</v>
      </c>
      <c r="AL111" s="70">
        <f t="shared" si="49"/>
        <v>3725.8333333333335</v>
      </c>
      <c r="AM111" s="70">
        <f t="shared" si="49"/>
        <v>3740</v>
      </c>
      <c r="AN111" s="70">
        <f t="shared" si="49"/>
        <v>3740</v>
      </c>
      <c r="AO111" s="70">
        <f t="shared" si="49"/>
        <v>3740</v>
      </c>
      <c r="AP111" s="70">
        <f t="shared" si="49"/>
        <v>5610</v>
      </c>
      <c r="AQ111" s="70">
        <f t="shared" si="49"/>
        <v>8900.0000000000018</v>
      </c>
      <c r="AR111" s="70">
        <f t="shared" si="49"/>
        <v>3740</v>
      </c>
      <c r="AS111" s="70">
        <f t="shared" si="49"/>
        <v>3740</v>
      </c>
      <c r="AT111" s="70">
        <f t="shared" si="49"/>
        <v>3740</v>
      </c>
      <c r="AU111" s="70">
        <f t="shared" si="49"/>
        <v>3740</v>
      </c>
      <c r="AV111" s="70">
        <f t="shared" si="49"/>
        <v>3740</v>
      </c>
      <c r="AW111" s="70">
        <f t="shared" si="49"/>
        <v>8900.0000000000018</v>
      </c>
      <c r="AX111" s="70">
        <f t="shared" si="49"/>
        <v>3740</v>
      </c>
      <c r="AY111" s="70">
        <f t="shared" si="49"/>
        <v>3740</v>
      </c>
      <c r="AZ111" s="70">
        <f t="shared" si="49"/>
        <v>3740</v>
      </c>
      <c r="BA111" s="70">
        <f t="shared" si="49"/>
        <v>3740</v>
      </c>
      <c r="BB111" s="70">
        <f t="shared" si="49"/>
        <v>5610</v>
      </c>
      <c r="BC111" s="70">
        <f t="shared" si="49"/>
        <v>8900.0000000000018</v>
      </c>
      <c r="BD111" s="70">
        <f t="shared" si="49"/>
        <v>3740</v>
      </c>
      <c r="BE111" s="70">
        <f t="shared" si="49"/>
        <v>3740</v>
      </c>
      <c r="BF111" s="70">
        <f t="shared" si="49"/>
        <v>3740</v>
      </c>
      <c r="BG111" s="70">
        <f t="shared" si="49"/>
        <v>3740</v>
      </c>
      <c r="BH111" s="70">
        <f t="shared" si="49"/>
        <v>3740</v>
      </c>
      <c r="BI111" s="70">
        <f t="shared" si="49"/>
        <v>8900.0000000000018</v>
      </c>
      <c r="BJ111" s="70">
        <f t="shared" si="49"/>
        <v>3740</v>
      </c>
      <c r="BK111" s="70">
        <f t="shared" si="49"/>
        <v>3740</v>
      </c>
      <c r="BL111" s="70">
        <f t="shared" si="49"/>
        <v>3740</v>
      </c>
      <c r="BM111" s="70">
        <f t="shared" si="49"/>
        <v>3740</v>
      </c>
      <c r="BN111" s="70">
        <f t="shared" si="49"/>
        <v>5610</v>
      </c>
    </row>
    <row r="112" spans="2:66">
      <c r="B112" s="37" t="str">
        <f>CaseData!$B$28</f>
        <v>Paris</v>
      </c>
      <c r="C112" t="str">
        <f>CaseData!$C$27</f>
        <v>Women's</v>
      </c>
      <c r="G112" s="72">
        <f>G80*IF($C112=$C$105,G$108,1)</f>
        <v>450</v>
      </c>
      <c r="H112" s="72">
        <f t="shared" ref="H112:BN112" si="50">H80*IF($C112=$C$105,H$108,1)</f>
        <v>180</v>
      </c>
      <c r="I112" s="72">
        <f t="shared" si="50"/>
        <v>180</v>
      </c>
      <c r="J112" s="72">
        <f t="shared" si="50"/>
        <v>180</v>
      </c>
      <c r="K112" s="72">
        <f t="shared" si="50"/>
        <v>180</v>
      </c>
      <c r="L112" s="72">
        <f t="shared" si="50"/>
        <v>180</v>
      </c>
      <c r="M112" s="72">
        <f t="shared" si="50"/>
        <v>450</v>
      </c>
      <c r="N112" s="72">
        <f t="shared" si="50"/>
        <v>180</v>
      </c>
      <c r="O112" s="72">
        <f t="shared" si="50"/>
        <v>180</v>
      </c>
      <c r="P112" s="72">
        <f t="shared" si="50"/>
        <v>180</v>
      </c>
      <c r="Q112" s="72">
        <f t="shared" si="50"/>
        <v>180</v>
      </c>
      <c r="R112" s="72">
        <f t="shared" si="50"/>
        <v>270</v>
      </c>
      <c r="S112" s="72">
        <f t="shared" si="50"/>
        <v>450</v>
      </c>
      <c r="T112" s="72">
        <f t="shared" si="50"/>
        <v>180</v>
      </c>
      <c r="U112" s="72">
        <f t="shared" si="50"/>
        <v>180</v>
      </c>
      <c r="V112" s="72">
        <f t="shared" si="50"/>
        <v>180</v>
      </c>
      <c r="W112" s="72">
        <f t="shared" si="50"/>
        <v>180</v>
      </c>
      <c r="X112" s="72">
        <f t="shared" si="50"/>
        <v>180</v>
      </c>
      <c r="Y112" s="72">
        <f t="shared" si="50"/>
        <v>450</v>
      </c>
      <c r="Z112" s="72">
        <f t="shared" si="50"/>
        <v>180</v>
      </c>
      <c r="AA112" s="72">
        <f t="shared" si="50"/>
        <v>180</v>
      </c>
      <c r="AB112" s="72">
        <f t="shared" si="50"/>
        <v>180</v>
      </c>
      <c r="AC112" s="72">
        <f t="shared" si="50"/>
        <v>180</v>
      </c>
      <c r="AD112" s="72">
        <f t="shared" si="50"/>
        <v>270</v>
      </c>
      <c r="AE112" s="72">
        <f t="shared" si="50"/>
        <v>450</v>
      </c>
      <c r="AF112" s="72">
        <f t="shared" si="50"/>
        <v>180</v>
      </c>
      <c r="AG112" s="72">
        <f t="shared" si="50"/>
        <v>180</v>
      </c>
      <c r="AH112" s="72">
        <f t="shared" si="50"/>
        <v>180</v>
      </c>
      <c r="AI112" s="72">
        <f t="shared" si="50"/>
        <v>180</v>
      </c>
      <c r="AJ112" s="72">
        <f t="shared" si="50"/>
        <v>180</v>
      </c>
      <c r="AK112" s="72">
        <f t="shared" si="50"/>
        <v>450</v>
      </c>
      <c r="AL112" s="72">
        <f t="shared" si="50"/>
        <v>180</v>
      </c>
      <c r="AM112" s="72">
        <f t="shared" si="50"/>
        <v>180</v>
      </c>
      <c r="AN112" s="72">
        <f t="shared" si="50"/>
        <v>180</v>
      </c>
      <c r="AO112" s="72">
        <f t="shared" si="50"/>
        <v>180</v>
      </c>
      <c r="AP112" s="72">
        <f t="shared" si="50"/>
        <v>270</v>
      </c>
      <c r="AQ112" s="72">
        <f t="shared" si="50"/>
        <v>450</v>
      </c>
      <c r="AR112" s="72">
        <f t="shared" si="50"/>
        <v>180</v>
      </c>
      <c r="AS112" s="72">
        <f t="shared" si="50"/>
        <v>180</v>
      </c>
      <c r="AT112" s="72">
        <f t="shared" si="50"/>
        <v>180</v>
      </c>
      <c r="AU112" s="72">
        <f t="shared" si="50"/>
        <v>180</v>
      </c>
      <c r="AV112" s="72">
        <f t="shared" si="50"/>
        <v>180</v>
      </c>
      <c r="AW112" s="72">
        <f t="shared" si="50"/>
        <v>450</v>
      </c>
      <c r="AX112" s="72">
        <f t="shared" si="50"/>
        <v>180</v>
      </c>
      <c r="AY112" s="72">
        <f t="shared" si="50"/>
        <v>180</v>
      </c>
      <c r="AZ112" s="72">
        <f t="shared" si="50"/>
        <v>180</v>
      </c>
      <c r="BA112" s="72">
        <f t="shared" si="50"/>
        <v>180</v>
      </c>
      <c r="BB112" s="72">
        <f t="shared" si="50"/>
        <v>270</v>
      </c>
      <c r="BC112" s="72">
        <f t="shared" si="50"/>
        <v>450</v>
      </c>
      <c r="BD112" s="72">
        <f t="shared" si="50"/>
        <v>180</v>
      </c>
      <c r="BE112" s="72">
        <f t="shared" si="50"/>
        <v>180</v>
      </c>
      <c r="BF112" s="72">
        <f t="shared" si="50"/>
        <v>180</v>
      </c>
      <c r="BG112" s="72">
        <f t="shared" si="50"/>
        <v>180</v>
      </c>
      <c r="BH112" s="72">
        <f t="shared" si="50"/>
        <v>180</v>
      </c>
      <c r="BI112" s="72">
        <f t="shared" si="50"/>
        <v>450</v>
      </c>
      <c r="BJ112" s="72">
        <f t="shared" si="50"/>
        <v>180</v>
      </c>
      <c r="BK112" s="72">
        <f t="shared" si="50"/>
        <v>180</v>
      </c>
      <c r="BL112" s="72">
        <f t="shared" si="50"/>
        <v>180</v>
      </c>
      <c r="BM112" s="72">
        <f t="shared" si="50"/>
        <v>180</v>
      </c>
      <c r="BN112" s="72">
        <f t="shared" si="50"/>
        <v>270</v>
      </c>
    </row>
    <row r="113" spans="2:66">
      <c r="B113" s="37" t="str">
        <f>B112</f>
        <v>Paris</v>
      </c>
      <c r="C113" t="str">
        <f>CaseData!$D$27</f>
        <v>Men's</v>
      </c>
      <c r="G113" s="72">
        <f t="shared" ref="G113:BN117" si="51">G81*IF($C113=$C$105,G$108,1)</f>
        <v>425</v>
      </c>
      <c r="H113" s="72">
        <f t="shared" si="51"/>
        <v>170</v>
      </c>
      <c r="I113" s="72">
        <f t="shared" si="51"/>
        <v>170</v>
      </c>
      <c r="J113" s="72">
        <f t="shared" si="51"/>
        <v>170</v>
      </c>
      <c r="K113" s="72">
        <f t="shared" si="51"/>
        <v>170</v>
      </c>
      <c r="L113" s="72">
        <f t="shared" si="51"/>
        <v>170</v>
      </c>
      <c r="M113" s="72">
        <f t="shared" si="51"/>
        <v>425</v>
      </c>
      <c r="N113" s="72">
        <f t="shared" si="51"/>
        <v>170</v>
      </c>
      <c r="O113" s="72">
        <f t="shared" si="51"/>
        <v>170</v>
      </c>
      <c r="P113" s="72">
        <f t="shared" si="51"/>
        <v>170</v>
      </c>
      <c r="Q113" s="72">
        <f t="shared" si="51"/>
        <v>170</v>
      </c>
      <c r="R113" s="72">
        <f t="shared" si="51"/>
        <v>255</v>
      </c>
      <c r="S113" s="72">
        <f t="shared" si="51"/>
        <v>425</v>
      </c>
      <c r="T113" s="72">
        <f t="shared" si="51"/>
        <v>170</v>
      </c>
      <c r="U113" s="72">
        <f t="shared" si="51"/>
        <v>170</v>
      </c>
      <c r="V113" s="72">
        <f t="shared" si="51"/>
        <v>170</v>
      </c>
      <c r="W113" s="72">
        <f t="shared" si="51"/>
        <v>170</v>
      </c>
      <c r="X113" s="72">
        <f t="shared" si="51"/>
        <v>170</v>
      </c>
      <c r="Y113" s="72">
        <f t="shared" si="51"/>
        <v>425</v>
      </c>
      <c r="Z113" s="72">
        <f t="shared" si="51"/>
        <v>170</v>
      </c>
      <c r="AA113" s="72">
        <f t="shared" si="51"/>
        <v>170</v>
      </c>
      <c r="AB113" s="72">
        <f t="shared" si="51"/>
        <v>170</v>
      </c>
      <c r="AC113" s="72">
        <f t="shared" si="51"/>
        <v>170</v>
      </c>
      <c r="AD113" s="72">
        <f t="shared" si="51"/>
        <v>255</v>
      </c>
      <c r="AE113" s="72">
        <f t="shared" si="51"/>
        <v>425</v>
      </c>
      <c r="AF113" s="72">
        <f t="shared" si="51"/>
        <v>170</v>
      </c>
      <c r="AG113" s="72">
        <f t="shared" si="51"/>
        <v>170</v>
      </c>
      <c r="AH113" s="72">
        <f t="shared" si="51"/>
        <v>170</v>
      </c>
      <c r="AI113" s="72">
        <f t="shared" si="51"/>
        <v>170</v>
      </c>
      <c r="AJ113" s="72">
        <f t="shared" si="51"/>
        <v>170</v>
      </c>
      <c r="AK113" s="72">
        <f t="shared" si="51"/>
        <v>425</v>
      </c>
      <c r="AL113" s="72">
        <f t="shared" si="51"/>
        <v>170</v>
      </c>
      <c r="AM113" s="72">
        <f t="shared" si="51"/>
        <v>170</v>
      </c>
      <c r="AN113" s="72">
        <f t="shared" si="51"/>
        <v>170</v>
      </c>
      <c r="AO113" s="72">
        <f t="shared" si="51"/>
        <v>170</v>
      </c>
      <c r="AP113" s="72">
        <f t="shared" si="51"/>
        <v>255</v>
      </c>
      <c r="AQ113" s="72">
        <f t="shared" si="51"/>
        <v>425</v>
      </c>
      <c r="AR113" s="72">
        <f t="shared" si="51"/>
        <v>170</v>
      </c>
      <c r="AS113" s="72">
        <f t="shared" si="51"/>
        <v>170</v>
      </c>
      <c r="AT113" s="72">
        <f t="shared" si="51"/>
        <v>170</v>
      </c>
      <c r="AU113" s="72">
        <f t="shared" si="51"/>
        <v>170</v>
      </c>
      <c r="AV113" s="72">
        <f t="shared" si="51"/>
        <v>170</v>
      </c>
      <c r="AW113" s="72">
        <f t="shared" si="51"/>
        <v>425</v>
      </c>
      <c r="AX113" s="72">
        <f t="shared" si="51"/>
        <v>170</v>
      </c>
      <c r="AY113" s="72">
        <f t="shared" si="51"/>
        <v>170</v>
      </c>
      <c r="AZ113" s="72">
        <f t="shared" si="51"/>
        <v>170</v>
      </c>
      <c r="BA113" s="72">
        <f t="shared" si="51"/>
        <v>170</v>
      </c>
      <c r="BB113" s="72">
        <f t="shared" si="51"/>
        <v>255</v>
      </c>
      <c r="BC113" s="72">
        <f t="shared" si="51"/>
        <v>425</v>
      </c>
      <c r="BD113" s="72">
        <f t="shared" si="51"/>
        <v>170</v>
      </c>
      <c r="BE113" s="72">
        <f t="shared" si="51"/>
        <v>170</v>
      </c>
      <c r="BF113" s="72">
        <f t="shared" si="51"/>
        <v>170</v>
      </c>
      <c r="BG113" s="72">
        <f t="shared" si="51"/>
        <v>170</v>
      </c>
      <c r="BH113" s="72">
        <f t="shared" si="51"/>
        <v>170</v>
      </c>
      <c r="BI113" s="72">
        <f t="shared" si="51"/>
        <v>425</v>
      </c>
      <c r="BJ113" s="72">
        <f t="shared" si="51"/>
        <v>170</v>
      </c>
      <c r="BK113" s="72">
        <f t="shared" si="51"/>
        <v>170</v>
      </c>
      <c r="BL113" s="72">
        <f t="shared" si="51"/>
        <v>170</v>
      </c>
      <c r="BM113" s="72">
        <f t="shared" si="51"/>
        <v>170</v>
      </c>
      <c r="BN113" s="72">
        <f t="shared" si="51"/>
        <v>255</v>
      </c>
    </row>
    <row r="114" spans="2:66">
      <c r="B114" s="37" t="str">
        <f>B113</f>
        <v>Paris</v>
      </c>
      <c r="C114" t="str">
        <f>CaseData!$E$27</f>
        <v>Accessories</v>
      </c>
      <c r="G114" s="72">
        <f t="shared" si="51"/>
        <v>650</v>
      </c>
      <c r="H114" s="72">
        <f t="shared" si="51"/>
        <v>260</v>
      </c>
      <c r="I114" s="72">
        <f t="shared" si="51"/>
        <v>260</v>
      </c>
      <c r="J114" s="72">
        <f t="shared" si="51"/>
        <v>260</v>
      </c>
      <c r="K114" s="72">
        <f t="shared" si="51"/>
        <v>260</v>
      </c>
      <c r="L114" s="72">
        <f t="shared" si="51"/>
        <v>260</v>
      </c>
      <c r="M114" s="72">
        <f t="shared" si="51"/>
        <v>650</v>
      </c>
      <c r="N114" s="72">
        <f t="shared" si="51"/>
        <v>260</v>
      </c>
      <c r="O114" s="72">
        <f t="shared" si="51"/>
        <v>260</v>
      </c>
      <c r="P114" s="72">
        <f t="shared" si="51"/>
        <v>260</v>
      </c>
      <c r="Q114" s="72">
        <f t="shared" si="51"/>
        <v>260</v>
      </c>
      <c r="R114" s="72">
        <f t="shared" si="51"/>
        <v>390</v>
      </c>
      <c r="S114" s="72">
        <f t="shared" si="51"/>
        <v>650</v>
      </c>
      <c r="T114" s="72">
        <f t="shared" si="51"/>
        <v>260</v>
      </c>
      <c r="U114" s="72">
        <f t="shared" si="51"/>
        <v>260</v>
      </c>
      <c r="V114" s="72">
        <f t="shared" si="51"/>
        <v>260</v>
      </c>
      <c r="W114" s="72">
        <f t="shared" si="51"/>
        <v>260</v>
      </c>
      <c r="X114" s="72">
        <f t="shared" si="51"/>
        <v>260</v>
      </c>
      <c r="Y114" s="72">
        <f t="shared" si="51"/>
        <v>644.62809917355366</v>
      </c>
      <c r="Z114" s="72">
        <f t="shared" si="51"/>
        <v>260</v>
      </c>
      <c r="AA114" s="72">
        <f t="shared" si="51"/>
        <v>260</v>
      </c>
      <c r="AB114" s="72">
        <f t="shared" si="51"/>
        <v>260</v>
      </c>
      <c r="AC114" s="72">
        <f t="shared" si="51"/>
        <v>260</v>
      </c>
      <c r="AD114" s="72">
        <f t="shared" si="51"/>
        <v>390</v>
      </c>
      <c r="AE114" s="72">
        <f t="shared" si="51"/>
        <v>573.10800881704631</v>
      </c>
      <c r="AF114" s="72">
        <f t="shared" si="51"/>
        <v>260</v>
      </c>
      <c r="AG114" s="72">
        <f t="shared" si="51"/>
        <v>260</v>
      </c>
      <c r="AH114" s="72">
        <f t="shared" si="51"/>
        <v>260</v>
      </c>
      <c r="AI114" s="72">
        <f t="shared" si="51"/>
        <v>260</v>
      </c>
      <c r="AJ114" s="72">
        <f t="shared" si="51"/>
        <v>260</v>
      </c>
      <c r="AK114" s="72">
        <f t="shared" si="51"/>
        <v>554.76529160739688</v>
      </c>
      <c r="AL114" s="72">
        <f t="shared" si="51"/>
        <v>260</v>
      </c>
      <c r="AM114" s="72">
        <f t="shared" si="51"/>
        <v>260</v>
      </c>
      <c r="AN114" s="72">
        <f t="shared" si="51"/>
        <v>260</v>
      </c>
      <c r="AO114" s="72">
        <f t="shared" si="51"/>
        <v>260</v>
      </c>
      <c r="AP114" s="72">
        <f t="shared" si="51"/>
        <v>390</v>
      </c>
      <c r="AQ114" s="72">
        <f t="shared" si="51"/>
        <v>550.84745762711862</v>
      </c>
      <c r="AR114" s="72">
        <f t="shared" si="51"/>
        <v>260</v>
      </c>
      <c r="AS114" s="72">
        <f t="shared" si="51"/>
        <v>260</v>
      </c>
      <c r="AT114" s="72">
        <f t="shared" si="51"/>
        <v>260</v>
      </c>
      <c r="AU114" s="72">
        <f t="shared" si="51"/>
        <v>260</v>
      </c>
      <c r="AV114" s="72">
        <f t="shared" si="51"/>
        <v>260</v>
      </c>
      <c r="AW114" s="72">
        <f t="shared" si="51"/>
        <v>550.84745762711862</v>
      </c>
      <c r="AX114" s="72">
        <f t="shared" si="51"/>
        <v>260</v>
      </c>
      <c r="AY114" s="72">
        <f t="shared" si="51"/>
        <v>260</v>
      </c>
      <c r="AZ114" s="72">
        <f t="shared" si="51"/>
        <v>260</v>
      </c>
      <c r="BA114" s="72">
        <f t="shared" si="51"/>
        <v>260</v>
      </c>
      <c r="BB114" s="72">
        <f t="shared" si="51"/>
        <v>390</v>
      </c>
      <c r="BC114" s="72">
        <f t="shared" si="51"/>
        <v>550.84745762711862</v>
      </c>
      <c r="BD114" s="72">
        <f t="shared" si="51"/>
        <v>260</v>
      </c>
      <c r="BE114" s="72">
        <f t="shared" si="51"/>
        <v>260</v>
      </c>
      <c r="BF114" s="72">
        <f t="shared" si="51"/>
        <v>260</v>
      </c>
      <c r="BG114" s="72">
        <f t="shared" si="51"/>
        <v>260</v>
      </c>
      <c r="BH114" s="72">
        <f t="shared" si="51"/>
        <v>260</v>
      </c>
      <c r="BI114" s="72">
        <f t="shared" si="51"/>
        <v>550.84745762711862</v>
      </c>
      <c r="BJ114" s="72">
        <f t="shared" si="51"/>
        <v>260</v>
      </c>
      <c r="BK114" s="72">
        <f t="shared" si="51"/>
        <v>260</v>
      </c>
      <c r="BL114" s="72">
        <f t="shared" si="51"/>
        <v>260</v>
      </c>
      <c r="BM114" s="72">
        <f t="shared" si="51"/>
        <v>260</v>
      </c>
      <c r="BN114" s="72">
        <f t="shared" si="51"/>
        <v>390</v>
      </c>
    </row>
    <row r="115" spans="2:66">
      <c r="B115" s="37" t="str">
        <f>CaseData!$B$29</f>
        <v>Milano</v>
      </c>
      <c r="C115" t="str">
        <f>C112</f>
        <v>Women's</v>
      </c>
      <c r="G115" s="72">
        <f t="shared" si="51"/>
        <v>700</v>
      </c>
      <c r="H115" s="72">
        <f t="shared" si="51"/>
        <v>280</v>
      </c>
      <c r="I115" s="72">
        <f t="shared" si="51"/>
        <v>280</v>
      </c>
      <c r="J115" s="72">
        <f t="shared" si="51"/>
        <v>280</v>
      </c>
      <c r="K115" s="72">
        <f t="shared" si="51"/>
        <v>280</v>
      </c>
      <c r="L115" s="72">
        <f t="shared" si="51"/>
        <v>280</v>
      </c>
      <c r="M115" s="72">
        <f t="shared" si="51"/>
        <v>700</v>
      </c>
      <c r="N115" s="72">
        <f t="shared" si="51"/>
        <v>280</v>
      </c>
      <c r="O115" s="72">
        <f t="shared" si="51"/>
        <v>280</v>
      </c>
      <c r="P115" s="72">
        <f t="shared" si="51"/>
        <v>280</v>
      </c>
      <c r="Q115" s="72">
        <f t="shared" si="51"/>
        <v>280</v>
      </c>
      <c r="R115" s="72">
        <f t="shared" si="51"/>
        <v>420</v>
      </c>
      <c r="S115" s="72">
        <f t="shared" si="51"/>
        <v>700</v>
      </c>
      <c r="T115" s="72">
        <f t="shared" si="51"/>
        <v>280</v>
      </c>
      <c r="U115" s="72">
        <f t="shared" si="51"/>
        <v>280</v>
      </c>
      <c r="V115" s="72">
        <f t="shared" si="51"/>
        <v>280</v>
      </c>
      <c r="W115" s="72">
        <f t="shared" si="51"/>
        <v>280</v>
      </c>
      <c r="X115" s="72">
        <f t="shared" si="51"/>
        <v>280</v>
      </c>
      <c r="Y115" s="72">
        <f t="shared" si="51"/>
        <v>700</v>
      </c>
      <c r="Z115" s="72">
        <f t="shared" si="51"/>
        <v>280</v>
      </c>
      <c r="AA115" s="72">
        <f t="shared" si="51"/>
        <v>280</v>
      </c>
      <c r="AB115" s="72">
        <f t="shared" si="51"/>
        <v>280</v>
      </c>
      <c r="AC115" s="72">
        <f t="shared" si="51"/>
        <v>280</v>
      </c>
      <c r="AD115" s="72">
        <f t="shared" si="51"/>
        <v>420</v>
      </c>
      <c r="AE115" s="72">
        <f t="shared" si="51"/>
        <v>700</v>
      </c>
      <c r="AF115" s="72">
        <f t="shared" si="51"/>
        <v>280</v>
      </c>
      <c r="AG115" s="72">
        <f t="shared" si="51"/>
        <v>280</v>
      </c>
      <c r="AH115" s="72">
        <f t="shared" si="51"/>
        <v>280</v>
      </c>
      <c r="AI115" s="72">
        <f t="shared" si="51"/>
        <v>280</v>
      </c>
      <c r="AJ115" s="72">
        <f t="shared" si="51"/>
        <v>280</v>
      </c>
      <c r="AK115" s="72">
        <f t="shared" si="51"/>
        <v>700</v>
      </c>
      <c r="AL115" s="72">
        <f t="shared" si="51"/>
        <v>280</v>
      </c>
      <c r="AM115" s="72">
        <f t="shared" si="51"/>
        <v>280</v>
      </c>
      <c r="AN115" s="72">
        <f t="shared" si="51"/>
        <v>280</v>
      </c>
      <c r="AO115" s="72">
        <f t="shared" si="51"/>
        <v>280</v>
      </c>
      <c r="AP115" s="72">
        <f t="shared" si="51"/>
        <v>420</v>
      </c>
      <c r="AQ115" s="72">
        <f t="shared" si="51"/>
        <v>700</v>
      </c>
      <c r="AR115" s="72">
        <f t="shared" si="51"/>
        <v>280</v>
      </c>
      <c r="AS115" s="72">
        <f t="shared" si="51"/>
        <v>280</v>
      </c>
      <c r="AT115" s="72">
        <f t="shared" si="51"/>
        <v>280</v>
      </c>
      <c r="AU115" s="72">
        <f t="shared" si="51"/>
        <v>280</v>
      </c>
      <c r="AV115" s="72">
        <f t="shared" si="51"/>
        <v>280</v>
      </c>
      <c r="AW115" s="72">
        <f t="shared" si="51"/>
        <v>700</v>
      </c>
      <c r="AX115" s="72">
        <f t="shared" si="51"/>
        <v>280</v>
      </c>
      <c r="AY115" s="72">
        <f t="shared" si="51"/>
        <v>280</v>
      </c>
      <c r="AZ115" s="72">
        <f t="shared" si="51"/>
        <v>280</v>
      </c>
      <c r="BA115" s="72">
        <f t="shared" si="51"/>
        <v>280</v>
      </c>
      <c r="BB115" s="72">
        <f t="shared" si="51"/>
        <v>420</v>
      </c>
      <c r="BC115" s="72">
        <f t="shared" si="51"/>
        <v>700</v>
      </c>
      <c r="BD115" s="72">
        <f t="shared" si="51"/>
        <v>280</v>
      </c>
      <c r="BE115" s="72">
        <f t="shared" si="51"/>
        <v>280</v>
      </c>
      <c r="BF115" s="72">
        <f t="shared" si="51"/>
        <v>280</v>
      </c>
      <c r="BG115" s="72">
        <f t="shared" si="51"/>
        <v>280</v>
      </c>
      <c r="BH115" s="72">
        <f t="shared" si="51"/>
        <v>280</v>
      </c>
      <c r="BI115" s="72">
        <f t="shared" si="51"/>
        <v>700</v>
      </c>
      <c r="BJ115" s="72">
        <f t="shared" si="51"/>
        <v>280</v>
      </c>
      <c r="BK115" s="72">
        <f t="shared" si="51"/>
        <v>280</v>
      </c>
      <c r="BL115" s="72">
        <f t="shared" si="51"/>
        <v>280</v>
      </c>
      <c r="BM115" s="72">
        <f t="shared" si="51"/>
        <v>280</v>
      </c>
      <c r="BN115" s="72">
        <f t="shared" si="51"/>
        <v>420</v>
      </c>
    </row>
    <row r="116" spans="2:66">
      <c r="B116" s="37" t="str">
        <f>B115</f>
        <v>Milano</v>
      </c>
      <c r="C116" t="str">
        <f t="shared" ref="C116:C135" si="52">C113</f>
        <v>Men's</v>
      </c>
      <c r="G116" s="72">
        <f t="shared" si="51"/>
        <v>425</v>
      </c>
      <c r="H116" s="72">
        <f t="shared" si="51"/>
        <v>170</v>
      </c>
      <c r="I116" s="72">
        <f t="shared" si="51"/>
        <v>170</v>
      </c>
      <c r="J116" s="72">
        <f t="shared" si="51"/>
        <v>170</v>
      </c>
      <c r="K116" s="72">
        <f t="shared" si="51"/>
        <v>170</v>
      </c>
      <c r="L116" s="72">
        <f t="shared" si="51"/>
        <v>170</v>
      </c>
      <c r="M116" s="72">
        <f t="shared" si="51"/>
        <v>425</v>
      </c>
      <c r="N116" s="72">
        <f t="shared" si="51"/>
        <v>170</v>
      </c>
      <c r="O116" s="72">
        <f t="shared" si="51"/>
        <v>170</v>
      </c>
      <c r="P116" s="72">
        <f t="shared" si="51"/>
        <v>170</v>
      </c>
      <c r="Q116" s="72">
        <f t="shared" si="51"/>
        <v>170</v>
      </c>
      <c r="R116" s="72">
        <f t="shared" si="51"/>
        <v>255</v>
      </c>
      <c r="S116" s="72">
        <f t="shared" si="51"/>
        <v>425</v>
      </c>
      <c r="T116" s="72">
        <f t="shared" si="51"/>
        <v>170</v>
      </c>
      <c r="U116" s="72">
        <f t="shared" si="51"/>
        <v>170</v>
      </c>
      <c r="V116" s="72">
        <f t="shared" si="51"/>
        <v>170</v>
      </c>
      <c r="W116" s="72">
        <f t="shared" si="51"/>
        <v>170</v>
      </c>
      <c r="X116" s="72">
        <f t="shared" si="51"/>
        <v>170</v>
      </c>
      <c r="Y116" s="72">
        <f t="shared" si="51"/>
        <v>425</v>
      </c>
      <c r="Z116" s="72">
        <f t="shared" si="51"/>
        <v>170</v>
      </c>
      <c r="AA116" s="72">
        <f t="shared" si="51"/>
        <v>170</v>
      </c>
      <c r="AB116" s="72">
        <f t="shared" si="51"/>
        <v>170</v>
      </c>
      <c r="AC116" s="72">
        <f t="shared" si="51"/>
        <v>170</v>
      </c>
      <c r="AD116" s="72">
        <f t="shared" si="51"/>
        <v>255</v>
      </c>
      <c r="AE116" s="72">
        <f t="shared" si="51"/>
        <v>425</v>
      </c>
      <c r="AF116" s="72">
        <f t="shared" si="51"/>
        <v>170</v>
      </c>
      <c r="AG116" s="72">
        <f t="shared" si="51"/>
        <v>170</v>
      </c>
      <c r="AH116" s="72">
        <f t="shared" si="51"/>
        <v>170</v>
      </c>
      <c r="AI116" s="72">
        <f t="shared" si="51"/>
        <v>170</v>
      </c>
      <c r="AJ116" s="72">
        <f t="shared" si="51"/>
        <v>170</v>
      </c>
      <c r="AK116" s="72">
        <f t="shared" si="51"/>
        <v>425</v>
      </c>
      <c r="AL116" s="72">
        <f t="shared" si="51"/>
        <v>170</v>
      </c>
      <c r="AM116" s="72">
        <f t="shared" si="51"/>
        <v>170</v>
      </c>
      <c r="AN116" s="72">
        <f t="shared" si="51"/>
        <v>170</v>
      </c>
      <c r="AO116" s="72">
        <f t="shared" si="51"/>
        <v>170</v>
      </c>
      <c r="AP116" s="72">
        <f t="shared" si="51"/>
        <v>255</v>
      </c>
      <c r="AQ116" s="72">
        <f t="shared" si="51"/>
        <v>425</v>
      </c>
      <c r="AR116" s="72">
        <f t="shared" si="51"/>
        <v>170</v>
      </c>
      <c r="AS116" s="72">
        <f t="shared" si="51"/>
        <v>170</v>
      </c>
      <c r="AT116" s="72">
        <f t="shared" si="51"/>
        <v>170</v>
      </c>
      <c r="AU116" s="72">
        <f t="shared" si="51"/>
        <v>170</v>
      </c>
      <c r="AV116" s="72">
        <f t="shared" si="51"/>
        <v>170</v>
      </c>
      <c r="AW116" s="72">
        <f t="shared" si="51"/>
        <v>425</v>
      </c>
      <c r="AX116" s="72">
        <f t="shared" si="51"/>
        <v>170</v>
      </c>
      <c r="AY116" s="72">
        <f t="shared" si="51"/>
        <v>170</v>
      </c>
      <c r="AZ116" s="72">
        <f t="shared" si="51"/>
        <v>170</v>
      </c>
      <c r="BA116" s="72">
        <f t="shared" si="51"/>
        <v>170</v>
      </c>
      <c r="BB116" s="72">
        <f t="shared" si="51"/>
        <v>255</v>
      </c>
      <c r="BC116" s="72">
        <f t="shared" si="51"/>
        <v>425</v>
      </c>
      <c r="BD116" s="72">
        <f t="shared" si="51"/>
        <v>170</v>
      </c>
      <c r="BE116" s="72">
        <f t="shared" si="51"/>
        <v>170</v>
      </c>
      <c r="BF116" s="72">
        <f t="shared" si="51"/>
        <v>170</v>
      </c>
      <c r="BG116" s="72">
        <f t="shared" si="51"/>
        <v>170</v>
      </c>
      <c r="BH116" s="72">
        <f t="shared" si="51"/>
        <v>170</v>
      </c>
      <c r="BI116" s="72">
        <f t="shared" si="51"/>
        <v>425</v>
      </c>
      <c r="BJ116" s="72">
        <f t="shared" si="51"/>
        <v>170</v>
      </c>
      <c r="BK116" s="72">
        <f t="shared" si="51"/>
        <v>170</v>
      </c>
      <c r="BL116" s="72">
        <f t="shared" si="51"/>
        <v>170</v>
      </c>
      <c r="BM116" s="72">
        <f t="shared" si="51"/>
        <v>170</v>
      </c>
      <c r="BN116" s="72">
        <f t="shared" si="51"/>
        <v>255</v>
      </c>
    </row>
    <row r="117" spans="2:66">
      <c r="B117" s="37" t="str">
        <f t="shared" ref="B117" si="53">B116</f>
        <v>Milano</v>
      </c>
      <c r="C117" t="str">
        <f t="shared" si="52"/>
        <v>Accessories</v>
      </c>
      <c r="G117" s="72">
        <f t="shared" si="51"/>
        <v>375</v>
      </c>
      <c r="H117" s="72">
        <f t="shared" si="51"/>
        <v>150</v>
      </c>
      <c r="I117" s="72">
        <f t="shared" si="51"/>
        <v>150</v>
      </c>
      <c r="J117" s="72">
        <f t="shared" si="51"/>
        <v>150</v>
      </c>
      <c r="K117" s="72">
        <f t="shared" si="51"/>
        <v>150</v>
      </c>
      <c r="L117" s="72">
        <f t="shared" si="51"/>
        <v>150</v>
      </c>
      <c r="M117" s="72">
        <f t="shared" si="51"/>
        <v>375</v>
      </c>
      <c r="N117" s="72">
        <f t="shared" si="51"/>
        <v>150</v>
      </c>
      <c r="O117" s="72">
        <f t="shared" si="51"/>
        <v>150</v>
      </c>
      <c r="P117" s="72">
        <f t="shared" si="51"/>
        <v>150</v>
      </c>
      <c r="Q117" s="72">
        <f t="shared" si="51"/>
        <v>150</v>
      </c>
      <c r="R117" s="72">
        <f t="shared" si="51"/>
        <v>225</v>
      </c>
      <c r="S117" s="72">
        <f t="shared" si="51"/>
        <v>375</v>
      </c>
      <c r="T117" s="72">
        <f t="shared" si="51"/>
        <v>150</v>
      </c>
      <c r="U117" s="72">
        <f t="shared" si="51"/>
        <v>150</v>
      </c>
      <c r="V117" s="72">
        <f t="shared" ref="V117:BN117" si="54">V85*IF($C117=$C$105,V$108,1)</f>
        <v>150</v>
      </c>
      <c r="W117" s="72">
        <f t="shared" si="54"/>
        <v>150</v>
      </c>
      <c r="X117" s="72">
        <f t="shared" si="54"/>
        <v>150</v>
      </c>
      <c r="Y117" s="72">
        <f t="shared" si="54"/>
        <v>371.90082644628097</v>
      </c>
      <c r="Z117" s="72">
        <f t="shared" si="54"/>
        <v>150</v>
      </c>
      <c r="AA117" s="72">
        <f t="shared" si="54"/>
        <v>150</v>
      </c>
      <c r="AB117" s="72">
        <f t="shared" si="54"/>
        <v>150</v>
      </c>
      <c r="AC117" s="72">
        <f t="shared" si="54"/>
        <v>150</v>
      </c>
      <c r="AD117" s="72">
        <f t="shared" si="54"/>
        <v>225</v>
      </c>
      <c r="AE117" s="72">
        <f t="shared" si="54"/>
        <v>330.63923585598826</v>
      </c>
      <c r="AF117" s="72">
        <f t="shared" si="54"/>
        <v>150</v>
      </c>
      <c r="AG117" s="72">
        <f t="shared" si="54"/>
        <v>150</v>
      </c>
      <c r="AH117" s="72">
        <f t="shared" si="54"/>
        <v>150</v>
      </c>
      <c r="AI117" s="72">
        <f t="shared" si="54"/>
        <v>150</v>
      </c>
      <c r="AJ117" s="72">
        <f t="shared" si="54"/>
        <v>150</v>
      </c>
      <c r="AK117" s="72">
        <f t="shared" si="54"/>
        <v>320.05689900426745</v>
      </c>
      <c r="AL117" s="72">
        <f t="shared" si="54"/>
        <v>150</v>
      </c>
      <c r="AM117" s="72">
        <f t="shared" si="54"/>
        <v>150</v>
      </c>
      <c r="AN117" s="72">
        <f t="shared" si="54"/>
        <v>150</v>
      </c>
      <c r="AO117" s="72">
        <f t="shared" si="54"/>
        <v>150</v>
      </c>
      <c r="AP117" s="72">
        <f t="shared" si="54"/>
        <v>225</v>
      </c>
      <c r="AQ117" s="72">
        <f t="shared" si="54"/>
        <v>317.79661016949149</v>
      </c>
      <c r="AR117" s="72">
        <f t="shared" si="54"/>
        <v>150</v>
      </c>
      <c r="AS117" s="72">
        <f t="shared" si="54"/>
        <v>150</v>
      </c>
      <c r="AT117" s="72">
        <f t="shared" si="54"/>
        <v>150</v>
      </c>
      <c r="AU117" s="72">
        <f t="shared" si="54"/>
        <v>150</v>
      </c>
      <c r="AV117" s="72">
        <f t="shared" si="54"/>
        <v>150</v>
      </c>
      <c r="AW117" s="72">
        <f t="shared" si="54"/>
        <v>317.79661016949149</v>
      </c>
      <c r="AX117" s="72">
        <f t="shared" si="54"/>
        <v>150</v>
      </c>
      <c r="AY117" s="72">
        <f t="shared" si="54"/>
        <v>150</v>
      </c>
      <c r="AZ117" s="72">
        <f t="shared" si="54"/>
        <v>150</v>
      </c>
      <c r="BA117" s="72">
        <f t="shared" si="54"/>
        <v>150</v>
      </c>
      <c r="BB117" s="72">
        <f t="shared" si="54"/>
        <v>225</v>
      </c>
      <c r="BC117" s="72">
        <f t="shared" si="54"/>
        <v>317.79661016949149</v>
      </c>
      <c r="BD117" s="72">
        <f t="shared" si="54"/>
        <v>150</v>
      </c>
      <c r="BE117" s="72">
        <f t="shared" si="54"/>
        <v>150</v>
      </c>
      <c r="BF117" s="72">
        <f t="shared" si="54"/>
        <v>150</v>
      </c>
      <c r="BG117" s="72">
        <f t="shared" si="54"/>
        <v>150</v>
      </c>
      <c r="BH117" s="72">
        <f t="shared" si="54"/>
        <v>150</v>
      </c>
      <c r="BI117" s="72">
        <f t="shared" si="54"/>
        <v>317.79661016949149</v>
      </c>
      <c r="BJ117" s="72">
        <f t="shared" si="54"/>
        <v>150</v>
      </c>
      <c r="BK117" s="72">
        <f t="shared" si="54"/>
        <v>150</v>
      </c>
      <c r="BL117" s="72">
        <f t="shared" si="54"/>
        <v>150</v>
      </c>
      <c r="BM117" s="72">
        <f t="shared" si="54"/>
        <v>150</v>
      </c>
      <c r="BN117" s="72">
        <f t="shared" si="54"/>
        <v>225</v>
      </c>
    </row>
    <row r="118" spans="2:66">
      <c r="B118" s="37" t="str">
        <f>CaseData!$B$30</f>
        <v>Madrid</v>
      </c>
      <c r="C118" t="str">
        <f t="shared" si="52"/>
        <v>Women's</v>
      </c>
      <c r="G118" s="72">
        <f t="shared" ref="G118:BN122" si="55">G86*IF($C118=$C$105,G$108,1)</f>
        <v>375</v>
      </c>
      <c r="H118" s="72">
        <f t="shared" si="55"/>
        <v>150</v>
      </c>
      <c r="I118" s="72">
        <f t="shared" si="55"/>
        <v>150</v>
      </c>
      <c r="J118" s="72">
        <f t="shared" si="55"/>
        <v>150</v>
      </c>
      <c r="K118" s="72">
        <f t="shared" si="55"/>
        <v>150</v>
      </c>
      <c r="L118" s="72">
        <f t="shared" si="55"/>
        <v>150</v>
      </c>
      <c r="M118" s="72">
        <f t="shared" si="55"/>
        <v>375</v>
      </c>
      <c r="N118" s="72">
        <f t="shared" si="55"/>
        <v>150</v>
      </c>
      <c r="O118" s="72">
        <f t="shared" si="55"/>
        <v>150</v>
      </c>
      <c r="P118" s="72">
        <f t="shared" si="55"/>
        <v>150</v>
      </c>
      <c r="Q118" s="72">
        <f t="shared" si="55"/>
        <v>150</v>
      </c>
      <c r="R118" s="72">
        <f t="shared" si="55"/>
        <v>225</v>
      </c>
      <c r="S118" s="72">
        <f t="shared" si="55"/>
        <v>375</v>
      </c>
      <c r="T118" s="72">
        <f t="shared" si="55"/>
        <v>150</v>
      </c>
      <c r="U118" s="72">
        <f t="shared" si="55"/>
        <v>150</v>
      </c>
      <c r="V118" s="72">
        <f t="shared" si="55"/>
        <v>150</v>
      </c>
      <c r="W118" s="72">
        <f t="shared" si="55"/>
        <v>150</v>
      </c>
      <c r="X118" s="72">
        <f t="shared" si="55"/>
        <v>150</v>
      </c>
      <c r="Y118" s="72">
        <f t="shared" si="55"/>
        <v>375</v>
      </c>
      <c r="Z118" s="72">
        <f t="shared" si="55"/>
        <v>150</v>
      </c>
      <c r="AA118" s="72">
        <f t="shared" si="55"/>
        <v>150</v>
      </c>
      <c r="AB118" s="72">
        <f t="shared" si="55"/>
        <v>150</v>
      </c>
      <c r="AC118" s="72">
        <f t="shared" si="55"/>
        <v>150</v>
      </c>
      <c r="AD118" s="72">
        <f t="shared" si="55"/>
        <v>225</v>
      </c>
      <c r="AE118" s="72">
        <f t="shared" si="55"/>
        <v>375</v>
      </c>
      <c r="AF118" s="72">
        <f t="shared" si="55"/>
        <v>150</v>
      </c>
      <c r="AG118" s="72">
        <f t="shared" si="55"/>
        <v>150</v>
      </c>
      <c r="AH118" s="72">
        <f t="shared" si="55"/>
        <v>150</v>
      </c>
      <c r="AI118" s="72">
        <f t="shared" si="55"/>
        <v>150</v>
      </c>
      <c r="AJ118" s="72">
        <f t="shared" si="55"/>
        <v>150</v>
      </c>
      <c r="AK118" s="72">
        <f t="shared" si="55"/>
        <v>375</v>
      </c>
      <c r="AL118" s="72">
        <f t="shared" si="55"/>
        <v>150</v>
      </c>
      <c r="AM118" s="72">
        <f t="shared" si="55"/>
        <v>150</v>
      </c>
      <c r="AN118" s="72">
        <f t="shared" si="55"/>
        <v>150</v>
      </c>
      <c r="AO118" s="72">
        <f t="shared" si="55"/>
        <v>150</v>
      </c>
      <c r="AP118" s="72">
        <f t="shared" si="55"/>
        <v>225</v>
      </c>
      <c r="AQ118" s="72">
        <f t="shared" si="55"/>
        <v>375</v>
      </c>
      <c r="AR118" s="72">
        <f t="shared" si="55"/>
        <v>150</v>
      </c>
      <c r="AS118" s="72">
        <f t="shared" si="55"/>
        <v>150</v>
      </c>
      <c r="AT118" s="72">
        <f t="shared" si="55"/>
        <v>150</v>
      </c>
      <c r="AU118" s="72">
        <f t="shared" si="55"/>
        <v>150</v>
      </c>
      <c r="AV118" s="72">
        <f t="shared" si="55"/>
        <v>150</v>
      </c>
      <c r="AW118" s="72">
        <f t="shared" si="55"/>
        <v>375</v>
      </c>
      <c r="AX118" s="72">
        <f t="shared" si="55"/>
        <v>150</v>
      </c>
      <c r="AY118" s="72">
        <f t="shared" si="55"/>
        <v>150</v>
      </c>
      <c r="AZ118" s="72">
        <f t="shared" si="55"/>
        <v>150</v>
      </c>
      <c r="BA118" s="72">
        <f t="shared" si="55"/>
        <v>150</v>
      </c>
      <c r="BB118" s="72">
        <f t="shared" si="55"/>
        <v>225</v>
      </c>
      <c r="BC118" s="72">
        <f t="shared" si="55"/>
        <v>375</v>
      </c>
      <c r="BD118" s="72">
        <f t="shared" si="55"/>
        <v>150</v>
      </c>
      <c r="BE118" s="72">
        <f t="shared" si="55"/>
        <v>150</v>
      </c>
      <c r="BF118" s="72">
        <f t="shared" si="55"/>
        <v>150</v>
      </c>
      <c r="BG118" s="72">
        <f t="shared" si="55"/>
        <v>150</v>
      </c>
      <c r="BH118" s="72">
        <f t="shared" si="55"/>
        <v>150</v>
      </c>
      <c r="BI118" s="72">
        <f t="shared" si="55"/>
        <v>375</v>
      </c>
      <c r="BJ118" s="72">
        <f t="shared" si="55"/>
        <v>150</v>
      </c>
      <c r="BK118" s="72">
        <f t="shared" si="55"/>
        <v>150</v>
      </c>
      <c r="BL118" s="72">
        <f t="shared" si="55"/>
        <v>150</v>
      </c>
      <c r="BM118" s="72">
        <f t="shared" si="55"/>
        <v>150</v>
      </c>
      <c r="BN118" s="72">
        <f t="shared" si="55"/>
        <v>225</v>
      </c>
    </row>
    <row r="119" spans="2:66">
      <c r="B119" s="37" t="str">
        <f t="shared" ref="B119:B120" si="56">B118</f>
        <v>Madrid</v>
      </c>
      <c r="C119" t="str">
        <f t="shared" si="52"/>
        <v>Men's</v>
      </c>
      <c r="G119" s="72">
        <f t="shared" si="55"/>
        <v>225</v>
      </c>
      <c r="H119" s="72">
        <f t="shared" si="55"/>
        <v>90</v>
      </c>
      <c r="I119" s="72">
        <f t="shared" si="55"/>
        <v>90</v>
      </c>
      <c r="J119" s="72">
        <f t="shared" si="55"/>
        <v>90</v>
      </c>
      <c r="K119" s="72">
        <f t="shared" si="55"/>
        <v>90</v>
      </c>
      <c r="L119" s="72">
        <f t="shared" si="55"/>
        <v>90</v>
      </c>
      <c r="M119" s="72">
        <f t="shared" si="55"/>
        <v>225</v>
      </c>
      <c r="N119" s="72">
        <f t="shared" si="55"/>
        <v>90</v>
      </c>
      <c r="O119" s="72">
        <f t="shared" si="55"/>
        <v>90</v>
      </c>
      <c r="P119" s="72">
        <f t="shared" si="55"/>
        <v>90</v>
      </c>
      <c r="Q119" s="72">
        <f t="shared" si="55"/>
        <v>90</v>
      </c>
      <c r="R119" s="72">
        <f t="shared" si="55"/>
        <v>135</v>
      </c>
      <c r="S119" s="72">
        <f t="shared" si="55"/>
        <v>225</v>
      </c>
      <c r="T119" s="72">
        <f t="shared" si="55"/>
        <v>90</v>
      </c>
      <c r="U119" s="72">
        <f t="shared" si="55"/>
        <v>90</v>
      </c>
      <c r="V119" s="72">
        <f t="shared" si="55"/>
        <v>90</v>
      </c>
      <c r="W119" s="72">
        <f t="shared" si="55"/>
        <v>90</v>
      </c>
      <c r="X119" s="72">
        <f t="shared" si="55"/>
        <v>90</v>
      </c>
      <c r="Y119" s="72">
        <f t="shared" si="55"/>
        <v>225</v>
      </c>
      <c r="Z119" s="72">
        <f t="shared" si="55"/>
        <v>90</v>
      </c>
      <c r="AA119" s="72">
        <f t="shared" si="55"/>
        <v>90</v>
      </c>
      <c r="AB119" s="72">
        <f t="shared" si="55"/>
        <v>90</v>
      </c>
      <c r="AC119" s="72">
        <f t="shared" si="55"/>
        <v>90</v>
      </c>
      <c r="AD119" s="72">
        <f t="shared" si="55"/>
        <v>135</v>
      </c>
      <c r="AE119" s="72">
        <f t="shared" si="55"/>
        <v>225</v>
      </c>
      <c r="AF119" s="72">
        <f t="shared" si="55"/>
        <v>90</v>
      </c>
      <c r="AG119" s="72">
        <f t="shared" si="55"/>
        <v>90</v>
      </c>
      <c r="AH119" s="72">
        <f t="shared" si="55"/>
        <v>90</v>
      </c>
      <c r="AI119" s="72">
        <f t="shared" si="55"/>
        <v>90</v>
      </c>
      <c r="AJ119" s="72">
        <f t="shared" si="55"/>
        <v>90</v>
      </c>
      <c r="AK119" s="72">
        <f t="shared" si="55"/>
        <v>225</v>
      </c>
      <c r="AL119" s="72">
        <f t="shared" si="55"/>
        <v>90</v>
      </c>
      <c r="AM119" s="72">
        <f t="shared" si="55"/>
        <v>90</v>
      </c>
      <c r="AN119" s="72">
        <f t="shared" si="55"/>
        <v>90</v>
      </c>
      <c r="AO119" s="72">
        <f t="shared" si="55"/>
        <v>90</v>
      </c>
      <c r="AP119" s="72">
        <f t="shared" si="55"/>
        <v>135</v>
      </c>
      <c r="AQ119" s="72">
        <f t="shared" si="55"/>
        <v>225</v>
      </c>
      <c r="AR119" s="72">
        <f t="shared" si="55"/>
        <v>90</v>
      </c>
      <c r="AS119" s="72">
        <f t="shared" si="55"/>
        <v>90</v>
      </c>
      <c r="AT119" s="72">
        <f t="shared" si="55"/>
        <v>90</v>
      </c>
      <c r="AU119" s="72">
        <f t="shared" si="55"/>
        <v>90</v>
      </c>
      <c r="AV119" s="72">
        <f t="shared" si="55"/>
        <v>90</v>
      </c>
      <c r="AW119" s="72">
        <f t="shared" si="55"/>
        <v>225</v>
      </c>
      <c r="AX119" s="72">
        <f t="shared" si="55"/>
        <v>90</v>
      </c>
      <c r="AY119" s="72">
        <f t="shared" si="55"/>
        <v>90</v>
      </c>
      <c r="AZ119" s="72">
        <f t="shared" si="55"/>
        <v>90</v>
      </c>
      <c r="BA119" s="72">
        <f t="shared" si="55"/>
        <v>90</v>
      </c>
      <c r="BB119" s="72">
        <f t="shared" si="55"/>
        <v>135</v>
      </c>
      <c r="BC119" s="72">
        <f t="shared" si="55"/>
        <v>225</v>
      </c>
      <c r="BD119" s="72">
        <f t="shared" si="55"/>
        <v>90</v>
      </c>
      <c r="BE119" s="72">
        <f t="shared" si="55"/>
        <v>90</v>
      </c>
      <c r="BF119" s="72">
        <f t="shared" si="55"/>
        <v>90</v>
      </c>
      <c r="BG119" s="72">
        <f t="shared" si="55"/>
        <v>90</v>
      </c>
      <c r="BH119" s="72">
        <f t="shared" si="55"/>
        <v>90</v>
      </c>
      <c r="BI119" s="72">
        <f t="shared" si="55"/>
        <v>225</v>
      </c>
      <c r="BJ119" s="72">
        <f t="shared" si="55"/>
        <v>90</v>
      </c>
      <c r="BK119" s="72">
        <f t="shared" si="55"/>
        <v>90</v>
      </c>
      <c r="BL119" s="72">
        <f t="shared" si="55"/>
        <v>90</v>
      </c>
      <c r="BM119" s="72">
        <f t="shared" si="55"/>
        <v>90</v>
      </c>
      <c r="BN119" s="72">
        <f t="shared" si="55"/>
        <v>135</v>
      </c>
    </row>
    <row r="120" spans="2:66">
      <c r="B120" s="37" t="str">
        <f t="shared" si="56"/>
        <v>Madrid</v>
      </c>
      <c r="C120" t="str">
        <f t="shared" si="52"/>
        <v>Accessories</v>
      </c>
      <c r="G120" s="72">
        <f t="shared" si="55"/>
        <v>150</v>
      </c>
      <c r="H120" s="72">
        <f t="shared" si="55"/>
        <v>60</v>
      </c>
      <c r="I120" s="72">
        <f t="shared" si="55"/>
        <v>60</v>
      </c>
      <c r="J120" s="72">
        <f t="shared" si="55"/>
        <v>60</v>
      </c>
      <c r="K120" s="72">
        <f t="shared" si="55"/>
        <v>60</v>
      </c>
      <c r="L120" s="72">
        <f t="shared" si="55"/>
        <v>60</v>
      </c>
      <c r="M120" s="72">
        <f t="shared" si="55"/>
        <v>150</v>
      </c>
      <c r="N120" s="72">
        <f t="shared" si="55"/>
        <v>60</v>
      </c>
      <c r="O120" s="72">
        <f t="shared" si="55"/>
        <v>60</v>
      </c>
      <c r="P120" s="72">
        <f t="shared" si="55"/>
        <v>60</v>
      </c>
      <c r="Q120" s="72">
        <f t="shared" si="55"/>
        <v>60</v>
      </c>
      <c r="R120" s="72">
        <f t="shared" si="55"/>
        <v>90</v>
      </c>
      <c r="S120" s="72">
        <f t="shared" si="55"/>
        <v>150</v>
      </c>
      <c r="T120" s="72">
        <f t="shared" si="55"/>
        <v>60</v>
      </c>
      <c r="U120" s="72">
        <f t="shared" si="55"/>
        <v>60</v>
      </c>
      <c r="V120" s="72">
        <f t="shared" si="55"/>
        <v>60</v>
      </c>
      <c r="W120" s="72">
        <f t="shared" si="55"/>
        <v>60</v>
      </c>
      <c r="X120" s="72">
        <f t="shared" si="55"/>
        <v>60</v>
      </c>
      <c r="Y120" s="72">
        <f t="shared" si="55"/>
        <v>148.7603305785124</v>
      </c>
      <c r="Z120" s="72">
        <f t="shared" si="55"/>
        <v>60</v>
      </c>
      <c r="AA120" s="72">
        <f t="shared" si="55"/>
        <v>60</v>
      </c>
      <c r="AB120" s="72">
        <f t="shared" si="55"/>
        <v>60</v>
      </c>
      <c r="AC120" s="72">
        <f t="shared" si="55"/>
        <v>60</v>
      </c>
      <c r="AD120" s="72">
        <f t="shared" si="55"/>
        <v>90</v>
      </c>
      <c r="AE120" s="72">
        <f t="shared" si="55"/>
        <v>132.25569434239532</v>
      </c>
      <c r="AF120" s="72">
        <f t="shared" si="55"/>
        <v>60</v>
      </c>
      <c r="AG120" s="72">
        <f t="shared" si="55"/>
        <v>60</v>
      </c>
      <c r="AH120" s="72">
        <f t="shared" si="55"/>
        <v>60</v>
      </c>
      <c r="AI120" s="72">
        <f t="shared" si="55"/>
        <v>60</v>
      </c>
      <c r="AJ120" s="72">
        <f t="shared" si="55"/>
        <v>60</v>
      </c>
      <c r="AK120" s="72">
        <f t="shared" si="55"/>
        <v>128.02275960170698</v>
      </c>
      <c r="AL120" s="72">
        <f t="shared" si="55"/>
        <v>60</v>
      </c>
      <c r="AM120" s="72">
        <f t="shared" si="55"/>
        <v>60</v>
      </c>
      <c r="AN120" s="72">
        <f t="shared" si="55"/>
        <v>60</v>
      </c>
      <c r="AO120" s="72">
        <f t="shared" si="55"/>
        <v>60</v>
      </c>
      <c r="AP120" s="72">
        <f t="shared" si="55"/>
        <v>90</v>
      </c>
      <c r="AQ120" s="72">
        <f t="shared" si="55"/>
        <v>127.11864406779661</v>
      </c>
      <c r="AR120" s="72">
        <f t="shared" si="55"/>
        <v>60</v>
      </c>
      <c r="AS120" s="72">
        <f t="shared" si="55"/>
        <v>60</v>
      </c>
      <c r="AT120" s="72">
        <f t="shared" si="55"/>
        <v>60</v>
      </c>
      <c r="AU120" s="72">
        <f t="shared" si="55"/>
        <v>60</v>
      </c>
      <c r="AV120" s="72">
        <f t="shared" si="55"/>
        <v>60</v>
      </c>
      <c r="AW120" s="72">
        <f t="shared" si="55"/>
        <v>127.11864406779661</v>
      </c>
      <c r="AX120" s="72">
        <f t="shared" si="55"/>
        <v>60</v>
      </c>
      <c r="AY120" s="72">
        <f t="shared" si="55"/>
        <v>60</v>
      </c>
      <c r="AZ120" s="72">
        <f t="shared" si="55"/>
        <v>60</v>
      </c>
      <c r="BA120" s="72">
        <f t="shared" si="55"/>
        <v>60</v>
      </c>
      <c r="BB120" s="72">
        <f t="shared" si="55"/>
        <v>90</v>
      </c>
      <c r="BC120" s="72">
        <f t="shared" si="55"/>
        <v>127.11864406779661</v>
      </c>
      <c r="BD120" s="72">
        <f t="shared" si="55"/>
        <v>60</v>
      </c>
      <c r="BE120" s="72">
        <f t="shared" si="55"/>
        <v>60</v>
      </c>
      <c r="BF120" s="72">
        <f t="shared" si="55"/>
        <v>60</v>
      </c>
      <c r="BG120" s="72">
        <f t="shared" si="55"/>
        <v>60</v>
      </c>
      <c r="BH120" s="72">
        <f t="shared" si="55"/>
        <v>60</v>
      </c>
      <c r="BI120" s="72">
        <f t="shared" si="55"/>
        <v>127.11864406779661</v>
      </c>
      <c r="BJ120" s="72">
        <f t="shared" si="55"/>
        <v>60</v>
      </c>
      <c r="BK120" s="72">
        <f t="shared" si="55"/>
        <v>60</v>
      </c>
      <c r="BL120" s="72">
        <f t="shared" si="55"/>
        <v>60</v>
      </c>
      <c r="BM120" s="72">
        <f t="shared" si="55"/>
        <v>60</v>
      </c>
      <c r="BN120" s="72">
        <f t="shared" si="55"/>
        <v>90</v>
      </c>
    </row>
    <row r="121" spans="2:66">
      <c r="B121" s="37" t="str">
        <f>CaseData!$B$31</f>
        <v>London</v>
      </c>
      <c r="C121" t="str">
        <f t="shared" si="52"/>
        <v>Women's</v>
      </c>
      <c r="G121" s="72">
        <f t="shared" si="55"/>
        <v>275</v>
      </c>
      <c r="H121" s="72">
        <f t="shared" si="55"/>
        <v>110</v>
      </c>
      <c r="I121" s="72">
        <f t="shared" si="55"/>
        <v>110</v>
      </c>
      <c r="J121" s="72">
        <f t="shared" si="55"/>
        <v>110</v>
      </c>
      <c r="K121" s="72">
        <f t="shared" si="55"/>
        <v>110</v>
      </c>
      <c r="L121" s="72">
        <f t="shared" si="55"/>
        <v>110</v>
      </c>
      <c r="M121" s="72">
        <f t="shared" si="55"/>
        <v>275</v>
      </c>
      <c r="N121" s="72">
        <f t="shared" si="55"/>
        <v>110</v>
      </c>
      <c r="O121" s="72">
        <f t="shared" si="55"/>
        <v>110</v>
      </c>
      <c r="P121" s="72">
        <f t="shared" si="55"/>
        <v>110</v>
      </c>
      <c r="Q121" s="72">
        <f t="shared" si="55"/>
        <v>110</v>
      </c>
      <c r="R121" s="72">
        <f t="shared" si="55"/>
        <v>165</v>
      </c>
      <c r="S121" s="72">
        <f t="shared" si="55"/>
        <v>275</v>
      </c>
      <c r="T121" s="72">
        <f t="shared" si="55"/>
        <v>110</v>
      </c>
      <c r="U121" s="72">
        <f t="shared" si="55"/>
        <v>110</v>
      </c>
      <c r="V121" s="72">
        <f t="shared" si="55"/>
        <v>110</v>
      </c>
      <c r="W121" s="72">
        <f t="shared" si="55"/>
        <v>110</v>
      </c>
      <c r="X121" s="72">
        <f t="shared" si="55"/>
        <v>110</v>
      </c>
      <c r="Y121" s="72">
        <f t="shared" si="55"/>
        <v>275</v>
      </c>
      <c r="Z121" s="72">
        <f t="shared" si="55"/>
        <v>110</v>
      </c>
      <c r="AA121" s="72">
        <f t="shared" si="55"/>
        <v>110</v>
      </c>
      <c r="AB121" s="72">
        <f t="shared" si="55"/>
        <v>110</v>
      </c>
      <c r="AC121" s="72">
        <f t="shared" si="55"/>
        <v>110</v>
      </c>
      <c r="AD121" s="72">
        <f t="shared" si="55"/>
        <v>165</v>
      </c>
      <c r="AE121" s="72">
        <f t="shared" si="55"/>
        <v>275</v>
      </c>
      <c r="AF121" s="72">
        <f t="shared" si="55"/>
        <v>110</v>
      </c>
      <c r="AG121" s="72">
        <f t="shared" si="55"/>
        <v>110</v>
      </c>
      <c r="AH121" s="72">
        <f t="shared" si="55"/>
        <v>110</v>
      </c>
      <c r="AI121" s="72">
        <f t="shared" si="55"/>
        <v>110</v>
      </c>
      <c r="AJ121" s="72">
        <f t="shared" si="55"/>
        <v>110</v>
      </c>
      <c r="AK121" s="72">
        <f t="shared" si="55"/>
        <v>275</v>
      </c>
      <c r="AL121" s="72">
        <f t="shared" si="55"/>
        <v>110</v>
      </c>
      <c r="AM121" s="72">
        <f t="shared" si="55"/>
        <v>110</v>
      </c>
      <c r="AN121" s="72">
        <f t="shared" si="55"/>
        <v>110</v>
      </c>
      <c r="AO121" s="72">
        <f t="shared" si="55"/>
        <v>110</v>
      </c>
      <c r="AP121" s="72">
        <f t="shared" si="55"/>
        <v>165</v>
      </c>
      <c r="AQ121" s="72">
        <f t="shared" si="55"/>
        <v>275</v>
      </c>
      <c r="AR121" s="72">
        <f t="shared" si="55"/>
        <v>110</v>
      </c>
      <c r="AS121" s="72">
        <f t="shared" si="55"/>
        <v>110</v>
      </c>
      <c r="AT121" s="72">
        <f t="shared" si="55"/>
        <v>110</v>
      </c>
      <c r="AU121" s="72">
        <f t="shared" si="55"/>
        <v>110</v>
      </c>
      <c r="AV121" s="72">
        <f t="shared" si="55"/>
        <v>110</v>
      </c>
      <c r="AW121" s="72">
        <f t="shared" si="55"/>
        <v>275</v>
      </c>
      <c r="AX121" s="72">
        <f t="shared" si="55"/>
        <v>110</v>
      </c>
      <c r="AY121" s="72">
        <f t="shared" si="55"/>
        <v>110</v>
      </c>
      <c r="AZ121" s="72">
        <f t="shared" si="55"/>
        <v>110</v>
      </c>
      <c r="BA121" s="72">
        <f t="shared" si="55"/>
        <v>110</v>
      </c>
      <c r="BB121" s="72">
        <f t="shared" si="55"/>
        <v>165</v>
      </c>
      <c r="BC121" s="72">
        <f t="shared" si="55"/>
        <v>275</v>
      </c>
      <c r="BD121" s="72">
        <f t="shared" si="55"/>
        <v>110</v>
      </c>
      <c r="BE121" s="72">
        <f t="shared" si="55"/>
        <v>110</v>
      </c>
      <c r="BF121" s="72">
        <f t="shared" si="55"/>
        <v>110</v>
      </c>
      <c r="BG121" s="72">
        <f t="shared" si="55"/>
        <v>110</v>
      </c>
      <c r="BH121" s="72">
        <f t="shared" si="55"/>
        <v>110</v>
      </c>
      <c r="BI121" s="72">
        <f t="shared" si="55"/>
        <v>275</v>
      </c>
      <c r="BJ121" s="72">
        <f t="shared" si="55"/>
        <v>110</v>
      </c>
      <c r="BK121" s="72">
        <f t="shared" si="55"/>
        <v>110</v>
      </c>
      <c r="BL121" s="72">
        <f t="shared" si="55"/>
        <v>110</v>
      </c>
      <c r="BM121" s="72">
        <f t="shared" si="55"/>
        <v>110</v>
      </c>
      <c r="BN121" s="72">
        <f t="shared" si="55"/>
        <v>165</v>
      </c>
    </row>
    <row r="122" spans="2:66">
      <c r="B122" s="37" t="str">
        <f t="shared" ref="B122:B123" si="57">B121</f>
        <v>London</v>
      </c>
      <c r="C122" t="str">
        <f t="shared" si="52"/>
        <v>Men's</v>
      </c>
      <c r="G122" s="72">
        <f t="shared" si="55"/>
        <v>325</v>
      </c>
      <c r="H122" s="72">
        <f t="shared" si="55"/>
        <v>130</v>
      </c>
      <c r="I122" s="72">
        <f t="shared" si="55"/>
        <v>130</v>
      </c>
      <c r="J122" s="72">
        <f t="shared" si="55"/>
        <v>130</v>
      </c>
      <c r="K122" s="72">
        <f t="shared" si="55"/>
        <v>130</v>
      </c>
      <c r="L122" s="72">
        <f t="shared" si="55"/>
        <v>130</v>
      </c>
      <c r="M122" s="72">
        <f t="shared" si="55"/>
        <v>325</v>
      </c>
      <c r="N122" s="72">
        <f t="shared" si="55"/>
        <v>130</v>
      </c>
      <c r="O122" s="72">
        <f t="shared" si="55"/>
        <v>130</v>
      </c>
      <c r="P122" s="72">
        <f t="shared" si="55"/>
        <v>130</v>
      </c>
      <c r="Q122" s="72">
        <f t="shared" si="55"/>
        <v>130</v>
      </c>
      <c r="R122" s="72">
        <f t="shared" si="55"/>
        <v>195</v>
      </c>
      <c r="S122" s="72">
        <f t="shared" si="55"/>
        <v>325</v>
      </c>
      <c r="T122" s="72">
        <f t="shared" si="55"/>
        <v>130</v>
      </c>
      <c r="U122" s="72">
        <f t="shared" si="55"/>
        <v>130</v>
      </c>
      <c r="V122" s="72">
        <f t="shared" ref="V122:BN122" si="58">V90*IF($C122=$C$105,V$108,1)</f>
        <v>130</v>
      </c>
      <c r="W122" s="72">
        <f t="shared" si="58"/>
        <v>130</v>
      </c>
      <c r="X122" s="72">
        <f t="shared" si="58"/>
        <v>130</v>
      </c>
      <c r="Y122" s="72">
        <f t="shared" si="58"/>
        <v>325</v>
      </c>
      <c r="Z122" s="72">
        <f t="shared" si="58"/>
        <v>130</v>
      </c>
      <c r="AA122" s="72">
        <f t="shared" si="58"/>
        <v>130</v>
      </c>
      <c r="AB122" s="72">
        <f t="shared" si="58"/>
        <v>130</v>
      </c>
      <c r="AC122" s="72">
        <f t="shared" si="58"/>
        <v>130</v>
      </c>
      <c r="AD122" s="72">
        <f t="shared" si="58"/>
        <v>195</v>
      </c>
      <c r="AE122" s="72">
        <f t="shared" si="58"/>
        <v>325</v>
      </c>
      <c r="AF122" s="72">
        <f t="shared" si="58"/>
        <v>130</v>
      </c>
      <c r="AG122" s="72">
        <f t="shared" si="58"/>
        <v>130</v>
      </c>
      <c r="AH122" s="72">
        <f t="shared" si="58"/>
        <v>130</v>
      </c>
      <c r="AI122" s="72">
        <f t="shared" si="58"/>
        <v>130</v>
      </c>
      <c r="AJ122" s="72">
        <f t="shared" si="58"/>
        <v>130</v>
      </c>
      <c r="AK122" s="72">
        <f t="shared" si="58"/>
        <v>325</v>
      </c>
      <c r="AL122" s="72">
        <f t="shared" si="58"/>
        <v>130</v>
      </c>
      <c r="AM122" s="72">
        <f t="shared" si="58"/>
        <v>130</v>
      </c>
      <c r="AN122" s="72">
        <f t="shared" si="58"/>
        <v>130</v>
      </c>
      <c r="AO122" s="72">
        <f t="shared" si="58"/>
        <v>130</v>
      </c>
      <c r="AP122" s="72">
        <f t="shared" si="58"/>
        <v>195</v>
      </c>
      <c r="AQ122" s="72">
        <f t="shared" si="58"/>
        <v>325</v>
      </c>
      <c r="AR122" s="72">
        <f t="shared" si="58"/>
        <v>130</v>
      </c>
      <c r="AS122" s="72">
        <f t="shared" si="58"/>
        <v>130</v>
      </c>
      <c r="AT122" s="72">
        <f t="shared" si="58"/>
        <v>130</v>
      </c>
      <c r="AU122" s="72">
        <f t="shared" si="58"/>
        <v>130</v>
      </c>
      <c r="AV122" s="72">
        <f t="shared" si="58"/>
        <v>130</v>
      </c>
      <c r="AW122" s="72">
        <f t="shared" si="58"/>
        <v>325</v>
      </c>
      <c r="AX122" s="72">
        <f t="shared" si="58"/>
        <v>130</v>
      </c>
      <c r="AY122" s="72">
        <f t="shared" si="58"/>
        <v>130</v>
      </c>
      <c r="AZ122" s="72">
        <f t="shared" si="58"/>
        <v>130</v>
      </c>
      <c r="BA122" s="72">
        <f t="shared" si="58"/>
        <v>130</v>
      </c>
      <c r="BB122" s="72">
        <f t="shared" si="58"/>
        <v>195</v>
      </c>
      <c r="BC122" s="72">
        <f t="shared" si="58"/>
        <v>325</v>
      </c>
      <c r="BD122" s="72">
        <f t="shared" si="58"/>
        <v>130</v>
      </c>
      <c r="BE122" s="72">
        <f t="shared" si="58"/>
        <v>130</v>
      </c>
      <c r="BF122" s="72">
        <f t="shared" si="58"/>
        <v>130</v>
      </c>
      <c r="BG122" s="72">
        <f t="shared" si="58"/>
        <v>130</v>
      </c>
      <c r="BH122" s="72">
        <f t="shared" si="58"/>
        <v>130</v>
      </c>
      <c r="BI122" s="72">
        <f t="shared" si="58"/>
        <v>325</v>
      </c>
      <c r="BJ122" s="72">
        <f t="shared" si="58"/>
        <v>130</v>
      </c>
      <c r="BK122" s="72">
        <f t="shared" si="58"/>
        <v>130</v>
      </c>
      <c r="BL122" s="72">
        <f t="shared" si="58"/>
        <v>130</v>
      </c>
      <c r="BM122" s="72">
        <f t="shared" si="58"/>
        <v>130</v>
      </c>
      <c r="BN122" s="72">
        <f t="shared" si="58"/>
        <v>195</v>
      </c>
    </row>
    <row r="123" spans="2:66">
      <c r="B123" s="37" t="str">
        <f t="shared" si="57"/>
        <v>London</v>
      </c>
      <c r="C123" t="str">
        <f t="shared" si="52"/>
        <v>Accessories</v>
      </c>
      <c r="G123" s="72">
        <f t="shared" ref="G123:BN127" si="59">G91*IF($C123=$C$105,G$108,1)</f>
        <v>250</v>
      </c>
      <c r="H123" s="72">
        <f t="shared" si="59"/>
        <v>100</v>
      </c>
      <c r="I123" s="72">
        <f t="shared" si="59"/>
        <v>100</v>
      </c>
      <c r="J123" s="72">
        <f t="shared" si="59"/>
        <v>100</v>
      </c>
      <c r="K123" s="72">
        <f t="shared" si="59"/>
        <v>100</v>
      </c>
      <c r="L123" s="72">
        <f t="shared" si="59"/>
        <v>100</v>
      </c>
      <c r="M123" s="72">
        <f t="shared" si="59"/>
        <v>250</v>
      </c>
      <c r="N123" s="72">
        <f t="shared" si="59"/>
        <v>100</v>
      </c>
      <c r="O123" s="72">
        <f t="shared" si="59"/>
        <v>100</v>
      </c>
      <c r="P123" s="72">
        <f t="shared" si="59"/>
        <v>100</v>
      </c>
      <c r="Q123" s="72">
        <f t="shared" si="59"/>
        <v>100</v>
      </c>
      <c r="R123" s="72">
        <f t="shared" si="59"/>
        <v>150</v>
      </c>
      <c r="S123" s="72">
        <f t="shared" si="59"/>
        <v>250</v>
      </c>
      <c r="T123" s="72">
        <f t="shared" si="59"/>
        <v>100</v>
      </c>
      <c r="U123" s="72">
        <f t="shared" si="59"/>
        <v>100</v>
      </c>
      <c r="V123" s="72">
        <f t="shared" si="59"/>
        <v>100</v>
      </c>
      <c r="W123" s="72">
        <f t="shared" si="59"/>
        <v>100</v>
      </c>
      <c r="X123" s="72">
        <f t="shared" si="59"/>
        <v>100</v>
      </c>
      <c r="Y123" s="72">
        <f t="shared" si="59"/>
        <v>247.93388429752065</v>
      </c>
      <c r="Z123" s="72">
        <f t="shared" si="59"/>
        <v>100</v>
      </c>
      <c r="AA123" s="72">
        <f t="shared" si="59"/>
        <v>100</v>
      </c>
      <c r="AB123" s="72">
        <f t="shared" si="59"/>
        <v>100</v>
      </c>
      <c r="AC123" s="72">
        <f t="shared" si="59"/>
        <v>100</v>
      </c>
      <c r="AD123" s="72">
        <f t="shared" si="59"/>
        <v>150</v>
      </c>
      <c r="AE123" s="72">
        <f t="shared" si="59"/>
        <v>220.4261572373255</v>
      </c>
      <c r="AF123" s="72">
        <f t="shared" si="59"/>
        <v>100</v>
      </c>
      <c r="AG123" s="72">
        <f t="shared" si="59"/>
        <v>100</v>
      </c>
      <c r="AH123" s="72">
        <f t="shared" si="59"/>
        <v>100</v>
      </c>
      <c r="AI123" s="72">
        <f t="shared" si="59"/>
        <v>100</v>
      </c>
      <c r="AJ123" s="72">
        <f t="shared" si="59"/>
        <v>100</v>
      </c>
      <c r="AK123" s="72">
        <f t="shared" si="59"/>
        <v>213.37126600284495</v>
      </c>
      <c r="AL123" s="72">
        <f t="shared" si="59"/>
        <v>100</v>
      </c>
      <c r="AM123" s="72">
        <f t="shared" si="59"/>
        <v>100</v>
      </c>
      <c r="AN123" s="72">
        <f t="shared" si="59"/>
        <v>100</v>
      </c>
      <c r="AO123" s="72">
        <f t="shared" si="59"/>
        <v>100</v>
      </c>
      <c r="AP123" s="72">
        <f t="shared" si="59"/>
        <v>150</v>
      </c>
      <c r="AQ123" s="72">
        <f t="shared" si="59"/>
        <v>211.86440677966101</v>
      </c>
      <c r="AR123" s="72">
        <f t="shared" si="59"/>
        <v>100</v>
      </c>
      <c r="AS123" s="72">
        <f t="shared" si="59"/>
        <v>100</v>
      </c>
      <c r="AT123" s="72">
        <f t="shared" si="59"/>
        <v>100</v>
      </c>
      <c r="AU123" s="72">
        <f t="shared" si="59"/>
        <v>100</v>
      </c>
      <c r="AV123" s="72">
        <f t="shared" si="59"/>
        <v>100</v>
      </c>
      <c r="AW123" s="72">
        <f t="shared" si="59"/>
        <v>211.86440677966101</v>
      </c>
      <c r="AX123" s="72">
        <f t="shared" si="59"/>
        <v>100</v>
      </c>
      <c r="AY123" s="72">
        <f t="shared" si="59"/>
        <v>100</v>
      </c>
      <c r="AZ123" s="72">
        <f t="shared" si="59"/>
        <v>100</v>
      </c>
      <c r="BA123" s="72">
        <f t="shared" si="59"/>
        <v>100</v>
      </c>
      <c r="BB123" s="72">
        <f t="shared" si="59"/>
        <v>150</v>
      </c>
      <c r="BC123" s="72">
        <f t="shared" si="59"/>
        <v>211.86440677966101</v>
      </c>
      <c r="BD123" s="72">
        <f t="shared" si="59"/>
        <v>100</v>
      </c>
      <c r="BE123" s="72">
        <f t="shared" si="59"/>
        <v>100</v>
      </c>
      <c r="BF123" s="72">
        <f t="shared" si="59"/>
        <v>100</v>
      </c>
      <c r="BG123" s="72">
        <f t="shared" si="59"/>
        <v>100</v>
      </c>
      <c r="BH123" s="72">
        <f t="shared" si="59"/>
        <v>100</v>
      </c>
      <c r="BI123" s="72">
        <f t="shared" si="59"/>
        <v>211.86440677966101</v>
      </c>
      <c r="BJ123" s="72">
        <f t="shared" si="59"/>
        <v>100</v>
      </c>
      <c r="BK123" s="72">
        <f t="shared" si="59"/>
        <v>100</v>
      </c>
      <c r="BL123" s="72">
        <f t="shared" si="59"/>
        <v>100</v>
      </c>
      <c r="BM123" s="72">
        <f t="shared" si="59"/>
        <v>100</v>
      </c>
      <c r="BN123" s="72">
        <f t="shared" si="59"/>
        <v>150</v>
      </c>
    </row>
    <row r="124" spans="2:66">
      <c r="B124" s="37" t="str">
        <f>CaseData!$B$32</f>
        <v>New York</v>
      </c>
      <c r="C124" t="str">
        <f t="shared" si="52"/>
        <v>Women's</v>
      </c>
      <c r="G124" s="72">
        <f t="shared" si="59"/>
        <v>0</v>
      </c>
      <c r="H124" s="72">
        <f t="shared" si="59"/>
        <v>0</v>
      </c>
      <c r="I124" s="72">
        <f t="shared" si="59"/>
        <v>55</v>
      </c>
      <c r="J124" s="72">
        <f t="shared" si="59"/>
        <v>59.583333333333314</v>
      </c>
      <c r="K124" s="72">
        <f t="shared" si="59"/>
        <v>64.166666666666657</v>
      </c>
      <c r="L124" s="72">
        <f t="shared" si="59"/>
        <v>68.75</v>
      </c>
      <c r="M124" s="72">
        <f t="shared" si="59"/>
        <v>183.33333333333331</v>
      </c>
      <c r="N124" s="72">
        <f t="shared" si="59"/>
        <v>77.916666666666657</v>
      </c>
      <c r="O124" s="72">
        <f t="shared" si="59"/>
        <v>82.5</v>
      </c>
      <c r="P124" s="72">
        <f t="shared" si="59"/>
        <v>87.083333333333343</v>
      </c>
      <c r="Q124" s="72">
        <f t="shared" si="59"/>
        <v>91.666666666666671</v>
      </c>
      <c r="R124" s="72">
        <f t="shared" si="59"/>
        <v>144.375</v>
      </c>
      <c r="S124" s="72">
        <f t="shared" si="59"/>
        <v>252.08333333333334</v>
      </c>
      <c r="T124" s="72">
        <f t="shared" si="59"/>
        <v>105.41666666666669</v>
      </c>
      <c r="U124" s="72">
        <f t="shared" si="59"/>
        <v>110.00000000000003</v>
      </c>
      <c r="V124" s="72">
        <f t="shared" si="59"/>
        <v>110.00000000000003</v>
      </c>
      <c r="W124" s="72">
        <f t="shared" si="59"/>
        <v>110.00000000000003</v>
      </c>
      <c r="X124" s="72">
        <f t="shared" si="59"/>
        <v>110.00000000000003</v>
      </c>
      <c r="Y124" s="72">
        <f t="shared" si="59"/>
        <v>275.00000000000006</v>
      </c>
      <c r="Z124" s="72">
        <f t="shared" si="59"/>
        <v>110.00000000000003</v>
      </c>
      <c r="AA124" s="72">
        <f t="shared" si="59"/>
        <v>110.00000000000003</v>
      </c>
      <c r="AB124" s="72">
        <f t="shared" si="59"/>
        <v>110.00000000000003</v>
      </c>
      <c r="AC124" s="72">
        <f t="shared" si="59"/>
        <v>110.00000000000003</v>
      </c>
      <c r="AD124" s="72">
        <f t="shared" si="59"/>
        <v>165.00000000000003</v>
      </c>
      <c r="AE124" s="72">
        <f t="shared" si="59"/>
        <v>275.00000000000006</v>
      </c>
      <c r="AF124" s="72">
        <f t="shared" si="59"/>
        <v>110.00000000000003</v>
      </c>
      <c r="AG124" s="72">
        <f t="shared" si="59"/>
        <v>110.00000000000003</v>
      </c>
      <c r="AH124" s="72">
        <f t="shared" si="59"/>
        <v>110.00000000000003</v>
      </c>
      <c r="AI124" s="72">
        <f t="shared" si="59"/>
        <v>110.00000000000003</v>
      </c>
      <c r="AJ124" s="72">
        <f t="shared" si="59"/>
        <v>110.00000000000003</v>
      </c>
      <c r="AK124" s="72">
        <f t="shared" si="59"/>
        <v>275.00000000000006</v>
      </c>
      <c r="AL124" s="72">
        <f t="shared" si="59"/>
        <v>110.00000000000003</v>
      </c>
      <c r="AM124" s="72">
        <f t="shared" si="59"/>
        <v>110.00000000000003</v>
      </c>
      <c r="AN124" s="72">
        <f t="shared" si="59"/>
        <v>110.00000000000003</v>
      </c>
      <c r="AO124" s="72">
        <f t="shared" si="59"/>
        <v>110.00000000000003</v>
      </c>
      <c r="AP124" s="72">
        <f t="shared" si="59"/>
        <v>165.00000000000003</v>
      </c>
      <c r="AQ124" s="72">
        <f t="shared" si="59"/>
        <v>275.00000000000006</v>
      </c>
      <c r="AR124" s="72">
        <f t="shared" si="59"/>
        <v>110.00000000000003</v>
      </c>
      <c r="AS124" s="72">
        <f t="shared" si="59"/>
        <v>110.00000000000003</v>
      </c>
      <c r="AT124" s="72">
        <f t="shared" si="59"/>
        <v>110.00000000000003</v>
      </c>
      <c r="AU124" s="72">
        <f t="shared" si="59"/>
        <v>110.00000000000003</v>
      </c>
      <c r="AV124" s="72">
        <f t="shared" si="59"/>
        <v>110.00000000000003</v>
      </c>
      <c r="AW124" s="72">
        <f t="shared" si="59"/>
        <v>275.00000000000006</v>
      </c>
      <c r="AX124" s="72">
        <f t="shared" si="59"/>
        <v>110.00000000000003</v>
      </c>
      <c r="AY124" s="72">
        <f t="shared" si="59"/>
        <v>110.00000000000003</v>
      </c>
      <c r="AZ124" s="72">
        <f t="shared" si="59"/>
        <v>110.00000000000003</v>
      </c>
      <c r="BA124" s="72">
        <f t="shared" si="59"/>
        <v>110.00000000000003</v>
      </c>
      <c r="BB124" s="72">
        <f t="shared" si="59"/>
        <v>165.00000000000003</v>
      </c>
      <c r="BC124" s="72">
        <f t="shared" si="59"/>
        <v>275.00000000000006</v>
      </c>
      <c r="BD124" s="72">
        <f t="shared" si="59"/>
        <v>110.00000000000003</v>
      </c>
      <c r="BE124" s="72">
        <f t="shared" si="59"/>
        <v>110.00000000000003</v>
      </c>
      <c r="BF124" s="72">
        <f t="shared" si="59"/>
        <v>110.00000000000003</v>
      </c>
      <c r="BG124" s="72">
        <f t="shared" si="59"/>
        <v>110.00000000000003</v>
      </c>
      <c r="BH124" s="72">
        <f t="shared" si="59"/>
        <v>110.00000000000003</v>
      </c>
      <c r="BI124" s="72">
        <f t="shared" si="59"/>
        <v>275.00000000000006</v>
      </c>
      <c r="BJ124" s="72">
        <f t="shared" si="59"/>
        <v>110.00000000000003</v>
      </c>
      <c r="BK124" s="72">
        <f t="shared" si="59"/>
        <v>110.00000000000003</v>
      </c>
      <c r="BL124" s="72">
        <f t="shared" si="59"/>
        <v>110.00000000000003</v>
      </c>
      <c r="BM124" s="72">
        <f t="shared" si="59"/>
        <v>110.00000000000003</v>
      </c>
      <c r="BN124" s="72">
        <f t="shared" si="59"/>
        <v>165.00000000000003</v>
      </c>
    </row>
    <row r="125" spans="2:66">
      <c r="B125" s="37" t="str">
        <f t="shared" ref="B125:B126" si="60">B124</f>
        <v>New York</v>
      </c>
      <c r="C125" t="str">
        <f t="shared" si="52"/>
        <v>Men's</v>
      </c>
      <c r="G125" s="72">
        <f t="shared" si="59"/>
        <v>0</v>
      </c>
      <c r="H125" s="72">
        <f t="shared" si="59"/>
        <v>0</v>
      </c>
      <c r="I125" s="72">
        <f t="shared" si="59"/>
        <v>65</v>
      </c>
      <c r="J125" s="72">
        <f t="shared" si="59"/>
        <v>70.416666666666643</v>
      </c>
      <c r="K125" s="72">
        <f t="shared" si="59"/>
        <v>75.833333333333329</v>
      </c>
      <c r="L125" s="72">
        <f t="shared" si="59"/>
        <v>81.25</v>
      </c>
      <c r="M125" s="72">
        <f t="shared" si="59"/>
        <v>216.66666666666666</v>
      </c>
      <c r="N125" s="72">
        <f t="shared" si="59"/>
        <v>92.083333333333329</v>
      </c>
      <c r="O125" s="72">
        <f t="shared" si="59"/>
        <v>97.5</v>
      </c>
      <c r="P125" s="72">
        <f t="shared" si="59"/>
        <v>102.91666666666667</v>
      </c>
      <c r="Q125" s="72">
        <f t="shared" si="59"/>
        <v>108.33333333333334</v>
      </c>
      <c r="R125" s="72">
        <f t="shared" si="59"/>
        <v>170.625</v>
      </c>
      <c r="S125" s="72">
        <f t="shared" si="59"/>
        <v>297.91666666666669</v>
      </c>
      <c r="T125" s="72">
        <f t="shared" si="59"/>
        <v>124.58333333333336</v>
      </c>
      <c r="U125" s="72">
        <f t="shared" si="59"/>
        <v>130.00000000000003</v>
      </c>
      <c r="V125" s="72">
        <f t="shared" si="59"/>
        <v>130.00000000000003</v>
      </c>
      <c r="W125" s="72">
        <f t="shared" si="59"/>
        <v>130.00000000000003</v>
      </c>
      <c r="X125" s="72">
        <f t="shared" si="59"/>
        <v>130.00000000000003</v>
      </c>
      <c r="Y125" s="72">
        <f t="shared" si="59"/>
        <v>325.00000000000006</v>
      </c>
      <c r="Z125" s="72">
        <f t="shared" si="59"/>
        <v>130.00000000000003</v>
      </c>
      <c r="AA125" s="72">
        <f t="shared" si="59"/>
        <v>130.00000000000003</v>
      </c>
      <c r="AB125" s="72">
        <f t="shared" si="59"/>
        <v>130.00000000000003</v>
      </c>
      <c r="AC125" s="72">
        <f t="shared" si="59"/>
        <v>130.00000000000003</v>
      </c>
      <c r="AD125" s="72">
        <f t="shared" si="59"/>
        <v>195.00000000000006</v>
      </c>
      <c r="AE125" s="72">
        <f t="shared" si="59"/>
        <v>325.00000000000006</v>
      </c>
      <c r="AF125" s="72">
        <f t="shared" si="59"/>
        <v>130.00000000000003</v>
      </c>
      <c r="AG125" s="72">
        <f t="shared" si="59"/>
        <v>130.00000000000003</v>
      </c>
      <c r="AH125" s="72">
        <f t="shared" si="59"/>
        <v>130.00000000000003</v>
      </c>
      <c r="AI125" s="72">
        <f t="shared" si="59"/>
        <v>130.00000000000003</v>
      </c>
      <c r="AJ125" s="72">
        <f t="shared" si="59"/>
        <v>130.00000000000003</v>
      </c>
      <c r="AK125" s="72">
        <f t="shared" si="59"/>
        <v>325.00000000000006</v>
      </c>
      <c r="AL125" s="72">
        <f t="shared" si="59"/>
        <v>130.00000000000003</v>
      </c>
      <c r="AM125" s="72">
        <f t="shared" si="59"/>
        <v>130.00000000000003</v>
      </c>
      <c r="AN125" s="72">
        <f t="shared" si="59"/>
        <v>130.00000000000003</v>
      </c>
      <c r="AO125" s="72">
        <f t="shared" si="59"/>
        <v>130.00000000000003</v>
      </c>
      <c r="AP125" s="72">
        <f t="shared" si="59"/>
        <v>195.00000000000006</v>
      </c>
      <c r="AQ125" s="72">
        <f t="shared" si="59"/>
        <v>325.00000000000006</v>
      </c>
      <c r="AR125" s="72">
        <f t="shared" si="59"/>
        <v>130.00000000000003</v>
      </c>
      <c r="AS125" s="72">
        <f t="shared" si="59"/>
        <v>130.00000000000003</v>
      </c>
      <c r="AT125" s="72">
        <f t="shared" si="59"/>
        <v>130.00000000000003</v>
      </c>
      <c r="AU125" s="72">
        <f t="shared" si="59"/>
        <v>130.00000000000003</v>
      </c>
      <c r="AV125" s="72">
        <f t="shared" si="59"/>
        <v>130.00000000000003</v>
      </c>
      <c r="AW125" s="72">
        <f t="shared" si="59"/>
        <v>325.00000000000006</v>
      </c>
      <c r="AX125" s="72">
        <f t="shared" si="59"/>
        <v>130.00000000000003</v>
      </c>
      <c r="AY125" s="72">
        <f t="shared" si="59"/>
        <v>130.00000000000003</v>
      </c>
      <c r="AZ125" s="72">
        <f t="shared" si="59"/>
        <v>130.00000000000003</v>
      </c>
      <c r="BA125" s="72">
        <f t="shared" si="59"/>
        <v>130.00000000000003</v>
      </c>
      <c r="BB125" s="72">
        <f t="shared" si="59"/>
        <v>195.00000000000006</v>
      </c>
      <c r="BC125" s="72">
        <f t="shared" si="59"/>
        <v>325.00000000000006</v>
      </c>
      <c r="BD125" s="72">
        <f t="shared" si="59"/>
        <v>130.00000000000003</v>
      </c>
      <c r="BE125" s="72">
        <f t="shared" si="59"/>
        <v>130.00000000000003</v>
      </c>
      <c r="BF125" s="72">
        <f t="shared" si="59"/>
        <v>130.00000000000003</v>
      </c>
      <c r="BG125" s="72">
        <f t="shared" si="59"/>
        <v>130.00000000000003</v>
      </c>
      <c r="BH125" s="72">
        <f t="shared" si="59"/>
        <v>130.00000000000003</v>
      </c>
      <c r="BI125" s="72">
        <f t="shared" si="59"/>
        <v>325.00000000000006</v>
      </c>
      <c r="BJ125" s="72">
        <f t="shared" si="59"/>
        <v>130.00000000000003</v>
      </c>
      <c r="BK125" s="72">
        <f t="shared" si="59"/>
        <v>130.00000000000003</v>
      </c>
      <c r="BL125" s="72">
        <f t="shared" si="59"/>
        <v>130.00000000000003</v>
      </c>
      <c r="BM125" s="72">
        <f t="shared" si="59"/>
        <v>130.00000000000003</v>
      </c>
      <c r="BN125" s="72">
        <f t="shared" si="59"/>
        <v>195.00000000000006</v>
      </c>
    </row>
    <row r="126" spans="2:66">
      <c r="B126" s="37" t="str">
        <f t="shared" si="60"/>
        <v>New York</v>
      </c>
      <c r="C126" t="str">
        <f t="shared" si="52"/>
        <v>Accessories</v>
      </c>
      <c r="G126" s="72">
        <f t="shared" si="59"/>
        <v>0</v>
      </c>
      <c r="H126" s="72">
        <f t="shared" si="59"/>
        <v>0</v>
      </c>
      <c r="I126" s="72">
        <f t="shared" si="59"/>
        <v>50</v>
      </c>
      <c r="J126" s="72">
        <f t="shared" si="59"/>
        <v>54.16666666666665</v>
      </c>
      <c r="K126" s="72">
        <f t="shared" si="59"/>
        <v>58.333333333333329</v>
      </c>
      <c r="L126" s="72">
        <f t="shared" si="59"/>
        <v>62.5</v>
      </c>
      <c r="M126" s="72">
        <f t="shared" si="59"/>
        <v>166.66666666666666</v>
      </c>
      <c r="N126" s="72">
        <f t="shared" si="59"/>
        <v>70.833333333333329</v>
      </c>
      <c r="O126" s="72">
        <f t="shared" si="59"/>
        <v>75</v>
      </c>
      <c r="P126" s="72">
        <f t="shared" si="59"/>
        <v>79.166666666666671</v>
      </c>
      <c r="Q126" s="72">
        <f t="shared" si="59"/>
        <v>83.333333333333343</v>
      </c>
      <c r="R126" s="72">
        <f t="shared" si="59"/>
        <v>131.25</v>
      </c>
      <c r="S126" s="72">
        <f t="shared" si="59"/>
        <v>229.16666666666669</v>
      </c>
      <c r="T126" s="72">
        <f t="shared" si="59"/>
        <v>95.833333333333343</v>
      </c>
      <c r="U126" s="72">
        <f t="shared" si="59"/>
        <v>100.00000000000003</v>
      </c>
      <c r="V126" s="72">
        <f t="shared" si="59"/>
        <v>100.00000000000003</v>
      </c>
      <c r="W126" s="72">
        <f t="shared" si="59"/>
        <v>100.00000000000003</v>
      </c>
      <c r="X126" s="72">
        <f t="shared" si="59"/>
        <v>100.00000000000003</v>
      </c>
      <c r="Y126" s="72">
        <f t="shared" si="59"/>
        <v>247.93388429752071</v>
      </c>
      <c r="Z126" s="72">
        <f t="shared" si="59"/>
        <v>100.00000000000003</v>
      </c>
      <c r="AA126" s="72">
        <f t="shared" si="59"/>
        <v>100.00000000000003</v>
      </c>
      <c r="AB126" s="72">
        <f t="shared" si="59"/>
        <v>100.00000000000003</v>
      </c>
      <c r="AC126" s="72">
        <f t="shared" si="59"/>
        <v>100.00000000000003</v>
      </c>
      <c r="AD126" s="72">
        <f t="shared" si="59"/>
        <v>150.00000000000003</v>
      </c>
      <c r="AE126" s="72">
        <f t="shared" si="59"/>
        <v>220.42615723732555</v>
      </c>
      <c r="AF126" s="72">
        <f t="shared" si="59"/>
        <v>100.00000000000003</v>
      </c>
      <c r="AG126" s="72">
        <f t="shared" si="59"/>
        <v>100.00000000000003</v>
      </c>
      <c r="AH126" s="72">
        <f t="shared" si="59"/>
        <v>100.00000000000003</v>
      </c>
      <c r="AI126" s="72">
        <f t="shared" si="59"/>
        <v>100.00000000000003</v>
      </c>
      <c r="AJ126" s="72">
        <f t="shared" si="59"/>
        <v>100.00000000000003</v>
      </c>
      <c r="AK126" s="72">
        <f t="shared" si="59"/>
        <v>213.371266002845</v>
      </c>
      <c r="AL126" s="72">
        <f t="shared" si="59"/>
        <v>100.00000000000003</v>
      </c>
      <c r="AM126" s="72">
        <f t="shared" si="59"/>
        <v>100.00000000000003</v>
      </c>
      <c r="AN126" s="72">
        <f t="shared" si="59"/>
        <v>100.00000000000003</v>
      </c>
      <c r="AO126" s="72">
        <f t="shared" si="59"/>
        <v>100.00000000000003</v>
      </c>
      <c r="AP126" s="72">
        <f t="shared" si="59"/>
        <v>150.00000000000003</v>
      </c>
      <c r="AQ126" s="72">
        <f t="shared" si="59"/>
        <v>211.86440677966107</v>
      </c>
      <c r="AR126" s="72">
        <f t="shared" si="59"/>
        <v>100.00000000000003</v>
      </c>
      <c r="AS126" s="72">
        <f t="shared" si="59"/>
        <v>100.00000000000003</v>
      </c>
      <c r="AT126" s="72">
        <f t="shared" si="59"/>
        <v>100.00000000000003</v>
      </c>
      <c r="AU126" s="72">
        <f t="shared" si="59"/>
        <v>100.00000000000003</v>
      </c>
      <c r="AV126" s="72">
        <f t="shared" si="59"/>
        <v>100.00000000000003</v>
      </c>
      <c r="AW126" s="72">
        <f t="shared" si="59"/>
        <v>211.86440677966107</v>
      </c>
      <c r="AX126" s="72">
        <f t="shared" si="59"/>
        <v>100.00000000000003</v>
      </c>
      <c r="AY126" s="72">
        <f t="shared" si="59"/>
        <v>100.00000000000003</v>
      </c>
      <c r="AZ126" s="72">
        <f t="shared" si="59"/>
        <v>100.00000000000003</v>
      </c>
      <c r="BA126" s="72">
        <f t="shared" si="59"/>
        <v>100.00000000000003</v>
      </c>
      <c r="BB126" s="72">
        <f t="shared" si="59"/>
        <v>150.00000000000003</v>
      </c>
      <c r="BC126" s="72">
        <f t="shared" si="59"/>
        <v>211.86440677966107</v>
      </c>
      <c r="BD126" s="72">
        <f t="shared" si="59"/>
        <v>100.00000000000003</v>
      </c>
      <c r="BE126" s="72">
        <f t="shared" si="59"/>
        <v>100.00000000000003</v>
      </c>
      <c r="BF126" s="72">
        <f t="shared" si="59"/>
        <v>100.00000000000003</v>
      </c>
      <c r="BG126" s="72">
        <f t="shared" si="59"/>
        <v>100.00000000000003</v>
      </c>
      <c r="BH126" s="72">
        <f t="shared" si="59"/>
        <v>100.00000000000003</v>
      </c>
      <c r="BI126" s="72">
        <f t="shared" si="59"/>
        <v>211.86440677966107</v>
      </c>
      <c r="BJ126" s="72">
        <f t="shared" si="59"/>
        <v>100.00000000000003</v>
      </c>
      <c r="BK126" s="72">
        <f t="shared" si="59"/>
        <v>100.00000000000003</v>
      </c>
      <c r="BL126" s="72">
        <f t="shared" si="59"/>
        <v>100.00000000000003</v>
      </c>
      <c r="BM126" s="72">
        <f t="shared" si="59"/>
        <v>100.00000000000003</v>
      </c>
      <c r="BN126" s="72">
        <f t="shared" si="59"/>
        <v>150.00000000000003</v>
      </c>
    </row>
    <row r="127" spans="2:66">
      <c r="B127" s="37" t="str">
        <f>CaseData!$B$33</f>
        <v>Montreal</v>
      </c>
      <c r="C127" t="str">
        <f t="shared" si="52"/>
        <v>Women's</v>
      </c>
      <c r="G127" s="72">
        <f t="shared" si="59"/>
        <v>0</v>
      </c>
      <c r="H127" s="72">
        <f t="shared" si="59"/>
        <v>0</v>
      </c>
      <c r="I127" s="72">
        <f t="shared" si="59"/>
        <v>0</v>
      </c>
      <c r="J127" s="72">
        <f t="shared" si="59"/>
        <v>0</v>
      </c>
      <c r="K127" s="72">
        <f t="shared" si="59"/>
        <v>0</v>
      </c>
      <c r="L127" s="72">
        <f t="shared" si="59"/>
        <v>0</v>
      </c>
      <c r="M127" s="72">
        <f t="shared" si="59"/>
        <v>0</v>
      </c>
      <c r="N127" s="72">
        <f t="shared" si="59"/>
        <v>0</v>
      </c>
      <c r="O127" s="72">
        <f t="shared" si="59"/>
        <v>90</v>
      </c>
      <c r="P127" s="72">
        <f t="shared" si="59"/>
        <v>97.499999999999972</v>
      </c>
      <c r="Q127" s="72">
        <f t="shared" si="59"/>
        <v>104.99999999999999</v>
      </c>
      <c r="R127" s="72">
        <f t="shared" si="59"/>
        <v>168.75</v>
      </c>
      <c r="S127" s="72">
        <f t="shared" si="59"/>
        <v>300</v>
      </c>
      <c r="T127" s="72">
        <f t="shared" si="59"/>
        <v>127.49999999999999</v>
      </c>
      <c r="U127" s="72">
        <f t="shared" si="59"/>
        <v>135</v>
      </c>
      <c r="V127" s="72">
        <f t="shared" ref="V127:BN127" si="61">V95*IF($C127=$C$105,V$108,1)</f>
        <v>142.5</v>
      </c>
      <c r="W127" s="72">
        <f t="shared" si="61"/>
        <v>150</v>
      </c>
      <c r="X127" s="72">
        <f t="shared" si="61"/>
        <v>157.5</v>
      </c>
      <c r="Y127" s="72">
        <f t="shared" si="61"/>
        <v>412.50000000000006</v>
      </c>
      <c r="Z127" s="72">
        <f t="shared" si="61"/>
        <v>172.50000000000003</v>
      </c>
      <c r="AA127" s="72">
        <f t="shared" si="61"/>
        <v>180.00000000000003</v>
      </c>
      <c r="AB127" s="72">
        <f t="shared" si="61"/>
        <v>180.00000000000003</v>
      </c>
      <c r="AC127" s="72">
        <f t="shared" si="61"/>
        <v>180.00000000000003</v>
      </c>
      <c r="AD127" s="72">
        <f t="shared" si="61"/>
        <v>270.00000000000006</v>
      </c>
      <c r="AE127" s="72">
        <f t="shared" si="61"/>
        <v>450.00000000000011</v>
      </c>
      <c r="AF127" s="72">
        <f t="shared" si="61"/>
        <v>180.00000000000003</v>
      </c>
      <c r="AG127" s="72">
        <f t="shared" si="61"/>
        <v>180.00000000000003</v>
      </c>
      <c r="AH127" s="72">
        <f t="shared" si="61"/>
        <v>180.00000000000003</v>
      </c>
      <c r="AI127" s="72">
        <f t="shared" si="61"/>
        <v>180.00000000000003</v>
      </c>
      <c r="AJ127" s="72">
        <f t="shared" si="61"/>
        <v>180.00000000000003</v>
      </c>
      <c r="AK127" s="72">
        <f t="shared" si="61"/>
        <v>450.00000000000011</v>
      </c>
      <c r="AL127" s="72">
        <f t="shared" si="61"/>
        <v>180.00000000000003</v>
      </c>
      <c r="AM127" s="72">
        <f t="shared" si="61"/>
        <v>180.00000000000003</v>
      </c>
      <c r="AN127" s="72">
        <f t="shared" si="61"/>
        <v>180.00000000000003</v>
      </c>
      <c r="AO127" s="72">
        <f t="shared" si="61"/>
        <v>180.00000000000003</v>
      </c>
      <c r="AP127" s="72">
        <f t="shared" si="61"/>
        <v>270.00000000000006</v>
      </c>
      <c r="AQ127" s="72">
        <f t="shared" si="61"/>
        <v>450.00000000000011</v>
      </c>
      <c r="AR127" s="72">
        <f t="shared" si="61"/>
        <v>180.00000000000003</v>
      </c>
      <c r="AS127" s="72">
        <f t="shared" si="61"/>
        <v>180.00000000000003</v>
      </c>
      <c r="AT127" s="72">
        <f t="shared" si="61"/>
        <v>180.00000000000003</v>
      </c>
      <c r="AU127" s="72">
        <f t="shared" si="61"/>
        <v>180.00000000000003</v>
      </c>
      <c r="AV127" s="72">
        <f t="shared" si="61"/>
        <v>180.00000000000003</v>
      </c>
      <c r="AW127" s="72">
        <f t="shared" si="61"/>
        <v>450.00000000000011</v>
      </c>
      <c r="AX127" s="72">
        <f t="shared" si="61"/>
        <v>180.00000000000003</v>
      </c>
      <c r="AY127" s="72">
        <f t="shared" si="61"/>
        <v>180.00000000000003</v>
      </c>
      <c r="AZ127" s="72">
        <f t="shared" si="61"/>
        <v>180.00000000000003</v>
      </c>
      <c r="BA127" s="72">
        <f t="shared" si="61"/>
        <v>180.00000000000003</v>
      </c>
      <c r="BB127" s="72">
        <f t="shared" si="61"/>
        <v>270.00000000000006</v>
      </c>
      <c r="BC127" s="72">
        <f t="shared" si="61"/>
        <v>450.00000000000011</v>
      </c>
      <c r="BD127" s="72">
        <f t="shared" si="61"/>
        <v>180.00000000000003</v>
      </c>
      <c r="BE127" s="72">
        <f t="shared" si="61"/>
        <v>180.00000000000003</v>
      </c>
      <c r="BF127" s="72">
        <f t="shared" si="61"/>
        <v>180.00000000000003</v>
      </c>
      <c r="BG127" s="72">
        <f t="shared" si="61"/>
        <v>180.00000000000003</v>
      </c>
      <c r="BH127" s="72">
        <f t="shared" si="61"/>
        <v>180.00000000000003</v>
      </c>
      <c r="BI127" s="72">
        <f t="shared" si="61"/>
        <v>450.00000000000011</v>
      </c>
      <c r="BJ127" s="72">
        <f t="shared" si="61"/>
        <v>180.00000000000003</v>
      </c>
      <c r="BK127" s="72">
        <f t="shared" si="61"/>
        <v>180.00000000000003</v>
      </c>
      <c r="BL127" s="72">
        <f t="shared" si="61"/>
        <v>180.00000000000003</v>
      </c>
      <c r="BM127" s="72">
        <f t="shared" si="61"/>
        <v>180.00000000000003</v>
      </c>
      <c r="BN127" s="72">
        <f t="shared" si="61"/>
        <v>270.00000000000006</v>
      </c>
    </row>
    <row r="128" spans="2:66">
      <c r="B128" s="37" t="str">
        <f>B127</f>
        <v>Montreal</v>
      </c>
      <c r="C128" t="str">
        <f t="shared" si="52"/>
        <v>Men's</v>
      </c>
      <c r="G128" s="72">
        <f t="shared" ref="G128:BN132" si="62">G96*IF($C128=$C$105,G$108,1)</f>
        <v>0</v>
      </c>
      <c r="H128" s="72">
        <f t="shared" si="62"/>
        <v>0</v>
      </c>
      <c r="I128" s="72">
        <f t="shared" si="62"/>
        <v>0</v>
      </c>
      <c r="J128" s="72">
        <f t="shared" si="62"/>
        <v>0</v>
      </c>
      <c r="K128" s="72">
        <f t="shared" si="62"/>
        <v>0</v>
      </c>
      <c r="L128" s="72">
        <f t="shared" si="62"/>
        <v>0</v>
      </c>
      <c r="M128" s="72">
        <f t="shared" si="62"/>
        <v>0</v>
      </c>
      <c r="N128" s="72">
        <f t="shared" si="62"/>
        <v>0</v>
      </c>
      <c r="O128" s="72">
        <f t="shared" si="62"/>
        <v>85</v>
      </c>
      <c r="P128" s="72">
        <f t="shared" si="62"/>
        <v>92.083333333333314</v>
      </c>
      <c r="Q128" s="72">
        <f t="shared" si="62"/>
        <v>99.166666666666657</v>
      </c>
      <c r="R128" s="72">
        <f t="shared" si="62"/>
        <v>159.375</v>
      </c>
      <c r="S128" s="72">
        <f t="shared" si="62"/>
        <v>283.33333333333331</v>
      </c>
      <c r="T128" s="72">
        <f t="shared" si="62"/>
        <v>120.41666666666666</v>
      </c>
      <c r="U128" s="72">
        <f t="shared" si="62"/>
        <v>127.5</v>
      </c>
      <c r="V128" s="72">
        <f t="shared" si="62"/>
        <v>134.58333333333334</v>
      </c>
      <c r="W128" s="72">
        <f t="shared" si="62"/>
        <v>141.66666666666669</v>
      </c>
      <c r="X128" s="72">
        <f t="shared" si="62"/>
        <v>148.75</v>
      </c>
      <c r="Y128" s="72">
        <f t="shared" si="62"/>
        <v>389.58333333333337</v>
      </c>
      <c r="Z128" s="72">
        <f t="shared" si="62"/>
        <v>162.91666666666669</v>
      </c>
      <c r="AA128" s="72">
        <f t="shared" si="62"/>
        <v>170.00000000000003</v>
      </c>
      <c r="AB128" s="72">
        <f t="shared" si="62"/>
        <v>170.00000000000003</v>
      </c>
      <c r="AC128" s="72">
        <f t="shared" si="62"/>
        <v>170.00000000000003</v>
      </c>
      <c r="AD128" s="72">
        <f t="shared" si="62"/>
        <v>255.00000000000006</v>
      </c>
      <c r="AE128" s="72">
        <f t="shared" si="62"/>
        <v>425.00000000000011</v>
      </c>
      <c r="AF128" s="72">
        <f t="shared" si="62"/>
        <v>170.00000000000003</v>
      </c>
      <c r="AG128" s="72">
        <f t="shared" si="62"/>
        <v>170.00000000000003</v>
      </c>
      <c r="AH128" s="72">
        <f t="shared" si="62"/>
        <v>170.00000000000003</v>
      </c>
      <c r="AI128" s="72">
        <f t="shared" si="62"/>
        <v>170.00000000000003</v>
      </c>
      <c r="AJ128" s="72">
        <f t="shared" si="62"/>
        <v>170.00000000000003</v>
      </c>
      <c r="AK128" s="72">
        <f t="shared" si="62"/>
        <v>425.00000000000011</v>
      </c>
      <c r="AL128" s="72">
        <f t="shared" si="62"/>
        <v>170.00000000000003</v>
      </c>
      <c r="AM128" s="72">
        <f t="shared" si="62"/>
        <v>170.00000000000003</v>
      </c>
      <c r="AN128" s="72">
        <f t="shared" si="62"/>
        <v>170.00000000000003</v>
      </c>
      <c r="AO128" s="72">
        <f t="shared" si="62"/>
        <v>170.00000000000003</v>
      </c>
      <c r="AP128" s="72">
        <f t="shared" si="62"/>
        <v>255.00000000000006</v>
      </c>
      <c r="AQ128" s="72">
        <f t="shared" si="62"/>
        <v>425.00000000000011</v>
      </c>
      <c r="AR128" s="72">
        <f t="shared" si="62"/>
        <v>170.00000000000003</v>
      </c>
      <c r="AS128" s="72">
        <f t="shared" si="62"/>
        <v>170.00000000000003</v>
      </c>
      <c r="AT128" s="72">
        <f t="shared" si="62"/>
        <v>170.00000000000003</v>
      </c>
      <c r="AU128" s="72">
        <f t="shared" si="62"/>
        <v>170.00000000000003</v>
      </c>
      <c r="AV128" s="72">
        <f t="shared" si="62"/>
        <v>170.00000000000003</v>
      </c>
      <c r="AW128" s="72">
        <f t="shared" si="62"/>
        <v>425.00000000000011</v>
      </c>
      <c r="AX128" s="72">
        <f t="shared" si="62"/>
        <v>170.00000000000003</v>
      </c>
      <c r="AY128" s="72">
        <f t="shared" si="62"/>
        <v>170.00000000000003</v>
      </c>
      <c r="AZ128" s="72">
        <f t="shared" si="62"/>
        <v>170.00000000000003</v>
      </c>
      <c r="BA128" s="72">
        <f t="shared" si="62"/>
        <v>170.00000000000003</v>
      </c>
      <c r="BB128" s="72">
        <f t="shared" si="62"/>
        <v>255.00000000000006</v>
      </c>
      <c r="BC128" s="72">
        <f t="shared" si="62"/>
        <v>425.00000000000011</v>
      </c>
      <c r="BD128" s="72">
        <f t="shared" si="62"/>
        <v>170.00000000000003</v>
      </c>
      <c r="BE128" s="72">
        <f t="shared" si="62"/>
        <v>170.00000000000003</v>
      </c>
      <c r="BF128" s="72">
        <f t="shared" si="62"/>
        <v>170.00000000000003</v>
      </c>
      <c r="BG128" s="72">
        <f t="shared" si="62"/>
        <v>170.00000000000003</v>
      </c>
      <c r="BH128" s="72">
        <f t="shared" si="62"/>
        <v>170.00000000000003</v>
      </c>
      <c r="BI128" s="72">
        <f t="shared" si="62"/>
        <v>425.00000000000011</v>
      </c>
      <c r="BJ128" s="72">
        <f t="shared" si="62"/>
        <v>170.00000000000003</v>
      </c>
      <c r="BK128" s="72">
        <f t="shared" si="62"/>
        <v>170.00000000000003</v>
      </c>
      <c r="BL128" s="72">
        <f t="shared" si="62"/>
        <v>170.00000000000003</v>
      </c>
      <c r="BM128" s="72">
        <f t="shared" si="62"/>
        <v>170.00000000000003</v>
      </c>
      <c r="BN128" s="72">
        <f t="shared" si="62"/>
        <v>255.00000000000006</v>
      </c>
    </row>
    <row r="129" spans="2:72">
      <c r="B129" s="37" t="str">
        <f t="shared" ref="B129" si="63">B128</f>
        <v>Montreal</v>
      </c>
      <c r="C129" t="str">
        <f t="shared" si="52"/>
        <v>Accessories</v>
      </c>
      <c r="G129" s="72">
        <f t="shared" si="62"/>
        <v>0</v>
      </c>
      <c r="H129" s="72">
        <f t="shared" si="62"/>
        <v>0</v>
      </c>
      <c r="I129" s="72">
        <f t="shared" si="62"/>
        <v>0</v>
      </c>
      <c r="J129" s="72">
        <f t="shared" si="62"/>
        <v>0</v>
      </c>
      <c r="K129" s="72">
        <f t="shared" si="62"/>
        <v>0</v>
      </c>
      <c r="L129" s="72">
        <f t="shared" si="62"/>
        <v>0</v>
      </c>
      <c r="M129" s="72">
        <f t="shared" si="62"/>
        <v>0</v>
      </c>
      <c r="N129" s="72">
        <f t="shared" si="62"/>
        <v>0</v>
      </c>
      <c r="O129" s="72">
        <f t="shared" si="62"/>
        <v>130</v>
      </c>
      <c r="P129" s="72">
        <f t="shared" si="62"/>
        <v>140.83333333333329</v>
      </c>
      <c r="Q129" s="72">
        <f t="shared" si="62"/>
        <v>151.66666666666666</v>
      </c>
      <c r="R129" s="72">
        <f t="shared" si="62"/>
        <v>243.75</v>
      </c>
      <c r="S129" s="72">
        <f t="shared" si="62"/>
        <v>433.33333333333331</v>
      </c>
      <c r="T129" s="72">
        <f t="shared" si="62"/>
        <v>184.16666666666666</v>
      </c>
      <c r="U129" s="72">
        <f t="shared" si="62"/>
        <v>195</v>
      </c>
      <c r="V129" s="72">
        <f t="shared" si="62"/>
        <v>205.83333333333334</v>
      </c>
      <c r="W129" s="72">
        <f t="shared" si="62"/>
        <v>216.66666666666669</v>
      </c>
      <c r="X129" s="72">
        <f t="shared" si="62"/>
        <v>227.5</v>
      </c>
      <c r="Y129" s="72">
        <f t="shared" si="62"/>
        <v>590.90909090909088</v>
      </c>
      <c r="Z129" s="72">
        <f t="shared" si="62"/>
        <v>249.16666666666671</v>
      </c>
      <c r="AA129" s="72">
        <f t="shared" si="62"/>
        <v>260.00000000000006</v>
      </c>
      <c r="AB129" s="72">
        <f t="shared" si="62"/>
        <v>260.00000000000006</v>
      </c>
      <c r="AC129" s="72">
        <f t="shared" si="62"/>
        <v>260.00000000000006</v>
      </c>
      <c r="AD129" s="72">
        <f t="shared" si="62"/>
        <v>390.00000000000011</v>
      </c>
      <c r="AE129" s="72">
        <f t="shared" si="62"/>
        <v>573.10800881704643</v>
      </c>
      <c r="AF129" s="72">
        <f t="shared" si="62"/>
        <v>260.00000000000006</v>
      </c>
      <c r="AG129" s="72">
        <f t="shared" si="62"/>
        <v>260.00000000000006</v>
      </c>
      <c r="AH129" s="72">
        <f t="shared" si="62"/>
        <v>260.00000000000006</v>
      </c>
      <c r="AI129" s="72">
        <f t="shared" si="62"/>
        <v>260.00000000000006</v>
      </c>
      <c r="AJ129" s="72">
        <f t="shared" si="62"/>
        <v>260.00000000000006</v>
      </c>
      <c r="AK129" s="72">
        <f t="shared" si="62"/>
        <v>554.76529160739699</v>
      </c>
      <c r="AL129" s="72">
        <f t="shared" si="62"/>
        <v>260.00000000000006</v>
      </c>
      <c r="AM129" s="72">
        <f t="shared" si="62"/>
        <v>260.00000000000006</v>
      </c>
      <c r="AN129" s="72">
        <f t="shared" si="62"/>
        <v>260.00000000000006</v>
      </c>
      <c r="AO129" s="72">
        <f t="shared" si="62"/>
        <v>260.00000000000006</v>
      </c>
      <c r="AP129" s="72">
        <f t="shared" si="62"/>
        <v>390.00000000000011</v>
      </c>
      <c r="AQ129" s="72">
        <f t="shared" si="62"/>
        <v>550.84745762711873</v>
      </c>
      <c r="AR129" s="72">
        <f t="shared" si="62"/>
        <v>260.00000000000006</v>
      </c>
      <c r="AS129" s="72">
        <f t="shared" si="62"/>
        <v>260.00000000000006</v>
      </c>
      <c r="AT129" s="72">
        <f t="shared" si="62"/>
        <v>260.00000000000006</v>
      </c>
      <c r="AU129" s="72">
        <f t="shared" si="62"/>
        <v>260.00000000000006</v>
      </c>
      <c r="AV129" s="72">
        <f t="shared" si="62"/>
        <v>260.00000000000006</v>
      </c>
      <c r="AW129" s="72">
        <f t="shared" si="62"/>
        <v>550.84745762711873</v>
      </c>
      <c r="AX129" s="72">
        <f t="shared" si="62"/>
        <v>260.00000000000006</v>
      </c>
      <c r="AY129" s="72">
        <f t="shared" si="62"/>
        <v>260.00000000000006</v>
      </c>
      <c r="AZ129" s="72">
        <f t="shared" si="62"/>
        <v>260.00000000000006</v>
      </c>
      <c r="BA129" s="72">
        <f t="shared" si="62"/>
        <v>260.00000000000006</v>
      </c>
      <c r="BB129" s="72">
        <f t="shared" si="62"/>
        <v>390.00000000000011</v>
      </c>
      <c r="BC129" s="72">
        <f t="shared" si="62"/>
        <v>550.84745762711873</v>
      </c>
      <c r="BD129" s="72">
        <f t="shared" si="62"/>
        <v>260.00000000000006</v>
      </c>
      <c r="BE129" s="72">
        <f t="shared" si="62"/>
        <v>260.00000000000006</v>
      </c>
      <c r="BF129" s="72">
        <f t="shared" si="62"/>
        <v>260.00000000000006</v>
      </c>
      <c r="BG129" s="72">
        <f t="shared" si="62"/>
        <v>260.00000000000006</v>
      </c>
      <c r="BH129" s="72">
        <f t="shared" si="62"/>
        <v>260.00000000000006</v>
      </c>
      <c r="BI129" s="72">
        <f t="shared" si="62"/>
        <v>550.84745762711873</v>
      </c>
      <c r="BJ129" s="72">
        <f t="shared" si="62"/>
        <v>260.00000000000006</v>
      </c>
      <c r="BK129" s="72">
        <f t="shared" si="62"/>
        <v>260.00000000000006</v>
      </c>
      <c r="BL129" s="72">
        <f t="shared" si="62"/>
        <v>260.00000000000006</v>
      </c>
      <c r="BM129" s="72">
        <f t="shared" si="62"/>
        <v>260.00000000000006</v>
      </c>
      <c r="BN129" s="72">
        <f t="shared" si="62"/>
        <v>390.00000000000011</v>
      </c>
    </row>
    <row r="130" spans="2:72">
      <c r="B130" s="37" t="str">
        <f>CaseData!$B$34</f>
        <v>Zurich</v>
      </c>
      <c r="C130" t="str">
        <f t="shared" si="52"/>
        <v>Women's</v>
      </c>
      <c r="G130" s="72">
        <f t="shared" si="62"/>
        <v>0</v>
      </c>
      <c r="H130" s="72">
        <f t="shared" si="62"/>
        <v>0</v>
      </c>
      <c r="I130" s="72">
        <f t="shared" si="62"/>
        <v>0</v>
      </c>
      <c r="J130" s="72">
        <f t="shared" si="62"/>
        <v>0</v>
      </c>
      <c r="K130" s="72">
        <f t="shared" si="62"/>
        <v>0</v>
      </c>
      <c r="L130" s="72">
        <f t="shared" si="62"/>
        <v>0</v>
      </c>
      <c r="M130" s="72">
        <f t="shared" si="62"/>
        <v>0</v>
      </c>
      <c r="N130" s="72">
        <f t="shared" si="62"/>
        <v>0</v>
      </c>
      <c r="O130" s="72">
        <f t="shared" si="62"/>
        <v>0</v>
      </c>
      <c r="P130" s="72">
        <f t="shared" si="62"/>
        <v>0</v>
      </c>
      <c r="Q130" s="72">
        <f t="shared" si="62"/>
        <v>0</v>
      </c>
      <c r="R130" s="72">
        <f t="shared" si="62"/>
        <v>0</v>
      </c>
      <c r="S130" s="72">
        <f t="shared" si="62"/>
        <v>0</v>
      </c>
      <c r="T130" s="72">
        <f t="shared" si="62"/>
        <v>0</v>
      </c>
      <c r="U130" s="72">
        <f t="shared" si="62"/>
        <v>140</v>
      </c>
      <c r="V130" s="72">
        <f t="shared" si="62"/>
        <v>151.66666666666663</v>
      </c>
      <c r="W130" s="72">
        <f t="shared" si="62"/>
        <v>163.33333333333331</v>
      </c>
      <c r="X130" s="72">
        <f t="shared" si="62"/>
        <v>175</v>
      </c>
      <c r="Y130" s="72">
        <f t="shared" si="62"/>
        <v>466.66666666666663</v>
      </c>
      <c r="Z130" s="72">
        <f t="shared" si="62"/>
        <v>198.33333333333331</v>
      </c>
      <c r="AA130" s="72">
        <f t="shared" si="62"/>
        <v>210</v>
      </c>
      <c r="AB130" s="72">
        <f t="shared" si="62"/>
        <v>221.66666666666669</v>
      </c>
      <c r="AC130" s="72">
        <f t="shared" si="62"/>
        <v>233.33333333333334</v>
      </c>
      <c r="AD130" s="72">
        <f t="shared" si="62"/>
        <v>367.5</v>
      </c>
      <c r="AE130" s="72">
        <f t="shared" si="62"/>
        <v>641.66666666666674</v>
      </c>
      <c r="AF130" s="72">
        <f t="shared" si="62"/>
        <v>268.33333333333337</v>
      </c>
      <c r="AG130" s="72">
        <f t="shared" si="62"/>
        <v>280.00000000000006</v>
      </c>
      <c r="AH130" s="72">
        <f t="shared" si="62"/>
        <v>280.00000000000006</v>
      </c>
      <c r="AI130" s="72">
        <f t="shared" si="62"/>
        <v>280.00000000000006</v>
      </c>
      <c r="AJ130" s="72">
        <f t="shared" si="62"/>
        <v>280.00000000000006</v>
      </c>
      <c r="AK130" s="72">
        <f t="shared" si="62"/>
        <v>700.00000000000011</v>
      </c>
      <c r="AL130" s="72">
        <f t="shared" si="62"/>
        <v>280.00000000000006</v>
      </c>
      <c r="AM130" s="72">
        <f t="shared" si="62"/>
        <v>280.00000000000006</v>
      </c>
      <c r="AN130" s="72">
        <f t="shared" si="62"/>
        <v>280.00000000000006</v>
      </c>
      <c r="AO130" s="72">
        <f t="shared" si="62"/>
        <v>280.00000000000006</v>
      </c>
      <c r="AP130" s="72">
        <f t="shared" si="62"/>
        <v>420.00000000000011</v>
      </c>
      <c r="AQ130" s="72">
        <f t="shared" si="62"/>
        <v>700.00000000000011</v>
      </c>
      <c r="AR130" s="72">
        <f t="shared" si="62"/>
        <v>280.00000000000006</v>
      </c>
      <c r="AS130" s="72">
        <f t="shared" si="62"/>
        <v>280.00000000000006</v>
      </c>
      <c r="AT130" s="72">
        <f t="shared" si="62"/>
        <v>280.00000000000006</v>
      </c>
      <c r="AU130" s="72">
        <f t="shared" si="62"/>
        <v>280.00000000000006</v>
      </c>
      <c r="AV130" s="72">
        <f t="shared" si="62"/>
        <v>280.00000000000006</v>
      </c>
      <c r="AW130" s="72">
        <f t="shared" si="62"/>
        <v>700.00000000000011</v>
      </c>
      <c r="AX130" s="72">
        <f t="shared" si="62"/>
        <v>280.00000000000006</v>
      </c>
      <c r="AY130" s="72">
        <f t="shared" si="62"/>
        <v>280.00000000000006</v>
      </c>
      <c r="AZ130" s="72">
        <f t="shared" si="62"/>
        <v>280.00000000000006</v>
      </c>
      <c r="BA130" s="72">
        <f t="shared" si="62"/>
        <v>280.00000000000006</v>
      </c>
      <c r="BB130" s="72">
        <f t="shared" si="62"/>
        <v>420.00000000000011</v>
      </c>
      <c r="BC130" s="72">
        <f t="shared" si="62"/>
        <v>700.00000000000011</v>
      </c>
      <c r="BD130" s="72">
        <f t="shared" si="62"/>
        <v>280.00000000000006</v>
      </c>
      <c r="BE130" s="72">
        <f t="shared" si="62"/>
        <v>280.00000000000006</v>
      </c>
      <c r="BF130" s="72">
        <f t="shared" si="62"/>
        <v>280.00000000000006</v>
      </c>
      <c r="BG130" s="72">
        <f t="shared" si="62"/>
        <v>280.00000000000006</v>
      </c>
      <c r="BH130" s="72">
        <f t="shared" si="62"/>
        <v>280.00000000000006</v>
      </c>
      <c r="BI130" s="72">
        <f t="shared" si="62"/>
        <v>700.00000000000011</v>
      </c>
      <c r="BJ130" s="72">
        <f t="shared" si="62"/>
        <v>280.00000000000006</v>
      </c>
      <c r="BK130" s="72">
        <f t="shared" si="62"/>
        <v>280.00000000000006</v>
      </c>
      <c r="BL130" s="72">
        <f t="shared" si="62"/>
        <v>280.00000000000006</v>
      </c>
      <c r="BM130" s="72">
        <f t="shared" si="62"/>
        <v>280.00000000000006</v>
      </c>
      <c r="BN130" s="72">
        <f t="shared" si="62"/>
        <v>420.00000000000011</v>
      </c>
    </row>
    <row r="131" spans="2:72">
      <c r="B131" s="37" t="str">
        <f t="shared" ref="B131:B132" si="64">B130</f>
        <v>Zurich</v>
      </c>
      <c r="C131" t="str">
        <f t="shared" si="52"/>
        <v>Men's</v>
      </c>
      <c r="G131" s="72">
        <f t="shared" si="62"/>
        <v>0</v>
      </c>
      <c r="H131" s="72">
        <f t="shared" si="62"/>
        <v>0</v>
      </c>
      <c r="I131" s="72">
        <f t="shared" si="62"/>
        <v>0</v>
      </c>
      <c r="J131" s="72">
        <f t="shared" si="62"/>
        <v>0</v>
      </c>
      <c r="K131" s="72">
        <f t="shared" si="62"/>
        <v>0</v>
      </c>
      <c r="L131" s="72">
        <f t="shared" si="62"/>
        <v>0</v>
      </c>
      <c r="M131" s="72">
        <f t="shared" si="62"/>
        <v>0</v>
      </c>
      <c r="N131" s="72">
        <f t="shared" si="62"/>
        <v>0</v>
      </c>
      <c r="O131" s="72">
        <f t="shared" si="62"/>
        <v>0</v>
      </c>
      <c r="P131" s="72">
        <f t="shared" si="62"/>
        <v>0</v>
      </c>
      <c r="Q131" s="72">
        <f t="shared" si="62"/>
        <v>0</v>
      </c>
      <c r="R131" s="72">
        <f t="shared" si="62"/>
        <v>0</v>
      </c>
      <c r="S131" s="72">
        <f t="shared" si="62"/>
        <v>0</v>
      </c>
      <c r="T131" s="72">
        <f t="shared" si="62"/>
        <v>0</v>
      </c>
      <c r="U131" s="72">
        <f t="shared" si="62"/>
        <v>85</v>
      </c>
      <c r="V131" s="72">
        <f t="shared" si="62"/>
        <v>92.083333333333314</v>
      </c>
      <c r="W131" s="72">
        <f t="shared" si="62"/>
        <v>99.166666666666657</v>
      </c>
      <c r="X131" s="72">
        <f t="shared" si="62"/>
        <v>106.25</v>
      </c>
      <c r="Y131" s="72">
        <f t="shared" si="62"/>
        <v>283.33333333333331</v>
      </c>
      <c r="Z131" s="72">
        <f t="shared" si="62"/>
        <v>120.41666666666666</v>
      </c>
      <c r="AA131" s="72">
        <f t="shared" si="62"/>
        <v>127.5</v>
      </c>
      <c r="AB131" s="72">
        <f t="shared" si="62"/>
        <v>134.58333333333334</v>
      </c>
      <c r="AC131" s="72">
        <f t="shared" si="62"/>
        <v>141.66666666666669</v>
      </c>
      <c r="AD131" s="72">
        <f t="shared" si="62"/>
        <v>223.125</v>
      </c>
      <c r="AE131" s="72">
        <f t="shared" si="62"/>
        <v>389.58333333333337</v>
      </c>
      <c r="AF131" s="72">
        <f t="shared" si="62"/>
        <v>162.91666666666669</v>
      </c>
      <c r="AG131" s="72">
        <f t="shared" si="62"/>
        <v>170.00000000000003</v>
      </c>
      <c r="AH131" s="72">
        <f t="shared" si="62"/>
        <v>170.00000000000003</v>
      </c>
      <c r="AI131" s="72">
        <f t="shared" si="62"/>
        <v>170.00000000000003</v>
      </c>
      <c r="AJ131" s="72">
        <f t="shared" si="62"/>
        <v>170.00000000000003</v>
      </c>
      <c r="AK131" s="72">
        <f t="shared" si="62"/>
        <v>425.00000000000011</v>
      </c>
      <c r="AL131" s="72">
        <f t="shared" si="62"/>
        <v>170.00000000000003</v>
      </c>
      <c r="AM131" s="72">
        <f t="shared" si="62"/>
        <v>170.00000000000003</v>
      </c>
      <c r="AN131" s="72">
        <f t="shared" si="62"/>
        <v>170.00000000000003</v>
      </c>
      <c r="AO131" s="72">
        <f t="shared" si="62"/>
        <v>170.00000000000003</v>
      </c>
      <c r="AP131" s="72">
        <f t="shared" si="62"/>
        <v>255.00000000000006</v>
      </c>
      <c r="AQ131" s="72">
        <f t="shared" si="62"/>
        <v>425.00000000000011</v>
      </c>
      <c r="AR131" s="72">
        <f t="shared" si="62"/>
        <v>170.00000000000003</v>
      </c>
      <c r="AS131" s="72">
        <f t="shared" si="62"/>
        <v>170.00000000000003</v>
      </c>
      <c r="AT131" s="72">
        <f t="shared" si="62"/>
        <v>170.00000000000003</v>
      </c>
      <c r="AU131" s="72">
        <f t="shared" si="62"/>
        <v>170.00000000000003</v>
      </c>
      <c r="AV131" s="72">
        <f t="shared" si="62"/>
        <v>170.00000000000003</v>
      </c>
      <c r="AW131" s="72">
        <f t="shared" si="62"/>
        <v>425.00000000000011</v>
      </c>
      <c r="AX131" s="72">
        <f t="shared" si="62"/>
        <v>170.00000000000003</v>
      </c>
      <c r="AY131" s="72">
        <f t="shared" si="62"/>
        <v>170.00000000000003</v>
      </c>
      <c r="AZ131" s="72">
        <f t="shared" si="62"/>
        <v>170.00000000000003</v>
      </c>
      <c r="BA131" s="72">
        <f t="shared" si="62"/>
        <v>170.00000000000003</v>
      </c>
      <c r="BB131" s="72">
        <f t="shared" si="62"/>
        <v>255.00000000000006</v>
      </c>
      <c r="BC131" s="72">
        <f t="shared" si="62"/>
        <v>425.00000000000011</v>
      </c>
      <c r="BD131" s="72">
        <f t="shared" si="62"/>
        <v>170.00000000000003</v>
      </c>
      <c r="BE131" s="72">
        <f t="shared" si="62"/>
        <v>170.00000000000003</v>
      </c>
      <c r="BF131" s="72">
        <f t="shared" si="62"/>
        <v>170.00000000000003</v>
      </c>
      <c r="BG131" s="72">
        <f t="shared" si="62"/>
        <v>170.00000000000003</v>
      </c>
      <c r="BH131" s="72">
        <f t="shared" si="62"/>
        <v>170.00000000000003</v>
      </c>
      <c r="BI131" s="72">
        <f t="shared" si="62"/>
        <v>425.00000000000011</v>
      </c>
      <c r="BJ131" s="72">
        <f t="shared" si="62"/>
        <v>170.00000000000003</v>
      </c>
      <c r="BK131" s="72">
        <f t="shared" si="62"/>
        <v>170.00000000000003</v>
      </c>
      <c r="BL131" s="72">
        <f t="shared" si="62"/>
        <v>170.00000000000003</v>
      </c>
      <c r="BM131" s="72">
        <f t="shared" si="62"/>
        <v>170.00000000000003</v>
      </c>
      <c r="BN131" s="72">
        <f t="shared" si="62"/>
        <v>255.00000000000006</v>
      </c>
    </row>
    <row r="132" spans="2:72">
      <c r="B132" s="37" t="str">
        <f t="shared" si="64"/>
        <v>Zurich</v>
      </c>
      <c r="C132" t="str">
        <f t="shared" si="52"/>
        <v>Accessories</v>
      </c>
      <c r="G132" s="72">
        <f t="shared" si="62"/>
        <v>0</v>
      </c>
      <c r="H132" s="72">
        <f t="shared" si="62"/>
        <v>0</v>
      </c>
      <c r="I132" s="72">
        <f t="shared" si="62"/>
        <v>0</v>
      </c>
      <c r="J132" s="72">
        <f t="shared" si="62"/>
        <v>0</v>
      </c>
      <c r="K132" s="72">
        <f t="shared" si="62"/>
        <v>0</v>
      </c>
      <c r="L132" s="72">
        <f t="shared" si="62"/>
        <v>0</v>
      </c>
      <c r="M132" s="72">
        <f t="shared" si="62"/>
        <v>0</v>
      </c>
      <c r="N132" s="72">
        <f t="shared" si="62"/>
        <v>0</v>
      </c>
      <c r="O132" s="72">
        <f t="shared" si="62"/>
        <v>0</v>
      </c>
      <c r="P132" s="72">
        <f t="shared" si="62"/>
        <v>0</v>
      </c>
      <c r="Q132" s="72">
        <f t="shared" si="62"/>
        <v>0</v>
      </c>
      <c r="R132" s="72">
        <f t="shared" si="62"/>
        <v>0</v>
      </c>
      <c r="S132" s="72">
        <f t="shared" si="62"/>
        <v>0</v>
      </c>
      <c r="T132" s="72">
        <f t="shared" si="62"/>
        <v>0</v>
      </c>
      <c r="U132" s="72">
        <f t="shared" si="62"/>
        <v>75</v>
      </c>
      <c r="V132" s="72">
        <f t="shared" ref="V132:BN132" si="65">V100*IF($C132=$C$105,V$108,1)</f>
        <v>81.249999999999972</v>
      </c>
      <c r="W132" s="72">
        <f t="shared" si="65"/>
        <v>87.499999999999986</v>
      </c>
      <c r="X132" s="72">
        <f t="shared" si="65"/>
        <v>93.75</v>
      </c>
      <c r="Y132" s="72">
        <f t="shared" si="65"/>
        <v>247.93388429752065</v>
      </c>
      <c r="Z132" s="72">
        <f t="shared" si="65"/>
        <v>106.24999999999999</v>
      </c>
      <c r="AA132" s="72">
        <f t="shared" si="65"/>
        <v>112.5</v>
      </c>
      <c r="AB132" s="72">
        <f t="shared" si="65"/>
        <v>118.75000000000001</v>
      </c>
      <c r="AC132" s="72">
        <f t="shared" si="65"/>
        <v>125</v>
      </c>
      <c r="AD132" s="72">
        <f t="shared" si="65"/>
        <v>196.875</v>
      </c>
      <c r="AE132" s="72">
        <f t="shared" si="65"/>
        <v>303.08596620132255</v>
      </c>
      <c r="AF132" s="72">
        <f t="shared" si="65"/>
        <v>143.75000000000003</v>
      </c>
      <c r="AG132" s="72">
        <f t="shared" si="65"/>
        <v>150.00000000000003</v>
      </c>
      <c r="AH132" s="72">
        <f t="shared" si="65"/>
        <v>150.00000000000003</v>
      </c>
      <c r="AI132" s="72">
        <f t="shared" si="65"/>
        <v>150.00000000000003</v>
      </c>
      <c r="AJ132" s="72">
        <f t="shared" si="65"/>
        <v>150.00000000000003</v>
      </c>
      <c r="AK132" s="72">
        <f t="shared" si="65"/>
        <v>320.05689900426745</v>
      </c>
      <c r="AL132" s="72">
        <f t="shared" si="65"/>
        <v>150.00000000000003</v>
      </c>
      <c r="AM132" s="72">
        <f t="shared" si="65"/>
        <v>150.00000000000003</v>
      </c>
      <c r="AN132" s="72">
        <f t="shared" si="65"/>
        <v>150.00000000000003</v>
      </c>
      <c r="AO132" s="72">
        <f t="shared" si="65"/>
        <v>150.00000000000003</v>
      </c>
      <c r="AP132" s="72">
        <f t="shared" si="65"/>
        <v>225.00000000000006</v>
      </c>
      <c r="AQ132" s="72">
        <f t="shared" si="65"/>
        <v>317.79661016949154</v>
      </c>
      <c r="AR132" s="72">
        <f t="shared" si="65"/>
        <v>150.00000000000003</v>
      </c>
      <c r="AS132" s="72">
        <f t="shared" si="65"/>
        <v>150.00000000000003</v>
      </c>
      <c r="AT132" s="72">
        <f t="shared" si="65"/>
        <v>150.00000000000003</v>
      </c>
      <c r="AU132" s="72">
        <f t="shared" si="65"/>
        <v>150.00000000000003</v>
      </c>
      <c r="AV132" s="72">
        <f t="shared" si="65"/>
        <v>150.00000000000003</v>
      </c>
      <c r="AW132" s="72">
        <f t="shared" si="65"/>
        <v>317.79661016949154</v>
      </c>
      <c r="AX132" s="72">
        <f t="shared" si="65"/>
        <v>150.00000000000003</v>
      </c>
      <c r="AY132" s="72">
        <f t="shared" si="65"/>
        <v>150.00000000000003</v>
      </c>
      <c r="AZ132" s="72">
        <f t="shared" si="65"/>
        <v>150.00000000000003</v>
      </c>
      <c r="BA132" s="72">
        <f t="shared" si="65"/>
        <v>150.00000000000003</v>
      </c>
      <c r="BB132" s="72">
        <f t="shared" si="65"/>
        <v>225.00000000000006</v>
      </c>
      <c r="BC132" s="72">
        <f t="shared" si="65"/>
        <v>317.79661016949154</v>
      </c>
      <c r="BD132" s="72">
        <f t="shared" si="65"/>
        <v>150.00000000000003</v>
      </c>
      <c r="BE132" s="72">
        <f t="shared" si="65"/>
        <v>150.00000000000003</v>
      </c>
      <c r="BF132" s="72">
        <f t="shared" si="65"/>
        <v>150.00000000000003</v>
      </c>
      <c r="BG132" s="72">
        <f t="shared" si="65"/>
        <v>150.00000000000003</v>
      </c>
      <c r="BH132" s="72">
        <f t="shared" si="65"/>
        <v>150.00000000000003</v>
      </c>
      <c r="BI132" s="72">
        <f t="shared" si="65"/>
        <v>317.79661016949154</v>
      </c>
      <c r="BJ132" s="72">
        <f t="shared" si="65"/>
        <v>150.00000000000003</v>
      </c>
      <c r="BK132" s="72">
        <f t="shared" si="65"/>
        <v>150.00000000000003</v>
      </c>
      <c r="BL132" s="72">
        <f t="shared" si="65"/>
        <v>150.00000000000003</v>
      </c>
      <c r="BM132" s="72">
        <f t="shared" si="65"/>
        <v>150.00000000000003</v>
      </c>
      <c r="BN132" s="72">
        <f t="shared" si="65"/>
        <v>225.00000000000006</v>
      </c>
    </row>
    <row r="133" spans="2:72">
      <c r="B133" s="37" t="str">
        <f>CaseData!$B$35</f>
        <v>Moscow</v>
      </c>
      <c r="C133" t="str">
        <f t="shared" si="52"/>
        <v>Women's</v>
      </c>
      <c r="G133" s="72">
        <f t="shared" ref="G133:BN135" si="66">G101*IF($C133=$C$105,G$108,1)</f>
        <v>0</v>
      </c>
      <c r="H133" s="72">
        <f t="shared" si="66"/>
        <v>0</v>
      </c>
      <c r="I133" s="72">
        <f t="shared" si="66"/>
        <v>0</v>
      </c>
      <c r="J133" s="72">
        <f t="shared" si="66"/>
        <v>0</v>
      </c>
      <c r="K133" s="72">
        <f t="shared" si="66"/>
        <v>0</v>
      </c>
      <c r="L133" s="72">
        <f t="shared" si="66"/>
        <v>0</v>
      </c>
      <c r="M133" s="72">
        <f t="shared" si="66"/>
        <v>0</v>
      </c>
      <c r="N133" s="72">
        <f t="shared" si="66"/>
        <v>0</v>
      </c>
      <c r="O133" s="72">
        <f t="shared" si="66"/>
        <v>0</v>
      </c>
      <c r="P133" s="72">
        <f t="shared" si="66"/>
        <v>0</v>
      </c>
      <c r="Q133" s="72">
        <f t="shared" si="66"/>
        <v>0</v>
      </c>
      <c r="R133" s="72">
        <f t="shared" si="66"/>
        <v>0</v>
      </c>
      <c r="S133" s="72">
        <f t="shared" si="66"/>
        <v>0</v>
      </c>
      <c r="T133" s="72">
        <f t="shared" si="66"/>
        <v>0</v>
      </c>
      <c r="U133" s="72">
        <f t="shared" si="66"/>
        <v>0</v>
      </c>
      <c r="V133" s="72">
        <f t="shared" si="66"/>
        <v>0</v>
      </c>
      <c r="W133" s="72">
        <f t="shared" si="66"/>
        <v>0</v>
      </c>
      <c r="X133" s="72">
        <f t="shared" si="66"/>
        <v>0</v>
      </c>
      <c r="Y133" s="72">
        <f t="shared" si="66"/>
        <v>0</v>
      </c>
      <c r="Z133" s="72">
        <f t="shared" si="66"/>
        <v>0</v>
      </c>
      <c r="AA133" s="72">
        <f t="shared" si="66"/>
        <v>55</v>
      </c>
      <c r="AB133" s="72">
        <f t="shared" si="66"/>
        <v>59.583333333333314</v>
      </c>
      <c r="AC133" s="72">
        <f t="shared" si="66"/>
        <v>64.166666666666657</v>
      </c>
      <c r="AD133" s="72">
        <f t="shared" si="66"/>
        <v>103.125</v>
      </c>
      <c r="AE133" s="72">
        <f t="shared" si="66"/>
        <v>183.33333333333331</v>
      </c>
      <c r="AF133" s="72">
        <f t="shared" si="66"/>
        <v>77.916666666666657</v>
      </c>
      <c r="AG133" s="72">
        <f t="shared" si="66"/>
        <v>82.5</v>
      </c>
      <c r="AH133" s="72">
        <f t="shared" si="66"/>
        <v>87.083333333333343</v>
      </c>
      <c r="AI133" s="72">
        <f t="shared" si="66"/>
        <v>91.666666666666671</v>
      </c>
      <c r="AJ133" s="72">
        <f t="shared" si="66"/>
        <v>96.25</v>
      </c>
      <c r="AK133" s="72">
        <f t="shared" si="66"/>
        <v>252.08333333333334</v>
      </c>
      <c r="AL133" s="72">
        <f t="shared" si="66"/>
        <v>105.41666666666669</v>
      </c>
      <c r="AM133" s="72">
        <f t="shared" si="66"/>
        <v>110.00000000000003</v>
      </c>
      <c r="AN133" s="72">
        <f t="shared" si="66"/>
        <v>110.00000000000003</v>
      </c>
      <c r="AO133" s="72">
        <f t="shared" si="66"/>
        <v>110.00000000000003</v>
      </c>
      <c r="AP133" s="72">
        <f t="shared" si="66"/>
        <v>165.00000000000003</v>
      </c>
      <c r="AQ133" s="72">
        <f t="shared" si="66"/>
        <v>275.00000000000006</v>
      </c>
      <c r="AR133" s="72">
        <f t="shared" si="66"/>
        <v>110.00000000000003</v>
      </c>
      <c r="AS133" s="72">
        <f t="shared" si="66"/>
        <v>110.00000000000003</v>
      </c>
      <c r="AT133" s="72">
        <f t="shared" si="66"/>
        <v>110.00000000000003</v>
      </c>
      <c r="AU133" s="72">
        <f t="shared" si="66"/>
        <v>110.00000000000003</v>
      </c>
      <c r="AV133" s="72">
        <f t="shared" si="66"/>
        <v>110.00000000000003</v>
      </c>
      <c r="AW133" s="72">
        <f t="shared" si="66"/>
        <v>275.00000000000006</v>
      </c>
      <c r="AX133" s="72">
        <f t="shared" si="66"/>
        <v>110.00000000000003</v>
      </c>
      <c r="AY133" s="72">
        <f t="shared" si="66"/>
        <v>110.00000000000003</v>
      </c>
      <c r="AZ133" s="72">
        <f t="shared" si="66"/>
        <v>110.00000000000003</v>
      </c>
      <c r="BA133" s="72">
        <f t="shared" si="66"/>
        <v>110.00000000000003</v>
      </c>
      <c r="BB133" s="72">
        <f t="shared" si="66"/>
        <v>165.00000000000003</v>
      </c>
      <c r="BC133" s="72">
        <f t="shared" si="66"/>
        <v>275.00000000000006</v>
      </c>
      <c r="BD133" s="72">
        <f t="shared" si="66"/>
        <v>110.00000000000003</v>
      </c>
      <c r="BE133" s="72">
        <f t="shared" si="66"/>
        <v>110.00000000000003</v>
      </c>
      <c r="BF133" s="72">
        <f t="shared" si="66"/>
        <v>110.00000000000003</v>
      </c>
      <c r="BG133" s="72">
        <f t="shared" si="66"/>
        <v>110.00000000000003</v>
      </c>
      <c r="BH133" s="72">
        <f t="shared" si="66"/>
        <v>110.00000000000003</v>
      </c>
      <c r="BI133" s="72">
        <f t="shared" si="66"/>
        <v>275.00000000000006</v>
      </c>
      <c r="BJ133" s="72">
        <f t="shared" si="66"/>
        <v>110.00000000000003</v>
      </c>
      <c r="BK133" s="72">
        <f t="shared" si="66"/>
        <v>110.00000000000003</v>
      </c>
      <c r="BL133" s="72">
        <f t="shared" si="66"/>
        <v>110.00000000000003</v>
      </c>
      <c r="BM133" s="72">
        <f t="shared" si="66"/>
        <v>110.00000000000003</v>
      </c>
      <c r="BN133" s="72">
        <f t="shared" si="66"/>
        <v>165.00000000000003</v>
      </c>
    </row>
    <row r="134" spans="2:72">
      <c r="B134" s="37" t="str">
        <f t="shared" ref="B134:B135" si="67">B133</f>
        <v>Moscow</v>
      </c>
      <c r="C134" t="str">
        <f t="shared" si="52"/>
        <v>Men's</v>
      </c>
      <c r="G134" s="72">
        <f t="shared" si="66"/>
        <v>0</v>
      </c>
      <c r="H134" s="72">
        <f t="shared" si="66"/>
        <v>0</v>
      </c>
      <c r="I134" s="72">
        <f t="shared" si="66"/>
        <v>0</v>
      </c>
      <c r="J134" s="72">
        <f t="shared" si="66"/>
        <v>0</v>
      </c>
      <c r="K134" s="72">
        <f t="shared" si="66"/>
        <v>0</v>
      </c>
      <c r="L134" s="72">
        <f t="shared" si="66"/>
        <v>0</v>
      </c>
      <c r="M134" s="72">
        <f t="shared" si="66"/>
        <v>0</v>
      </c>
      <c r="N134" s="72">
        <f t="shared" si="66"/>
        <v>0</v>
      </c>
      <c r="O134" s="72">
        <f t="shared" si="66"/>
        <v>0</v>
      </c>
      <c r="P134" s="72">
        <f t="shared" si="66"/>
        <v>0</v>
      </c>
      <c r="Q134" s="72">
        <f t="shared" si="66"/>
        <v>0</v>
      </c>
      <c r="R134" s="72">
        <f t="shared" si="66"/>
        <v>0</v>
      </c>
      <c r="S134" s="72">
        <f t="shared" si="66"/>
        <v>0</v>
      </c>
      <c r="T134" s="72">
        <f t="shared" si="66"/>
        <v>0</v>
      </c>
      <c r="U134" s="72">
        <f t="shared" si="66"/>
        <v>0</v>
      </c>
      <c r="V134" s="72">
        <f t="shared" si="66"/>
        <v>0</v>
      </c>
      <c r="W134" s="72">
        <f t="shared" si="66"/>
        <v>0</v>
      </c>
      <c r="X134" s="72">
        <f t="shared" si="66"/>
        <v>0</v>
      </c>
      <c r="Y134" s="72">
        <f t="shared" si="66"/>
        <v>0</v>
      </c>
      <c r="Z134" s="72">
        <f t="shared" si="66"/>
        <v>0</v>
      </c>
      <c r="AA134" s="72">
        <f t="shared" si="66"/>
        <v>65</v>
      </c>
      <c r="AB134" s="72">
        <f t="shared" si="66"/>
        <v>70.416666666666643</v>
      </c>
      <c r="AC134" s="72">
        <f t="shared" si="66"/>
        <v>75.833333333333329</v>
      </c>
      <c r="AD134" s="72">
        <f t="shared" si="66"/>
        <v>121.875</v>
      </c>
      <c r="AE134" s="72">
        <f t="shared" si="66"/>
        <v>216.66666666666666</v>
      </c>
      <c r="AF134" s="72">
        <f t="shared" si="66"/>
        <v>92.083333333333329</v>
      </c>
      <c r="AG134" s="72">
        <f t="shared" si="66"/>
        <v>97.5</v>
      </c>
      <c r="AH134" s="72">
        <f t="shared" si="66"/>
        <v>102.91666666666667</v>
      </c>
      <c r="AI134" s="72">
        <f t="shared" si="66"/>
        <v>108.33333333333334</v>
      </c>
      <c r="AJ134" s="72">
        <f t="shared" si="66"/>
        <v>113.75</v>
      </c>
      <c r="AK134" s="72">
        <f t="shared" si="66"/>
        <v>297.91666666666669</v>
      </c>
      <c r="AL134" s="72">
        <f t="shared" si="66"/>
        <v>124.58333333333336</v>
      </c>
      <c r="AM134" s="72">
        <f t="shared" si="66"/>
        <v>130.00000000000003</v>
      </c>
      <c r="AN134" s="72">
        <f t="shared" si="66"/>
        <v>130.00000000000003</v>
      </c>
      <c r="AO134" s="72">
        <f t="shared" si="66"/>
        <v>130.00000000000003</v>
      </c>
      <c r="AP134" s="72">
        <f t="shared" si="66"/>
        <v>195.00000000000006</v>
      </c>
      <c r="AQ134" s="72">
        <f t="shared" si="66"/>
        <v>325.00000000000006</v>
      </c>
      <c r="AR134" s="72">
        <f t="shared" si="66"/>
        <v>130.00000000000003</v>
      </c>
      <c r="AS134" s="72">
        <f t="shared" si="66"/>
        <v>130.00000000000003</v>
      </c>
      <c r="AT134" s="72">
        <f t="shared" si="66"/>
        <v>130.00000000000003</v>
      </c>
      <c r="AU134" s="72">
        <f t="shared" si="66"/>
        <v>130.00000000000003</v>
      </c>
      <c r="AV134" s="72">
        <f t="shared" si="66"/>
        <v>130.00000000000003</v>
      </c>
      <c r="AW134" s="72">
        <f t="shared" si="66"/>
        <v>325.00000000000006</v>
      </c>
      <c r="AX134" s="72">
        <f t="shared" si="66"/>
        <v>130.00000000000003</v>
      </c>
      <c r="AY134" s="72">
        <f t="shared" si="66"/>
        <v>130.00000000000003</v>
      </c>
      <c r="AZ134" s="72">
        <f t="shared" si="66"/>
        <v>130.00000000000003</v>
      </c>
      <c r="BA134" s="72">
        <f t="shared" si="66"/>
        <v>130.00000000000003</v>
      </c>
      <c r="BB134" s="72">
        <f t="shared" si="66"/>
        <v>195.00000000000006</v>
      </c>
      <c r="BC134" s="72">
        <f t="shared" si="66"/>
        <v>325.00000000000006</v>
      </c>
      <c r="BD134" s="72">
        <f t="shared" si="66"/>
        <v>130.00000000000003</v>
      </c>
      <c r="BE134" s="72">
        <f t="shared" si="66"/>
        <v>130.00000000000003</v>
      </c>
      <c r="BF134" s="72">
        <f t="shared" si="66"/>
        <v>130.00000000000003</v>
      </c>
      <c r="BG134" s="72">
        <f t="shared" si="66"/>
        <v>130.00000000000003</v>
      </c>
      <c r="BH134" s="72">
        <f t="shared" si="66"/>
        <v>130.00000000000003</v>
      </c>
      <c r="BI134" s="72">
        <f t="shared" si="66"/>
        <v>325.00000000000006</v>
      </c>
      <c r="BJ134" s="72">
        <f t="shared" si="66"/>
        <v>130.00000000000003</v>
      </c>
      <c r="BK134" s="72">
        <f t="shared" si="66"/>
        <v>130.00000000000003</v>
      </c>
      <c r="BL134" s="72">
        <f t="shared" si="66"/>
        <v>130.00000000000003</v>
      </c>
      <c r="BM134" s="72">
        <f t="shared" si="66"/>
        <v>130.00000000000003</v>
      </c>
      <c r="BN134" s="72">
        <f t="shared" si="66"/>
        <v>195.00000000000006</v>
      </c>
    </row>
    <row r="135" spans="2:72">
      <c r="B135" s="37" t="str">
        <f t="shared" si="67"/>
        <v>Moscow</v>
      </c>
      <c r="C135" t="str">
        <f t="shared" si="52"/>
        <v>Accessories</v>
      </c>
      <c r="G135" s="72">
        <f t="shared" si="66"/>
        <v>0</v>
      </c>
      <c r="H135" s="72">
        <f t="shared" si="66"/>
        <v>0</v>
      </c>
      <c r="I135" s="72">
        <f t="shared" si="66"/>
        <v>0</v>
      </c>
      <c r="J135" s="72">
        <f t="shared" si="66"/>
        <v>0</v>
      </c>
      <c r="K135" s="72">
        <f t="shared" si="66"/>
        <v>0</v>
      </c>
      <c r="L135" s="72">
        <f t="shared" si="66"/>
        <v>0</v>
      </c>
      <c r="M135" s="72">
        <f t="shared" si="66"/>
        <v>0</v>
      </c>
      <c r="N135" s="72">
        <f t="shared" si="66"/>
        <v>0</v>
      </c>
      <c r="O135" s="72">
        <f t="shared" si="66"/>
        <v>0</v>
      </c>
      <c r="P135" s="72">
        <f t="shared" si="66"/>
        <v>0</v>
      </c>
      <c r="Q135" s="72">
        <f t="shared" si="66"/>
        <v>0</v>
      </c>
      <c r="R135" s="72">
        <f t="shared" si="66"/>
        <v>0</v>
      </c>
      <c r="S135" s="72">
        <f t="shared" si="66"/>
        <v>0</v>
      </c>
      <c r="T135" s="72">
        <f t="shared" si="66"/>
        <v>0</v>
      </c>
      <c r="U135" s="72">
        <f t="shared" si="66"/>
        <v>0</v>
      </c>
      <c r="V135" s="72">
        <f t="shared" si="66"/>
        <v>0</v>
      </c>
      <c r="W135" s="72">
        <f t="shared" si="66"/>
        <v>0</v>
      </c>
      <c r="X135" s="72">
        <f t="shared" si="66"/>
        <v>0</v>
      </c>
      <c r="Y135" s="72">
        <f t="shared" si="66"/>
        <v>0</v>
      </c>
      <c r="Z135" s="72">
        <f t="shared" si="66"/>
        <v>0</v>
      </c>
      <c r="AA135" s="72">
        <f t="shared" si="66"/>
        <v>50</v>
      </c>
      <c r="AB135" s="72">
        <f t="shared" si="66"/>
        <v>54.16666666666665</v>
      </c>
      <c r="AC135" s="72">
        <f t="shared" si="66"/>
        <v>58.333333333333329</v>
      </c>
      <c r="AD135" s="72">
        <f t="shared" si="66"/>
        <v>93.75</v>
      </c>
      <c r="AE135" s="72">
        <f t="shared" si="66"/>
        <v>146.95077149155034</v>
      </c>
      <c r="AF135" s="72">
        <f t="shared" si="66"/>
        <v>70.833333333333329</v>
      </c>
      <c r="AG135" s="72">
        <f t="shared" si="66"/>
        <v>75</v>
      </c>
      <c r="AH135" s="72">
        <f t="shared" si="66"/>
        <v>79.166666666666671</v>
      </c>
      <c r="AI135" s="72">
        <f t="shared" si="66"/>
        <v>83.333333333333343</v>
      </c>
      <c r="AJ135" s="72">
        <f t="shared" si="66"/>
        <v>87.5</v>
      </c>
      <c r="AK135" s="72">
        <f t="shared" si="66"/>
        <v>195.59032716927456</v>
      </c>
      <c r="AL135" s="72">
        <f t="shared" si="66"/>
        <v>95.833333333333343</v>
      </c>
      <c r="AM135" s="72">
        <f t="shared" si="66"/>
        <v>100.00000000000003</v>
      </c>
      <c r="AN135" s="72">
        <f t="shared" si="66"/>
        <v>100.00000000000003</v>
      </c>
      <c r="AO135" s="72">
        <f t="shared" si="66"/>
        <v>100.00000000000003</v>
      </c>
      <c r="AP135" s="72">
        <f t="shared" si="66"/>
        <v>150.00000000000003</v>
      </c>
      <c r="AQ135" s="72">
        <f t="shared" si="66"/>
        <v>211.86440677966107</v>
      </c>
      <c r="AR135" s="72">
        <f t="shared" si="66"/>
        <v>100.00000000000003</v>
      </c>
      <c r="AS135" s="72">
        <f t="shared" si="66"/>
        <v>100.00000000000003</v>
      </c>
      <c r="AT135" s="72">
        <f t="shared" si="66"/>
        <v>100.00000000000003</v>
      </c>
      <c r="AU135" s="72">
        <f t="shared" si="66"/>
        <v>100.00000000000003</v>
      </c>
      <c r="AV135" s="72">
        <f t="shared" si="66"/>
        <v>100.00000000000003</v>
      </c>
      <c r="AW135" s="72">
        <f t="shared" si="66"/>
        <v>211.86440677966107</v>
      </c>
      <c r="AX135" s="72">
        <f t="shared" si="66"/>
        <v>100.00000000000003</v>
      </c>
      <c r="AY135" s="72">
        <f t="shared" si="66"/>
        <v>100.00000000000003</v>
      </c>
      <c r="AZ135" s="72">
        <f t="shared" si="66"/>
        <v>100.00000000000003</v>
      </c>
      <c r="BA135" s="72">
        <f t="shared" si="66"/>
        <v>100.00000000000003</v>
      </c>
      <c r="BB135" s="72">
        <f t="shared" si="66"/>
        <v>150.00000000000003</v>
      </c>
      <c r="BC135" s="72">
        <f t="shared" si="66"/>
        <v>211.86440677966107</v>
      </c>
      <c r="BD135" s="72">
        <f t="shared" si="66"/>
        <v>100.00000000000003</v>
      </c>
      <c r="BE135" s="72">
        <f t="shared" si="66"/>
        <v>100.00000000000003</v>
      </c>
      <c r="BF135" s="72">
        <f t="shared" si="66"/>
        <v>100.00000000000003</v>
      </c>
      <c r="BG135" s="72">
        <f t="shared" si="66"/>
        <v>100.00000000000003</v>
      </c>
      <c r="BH135" s="72">
        <f t="shared" si="66"/>
        <v>100.00000000000003</v>
      </c>
      <c r="BI135" s="72">
        <f t="shared" si="66"/>
        <v>211.86440677966107</v>
      </c>
      <c r="BJ135" s="72">
        <f t="shared" si="66"/>
        <v>100.00000000000003</v>
      </c>
      <c r="BK135" s="72">
        <f t="shared" si="66"/>
        <v>100.00000000000003</v>
      </c>
      <c r="BL135" s="72">
        <f t="shared" si="66"/>
        <v>100.00000000000003</v>
      </c>
      <c r="BM135" s="72">
        <f t="shared" si="66"/>
        <v>100.00000000000003</v>
      </c>
      <c r="BN135" s="72">
        <f t="shared" si="66"/>
        <v>150.00000000000003</v>
      </c>
    </row>
    <row r="137" spans="2:72">
      <c r="B137" s="76" t="s">
        <v>48</v>
      </c>
      <c r="C137" s="76" t="str">
        <f>CaseData!$C$40</f>
        <v>Accessories</v>
      </c>
      <c r="D137" s="86">
        <f>CaseData!$C$41</f>
        <v>2500</v>
      </c>
      <c r="E137" s="86" t="b">
        <f>MAX(G137:BN137)&lt;=D137</f>
        <v>1</v>
      </c>
      <c r="F137" s="76"/>
      <c r="G137" s="77">
        <f>SUMIFS(G$112:G$135,$C$112:$C$135,$C$137)</f>
        <v>1425</v>
      </c>
      <c r="H137" s="77">
        <f>SUMIFS(H$112:H$135,$C$112:$C$135,$C$137)</f>
        <v>570</v>
      </c>
      <c r="I137" s="77">
        <f t="shared" ref="I137:BN137" si="68">SUMIFS(I$112:I$135,$C$112:$C$135,$C$137)</f>
        <v>620</v>
      </c>
      <c r="J137" s="77">
        <f t="shared" si="68"/>
        <v>624.16666666666663</v>
      </c>
      <c r="K137" s="77">
        <f t="shared" si="68"/>
        <v>628.33333333333337</v>
      </c>
      <c r="L137" s="77">
        <f t="shared" si="68"/>
        <v>632.5</v>
      </c>
      <c r="M137" s="77">
        <f t="shared" si="68"/>
        <v>1591.6666666666667</v>
      </c>
      <c r="N137" s="77">
        <f t="shared" si="68"/>
        <v>640.83333333333337</v>
      </c>
      <c r="O137" s="77">
        <f t="shared" si="68"/>
        <v>775</v>
      </c>
      <c r="P137" s="77">
        <f t="shared" si="68"/>
        <v>789.99999999999989</v>
      </c>
      <c r="Q137" s="77">
        <f t="shared" si="68"/>
        <v>805</v>
      </c>
      <c r="R137" s="77">
        <f t="shared" si="68"/>
        <v>1230</v>
      </c>
      <c r="S137" s="77">
        <f t="shared" si="68"/>
        <v>2087.5</v>
      </c>
      <c r="T137" s="77">
        <f t="shared" si="68"/>
        <v>850</v>
      </c>
      <c r="U137" s="77">
        <f t="shared" si="68"/>
        <v>940</v>
      </c>
      <c r="V137" s="77">
        <f t="shared" si="68"/>
        <v>957.08333333333337</v>
      </c>
      <c r="W137" s="77">
        <f t="shared" si="68"/>
        <v>974.16666666666674</v>
      </c>
      <c r="X137" s="77">
        <f t="shared" si="68"/>
        <v>991.25</v>
      </c>
      <c r="Y137" s="77">
        <f t="shared" si="68"/>
        <v>2500</v>
      </c>
      <c r="Z137" s="77">
        <f t="shared" si="68"/>
        <v>1025.4166666666667</v>
      </c>
      <c r="AA137" s="77">
        <f t="shared" si="68"/>
        <v>1092.5</v>
      </c>
      <c r="AB137" s="77">
        <f t="shared" si="68"/>
        <v>1102.9166666666667</v>
      </c>
      <c r="AC137" s="77">
        <f t="shared" si="68"/>
        <v>1113.3333333333333</v>
      </c>
      <c r="AD137" s="77">
        <f t="shared" si="68"/>
        <v>1685.625</v>
      </c>
      <c r="AE137" s="77">
        <f t="shared" si="68"/>
        <v>2500.0000000000005</v>
      </c>
      <c r="AF137" s="77">
        <f t="shared" si="68"/>
        <v>1144.5833333333333</v>
      </c>
      <c r="AG137" s="77">
        <f t="shared" si="68"/>
        <v>1155</v>
      </c>
      <c r="AH137" s="77">
        <f t="shared" si="68"/>
        <v>1159.1666666666667</v>
      </c>
      <c r="AI137" s="77">
        <f t="shared" si="68"/>
        <v>1163.3333333333333</v>
      </c>
      <c r="AJ137" s="77">
        <f t="shared" si="68"/>
        <v>1167.5</v>
      </c>
      <c r="AK137" s="77">
        <f t="shared" si="68"/>
        <v>2500.0000000000005</v>
      </c>
      <c r="AL137" s="77">
        <f t="shared" si="68"/>
        <v>1175.8333333333333</v>
      </c>
      <c r="AM137" s="77">
        <f t="shared" si="68"/>
        <v>1180</v>
      </c>
      <c r="AN137" s="77">
        <f t="shared" si="68"/>
        <v>1180</v>
      </c>
      <c r="AO137" s="77">
        <f t="shared" si="68"/>
        <v>1180</v>
      </c>
      <c r="AP137" s="77">
        <f t="shared" si="68"/>
        <v>1770</v>
      </c>
      <c r="AQ137" s="77">
        <f t="shared" si="68"/>
        <v>2500</v>
      </c>
      <c r="AR137" s="77">
        <f t="shared" si="68"/>
        <v>1180</v>
      </c>
      <c r="AS137" s="77">
        <f t="shared" si="68"/>
        <v>1180</v>
      </c>
      <c r="AT137" s="77">
        <f t="shared" si="68"/>
        <v>1180</v>
      </c>
      <c r="AU137" s="77">
        <f t="shared" si="68"/>
        <v>1180</v>
      </c>
      <c r="AV137" s="77">
        <f t="shared" si="68"/>
        <v>1180</v>
      </c>
      <c r="AW137" s="77">
        <f t="shared" si="68"/>
        <v>2500</v>
      </c>
      <c r="AX137" s="77">
        <f t="shared" si="68"/>
        <v>1180</v>
      </c>
      <c r="AY137" s="77">
        <f t="shared" si="68"/>
        <v>1180</v>
      </c>
      <c r="AZ137" s="77">
        <f t="shared" si="68"/>
        <v>1180</v>
      </c>
      <c r="BA137" s="77">
        <f t="shared" si="68"/>
        <v>1180</v>
      </c>
      <c r="BB137" s="77">
        <f t="shared" si="68"/>
        <v>1770</v>
      </c>
      <c r="BC137" s="77">
        <f t="shared" si="68"/>
        <v>2500</v>
      </c>
      <c r="BD137" s="77">
        <f t="shared" si="68"/>
        <v>1180</v>
      </c>
      <c r="BE137" s="77">
        <f t="shared" si="68"/>
        <v>1180</v>
      </c>
      <c r="BF137" s="77">
        <f t="shared" si="68"/>
        <v>1180</v>
      </c>
      <c r="BG137" s="77">
        <f t="shared" si="68"/>
        <v>1180</v>
      </c>
      <c r="BH137" s="77">
        <f t="shared" si="68"/>
        <v>1180</v>
      </c>
      <c r="BI137" s="77">
        <f t="shared" si="68"/>
        <v>2500</v>
      </c>
      <c r="BJ137" s="77">
        <f t="shared" si="68"/>
        <v>1180</v>
      </c>
      <c r="BK137" s="77">
        <f t="shared" si="68"/>
        <v>1180</v>
      </c>
      <c r="BL137" s="77">
        <f t="shared" si="68"/>
        <v>1180</v>
      </c>
      <c r="BM137" s="77">
        <f t="shared" si="68"/>
        <v>1180</v>
      </c>
      <c r="BN137" s="77">
        <f t="shared" si="68"/>
        <v>1770</v>
      </c>
    </row>
    <row r="138" spans="2:72">
      <c r="B138" s="76"/>
      <c r="G138" s="78">
        <f>G137/G106-G108</f>
        <v>0</v>
      </c>
      <c r="H138" s="78">
        <f t="shared" ref="H138:BN138" si="69">H137/H106-H108</f>
        <v>0</v>
      </c>
      <c r="I138" s="78">
        <f t="shared" si="69"/>
        <v>0</v>
      </c>
      <c r="J138" s="78">
        <f t="shared" si="69"/>
        <v>0</v>
      </c>
      <c r="K138" s="78">
        <f t="shared" si="69"/>
        <v>0</v>
      </c>
      <c r="L138" s="78">
        <f t="shared" si="69"/>
        <v>0</v>
      </c>
      <c r="M138" s="78">
        <f t="shared" si="69"/>
        <v>0</v>
      </c>
      <c r="N138" s="78">
        <f t="shared" si="69"/>
        <v>0</v>
      </c>
      <c r="O138" s="78">
        <f t="shared" si="69"/>
        <v>0</v>
      </c>
      <c r="P138" s="78">
        <f t="shared" si="69"/>
        <v>0</v>
      </c>
      <c r="Q138" s="78">
        <f t="shared" si="69"/>
        <v>0</v>
      </c>
      <c r="R138" s="78">
        <f t="shared" si="69"/>
        <v>0</v>
      </c>
      <c r="S138" s="78">
        <f t="shared" si="69"/>
        <v>0</v>
      </c>
      <c r="T138" s="78">
        <f t="shared" si="69"/>
        <v>0</v>
      </c>
      <c r="U138" s="78">
        <f t="shared" si="69"/>
        <v>0</v>
      </c>
      <c r="V138" s="78">
        <f t="shared" si="69"/>
        <v>0</v>
      </c>
      <c r="W138" s="78">
        <f t="shared" si="69"/>
        <v>0</v>
      </c>
      <c r="X138" s="78">
        <f t="shared" si="69"/>
        <v>0</v>
      </c>
      <c r="Y138" s="78">
        <f t="shared" si="69"/>
        <v>0</v>
      </c>
      <c r="Z138" s="78">
        <f t="shared" si="69"/>
        <v>0</v>
      </c>
      <c r="AA138" s="78">
        <f t="shared" si="69"/>
        <v>0</v>
      </c>
      <c r="AB138" s="78">
        <f t="shared" si="69"/>
        <v>0</v>
      </c>
      <c r="AC138" s="78">
        <f t="shared" si="69"/>
        <v>0</v>
      </c>
      <c r="AD138" s="78">
        <f t="shared" si="69"/>
        <v>0</v>
      </c>
      <c r="AE138" s="78">
        <f t="shared" si="69"/>
        <v>0</v>
      </c>
      <c r="AF138" s="78">
        <f t="shared" si="69"/>
        <v>0</v>
      </c>
      <c r="AG138" s="78">
        <f t="shared" si="69"/>
        <v>0</v>
      </c>
      <c r="AH138" s="78">
        <f t="shared" si="69"/>
        <v>0</v>
      </c>
      <c r="AI138" s="78">
        <f t="shared" si="69"/>
        <v>0</v>
      </c>
      <c r="AJ138" s="78">
        <f t="shared" si="69"/>
        <v>0</v>
      </c>
      <c r="AK138" s="78">
        <f t="shared" si="69"/>
        <v>0</v>
      </c>
      <c r="AL138" s="78">
        <f t="shared" si="69"/>
        <v>0</v>
      </c>
      <c r="AM138" s="78">
        <f t="shared" si="69"/>
        <v>0</v>
      </c>
      <c r="AN138" s="78">
        <f t="shared" si="69"/>
        <v>0</v>
      </c>
      <c r="AO138" s="78">
        <f t="shared" si="69"/>
        <v>0</v>
      </c>
      <c r="AP138" s="78">
        <f t="shared" si="69"/>
        <v>0</v>
      </c>
      <c r="AQ138" s="78">
        <f t="shared" si="69"/>
        <v>0</v>
      </c>
      <c r="AR138" s="78">
        <f t="shared" si="69"/>
        <v>0</v>
      </c>
      <c r="AS138" s="78">
        <f t="shared" si="69"/>
        <v>0</v>
      </c>
      <c r="AT138" s="78">
        <f t="shared" si="69"/>
        <v>0</v>
      </c>
      <c r="AU138" s="78">
        <f t="shared" si="69"/>
        <v>0</v>
      </c>
      <c r="AV138" s="78">
        <f t="shared" si="69"/>
        <v>0</v>
      </c>
      <c r="AW138" s="78">
        <f t="shared" si="69"/>
        <v>0</v>
      </c>
      <c r="AX138" s="78">
        <f t="shared" si="69"/>
        <v>0</v>
      </c>
      <c r="AY138" s="78">
        <f t="shared" si="69"/>
        <v>0</v>
      </c>
      <c r="AZ138" s="78">
        <f t="shared" si="69"/>
        <v>0</v>
      </c>
      <c r="BA138" s="78">
        <f t="shared" si="69"/>
        <v>0</v>
      </c>
      <c r="BB138" s="78">
        <f t="shared" si="69"/>
        <v>0</v>
      </c>
      <c r="BC138" s="78">
        <f t="shared" si="69"/>
        <v>0</v>
      </c>
      <c r="BD138" s="78">
        <f t="shared" si="69"/>
        <v>0</v>
      </c>
      <c r="BE138" s="78">
        <f t="shared" si="69"/>
        <v>0</v>
      </c>
      <c r="BF138" s="78">
        <f t="shared" si="69"/>
        <v>0</v>
      </c>
      <c r="BG138" s="78">
        <f t="shared" si="69"/>
        <v>0</v>
      </c>
      <c r="BH138" s="78">
        <f t="shared" si="69"/>
        <v>0</v>
      </c>
      <c r="BI138" s="78">
        <f t="shared" si="69"/>
        <v>0</v>
      </c>
      <c r="BJ138" s="78">
        <f t="shared" si="69"/>
        <v>0</v>
      </c>
      <c r="BK138" s="78">
        <f t="shared" si="69"/>
        <v>0</v>
      </c>
      <c r="BL138" s="78">
        <f t="shared" si="69"/>
        <v>0</v>
      </c>
      <c r="BM138" s="78">
        <f t="shared" si="69"/>
        <v>0</v>
      </c>
      <c r="BN138" s="78">
        <f t="shared" si="69"/>
        <v>0</v>
      </c>
    </row>
    <row r="139" spans="2:72" ht="15" thickBot="1">
      <c r="B139" s="2" t="s">
        <v>69</v>
      </c>
      <c r="C139" s="2"/>
      <c r="D139" s="81"/>
      <c r="E139" s="8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</row>
    <row r="140" spans="2:72" ht="15" thickTop="1"/>
    <row r="141" spans="2:72">
      <c r="B141" s="3" t="s">
        <v>70</v>
      </c>
    </row>
    <row r="142" spans="2:72">
      <c r="B142" s="3" t="s">
        <v>6</v>
      </c>
      <c r="C142" s="3" t="s">
        <v>61</v>
      </c>
      <c r="D142" s="87" t="s">
        <v>8</v>
      </c>
      <c r="E142" s="87"/>
    </row>
    <row r="143" spans="2:72" ht="13.8">
      <c r="B143" s="37" t="str">
        <f>CaseData!$B$28</f>
        <v>Paris</v>
      </c>
      <c r="C143" t="str">
        <f>CaseData!$C$27</f>
        <v>Women's</v>
      </c>
      <c r="D143" s="84" t="str">
        <f>INDEX(CaseData!$E$10:$E$17,MATCH(B143,CaseData!$C$10:$C$17,0))</f>
        <v>EUR</v>
      </c>
      <c r="E143" s="85"/>
      <c r="G143" s="72">
        <f>INDEX(CaseData!$B$46:$E$52,MATCH($D143,CaseData!$B$46:$B$52,0),MATCH($C143,CaseData!$B$46:$E$46,0))</f>
        <v>500</v>
      </c>
      <c r="H143" s="72">
        <f>INDEX(CaseData!$B$46:$E$52,MATCH($D143,CaseData!$B$46:$B$52,0),MATCH($C143,CaseData!$B$46:$E$46,0))</f>
        <v>500</v>
      </c>
      <c r="I143" s="72">
        <f>INDEX(CaseData!$B$46:$E$52,MATCH($D143,CaseData!$B$46:$B$52,0),MATCH($C143,CaseData!$B$46:$E$46,0))</f>
        <v>500</v>
      </c>
      <c r="J143" s="72">
        <f>INDEX(CaseData!$B$46:$E$52,MATCH($D143,CaseData!$B$46:$B$52,0),MATCH($C143,CaseData!$B$46:$E$46,0))</f>
        <v>500</v>
      </c>
      <c r="K143" s="72">
        <f>INDEX(CaseData!$B$46:$E$52,MATCH($D143,CaseData!$B$46:$B$52,0),MATCH($C143,CaseData!$B$46:$E$46,0))</f>
        <v>500</v>
      </c>
      <c r="L143" s="72">
        <f>INDEX(CaseData!$B$46:$E$52,MATCH($D143,CaseData!$B$46:$B$52,0),MATCH($C143,CaseData!$B$46:$E$46,0))</f>
        <v>500</v>
      </c>
      <c r="M143" s="72">
        <f>INDEX(CaseData!$B$46:$E$52,MATCH($D143,CaseData!$B$46:$B$52,0),MATCH($C143,CaseData!$B$46:$E$46,0))</f>
        <v>500</v>
      </c>
      <c r="N143" s="72">
        <f>INDEX(CaseData!$B$46:$E$52,MATCH($D143,CaseData!$B$46:$B$52,0),MATCH($C143,CaseData!$B$46:$E$46,0))</f>
        <v>500</v>
      </c>
      <c r="O143" s="72">
        <f>INDEX(CaseData!$B$46:$E$52,MATCH($D143,CaseData!$B$46:$B$52,0),MATCH($C143,CaseData!$B$46:$E$46,0))</f>
        <v>500</v>
      </c>
      <c r="P143" s="72">
        <f>INDEX(CaseData!$B$46:$E$52,MATCH($D143,CaseData!$B$46:$B$52,0),MATCH($C143,CaseData!$B$46:$E$46,0))</f>
        <v>500</v>
      </c>
      <c r="Q143" s="72">
        <f>INDEX(CaseData!$B$46:$E$52,MATCH($D143,CaseData!$B$46:$B$52,0),MATCH($C143,CaseData!$B$46:$E$46,0))</f>
        <v>500</v>
      </c>
      <c r="R143" s="72">
        <f>INDEX(CaseData!$B$46:$E$52,MATCH($D143,CaseData!$B$46:$B$52,0),MATCH($C143,CaseData!$B$46:$E$46,0))</f>
        <v>500</v>
      </c>
      <c r="S143" s="72">
        <f>INDEX(CaseData!$B$46:$E$52,MATCH($D143,CaseData!$B$46:$B$52,0),MATCH($C143,CaseData!$B$46:$E$46,0))</f>
        <v>500</v>
      </c>
      <c r="T143" s="72">
        <f>INDEX(CaseData!$B$46:$E$52,MATCH($D143,CaseData!$B$46:$B$52,0),MATCH($C143,CaseData!$B$46:$E$46,0))</f>
        <v>500</v>
      </c>
      <c r="U143" s="72">
        <f>INDEX(CaseData!$B$46:$E$52,MATCH($D143,CaseData!$B$46:$B$52,0),MATCH($C143,CaseData!$B$46:$E$46,0))</f>
        <v>500</v>
      </c>
      <c r="V143" s="72">
        <f>INDEX(CaseData!$B$46:$E$52,MATCH($D143,CaseData!$B$46:$B$52,0),MATCH($C143,CaseData!$B$46:$E$46,0))</f>
        <v>500</v>
      </c>
      <c r="W143" s="72">
        <f>INDEX(CaseData!$B$46:$E$52,MATCH($D143,CaseData!$B$46:$B$52,0),MATCH($C143,CaseData!$B$46:$E$46,0))</f>
        <v>500</v>
      </c>
      <c r="X143" s="72">
        <f>INDEX(CaseData!$B$46:$E$52,MATCH($D143,CaseData!$B$46:$B$52,0),MATCH($C143,CaseData!$B$46:$E$46,0))</f>
        <v>500</v>
      </c>
      <c r="Y143" s="72">
        <f>INDEX(CaseData!$B$46:$E$52,MATCH($D143,CaseData!$B$46:$B$52,0),MATCH($C143,CaseData!$B$46:$E$46,0))</f>
        <v>500</v>
      </c>
      <c r="Z143" s="72">
        <f>INDEX(CaseData!$B$46:$E$52,MATCH($D143,CaseData!$B$46:$B$52,0),MATCH($C143,CaseData!$B$46:$E$46,0))</f>
        <v>500</v>
      </c>
      <c r="AA143" s="72">
        <f>INDEX(CaseData!$B$46:$E$52,MATCH($D143,CaseData!$B$46:$B$52,0),MATCH($C143,CaseData!$B$46:$E$46,0))</f>
        <v>500</v>
      </c>
      <c r="AB143" s="72">
        <f>INDEX(CaseData!$B$46:$E$52,MATCH($D143,CaseData!$B$46:$B$52,0),MATCH($C143,CaseData!$B$46:$E$46,0))</f>
        <v>500</v>
      </c>
      <c r="AC143" s="72">
        <f>INDEX(CaseData!$B$46:$E$52,MATCH($D143,CaseData!$B$46:$B$52,0),MATCH($C143,CaseData!$B$46:$E$46,0))</f>
        <v>500</v>
      </c>
      <c r="AD143" s="72">
        <f>INDEX(CaseData!$B$46:$E$52,MATCH($D143,CaseData!$B$46:$B$52,0),MATCH($C143,CaseData!$B$46:$E$46,0))</f>
        <v>500</v>
      </c>
      <c r="AE143" s="72">
        <f>INDEX(CaseData!$B$46:$E$52,MATCH($D143,CaseData!$B$46:$B$52,0),MATCH($C143,CaseData!$B$46:$E$46,0))</f>
        <v>500</v>
      </c>
      <c r="AF143" s="72">
        <f>INDEX(CaseData!$B$46:$E$52,MATCH($D143,CaseData!$B$46:$B$52,0),MATCH($C143,CaseData!$B$46:$E$46,0))</f>
        <v>500</v>
      </c>
      <c r="AG143" s="72">
        <f>INDEX(CaseData!$B$46:$E$52,MATCH($D143,CaseData!$B$46:$B$52,0),MATCH($C143,CaseData!$B$46:$E$46,0))</f>
        <v>500</v>
      </c>
      <c r="AH143" s="72">
        <f>INDEX(CaseData!$B$46:$E$52,MATCH($D143,CaseData!$B$46:$B$52,0),MATCH($C143,CaseData!$B$46:$E$46,0))</f>
        <v>500</v>
      </c>
      <c r="AI143" s="72">
        <f>INDEX(CaseData!$B$46:$E$52,MATCH($D143,CaseData!$B$46:$B$52,0),MATCH($C143,CaseData!$B$46:$E$46,0))</f>
        <v>500</v>
      </c>
      <c r="AJ143" s="72">
        <f>INDEX(CaseData!$B$46:$E$52,MATCH($D143,CaseData!$B$46:$B$52,0),MATCH($C143,CaseData!$B$46:$E$46,0))</f>
        <v>500</v>
      </c>
      <c r="AK143" s="72">
        <f>INDEX(CaseData!$B$46:$E$52,MATCH($D143,CaseData!$B$46:$B$52,0),MATCH($C143,CaseData!$B$46:$E$46,0))</f>
        <v>500</v>
      </c>
      <c r="AL143" s="72">
        <f>INDEX(CaseData!$B$46:$E$52,MATCH($D143,CaseData!$B$46:$B$52,0),MATCH($C143,CaseData!$B$46:$E$46,0))</f>
        <v>500</v>
      </c>
      <c r="AM143" s="72">
        <f>INDEX(CaseData!$B$46:$E$52,MATCH($D143,CaseData!$B$46:$B$52,0),MATCH($C143,CaseData!$B$46:$E$46,0))</f>
        <v>500</v>
      </c>
      <c r="AN143" s="72">
        <f>INDEX(CaseData!$B$46:$E$52,MATCH($D143,CaseData!$B$46:$B$52,0),MATCH($C143,CaseData!$B$46:$E$46,0))</f>
        <v>500</v>
      </c>
      <c r="AO143" s="72">
        <f>INDEX(CaseData!$B$46:$E$52,MATCH($D143,CaseData!$B$46:$B$52,0),MATCH($C143,CaseData!$B$46:$E$46,0))</f>
        <v>500</v>
      </c>
      <c r="AP143" s="72">
        <f>INDEX(CaseData!$B$46:$E$52,MATCH($D143,CaseData!$B$46:$B$52,0),MATCH($C143,CaseData!$B$46:$E$46,0))</f>
        <v>500</v>
      </c>
      <c r="AQ143" s="72">
        <f>INDEX(CaseData!$B$46:$E$52,MATCH($D143,CaseData!$B$46:$B$52,0),MATCH($C143,CaseData!$B$46:$E$46,0))</f>
        <v>500</v>
      </c>
      <c r="AR143" s="72">
        <f>INDEX(CaseData!$B$46:$E$52,MATCH($D143,CaseData!$B$46:$B$52,0),MATCH($C143,CaseData!$B$46:$E$46,0))</f>
        <v>500</v>
      </c>
      <c r="AS143" s="72">
        <f>INDEX(CaseData!$B$46:$E$52,MATCH($D143,CaseData!$B$46:$B$52,0),MATCH($C143,CaseData!$B$46:$E$46,0))</f>
        <v>500</v>
      </c>
      <c r="AT143" s="72">
        <f>INDEX(CaseData!$B$46:$E$52,MATCH($D143,CaseData!$B$46:$B$52,0),MATCH($C143,CaseData!$B$46:$E$46,0))</f>
        <v>500</v>
      </c>
      <c r="AU143" s="72">
        <f>INDEX(CaseData!$B$46:$E$52,MATCH($D143,CaseData!$B$46:$B$52,0),MATCH($C143,CaseData!$B$46:$E$46,0))</f>
        <v>500</v>
      </c>
      <c r="AV143" s="72">
        <f>INDEX(CaseData!$B$46:$E$52,MATCH($D143,CaseData!$B$46:$B$52,0),MATCH($C143,CaseData!$B$46:$E$46,0))</f>
        <v>500</v>
      </c>
      <c r="AW143" s="72">
        <f>INDEX(CaseData!$B$46:$E$52,MATCH($D143,CaseData!$B$46:$B$52,0),MATCH($C143,CaseData!$B$46:$E$46,0))</f>
        <v>500</v>
      </c>
      <c r="AX143" s="72">
        <f>INDEX(CaseData!$B$46:$E$52,MATCH($D143,CaseData!$B$46:$B$52,0),MATCH($C143,CaseData!$B$46:$E$46,0))</f>
        <v>500</v>
      </c>
      <c r="AY143" s="72">
        <f>INDEX(CaseData!$B$46:$E$52,MATCH($D143,CaseData!$B$46:$B$52,0),MATCH($C143,CaseData!$B$46:$E$46,0))</f>
        <v>500</v>
      </c>
      <c r="AZ143" s="72">
        <f>INDEX(CaseData!$B$46:$E$52,MATCH($D143,CaseData!$B$46:$B$52,0),MATCH($C143,CaseData!$B$46:$E$46,0))</f>
        <v>500</v>
      </c>
      <c r="BA143" s="72">
        <f>INDEX(CaseData!$B$46:$E$52,MATCH($D143,CaseData!$B$46:$B$52,0),MATCH($C143,CaseData!$B$46:$E$46,0))</f>
        <v>500</v>
      </c>
      <c r="BB143" s="72">
        <f>INDEX(CaseData!$B$46:$E$52,MATCH($D143,CaseData!$B$46:$B$52,0),MATCH($C143,CaseData!$B$46:$E$46,0))</f>
        <v>500</v>
      </c>
      <c r="BC143" s="72">
        <f>INDEX(CaseData!$B$46:$E$52,MATCH($D143,CaseData!$B$46:$B$52,0),MATCH($C143,CaseData!$B$46:$E$46,0))</f>
        <v>500</v>
      </c>
      <c r="BD143" s="72">
        <f>INDEX(CaseData!$B$46:$E$52,MATCH($D143,CaseData!$B$46:$B$52,0),MATCH($C143,CaseData!$B$46:$E$46,0))</f>
        <v>500</v>
      </c>
      <c r="BE143" s="72">
        <f>INDEX(CaseData!$B$46:$E$52,MATCH($D143,CaseData!$B$46:$B$52,0),MATCH($C143,CaseData!$B$46:$E$46,0))</f>
        <v>500</v>
      </c>
      <c r="BF143" s="72">
        <f>INDEX(CaseData!$B$46:$E$52,MATCH($D143,CaseData!$B$46:$B$52,0),MATCH($C143,CaseData!$B$46:$E$46,0))</f>
        <v>500</v>
      </c>
      <c r="BG143" s="72">
        <f>INDEX(CaseData!$B$46:$E$52,MATCH($D143,CaseData!$B$46:$B$52,0),MATCH($C143,CaseData!$B$46:$E$46,0))</f>
        <v>500</v>
      </c>
      <c r="BH143" s="72">
        <f>INDEX(CaseData!$B$46:$E$52,MATCH($D143,CaseData!$B$46:$B$52,0),MATCH($C143,CaseData!$B$46:$E$46,0))</f>
        <v>500</v>
      </c>
      <c r="BI143" s="72">
        <f>INDEX(CaseData!$B$46:$E$52,MATCH($D143,CaseData!$B$46:$B$52,0),MATCH($C143,CaseData!$B$46:$E$46,0))</f>
        <v>500</v>
      </c>
      <c r="BJ143" s="72">
        <f>INDEX(CaseData!$B$46:$E$52,MATCH($D143,CaseData!$B$46:$B$52,0),MATCH($C143,CaseData!$B$46:$E$46,0))</f>
        <v>500</v>
      </c>
      <c r="BK143" s="72">
        <f>INDEX(CaseData!$B$46:$E$52,MATCH($D143,CaseData!$B$46:$B$52,0),MATCH($C143,CaseData!$B$46:$E$46,0))</f>
        <v>500</v>
      </c>
      <c r="BL143" s="72">
        <f>INDEX(CaseData!$B$46:$E$52,MATCH($D143,CaseData!$B$46:$B$52,0),MATCH($C143,CaseData!$B$46:$E$46,0))</f>
        <v>500</v>
      </c>
      <c r="BM143" s="72">
        <f>INDEX(CaseData!$B$46:$E$52,MATCH($D143,CaseData!$B$46:$B$52,0),MATCH($C143,CaseData!$B$46:$E$46,0))</f>
        <v>500</v>
      </c>
      <c r="BN143" s="72">
        <f>INDEX(CaseData!$B$46:$E$52,MATCH($D143,CaseData!$B$46:$B$52,0),MATCH($C143,CaseData!$B$46:$E$46,0))</f>
        <v>500</v>
      </c>
    </row>
    <row r="144" spans="2:72" ht="13.8">
      <c r="B144" s="37" t="str">
        <f>B143</f>
        <v>Paris</v>
      </c>
      <c r="C144" t="str">
        <f>CaseData!$D$27</f>
        <v>Men's</v>
      </c>
      <c r="D144" s="84" t="str">
        <f>INDEX(CaseData!$E$10:$E$17,MATCH(B144,CaseData!$C$10:$C$17,0))</f>
        <v>EUR</v>
      </c>
      <c r="E144" s="85"/>
      <c r="G144" s="72">
        <f>INDEX(CaseData!$B$46:$E$52,MATCH($D144,CaseData!$B$46:$B$52,0),MATCH($C144,CaseData!$B$46:$E$46,0))</f>
        <v>400</v>
      </c>
      <c r="H144" s="72">
        <f>INDEX(CaseData!$B$46:$E$52,MATCH($D144,CaseData!$B$46:$B$52,0),MATCH($C144,CaseData!$B$46:$E$46,0))</f>
        <v>400</v>
      </c>
      <c r="I144" s="72">
        <f>INDEX(CaseData!$B$46:$E$52,MATCH($D144,CaseData!$B$46:$B$52,0),MATCH($C144,CaseData!$B$46:$E$46,0))</f>
        <v>400</v>
      </c>
      <c r="J144" s="72">
        <f>INDEX(CaseData!$B$46:$E$52,MATCH($D144,CaseData!$B$46:$B$52,0),MATCH($C144,CaseData!$B$46:$E$46,0))</f>
        <v>400</v>
      </c>
      <c r="K144" s="72">
        <f>INDEX(CaseData!$B$46:$E$52,MATCH($D144,CaseData!$B$46:$B$52,0),MATCH($C144,CaseData!$B$46:$E$46,0))</f>
        <v>400</v>
      </c>
      <c r="L144" s="72">
        <f>INDEX(CaseData!$B$46:$E$52,MATCH($D144,CaseData!$B$46:$B$52,0),MATCH($C144,CaseData!$B$46:$E$46,0))</f>
        <v>400</v>
      </c>
      <c r="M144" s="72">
        <f>INDEX(CaseData!$B$46:$E$52,MATCH($D144,CaseData!$B$46:$B$52,0),MATCH($C144,CaseData!$B$46:$E$46,0))</f>
        <v>400</v>
      </c>
      <c r="N144" s="72">
        <f>INDEX(CaseData!$B$46:$E$52,MATCH($D144,CaseData!$B$46:$B$52,0),MATCH($C144,CaseData!$B$46:$E$46,0))</f>
        <v>400</v>
      </c>
      <c r="O144" s="72">
        <f>INDEX(CaseData!$B$46:$E$52,MATCH($D144,CaseData!$B$46:$B$52,0),MATCH($C144,CaseData!$B$46:$E$46,0))</f>
        <v>400</v>
      </c>
      <c r="P144" s="72">
        <f>INDEX(CaseData!$B$46:$E$52,MATCH($D144,CaseData!$B$46:$B$52,0),MATCH($C144,CaseData!$B$46:$E$46,0))</f>
        <v>400</v>
      </c>
      <c r="Q144" s="72">
        <f>INDEX(CaseData!$B$46:$E$52,MATCH($D144,CaseData!$B$46:$B$52,0),MATCH($C144,CaseData!$B$46:$E$46,0))</f>
        <v>400</v>
      </c>
      <c r="R144" s="72">
        <f>INDEX(CaseData!$B$46:$E$52,MATCH($D144,CaseData!$B$46:$B$52,0),MATCH($C144,CaseData!$B$46:$E$46,0))</f>
        <v>400</v>
      </c>
      <c r="S144" s="72">
        <f>INDEX(CaseData!$B$46:$E$52,MATCH($D144,CaseData!$B$46:$B$52,0),MATCH($C144,CaseData!$B$46:$E$46,0))</f>
        <v>400</v>
      </c>
      <c r="T144" s="72">
        <f>INDEX(CaseData!$B$46:$E$52,MATCH($D144,CaseData!$B$46:$B$52,0),MATCH($C144,CaseData!$B$46:$E$46,0))</f>
        <v>400</v>
      </c>
      <c r="U144" s="72">
        <f>INDEX(CaseData!$B$46:$E$52,MATCH($D144,CaseData!$B$46:$B$52,0),MATCH($C144,CaseData!$B$46:$E$46,0))</f>
        <v>400</v>
      </c>
      <c r="V144" s="72">
        <f>INDEX(CaseData!$B$46:$E$52,MATCH($D144,CaseData!$B$46:$B$52,0),MATCH($C144,CaseData!$B$46:$E$46,0))</f>
        <v>400</v>
      </c>
      <c r="W144" s="72">
        <f>INDEX(CaseData!$B$46:$E$52,MATCH($D144,CaseData!$B$46:$B$52,0),MATCH($C144,CaseData!$B$46:$E$46,0))</f>
        <v>400</v>
      </c>
      <c r="X144" s="72">
        <f>INDEX(CaseData!$B$46:$E$52,MATCH($D144,CaseData!$B$46:$B$52,0),MATCH($C144,CaseData!$B$46:$E$46,0))</f>
        <v>400</v>
      </c>
      <c r="Y144" s="72">
        <f>INDEX(CaseData!$B$46:$E$52,MATCH($D144,CaseData!$B$46:$B$52,0),MATCH($C144,CaseData!$B$46:$E$46,0))</f>
        <v>400</v>
      </c>
      <c r="Z144" s="72">
        <f>INDEX(CaseData!$B$46:$E$52,MATCH($D144,CaseData!$B$46:$B$52,0),MATCH($C144,CaseData!$B$46:$E$46,0))</f>
        <v>400</v>
      </c>
      <c r="AA144" s="72">
        <f>INDEX(CaseData!$B$46:$E$52,MATCH($D144,CaseData!$B$46:$B$52,0),MATCH($C144,CaseData!$B$46:$E$46,0))</f>
        <v>400</v>
      </c>
      <c r="AB144" s="72">
        <f>INDEX(CaseData!$B$46:$E$52,MATCH($D144,CaseData!$B$46:$B$52,0),MATCH($C144,CaseData!$B$46:$E$46,0))</f>
        <v>400</v>
      </c>
      <c r="AC144" s="72">
        <f>INDEX(CaseData!$B$46:$E$52,MATCH($D144,CaseData!$B$46:$B$52,0),MATCH($C144,CaseData!$B$46:$E$46,0))</f>
        <v>400</v>
      </c>
      <c r="AD144" s="72">
        <f>INDEX(CaseData!$B$46:$E$52,MATCH($D144,CaseData!$B$46:$B$52,0),MATCH($C144,CaseData!$B$46:$E$46,0))</f>
        <v>400</v>
      </c>
      <c r="AE144" s="72">
        <f>INDEX(CaseData!$B$46:$E$52,MATCH($D144,CaseData!$B$46:$B$52,0),MATCH($C144,CaseData!$B$46:$E$46,0))</f>
        <v>400</v>
      </c>
      <c r="AF144" s="72">
        <f>INDEX(CaseData!$B$46:$E$52,MATCH($D144,CaseData!$B$46:$B$52,0),MATCH($C144,CaseData!$B$46:$E$46,0))</f>
        <v>400</v>
      </c>
      <c r="AG144" s="72">
        <f>INDEX(CaseData!$B$46:$E$52,MATCH($D144,CaseData!$B$46:$B$52,0),MATCH($C144,CaseData!$B$46:$E$46,0))</f>
        <v>400</v>
      </c>
      <c r="AH144" s="72">
        <f>INDEX(CaseData!$B$46:$E$52,MATCH($D144,CaseData!$B$46:$B$52,0),MATCH($C144,CaseData!$B$46:$E$46,0))</f>
        <v>400</v>
      </c>
      <c r="AI144" s="72">
        <f>INDEX(CaseData!$B$46:$E$52,MATCH($D144,CaseData!$B$46:$B$52,0),MATCH($C144,CaseData!$B$46:$E$46,0))</f>
        <v>400</v>
      </c>
      <c r="AJ144" s="72">
        <f>INDEX(CaseData!$B$46:$E$52,MATCH($D144,CaseData!$B$46:$B$52,0),MATCH($C144,CaseData!$B$46:$E$46,0))</f>
        <v>400</v>
      </c>
      <c r="AK144" s="72">
        <f>INDEX(CaseData!$B$46:$E$52,MATCH($D144,CaseData!$B$46:$B$52,0),MATCH($C144,CaseData!$B$46:$E$46,0))</f>
        <v>400</v>
      </c>
      <c r="AL144" s="72">
        <f>INDEX(CaseData!$B$46:$E$52,MATCH($D144,CaseData!$B$46:$B$52,0),MATCH($C144,CaseData!$B$46:$E$46,0))</f>
        <v>400</v>
      </c>
      <c r="AM144" s="72">
        <f>INDEX(CaseData!$B$46:$E$52,MATCH($D144,CaseData!$B$46:$B$52,0),MATCH($C144,CaseData!$B$46:$E$46,0))</f>
        <v>400</v>
      </c>
      <c r="AN144" s="72">
        <f>INDEX(CaseData!$B$46:$E$52,MATCH($D144,CaseData!$B$46:$B$52,0),MATCH($C144,CaseData!$B$46:$E$46,0))</f>
        <v>400</v>
      </c>
      <c r="AO144" s="72">
        <f>INDEX(CaseData!$B$46:$E$52,MATCH($D144,CaseData!$B$46:$B$52,0),MATCH($C144,CaseData!$B$46:$E$46,0))</f>
        <v>400</v>
      </c>
      <c r="AP144" s="72">
        <f>INDEX(CaseData!$B$46:$E$52,MATCH($D144,CaseData!$B$46:$B$52,0),MATCH($C144,CaseData!$B$46:$E$46,0))</f>
        <v>400</v>
      </c>
      <c r="AQ144" s="72">
        <f>INDEX(CaseData!$B$46:$E$52,MATCH($D144,CaseData!$B$46:$B$52,0),MATCH($C144,CaseData!$B$46:$E$46,0))</f>
        <v>400</v>
      </c>
      <c r="AR144" s="72">
        <f>INDEX(CaseData!$B$46:$E$52,MATCH($D144,CaseData!$B$46:$B$52,0),MATCH($C144,CaseData!$B$46:$E$46,0))</f>
        <v>400</v>
      </c>
      <c r="AS144" s="72">
        <f>INDEX(CaseData!$B$46:$E$52,MATCH($D144,CaseData!$B$46:$B$52,0),MATCH($C144,CaseData!$B$46:$E$46,0))</f>
        <v>400</v>
      </c>
      <c r="AT144" s="72">
        <f>INDEX(CaseData!$B$46:$E$52,MATCH($D144,CaseData!$B$46:$B$52,0),MATCH($C144,CaseData!$B$46:$E$46,0))</f>
        <v>400</v>
      </c>
      <c r="AU144" s="72">
        <f>INDEX(CaseData!$B$46:$E$52,MATCH($D144,CaseData!$B$46:$B$52,0),MATCH($C144,CaseData!$B$46:$E$46,0))</f>
        <v>400</v>
      </c>
      <c r="AV144" s="72">
        <f>INDEX(CaseData!$B$46:$E$52,MATCH($D144,CaseData!$B$46:$B$52,0),MATCH($C144,CaseData!$B$46:$E$46,0))</f>
        <v>400</v>
      </c>
      <c r="AW144" s="72">
        <f>INDEX(CaseData!$B$46:$E$52,MATCH($D144,CaseData!$B$46:$B$52,0),MATCH($C144,CaseData!$B$46:$E$46,0))</f>
        <v>400</v>
      </c>
      <c r="AX144" s="72">
        <f>INDEX(CaseData!$B$46:$E$52,MATCH($D144,CaseData!$B$46:$B$52,0),MATCH($C144,CaseData!$B$46:$E$46,0))</f>
        <v>400</v>
      </c>
      <c r="AY144" s="72">
        <f>INDEX(CaseData!$B$46:$E$52,MATCH($D144,CaseData!$B$46:$B$52,0),MATCH($C144,CaseData!$B$46:$E$46,0))</f>
        <v>400</v>
      </c>
      <c r="AZ144" s="72">
        <f>INDEX(CaseData!$B$46:$E$52,MATCH($D144,CaseData!$B$46:$B$52,0),MATCH($C144,CaseData!$B$46:$E$46,0))</f>
        <v>400</v>
      </c>
      <c r="BA144" s="72">
        <f>INDEX(CaseData!$B$46:$E$52,MATCH($D144,CaseData!$B$46:$B$52,0),MATCH($C144,CaseData!$B$46:$E$46,0))</f>
        <v>400</v>
      </c>
      <c r="BB144" s="72">
        <f>INDEX(CaseData!$B$46:$E$52,MATCH($D144,CaseData!$B$46:$B$52,0),MATCH($C144,CaseData!$B$46:$E$46,0))</f>
        <v>400</v>
      </c>
      <c r="BC144" s="72">
        <f>INDEX(CaseData!$B$46:$E$52,MATCH($D144,CaseData!$B$46:$B$52,0),MATCH($C144,CaseData!$B$46:$E$46,0))</f>
        <v>400</v>
      </c>
      <c r="BD144" s="72">
        <f>INDEX(CaseData!$B$46:$E$52,MATCH($D144,CaseData!$B$46:$B$52,0),MATCH($C144,CaseData!$B$46:$E$46,0))</f>
        <v>400</v>
      </c>
      <c r="BE144" s="72">
        <f>INDEX(CaseData!$B$46:$E$52,MATCH($D144,CaseData!$B$46:$B$52,0),MATCH($C144,CaseData!$B$46:$E$46,0))</f>
        <v>400</v>
      </c>
      <c r="BF144" s="72">
        <f>INDEX(CaseData!$B$46:$E$52,MATCH($D144,CaseData!$B$46:$B$52,0),MATCH($C144,CaseData!$B$46:$E$46,0))</f>
        <v>400</v>
      </c>
      <c r="BG144" s="72">
        <f>INDEX(CaseData!$B$46:$E$52,MATCH($D144,CaseData!$B$46:$B$52,0),MATCH($C144,CaseData!$B$46:$E$46,0))</f>
        <v>400</v>
      </c>
      <c r="BH144" s="72">
        <f>INDEX(CaseData!$B$46:$E$52,MATCH($D144,CaseData!$B$46:$B$52,0),MATCH($C144,CaseData!$B$46:$E$46,0))</f>
        <v>400</v>
      </c>
      <c r="BI144" s="72">
        <f>INDEX(CaseData!$B$46:$E$52,MATCH($D144,CaseData!$B$46:$B$52,0),MATCH($C144,CaseData!$B$46:$E$46,0))</f>
        <v>400</v>
      </c>
      <c r="BJ144" s="72">
        <f>INDEX(CaseData!$B$46:$E$52,MATCH($D144,CaseData!$B$46:$B$52,0),MATCH($C144,CaseData!$B$46:$E$46,0))</f>
        <v>400</v>
      </c>
      <c r="BK144" s="72">
        <f>INDEX(CaseData!$B$46:$E$52,MATCH($D144,CaseData!$B$46:$B$52,0),MATCH($C144,CaseData!$B$46:$E$46,0))</f>
        <v>400</v>
      </c>
      <c r="BL144" s="72">
        <f>INDEX(CaseData!$B$46:$E$52,MATCH($D144,CaseData!$B$46:$B$52,0),MATCH($C144,CaseData!$B$46:$E$46,0))</f>
        <v>400</v>
      </c>
      <c r="BM144" s="72">
        <f>INDEX(CaseData!$B$46:$E$52,MATCH($D144,CaseData!$B$46:$B$52,0),MATCH($C144,CaseData!$B$46:$E$46,0))</f>
        <v>400</v>
      </c>
      <c r="BN144" s="72">
        <f>INDEX(CaseData!$B$46:$E$52,MATCH($D144,CaseData!$B$46:$B$52,0),MATCH($C144,CaseData!$B$46:$E$46,0))</f>
        <v>400</v>
      </c>
    </row>
    <row r="145" spans="2:66" ht="13.8">
      <c r="B145" s="37" t="str">
        <f>B144</f>
        <v>Paris</v>
      </c>
      <c r="C145" t="str">
        <f>CaseData!$E$27</f>
        <v>Accessories</v>
      </c>
      <c r="D145" s="84" t="str">
        <f>INDEX(CaseData!$E$10:$E$17,MATCH(B145,CaseData!$C$10:$C$17,0))</f>
        <v>EUR</v>
      </c>
      <c r="E145" s="85"/>
      <c r="G145" s="72">
        <f>INDEX(CaseData!$B$46:$E$52,MATCH($D145,CaseData!$B$46:$B$52,0),MATCH($C145,CaseData!$B$46:$E$46,0))</f>
        <v>150</v>
      </c>
      <c r="H145" s="72">
        <f>INDEX(CaseData!$B$46:$E$52,MATCH($D145,CaseData!$B$46:$B$52,0),MATCH($C145,CaseData!$B$46:$E$46,0))</f>
        <v>150</v>
      </c>
      <c r="I145" s="72">
        <f>INDEX(CaseData!$B$46:$E$52,MATCH($D145,CaseData!$B$46:$B$52,0),MATCH($C145,CaseData!$B$46:$E$46,0))</f>
        <v>150</v>
      </c>
      <c r="J145" s="72">
        <f>INDEX(CaseData!$B$46:$E$52,MATCH($D145,CaseData!$B$46:$B$52,0),MATCH($C145,CaseData!$B$46:$E$46,0))</f>
        <v>150</v>
      </c>
      <c r="K145" s="72">
        <f>INDEX(CaseData!$B$46:$E$52,MATCH($D145,CaseData!$B$46:$B$52,0),MATCH($C145,CaseData!$B$46:$E$46,0))</f>
        <v>150</v>
      </c>
      <c r="L145" s="72">
        <f>INDEX(CaseData!$B$46:$E$52,MATCH($D145,CaseData!$B$46:$B$52,0),MATCH($C145,CaseData!$B$46:$E$46,0))</f>
        <v>150</v>
      </c>
      <c r="M145" s="72">
        <f>INDEX(CaseData!$B$46:$E$52,MATCH($D145,CaseData!$B$46:$B$52,0),MATCH($C145,CaseData!$B$46:$E$46,0))</f>
        <v>150</v>
      </c>
      <c r="N145" s="72">
        <f>INDEX(CaseData!$B$46:$E$52,MATCH($D145,CaseData!$B$46:$B$52,0),MATCH($C145,CaseData!$B$46:$E$46,0))</f>
        <v>150</v>
      </c>
      <c r="O145" s="72">
        <f>INDEX(CaseData!$B$46:$E$52,MATCH($D145,CaseData!$B$46:$B$52,0),MATCH($C145,CaseData!$B$46:$E$46,0))</f>
        <v>150</v>
      </c>
      <c r="P145" s="72">
        <f>INDEX(CaseData!$B$46:$E$52,MATCH($D145,CaseData!$B$46:$B$52,0),MATCH($C145,CaseData!$B$46:$E$46,0))</f>
        <v>150</v>
      </c>
      <c r="Q145" s="72">
        <f>INDEX(CaseData!$B$46:$E$52,MATCH($D145,CaseData!$B$46:$B$52,0),MATCH($C145,CaseData!$B$46:$E$46,0))</f>
        <v>150</v>
      </c>
      <c r="R145" s="72">
        <f>INDEX(CaseData!$B$46:$E$52,MATCH($D145,CaseData!$B$46:$B$52,0),MATCH($C145,CaseData!$B$46:$E$46,0))</f>
        <v>150</v>
      </c>
      <c r="S145" s="72">
        <f>INDEX(CaseData!$B$46:$E$52,MATCH($D145,CaseData!$B$46:$B$52,0),MATCH($C145,CaseData!$B$46:$E$46,0))</f>
        <v>150</v>
      </c>
      <c r="T145" s="72">
        <f>INDEX(CaseData!$B$46:$E$52,MATCH($D145,CaseData!$B$46:$B$52,0),MATCH($C145,CaseData!$B$46:$E$46,0))</f>
        <v>150</v>
      </c>
      <c r="U145" s="72">
        <f>INDEX(CaseData!$B$46:$E$52,MATCH($D145,CaseData!$B$46:$B$52,0),MATCH($C145,CaseData!$B$46:$E$46,0))</f>
        <v>150</v>
      </c>
      <c r="V145" s="72">
        <f>INDEX(CaseData!$B$46:$E$52,MATCH($D145,CaseData!$B$46:$B$52,0),MATCH($C145,CaseData!$B$46:$E$46,0))</f>
        <v>150</v>
      </c>
      <c r="W145" s="72">
        <f>INDEX(CaseData!$B$46:$E$52,MATCH($D145,CaseData!$B$46:$B$52,0),MATCH($C145,CaseData!$B$46:$E$46,0))</f>
        <v>150</v>
      </c>
      <c r="X145" s="72">
        <f>INDEX(CaseData!$B$46:$E$52,MATCH($D145,CaseData!$B$46:$B$52,0),MATCH($C145,CaseData!$B$46:$E$46,0))</f>
        <v>150</v>
      </c>
      <c r="Y145" s="72">
        <f>INDEX(CaseData!$B$46:$E$52,MATCH($D145,CaseData!$B$46:$B$52,0),MATCH($C145,CaseData!$B$46:$E$46,0))</f>
        <v>150</v>
      </c>
      <c r="Z145" s="72">
        <f>INDEX(CaseData!$B$46:$E$52,MATCH($D145,CaseData!$B$46:$B$52,0),MATCH($C145,CaseData!$B$46:$E$46,0))</f>
        <v>150</v>
      </c>
      <c r="AA145" s="72">
        <f>INDEX(CaseData!$B$46:$E$52,MATCH($D145,CaseData!$B$46:$B$52,0),MATCH($C145,CaseData!$B$46:$E$46,0))</f>
        <v>150</v>
      </c>
      <c r="AB145" s="72">
        <f>INDEX(CaseData!$B$46:$E$52,MATCH($D145,CaseData!$B$46:$B$52,0),MATCH($C145,CaseData!$B$46:$E$46,0))</f>
        <v>150</v>
      </c>
      <c r="AC145" s="72">
        <f>INDEX(CaseData!$B$46:$E$52,MATCH($D145,CaseData!$B$46:$B$52,0),MATCH($C145,CaseData!$B$46:$E$46,0))</f>
        <v>150</v>
      </c>
      <c r="AD145" s="72">
        <f>INDEX(CaseData!$B$46:$E$52,MATCH($D145,CaseData!$B$46:$B$52,0),MATCH($C145,CaseData!$B$46:$E$46,0))</f>
        <v>150</v>
      </c>
      <c r="AE145" s="72">
        <f>INDEX(CaseData!$B$46:$E$52,MATCH($D145,CaseData!$B$46:$B$52,0),MATCH($C145,CaseData!$B$46:$E$46,0))</f>
        <v>150</v>
      </c>
      <c r="AF145" s="72">
        <f>INDEX(CaseData!$B$46:$E$52,MATCH($D145,CaseData!$B$46:$B$52,0),MATCH($C145,CaseData!$B$46:$E$46,0))</f>
        <v>150</v>
      </c>
      <c r="AG145" s="72">
        <f>INDEX(CaseData!$B$46:$E$52,MATCH($D145,CaseData!$B$46:$B$52,0),MATCH($C145,CaseData!$B$46:$E$46,0))</f>
        <v>150</v>
      </c>
      <c r="AH145" s="72">
        <f>INDEX(CaseData!$B$46:$E$52,MATCH($D145,CaseData!$B$46:$B$52,0),MATCH($C145,CaseData!$B$46:$E$46,0))</f>
        <v>150</v>
      </c>
      <c r="AI145" s="72">
        <f>INDEX(CaseData!$B$46:$E$52,MATCH($D145,CaseData!$B$46:$B$52,0),MATCH($C145,CaseData!$B$46:$E$46,0))</f>
        <v>150</v>
      </c>
      <c r="AJ145" s="72">
        <f>INDEX(CaseData!$B$46:$E$52,MATCH($D145,CaseData!$B$46:$B$52,0),MATCH($C145,CaseData!$B$46:$E$46,0))</f>
        <v>150</v>
      </c>
      <c r="AK145" s="72">
        <f>INDEX(CaseData!$B$46:$E$52,MATCH($D145,CaseData!$B$46:$B$52,0),MATCH($C145,CaseData!$B$46:$E$46,0))</f>
        <v>150</v>
      </c>
      <c r="AL145" s="72">
        <f>INDEX(CaseData!$B$46:$E$52,MATCH($D145,CaseData!$B$46:$B$52,0),MATCH($C145,CaseData!$B$46:$E$46,0))</f>
        <v>150</v>
      </c>
      <c r="AM145" s="72">
        <f>INDEX(CaseData!$B$46:$E$52,MATCH($D145,CaseData!$B$46:$B$52,0),MATCH($C145,CaseData!$B$46:$E$46,0))</f>
        <v>150</v>
      </c>
      <c r="AN145" s="72">
        <f>INDEX(CaseData!$B$46:$E$52,MATCH($D145,CaseData!$B$46:$B$52,0),MATCH($C145,CaseData!$B$46:$E$46,0))</f>
        <v>150</v>
      </c>
      <c r="AO145" s="72">
        <f>INDEX(CaseData!$B$46:$E$52,MATCH($D145,CaseData!$B$46:$B$52,0),MATCH($C145,CaseData!$B$46:$E$46,0))</f>
        <v>150</v>
      </c>
      <c r="AP145" s="72">
        <f>INDEX(CaseData!$B$46:$E$52,MATCH($D145,CaseData!$B$46:$B$52,0),MATCH($C145,CaseData!$B$46:$E$46,0))</f>
        <v>150</v>
      </c>
      <c r="AQ145" s="72">
        <f>INDEX(CaseData!$B$46:$E$52,MATCH($D145,CaseData!$B$46:$B$52,0),MATCH($C145,CaseData!$B$46:$E$46,0))</f>
        <v>150</v>
      </c>
      <c r="AR145" s="72">
        <f>INDEX(CaseData!$B$46:$E$52,MATCH($D145,CaseData!$B$46:$B$52,0),MATCH($C145,CaseData!$B$46:$E$46,0))</f>
        <v>150</v>
      </c>
      <c r="AS145" s="72">
        <f>INDEX(CaseData!$B$46:$E$52,MATCH($D145,CaseData!$B$46:$B$52,0),MATCH($C145,CaseData!$B$46:$E$46,0))</f>
        <v>150</v>
      </c>
      <c r="AT145" s="72">
        <f>INDEX(CaseData!$B$46:$E$52,MATCH($D145,CaseData!$B$46:$B$52,0),MATCH($C145,CaseData!$B$46:$E$46,0))</f>
        <v>150</v>
      </c>
      <c r="AU145" s="72">
        <f>INDEX(CaseData!$B$46:$E$52,MATCH($D145,CaseData!$B$46:$B$52,0),MATCH($C145,CaseData!$B$46:$E$46,0))</f>
        <v>150</v>
      </c>
      <c r="AV145" s="72">
        <f>INDEX(CaseData!$B$46:$E$52,MATCH($D145,CaseData!$B$46:$B$52,0),MATCH($C145,CaseData!$B$46:$E$46,0))</f>
        <v>150</v>
      </c>
      <c r="AW145" s="72">
        <f>INDEX(CaseData!$B$46:$E$52,MATCH($D145,CaseData!$B$46:$B$52,0),MATCH($C145,CaseData!$B$46:$E$46,0))</f>
        <v>150</v>
      </c>
      <c r="AX145" s="72">
        <f>INDEX(CaseData!$B$46:$E$52,MATCH($D145,CaseData!$B$46:$B$52,0),MATCH($C145,CaseData!$B$46:$E$46,0))</f>
        <v>150</v>
      </c>
      <c r="AY145" s="72">
        <f>INDEX(CaseData!$B$46:$E$52,MATCH($D145,CaseData!$B$46:$B$52,0),MATCH($C145,CaseData!$B$46:$E$46,0))</f>
        <v>150</v>
      </c>
      <c r="AZ145" s="72">
        <f>INDEX(CaseData!$B$46:$E$52,MATCH($D145,CaseData!$B$46:$B$52,0),MATCH($C145,CaseData!$B$46:$E$46,0))</f>
        <v>150</v>
      </c>
      <c r="BA145" s="72">
        <f>INDEX(CaseData!$B$46:$E$52,MATCH($D145,CaseData!$B$46:$B$52,0),MATCH($C145,CaseData!$B$46:$E$46,0))</f>
        <v>150</v>
      </c>
      <c r="BB145" s="72">
        <f>INDEX(CaseData!$B$46:$E$52,MATCH($D145,CaseData!$B$46:$B$52,0),MATCH($C145,CaseData!$B$46:$E$46,0))</f>
        <v>150</v>
      </c>
      <c r="BC145" s="72">
        <f>INDEX(CaseData!$B$46:$E$52,MATCH($D145,CaseData!$B$46:$B$52,0),MATCH($C145,CaseData!$B$46:$E$46,0))</f>
        <v>150</v>
      </c>
      <c r="BD145" s="72">
        <f>INDEX(CaseData!$B$46:$E$52,MATCH($D145,CaseData!$B$46:$B$52,0),MATCH($C145,CaseData!$B$46:$E$46,0))</f>
        <v>150</v>
      </c>
      <c r="BE145" s="72">
        <f>INDEX(CaseData!$B$46:$E$52,MATCH($D145,CaseData!$B$46:$B$52,0),MATCH($C145,CaseData!$B$46:$E$46,0))</f>
        <v>150</v>
      </c>
      <c r="BF145" s="72">
        <f>INDEX(CaseData!$B$46:$E$52,MATCH($D145,CaseData!$B$46:$B$52,0),MATCH($C145,CaseData!$B$46:$E$46,0))</f>
        <v>150</v>
      </c>
      <c r="BG145" s="72">
        <f>INDEX(CaseData!$B$46:$E$52,MATCH($D145,CaseData!$B$46:$B$52,0),MATCH($C145,CaseData!$B$46:$E$46,0))</f>
        <v>150</v>
      </c>
      <c r="BH145" s="72">
        <f>INDEX(CaseData!$B$46:$E$52,MATCH($D145,CaseData!$B$46:$B$52,0),MATCH($C145,CaseData!$B$46:$E$46,0))</f>
        <v>150</v>
      </c>
      <c r="BI145" s="72">
        <f>INDEX(CaseData!$B$46:$E$52,MATCH($D145,CaseData!$B$46:$B$52,0),MATCH($C145,CaseData!$B$46:$E$46,0))</f>
        <v>150</v>
      </c>
      <c r="BJ145" s="72">
        <f>INDEX(CaseData!$B$46:$E$52,MATCH($D145,CaseData!$B$46:$B$52,0),MATCH($C145,CaseData!$B$46:$E$46,0))</f>
        <v>150</v>
      </c>
      <c r="BK145" s="72">
        <f>INDEX(CaseData!$B$46:$E$52,MATCH($D145,CaseData!$B$46:$B$52,0),MATCH($C145,CaseData!$B$46:$E$46,0))</f>
        <v>150</v>
      </c>
      <c r="BL145" s="72">
        <f>INDEX(CaseData!$B$46:$E$52,MATCH($D145,CaseData!$B$46:$B$52,0),MATCH($C145,CaseData!$B$46:$E$46,0))</f>
        <v>150</v>
      </c>
      <c r="BM145" s="72">
        <f>INDEX(CaseData!$B$46:$E$52,MATCH($D145,CaseData!$B$46:$B$52,0),MATCH($C145,CaseData!$B$46:$E$46,0))</f>
        <v>150</v>
      </c>
      <c r="BN145" s="72">
        <f>INDEX(CaseData!$B$46:$E$52,MATCH($D145,CaseData!$B$46:$B$52,0),MATCH($C145,CaseData!$B$46:$E$46,0))</f>
        <v>150</v>
      </c>
    </row>
    <row r="146" spans="2:66" ht="13.8">
      <c r="B146" s="37" t="str">
        <f>CaseData!$B$29</f>
        <v>Milano</v>
      </c>
      <c r="C146" t="str">
        <f>C143</f>
        <v>Women's</v>
      </c>
      <c r="D146" s="84" t="str">
        <f>INDEX(CaseData!$E$10:$E$17,MATCH(B146,CaseData!$C$10:$C$17,0))</f>
        <v>EUR</v>
      </c>
      <c r="E146" s="85"/>
      <c r="G146" s="72">
        <f>INDEX(CaseData!$B$46:$E$52,MATCH($D146,CaseData!$B$46:$B$52,0),MATCH($C146,CaseData!$B$46:$E$46,0))</f>
        <v>500</v>
      </c>
      <c r="H146" s="72">
        <f>INDEX(CaseData!$B$46:$E$52,MATCH($D146,CaseData!$B$46:$B$52,0),MATCH($C146,CaseData!$B$46:$E$46,0))</f>
        <v>500</v>
      </c>
      <c r="I146" s="72">
        <f>INDEX(CaseData!$B$46:$E$52,MATCH($D146,CaseData!$B$46:$B$52,0),MATCH($C146,CaseData!$B$46:$E$46,0))</f>
        <v>500</v>
      </c>
      <c r="J146" s="72">
        <f>INDEX(CaseData!$B$46:$E$52,MATCH($D146,CaseData!$B$46:$B$52,0),MATCH($C146,CaseData!$B$46:$E$46,0))</f>
        <v>500</v>
      </c>
      <c r="K146" s="72">
        <f>INDEX(CaseData!$B$46:$E$52,MATCH($D146,CaseData!$B$46:$B$52,0),MATCH($C146,CaseData!$B$46:$E$46,0))</f>
        <v>500</v>
      </c>
      <c r="L146" s="72">
        <f>INDEX(CaseData!$B$46:$E$52,MATCH($D146,CaseData!$B$46:$B$52,0),MATCH($C146,CaseData!$B$46:$E$46,0))</f>
        <v>500</v>
      </c>
      <c r="M146" s="72">
        <f>INDEX(CaseData!$B$46:$E$52,MATCH($D146,CaseData!$B$46:$B$52,0),MATCH($C146,CaseData!$B$46:$E$46,0))</f>
        <v>500</v>
      </c>
      <c r="N146" s="72">
        <f>INDEX(CaseData!$B$46:$E$52,MATCH($D146,CaseData!$B$46:$B$52,0),MATCH($C146,CaseData!$B$46:$E$46,0))</f>
        <v>500</v>
      </c>
      <c r="O146" s="72">
        <f>INDEX(CaseData!$B$46:$E$52,MATCH($D146,CaseData!$B$46:$B$52,0),MATCH($C146,CaseData!$B$46:$E$46,0))</f>
        <v>500</v>
      </c>
      <c r="P146" s="72">
        <f>INDEX(CaseData!$B$46:$E$52,MATCH($D146,CaseData!$B$46:$B$52,0),MATCH($C146,CaseData!$B$46:$E$46,0))</f>
        <v>500</v>
      </c>
      <c r="Q146" s="72">
        <f>INDEX(CaseData!$B$46:$E$52,MATCH($D146,CaseData!$B$46:$B$52,0),MATCH($C146,CaseData!$B$46:$E$46,0))</f>
        <v>500</v>
      </c>
      <c r="R146" s="72">
        <f>INDEX(CaseData!$B$46:$E$52,MATCH($D146,CaseData!$B$46:$B$52,0),MATCH($C146,CaseData!$B$46:$E$46,0))</f>
        <v>500</v>
      </c>
      <c r="S146" s="72">
        <f>INDEX(CaseData!$B$46:$E$52,MATCH($D146,CaseData!$B$46:$B$52,0),MATCH($C146,CaseData!$B$46:$E$46,0))</f>
        <v>500</v>
      </c>
      <c r="T146" s="72">
        <f>INDEX(CaseData!$B$46:$E$52,MATCH($D146,CaseData!$B$46:$B$52,0),MATCH($C146,CaseData!$B$46:$E$46,0))</f>
        <v>500</v>
      </c>
      <c r="U146" s="72">
        <f>INDEX(CaseData!$B$46:$E$52,MATCH($D146,CaseData!$B$46:$B$52,0),MATCH($C146,CaseData!$B$46:$E$46,0))</f>
        <v>500</v>
      </c>
      <c r="V146" s="72">
        <f>INDEX(CaseData!$B$46:$E$52,MATCH($D146,CaseData!$B$46:$B$52,0),MATCH($C146,CaseData!$B$46:$E$46,0))</f>
        <v>500</v>
      </c>
      <c r="W146" s="72">
        <f>INDEX(CaseData!$B$46:$E$52,MATCH($D146,CaseData!$B$46:$B$52,0),MATCH($C146,CaseData!$B$46:$E$46,0))</f>
        <v>500</v>
      </c>
      <c r="X146" s="72">
        <f>INDEX(CaseData!$B$46:$E$52,MATCH($D146,CaseData!$B$46:$B$52,0),MATCH($C146,CaseData!$B$46:$E$46,0))</f>
        <v>500</v>
      </c>
      <c r="Y146" s="72">
        <f>INDEX(CaseData!$B$46:$E$52,MATCH($D146,CaseData!$B$46:$B$52,0),MATCH($C146,CaseData!$B$46:$E$46,0))</f>
        <v>500</v>
      </c>
      <c r="Z146" s="72">
        <f>INDEX(CaseData!$B$46:$E$52,MATCH($D146,CaseData!$B$46:$B$52,0),MATCH($C146,CaseData!$B$46:$E$46,0))</f>
        <v>500</v>
      </c>
      <c r="AA146" s="72">
        <f>INDEX(CaseData!$B$46:$E$52,MATCH($D146,CaseData!$B$46:$B$52,0),MATCH($C146,CaseData!$B$46:$E$46,0))</f>
        <v>500</v>
      </c>
      <c r="AB146" s="72">
        <f>INDEX(CaseData!$B$46:$E$52,MATCH($D146,CaseData!$B$46:$B$52,0),MATCH($C146,CaseData!$B$46:$E$46,0))</f>
        <v>500</v>
      </c>
      <c r="AC146" s="72">
        <f>INDEX(CaseData!$B$46:$E$52,MATCH($D146,CaseData!$B$46:$B$52,0),MATCH($C146,CaseData!$B$46:$E$46,0))</f>
        <v>500</v>
      </c>
      <c r="AD146" s="72">
        <f>INDEX(CaseData!$B$46:$E$52,MATCH($D146,CaseData!$B$46:$B$52,0),MATCH($C146,CaseData!$B$46:$E$46,0))</f>
        <v>500</v>
      </c>
      <c r="AE146" s="72">
        <f>INDEX(CaseData!$B$46:$E$52,MATCH($D146,CaseData!$B$46:$B$52,0),MATCH($C146,CaseData!$B$46:$E$46,0))</f>
        <v>500</v>
      </c>
      <c r="AF146" s="72">
        <f>INDEX(CaseData!$B$46:$E$52,MATCH($D146,CaseData!$B$46:$B$52,0),MATCH($C146,CaseData!$B$46:$E$46,0))</f>
        <v>500</v>
      </c>
      <c r="AG146" s="72">
        <f>INDEX(CaseData!$B$46:$E$52,MATCH($D146,CaseData!$B$46:$B$52,0),MATCH($C146,CaseData!$B$46:$E$46,0))</f>
        <v>500</v>
      </c>
      <c r="AH146" s="72">
        <f>INDEX(CaseData!$B$46:$E$52,MATCH($D146,CaseData!$B$46:$B$52,0),MATCH($C146,CaseData!$B$46:$E$46,0))</f>
        <v>500</v>
      </c>
      <c r="AI146" s="72">
        <f>INDEX(CaseData!$B$46:$E$52,MATCH($D146,CaseData!$B$46:$B$52,0),MATCH($C146,CaseData!$B$46:$E$46,0))</f>
        <v>500</v>
      </c>
      <c r="AJ146" s="72">
        <f>INDEX(CaseData!$B$46:$E$52,MATCH($D146,CaseData!$B$46:$B$52,0),MATCH($C146,CaseData!$B$46:$E$46,0))</f>
        <v>500</v>
      </c>
      <c r="AK146" s="72">
        <f>INDEX(CaseData!$B$46:$E$52,MATCH($D146,CaseData!$B$46:$B$52,0),MATCH($C146,CaseData!$B$46:$E$46,0))</f>
        <v>500</v>
      </c>
      <c r="AL146" s="72">
        <f>INDEX(CaseData!$B$46:$E$52,MATCH($D146,CaseData!$B$46:$B$52,0),MATCH($C146,CaseData!$B$46:$E$46,0))</f>
        <v>500</v>
      </c>
      <c r="AM146" s="72">
        <f>INDEX(CaseData!$B$46:$E$52,MATCH($D146,CaseData!$B$46:$B$52,0),MATCH($C146,CaseData!$B$46:$E$46,0))</f>
        <v>500</v>
      </c>
      <c r="AN146" s="72">
        <f>INDEX(CaseData!$B$46:$E$52,MATCH($D146,CaseData!$B$46:$B$52,0),MATCH($C146,CaseData!$B$46:$E$46,0))</f>
        <v>500</v>
      </c>
      <c r="AO146" s="72">
        <f>INDEX(CaseData!$B$46:$E$52,MATCH($D146,CaseData!$B$46:$B$52,0),MATCH($C146,CaseData!$B$46:$E$46,0))</f>
        <v>500</v>
      </c>
      <c r="AP146" s="72">
        <f>INDEX(CaseData!$B$46:$E$52,MATCH($D146,CaseData!$B$46:$B$52,0),MATCH($C146,CaseData!$B$46:$E$46,0))</f>
        <v>500</v>
      </c>
      <c r="AQ146" s="72">
        <f>INDEX(CaseData!$B$46:$E$52,MATCH($D146,CaseData!$B$46:$B$52,0),MATCH($C146,CaseData!$B$46:$E$46,0))</f>
        <v>500</v>
      </c>
      <c r="AR146" s="72">
        <f>INDEX(CaseData!$B$46:$E$52,MATCH($D146,CaseData!$B$46:$B$52,0),MATCH($C146,CaseData!$B$46:$E$46,0))</f>
        <v>500</v>
      </c>
      <c r="AS146" s="72">
        <f>INDEX(CaseData!$B$46:$E$52,MATCH($D146,CaseData!$B$46:$B$52,0),MATCH($C146,CaseData!$B$46:$E$46,0))</f>
        <v>500</v>
      </c>
      <c r="AT146" s="72">
        <f>INDEX(CaseData!$B$46:$E$52,MATCH($D146,CaseData!$B$46:$B$52,0),MATCH($C146,CaseData!$B$46:$E$46,0))</f>
        <v>500</v>
      </c>
      <c r="AU146" s="72">
        <f>INDEX(CaseData!$B$46:$E$52,MATCH($D146,CaseData!$B$46:$B$52,0),MATCH($C146,CaseData!$B$46:$E$46,0))</f>
        <v>500</v>
      </c>
      <c r="AV146" s="72">
        <f>INDEX(CaseData!$B$46:$E$52,MATCH($D146,CaseData!$B$46:$B$52,0),MATCH($C146,CaseData!$B$46:$E$46,0))</f>
        <v>500</v>
      </c>
      <c r="AW146" s="72">
        <f>INDEX(CaseData!$B$46:$E$52,MATCH($D146,CaseData!$B$46:$B$52,0),MATCH($C146,CaseData!$B$46:$E$46,0))</f>
        <v>500</v>
      </c>
      <c r="AX146" s="72">
        <f>INDEX(CaseData!$B$46:$E$52,MATCH($D146,CaseData!$B$46:$B$52,0),MATCH($C146,CaseData!$B$46:$E$46,0))</f>
        <v>500</v>
      </c>
      <c r="AY146" s="72">
        <f>INDEX(CaseData!$B$46:$E$52,MATCH($D146,CaseData!$B$46:$B$52,0),MATCH($C146,CaseData!$B$46:$E$46,0))</f>
        <v>500</v>
      </c>
      <c r="AZ146" s="72">
        <f>INDEX(CaseData!$B$46:$E$52,MATCH($D146,CaseData!$B$46:$B$52,0),MATCH($C146,CaseData!$B$46:$E$46,0))</f>
        <v>500</v>
      </c>
      <c r="BA146" s="72">
        <f>INDEX(CaseData!$B$46:$E$52,MATCH($D146,CaseData!$B$46:$B$52,0),MATCH($C146,CaseData!$B$46:$E$46,0))</f>
        <v>500</v>
      </c>
      <c r="BB146" s="72">
        <f>INDEX(CaseData!$B$46:$E$52,MATCH($D146,CaseData!$B$46:$B$52,0),MATCH($C146,CaseData!$B$46:$E$46,0))</f>
        <v>500</v>
      </c>
      <c r="BC146" s="72">
        <f>INDEX(CaseData!$B$46:$E$52,MATCH($D146,CaseData!$B$46:$B$52,0),MATCH($C146,CaseData!$B$46:$E$46,0))</f>
        <v>500</v>
      </c>
      <c r="BD146" s="72">
        <f>INDEX(CaseData!$B$46:$E$52,MATCH($D146,CaseData!$B$46:$B$52,0),MATCH($C146,CaseData!$B$46:$E$46,0))</f>
        <v>500</v>
      </c>
      <c r="BE146" s="72">
        <f>INDEX(CaseData!$B$46:$E$52,MATCH($D146,CaseData!$B$46:$B$52,0),MATCH($C146,CaseData!$B$46:$E$46,0))</f>
        <v>500</v>
      </c>
      <c r="BF146" s="72">
        <f>INDEX(CaseData!$B$46:$E$52,MATCH($D146,CaseData!$B$46:$B$52,0),MATCH($C146,CaseData!$B$46:$E$46,0))</f>
        <v>500</v>
      </c>
      <c r="BG146" s="72">
        <f>INDEX(CaseData!$B$46:$E$52,MATCH($D146,CaseData!$B$46:$B$52,0),MATCH($C146,CaseData!$B$46:$E$46,0))</f>
        <v>500</v>
      </c>
      <c r="BH146" s="72">
        <f>INDEX(CaseData!$B$46:$E$52,MATCH($D146,CaseData!$B$46:$B$52,0),MATCH($C146,CaseData!$B$46:$E$46,0))</f>
        <v>500</v>
      </c>
      <c r="BI146" s="72">
        <f>INDEX(CaseData!$B$46:$E$52,MATCH($D146,CaseData!$B$46:$B$52,0),MATCH($C146,CaseData!$B$46:$E$46,0))</f>
        <v>500</v>
      </c>
      <c r="BJ146" s="72">
        <f>INDEX(CaseData!$B$46:$E$52,MATCH($D146,CaseData!$B$46:$B$52,0),MATCH($C146,CaseData!$B$46:$E$46,0))</f>
        <v>500</v>
      </c>
      <c r="BK146" s="72">
        <f>INDEX(CaseData!$B$46:$E$52,MATCH($D146,CaseData!$B$46:$B$52,0),MATCH($C146,CaseData!$B$46:$E$46,0))</f>
        <v>500</v>
      </c>
      <c r="BL146" s="72">
        <f>INDEX(CaseData!$B$46:$E$52,MATCH($D146,CaseData!$B$46:$B$52,0),MATCH($C146,CaseData!$B$46:$E$46,0))</f>
        <v>500</v>
      </c>
      <c r="BM146" s="72">
        <f>INDEX(CaseData!$B$46:$E$52,MATCH($D146,CaseData!$B$46:$B$52,0),MATCH($C146,CaseData!$B$46:$E$46,0))</f>
        <v>500</v>
      </c>
      <c r="BN146" s="72">
        <f>INDEX(CaseData!$B$46:$E$52,MATCH($D146,CaseData!$B$46:$B$52,0),MATCH($C146,CaseData!$B$46:$E$46,0))</f>
        <v>500</v>
      </c>
    </row>
    <row r="147" spans="2:66" ht="13.8">
      <c r="B147" s="37" t="str">
        <f>B146</f>
        <v>Milano</v>
      </c>
      <c r="C147" t="str">
        <f t="shared" ref="C147:C166" si="70">C144</f>
        <v>Men's</v>
      </c>
      <c r="D147" s="84" t="str">
        <f>INDEX(CaseData!$E$10:$E$17,MATCH(B147,CaseData!$C$10:$C$17,0))</f>
        <v>EUR</v>
      </c>
      <c r="E147" s="85"/>
      <c r="G147" s="72">
        <f>INDEX(CaseData!$B$46:$E$52,MATCH($D147,CaseData!$B$46:$B$52,0),MATCH($C147,CaseData!$B$46:$E$46,0))</f>
        <v>400</v>
      </c>
      <c r="H147" s="72">
        <f>INDEX(CaseData!$B$46:$E$52,MATCH($D147,CaseData!$B$46:$B$52,0),MATCH($C147,CaseData!$B$46:$E$46,0))</f>
        <v>400</v>
      </c>
      <c r="I147" s="72">
        <f>INDEX(CaseData!$B$46:$E$52,MATCH($D147,CaseData!$B$46:$B$52,0),MATCH($C147,CaseData!$B$46:$E$46,0))</f>
        <v>400</v>
      </c>
      <c r="J147" s="72">
        <f>INDEX(CaseData!$B$46:$E$52,MATCH($D147,CaseData!$B$46:$B$52,0),MATCH($C147,CaseData!$B$46:$E$46,0))</f>
        <v>400</v>
      </c>
      <c r="K147" s="72">
        <f>INDEX(CaseData!$B$46:$E$52,MATCH($D147,CaseData!$B$46:$B$52,0),MATCH($C147,CaseData!$B$46:$E$46,0))</f>
        <v>400</v>
      </c>
      <c r="L147" s="72">
        <f>INDEX(CaseData!$B$46:$E$52,MATCH($D147,CaseData!$B$46:$B$52,0),MATCH($C147,CaseData!$B$46:$E$46,0))</f>
        <v>400</v>
      </c>
      <c r="M147" s="72">
        <f>INDEX(CaseData!$B$46:$E$52,MATCH($D147,CaseData!$B$46:$B$52,0),MATCH($C147,CaseData!$B$46:$E$46,0))</f>
        <v>400</v>
      </c>
      <c r="N147" s="72">
        <f>INDEX(CaseData!$B$46:$E$52,MATCH($D147,CaseData!$B$46:$B$52,0),MATCH($C147,CaseData!$B$46:$E$46,0))</f>
        <v>400</v>
      </c>
      <c r="O147" s="72">
        <f>INDEX(CaseData!$B$46:$E$52,MATCH($D147,CaseData!$B$46:$B$52,0),MATCH($C147,CaseData!$B$46:$E$46,0))</f>
        <v>400</v>
      </c>
      <c r="P147" s="72">
        <f>INDEX(CaseData!$B$46:$E$52,MATCH($D147,CaseData!$B$46:$B$52,0),MATCH($C147,CaseData!$B$46:$E$46,0))</f>
        <v>400</v>
      </c>
      <c r="Q147" s="72">
        <f>INDEX(CaseData!$B$46:$E$52,MATCH($D147,CaseData!$B$46:$B$52,0),MATCH($C147,CaseData!$B$46:$E$46,0))</f>
        <v>400</v>
      </c>
      <c r="R147" s="72">
        <f>INDEX(CaseData!$B$46:$E$52,MATCH($D147,CaseData!$B$46:$B$52,0),MATCH($C147,CaseData!$B$46:$E$46,0))</f>
        <v>400</v>
      </c>
      <c r="S147" s="72">
        <f>INDEX(CaseData!$B$46:$E$52,MATCH($D147,CaseData!$B$46:$B$52,0),MATCH($C147,CaseData!$B$46:$E$46,0))</f>
        <v>400</v>
      </c>
      <c r="T147" s="72">
        <f>INDEX(CaseData!$B$46:$E$52,MATCH($D147,CaseData!$B$46:$B$52,0),MATCH($C147,CaseData!$B$46:$E$46,0))</f>
        <v>400</v>
      </c>
      <c r="U147" s="72">
        <f>INDEX(CaseData!$B$46:$E$52,MATCH($D147,CaseData!$B$46:$B$52,0),MATCH($C147,CaseData!$B$46:$E$46,0))</f>
        <v>400</v>
      </c>
      <c r="V147" s="72">
        <f>INDEX(CaseData!$B$46:$E$52,MATCH($D147,CaseData!$B$46:$B$52,0),MATCH($C147,CaseData!$B$46:$E$46,0))</f>
        <v>400</v>
      </c>
      <c r="W147" s="72">
        <f>INDEX(CaseData!$B$46:$E$52,MATCH($D147,CaseData!$B$46:$B$52,0),MATCH($C147,CaseData!$B$46:$E$46,0))</f>
        <v>400</v>
      </c>
      <c r="X147" s="72">
        <f>INDEX(CaseData!$B$46:$E$52,MATCH($D147,CaseData!$B$46:$B$52,0),MATCH($C147,CaseData!$B$46:$E$46,0))</f>
        <v>400</v>
      </c>
      <c r="Y147" s="72">
        <f>INDEX(CaseData!$B$46:$E$52,MATCH($D147,CaseData!$B$46:$B$52,0),MATCH($C147,CaseData!$B$46:$E$46,0))</f>
        <v>400</v>
      </c>
      <c r="Z147" s="72">
        <f>INDEX(CaseData!$B$46:$E$52,MATCH($D147,CaseData!$B$46:$B$52,0),MATCH($C147,CaseData!$B$46:$E$46,0))</f>
        <v>400</v>
      </c>
      <c r="AA147" s="72">
        <f>INDEX(CaseData!$B$46:$E$52,MATCH($D147,CaseData!$B$46:$B$52,0),MATCH($C147,CaseData!$B$46:$E$46,0))</f>
        <v>400</v>
      </c>
      <c r="AB147" s="72">
        <f>INDEX(CaseData!$B$46:$E$52,MATCH($D147,CaseData!$B$46:$B$52,0),MATCH($C147,CaseData!$B$46:$E$46,0))</f>
        <v>400</v>
      </c>
      <c r="AC147" s="72">
        <f>INDEX(CaseData!$B$46:$E$52,MATCH($D147,CaseData!$B$46:$B$52,0),MATCH($C147,CaseData!$B$46:$E$46,0))</f>
        <v>400</v>
      </c>
      <c r="AD147" s="72">
        <f>INDEX(CaseData!$B$46:$E$52,MATCH($D147,CaseData!$B$46:$B$52,0),MATCH($C147,CaseData!$B$46:$E$46,0))</f>
        <v>400</v>
      </c>
      <c r="AE147" s="72">
        <f>INDEX(CaseData!$B$46:$E$52,MATCH($D147,CaseData!$B$46:$B$52,0),MATCH($C147,CaseData!$B$46:$E$46,0))</f>
        <v>400</v>
      </c>
      <c r="AF147" s="72">
        <f>INDEX(CaseData!$B$46:$E$52,MATCH($D147,CaseData!$B$46:$B$52,0),MATCH($C147,CaseData!$B$46:$E$46,0))</f>
        <v>400</v>
      </c>
      <c r="AG147" s="72">
        <f>INDEX(CaseData!$B$46:$E$52,MATCH($D147,CaseData!$B$46:$B$52,0),MATCH($C147,CaseData!$B$46:$E$46,0))</f>
        <v>400</v>
      </c>
      <c r="AH147" s="72">
        <f>INDEX(CaseData!$B$46:$E$52,MATCH($D147,CaseData!$B$46:$B$52,0),MATCH($C147,CaseData!$B$46:$E$46,0))</f>
        <v>400</v>
      </c>
      <c r="AI147" s="72">
        <f>INDEX(CaseData!$B$46:$E$52,MATCH($D147,CaseData!$B$46:$B$52,0),MATCH($C147,CaseData!$B$46:$E$46,0))</f>
        <v>400</v>
      </c>
      <c r="AJ147" s="72">
        <f>INDEX(CaseData!$B$46:$E$52,MATCH($D147,CaseData!$B$46:$B$52,0),MATCH($C147,CaseData!$B$46:$E$46,0))</f>
        <v>400</v>
      </c>
      <c r="AK147" s="72">
        <f>INDEX(CaseData!$B$46:$E$52,MATCH($D147,CaseData!$B$46:$B$52,0),MATCH($C147,CaseData!$B$46:$E$46,0))</f>
        <v>400</v>
      </c>
      <c r="AL147" s="72">
        <f>INDEX(CaseData!$B$46:$E$52,MATCH($D147,CaseData!$B$46:$B$52,0),MATCH($C147,CaseData!$B$46:$E$46,0))</f>
        <v>400</v>
      </c>
      <c r="AM147" s="72">
        <f>INDEX(CaseData!$B$46:$E$52,MATCH($D147,CaseData!$B$46:$B$52,0),MATCH($C147,CaseData!$B$46:$E$46,0))</f>
        <v>400</v>
      </c>
      <c r="AN147" s="72">
        <f>INDEX(CaseData!$B$46:$E$52,MATCH($D147,CaseData!$B$46:$B$52,0),MATCH($C147,CaseData!$B$46:$E$46,0))</f>
        <v>400</v>
      </c>
      <c r="AO147" s="72">
        <f>INDEX(CaseData!$B$46:$E$52,MATCH($D147,CaseData!$B$46:$B$52,0),MATCH($C147,CaseData!$B$46:$E$46,0))</f>
        <v>400</v>
      </c>
      <c r="AP147" s="72">
        <f>INDEX(CaseData!$B$46:$E$52,MATCH($D147,CaseData!$B$46:$B$52,0),MATCH($C147,CaseData!$B$46:$E$46,0))</f>
        <v>400</v>
      </c>
      <c r="AQ147" s="72">
        <f>INDEX(CaseData!$B$46:$E$52,MATCH($D147,CaseData!$B$46:$B$52,0),MATCH($C147,CaseData!$B$46:$E$46,0))</f>
        <v>400</v>
      </c>
      <c r="AR147" s="72">
        <f>INDEX(CaseData!$B$46:$E$52,MATCH($D147,CaseData!$B$46:$B$52,0),MATCH($C147,CaseData!$B$46:$E$46,0))</f>
        <v>400</v>
      </c>
      <c r="AS147" s="72">
        <f>INDEX(CaseData!$B$46:$E$52,MATCH($D147,CaseData!$B$46:$B$52,0),MATCH($C147,CaseData!$B$46:$E$46,0))</f>
        <v>400</v>
      </c>
      <c r="AT147" s="72">
        <f>INDEX(CaseData!$B$46:$E$52,MATCH($D147,CaseData!$B$46:$B$52,0),MATCH($C147,CaseData!$B$46:$E$46,0))</f>
        <v>400</v>
      </c>
      <c r="AU147" s="72">
        <f>INDEX(CaseData!$B$46:$E$52,MATCH($D147,CaseData!$B$46:$B$52,0),MATCH($C147,CaseData!$B$46:$E$46,0))</f>
        <v>400</v>
      </c>
      <c r="AV147" s="72">
        <f>INDEX(CaseData!$B$46:$E$52,MATCH($D147,CaseData!$B$46:$B$52,0),MATCH($C147,CaseData!$B$46:$E$46,0))</f>
        <v>400</v>
      </c>
      <c r="AW147" s="72">
        <f>INDEX(CaseData!$B$46:$E$52,MATCH($D147,CaseData!$B$46:$B$52,0),MATCH($C147,CaseData!$B$46:$E$46,0))</f>
        <v>400</v>
      </c>
      <c r="AX147" s="72">
        <f>INDEX(CaseData!$B$46:$E$52,MATCH($D147,CaseData!$B$46:$B$52,0),MATCH($C147,CaseData!$B$46:$E$46,0))</f>
        <v>400</v>
      </c>
      <c r="AY147" s="72">
        <f>INDEX(CaseData!$B$46:$E$52,MATCH($D147,CaseData!$B$46:$B$52,0),MATCH($C147,CaseData!$B$46:$E$46,0))</f>
        <v>400</v>
      </c>
      <c r="AZ147" s="72">
        <f>INDEX(CaseData!$B$46:$E$52,MATCH($D147,CaseData!$B$46:$B$52,0),MATCH($C147,CaseData!$B$46:$E$46,0))</f>
        <v>400</v>
      </c>
      <c r="BA147" s="72">
        <f>INDEX(CaseData!$B$46:$E$52,MATCH($D147,CaseData!$B$46:$B$52,0),MATCH($C147,CaseData!$B$46:$E$46,0))</f>
        <v>400</v>
      </c>
      <c r="BB147" s="72">
        <f>INDEX(CaseData!$B$46:$E$52,MATCH($D147,CaseData!$B$46:$B$52,0),MATCH($C147,CaseData!$B$46:$E$46,0))</f>
        <v>400</v>
      </c>
      <c r="BC147" s="72">
        <f>INDEX(CaseData!$B$46:$E$52,MATCH($D147,CaseData!$B$46:$B$52,0),MATCH($C147,CaseData!$B$46:$E$46,0))</f>
        <v>400</v>
      </c>
      <c r="BD147" s="72">
        <f>INDEX(CaseData!$B$46:$E$52,MATCH($D147,CaseData!$B$46:$B$52,0),MATCH($C147,CaseData!$B$46:$E$46,0))</f>
        <v>400</v>
      </c>
      <c r="BE147" s="72">
        <f>INDEX(CaseData!$B$46:$E$52,MATCH($D147,CaseData!$B$46:$B$52,0),MATCH($C147,CaseData!$B$46:$E$46,0))</f>
        <v>400</v>
      </c>
      <c r="BF147" s="72">
        <f>INDEX(CaseData!$B$46:$E$52,MATCH($D147,CaseData!$B$46:$B$52,0),MATCH($C147,CaseData!$B$46:$E$46,0))</f>
        <v>400</v>
      </c>
      <c r="BG147" s="72">
        <f>INDEX(CaseData!$B$46:$E$52,MATCH($D147,CaseData!$B$46:$B$52,0),MATCH($C147,CaseData!$B$46:$E$46,0))</f>
        <v>400</v>
      </c>
      <c r="BH147" s="72">
        <f>INDEX(CaseData!$B$46:$E$52,MATCH($D147,CaseData!$B$46:$B$52,0),MATCH($C147,CaseData!$B$46:$E$46,0))</f>
        <v>400</v>
      </c>
      <c r="BI147" s="72">
        <f>INDEX(CaseData!$B$46:$E$52,MATCH($D147,CaseData!$B$46:$B$52,0),MATCH($C147,CaseData!$B$46:$E$46,0))</f>
        <v>400</v>
      </c>
      <c r="BJ147" s="72">
        <f>INDEX(CaseData!$B$46:$E$52,MATCH($D147,CaseData!$B$46:$B$52,0),MATCH($C147,CaseData!$B$46:$E$46,0))</f>
        <v>400</v>
      </c>
      <c r="BK147" s="72">
        <f>INDEX(CaseData!$B$46:$E$52,MATCH($D147,CaseData!$B$46:$B$52,0),MATCH($C147,CaseData!$B$46:$E$46,0))</f>
        <v>400</v>
      </c>
      <c r="BL147" s="72">
        <f>INDEX(CaseData!$B$46:$E$52,MATCH($D147,CaseData!$B$46:$B$52,0),MATCH($C147,CaseData!$B$46:$E$46,0))</f>
        <v>400</v>
      </c>
      <c r="BM147" s="72">
        <f>INDEX(CaseData!$B$46:$E$52,MATCH($D147,CaseData!$B$46:$B$52,0),MATCH($C147,CaseData!$B$46:$E$46,0))</f>
        <v>400</v>
      </c>
      <c r="BN147" s="72">
        <f>INDEX(CaseData!$B$46:$E$52,MATCH($D147,CaseData!$B$46:$B$52,0),MATCH($C147,CaseData!$B$46:$E$46,0))</f>
        <v>400</v>
      </c>
    </row>
    <row r="148" spans="2:66" ht="13.8">
      <c r="B148" s="37" t="str">
        <f t="shared" ref="B148" si="71">B147</f>
        <v>Milano</v>
      </c>
      <c r="C148" t="str">
        <f t="shared" si="70"/>
        <v>Accessories</v>
      </c>
      <c r="D148" s="84" t="str">
        <f>INDEX(CaseData!$E$10:$E$17,MATCH(B148,CaseData!$C$10:$C$17,0))</f>
        <v>EUR</v>
      </c>
      <c r="E148" s="85"/>
      <c r="G148" s="72">
        <f>INDEX(CaseData!$B$46:$E$52,MATCH($D148,CaseData!$B$46:$B$52,0),MATCH($C148,CaseData!$B$46:$E$46,0))</f>
        <v>150</v>
      </c>
      <c r="H148" s="72">
        <f>INDEX(CaseData!$B$46:$E$52,MATCH($D148,CaseData!$B$46:$B$52,0),MATCH($C148,CaseData!$B$46:$E$46,0))</f>
        <v>150</v>
      </c>
      <c r="I148" s="72">
        <f>INDEX(CaseData!$B$46:$E$52,MATCH($D148,CaseData!$B$46:$B$52,0),MATCH($C148,CaseData!$B$46:$E$46,0))</f>
        <v>150</v>
      </c>
      <c r="J148" s="72">
        <f>INDEX(CaseData!$B$46:$E$52,MATCH($D148,CaseData!$B$46:$B$52,0),MATCH($C148,CaseData!$B$46:$E$46,0))</f>
        <v>150</v>
      </c>
      <c r="K148" s="72">
        <f>INDEX(CaseData!$B$46:$E$52,MATCH($D148,CaseData!$B$46:$B$52,0),MATCH($C148,CaseData!$B$46:$E$46,0))</f>
        <v>150</v>
      </c>
      <c r="L148" s="72">
        <f>INDEX(CaseData!$B$46:$E$52,MATCH($D148,CaseData!$B$46:$B$52,0),MATCH($C148,CaseData!$B$46:$E$46,0))</f>
        <v>150</v>
      </c>
      <c r="M148" s="72">
        <f>INDEX(CaseData!$B$46:$E$52,MATCH($D148,CaseData!$B$46:$B$52,0),MATCH($C148,CaseData!$B$46:$E$46,0))</f>
        <v>150</v>
      </c>
      <c r="N148" s="72">
        <f>INDEX(CaseData!$B$46:$E$52,MATCH($D148,CaseData!$B$46:$B$52,0),MATCH($C148,CaseData!$B$46:$E$46,0))</f>
        <v>150</v>
      </c>
      <c r="O148" s="72">
        <f>INDEX(CaseData!$B$46:$E$52,MATCH($D148,CaseData!$B$46:$B$52,0),MATCH($C148,CaseData!$B$46:$E$46,0))</f>
        <v>150</v>
      </c>
      <c r="P148" s="72">
        <f>INDEX(CaseData!$B$46:$E$52,MATCH($D148,CaseData!$B$46:$B$52,0),MATCH($C148,CaseData!$B$46:$E$46,0))</f>
        <v>150</v>
      </c>
      <c r="Q148" s="72">
        <f>INDEX(CaseData!$B$46:$E$52,MATCH($D148,CaseData!$B$46:$B$52,0),MATCH($C148,CaseData!$B$46:$E$46,0))</f>
        <v>150</v>
      </c>
      <c r="R148" s="72">
        <f>INDEX(CaseData!$B$46:$E$52,MATCH($D148,CaseData!$B$46:$B$52,0),MATCH($C148,CaseData!$B$46:$E$46,0))</f>
        <v>150</v>
      </c>
      <c r="S148" s="72">
        <f>INDEX(CaseData!$B$46:$E$52,MATCH($D148,CaseData!$B$46:$B$52,0),MATCH($C148,CaseData!$B$46:$E$46,0))</f>
        <v>150</v>
      </c>
      <c r="T148" s="72">
        <f>INDEX(CaseData!$B$46:$E$52,MATCH($D148,CaseData!$B$46:$B$52,0),MATCH($C148,CaseData!$B$46:$E$46,0))</f>
        <v>150</v>
      </c>
      <c r="U148" s="72">
        <f>INDEX(CaseData!$B$46:$E$52,MATCH($D148,CaseData!$B$46:$B$52,0),MATCH($C148,CaseData!$B$46:$E$46,0))</f>
        <v>150</v>
      </c>
      <c r="V148" s="72">
        <f>INDEX(CaseData!$B$46:$E$52,MATCH($D148,CaseData!$B$46:$B$52,0),MATCH($C148,CaseData!$B$46:$E$46,0))</f>
        <v>150</v>
      </c>
      <c r="W148" s="72">
        <f>INDEX(CaseData!$B$46:$E$52,MATCH($D148,CaseData!$B$46:$B$52,0),MATCH($C148,CaseData!$B$46:$E$46,0))</f>
        <v>150</v>
      </c>
      <c r="X148" s="72">
        <f>INDEX(CaseData!$B$46:$E$52,MATCH($D148,CaseData!$B$46:$B$52,0),MATCH($C148,CaseData!$B$46:$E$46,0))</f>
        <v>150</v>
      </c>
      <c r="Y148" s="72">
        <f>INDEX(CaseData!$B$46:$E$52,MATCH($D148,CaseData!$B$46:$B$52,0),MATCH($C148,CaseData!$B$46:$E$46,0))</f>
        <v>150</v>
      </c>
      <c r="Z148" s="72">
        <f>INDEX(CaseData!$B$46:$E$52,MATCH($D148,CaseData!$B$46:$B$52,0),MATCH($C148,CaseData!$B$46:$E$46,0))</f>
        <v>150</v>
      </c>
      <c r="AA148" s="72">
        <f>INDEX(CaseData!$B$46:$E$52,MATCH($D148,CaseData!$B$46:$B$52,0),MATCH($C148,CaseData!$B$46:$E$46,0))</f>
        <v>150</v>
      </c>
      <c r="AB148" s="72">
        <f>INDEX(CaseData!$B$46:$E$52,MATCH($D148,CaseData!$B$46:$B$52,0),MATCH($C148,CaseData!$B$46:$E$46,0))</f>
        <v>150</v>
      </c>
      <c r="AC148" s="72">
        <f>INDEX(CaseData!$B$46:$E$52,MATCH($D148,CaseData!$B$46:$B$52,0),MATCH($C148,CaseData!$B$46:$E$46,0))</f>
        <v>150</v>
      </c>
      <c r="AD148" s="72">
        <f>INDEX(CaseData!$B$46:$E$52,MATCH($D148,CaseData!$B$46:$B$52,0),MATCH($C148,CaseData!$B$46:$E$46,0))</f>
        <v>150</v>
      </c>
      <c r="AE148" s="72">
        <f>INDEX(CaseData!$B$46:$E$52,MATCH($D148,CaseData!$B$46:$B$52,0),MATCH($C148,CaseData!$B$46:$E$46,0))</f>
        <v>150</v>
      </c>
      <c r="AF148" s="72">
        <f>INDEX(CaseData!$B$46:$E$52,MATCH($D148,CaseData!$B$46:$B$52,0),MATCH($C148,CaseData!$B$46:$E$46,0))</f>
        <v>150</v>
      </c>
      <c r="AG148" s="72">
        <f>INDEX(CaseData!$B$46:$E$52,MATCH($D148,CaseData!$B$46:$B$52,0),MATCH($C148,CaseData!$B$46:$E$46,0))</f>
        <v>150</v>
      </c>
      <c r="AH148" s="72">
        <f>INDEX(CaseData!$B$46:$E$52,MATCH($D148,CaseData!$B$46:$B$52,0),MATCH($C148,CaseData!$B$46:$E$46,0))</f>
        <v>150</v>
      </c>
      <c r="AI148" s="72">
        <f>INDEX(CaseData!$B$46:$E$52,MATCH($D148,CaseData!$B$46:$B$52,0),MATCH($C148,CaseData!$B$46:$E$46,0))</f>
        <v>150</v>
      </c>
      <c r="AJ148" s="72">
        <f>INDEX(CaseData!$B$46:$E$52,MATCH($D148,CaseData!$B$46:$B$52,0),MATCH($C148,CaseData!$B$46:$E$46,0))</f>
        <v>150</v>
      </c>
      <c r="AK148" s="72">
        <f>INDEX(CaseData!$B$46:$E$52,MATCH($D148,CaseData!$B$46:$B$52,0),MATCH($C148,CaseData!$B$46:$E$46,0))</f>
        <v>150</v>
      </c>
      <c r="AL148" s="72">
        <f>INDEX(CaseData!$B$46:$E$52,MATCH($D148,CaseData!$B$46:$B$52,0),MATCH($C148,CaseData!$B$46:$E$46,0))</f>
        <v>150</v>
      </c>
      <c r="AM148" s="72">
        <f>INDEX(CaseData!$B$46:$E$52,MATCH($D148,CaseData!$B$46:$B$52,0),MATCH($C148,CaseData!$B$46:$E$46,0))</f>
        <v>150</v>
      </c>
      <c r="AN148" s="72">
        <f>INDEX(CaseData!$B$46:$E$52,MATCH($D148,CaseData!$B$46:$B$52,0),MATCH($C148,CaseData!$B$46:$E$46,0))</f>
        <v>150</v>
      </c>
      <c r="AO148" s="72">
        <f>INDEX(CaseData!$B$46:$E$52,MATCH($D148,CaseData!$B$46:$B$52,0),MATCH($C148,CaseData!$B$46:$E$46,0))</f>
        <v>150</v>
      </c>
      <c r="AP148" s="72">
        <f>INDEX(CaseData!$B$46:$E$52,MATCH($D148,CaseData!$B$46:$B$52,0),MATCH($C148,CaseData!$B$46:$E$46,0))</f>
        <v>150</v>
      </c>
      <c r="AQ148" s="72">
        <f>INDEX(CaseData!$B$46:$E$52,MATCH($D148,CaseData!$B$46:$B$52,0),MATCH($C148,CaseData!$B$46:$E$46,0))</f>
        <v>150</v>
      </c>
      <c r="AR148" s="72">
        <f>INDEX(CaseData!$B$46:$E$52,MATCH($D148,CaseData!$B$46:$B$52,0),MATCH($C148,CaseData!$B$46:$E$46,0))</f>
        <v>150</v>
      </c>
      <c r="AS148" s="72">
        <f>INDEX(CaseData!$B$46:$E$52,MATCH($D148,CaseData!$B$46:$B$52,0),MATCH($C148,CaseData!$B$46:$E$46,0))</f>
        <v>150</v>
      </c>
      <c r="AT148" s="72">
        <f>INDEX(CaseData!$B$46:$E$52,MATCH($D148,CaseData!$B$46:$B$52,0),MATCH($C148,CaseData!$B$46:$E$46,0))</f>
        <v>150</v>
      </c>
      <c r="AU148" s="72">
        <f>INDEX(CaseData!$B$46:$E$52,MATCH($D148,CaseData!$B$46:$B$52,0),MATCH($C148,CaseData!$B$46:$E$46,0))</f>
        <v>150</v>
      </c>
      <c r="AV148" s="72">
        <f>INDEX(CaseData!$B$46:$E$52,MATCH($D148,CaseData!$B$46:$B$52,0),MATCH($C148,CaseData!$B$46:$E$46,0))</f>
        <v>150</v>
      </c>
      <c r="AW148" s="72">
        <f>INDEX(CaseData!$B$46:$E$52,MATCH($D148,CaseData!$B$46:$B$52,0),MATCH($C148,CaseData!$B$46:$E$46,0))</f>
        <v>150</v>
      </c>
      <c r="AX148" s="72">
        <f>INDEX(CaseData!$B$46:$E$52,MATCH($D148,CaseData!$B$46:$B$52,0),MATCH($C148,CaseData!$B$46:$E$46,0))</f>
        <v>150</v>
      </c>
      <c r="AY148" s="72">
        <f>INDEX(CaseData!$B$46:$E$52,MATCH($D148,CaseData!$B$46:$B$52,0),MATCH($C148,CaseData!$B$46:$E$46,0))</f>
        <v>150</v>
      </c>
      <c r="AZ148" s="72">
        <f>INDEX(CaseData!$B$46:$E$52,MATCH($D148,CaseData!$B$46:$B$52,0),MATCH($C148,CaseData!$B$46:$E$46,0))</f>
        <v>150</v>
      </c>
      <c r="BA148" s="72">
        <f>INDEX(CaseData!$B$46:$E$52,MATCH($D148,CaseData!$B$46:$B$52,0),MATCH($C148,CaseData!$B$46:$E$46,0))</f>
        <v>150</v>
      </c>
      <c r="BB148" s="72">
        <f>INDEX(CaseData!$B$46:$E$52,MATCH($D148,CaseData!$B$46:$B$52,0),MATCH($C148,CaseData!$B$46:$E$46,0))</f>
        <v>150</v>
      </c>
      <c r="BC148" s="72">
        <f>INDEX(CaseData!$B$46:$E$52,MATCH($D148,CaseData!$B$46:$B$52,0),MATCH($C148,CaseData!$B$46:$E$46,0))</f>
        <v>150</v>
      </c>
      <c r="BD148" s="72">
        <f>INDEX(CaseData!$B$46:$E$52,MATCH($D148,CaseData!$B$46:$B$52,0),MATCH($C148,CaseData!$B$46:$E$46,0))</f>
        <v>150</v>
      </c>
      <c r="BE148" s="72">
        <f>INDEX(CaseData!$B$46:$E$52,MATCH($D148,CaseData!$B$46:$B$52,0),MATCH($C148,CaseData!$B$46:$E$46,0))</f>
        <v>150</v>
      </c>
      <c r="BF148" s="72">
        <f>INDEX(CaseData!$B$46:$E$52,MATCH($D148,CaseData!$B$46:$B$52,0),MATCH($C148,CaseData!$B$46:$E$46,0))</f>
        <v>150</v>
      </c>
      <c r="BG148" s="72">
        <f>INDEX(CaseData!$B$46:$E$52,MATCH($D148,CaseData!$B$46:$B$52,0),MATCH($C148,CaseData!$B$46:$E$46,0))</f>
        <v>150</v>
      </c>
      <c r="BH148" s="72">
        <f>INDEX(CaseData!$B$46:$E$52,MATCH($D148,CaseData!$B$46:$B$52,0),MATCH($C148,CaseData!$B$46:$E$46,0))</f>
        <v>150</v>
      </c>
      <c r="BI148" s="72">
        <f>INDEX(CaseData!$B$46:$E$52,MATCH($D148,CaseData!$B$46:$B$52,0),MATCH($C148,CaseData!$B$46:$E$46,0))</f>
        <v>150</v>
      </c>
      <c r="BJ148" s="72">
        <f>INDEX(CaseData!$B$46:$E$52,MATCH($D148,CaseData!$B$46:$B$52,0),MATCH($C148,CaseData!$B$46:$E$46,0))</f>
        <v>150</v>
      </c>
      <c r="BK148" s="72">
        <f>INDEX(CaseData!$B$46:$E$52,MATCH($D148,CaseData!$B$46:$B$52,0),MATCH($C148,CaseData!$B$46:$E$46,0))</f>
        <v>150</v>
      </c>
      <c r="BL148" s="72">
        <f>INDEX(CaseData!$B$46:$E$52,MATCH($D148,CaseData!$B$46:$B$52,0),MATCH($C148,CaseData!$B$46:$E$46,0))</f>
        <v>150</v>
      </c>
      <c r="BM148" s="72">
        <f>INDEX(CaseData!$B$46:$E$52,MATCH($D148,CaseData!$B$46:$B$52,0),MATCH($C148,CaseData!$B$46:$E$46,0))</f>
        <v>150</v>
      </c>
      <c r="BN148" s="72">
        <f>INDEX(CaseData!$B$46:$E$52,MATCH($D148,CaseData!$B$46:$B$52,0),MATCH($C148,CaseData!$B$46:$E$46,0))</f>
        <v>150</v>
      </c>
    </row>
    <row r="149" spans="2:66" ht="13.8">
      <c r="B149" s="37" t="str">
        <f>CaseData!$B$30</f>
        <v>Madrid</v>
      </c>
      <c r="C149" t="str">
        <f t="shared" si="70"/>
        <v>Women's</v>
      </c>
      <c r="D149" s="84" t="str">
        <f>INDEX(CaseData!$E$10:$E$17,MATCH(B149,CaseData!$C$10:$C$17,0))</f>
        <v>EUR</v>
      </c>
      <c r="E149" s="85"/>
      <c r="G149" s="72">
        <f>INDEX(CaseData!$B$46:$E$52,MATCH($D149,CaseData!$B$46:$B$52,0),MATCH($C149,CaseData!$B$46:$E$46,0))</f>
        <v>500</v>
      </c>
      <c r="H149" s="72">
        <f>INDEX(CaseData!$B$46:$E$52,MATCH($D149,CaseData!$B$46:$B$52,0),MATCH($C149,CaseData!$B$46:$E$46,0))</f>
        <v>500</v>
      </c>
      <c r="I149" s="72">
        <f>INDEX(CaseData!$B$46:$E$52,MATCH($D149,CaseData!$B$46:$B$52,0),MATCH($C149,CaseData!$B$46:$E$46,0))</f>
        <v>500</v>
      </c>
      <c r="J149" s="72">
        <f>INDEX(CaseData!$B$46:$E$52,MATCH($D149,CaseData!$B$46:$B$52,0),MATCH($C149,CaseData!$B$46:$E$46,0))</f>
        <v>500</v>
      </c>
      <c r="K149" s="72">
        <f>INDEX(CaseData!$B$46:$E$52,MATCH($D149,CaseData!$B$46:$B$52,0),MATCH($C149,CaseData!$B$46:$E$46,0))</f>
        <v>500</v>
      </c>
      <c r="L149" s="72">
        <f>INDEX(CaseData!$B$46:$E$52,MATCH($D149,CaseData!$B$46:$B$52,0),MATCH($C149,CaseData!$B$46:$E$46,0))</f>
        <v>500</v>
      </c>
      <c r="M149" s="72">
        <f>INDEX(CaseData!$B$46:$E$52,MATCH($D149,CaseData!$B$46:$B$52,0),MATCH($C149,CaseData!$B$46:$E$46,0))</f>
        <v>500</v>
      </c>
      <c r="N149" s="72">
        <f>INDEX(CaseData!$B$46:$E$52,MATCH($D149,CaseData!$B$46:$B$52,0),MATCH($C149,CaseData!$B$46:$E$46,0))</f>
        <v>500</v>
      </c>
      <c r="O149" s="72">
        <f>INDEX(CaseData!$B$46:$E$52,MATCH($D149,CaseData!$B$46:$B$52,0),MATCH($C149,CaseData!$B$46:$E$46,0))</f>
        <v>500</v>
      </c>
      <c r="P149" s="72">
        <f>INDEX(CaseData!$B$46:$E$52,MATCH($D149,CaseData!$B$46:$B$52,0),MATCH($C149,CaseData!$B$46:$E$46,0))</f>
        <v>500</v>
      </c>
      <c r="Q149" s="72">
        <f>INDEX(CaseData!$B$46:$E$52,MATCH($D149,CaseData!$B$46:$B$52,0),MATCH($C149,CaseData!$B$46:$E$46,0))</f>
        <v>500</v>
      </c>
      <c r="R149" s="72">
        <f>INDEX(CaseData!$B$46:$E$52,MATCH($D149,CaseData!$B$46:$B$52,0),MATCH($C149,CaseData!$B$46:$E$46,0))</f>
        <v>500</v>
      </c>
      <c r="S149" s="72">
        <f>INDEX(CaseData!$B$46:$E$52,MATCH($D149,CaseData!$B$46:$B$52,0),MATCH($C149,CaseData!$B$46:$E$46,0))</f>
        <v>500</v>
      </c>
      <c r="T149" s="72">
        <f>INDEX(CaseData!$B$46:$E$52,MATCH($D149,CaseData!$B$46:$B$52,0),MATCH($C149,CaseData!$B$46:$E$46,0))</f>
        <v>500</v>
      </c>
      <c r="U149" s="72">
        <f>INDEX(CaseData!$B$46:$E$52,MATCH($D149,CaseData!$B$46:$B$52,0),MATCH($C149,CaseData!$B$46:$E$46,0))</f>
        <v>500</v>
      </c>
      <c r="V149" s="72">
        <f>INDEX(CaseData!$B$46:$E$52,MATCH($D149,CaseData!$B$46:$B$52,0),MATCH($C149,CaseData!$B$46:$E$46,0))</f>
        <v>500</v>
      </c>
      <c r="W149" s="72">
        <f>INDEX(CaseData!$B$46:$E$52,MATCH($D149,CaseData!$B$46:$B$52,0),MATCH($C149,CaseData!$B$46:$E$46,0))</f>
        <v>500</v>
      </c>
      <c r="X149" s="72">
        <f>INDEX(CaseData!$B$46:$E$52,MATCH($D149,CaseData!$B$46:$B$52,0),MATCH($C149,CaseData!$B$46:$E$46,0))</f>
        <v>500</v>
      </c>
      <c r="Y149" s="72">
        <f>INDEX(CaseData!$B$46:$E$52,MATCH($D149,CaseData!$B$46:$B$52,0),MATCH($C149,CaseData!$B$46:$E$46,0))</f>
        <v>500</v>
      </c>
      <c r="Z149" s="72">
        <f>INDEX(CaseData!$B$46:$E$52,MATCH($D149,CaseData!$B$46:$B$52,0),MATCH($C149,CaseData!$B$46:$E$46,0))</f>
        <v>500</v>
      </c>
      <c r="AA149" s="72">
        <f>INDEX(CaseData!$B$46:$E$52,MATCH($D149,CaseData!$B$46:$B$52,0),MATCH($C149,CaseData!$B$46:$E$46,0))</f>
        <v>500</v>
      </c>
      <c r="AB149" s="72">
        <f>INDEX(CaseData!$B$46:$E$52,MATCH($D149,CaseData!$B$46:$B$52,0),MATCH($C149,CaseData!$B$46:$E$46,0))</f>
        <v>500</v>
      </c>
      <c r="AC149" s="72">
        <f>INDEX(CaseData!$B$46:$E$52,MATCH($D149,CaseData!$B$46:$B$52,0),MATCH($C149,CaseData!$B$46:$E$46,0))</f>
        <v>500</v>
      </c>
      <c r="AD149" s="72">
        <f>INDEX(CaseData!$B$46:$E$52,MATCH($D149,CaseData!$B$46:$B$52,0),MATCH($C149,CaseData!$B$46:$E$46,0))</f>
        <v>500</v>
      </c>
      <c r="AE149" s="72">
        <f>INDEX(CaseData!$B$46:$E$52,MATCH($D149,CaseData!$B$46:$B$52,0),MATCH($C149,CaseData!$B$46:$E$46,0))</f>
        <v>500</v>
      </c>
      <c r="AF149" s="72">
        <f>INDEX(CaseData!$B$46:$E$52,MATCH($D149,CaseData!$B$46:$B$52,0),MATCH($C149,CaseData!$B$46:$E$46,0))</f>
        <v>500</v>
      </c>
      <c r="AG149" s="72">
        <f>INDEX(CaseData!$B$46:$E$52,MATCH($D149,CaseData!$B$46:$B$52,0),MATCH($C149,CaseData!$B$46:$E$46,0))</f>
        <v>500</v>
      </c>
      <c r="AH149" s="72">
        <f>INDEX(CaseData!$B$46:$E$52,MATCH($D149,CaseData!$B$46:$B$52,0),MATCH($C149,CaseData!$B$46:$E$46,0))</f>
        <v>500</v>
      </c>
      <c r="AI149" s="72">
        <f>INDEX(CaseData!$B$46:$E$52,MATCH($D149,CaseData!$B$46:$B$52,0),MATCH($C149,CaseData!$B$46:$E$46,0))</f>
        <v>500</v>
      </c>
      <c r="AJ149" s="72">
        <f>INDEX(CaseData!$B$46:$E$52,MATCH($D149,CaseData!$B$46:$B$52,0),MATCH($C149,CaseData!$B$46:$E$46,0))</f>
        <v>500</v>
      </c>
      <c r="AK149" s="72">
        <f>INDEX(CaseData!$B$46:$E$52,MATCH($D149,CaseData!$B$46:$B$52,0),MATCH($C149,CaseData!$B$46:$E$46,0))</f>
        <v>500</v>
      </c>
      <c r="AL149" s="72">
        <f>INDEX(CaseData!$B$46:$E$52,MATCH($D149,CaseData!$B$46:$B$52,0),MATCH($C149,CaseData!$B$46:$E$46,0))</f>
        <v>500</v>
      </c>
      <c r="AM149" s="72">
        <f>INDEX(CaseData!$B$46:$E$52,MATCH($D149,CaseData!$B$46:$B$52,0),MATCH($C149,CaseData!$B$46:$E$46,0))</f>
        <v>500</v>
      </c>
      <c r="AN149" s="72">
        <f>INDEX(CaseData!$B$46:$E$52,MATCH($D149,CaseData!$B$46:$B$52,0),MATCH($C149,CaseData!$B$46:$E$46,0))</f>
        <v>500</v>
      </c>
      <c r="AO149" s="72">
        <f>INDEX(CaseData!$B$46:$E$52,MATCH($D149,CaseData!$B$46:$B$52,0),MATCH($C149,CaseData!$B$46:$E$46,0))</f>
        <v>500</v>
      </c>
      <c r="AP149" s="72">
        <f>INDEX(CaseData!$B$46:$E$52,MATCH($D149,CaseData!$B$46:$B$52,0),MATCH($C149,CaseData!$B$46:$E$46,0))</f>
        <v>500</v>
      </c>
      <c r="AQ149" s="72">
        <f>INDEX(CaseData!$B$46:$E$52,MATCH($D149,CaseData!$B$46:$B$52,0),MATCH($C149,CaseData!$B$46:$E$46,0))</f>
        <v>500</v>
      </c>
      <c r="AR149" s="72">
        <f>INDEX(CaseData!$B$46:$E$52,MATCH($D149,CaseData!$B$46:$B$52,0),MATCH($C149,CaseData!$B$46:$E$46,0))</f>
        <v>500</v>
      </c>
      <c r="AS149" s="72">
        <f>INDEX(CaseData!$B$46:$E$52,MATCH($D149,CaseData!$B$46:$B$52,0),MATCH($C149,CaseData!$B$46:$E$46,0))</f>
        <v>500</v>
      </c>
      <c r="AT149" s="72">
        <f>INDEX(CaseData!$B$46:$E$52,MATCH($D149,CaseData!$B$46:$B$52,0),MATCH($C149,CaseData!$B$46:$E$46,0))</f>
        <v>500</v>
      </c>
      <c r="AU149" s="72">
        <f>INDEX(CaseData!$B$46:$E$52,MATCH($D149,CaseData!$B$46:$B$52,0),MATCH($C149,CaseData!$B$46:$E$46,0))</f>
        <v>500</v>
      </c>
      <c r="AV149" s="72">
        <f>INDEX(CaseData!$B$46:$E$52,MATCH($D149,CaseData!$B$46:$B$52,0),MATCH($C149,CaseData!$B$46:$E$46,0))</f>
        <v>500</v>
      </c>
      <c r="AW149" s="72">
        <f>INDEX(CaseData!$B$46:$E$52,MATCH($D149,CaseData!$B$46:$B$52,0),MATCH($C149,CaseData!$B$46:$E$46,0))</f>
        <v>500</v>
      </c>
      <c r="AX149" s="72">
        <f>INDEX(CaseData!$B$46:$E$52,MATCH($D149,CaseData!$B$46:$B$52,0),MATCH($C149,CaseData!$B$46:$E$46,0))</f>
        <v>500</v>
      </c>
      <c r="AY149" s="72">
        <f>INDEX(CaseData!$B$46:$E$52,MATCH($D149,CaseData!$B$46:$B$52,0),MATCH($C149,CaseData!$B$46:$E$46,0))</f>
        <v>500</v>
      </c>
      <c r="AZ149" s="72">
        <f>INDEX(CaseData!$B$46:$E$52,MATCH($D149,CaseData!$B$46:$B$52,0),MATCH($C149,CaseData!$B$46:$E$46,0))</f>
        <v>500</v>
      </c>
      <c r="BA149" s="72">
        <f>INDEX(CaseData!$B$46:$E$52,MATCH($D149,CaseData!$B$46:$B$52,0),MATCH($C149,CaseData!$B$46:$E$46,0))</f>
        <v>500</v>
      </c>
      <c r="BB149" s="72">
        <f>INDEX(CaseData!$B$46:$E$52,MATCH($D149,CaseData!$B$46:$B$52,0),MATCH($C149,CaseData!$B$46:$E$46,0))</f>
        <v>500</v>
      </c>
      <c r="BC149" s="72">
        <f>INDEX(CaseData!$B$46:$E$52,MATCH($D149,CaseData!$B$46:$B$52,0),MATCH($C149,CaseData!$B$46:$E$46,0))</f>
        <v>500</v>
      </c>
      <c r="BD149" s="72">
        <f>INDEX(CaseData!$B$46:$E$52,MATCH($D149,CaseData!$B$46:$B$52,0),MATCH($C149,CaseData!$B$46:$E$46,0))</f>
        <v>500</v>
      </c>
      <c r="BE149" s="72">
        <f>INDEX(CaseData!$B$46:$E$52,MATCH($D149,CaseData!$B$46:$B$52,0),MATCH($C149,CaseData!$B$46:$E$46,0))</f>
        <v>500</v>
      </c>
      <c r="BF149" s="72">
        <f>INDEX(CaseData!$B$46:$E$52,MATCH($D149,CaseData!$B$46:$B$52,0),MATCH($C149,CaseData!$B$46:$E$46,0))</f>
        <v>500</v>
      </c>
      <c r="BG149" s="72">
        <f>INDEX(CaseData!$B$46:$E$52,MATCH($D149,CaseData!$B$46:$B$52,0),MATCH($C149,CaseData!$B$46:$E$46,0))</f>
        <v>500</v>
      </c>
      <c r="BH149" s="72">
        <f>INDEX(CaseData!$B$46:$E$52,MATCH($D149,CaseData!$B$46:$B$52,0),MATCH($C149,CaseData!$B$46:$E$46,0))</f>
        <v>500</v>
      </c>
      <c r="BI149" s="72">
        <f>INDEX(CaseData!$B$46:$E$52,MATCH($D149,CaseData!$B$46:$B$52,0),MATCH($C149,CaseData!$B$46:$E$46,0))</f>
        <v>500</v>
      </c>
      <c r="BJ149" s="72">
        <f>INDEX(CaseData!$B$46:$E$52,MATCH($D149,CaseData!$B$46:$B$52,0),MATCH($C149,CaseData!$B$46:$E$46,0))</f>
        <v>500</v>
      </c>
      <c r="BK149" s="72">
        <f>INDEX(CaseData!$B$46:$E$52,MATCH($D149,CaseData!$B$46:$B$52,0),MATCH($C149,CaseData!$B$46:$E$46,0))</f>
        <v>500</v>
      </c>
      <c r="BL149" s="72">
        <f>INDEX(CaseData!$B$46:$E$52,MATCH($D149,CaseData!$B$46:$B$52,0),MATCH($C149,CaseData!$B$46:$E$46,0))</f>
        <v>500</v>
      </c>
      <c r="BM149" s="72">
        <f>INDEX(CaseData!$B$46:$E$52,MATCH($D149,CaseData!$B$46:$B$52,0),MATCH($C149,CaseData!$B$46:$E$46,0))</f>
        <v>500</v>
      </c>
      <c r="BN149" s="72">
        <f>INDEX(CaseData!$B$46:$E$52,MATCH($D149,CaseData!$B$46:$B$52,0),MATCH($C149,CaseData!$B$46:$E$46,0))</f>
        <v>500</v>
      </c>
    </row>
    <row r="150" spans="2:66" ht="13.8">
      <c r="B150" s="37" t="str">
        <f t="shared" ref="B150:B151" si="72">B149</f>
        <v>Madrid</v>
      </c>
      <c r="C150" t="str">
        <f t="shared" si="70"/>
        <v>Men's</v>
      </c>
      <c r="D150" s="84" t="str">
        <f>INDEX(CaseData!$E$10:$E$17,MATCH(B150,CaseData!$C$10:$C$17,0))</f>
        <v>EUR</v>
      </c>
      <c r="E150" s="85"/>
      <c r="G150" s="72">
        <f>INDEX(CaseData!$B$46:$E$52,MATCH($D150,CaseData!$B$46:$B$52,0),MATCH($C150,CaseData!$B$46:$E$46,0))</f>
        <v>400</v>
      </c>
      <c r="H150" s="72">
        <f>INDEX(CaseData!$B$46:$E$52,MATCH($D150,CaseData!$B$46:$B$52,0),MATCH($C150,CaseData!$B$46:$E$46,0))</f>
        <v>400</v>
      </c>
      <c r="I150" s="72">
        <f>INDEX(CaseData!$B$46:$E$52,MATCH($D150,CaseData!$B$46:$B$52,0),MATCH($C150,CaseData!$B$46:$E$46,0))</f>
        <v>400</v>
      </c>
      <c r="J150" s="72">
        <f>INDEX(CaseData!$B$46:$E$52,MATCH($D150,CaseData!$B$46:$B$52,0),MATCH($C150,CaseData!$B$46:$E$46,0))</f>
        <v>400</v>
      </c>
      <c r="K150" s="72">
        <f>INDEX(CaseData!$B$46:$E$52,MATCH($D150,CaseData!$B$46:$B$52,0),MATCH($C150,CaseData!$B$46:$E$46,0))</f>
        <v>400</v>
      </c>
      <c r="L150" s="72">
        <f>INDEX(CaseData!$B$46:$E$52,MATCH($D150,CaseData!$B$46:$B$52,0),MATCH($C150,CaseData!$B$46:$E$46,0))</f>
        <v>400</v>
      </c>
      <c r="M150" s="72">
        <f>INDEX(CaseData!$B$46:$E$52,MATCH($D150,CaseData!$B$46:$B$52,0),MATCH($C150,CaseData!$B$46:$E$46,0))</f>
        <v>400</v>
      </c>
      <c r="N150" s="72">
        <f>INDEX(CaseData!$B$46:$E$52,MATCH($D150,CaseData!$B$46:$B$52,0),MATCH($C150,CaseData!$B$46:$E$46,0))</f>
        <v>400</v>
      </c>
      <c r="O150" s="72">
        <f>INDEX(CaseData!$B$46:$E$52,MATCH($D150,CaseData!$B$46:$B$52,0),MATCH($C150,CaseData!$B$46:$E$46,0))</f>
        <v>400</v>
      </c>
      <c r="P150" s="72">
        <f>INDEX(CaseData!$B$46:$E$52,MATCH($D150,CaseData!$B$46:$B$52,0),MATCH($C150,CaseData!$B$46:$E$46,0))</f>
        <v>400</v>
      </c>
      <c r="Q150" s="72">
        <f>INDEX(CaseData!$B$46:$E$52,MATCH($D150,CaseData!$B$46:$B$52,0),MATCH($C150,CaseData!$B$46:$E$46,0))</f>
        <v>400</v>
      </c>
      <c r="R150" s="72">
        <f>INDEX(CaseData!$B$46:$E$52,MATCH($D150,CaseData!$B$46:$B$52,0),MATCH($C150,CaseData!$B$46:$E$46,0))</f>
        <v>400</v>
      </c>
      <c r="S150" s="72">
        <f>INDEX(CaseData!$B$46:$E$52,MATCH($D150,CaseData!$B$46:$B$52,0),MATCH($C150,CaseData!$B$46:$E$46,0))</f>
        <v>400</v>
      </c>
      <c r="T150" s="72">
        <f>INDEX(CaseData!$B$46:$E$52,MATCH($D150,CaseData!$B$46:$B$52,0),MATCH($C150,CaseData!$B$46:$E$46,0))</f>
        <v>400</v>
      </c>
      <c r="U150" s="72">
        <f>INDEX(CaseData!$B$46:$E$52,MATCH($D150,CaseData!$B$46:$B$52,0),MATCH($C150,CaseData!$B$46:$E$46,0))</f>
        <v>400</v>
      </c>
      <c r="V150" s="72">
        <f>INDEX(CaseData!$B$46:$E$52,MATCH($D150,CaseData!$B$46:$B$52,0),MATCH($C150,CaseData!$B$46:$E$46,0))</f>
        <v>400</v>
      </c>
      <c r="W150" s="72">
        <f>INDEX(CaseData!$B$46:$E$52,MATCH($D150,CaseData!$B$46:$B$52,0),MATCH($C150,CaseData!$B$46:$E$46,0))</f>
        <v>400</v>
      </c>
      <c r="X150" s="72">
        <f>INDEX(CaseData!$B$46:$E$52,MATCH($D150,CaseData!$B$46:$B$52,0),MATCH($C150,CaseData!$B$46:$E$46,0))</f>
        <v>400</v>
      </c>
      <c r="Y150" s="72">
        <f>INDEX(CaseData!$B$46:$E$52,MATCH($D150,CaseData!$B$46:$B$52,0),MATCH($C150,CaseData!$B$46:$E$46,0))</f>
        <v>400</v>
      </c>
      <c r="Z150" s="72">
        <f>INDEX(CaseData!$B$46:$E$52,MATCH($D150,CaseData!$B$46:$B$52,0),MATCH($C150,CaseData!$B$46:$E$46,0))</f>
        <v>400</v>
      </c>
      <c r="AA150" s="72">
        <f>INDEX(CaseData!$B$46:$E$52,MATCH($D150,CaseData!$B$46:$B$52,0),MATCH($C150,CaseData!$B$46:$E$46,0))</f>
        <v>400</v>
      </c>
      <c r="AB150" s="72">
        <f>INDEX(CaseData!$B$46:$E$52,MATCH($D150,CaseData!$B$46:$B$52,0),MATCH($C150,CaseData!$B$46:$E$46,0))</f>
        <v>400</v>
      </c>
      <c r="AC150" s="72">
        <f>INDEX(CaseData!$B$46:$E$52,MATCH($D150,CaseData!$B$46:$B$52,0),MATCH($C150,CaseData!$B$46:$E$46,0))</f>
        <v>400</v>
      </c>
      <c r="AD150" s="72">
        <f>INDEX(CaseData!$B$46:$E$52,MATCH($D150,CaseData!$B$46:$B$52,0),MATCH($C150,CaseData!$B$46:$E$46,0))</f>
        <v>400</v>
      </c>
      <c r="AE150" s="72">
        <f>INDEX(CaseData!$B$46:$E$52,MATCH($D150,CaseData!$B$46:$B$52,0),MATCH($C150,CaseData!$B$46:$E$46,0))</f>
        <v>400</v>
      </c>
      <c r="AF150" s="72">
        <f>INDEX(CaseData!$B$46:$E$52,MATCH($D150,CaseData!$B$46:$B$52,0),MATCH($C150,CaseData!$B$46:$E$46,0))</f>
        <v>400</v>
      </c>
      <c r="AG150" s="72">
        <f>INDEX(CaseData!$B$46:$E$52,MATCH($D150,CaseData!$B$46:$B$52,0),MATCH($C150,CaseData!$B$46:$E$46,0))</f>
        <v>400</v>
      </c>
      <c r="AH150" s="72">
        <f>INDEX(CaseData!$B$46:$E$52,MATCH($D150,CaseData!$B$46:$B$52,0),MATCH($C150,CaseData!$B$46:$E$46,0))</f>
        <v>400</v>
      </c>
      <c r="AI150" s="72">
        <f>INDEX(CaseData!$B$46:$E$52,MATCH($D150,CaseData!$B$46:$B$52,0),MATCH($C150,CaseData!$B$46:$E$46,0))</f>
        <v>400</v>
      </c>
      <c r="AJ150" s="72">
        <f>INDEX(CaseData!$B$46:$E$52,MATCH($D150,CaseData!$B$46:$B$52,0),MATCH($C150,CaseData!$B$46:$E$46,0))</f>
        <v>400</v>
      </c>
      <c r="AK150" s="72">
        <f>INDEX(CaseData!$B$46:$E$52,MATCH($D150,CaseData!$B$46:$B$52,0),MATCH($C150,CaseData!$B$46:$E$46,0))</f>
        <v>400</v>
      </c>
      <c r="AL150" s="72">
        <f>INDEX(CaseData!$B$46:$E$52,MATCH($D150,CaseData!$B$46:$B$52,0),MATCH($C150,CaseData!$B$46:$E$46,0))</f>
        <v>400</v>
      </c>
      <c r="AM150" s="72">
        <f>INDEX(CaseData!$B$46:$E$52,MATCH($D150,CaseData!$B$46:$B$52,0),MATCH($C150,CaseData!$B$46:$E$46,0))</f>
        <v>400</v>
      </c>
      <c r="AN150" s="72">
        <f>INDEX(CaseData!$B$46:$E$52,MATCH($D150,CaseData!$B$46:$B$52,0),MATCH($C150,CaseData!$B$46:$E$46,0))</f>
        <v>400</v>
      </c>
      <c r="AO150" s="72">
        <f>INDEX(CaseData!$B$46:$E$52,MATCH($D150,CaseData!$B$46:$B$52,0),MATCH($C150,CaseData!$B$46:$E$46,0))</f>
        <v>400</v>
      </c>
      <c r="AP150" s="72">
        <f>INDEX(CaseData!$B$46:$E$52,MATCH($D150,CaseData!$B$46:$B$52,0),MATCH($C150,CaseData!$B$46:$E$46,0))</f>
        <v>400</v>
      </c>
      <c r="AQ150" s="72">
        <f>INDEX(CaseData!$B$46:$E$52,MATCH($D150,CaseData!$B$46:$B$52,0),MATCH($C150,CaseData!$B$46:$E$46,0))</f>
        <v>400</v>
      </c>
      <c r="AR150" s="72">
        <f>INDEX(CaseData!$B$46:$E$52,MATCH($D150,CaseData!$B$46:$B$52,0),MATCH($C150,CaseData!$B$46:$E$46,0))</f>
        <v>400</v>
      </c>
      <c r="AS150" s="72">
        <f>INDEX(CaseData!$B$46:$E$52,MATCH($D150,CaseData!$B$46:$B$52,0),MATCH($C150,CaseData!$B$46:$E$46,0))</f>
        <v>400</v>
      </c>
      <c r="AT150" s="72">
        <f>INDEX(CaseData!$B$46:$E$52,MATCH($D150,CaseData!$B$46:$B$52,0),MATCH($C150,CaseData!$B$46:$E$46,0))</f>
        <v>400</v>
      </c>
      <c r="AU150" s="72">
        <f>INDEX(CaseData!$B$46:$E$52,MATCH($D150,CaseData!$B$46:$B$52,0),MATCH($C150,CaseData!$B$46:$E$46,0))</f>
        <v>400</v>
      </c>
      <c r="AV150" s="72">
        <f>INDEX(CaseData!$B$46:$E$52,MATCH($D150,CaseData!$B$46:$B$52,0),MATCH($C150,CaseData!$B$46:$E$46,0))</f>
        <v>400</v>
      </c>
      <c r="AW150" s="72">
        <f>INDEX(CaseData!$B$46:$E$52,MATCH($D150,CaseData!$B$46:$B$52,0),MATCH($C150,CaseData!$B$46:$E$46,0))</f>
        <v>400</v>
      </c>
      <c r="AX150" s="72">
        <f>INDEX(CaseData!$B$46:$E$52,MATCH($D150,CaseData!$B$46:$B$52,0),MATCH($C150,CaseData!$B$46:$E$46,0))</f>
        <v>400</v>
      </c>
      <c r="AY150" s="72">
        <f>INDEX(CaseData!$B$46:$E$52,MATCH($D150,CaseData!$B$46:$B$52,0),MATCH($C150,CaseData!$B$46:$E$46,0))</f>
        <v>400</v>
      </c>
      <c r="AZ150" s="72">
        <f>INDEX(CaseData!$B$46:$E$52,MATCH($D150,CaseData!$B$46:$B$52,0),MATCH($C150,CaseData!$B$46:$E$46,0))</f>
        <v>400</v>
      </c>
      <c r="BA150" s="72">
        <f>INDEX(CaseData!$B$46:$E$52,MATCH($D150,CaseData!$B$46:$B$52,0),MATCH($C150,CaseData!$B$46:$E$46,0))</f>
        <v>400</v>
      </c>
      <c r="BB150" s="72">
        <f>INDEX(CaseData!$B$46:$E$52,MATCH($D150,CaseData!$B$46:$B$52,0),MATCH($C150,CaseData!$B$46:$E$46,0))</f>
        <v>400</v>
      </c>
      <c r="BC150" s="72">
        <f>INDEX(CaseData!$B$46:$E$52,MATCH($D150,CaseData!$B$46:$B$52,0),MATCH($C150,CaseData!$B$46:$E$46,0))</f>
        <v>400</v>
      </c>
      <c r="BD150" s="72">
        <f>INDEX(CaseData!$B$46:$E$52,MATCH($D150,CaseData!$B$46:$B$52,0),MATCH($C150,CaseData!$B$46:$E$46,0))</f>
        <v>400</v>
      </c>
      <c r="BE150" s="72">
        <f>INDEX(CaseData!$B$46:$E$52,MATCH($D150,CaseData!$B$46:$B$52,0),MATCH($C150,CaseData!$B$46:$E$46,0))</f>
        <v>400</v>
      </c>
      <c r="BF150" s="72">
        <f>INDEX(CaseData!$B$46:$E$52,MATCH($D150,CaseData!$B$46:$B$52,0),MATCH($C150,CaseData!$B$46:$E$46,0))</f>
        <v>400</v>
      </c>
      <c r="BG150" s="72">
        <f>INDEX(CaseData!$B$46:$E$52,MATCH($D150,CaseData!$B$46:$B$52,0),MATCH($C150,CaseData!$B$46:$E$46,0))</f>
        <v>400</v>
      </c>
      <c r="BH150" s="72">
        <f>INDEX(CaseData!$B$46:$E$52,MATCH($D150,CaseData!$B$46:$B$52,0),MATCH($C150,CaseData!$B$46:$E$46,0))</f>
        <v>400</v>
      </c>
      <c r="BI150" s="72">
        <f>INDEX(CaseData!$B$46:$E$52,MATCH($D150,CaseData!$B$46:$B$52,0),MATCH($C150,CaseData!$B$46:$E$46,0))</f>
        <v>400</v>
      </c>
      <c r="BJ150" s="72">
        <f>INDEX(CaseData!$B$46:$E$52,MATCH($D150,CaseData!$B$46:$B$52,0),MATCH($C150,CaseData!$B$46:$E$46,0))</f>
        <v>400</v>
      </c>
      <c r="BK150" s="72">
        <f>INDEX(CaseData!$B$46:$E$52,MATCH($D150,CaseData!$B$46:$B$52,0),MATCH($C150,CaseData!$B$46:$E$46,0))</f>
        <v>400</v>
      </c>
      <c r="BL150" s="72">
        <f>INDEX(CaseData!$B$46:$E$52,MATCH($D150,CaseData!$B$46:$B$52,0),MATCH($C150,CaseData!$B$46:$E$46,0))</f>
        <v>400</v>
      </c>
      <c r="BM150" s="72">
        <f>INDEX(CaseData!$B$46:$E$52,MATCH($D150,CaseData!$B$46:$B$52,0),MATCH($C150,CaseData!$B$46:$E$46,0))</f>
        <v>400</v>
      </c>
      <c r="BN150" s="72">
        <f>INDEX(CaseData!$B$46:$E$52,MATCH($D150,CaseData!$B$46:$B$52,0),MATCH($C150,CaseData!$B$46:$E$46,0))</f>
        <v>400</v>
      </c>
    </row>
    <row r="151" spans="2:66" ht="13.8">
      <c r="B151" s="37" t="str">
        <f t="shared" si="72"/>
        <v>Madrid</v>
      </c>
      <c r="C151" t="str">
        <f t="shared" si="70"/>
        <v>Accessories</v>
      </c>
      <c r="D151" s="84" t="str">
        <f>INDEX(CaseData!$E$10:$E$17,MATCH(B151,CaseData!$C$10:$C$17,0))</f>
        <v>EUR</v>
      </c>
      <c r="E151" s="85"/>
      <c r="G151" s="72">
        <f>INDEX(CaseData!$B$46:$E$52,MATCH($D151,CaseData!$B$46:$B$52,0),MATCH($C151,CaseData!$B$46:$E$46,0))</f>
        <v>150</v>
      </c>
      <c r="H151" s="72">
        <f>INDEX(CaseData!$B$46:$E$52,MATCH($D151,CaseData!$B$46:$B$52,0),MATCH($C151,CaseData!$B$46:$E$46,0))</f>
        <v>150</v>
      </c>
      <c r="I151" s="72">
        <f>INDEX(CaseData!$B$46:$E$52,MATCH($D151,CaseData!$B$46:$B$52,0),MATCH($C151,CaseData!$B$46:$E$46,0))</f>
        <v>150</v>
      </c>
      <c r="J151" s="72">
        <f>INDEX(CaseData!$B$46:$E$52,MATCH($D151,CaseData!$B$46:$B$52,0),MATCH($C151,CaseData!$B$46:$E$46,0))</f>
        <v>150</v>
      </c>
      <c r="K151" s="72">
        <f>INDEX(CaseData!$B$46:$E$52,MATCH($D151,CaseData!$B$46:$B$52,0),MATCH($C151,CaseData!$B$46:$E$46,0))</f>
        <v>150</v>
      </c>
      <c r="L151" s="72">
        <f>INDEX(CaseData!$B$46:$E$52,MATCH($D151,CaseData!$B$46:$B$52,0),MATCH($C151,CaseData!$B$46:$E$46,0))</f>
        <v>150</v>
      </c>
      <c r="M151" s="72">
        <f>INDEX(CaseData!$B$46:$E$52,MATCH($D151,CaseData!$B$46:$B$52,0),MATCH($C151,CaseData!$B$46:$E$46,0))</f>
        <v>150</v>
      </c>
      <c r="N151" s="72">
        <f>INDEX(CaseData!$B$46:$E$52,MATCH($D151,CaseData!$B$46:$B$52,0),MATCH($C151,CaseData!$B$46:$E$46,0))</f>
        <v>150</v>
      </c>
      <c r="O151" s="72">
        <f>INDEX(CaseData!$B$46:$E$52,MATCH($D151,CaseData!$B$46:$B$52,0),MATCH($C151,CaseData!$B$46:$E$46,0))</f>
        <v>150</v>
      </c>
      <c r="P151" s="72">
        <f>INDEX(CaseData!$B$46:$E$52,MATCH($D151,CaseData!$B$46:$B$52,0),MATCH($C151,CaseData!$B$46:$E$46,0))</f>
        <v>150</v>
      </c>
      <c r="Q151" s="72">
        <f>INDEX(CaseData!$B$46:$E$52,MATCH($D151,CaseData!$B$46:$B$52,0),MATCH($C151,CaseData!$B$46:$E$46,0))</f>
        <v>150</v>
      </c>
      <c r="R151" s="72">
        <f>INDEX(CaseData!$B$46:$E$52,MATCH($D151,CaseData!$B$46:$B$52,0),MATCH($C151,CaseData!$B$46:$E$46,0))</f>
        <v>150</v>
      </c>
      <c r="S151" s="72">
        <f>INDEX(CaseData!$B$46:$E$52,MATCH($D151,CaseData!$B$46:$B$52,0),MATCH($C151,CaseData!$B$46:$E$46,0))</f>
        <v>150</v>
      </c>
      <c r="T151" s="72">
        <f>INDEX(CaseData!$B$46:$E$52,MATCH($D151,CaseData!$B$46:$B$52,0),MATCH($C151,CaseData!$B$46:$E$46,0))</f>
        <v>150</v>
      </c>
      <c r="U151" s="72">
        <f>INDEX(CaseData!$B$46:$E$52,MATCH($D151,CaseData!$B$46:$B$52,0),MATCH($C151,CaseData!$B$46:$E$46,0))</f>
        <v>150</v>
      </c>
      <c r="V151" s="72">
        <f>INDEX(CaseData!$B$46:$E$52,MATCH($D151,CaseData!$B$46:$B$52,0),MATCH($C151,CaseData!$B$46:$E$46,0))</f>
        <v>150</v>
      </c>
      <c r="W151" s="72">
        <f>INDEX(CaseData!$B$46:$E$52,MATCH($D151,CaseData!$B$46:$B$52,0),MATCH($C151,CaseData!$B$46:$E$46,0))</f>
        <v>150</v>
      </c>
      <c r="X151" s="72">
        <f>INDEX(CaseData!$B$46:$E$52,MATCH($D151,CaseData!$B$46:$B$52,0),MATCH($C151,CaseData!$B$46:$E$46,0))</f>
        <v>150</v>
      </c>
      <c r="Y151" s="72">
        <f>INDEX(CaseData!$B$46:$E$52,MATCH($D151,CaseData!$B$46:$B$52,0),MATCH($C151,CaseData!$B$46:$E$46,0))</f>
        <v>150</v>
      </c>
      <c r="Z151" s="72">
        <f>INDEX(CaseData!$B$46:$E$52,MATCH($D151,CaseData!$B$46:$B$52,0),MATCH($C151,CaseData!$B$46:$E$46,0))</f>
        <v>150</v>
      </c>
      <c r="AA151" s="72">
        <f>INDEX(CaseData!$B$46:$E$52,MATCH($D151,CaseData!$B$46:$B$52,0),MATCH($C151,CaseData!$B$46:$E$46,0))</f>
        <v>150</v>
      </c>
      <c r="AB151" s="72">
        <f>INDEX(CaseData!$B$46:$E$52,MATCH($D151,CaseData!$B$46:$B$52,0),MATCH($C151,CaseData!$B$46:$E$46,0))</f>
        <v>150</v>
      </c>
      <c r="AC151" s="72">
        <f>INDEX(CaseData!$B$46:$E$52,MATCH($D151,CaseData!$B$46:$B$52,0),MATCH($C151,CaseData!$B$46:$E$46,0))</f>
        <v>150</v>
      </c>
      <c r="AD151" s="72">
        <f>INDEX(CaseData!$B$46:$E$52,MATCH($D151,CaseData!$B$46:$B$52,0),MATCH($C151,CaseData!$B$46:$E$46,0))</f>
        <v>150</v>
      </c>
      <c r="AE151" s="72">
        <f>INDEX(CaseData!$B$46:$E$52,MATCH($D151,CaseData!$B$46:$B$52,0),MATCH($C151,CaseData!$B$46:$E$46,0))</f>
        <v>150</v>
      </c>
      <c r="AF151" s="72">
        <f>INDEX(CaseData!$B$46:$E$52,MATCH($D151,CaseData!$B$46:$B$52,0),MATCH($C151,CaseData!$B$46:$E$46,0))</f>
        <v>150</v>
      </c>
      <c r="AG151" s="72">
        <f>INDEX(CaseData!$B$46:$E$52,MATCH($D151,CaseData!$B$46:$B$52,0),MATCH($C151,CaseData!$B$46:$E$46,0))</f>
        <v>150</v>
      </c>
      <c r="AH151" s="72">
        <f>INDEX(CaseData!$B$46:$E$52,MATCH($D151,CaseData!$B$46:$B$52,0),MATCH($C151,CaseData!$B$46:$E$46,0))</f>
        <v>150</v>
      </c>
      <c r="AI151" s="72">
        <f>INDEX(CaseData!$B$46:$E$52,MATCH($D151,CaseData!$B$46:$B$52,0),MATCH($C151,CaseData!$B$46:$E$46,0))</f>
        <v>150</v>
      </c>
      <c r="AJ151" s="72">
        <f>INDEX(CaseData!$B$46:$E$52,MATCH($D151,CaseData!$B$46:$B$52,0),MATCH($C151,CaseData!$B$46:$E$46,0))</f>
        <v>150</v>
      </c>
      <c r="AK151" s="72">
        <f>INDEX(CaseData!$B$46:$E$52,MATCH($D151,CaseData!$B$46:$B$52,0),MATCH($C151,CaseData!$B$46:$E$46,0))</f>
        <v>150</v>
      </c>
      <c r="AL151" s="72">
        <f>INDEX(CaseData!$B$46:$E$52,MATCH($D151,CaseData!$B$46:$B$52,0),MATCH($C151,CaseData!$B$46:$E$46,0))</f>
        <v>150</v>
      </c>
      <c r="AM151" s="72">
        <f>INDEX(CaseData!$B$46:$E$52,MATCH($D151,CaseData!$B$46:$B$52,0),MATCH($C151,CaseData!$B$46:$E$46,0))</f>
        <v>150</v>
      </c>
      <c r="AN151" s="72">
        <f>INDEX(CaseData!$B$46:$E$52,MATCH($D151,CaseData!$B$46:$B$52,0),MATCH($C151,CaseData!$B$46:$E$46,0))</f>
        <v>150</v>
      </c>
      <c r="AO151" s="72">
        <f>INDEX(CaseData!$B$46:$E$52,MATCH($D151,CaseData!$B$46:$B$52,0),MATCH($C151,CaseData!$B$46:$E$46,0))</f>
        <v>150</v>
      </c>
      <c r="AP151" s="72">
        <f>INDEX(CaseData!$B$46:$E$52,MATCH($D151,CaseData!$B$46:$B$52,0),MATCH($C151,CaseData!$B$46:$E$46,0))</f>
        <v>150</v>
      </c>
      <c r="AQ151" s="72">
        <f>INDEX(CaseData!$B$46:$E$52,MATCH($D151,CaseData!$B$46:$B$52,0),MATCH($C151,CaseData!$B$46:$E$46,0))</f>
        <v>150</v>
      </c>
      <c r="AR151" s="72">
        <f>INDEX(CaseData!$B$46:$E$52,MATCH($D151,CaseData!$B$46:$B$52,0),MATCH($C151,CaseData!$B$46:$E$46,0))</f>
        <v>150</v>
      </c>
      <c r="AS151" s="72">
        <f>INDEX(CaseData!$B$46:$E$52,MATCH($D151,CaseData!$B$46:$B$52,0),MATCH($C151,CaseData!$B$46:$E$46,0))</f>
        <v>150</v>
      </c>
      <c r="AT151" s="72">
        <f>INDEX(CaseData!$B$46:$E$52,MATCH($D151,CaseData!$B$46:$B$52,0),MATCH($C151,CaseData!$B$46:$E$46,0))</f>
        <v>150</v>
      </c>
      <c r="AU151" s="72">
        <f>INDEX(CaseData!$B$46:$E$52,MATCH($D151,CaseData!$B$46:$B$52,0),MATCH($C151,CaseData!$B$46:$E$46,0))</f>
        <v>150</v>
      </c>
      <c r="AV151" s="72">
        <f>INDEX(CaseData!$B$46:$E$52,MATCH($D151,CaseData!$B$46:$B$52,0),MATCH($C151,CaseData!$B$46:$E$46,0))</f>
        <v>150</v>
      </c>
      <c r="AW151" s="72">
        <f>INDEX(CaseData!$B$46:$E$52,MATCH($D151,CaseData!$B$46:$B$52,0),MATCH($C151,CaseData!$B$46:$E$46,0))</f>
        <v>150</v>
      </c>
      <c r="AX151" s="72">
        <f>INDEX(CaseData!$B$46:$E$52,MATCH($D151,CaseData!$B$46:$B$52,0),MATCH($C151,CaseData!$B$46:$E$46,0))</f>
        <v>150</v>
      </c>
      <c r="AY151" s="72">
        <f>INDEX(CaseData!$B$46:$E$52,MATCH($D151,CaseData!$B$46:$B$52,0),MATCH($C151,CaseData!$B$46:$E$46,0))</f>
        <v>150</v>
      </c>
      <c r="AZ151" s="72">
        <f>INDEX(CaseData!$B$46:$E$52,MATCH($D151,CaseData!$B$46:$B$52,0),MATCH($C151,CaseData!$B$46:$E$46,0))</f>
        <v>150</v>
      </c>
      <c r="BA151" s="72">
        <f>INDEX(CaseData!$B$46:$E$52,MATCH($D151,CaseData!$B$46:$B$52,0),MATCH($C151,CaseData!$B$46:$E$46,0))</f>
        <v>150</v>
      </c>
      <c r="BB151" s="72">
        <f>INDEX(CaseData!$B$46:$E$52,MATCH($D151,CaseData!$B$46:$B$52,0),MATCH($C151,CaseData!$B$46:$E$46,0))</f>
        <v>150</v>
      </c>
      <c r="BC151" s="72">
        <f>INDEX(CaseData!$B$46:$E$52,MATCH($D151,CaseData!$B$46:$B$52,0),MATCH($C151,CaseData!$B$46:$E$46,0))</f>
        <v>150</v>
      </c>
      <c r="BD151" s="72">
        <f>INDEX(CaseData!$B$46:$E$52,MATCH($D151,CaseData!$B$46:$B$52,0),MATCH($C151,CaseData!$B$46:$E$46,0))</f>
        <v>150</v>
      </c>
      <c r="BE151" s="72">
        <f>INDEX(CaseData!$B$46:$E$52,MATCH($D151,CaseData!$B$46:$B$52,0),MATCH($C151,CaseData!$B$46:$E$46,0))</f>
        <v>150</v>
      </c>
      <c r="BF151" s="72">
        <f>INDEX(CaseData!$B$46:$E$52,MATCH($D151,CaseData!$B$46:$B$52,0),MATCH($C151,CaseData!$B$46:$E$46,0))</f>
        <v>150</v>
      </c>
      <c r="BG151" s="72">
        <f>INDEX(CaseData!$B$46:$E$52,MATCH($D151,CaseData!$B$46:$B$52,0),MATCH($C151,CaseData!$B$46:$E$46,0))</f>
        <v>150</v>
      </c>
      <c r="BH151" s="72">
        <f>INDEX(CaseData!$B$46:$E$52,MATCH($D151,CaseData!$B$46:$B$52,0),MATCH($C151,CaseData!$B$46:$E$46,0))</f>
        <v>150</v>
      </c>
      <c r="BI151" s="72">
        <f>INDEX(CaseData!$B$46:$E$52,MATCH($D151,CaseData!$B$46:$B$52,0),MATCH($C151,CaseData!$B$46:$E$46,0))</f>
        <v>150</v>
      </c>
      <c r="BJ151" s="72">
        <f>INDEX(CaseData!$B$46:$E$52,MATCH($D151,CaseData!$B$46:$B$52,0),MATCH($C151,CaseData!$B$46:$E$46,0))</f>
        <v>150</v>
      </c>
      <c r="BK151" s="72">
        <f>INDEX(CaseData!$B$46:$E$52,MATCH($D151,CaseData!$B$46:$B$52,0),MATCH($C151,CaseData!$B$46:$E$46,0))</f>
        <v>150</v>
      </c>
      <c r="BL151" s="72">
        <f>INDEX(CaseData!$B$46:$E$52,MATCH($D151,CaseData!$B$46:$B$52,0),MATCH($C151,CaseData!$B$46:$E$46,0))</f>
        <v>150</v>
      </c>
      <c r="BM151" s="72">
        <f>INDEX(CaseData!$B$46:$E$52,MATCH($D151,CaseData!$B$46:$B$52,0),MATCH($C151,CaseData!$B$46:$E$46,0))</f>
        <v>150</v>
      </c>
      <c r="BN151" s="72">
        <f>INDEX(CaseData!$B$46:$E$52,MATCH($D151,CaseData!$B$46:$B$52,0),MATCH($C151,CaseData!$B$46:$E$46,0))</f>
        <v>150</v>
      </c>
    </row>
    <row r="152" spans="2:66" ht="13.8">
      <c r="B152" s="37" t="str">
        <f>CaseData!$B$31</f>
        <v>London</v>
      </c>
      <c r="C152" t="str">
        <f t="shared" si="70"/>
        <v>Women's</v>
      </c>
      <c r="D152" s="84" t="str">
        <f>INDEX(CaseData!$E$10:$E$17,MATCH(B152,CaseData!$C$10:$C$17,0))</f>
        <v>GBP</v>
      </c>
      <c r="E152" s="85"/>
      <c r="G152" s="72">
        <f>INDEX(CaseData!$B$46:$E$52,MATCH($D152,CaseData!$B$46:$B$52,0),MATCH($C152,CaseData!$B$46:$E$46,0))</f>
        <v>425</v>
      </c>
      <c r="H152" s="72">
        <f>INDEX(CaseData!$B$46:$E$52,MATCH($D152,CaseData!$B$46:$B$52,0),MATCH($C152,CaseData!$B$46:$E$46,0))</f>
        <v>425</v>
      </c>
      <c r="I152" s="72">
        <f>INDEX(CaseData!$B$46:$E$52,MATCH($D152,CaseData!$B$46:$B$52,0),MATCH($C152,CaseData!$B$46:$E$46,0))</f>
        <v>425</v>
      </c>
      <c r="J152" s="72">
        <f>INDEX(CaseData!$B$46:$E$52,MATCH($D152,CaseData!$B$46:$B$52,0),MATCH($C152,CaseData!$B$46:$E$46,0))</f>
        <v>425</v>
      </c>
      <c r="K152" s="72">
        <f>INDEX(CaseData!$B$46:$E$52,MATCH($D152,CaseData!$B$46:$B$52,0),MATCH($C152,CaseData!$B$46:$E$46,0))</f>
        <v>425</v>
      </c>
      <c r="L152" s="72">
        <f>INDEX(CaseData!$B$46:$E$52,MATCH($D152,CaseData!$B$46:$B$52,0),MATCH($C152,CaseData!$B$46:$E$46,0))</f>
        <v>425</v>
      </c>
      <c r="M152" s="72">
        <f>INDEX(CaseData!$B$46:$E$52,MATCH($D152,CaseData!$B$46:$B$52,0),MATCH($C152,CaseData!$B$46:$E$46,0))</f>
        <v>425</v>
      </c>
      <c r="N152" s="72">
        <f>INDEX(CaseData!$B$46:$E$52,MATCH($D152,CaseData!$B$46:$B$52,0),MATCH($C152,CaseData!$B$46:$E$46,0))</f>
        <v>425</v>
      </c>
      <c r="O152" s="72">
        <f>INDEX(CaseData!$B$46:$E$52,MATCH($D152,CaseData!$B$46:$B$52,0),MATCH($C152,CaseData!$B$46:$E$46,0))</f>
        <v>425</v>
      </c>
      <c r="P152" s="72">
        <f>INDEX(CaseData!$B$46:$E$52,MATCH($D152,CaseData!$B$46:$B$52,0),MATCH($C152,CaseData!$B$46:$E$46,0))</f>
        <v>425</v>
      </c>
      <c r="Q152" s="72">
        <f>INDEX(CaseData!$B$46:$E$52,MATCH($D152,CaseData!$B$46:$B$52,0),MATCH($C152,CaseData!$B$46:$E$46,0))</f>
        <v>425</v>
      </c>
      <c r="R152" s="72">
        <f>INDEX(CaseData!$B$46:$E$52,MATCH($D152,CaseData!$B$46:$B$52,0),MATCH($C152,CaseData!$B$46:$E$46,0))</f>
        <v>425</v>
      </c>
      <c r="S152" s="72">
        <f>INDEX(CaseData!$B$46:$E$52,MATCH($D152,CaseData!$B$46:$B$52,0),MATCH($C152,CaseData!$B$46:$E$46,0))</f>
        <v>425</v>
      </c>
      <c r="T152" s="72">
        <f>INDEX(CaseData!$B$46:$E$52,MATCH($D152,CaseData!$B$46:$B$52,0),MATCH($C152,CaseData!$B$46:$E$46,0))</f>
        <v>425</v>
      </c>
      <c r="U152" s="72">
        <f>INDEX(CaseData!$B$46:$E$52,MATCH($D152,CaseData!$B$46:$B$52,0),MATCH($C152,CaseData!$B$46:$E$46,0))</f>
        <v>425</v>
      </c>
      <c r="V152" s="72">
        <f>INDEX(CaseData!$B$46:$E$52,MATCH($D152,CaseData!$B$46:$B$52,0),MATCH($C152,CaseData!$B$46:$E$46,0))</f>
        <v>425</v>
      </c>
      <c r="W152" s="72">
        <f>INDEX(CaseData!$B$46:$E$52,MATCH($D152,CaseData!$B$46:$B$52,0),MATCH($C152,CaseData!$B$46:$E$46,0))</f>
        <v>425</v>
      </c>
      <c r="X152" s="72">
        <f>INDEX(CaseData!$B$46:$E$52,MATCH($D152,CaseData!$B$46:$B$52,0),MATCH($C152,CaseData!$B$46:$E$46,0))</f>
        <v>425</v>
      </c>
      <c r="Y152" s="72">
        <f>INDEX(CaseData!$B$46:$E$52,MATCH($D152,CaseData!$B$46:$B$52,0),MATCH($C152,CaseData!$B$46:$E$46,0))</f>
        <v>425</v>
      </c>
      <c r="Z152" s="72">
        <f>INDEX(CaseData!$B$46:$E$52,MATCH($D152,CaseData!$B$46:$B$52,0),MATCH($C152,CaseData!$B$46:$E$46,0))</f>
        <v>425</v>
      </c>
      <c r="AA152" s="72">
        <f>INDEX(CaseData!$B$46:$E$52,MATCH($D152,CaseData!$B$46:$B$52,0),MATCH($C152,CaseData!$B$46:$E$46,0))</f>
        <v>425</v>
      </c>
      <c r="AB152" s="72">
        <f>INDEX(CaseData!$B$46:$E$52,MATCH($D152,CaseData!$B$46:$B$52,0),MATCH($C152,CaseData!$B$46:$E$46,0))</f>
        <v>425</v>
      </c>
      <c r="AC152" s="72">
        <f>INDEX(CaseData!$B$46:$E$52,MATCH($D152,CaseData!$B$46:$B$52,0),MATCH($C152,CaseData!$B$46:$E$46,0))</f>
        <v>425</v>
      </c>
      <c r="AD152" s="72">
        <f>INDEX(CaseData!$B$46:$E$52,MATCH($D152,CaseData!$B$46:$B$52,0),MATCH($C152,CaseData!$B$46:$E$46,0))</f>
        <v>425</v>
      </c>
      <c r="AE152" s="72">
        <f>INDEX(CaseData!$B$46:$E$52,MATCH($D152,CaseData!$B$46:$B$52,0),MATCH($C152,CaseData!$B$46:$E$46,0))</f>
        <v>425</v>
      </c>
      <c r="AF152" s="72">
        <f>INDEX(CaseData!$B$46:$E$52,MATCH($D152,CaseData!$B$46:$B$52,0),MATCH($C152,CaseData!$B$46:$E$46,0))</f>
        <v>425</v>
      </c>
      <c r="AG152" s="72">
        <f>INDEX(CaseData!$B$46:$E$52,MATCH($D152,CaseData!$B$46:$B$52,0),MATCH($C152,CaseData!$B$46:$E$46,0))</f>
        <v>425</v>
      </c>
      <c r="AH152" s="72">
        <f>INDEX(CaseData!$B$46:$E$52,MATCH($D152,CaseData!$B$46:$B$52,0),MATCH($C152,CaseData!$B$46:$E$46,0))</f>
        <v>425</v>
      </c>
      <c r="AI152" s="72">
        <f>INDEX(CaseData!$B$46:$E$52,MATCH($D152,CaseData!$B$46:$B$52,0),MATCH($C152,CaseData!$B$46:$E$46,0))</f>
        <v>425</v>
      </c>
      <c r="AJ152" s="72">
        <f>INDEX(CaseData!$B$46:$E$52,MATCH($D152,CaseData!$B$46:$B$52,0),MATCH($C152,CaseData!$B$46:$E$46,0))</f>
        <v>425</v>
      </c>
      <c r="AK152" s="72">
        <f>INDEX(CaseData!$B$46:$E$52,MATCH($D152,CaseData!$B$46:$B$52,0),MATCH($C152,CaseData!$B$46:$E$46,0))</f>
        <v>425</v>
      </c>
      <c r="AL152" s="72">
        <f>INDEX(CaseData!$B$46:$E$52,MATCH($D152,CaseData!$B$46:$B$52,0),MATCH($C152,CaseData!$B$46:$E$46,0))</f>
        <v>425</v>
      </c>
      <c r="AM152" s="72">
        <f>INDEX(CaseData!$B$46:$E$52,MATCH($D152,CaseData!$B$46:$B$52,0),MATCH($C152,CaseData!$B$46:$E$46,0))</f>
        <v>425</v>
      </c>
      <c r="AN152" s="72">
        <f>INDEX(CaseData!$B$46:$E$52,MATCH($D152,CaseData!$B$46:$B$52,0),MATCH($C152,CaseData!$B$46:$E$46,0))</f>
        <v>425</v>
      </c>
      <c r="AO152" s="72">
        <f>INDEX(CaseData!$B$46:$E$52,MATCH($D152,CaseData!$B$46:$B$52,0),MATCH($C152,CaseData!$B$46:$E$46,0))</f>
        <v>425</v>
      </c>
      <c r="AP152" s="72">
        <f>INDEX(CaseData!$B$46:$E$52,MATCH($D152,CaseData!$B$46:$B$52,0),MATCH($C152,CaseData!$B$46:$E$46,0))</f>
        <v>425</v>
      </c>
      <c r="AQ152" s="72">
        <f>INDEX(CaseData!$B$46:$E$52,MATCH($D152,CaseData!$B$46:$B$52,0),MATCH($C152,CaseData!$B$46:$E$46,0))</f>
        <v>425</v>
      </c>
      <c r="AR152" s="72">
        <f>INDEX(CaseData!$B$46:$E$52,MATCH($D152,CaseData!$B$46:$B$52,0),MATCH($C152,CaseData!$B$46:$E$46,0))</f>
        <v>425</v>
      </c>
      <c r="AS152" s="72">
        <f>INDEX(CaseData!$B$46:$E$52,MATCH($D152,CaseData!$B$46:$B$52,0),MATCH($C152,CaseData!$B$46:$E$46,0))</f>
        <v>425</v>
      </c>
      <c r="AT152" s="72">
        <f>INDEX(CaseData!$B$46:$E$52,MATCH($D152,CaseData!$B$46:$B$52,0),MATCH($C152,CaseData!$B$46:$E$46,0))</f>
        <v>425</v>
      </c>
      <c r="AU152" s="72">
        <f>INDEX(CaseData!$B$46:$E$52,MATCH($D152,CaseData!$B$46:$B$52,0),MATCH($C152,CaseData!$B$46:$E$46,0))</f>
        <v>425</v>
      </c>
      <c r="AV152" s="72">
        <f>INDEX(CaseData!$B$46:$E$52,MATCH($D152,CaseData!$B$46:$B$52,0),MATCH($C152,CaseData!$B$46:$E$46,0))</f>
        <v>425</v>
      </c>
      <c r="AW152" s="72">
        <f>INDEX(CaseData!$B$46:$E$52,MATCH($D152,CaseData!$B$46:$B$52,0),MATCH($C152,CaseData!$B$46:$E$46,0))</f>
        <v>425</v>
      </c>
      <c r="AX152" s="72">
        <f>INDEX(CaseData!$B$46:$E$52,MATCH($D152,CaseData!$B$46:$B$52,0),MATCH($C152,CaseData!$B$46:$E$46,0))</f>
        <v>425</v>
      </c>
      <c r="AY152" s="72">
        <f>INDEX(CaseData!$B$46:$E$52,MATCH($D152,CaseData!$B$46:$B$52,0),MATCH($C152,CaseData!$B$46:$E$46,0))</f>
        <v>425</v>
      </c>
      <c r="AZ152" s="72">
        <f>INDEX(CaseData!$B$46:$E$52,MATCH($D152,CaseData!$B$46:$B$52,0),MATCH($C152,CaseData!$B$46:$E$46,0))</f>
        <v>425</v>
      </c>
      <c r="BA152" s="72">
        <f>INDEX(CaseData!$B$46:$E$52,MATCH($D152,CaseData!$B$46:$B$52,0),MATCH($C152,CaseData!$B$46:$E$46,0))</f>
        <v>425</v>
      </c>
      <c r="BB152" s="72">
        <f>INDEX(CaseData!$B$46:$E$52,MATCH($D152,CaseData!$B$46:$B$52,0),MATCH($C152,CaseData!$B$46:$E$46,0))</f>
        <v>425</v>
      </c>
      <c r="BC152" s="72">
        <f>INDEX(CaseData!$B$46:$E$52,MATCH($D152,CaseData!$B$46:$B$52,0),MATCH($C152,CaseData!$B$46:$E$46,0))</f>
        <v>425</v>
      </c>
      <c r="BD152" s="72">
        <f>INDEX(CaseData!$B$46:$E$52,MATCH($D152,CaseData!$B$46:$B$52,0),MATCH($C152,CaseData!$B$46:$E$46,0))</f>
        <v>425</v>
      </c>
      <c r="BE152" s="72">
        <f>INDEX(CaseData!$B$46:$E$52,MATCH($D152,CaseData!$B$46:$B$52,0),MATCH($C152,CaseData!$B$46:$E$46,0))</f>
        <v>425</v>
      </c>
      <c r="BF152" s="72">
        <f>INDEX(CaseData!$B$46:$E$52,MATCH($D152,CaseData!$B$46:$B$52,0),MATCH($C152,CaseData!$B$46:$E$46,0))</f>
        <v>425</v>
      </c>
      <c r="BG152" s="72">
        <f>INDEX(CaseData!$B$46:$E$52,MATCH($D152,CaseData!$B$46:$B$52,0),MATCH($C152,CaseData!$B$46:$E$46,0))</f>
        <v>425</v>
      </c>
      <c r="BH152" s="72">
        <f>INDEX(CaseData!$B$46:$E$52,MATCH($D152,CaseData!$B$46:$B$52,0),MATCH($C152,CaseData!$B$46:$E$46,0))</f>
        <v>425</v>
      </c>
      <c r="BI152" s="72">
        <f>INDEX(CaseData!$B$46:$E$52,MATCH($D152,CaseData!$B$46:$B$52,0),MATCH($C152,CaseData!$B$46:$E$46,0))</f>
        <v>425</v>
      </c>
      <c r="BJ152" s="72">
        <f>INDEX(CaseData!$B$46:$E$52,MATCH($D152,CaseData!$B$46:$B$52,0),MATCH($C152,CaseData!$B$46:$E$46,0))</f>
        <v>425</v>
      </c>
      <c r="BK152" s="72">
        <f>INDEX(CaseData!$B$46:$E$52,MATCH($D152,CaseData!$B$46:$B$52,0),MATCH($C152,CaseData!$B$46:$E$46,0))</f>
        <v>425</v>
      </c>
      <c r="BL152" s="72">
        <f>INDEX(CaseData!$B$46:$E$52,MATCH($D152,CaseData!$B$46:$B$52,0),MATCH($C152,CaseData!$B$46:$E$46,0))</f>
        <v>425</v>
      </c>
      <c r="BM152" s="72">
        <f>INDEX(CaseData!$B$46:$E$52,MATCH($D152,CaseData!$B$46:$B$52,0),MATCH($C152,CaseData!$B$46:$E$46,0))</f>
        <v>425</v>
      </c>
      <c r="BN152" s="72">
        <f>INDEX(CaseData!$B$46:$E$52,MATCH($D152,CaseData!$B$46:$B$52,0),MATCH($C152,CaseData!$B$46:$E$46,0))</f>
        <v>425</v>
      </c>
    </row>
    <row r="153" spans="2:66" ht="13.8">
      <c r="B153" s="37" t="str">
        <f t="shared" ref="B153:B154" si="73">B152</f>
        <v>London</v>
      </c>
      <c r="C153" t="str">
        <f t="shared" si="70"/>
        <v>Men's</v>
      </c>
      <c r="D153" s="84" t="str">
        <f>INDEX(CaseData!$E$10:$E$17,MATCH(B153,CaseData!$C$10:$C$17,0))</f>
        <v>GBP</v>
      </c>
      <c r="E153" s="85"/>
      <c r="G153" s="72">
        <f>INDEX(CaseData!$B$46:$E$52,MATCH($D153,CaseData!$B$46:$B$52,0),MATCH($C153,CaseData!$B$46:$E$46,0))</f>
        <v>350</v>
      </c>
      <c r="H153" s="72">
        <f>INDEX(CaseData!$B$46:$E$52,MATCH($D153,CaseData!$B$46:$B$52,0),MATCH($C153,CaseData!$B$46:$E$46,0))</f>
        <v>350</v>
      </c>
      <c r="I153" s="72">
        <f>INDEX(CaseData!$B$46:$E$52,MATCH($D153,CaseData!$B$46:$B$52,0),MATCH($C153,CaseData!$B$46:$E$46,0))</f>
        <v>350</v>
      </c>
      <c r="J153" s="72">
        <f>INDEX(CaseData!$B$46:$E$52,MATCH($D153,CaseData!$B$46:$B$52,0),MATCH($C153,CaseData!$B$46:$E$46,0))</f>
        <v>350</v>
      </c>
      <c r="K153" s="72">
        <f>INDEX(CaseData!$B$46:$E$52,MATCH($D153,CaseData!$B$46:$B$52,0),MATCH($C153,CaseData!$B$46:$E$46,0))</f>
        <v>350</v>
      </c>
      <c r="L153" s="72">
        <f>INDEX(CaseData!$B$46:$E$52,MATCH($D153,CaseData!$B$46:$B$52,0),MATCH($C153,CaseData!$B$46:$E$46,0))</f>
        <v>350</v>
      </c>
      <c r="M153" s="72">
        <f>INDEX(CaseData!$B$46:$E$52,MATCH($D153,CaseData!$B$46:$B$52,0),MATCH($C153,CaseData!$B$46:$E$46,0))</f>
        <v>350</v>
      </c>
      <c r="N153" s="72">
        <f>INDEX(CaseData!$B$46:$E$52,MATCH($D153,CaseData!$B$46:$B$52,0),MATCH($C153,CaseData!$B$46:$E$46,0))</f>
        <v>350</v>
      </c>
      <c r="O153" s="72">
        <f>INDEX(CaseData!$B$46:$E$52,MATCH($D153,CaseData!$B$46:$B$52,0),MATCH($C153,CaseData!$B$46:$E$46,0))</f>
        <v>350</v>
      </c>
      <c r="P153" s="72">
        <f>INDEX(CaseData!$B$46:$E$52,MATCH($D153,CaseData!$B$46:$B$52,0),MATCH($C153,CaseData!$B$46:$E$46,0))</f>
        <v>350</v>
      </c>
      <c r="Q153" s="72">
        <f>INDEX(CaseData!$B$46:$E$52,MATCH($D153,CaseData!$B$46:$B$52,0),MATCH($C153,CaseData!$B$46:$E$46,0))</f>
        <v>350</v>
      </c>
      <c r="R153" s="72">
        <f>INDEX(CaseData!$B$46:$E$52,MATCH($D153,CaseData!$B$46:$B$52,0),MATCH($C153,CaseData!$B$46:$E$46,0))</f>
        <v>350</v>
      </c>
      <c r="S153" s="72">
        <f>INDEX(CaseData!$B$46:$E$52,MATCH($D153,CaseData!$B$46:$B$52,0),MATCH($C153,CaseData!$B$46:$E$46,0))</f>
        <v>350</v>
      </c>
      <c r="T153" s="72">
        <f>INDEX(CaseData!$B$46:$E$52,MATCH($D153,CaseData!$B$46:$B$52,0),MATCH($C153,CaseData!$B$46:$E$46,0))</f>
        <v>350</v>
      </c>
      <c r="U153" s="72">
        <f>INDEX(CaseData!$B$46:$E$52,MATCH($D153,CaseData!$B$46:$B$52,0),MATCH($C153,CaseData!$B$46:$E$46,0))</f>
        <v>350</v>
      </c>
      <c r="V153" s="72">
        <f>INDEX(CaseData!$B$46:$E$52,MATCH($D153,CaseData!$B$46:$B$52,0),MATCH($C153,CaseData!$B$46:$E$46,0))</f>
        <v>350</v>
      </c>
      <c r="W153" s="72">
        <f>INDEX(CaseData!$B$46:$E$52,MATCH($D153,CaseData!$B$46:$B$52,0),MATCH($C153,CaseData!$B$46:$E$46,0))</f>
        <v>350</v>
      </c>
      <c r="X153" s="72">
        <f>INDEX(CaseData!$B$46:$E$52,MATCH($D153,CaseData!$B$46:$B$52,0),MATCH($C153,CaseData!$B$46:$E$46,0))</f>
        <v>350</v>
      </c>
      <c r="Y153" s="72">
        <f>INDEX(CaseData!$B$46:$E$52,MATCH($D153,CaseData!$B$46:$B$52,0),MATCH($C153,CaseData!$B$46:$E$46,0))</f>
        <v>350</v>
      </c>
      <c r="Z153" s="72">
        <f>INDEX(CaseData!$B$46:$E$52,MATCH($D153,CaseData!$B$46:$B$52,0),MATCH($C153,CaseData!$B$46:$E$46,0))</f>
        <v>350</v>
      </c>
      <c r="AA153" s="72">
        <f>INDEX(CaseData!$B$46:$E$52,MATCH($D153,CaseData!$B$46:$B$52,0),MATCH($C153,CaseData!$B$46:$E$46,0))</f>
        <v>350</v>
      </c>
      <c r="AB153" s="72">
        <f>INDEX(CaseData!$B$46:$E$52,MATCH($D153,CaseData!$B$46:$B$52,0),MATCH($C153,CaseData!$B$46:$E$46,0))</f>
        <v>350</v>
      </c>
      <c r="AC153" s="72">
        <f>INDEX(CaseData!$B$46:$E$52,MATCH($D153,CaseData!$B$46:$B$52,0),MATCH($C153,CaseData!$B$46:$E$46,0))</f>
        <v>350</v>
      </c>
      <c r="AD153" s="72">
        <f>INDEX(CaseData!$B$46:$E$52,MATCH($D153,CaseData!$B$46:$B$52,0),MATCH($C153,CaseData!$B$46:$E$46,0))</f>
        <v>350</v>
      </c>
      <c r="AE153" s="72">
        <f>INDEX(CaseData!$B$46:$E$52,MATCH($D153,CaseData!$B$46:$B$52,0),MATCH($C153,CaseData!$B$46:$E$46,0))</f>
        <v>350</v>
      </c>
      <c r="AF153" s="72">
        <f>INDEX(CaseData!$B$46:$E$52,MATCH($D153,CaseData!$B$46:$B$52,0),MATCH($C153,CaseData!$B$46:$E$46,0))</f>
        <v>350</v>
      </c>
      <c r="AG153" s="72">
        <f>INDEX(CaseData!$B$46:$E$52,MATCH($D153,CaseData!$B$46:$B$52,0),MATCH($C153,CaseData!$B$46:$E$46,0))</f>
        <v>350</v>
      </c>
      <c r="AH153" s="72">
        <f>INDEX(CaseData!$B$46:$E$52,MATCH($D153,CaseData!$B$46:$B$52,0),MATCH($C153,CaseData!$B$46:$E$46,0))</f>
        <v>350</v>
      </c>
      <c r="AI153" s="72">
        <f>INDEX(CaseData!$B$46:$E$52,MATCH($D153,CaseData!$B$46:$B$52,0),MATCH($C153,CaseData!$B$46:$E$46,0))</f>
        <v>350</v>
      </c>
      <c r="AJ153" s="72">
        <f>INDEX(CaseData!$B$46:$E$52,MATCH($D153,CaseData!$B$46:$B$52,0),MATCH($C153,CaseData!$B$46:$E$46,0))</f>
        <v>350</v>
      </c>
      <c r="AK153" s="72">
        <f>INDEX(CaseData!$B$46:$E$52,MATCH($D153,CaseData!$B$46:$B$52,0),MATCH($C153,CaseData!$B$46:$E$46,0))</f>
        <v>350</v>
      </c>
      <c r="AL153" s="72">
        <f>INDEX(CaseData!$B$46:$E$52,MATCH($D153,CaseData!$B$46:$B$52,0),MATCH($C153,CaseData!$B$46:$E$46,0))</f>
        <v>350</v>
      </c>
      <c r="AM153" s="72">
        <f>INDEX(CaseData!$B$46:$E$52,MATCH($D153,CaseData!$B$46:$B$52,0),MATCH($C153,CaseData!$B$46:$E$46,0))</f>
        <v>350</v>
      </c>
      <c r="AN153" s="72">
        <f>INDEX(CaseData!$B$46:$E$52,MATCH($D153,CaseData!$B$46:$B$52,0),MATCH($C153,CaseData!$B$46:$E$46,0))</f>
        <v>350</v>
      </c>
      <c r="AO153" s="72">
        <f>INDEX(CaseData!$B$46:$E$52,MATCH($D153,CaseData!$B$46:$B$52,0),MATCH($C153,CaseData!$B$46:$E$46,0))</f>
        <v>350</v>
      </c>
      <c r="AP153" s="72">
        <f>INDEX(CaseData!$B$46:$E$52,MATCH($D153,CaseData!$B$46:$B$52,0),MATCH($C153,CaseData!$B$46:$E$46,0))</f>
        <v>350</v>
      </c>
      <c r="AQ153" s="72">
        <f>INDEX(CaseData!$B$46:$E$52,MATCH($D153,CaseData!$B$46:$B$52,0),MATCH($C153,CaseData!$B$46:$E$46,0))</f>
        <v>350</v>
      </c>
      <c r="AR153" s="72">
        <f>INDEX(CaseData!$B$46:$E$52,MATCH($D153,CaseData!$B$46:$B$52,0),MATCH($C153,CaseData!$B$46:$E$46,0))</f>
        <v>350</v>
      </c>
      <c r="AS153" s="72">
        <f>INDEX(CaseData!$B$46:$E$52,MATCH($D153,CaseData!$B$46:$B$52,0),MATCH($C153,CaseData!$B$46:$E$46,0))</f>
        <v>350</v>
      </c>
      <c r="AT153" s="72">
        <f>INDEX(CaseData!$B$46:$E$52,MATCH($D153,CaseData!$B$46:$B$52,0),MATCH($C153,CaseData!$B$46:$E$46,0))</f>
        <v>350</v>
      </c>
      <c r="AU153" s="72">
        <f>INDEX(CaseData!$B$46:$E$52,MATCH($D153,CaseData!$B$46:$B$52,0),MATCH($C153,CaseData!$B$46:$E$46,0))</f>
        <v>350</v>
      </c>
      <c r="AV153" s="72">
        <f>INDEX(CaseData!$B$46:$E$52,MATCH($D153,CaseData!$B$46:$B$52,0),MATCH($C153,CaseData!$B$46:$E$46,0))</f>
        <v>350</v>
      </c>
      <c r="AW153" s="72">
        <f>INDEX(CaseData!$B$46:$E$52,MATCH($D153,CaseData!$B$46:$B$52,0),MATCH($C153,CaseData!$B$46:$E$46,0))</f>
        <v>350</v>
      </c>
      <c r="AX153" s="72">
        <f>INDEX(CaseData!$B$46:$E$52,MATCH($D153,CaseData!$B$46:$B$52,0),MATCH($C153,CaseData!$B$46:$E$46,0))</f>
        <v>350</v>
      </c>
      <c r="AY153" s="72">
        <f>INDEX(CaseData!$B$46:$E$52,MATCH($D153,CaseData!$B$46:$B$52,0),MATCH($C153,CaseData!$B$46:$E$46,0))</f>
        <v>350</v>
      </c>
      <c r="AZ153" s="72">
        <f>INDEX(CaseData!$B$46:$E$52,MATCH($D153,CaseData!$B$46:$B$52,0),MATCH($C153,CaseData!$B$46:$E$46,0))</f>
        <v>350</v>
      </c>
      <c r="BA153" s="72">
        <f>INDEX(CaseData!$B$46:$E$52,MATCH($D153,CaseData!$B$46:$B$52,0),MATCH($C153,CaseData!$B$46:$E$46,0))</f>
        <v>350</v>
      </c>
      <c r="BB153" s="72">
        <f>INDEX(CaseData!$B$46:$E$52,MATCH($D153,CaseData!$B$46:$B$52,0),MATCH($C153,CaseData!$B$46:$E$46,0))</f>
        <v>350</v>
      </c>
      <c r="BC153" s="72">
        <f>INDEX(CaseData!$B$46:$E$52,MATCH($D153,CaseData!$B$46:$B$52,0),MATCH($C153,CaseData!$B$46:$E$46,0))</f>
        <v>350</v>
      </c>
      <c r="BD153" s="72">
        <f>INDEX(CaseData!$B$46:$E$52,MATCH($D153,CaseData!$B$46:$B$52,0),MATCH($C153,CaseData!$B$46:$E$46,0))</f>
        <v>350</v>
      </c>
      <c r="BE153" s="72">
        <f>INDEX(CaseData!$B$46:$E$52,MATCH($D153,CaseData!$B$46:$B$52,0),MATCH($C153,CaseData!$B$46:$E$46,0))</f>
        <v>350</v>
      </c>
      <c r="BF153" s="72">
        <f>INDEX(CaseData!$B$46:$E$52,MATCH($D153,CaseData!$B$46:$B$52,0),MATCH($C153,CaseData!$B$46:$E$46,0))</f>
        <v>350</v>
      </c>
      <c r="BG153" s="72">
        <f>INDEX(CaseData!$B$46:$E$52,MATCH($D153,CaseData!$B$46:$B$52,0),MATCH($C153,CaseData!$B$46:$E$46,0))</f>
        <v>350</v>
      </c>
      <c r="BH153" s="72">
        <f>INDEX(CaseData!$B$46:$E$52,MATCH($D153,CaseData!$B$46:$B$52,0),MATCH($C153,CaseData!$B$46:$E$46,0))</f>
        <v>350</v>
      </c>
      <c r="BI153" s="72">
        <f>INDEX(CaseData!$B$46:$E$52,MATCH($D153,CaseData!$B$46:$B$52,0),MATCH($C153,CaseData!$B$46:$E$46,0))</f>
        <v>350</v>
      </c>
      <c r="BJ153" s="72">
        <f>INDEX(CaseData!$B$46:$E$52,MATCH($D153,CaseData!$B$46:$B$52,0),MATCH($C153,CaseData!$B$46:$E$46,0))</f>
        <v>350</v>
      </c>
      <c r="BK153" s="72">
        <f>INDEX(CaseData!$B$46:$E$52,MATCH($D153,CaseData!$B$46:$B$52,0),MATCH($C153,CaseData!$B$46:$E$46,0))</f>
        <v>350</v>
      </c>
      <c r="BL153" s="72">
        <f>INDEX(CaseData!$B$46:$E$52,MATCH($D153,CaseData!$B$46:$B$52,0),MATCH($C153,CaseData!$B$46:$E$46,0))</f>
        <v>350</v>
      </c>
      <c r="BM153" s="72">
        <f>INDEX(CaseData!$B$46:$E$52,MATCH($D153,CaseData!$B$46:$B$52,0),MATCH($C153,CaseData!$B$46:$E$46,0))</f>
        <v>350</v>
      </c>
      <c r="BN153" s="72">
        <f>INDEX(CaseData!$B$46:$E$52,MATCH($D153,CaseData!$B$46:$B$52,0),MATCH($C153,CaseData!$B$46:$E$46,0))</f>
        <v>350</v>
      </c>
    </row>
    <row r="154" spans="2:66" ht="13.8">
      <c r="B154" s="37" t="str">
        <f t="shared" si="73"/>
        <v>London</v>
      </c>
      <c r="C154" t="str">
        <f t="shared" si="70"/>
        <v>Accessories</v>
      </c>
      <c r="D154" s="84" t="str">
        <f>INDEX(CaseData!$E$10:$E$17,MATCH(B154,CaseData!$C$10:$C$17,0))</f>
        <v>GBP</v>
      </c>
      <c r="E154" s="85"/>
      <c r="G154" s="72">
        <f>INDEX(CaseData!$B$46:$E$52,MATCH($D154,CaseData!$B$46:$B$52,0),MATCH($C154,CaseData!$B$46:$E$46,0))</f>
        <v>125</v>
      </c>
      <c r="H154" s="72">
        <f>INDEX(CaseData!$B$46:$E$52,MATCH($D154,CaseData!$B$46:$B$52,0),MATCH($C154,CaseData!$B$46:$E$46,0))</f>
        <v>125</v>
      </c>
      <c r="I154" s="72">
        <f>INDEX(CaseData!$B$46:$E$52,MATCH($D154,CaseData!$B$46:$B$52,0),MATCH($C154,CaseData!$B$46:$E$46,0))</f>
        <v>125</v>
      </c>
      <c r="J154" s="72">
        <f>INDEX(CaseData!$B$46:$E$52,MATCH($D154,CaseData!$B$46:$B$52,0),MATCH($C154,CaseData!$B$46:$E$46,0))</f>
        <v>125</v>
      </c>
      <c r="K154" s="72">
        <f>INDEX(CaseData!$B$46:$E$52,MATCH($D154,CaseData!$B$46:$B$52,0),MATCH($C154,CaseData!$B$46:$E$46,0))</f>
        <v>125</v>
      </c>
      <c r="L154" s="72">
        <f>INDEX(CaseData!$B$46:$E$52,MATCH($D154,CaseData!$B$46:$B$52,0),MATCH($C154,CaseData!$B$46:$E$46,0))</f>
        <v>125</v>
      </c>
      <c r="M154" s="72">
        <f>INDEX(CaseData!$B$46:$E$52,MATCH($D154,CaseData!$B$46:$B$52,0),MATCH($C154,CaseData!$B$46:$E$46,0))</f>
        <v>125</v>
      </c>
      <c r="N154" s="72">
        <f>INDEX(CaseData!$B$46:$E$52,MATCH($D154,CaseData!$B$46:$B$52,0),MATCH($C154,CaseData!$B$46:$E$46,0))</f>
        <v>125</v>
      </c>
      <c r="O154" s="72">
        <f>INDEX(CaseData!$B$46:$E$52,MATCH($D154,CaseData!$B$46:$B$52,0),MATCH($C154,CaseData!$B$46:$E$46,0))</f>
        <v>125</v>
      </c>
      <c r="P154" s="72">
        <f>INDEX(CaseData!$B$46:$E$52,MATCH($D154,CaseData!$B$46:$B$52,0),MATCH($C154,CaseData!$B$46:$E$46,0))</f>
        <v>125</v>
      </c>
      <c r="Q154" s="72">
        <f>INDEX(CaseData!$B$46:$E$52,MATCH($D154,CaseData!$B$46:$B$52,0),MATCH($C154,CaseData!$B$46:$E$46,0))</f>
        <v>125</v>
      </c>
      <c r="R154" s="72">
        <f>INDEX(CaseData!$B$46:$E$52,MATCH($D154,CaseData!$B$46:$B$52,0),MATCH($C154,CaseData!$B$46:$E$46,0))</f>
        <v>125</v>
      </c>
      <c r="S154" s="72">
        <f>INDEX(CaseData!$B$46:$E$52,MATCH($D154,CaseData!$B$46:$B$52,0),MATCH($C154,CaseData!$B$46:$E$46,0))</f>
        <v>125</v>
      </c>
      <c r="T154" s="72">
        <f>INDEX(CaseData!$B$46:$E$52,MATCH($D154,CaseData!$B$46:$B$52,0),MATCH($C154,CaseData!$B$46:$E$46,0))</f>
        <v>125</v>
      </c>
      <c r="U154" s="72">
        <f>INDEX(CaseData!$B$46:$E$52,MATCH($D154,CaseData!$B$46:$B$52,0),MATCH($C154,CaseData!$B$46:$E$46,0))</f>
        <v>125</v>
      </c>
      <c r="V154" s="72">
        <f>INDEX(CaseData!$B$46:$E$52,MATCH($D154,CaseData!$B$46:$B$52,0),MATCH($C154,CaseData!$B$46:$E$46,0))</f>
        <v>125</v>
      </c>
      <c r="W154" s="72">
        <f>INDEX(CaseData!$B$46:$E$52,MATCH($D154,CaseData!$B$46:$B$52,0),MATCH($C154,CaseData!$B$46:$E$46,0))</f>
        <v>125</v>
      </c>
      <c r="X154" s="72">
        <f>INDEX(CaseData!$B$46:$E$52,MATCH($D154,CaseData!$B$46:$B$52,0),MATCH($C154,CaseData!$B$46:$E$46,0))</f>
        <v>125</v>
      </c>
      <c r="Y154" s="72">
        <f>INDEX(CaseData!$B$46:$E$52,MATCH($D154,CaseData!$B$46:$B$52,0),MATCH($C154,CaseData!$B$46:$E$46,0))</f>
        <v>125</v>
      </c>
      <c r="Z154" s="72">
        <f>INDEX(CaseData!$B$46:$E$52,MATCH($D154,CaseData!$B$46:$B$52,0),MATCH($C154,CaseData!$B$46:$E$46,0))</f>
        <v>125</v>
      </c>
      <c r="AA154" s="72">
        <f>INDEX(CaseData!$B$46:$E$52,MATCH($D154,CaseData!$B$46:$B$52,0),MATCH($C154,CaseData!$B$46:$E$46,0))</f>
        <v>125</v>
      </c>
      <c r="AB154" s="72">
        <f>INDEX(CaseData!$B$46:$E$52,MATCH($D154,CaseData!$B$46:$B$52,0),MATCH($C154,CaseData!$B$46:$E$46,0))</f>
        <v>125</v>
      </c>
      <c r="AC154" s="72">
        <f>INDEX(CaseData!$B$46:$E$52,MATCH($D154,CaseData!$B$46:$B$52,0),MATCH($C154,CaseData!$B$46:$E$46,0))</f>
        <v>125</v>
      </c>
      <c r="AD154" s="72">
        <f>INDEX(CaseData!$B$46:$E$52,MATCH($D154,CaseData!$B$46:$B$52,0),MATCH($C154,CaseData!$B$46:$E$46,0))</f>
        <v>125</v>
      </c>
      <c r="AE154" s="72">
        <f>INDEX(CaseData!$B$46:$E$52,MATCH($D154,CaseData!$B$46:$B$52,0),MATCH($C154,CaseData!$B$46:$E$46,0))</f>
        <v>125</v>
      </c>
      <c r="AF154" s="72">
        <f>INDEX(CaseData!$B$46:$E$52,MATCH($D154,CaseData!$B$46:$B$52,0),MATCH($C154,CaseData!$B$46:$E$46,0))</f>
        <v>125</v>
      </c>
      <c r="AG154" s="72">
        <f>INDEX(CaseData!$B$46:$E$52,MATCH($D154,CaseData!$B$46:$B$52,0),MATCH($C154,CaseData!$B$46:$E$46,0))</f>
        <v>125</v>
      </c>
      <c r="AH154" s="72">
        <f>INDEX(CaseData!$B$46:$E$52,MATCH($D154,CaseData!$B$46:$B$52,0),MATCH($C154,CaseData!$B$46:$E$46,0))</f>
        <v>125</v>
      </c>
      <c r="AI154" s="72">
        <f>INDEX(CaseData!$B$46:$E$52,MATCH($D154,CaseData!$B$46:$B$52,0),MATCH($C154,CaseData!$B$46:$E$46,0))</f>
        <v>125</v>
      </c>
      <c r="AJ154" s="72">
        <f>INDEX(CaseData!$B$46:$E$52,MATCH($D154,CaseData!$B$46:$B$52,0),MATCH($C154,CaseData!$B$46:$E$46,0))</f>
        <v>125</v>
      </c>
      <c r="AK154" s="72">
        <f>INDEX(CaseData!$B$46:$E$52,MATCH($D154,CaseData!$B$46:$B$52,0),MATCH($C154,CaseData!$B$46:$E$46,0))</f>
        <v>125</v>
      </c>
      <c r="AL154" s="72">
        <f>INDEX(CaseData!$B$46:$E$52,MATCH($D154,CaseData!$B$46:$B$52,0),MATCH($C154,CaseData!$B$46:$E$46,0))</f>
        <v>125</v>
      </c>
      <c r="AM154" s="72">
        <f>INDEX(CaseData!$B$46:$E$52,MATCH($D154,CaseData!$B$46:$B$52,0),MATCH($C154,CaseData!$B$46:$E$46,0))</f>
        <v>125</v>
      </c>
      <c r="AN154" s="72">
        <f>INDEX(CaseData!$B$46:$E$52,MATCH($D154,CaseData!$B$46:$B$52,0),MATCH($C154,CaseData!$B$46:$E$46,0))</f>
        <v>125</v>
      </c>
      <c r="AO154" s="72">
        <f>INDEX(CaseData!$B$46:$E$52,MATCH($D154,CaseData!$B$46:$B$52,0),MATCH($C154,CaseData!$B$46:$E$46,0))</f>
        <v>125</v>
      </c>
      <c r="AP154" s="72">
        <f>INDEX(CaseData!$B$46:$E$52,MATCH($D154,CaseData!$B$46:$B$52,0),MATCH($C154,CaseData!$B$46:$E$46,0))</f>
        <v>125</v>
      </c>
      <c r="AQ154" s="72">
        <f>INDEX(CaseData!$B$46:$E$52,MATCH($D154,CaseData!$B$46:$B$52,0),MATCH($C154,CaseData!$B$46:$E$46,0))</f>
        <v>125</v>
      </c>
      <c r="AR154" s="72">
        <f>INDEX(CaseData!$B$46:$E$52,MATCH($D154,CaseData!$B$46:$B$52,0),MATCH($C154,CaseData!$B$46:$E$46,0))</f>
        <v>125</v>
      </c>
      <c r="AS154" s="72">
        <f>INDEX(CaseData!$B$46:$E$52,MATCH($D154,CaseData!$B$46:$B$52,0),MATCH($C154,CaseData!$B$46:$E$46,0))</f>
        <v>125</v>
      </c>
      <c r="AT154" s="72">
        <f>INDEX(CaseData!$B$46:$E$52,MATCH($D154,CaseData!$B$46:$B$52,0),MATCH($C154,CaseData!$B$46:$E$46,0))</f>
        <v>125</v>
      </c>
      <c r="AU154" s="72">
        <f>INDEX(CaseData!$B$46:$E$52,MATCH($D154,CaseData!$B$46:$B$52,0),MATCH($C154,CaseData!$B$46:$E$46,0))</f>
        <v>125</v>
      </c>
      <c r="AV154" s="72">
        <f>INDEX(CaseData!$B$46:$E$52,MATCH($D154,CaseData!$B$46:$B$52,0),MATCH($C154,CaseData!$B$46:$E$46,0))</f>
        <v>125</v>
      </c>
      <c r="AW154" s="72">
        <f>INDEX(CaseData!$B$46:$E$52,MATCH($D154,CaseData!$B$46:$B$52,0),MATCH($C154,CaseData!$B$46:$E$46,0))</f>
        <v>125</v>
      </c>
      <c r="AX154" s="72">
        <f>INDEX(CaseData!$B$46:$E$52,MATCH($D154,CaseData!$B$46:$B$52,0),MATCH($C154,CaseData!$B$46:$E$46,0))</f>
        <v>125</v>
      </c>
      <c r="AY154" s="72">
        <f>INDEX(CaseData!$B$46:$E$52,MATCH($D154,CaseData!$B$46:$B$52,0),MATCH($C154,CaseData!$B$46:$E$46,0))</f>
        <v>125</v>
      </c>
      <c r="AZ154" s="72">
        <f>INDEX(CaseData!$B$46:$E$52,MATCH($D154,CaseData!$B$46:$B$52,0),MATCH($C154,CaseData!$B$46:$E$46,0))</f>
        <v>125</v>
      </c>
      <c r="BA154" s="72">
        <f>INDEX(CaseData!$B$46:$E$52,MATCH($D154,CaseData!$B$46:$B$52,0),MATCH($C154,CaseData!$B$46:$E$46,0))</f>
        <v>125</v>
      </c>
      <c r="BB154" s="72">
        <f>INDEX(CaseData!$B$46:$E$52,MATCH($D154,CaseData!$B$46:$B$52,0),MATCH($C154,CaseData!$B$46:$E$46,0))</f>
        <v>125</v>
      </c>
      <c r="BC154" s="72">
        <f>INDEX(CaseData!$B$46:$E$52,MATCH($D154,CaseData!$B$46:$B$52,0),MATCH($C154,CaseData!$B$46:$E$46,0))</f>
        <v>125</v>
      </c>
      <c r="BD154" s="72">
        <f>INDEX(CaseData!$B$46:$E$52,MATCH($D154,CaseData!$B$46:$B$52,0),MATCH($C154,CaseData!$B$46:$E$46,0))</f>
        <v>125</v>
      </c>
      <c r="BE154" s="72">
        <f>INDEX(CaseData!$B$46:$E$52,MATCH($D154,CaseData!$B$46:$B$52,0),MATCH($C154,CaseData!$B$46:$E$46,0))</f>
        <v>125</v>
      </c>
      <c r="BF154" s="72">
        <f>INDEX(CaseData!$B$46:$E$52,MATCH($D154,CaseData!$B$46:$B$52,0),MATCH($C154,CaseData!$B$46:$E$46,0))</f>
        <v>125</v>
      </c>
      <c r="BG154" s="72">
        <f>INDEX(CaseData!$B$46:$E$52,MATCH($D154,CaseData!$B$46:$B$52,0),MATCH($C154,CaseData!$B$46:$E$46,0))</f>
        <v>125</v>
      </c>
      <c r="BH154" s="72">
        <f>INDEX(CaseData!$B$46:$E$52,MATCH($D154,CaseData!$B$46:$B$52,0),MATCH($C154,CaseData!$B$46:$E$46,0))</f>
        <v>125</v>
      </c>
      <c r="BI154" s="72">
        <f>INDEX(CaseData!$B$46:$E$52,MATCH($D154,CaseData!$B$46:$B$52,0),MATCH($C154,CaseData!$B$46:$E$46,0))</f>
        <v>125</v>
      </c>
      <c r="BJ154" s="72">
        <f>INDEX(CaseData!$B$46:$E$52,MATCH($D154,CaseData!$B$46:$B$52,0),MATCH($C154,CaseData!$B$46:$E$46,0))</f>
        <v>125</v>
      </c>
      <c r="BK154" s="72">
        <f>INDEX(CaseData!$B$46:$E$52,MATCH($D154,CaseData!$B$46:$B$52,0),MATCH($C154,CaseData!$B$46:$E$46,0))</f>
        <v>125</v>
      </c>
      <c r="BL154" s="72">
        <f>INDEX(CaseData!$B$46:$E$52,MATCH($D154,CaseData!$B$46:$B$52,0),MATCH($C154,CaseData!$B$46:$E$46,0))</f>
        <v>125</v>
      </c>
      <c r="BM154" s="72">
        <f>INDEX(CaseData!$B$46:$E$52,MATCH($D154,CaseData!$B$46:$B$52,0),MATCH($C154,CaseData!$B$46:$E$46,0))</f>
        <v>125</v>
      </c>
      <c r="BN154" s="72">
        <f>INDEX(CaseData!$B$46:$E$52,MATCH($D154,CaseData!$B$46:$B$52,0),MATCH($C154,CaseData!$B$46:$E$46,0))</f>
        <v>125</v>
      </c>
    </row>
    <row r="155" spans="2:66" ht="13.8">
      <c r="B155" s="37" t="str">
        <f>CaseData!$B$32</f>
        <v>New York</v>
      </c>
      <c r="C155" t="str">
        <f t="shared" si="70"/>
        <v>Women's</v>
      </c>
      <c r="D155" s="84" t="str">
        <f>INDEX(CaseData!$E$10:$E$17,MATCH(B155,CaseData!$C$10:$C$17,0))</f>
        <v>USD</v>
      </c>
      <c r="E155" s="85"/>
      <c r="G155" s="72">
        <f>INDEX(CaseData!$B$46:$E$52,MATCH($D155,CaseData!$B$46:$B$52,0),MATCH($C155,CaseData!$B$46:$E$46,0))</f>
        <v>475</v>
      </c>
      <c r="H155" s="72">
        <f>INDEX(CaseData!$B$46:$E$52,MATCH($D155,CaseData!$B$46:$B$52,0),MATCH($C155,CaseData!$B$46:$E$46,0))</f>
        <v>475</v>
      </c>
      <c r="I155" s="72">
        <f>INDEX(CaseData!$B$46:$E$52,MATCH($D155,CaseData!$B$46:$B$52,0),MATCH($C155,CaseData!$B$46:$E$46,0))</f>
        <v>475</v>
      </c>
      <c r="J155" s="72">
        <f>INDEX(CaseData!$B$46:$E$52,MATCH($D155,CaseData!$B$46:$B$52,0),MATCH($C155,CaseData!$B$46:$E$46,0))</f>
        <v>475</v>
      </c>
      <c r="K155" s="72">
        <f>INDEX(CaseData!$B$46:$E$52,MATCH($D155,CaseData!$B$46:$B$52,0),MATCH($C155,CaseData!$B$46:$E$46,0))</f>
        <v>475</v>
      </c>
      <c r="L155" s="72">
        <f>INDEX(CaseData!$B$46:$E$52,MATCH($D155,CaseData!$B$46:$B$52,0),MATCH($C155,CaseData!$B$46:$E$46,0))</f>
        <v>475</v>
      </c>
      <c r="M155" s="72">
        <f>INDEX(CaseData!$B$46:$E$52,MATCH($D155,CaseData!$B$46:$B$52,0),MATCH($C155,CaseData!$B$46:$E$46,0))</f>
        <v>475</v>
      </c>
      <c r="N155" s="72">
        <f>INDEX(CaseData!$B$46:$E$52,MATCH($D155,CaseData!$B$46:$B$52,0),MATCH($C155,CaseData!$B$46:$E$46,0))</f>
        <v>475</v>
      </c>
      <c r="O155" s="72">
        <f>INDEX(CaseData!$B$46:$E$52,MATCH($D155,CaseData!$B$46:$B$52,0),MATCH($C155,CaseData!$B$46:$E$46,0))</f>
        <v>475</v>
      </c>
      <c r="P155" s="72">
        <f>INDEX(CaseData!$B$46:$E$52,MATCH($D155,CaseData!$B$46:$B$52,0),MATCH($C155,CaseData!$B$46:$E$46,0))</f>
        <v>475</v>
      </c>
      <c r="Q155" s="72">
        <f>INDEX(CaseData!$B$46:$E$52,MATCH($D155,CaseData!$B$46:$B$52,0),MATCH($C155,CaseData!$B$46:$E$46,0))</f>
        <v>475</v>
      </c>
      <c r="R155" s="72">
        <f>INDEX(CaseData!$B$46:$E$52,MATCH($D155,CaseData!$B$46:$B$52,0),MATCH($C155,CaseData!$B$46:$E$46,0))</f>
        <v>475</v>
      </c>
      <c r="S155" s="72">
        <f>INDEX(CaseData!$B$46:$E$52,MATCH($D155,CaseData!$B$46:$B$52,0),MATCH($C155,CaseData!$B$46:$E$46,0))</f>
        <v>475</v>
      </c>
      <c r="T155" s="72">
        <f>INDEX(CaseData!$B$46:$E$52,MATCH($D155,CaseData!$B$46:$B$52,0),MATCH($C155,CaseData!$B$46:$E$46,0))</f>
        <v>475</v>
      </c>
      <c r="U155" s="72">
        <f>INDEX(CaseData!$B$46:$E$52,MATCH($D155,CaseData!$B$46:$B$52,0),MATCH($C155,CaseData!$B$46:$E$46,0))</f>
        <v>475</v>
      </c>
      <c r="V155" s="72">
        <f>INDEX(CaseData!$B$46:$E$52,MATCH($D155,CaseData!$B$46:$B$52,0),MATCH($C155,CaseData!$B$46:$E$46,0))</f>
        <v>475</v>
      </c>
      <c r="W155" s="72">
        <f>INDEX(CaseData!$B$46:$E$52,MATCH($D155,CaseData!$B$46:$B$52,0),MATCH($C155,CaseData!$B$46:$E$46,0))</f>
        <v>475</v>
      </c>
      <c r="X155" s="72">
        <f>INDEX(CaseData!$B$46:$E$52,MATCH($D155,CaseData!$B$46:$B$52,0),MATCH($C155,CaseData!$B$46:$E$46,0))</f>
        <v>475</v>
      </c>
      <c r="Y155" s="72">
        <f>INDEX(CaseData!$B$46:$E$52,MATCH($D155,CaseData!$B$46:$B$52,0),MATCH($C155,CaseData!$B$46:$E$46,0))</f>
        <v>475</v>
      </c>
      <c r="Z155" s="72">
        <f>INDEX(CaseData!$B$46:$E$52,MATCH($D155,CaseData!$B$46:$B$52,0),MATCH($C155,CaseData!$B$46:$E$46,0))</f>
        <v>475</v>
      </c>
      <c r="AA155" s="72">
        <f>INDEX(CaseData!$B$46:$E$52,MATCH($D155,CaseData!$B$46:$B$52,0),MATCH($C155,CaseData!$B$46:$E$46,0))</f>
        <v>475</v>
      </c>
      <c r="AB155" s="72">
        <f>INDEX(CaseData!$B$46:$E$52,MATCH($D155,CaseData!$B$46:$B$52,0),MATCH($C155,CaseData!$B$46:$E$46,0))</f>
        <v>475</v>
      </c>
      <c r="AC155" s="72">
        <f>INDEX(CaseData!$B$46:$E$52,MATCH($D155,CaseData!$B$46:$B$52,0),MATCH($C155,CaseData!$B$46:$E$46,0))</f>
        <v>475</v>
      </c>
      <c r="AD155" s="72">
        <f>INDEX(CaseData!$B$46:$E$52,MATCH($D155,CaseData!$B$46:$B$52,0),MATCH($C155,CaseData!$B$46:$E$46,0))</f>
        <v>475</v>
      </c>
      <c r="AE155" s="72">
        <f>INDEX(CaseData!$B$46:$E$52,MATCH($D155,CaseData!$B$46:$B$52,0),MATCH($C155,CaseData!$B$46:$E$46,0))</f>
        <v>475</v>
      </c>
      <c r="AF155" s="72">
        <f>INDEX(CaseData!$B$46:$E$52,MATCH($D155,CaseData!$B$46:$B$52,0),MATCH($C155,CaseData!$B$46:$E$46,0))</f>
        <v>475</v>
      </c>
      <c r="AG155" s="72">
        <f>INDEX(CaseData!$B$46:$E$52,MATCH($D155,CaseData!$B$46:$B$52,0),MATCH($C155,CaseData!$B$46:$E$46,0))</f>
        <v>475</v>
      </c>
      <c r="AH155" s="72">
        <f>INDEX(CaseData!$B$46:$E$52,MATCH($D155,CaseData!$B$46:$B$52,0),MATCH($C155,CaseData!$B$46:$E$46,0))</f>
        <v>475</v>
      </c>
      <c r="AI155" s="72">
        <f>INDEX(CaseData!$B$46:$E$52,MATCH($D155,CaseData!$B$46:$B$52,0),MATCH($C155,CaseData!$B$46:$E$46,0))</f>
        <v>475</v>
      </c>
      <c r="AJ155" s="72">
        <f>INDEX(CaseData!$B$46:$E$52,MATCH($D155,CaseData!$B$46:$B$52,0),MATCH($C155,CaseData!$B$46:$E$46,0))</f>
        <v>475</v>
      </c>
      <c r="AK155" s="72">
        <f>INDEX(CaseData!$B$46:$E$52,MATCH($D155,CaseData!$B$46:$B$52,0),MATCH($C155,CaseData!$B$46:$E$46,0))</f>
        <v>475</v>
      </c>
      <c r="AL155" s="72">
        <f>INDEX(CaseData!$B$46:$E$52,MATCH($D155,CaseData!$B$46:$B$52,0),MATCH($C155,CaseData!$B$46:$E$46,0))</f>
        <v>475</v>
      </c>
      <c r="AM155" s="72">
        <f>INDEX(CaseData!$B$46:$E$52,MATCH($D155,CaseData!$B$46:$B$52,0),MATCH($C155,CaseData!$B$46:$E$46,0))</f>
        <v>475</v>
      </c>
      <c r="AN155" s="72">
        <f>INDEX(CaseData!$B$46:$E$52,MATCH($D155,CaseData!$B$46:$B$52,0),MATCH($C155,CaseData!$B$46:$E$46,0))</f>
        <v>475</v>
      </c>
      <c r="AO155" s="72">
        <f>INDEX(CaseData!$B$46:$E$52,MATCH($D155,CaseData!$B$46:$B$52,0),MATCH($C155,CaseData!$B$46:$E$46,0))</f>
        <v>475</v>
      </c>
      <c r="AP155" s="72">
        <f>INDEX(CaseData!$B$46:$E$52,MATCH($D155,CaseData!$B$46:$B$52,0),MATCH($C155,CaseData!$B$46:$E$46,0))</f>
        <v>475</v>
      </c>
      <c r="AQ155" s="72">
        <f>INDEX(CaseData!$B$46:$E$52,MATCH($D155,CaseData!$B$46:$B$52,0),MATCH($C155,CaseData!$B$46:$E$46,0))</f>
        <v>475</v>
      </c>
      <c r="AR155" s="72">
        <f>INDEX(CaseData!$B$46:$E$52,MATCH($D155,CaseData!$B$46:$B$52,0),MATCH($C155,CaseData!$B$46:$E$46,0))</f>
        <v>475</v>
      </c>
      <c r="AS155" s="72">
        <f>INDEX(CaseData!$B$46:$E$52,MATCH($D155,CaseData!$B$46:$B$52,0),MATCH($C155,CaseData!$B$46:$E$46,0))</f>
        <v>475</v>
      </c>
      <c r="AT155" s="72">
        <f>INDEX(CaseData!$B$46:$E$52,MATCH($D155,CaseData!$B$46:$B$52,0),MATCH($C155,CaseData!$B$46:$E$46,0))</f>
        <v>475</v>
      </c>
      <c r="AU155" s="72">
        <f>INDEX(CaseData!$B$46:$E$52,MATCH($D155,CaseData!$B$46:$B$52,0),MATCH($C155,CaseData!$B$46:$E$46,0))</f>
        <v>475</v>
      </c>
      <c r="AV155" s="72">
        <f>INDEX(CaseData!$B$46:$E$52,MATCH($D155,CaseData!$B$46:$B$52,0),MATCH($C155,CaseData!$B$46:$E$46,0))</f>
        <v>475</v>
      </c>
      <c r="AW155" s="72">
        <f>INDEX(CaseData!$B$46:$E$52,MATCH($D155,CaseData!$B$46:$B$52,0),MATCH($C155,CaseData!$B$46:$E$46,0))</f>
        <v>475</v>
      </c>
      <c r="AX155" s="72">
        <f>INDEX(CaseData!$B$46:$E$52,MATCH($D155,CaseData!$B$46:$B$52,0),MATCH($C155,CaseData!$B$46:$E$46,0))</f>
        <v>475</v>
      </c>
      <c r="AY155" s="72">
        <f>INDEX(CaseData!$B$46:$E$52,MATCH($D155,CaseData!$B$46:$B$52,0),MATCH($C155,CaseData!$B$46:$E$46,0))</f>
        <v>475</v>
      </c>
      <c r="AZ155" s="72">
        <f>INDEX(CaseData!$B$46:$E$52,MATCH($D155,CaseData!$B$46:$B$52,0),MATCH($C155,CaseData!$B$46:$E$46,0))</f>
        <v>475</v>
      </c>
      <c r="BA155" s="72">
        <f>INDEX(CaseData!$B$46:$E$52,MATCH($D155,CaseData!$B$46:$B$52,0),MATCH($C155,CaseData!$B$46:$E$46,0))</f>
        <v>475</v>
      </c>
      <c r="BB155" s="72">
        <f>INDEX(CaseData!$B$46:$E$52,MATCH($D155,CaseData!$B$46:$B$52,0),MATCH($C155,CaseData!$B$46:$E$46,0))</f>
        <v>475</v>
      </c>
      <c r="BC155" s="72">
        <f>INDEX(CaseData!$B$46:$E$52,MATCH($D155,CaseData!$B$46:$B$52,0),MATCH($C155,CaseData!$B$46:$E$46,0))</f>
        <v>475</v>
      </c>
      <c r="BD155" s="72">
        <f>INDEX(CaseData!$B$46:$E$52,MATCH($D155,CaseData!$B$46:$B$52,0),MATCH($C155,CaseData!$B$46:$E$46,0))</f>
        <v>475</v>
      </c>
      <c r="BE155" s="72">
        <f>INDEX(CaseData!$B$46:$E$52,MATCH($D155,CaseData!$B$46:$B$52,0),MATCH($C155,CaseData!$B$46:$E$46,0))</f>
        <v>475</v>
      </c>
      <c r="BF155" s="72">
        <f>INDEX(CaseData!$B$46:$E$52,MATCH($D155,CaseData!$B$46:$B$52,0),MATCH($C155,CaseData!$B$46:$E$46,0))</f>
        <v>475</v>
      </c>
      <c r="BG155" s="72">
        <f>INDEX(CaseData!$B$46:$E$52,MATCH($D155,CaseData!$B$46:$B$52,0),MATCH($C155,CaseData!$B$46:$E$46,0))</f>
        <v>475</v>
      </c>
      <c r="BH155" s="72">
        <f>INDEX(CaseData!$B$46:$E$52,MATCH($D155,CaseData!$B$46:$B$52,0),MATCH($C155,CaseData!$B$46:$E$46,0))</f>
        <v>475</v>
      </c>
      <c r="BI155" s="72">
        <f>INDEX(CaseData!$B$46:$E$52,MATCH($D155,CaseData!$B$46:$B$52,0),MATCH($C155,CaseData!$B$46:$E$46,0))</f>
        <v>475</v>
      </c>
      <c r="BJ155" s="72">
        <f>INDEX(CaseData!$B$46:$E$52,MATCH($D155,CaseData!$B$46:$B$52,0),MATCH($C155,CaseData!$B$46:$E$46,0))</f>
        <v>475</v>
      </c>
      <c r="BK155" s="72">
        <f>INDEX(CaseData!$B$46:$E$52,MATCH($D155,CaseData!$B$46:$B$52,0),MATCH($C155,CaseData!$B$46:$E$46,0))</f>
        <v>475</v>
      </c>
      <c r="BL155" s="72">
        <f>INDEX(CaseData!$B$46:$E$52,MATCH($D155,CaseData!$B$46:$B$52,0),MATCH($C155,CaseData!$B$46:$E$46,0))</f>
        <v>475</v>
      </c>
      <c r="BM155" s="72">
        <f>INDEX(CaseData!$B$46:$E$52,MATCH($D155,CaseData!$B$46:$B$52,0),MATCH($C155,CaseData!$B$46:$E$46,0))</f>
        <v>475</v>
      </c>
      <c r="BN155" s="72">
        <f>INDEX(CaseData!$B$46:$E$52,MATCH($D155,CaseData!$B$46:$B$52,0),MATCH($C155,CaseData!$B$46:$E$46,0))</f>
        <v>475</v>
      </c>
    </row>
    <row r="156" spans="2:66" ht="13.8">
      <c r="B156" s="37" t="str">
        <f t="shared" ref="B156:B157" si="74">B155</f>
        <v>New York</v>
      </c>
      <c r="C156" t="str">
        <f t="shared" si="70"/>
        <v>Men's</v>
      </c>
      <c r="D156" s="84" t="str">
        <f>INDEX(CaseData!$E$10:$E$17,MATCH(B156,CaseData!$C$10:$C$17,0))</f>
        <v>USD</v>
      </c>
      <c r="E156" s="85"/>
      <c r="G156" s="72">
        <f>INDEX(CaseData!$B$46:$E$52,MATCH($D156,CaseData!$B$46:$B$52,0),MATCH($C156,CaseData!$B$46:$E$46,0))</f>
        <v>375</v>
      </c>
      <c r="H156" s="72">
        <f>INDEX(CaseData!$B$46:$E$52,MATCH($D156,CaseData!$B$46:$B$52,0),MATCH($C156,CaseData!$B$46:$E$46,0))</f>
        <v>375</v>
      </c>
      <c r="I156" s="72">
        <f>INDEX(CaseData!$B$46:$E$52,MATCH($D156,CaseData!$B$46:$B$52,0),MATCH($C156,CaseData!$B$46:$E$46,0))</f>
        <v>375</v>
      </c>
      <c r="J156" s="72">
        <f>INDEX(CaseData!$B$46:$E$52,MATCH($D156,CaseData!$B$46:$B$52,0),MATCH($C156,CaseData!$B$46:$E$46,0))</f>
        <v>375</v>
      </c>
      <c r="K156" s="72">
        <f>INDEX(CaseData!$B$46:$E$52,MATCH($D156,CaseData!$B$46:$B$52,0),MATCH($C156,CaseData!$B$46:$E$46,0))</f>
        <v>375</v>
      </c>
      <c r="L156" s="72">
        <f>INDEX(CaseData!$B$46:$E$52,MATCH($D156,CaseData!$B$46:$B$52,0),MATCH($C156,CaseData!$B$46:$E$46,0))</f>
        <v>375</v>
      </c>
      <c r="M156" s="72">
        <f>INDEX(CaseData!$B$46:$E$52,MATCH($D156,CaseData!$B$46:$B$52,0),MATCH($C156,CaseData!$B$46:$E$46,0))</f>
        <v>375</v>
      </c>
      <c r="N156" s="72">
        <f>INDEX(CaseData!$B$46:$E$52,MATCH($D156,CaseData!$B$46:$B$52,0),MATCH($C156,CaseData!$B$46:$E$46,0))</f>
        <v>375</v>
      </c>
      <c r="O156" s="72">
        <f>INDEX(CaseData!$B$46:$E$52,MATCH($D156,CaseData!$B$46:$B$52,0),MATCH($C156,CaseData!$B$46:$E$46,0))</f>
        <v>375</v>
      </c>
      <c r="P156" s="72">
        <f>INDEX(CaseData!$B$46:$E$52,MATCH($D156,CaseData!$B$46:$B$52,0),MATCH($C156,CaseData!$B$46:$E$46,0))</f>
        <v>375</v>
      </c>
      <c r="Q156" s="72">
        <f>INDEX(CaseData!$B$46:$E$52,MATCH($D156,CaseData!$B$46:$B$52,0),MATCH($C156,CaseData!$B$46:$E$46,0))</f>
        <v>375</v>
      </c>
      <c r="R156" s="72">
        <f>INDEX(CaseData!$B$46:$E$52,MATCH($D156,CaseData!$B$46:$B$52,0),MATCH($C156,CaseData!$B$46:$E$46,0))</f>
        <v>375</v>
      </c>
      <c r="S156" s="72">
        <f>INDEX(CaseData!$B$46:$E$52,MATCH($D156,CaseData!$B$46:$B$52,0),MATCH($C156,CaseData!$B$46:$E$46,0))</f>
        <v>375</v>
      </c>
      <c r="T156" s="72">
        <f>INDEX(CaseData!$B$46:$E$52,MATCH($D156,CaseData!$B$46:$B$52,0),MATCH($C156,CaseData!$B$46:$E$46,0))</f>
        <v>375</v>
      </c>
      <c r="U156" s="72">
        <f>INDEX(CaseData!$B$46:$E$52,MATCH($D156,CaseData!$B$46:$B$52,0),MATCH($C156,CaseData!$B$46:$E$46,0))</f>
        <v>375</v>
      </c>
      <c r="V156" s="72">
        <f>INDEX(CaseData!$B$46:$E$52,MATCH($D156,CaseData!$B$46:$B$52,0),MATCH($C156,CaseData!$B$46:$E$46,0))</f>
        <v>375</v>
      </c>
      <c r="W156" s="72">
        <f>INDEX(CaseData!$B$46:$E$52,MATCH($D156,CaseData!$B$46:$B$52,0),MATCH($C156,CaseData!$B$46:$E$46,0))</f>
        <v>375</v>
      </c>
      <c r="X156" s="72">
        <f>INDEX(CaseData!$B$46:$E$52,MATCH($D156,CaseData!$B$46:$B$52,0),MATCH($C156,CaseData!$B$46:$E$46,0))</f>
        <v>375</v>
      </c>
      <c r="Y156" s="72">
        <f>INDEX(CaseData!$B$46:$E$52,MATCH($D156,CaseData!$B$46:$B$52,0),MATCH($C156,CaseData!$B$46:$E$46,0))</f>
        <v>375</v>
      </c>
      <c r="Z156" s="72">
        <f>INDEX(CaseData!$B$46:$E$52,MATCH($D156,CaseData!$B$46:$B$52,0),MATCH($C156,CaseData!$B$46:$E$46,0))</f>
        <v>375</v>
      </c>
      <c r="AA156" s="72">
        <f>INDEX(CaseData!$B$46:$E$52,MATCH($D156,CaseData!$B$46:$B$52,0),MATCH($C156,CaseData!$B$46:$E$46,0))</f>
        <v>375</v>
      </c>
      <c r="AB156" s="72">
        <f>INDEX(CaseData!$B$46:$E$52,MATCH($D156,CaseData!$B$46:$B$52,0),MATCH($C156,CaseData!$B$46:$E$46,0))</f>
        <v>375</v>
      </c>
      <c r="AC156" s="72">
        <f>INDEX(CaseData!$B$46:$E$52,MATCH($D156,CaseData!$B$46:$B$52,0),MATCH($C156,CaseData!$B$46:$E$46,0))</f>
        <v>375</v>
      </c>
      <c r="AD156" s="72">
        <f>INDEX(CaseData!$B$46:$E$52,MATCH($D156,CaseData!$B$46:$B$52,0),MATCH($C156,CaseData!$B$46:$E$46,0))</f>
        <v>375</v>
      </c>
      <c r="AE156" s="72">
        <f>INDEX(CaseData!$B$46:$E$52,MATCH($D156,CaseData!$B$46:$B$52,0),MATCH($C156,CaseData!$B$46:$E$46,0))</f>
        <v>375</v>
      </c>
      <c r="AF156" s="72">
        <f>INDEX(CaseData!$B$46:$E$52,MATCH($D156,CaseData!$B$46:$B$52,0),MATCH($C156,CaseData!$B$46:$E$46,0))</f>
        <v>375</v>
      </c>
      <c r="AG156" s="72">
        <f>INDEX(CaseData!$B$46:$E$52,MATCH($D156,CaseData!$B$46:$B$52,0),MATCH($C156,CaseData!$B$46:$E$46,0))</f>
        <v>375</v>
      </c>
      <c r="AH156" s="72">
        <f>INDEX(CaseData!$B$46:$E$52,MATCH($D156,CaseData!$B$46:$B$52,0),MATCH($C156,CaseData!$B$46:$E$46,0))</f>
        <v>375</v>
      </c>
      <c r="AI156" s="72">
        <f>INDEX(CaseData!$B$46:$E$52,MATCH($D156,CaseData!$B$46:$B$52,0),MATCH($C156,CaseData!$B$46:$E$46,0))</f>
        <v>375</v>
      </c>
      <c r="AJ156" s="72">
        <f>INDEX(CaseData!$B$46:$E$52,MATCH($D156,CaseData!$B$46:$B$52,0),MATCH($C156,CaseData!$B$46:$E$46,0))</f>
        <v>375</v>
      </c>
      <c r="AK156" s="72">
        <f>INDEX(CaseData!$B$46:$E$52,MATCH($D156,CaseData!$B$46:$B$52,0),MATCH($C156,CaseData!$B$46:$E$46,0))</f>
        <v>375</v>
      </c>
      <c r="AL156" s="72">
        <f>INDEX(CaseData!$B$46:$E$52,MATCH($D156,CaseData!$B$46:$B$52,0),MATCH($C156,CaseData!$B$46:$E$46,0))</f>
        <v>375</v>
      </c>
      <c r="AM156" s="72">
        <f>INDEX(CaseData!$B$46:$E$52,MATCH($D156,CaseData!$B$46:$B$52,0),MATCH($C156,CaseData!$B$46:$E$46,0))</f>
        <v>375</v>
      </c>
      <c r="AN156" s="72">
        <f>INDEX(CaseData!$B$46:$E$52,MATCH($D156,CaseData!$B$46:$B$52,0),MATCH($C156,CaseData!$B$46:$E$46,0))</f>
        <v>375</v>
      </c>
      <c r="AO156" s="72">
        <f>INDEX(CaseData!$B$46:$E$52,MATCH($D156,CaseData!$B$46:$B$52,0),MATCH($C156,CaseData!$B$46:$E$46,0))</f>
        <v>375</v>
      </c>
      <c r="AP156" s="72">
        <f>INDEX(CaseData!$B$46:$E$52,MATCH($D156,CaseData!$B$46:$B$52,0),MATCH($C156,CaseData!$B$46:$E$46,0))</f>
        <v>375</v>
      </c>
      <c r="AQ156" s="72">
        <f>INDEX(CaseData!$B$46:$E$52,MATCH($D156,CaseData!$B$46:$B$52,0),MATCH($C156,CaseData!$B$46:$E$46,0))</f>
        <v>375</v>
      </c>
      <c r="AR156" s="72">
        <f>INDEX(CaseData!$B$46:$E$52,MATCH($D156,CaseData!$B$46:$B$52,0),MATCH($C156,CaseData!$B$46:$E$46,0))</f>
        <v>375</v>
      </c>
      <c r="AS156" s="72">
        <f>INDEX(CaseData!$B$46:$E$52,MATCH($D156,CaseData!$B$46:$B$52,0),MATCH($C156,CaseData!$B$46:$E$46,0))</f>
        <v>375</v>
      </c>
      <c r="AT156" s="72">
        <f>INDEX(CaseData!$B$46:$E$52,MATCH($D156,CaseData!$B$46:$B$52,0),MATCH($C156,CaseData!$B$46:$E$46,0))</f>
        <v>375</v>
      </c>
      <c r="AU156" s="72">
        <f>INDEX(CaseData!$B$46:$E$52,MATCH($D156,CaseData!$B$46:$B$52,0),MATCH($C156,CaseData!$B$46:$E$46,0))</f>
        <v>375</v>
      </c>
      <c r="AV156" s="72">
        <f>INDEX(CaseData!$B$46:$E$52,MATCH($D156,CaseData!$B$46:$B$52,0),MATCH($C156,CaseData!$B$46:$E$46,0))</f>
        <v>375</v>
      </c>
      <c r="AW156" s="72">
        <f>INDEX(CaseData!$B$46:$E$52,MATCH($D156,CaseData!$B$46:$B$52,0),MATCH($C156,CaseData!$B$46:$E$46,0))</f>
        <v>375</v>
      </c>
      <c r="AX156" s="72">
        <f>INDEX(CaseData!$B$46:$E$52,MATCH($D156,CaseData!$B$46:$B$52,0),MATCH($C156,CaseData!$B$46:$E$46,0))</f>
        <v>375</v>
      </c>
      <c r="AY156" s="72">
        <f>INDEX(CaseData!$B$46:$E$52,MATCH($D156,CaseData!$B$46:$B$52,0),MATCH($C156,CaseData!$B$46:$E$46,0))</f>
        <v>375</v>
      </c>
      <c r="AZ156" s="72">
        <f>INDEX(CaseData!$B$46:$E$52,MATCH($D156,CaseData!$B$46:$B$52,0),MATCH($C156,CaseData!$B$46:$E$46,0))</f>
        <v>375</v>
      </c>
      <c r="BA156" s="72">
        <f>INDEX(CaseData!$B$46:$E$52,MATCH($D156,CaseData!$B$46:$B$52,0),MATCH($C156,CaseData!$B$46:$E$46,0))</f>
        <v>375</v>
      </c>
      <c r="BB156" s="72">
        <f>INDEX(CaseData!$B$46:$E$52,MATCH($D156,CaseData!$B$46:$B$52,0),MATCH($C156,CaseData!$B$46:$E$46,0))</f>
        <v>375</v>
      </c>
      <c r="BC156" s="72">
        <f>INDEX(CaseData!$B$46:$E$52,MATCH($D156,CaseData!$B$46:$B$52,0),MATCH($C156,CaseData!$B$46:$E$46,0))</f>
        <v>375</v>
      </c>
      <c r="BD156" s="72">
        <f>INDEX(CaseData!$B$46:$E$52,MATCH($D156,CaseData!$B$46:$B$52,0),MATCH($C156,CaseData!$B$46:$E$46,0))</f>
        <v>375</v>
      </c>
      <c r="BE156" s="72">
        <f>INDEX(CaseData!$B$46:$E$52,MATCH($D156,CaseData!$B$46:$B$52,0),MATCH($C156,CaseData!$B$46:$E$46,0))</f>
        <v>375</v>
      </c>
      <c r="BF156" s="72">
        <f>INDEX(CaseData!$B$46:$E$52,MATCH($D156,CaseData!$B$46:$B$52,0),MATCH($C156,CaseData!$B$46:$E$46,0))</f>
        <v>375</v>
      </c>
      <c r="BG156" s="72">
        <f>INDEX(CaseData!$B$46:$E$52,MATCH($D156,CaseData!$B$46:$B$52,0),MATCH($C156,CaseData!$B$46:$E$46,0))</f>
        <v>375</v>
      </c>
      <c r="BH156" s="72">
        <f>INDEX(CaseData!$B$46:$E$52,MATCH($D156,CaseData!$B$46:$B$52,0),MATCH($C156,CaseData!$B$46:$E$46,0))</f>
        <v>375</v>
      </c>
      <c r="BI156" s="72">
        <f>INDEX(CaseData!$B$46:$E$52,MATCH($D156,CaseData!$B$46:$B$52,0),MATCH($C156,CaseData!$B$46:$E$46,0))</f>
        <v>375</v>
      </c>
      <c r="BJ156" s="72">
        <f>INDEX(CaseData!$B$46:$E$52,MATCH($D156,CaseData!$B$46:$B$52,0),MATCH($C156,CaseData!$B$46:$E$46,0))</f>
        <v>375</v>
      </c>
      <c r="BK156" s="72">
        <f>INDEX(CaseData!$B$46:$E$52,MATCH($D156,CaseData!$B$46:$B$52,0),MATCH($C156,CaseData!$B$46:$E$46,0))</f>
        <v>375</v>
      </c>
      <c r="BL156" s="72">
        <f>INDEX(CaseData!$B$46:$E$52,MATCH($D156,CaseData!$B$46:$B$52,0),MATCH($C156,CaseData!$B$46:$E$46,0))</f>
        <v>375</v>
      </c>
      <c r="BM156" s="72">
        <f>INDEX(CaseData!$B$46:$E$52,MATCH($D156,CaseData!$B$46:$B$52,0),MATCH($C156,CaseData!$B$46:$E$46,0))</f>
        <v>375</v>
      </c>
      <c r="BN156" s="72">
        <f>INDEX(CaseData!$B$46:$E$52,MATCH($D156,CaseData!$B$46:$B$52,0),MATCH($C156,CaseData!$B$46:$E$46,0))</f>
        <v>375</v>
      </c>
    </row>
    <row r="157" spans="2:66" ht="13.8">
      <c r="B157" s="37" t="str">
        <f t="shared" si="74"/>
        <v>New York</v>
      </c>
      <c r="C157" t="str">
        <f t="shared" si="70"/>
        <v>Accessories</v>
      </c>
      <c r="D157" s="84" t="str">
        <f>INDEX(CaseData!$E$10:$E$17,MATCH(B157,CaseData!$C$10:$C$17,0))</f>
        <v>USD</v>
      </c>
      <c r="E157" s="85"/>
      <c r="G157" s="72">
        <f>INDEX(CaseData!$B$46:$E$52,MATCH($D157,CaseData!$B$46:$B$52,0),MATCH($C157,CaseData!$B$46:$E$46,0))</f>
        <v>150</v>
      </c>
      <c r="H157" s="72">
        <f>INDEX(CaseData!$B$46:$E$52,MATCH($D157,CaseData!$B$46:$B$52,0),MATCH($C157,CaseData!$B$46:$E$46,0))</f>
        <v>150</v>
      </c>
      <c r="I157" s="72">
        <f>INDEX(CaseData!$B$46:$E$52,MATCH($D157,CaseData!$B$46:$B$52,0),MATCH($C157,CaseData!$B$46:$E$46,0))</f>
        <v>150</v>
      </c>
      <c r="J157" s="72">
        <f>INDEX(CaseData!$B$46:$E$52,MATCH($D157,CaseData!$B$46:$B$52,0),MATCH($C157,CaseData!$B$46:$E$46,0))</f>
        <v>150</v>
      </c>
      <c r="K157" s="72">
        <f>INDEX(CaseData!$B$46:$E$52,MATCH($D157,CaseData!$B$46:$B$52,0),MATCH($C157,CaseData!$B$46:$E$46,0))</f>
        <v>150</v>
      </c>
      <c r="L157" s="72">
        <f>INDEX(CaseData!$B$46:$E$52,MATCH($D157,CaseData!$B$46:$B$52,0),MATCH($C157,CaseData!$B$46:$E$46,0))</f>
        <v>150</v>
      </c>
      <c r="M157" s="72">
        <f>INDEX(CaseData!$B$46:$E$52,MATCH($D157,CaseData!$B$46:$B$52,0),MATCH($C157,CaseData!$B$46:$E$46,0))</f>
        <v>150</v>
      </c>
      <c r="N157" s="72">
        <f>INDEX(CaseData!$B$46:$E$52,MATCH($D157,CaseData!$B$46:$B$52,0),MATCH($C157,CaseData!$B$46:$E$46,0))</f>
        <v>150</v>
      </c>
      <c r="O157" s="72">
        <f>INDEX(CaseData!$B$46:$E$52,MATCH($D157,CaseData!$B$46:$B$52,0),MATCH($C157,CaseData!$B$46:$E$46,0))</f>
        <v>150</v>
      </c>
      <c r="P157" s="72">
        <f>INDEX(CaseData!$B$46:$E$52,MATCH($D157,CaseData!$B$46:$B$52,0),MATCH($C157,CaseData!$B$46:$E$46,0))</f>
        <v>150</v>
      </c>
      <c r="Q157" s="72">
        <f>INDEX(CaseData!$B$46:$E$52,MATCH($D157,CaseData!$B$46:$B$52,0),MATCH($C157,CaseData!$B$46:$E$46,0))</f>
        <v>150</v>
      </c>
      <c r="R157" s="72">
        <f>INDEX(CaseData!$B$46:$E$52,MATCH($D157,CaseData!$B$46:$B$52,0),MATCH($C157,CaseData!$B$46:$E$46,0))</f>
        <v>150</v>
      </c>
      <c r="S157" s="72">
        <f>INDEX(CaseData!$B$46:$E$52,MATCH($D157,CaseData!$B$46:$B$52,0),MATCH($C157,CaseData!$B$46:$E$46,0))</f>
        <v>150</v>
      </c>
      <c r="T157" s="72">
        <f>INDEX(CaseData!$B$46:$E$52,MATCH($D157,CaseData!$B$46:$B$52,0),MATCH($C157,CaseData!$B$46:$E$46,0))</f>
        <v>150</v>
      </c>
      <c r="U157" s="72">
        <f>INDEX(CaseData!$B$46:$E$52,MATCH($D157,CaseData!$B$46:$B$52,0),MATCH($C157,CaseData!$B$46:$E$46,0))</f>
        <v>150</v>
      </c>
      <c r="V157" s="72">
        <f>INDEX(CaseData!$B$46:$E$52,MATCH($D157,CaseData!$B$46:$B$52,0),MATCH($C157,CaseData!$B$46:$E$46,0))</f>
        <v>150</v>
      </c>
      <c r="W157" s="72">
        <f>INDEX(CaseData!$B$46:$E$52,MATCH($D157,CaseData!$B$46:$B$52,0),MATCH($C157,CaseData!$B$46:$E$46,0))</f>
        <v>150</v>
      </c>
      <c r="X157" s="72">
        <f>INDEX(CaseData!$B$46:$E$52,MATCH($D157,CaseData!$B$46:$B$52,0),MATCH($C157,CaseData!$B$46:$E$46,0))</f>
        <v>150</v>
      </c>
      <c r="Y157" s="72">
        <f>INDEX(CaseData!$B$46:$E$52,MATCH($D157,CaseData!$B$46:$B$52,0),MATCH($C157,CaseData!$B$46:$E$46,0))</f>
        <v>150</v>
      </c>
      <c r="Z157" s="72">
        <f>INDEX(CaseData!$B$46:$E$52,MATCH($D157,CaseData!$B$46:$B$52,0),MATCH($C157,CaseData!$B$46:$E$46,0))</f>
        <v>150</v>
      </c>
      <c r="AA157" s="72">
        <f>INDEX(CaseData!$B$46:$E$52,MATCH($D157,CaseData!$B$46:$B$52,0),MATCH($C157,CaseData!$B$46:$E$46,0))</f>
        <v>150</v>
      </c>
      <c r="AB157" s="72">
        <f>INDEX(CaseData!$B$46:$E$52,MATCH($D157,CaseData!$B$46:$B$52,0),MATCH($C157,CaseData!$B$46:$E$46,0))</f>
        <v>150</v>
      </c>
      <c r="AC157" s="72">
        <f>INDEX(CaseData!$B$46:$E$52,MATCH($D157,CaseData!$B$46:$B$52,0),MATCH($C157,CaseData!$B$46:$E$46,0))</f>
        <v>150</v>
      </c>
      <c r="AD157" s="72">
        <f>INDEX(CaseData!$B$46:$E$52,MATCH($D157,CaseData!$B$46:$B$52,0),MATCH($C157,CaseData!$B$46:$E$46,0))</f>
        <v>150</v>
      </c>
      <c r="AE157" s="72">
        <f>INDEX(CaseData!$B$46:$E$52,MATCH($D157,CaseData!$B$46:$B$52,0),MATCH($C157,CaseData!$B$46:$E$46,0))</f>
        <v>150</v>
      </c>
      <c r="AF157" s="72">
        <f>INDEX(CaseData!$B$46:$E$52,MATCH($D157,CaseData!$B$46:$B$52,0),MATCH($C157,CaseData!$B$46:$E$46,0))</f>
        <v>150</v>
      </c>
      <c r="AG157" s="72">
        <f>INDEX(CaseData!$B$46:$E$52,MATCH($D157,CaseData!$B$46:$B$52,0),MATCH($C157,CaseData!$B$46:$E$46,0))</f>
        <v>150</v>
      </c>
      <c r="AH157" s="72">
        <f>INDEX(CaseData!$B$46:$E$52,MATCH($D157,CaseData!$B$46:$B$52,0),MATCH($C157,CaseData!$B$46:$E$46,0))</f>
        <v>150</v>
      </c>
      <c r="AI157" s="72">
        <f>INDEX(CaseData!$B$46:$E$52,MATCH($D157,CaseData!$B$46:$B$52,0),MATCH($C157,CaseData!$B$46:$E$46,0))</f>
        <v>150</v>
      </c>
      <c r="AJ157" s="72">
        <f>INDEX(CaseData!$B$46:$E$52,MATCH($D157,CaseData!$B$46:$B$52,0),MATCH($C157,CaseData!$B$46:$E$46,0))</f>
        <v>150</v>
      </c>
      <c r="AK157" s="72">
        <f>INDEX(CaseData!$B$46:$E$52,MATCH($D157,CaseData!$B$46:$B$52,0),MATCH($C157,CaseData!$B$46:$E$46,0))</f>
        <v>150</v>
      </c>
      <c r="AL157" s="72">
        <f>INDEX(CaseData!$B$46:$E$52,MATCH($D157,CaseData!$B$46:$B$52,0),MATCH($C157,CaseData!$B$46:$E$46,0))</f>
        <v>150</v>
      </c>
      <c r="AM157" s="72">
        <f>INDEX(CaseData!$B$46:$E$52,MATCH($D157,CaseData!$B$46:$B$52,0),MATCH($C157,CaseData!$B$46:$E$46,0))</f>
        <v>150</v>
      </c>
      <c r="AN157" s="72">
        <f>INDEX(CaseData!$B$46:$E$52,MATCH($D157,CaseData!$B$46:$B$52,0),MATCH($C157,CaseData!$B$46:$E$46,0))</f>
        <v>150</v>
      </c>
      <c r="AO157" s="72">
        <f>INDEX(CaseData!$B$46:$E$52,MATCH($D157,CaseData!$B$46:$B$52,0),MATCH($C157,CaseData!$B$46:$E$46,0))</f>
        <v>150</v>
      </c>
      <c r="AP157" s="72">
        <f>INDEX(CaseData!$B$46:$E$52,MATCH($D157,CaseData!$B$46:$B$52,0),MATCH($C157,CaseData!$B$46:$E$46,0))</f>
        <v>150</v>
      </c>
      <c r="AQ157" s="72">
        <f>INDEX(CaseData!$B$46:$E$52,MATCH($D157,CaseData!$B$46:$B$52,0),MATCH($C157,CaseData!$B$46:$E$46,0))</f>
        <v>150</v>
      </c>
      <c r="AR157" s="72">
        <f>INDEX(CaseData!$B$46:$E$52,MATCH($D157,CaseData!$B$46:$B$52,0),MATCH($C157,CaseData!$B$46:$E$46,0))</f>
        <v>150</v>
      </c>
      <c r="AS157" s="72">
        <f>INDEX(CaseData!$B$46:$E$52,MATCH($D157,CaseData!$B$46:$B$52,0),MATCH($C157,CaseData!$B$46:$E$46,0))</f>
        <v>150</v>
      </c>
      <c r="AT157" s="72">
        <f>INDEX(CaseData!$B$46:$E$52,MATCH($D157,CaseData!$B$46:$B$52,0),MATCH($C157,CaseData!$B$46:$E$46,0))</f>
        <v>150</v>
      </c>
      <c r="AU157" s="72">
        <f>INDEX(CaseData!$B$46:$E$52,MATCH($D157,CaseData!$B$46:$B$52,0),MATCH($C157,CaseData!$B$46:$E$46,0))</f>
        <v>150</v>
      </c>
      <c r="AV157" s="72">
        <f>INDEX(CaseData!$B$46:$E$52,MATCH($D157,CaseData!$B$46:$B$52,0),MATCH($C157,CaseData!$B$46:$E$46,0))</f>
        <v>150</v>
      </c>
      <c r="AW157" s="72">
        <f>INDEX(CaseData!$B$46:$E$52,MATCH($D157,CaseData!$B$46:$B$52,0),MATCH($C157,CaseData!$B$46:$E$46,0))</f>
        <v>150</v>
      </c>
      <c r="AX157" s="72">
        <f>INDEX(CaseData!$B$46:$E$52,MATCH($D157,CaseData!$B$46:$B$52,0),MATCH($C157,CaseData!$B$46:$E$46,0))</f>
        <v>150</v>
      </c>
      <c r="AY157" s="72">
        <f>INDEX(CaseData!$B$46:$E$52,MATCH($D157,CaseData!$B$46:$B$52,0),MATCH($C157,CaseData!$B$46:$E$46,0))</f>
        <v>150</v>
      </c>
      <c r="AZ157" s="72">
        <f>INDEX(CaseData!$B$46:$E$52,MATCH($D157,CaseData!$B$46:$B$52,0),MATCH($C157,CaseData!$B$46:$E$46,0))</f>
        <v>150</v>
      </c>
      <c r="BA157" s="72">
        <f>INDEX(CaseData!$B$46:$E$52,MATCH($D157,CaseData!$B$46:$B$52,0),MATCH($C157,CaseData!$B$46:$E$46,0))</f>
        <v>150</v>
      </c>
      <c r="BB157" s="72">
        <f>INDEX(CaseData!$B$46:$E$52,MATCH($D157,CaseData!$B$46:$B$52,0),MATCH($C157,CaseData!$B$46:$E$46,0))</f>
        <v>150</v>
      </c>
      <c r="BC157" s="72">
        <f>INDEX(CaseData!$B$46:$E$52,MATCH($D157,CaseData!$B$46:$B$52,0),MATCH($C157,CaseData!$B$46:$E$46,0))</f>
        <v>150</v>
      </c>
      <c r="BD157" s="72">
        <f>INDEX(CaseData!$B$46:$E$52,MATCH($D157,CaseData!$B$46:$B$52,0),MATCH($C157,CaseData!$B$46:$E$46,0))</f>
        <v>150</v>
      </c>
      <c r="BE157" s="72">
        <f>INDEX(CaseData!$B$46:$E$52,MATCH($D157,CaseData!$B$46:$B$52,0),MATCH($C157,CaseData!$B$46:$E$46,0))</f>
        <v>150</v>
      </c>
      <c r="BF157" s="72">
        <f>INDEX(CaseData!$B$46:$E$52,MATCH($D157,CaseData!$B$46:$B$52,0),MATCH($C157,CaseData!$B$46:$E$46,0))</f>
        <v>150</v>
      </c>
      <c r="BG157" s="72">
        <f>INDEX(CaseData!$B$46:$E$52,MATCH($D157,CaseData!$B$46:$B$52,0),MATCH($C157,CaseData!$B$46:$E$46,0))</f>
        <v>150</v>
      </c>
      <c r="BH157" s="72">
        <f>INDEX(CaseData!$B$46:$E$52,MATCH($D157,CaseData!$B$46:$B$52,0),MATCH($C157,CaseData!$B$46:$E$46,0))</f>
        <v>150</v>
      </c>
      <c r="BI157" s="72">
        <f>INDEX(CaseData!$B$46:$E$52,MATCH($D157,CaseData!$B$46:$B$52,0),MATCH($C157,CaseData!$B$46:$E$46,0))</f>
        <v>150</v>
      </c>
      <c r="BJ157" s="72">
        <f>INDEX(CaseData!$B$46:$E$52,MATCH($D157,CaseData!$B$46:$B$52,0),MATCH($C157,CaseData!$B$46:$E$46,0))</f>
        <v>150</v>
      </c>
      <c r="BK157" s="72">
        <f>INDEX(CaseData!$B$46:$E$52,MATCH($D157,CaseData!$B$46:$B$52,0),MATCH($C157,CaseData!$B$46:$E$46,0))</f>
        <v>150</v>
      </c>
      <c r="BL157" s="72">
        <f>INDEX(CaseData!$B$46:$E$52,MATCH($D157,CaseData!$B$46:$B$52,0),MATCH($C157,CaseData!$B$46:$E$46,0))</f>
        <v>150</v>
      </c>
      <c r="BM157" s="72">
        <f>INDEX(CaseData!$B$46:$E$52,MATCH($D157,CaseData!$B$46:$B$52,0),MATCH($C157,CaseData!$B$46:$E$46,0))</f>
        <v>150</v>
      </c>
      <c r="BN157" s="72">
        <f>INDEX(CaseData!$B$46:$E$52,MATCH($D157,CaseData!$B$46:$B$52,0),MATCH($C157,CaseData!$B$46:$E$46,0))</f>
        <v>150</v>
      </c>
    </row>
    <row r="158" spans="2:66" ht="13.8">
      <c r="B158" s="37" t="str">
        <f>CaseData!$B$33</f>
        <v>Montreal</v>
      </c>
      <c r="C158" t="str">
        <f t="shared" si="70"/>
        <v>Women's</v>
      </c>
      <c r="D158" s="84" t="str">
        <f>INDEX(CaseData!$E$10:$E$17,MATCH(B158,CaseData!$C$10:$C$17,0))</f>
        <v>CAD</v>
      </c>
      <c r="E158" s="85"/>
      <c r="G158" s="72">
        <f>INDEX(CaseData!$B$46:$E$52,MATCH($D158,CaseData!$B$46:$B$52,0),MATCH($C158,CaseData!$B$46:$E$46,0))</f>
        <v>700</v>
      </c>
      <c r="H158" s="72">
        <f>INDEX(CaseData!$B$46:$E$52,MATCH($D158,CaseData!$B$46:$B$52,0),MATCH($C158,CaseData!$B$46:$E$46,0))</f>
        <v>700</v>
      </c>
      <c r="I158" s="72">
        <f>INDEX(CaseData!$B$46:$E$52,MATCH($D158,CaseData!$B$46:$B$52,0),MATCH($C158,CaseData!$B$46:$E$46,0))</f>
        <v>700</v>
      </c>
      <c r="J158" s="72">
        <f>INDEX(CaseData!$B$46:$E$52,MATCH($D158,CaseData!$B$46:$B$52,0),MATCH($C158,CaseData!$B$46:$E$46,0))</f>
        <v>700</v>
      </c>
      <c r="K158" s="72">
        <f>INDEX(CaseData!$B$46:$E$52,MATCH($D158,CaseData!$B$46:$B$52,0),MATCH($C158,CaseData!$B$46:$E$46,0))</f>
        <v>700</v>
      </c>
      <c r="L158" s="72">
        <f>INDEX(CaseData!$B$46:$E$52,MATCH($D158,CaseData!$B$46:$B$52,0),MATCH($C158,CaseData!$B$46:$E$46,0))</f>
        <v>700</v>
      </c>
      <c r="M158" s="72">
        <f>INDEX(CaseData!$B$46:$E$52,MATCH($D158,CaseData!$B$46:$B$52,0),MATCH($C158,CaseData!$B$46:$E$46,0))</f>
        <v>700</v>
      </c>
      <c r="N158" s="72">
        <f>INDEX(CaseData!$B$46:$E$52,MATCH($D158,CaseData!$B$46:$B$52,0),MATCH($C158,CaseData!$B$46:$E$46,0))</f>
        <v>700</v>
      </c>
      <c r="O158" s="72">
        <f>INDEX(CaseData!$B$46:$E$52,MATCH($D158,CaseData!$B$46:$B$52,0),MATCH($C158,CaseData!$B$46:$E$46,0))</f>
        <v>700</v>
      </c>
      <c r="P158" s="72">
        <f>INDEX(CaseData!$B$46:$E$52,MATCH($D158,CaseData!$B$46:$B$52,0),MATCH($C158,CaseData!$B$46:$E$46,0))</f>
        <v>700</v>
      </c>
      <c r="Q158" s="72">
        <f>INDEX(CaseData!$B$46:$E$52,MATCH($D158,CaseData!$B$46:$B$52,0),MATCH($C158,CaseData!$B$46:$E$46,0))</f>
        <v>700</v>
      </c>
      <c r="R158" s="72">
        <f>INDEX(CaseData!$B$46:$E$52,MATCH($D158,CaseData!$B$46:$B$52,0),MATCH($C158,CaseData!$B$46:$E$46,0))</f>
        <v>700</v>
      </c>
      <c r="S158" s="72">
        <f>INDEX(CaseData!$B$46:$E$52,MATCH($D158,CaseData!$B$46:$B$52,0),MATCH($C158,CaseData!$B$46:$E$46,0))</f>
        <v>700</v>
      </c>
      <c r="T158" s="72">
        <f>INDEX(CaseData!$B$46:$E$52,MATCH($D158,CaseData!$B$46:$B$52,0),MATCH($C158,CaseData!$B$46:$E$46,0))</f>
        <v>700</v>
      </c>
      <c r="U158" s="72">
        <f>INDEX(CaseData!$B$46:$E$52,MATCH($D158,CaseData!$B$46:$B$52,0),MATCH($C158,CaseData!$B$46:$E$46,0))</f>
        <v>700</v>
      </c>
      <c r="V158" s="72">
        <f>INDEX(CaseData!$B$46:$E$52,MATCH($D158,CaseData!$B$46:$B$52,0),MATCH($C158,CaseData!$B$46:$E$46,0))</f>
        <v>700</v>
      </c>
      <c r="W158" s="72">
        <f>INDEX(CaseData!$B$46:$E$52,MATCH($D158,CaseData!$B$46:$B$52,0),MATCH($C158,CaseData!$B$46:$E$46,0))</f>
        <v>700</v>
      </c>
      <c r="X158" s="72">
        <f>INDEX(CaseData!$B$46:$E$52,MATCH($D158,CaseData!$B$46:$B$52,0),MATCH($C158,CaseData!$B$46:$E$46,0))</f>
        <v>700</v>
      </c>
      <c r="Y158" s="72">
        <f>INDEX(CaseData!$B$46:$E$52,MATCH($D158,CaseData!$B$46:$B$52,0),MATCH($C158,CaseData!$B$46:$E$46,0))</f>
        <v>700</v>
      </c>
      <c r="Z158" s="72">
        <f>INDEX(CaseData!$B$46:$E$52,MATCH($D158,CaseData!$B$46:$B$52,0),MATCH($C158,CaseData!$B$46:$E$46,0))</f>
        <v>700</v>
      </c>
      <c r="AA158" s="72">
        <f>INDEX(CaseData!$B$46:$E$52,MATCH($D158,CaseData!$B$46:$B$52,0),MATCH($C158,CaseData!$B$46:$E$46,0))</f>
        <v>700</v>
      </c>
      <c r="AB158" s="72">
        <f>INDEX(CaseData!$B$46:$E$52,MATCH($D158,CaseData!$B$46:$B$52,0),MATCH($C158,CaseData!$B$46:$E$46,0))</f>
        <v>700</v>
      </c>
      <c r="AC158" s="72">
        <f>INDEX(CaseData!$B$46:$E$52,MATCH($D158,CaseData!$B$46:$B$52,0),MATCH($C158,CaseData!$B$46:$E$46,0))</f>
        <v>700</v>
      </c>
      <c r="AD158" s="72">
        <f>INDEX(CaseData!$B$46:$E$52,MATCH($D158,CaseData!$B$46:$B$52,0),MATCH($C158,CaseData!$B$46:$E$46,0))</f>
        <v>700</v>
      </c>
      <c r="AE158" s="72">
        <f>INDEX(CaseData!$B$46:$E$52,MATCH($D158,CaseData!$B$46:$B$52,0),MATCH($C158,CaseData!$B$46:$E$46,0))</f>
        <v>700</v>
      </c>
      <c r="AF158" s="72">
        <f>INDEX(CaseData!$B$46:$E$52,MATCH($D158,CaseData!$B$46:$B$52,0),MATCH($C158,CaseData!$B$46:$E$46,0))</f>
        <v>700</v>
      </c>
      <c r="AG158" s="72">
        <f>INDEX(CaseData!$B$46:$E$52,MATCH($D158,CaseData!$B$46:$B$52,0),MATCH($C158,CaseData!$B$46:$E$46,0))</f>
        <v>700</v>
      </c>
      <c r="AH158" s="72">
        <f>INDEX(CaseData!$B$46:$E$52,MATCH($D158,CaseData!$B$46:$B$52,0),MATCH($C158,CaseData!$B$46:$E$46,0))</f>
        <v>700</v>
      </c>
      <c r="AI158" s="72">
        <f>INDEX(CaseData!$B$46:$E$52,MATCH($D158,CaseData!$B$46:$B$52,0),MATCH($C158,CaseData!$B$46:$E$46,0))</f>
        <v>700</v>
      </c>
      <c r="AJ158" s="72">
        <f>INDEX(CaseData!$B$46:$E$52,MATCH($D158,CaseData!$B$46:$B$52,0),MATCH($C158,CaseData!$B$46:$E$46,0))</f>
        <v>700</v>
      </c>
      <c r="AK158" s="72">
        <f>INDEX(CaseData!$B$46:$E$52,MATCH($D158,CaseData!$B$46:$B$52,0),MATCH($C158,CaseData!$B$46:$E$46,0))</f>
        <v>700</v>
      </c>
      <c r="AL158" s="72">
        <f>INDEX(CaseData!$B$46:$E$52,MATCH($D158,CaseData!$B$46:$B$52,0),MATCH($C158,CaseData!$B$46:$E$46,0))</f>
        <v>700</v>
      </c>
      <c r="AM158" s="72">
        <f>INDEX(CaseData!$B$46:$E$52,MATCH($D158,CaseData!$B$46:$B$52,0),MATCH($C158,CaseData!$B$46:$E$46,0))</f>
        <v>700</v>
      </c>
      <c r="AN158" s="72">
        <f>INDEX(CaseData!$B$46:$E$52,MATCH($D158,CaseData!$B$46:$B$52,0),MATCH($C158,CaseData!$B$46:$E$46,0))</f>
        <v>700</v>
      </c>
      <c r="AO158" s="72">
        <f>INDEX(CaseData!$B$46:$E$52,MATCH($D158,CaseData!$B$46:$B$52,0),MATCH($C158,CaseData!$B$46:$E$46,0))</f>
        <v>700</v>
      </c>
      <c r="AP158" s="72">
        <f>INDEX(CaseData!$B$46:$E$52,MATCH($D158,CaseData!$B$46:$B$52,0),MATCH($C158,CaseData!$B$46:$E$46,0))</f>
        <v>700</v>
      </c>
      <c r="AQ158" s="72">
        <f>INDEX(CaseData!$B$46:$E$52,MATCH($D158,CaseData!$B$46:$B$52,0),MATCH($C158,CaseData!$B$46:$E$46,0))</f>
        <v>700</v>
      </c>
      <c r="AR158" s="72">
        <f>INDEX(CaseData!$B$46:$E$52,MATCH($D158,CaseData!$B$46:$B$52,0),MATCH($C158,CaseData!$B$46:$E$46,0))</f>
        <v>700</v>
      </c>
      <c r="AS158" s="72">
        <f>INDEX(CaseData!$B$46:$E$52,MATCH($D158,CaseData!$B$46:$B$52,0),MATCH($C158,CaseData!$B$46:$E$46,0))</f>
        <v>700</v>
      </c>
      <c r="AT158" s="72">
        <f>INDEX(CaseData!$B$46:$E$52,MATCH($D158,CaseData!$B$46:$B$52,0),MATCH($C158,CaseData!$B$46:$E$46,0))</f>
        <v>700</v>
      </c>
      <c r="AU158" s="72">
        <f>INDEX(CaseData!$B$46:$E$52,MATCH($D158,CaseData!$B$46:$B$52,0),MATCH($C158,CaseData!$B$46:$E$46,0))</f>
        <v>700</v>
      </c>
      <c r="AV158" s="72">
        <f>INDEX(CaseData!$B$46:$E$52,MATCH($D158,CaseData!$B$46:$B$52,0),MATCH($C158,CaseData!$B$46:$E$46,0))</f>
        <v>700</v>
      </c>
      <c r="AW158" s="72">
        <f>INDEX(CaseData!$B$46:$E$52,MATCH($D158,CaseData!$B$46:$B$52,0),MATCH($C158,CaseData!$B$46:$E$46,0))</f>
        <v>700</v>
      </c>
      <c r="AX158" s="72">
        <f>INDEX(CaseData!$B$46:$E$52,MATCH($D158,CaseData!$B$46:$B$52,0),MATCH($C158,CaseData!$B$46:$E$46,0))</f>
        <v>700</v>
      </c>
      <c r="AY158" s="72">
        <f>INDEX(CaseData!$B$46:$E$52,MATCH($D158,CaseData!$B$46:$B$52,0),MATCH($C158,CaseData!$B$46:$E$46,0))</f>
        <v>700</v>
      </c>
      <c r="AZ158" s="72">
        <f>INDEX(CaseData!$B$46:$E$52,MATCH($D158,CaseData!$B$46:$B$52,0),MATCH($C158,CaseData!$B$46:$E$46,0))</f>
        <v>700</v>
      </c>
      <c r="BA158" s="72">
        <f>INDEX(CaseData!$B$46:$E$52,MATCH($D158,CaseData!$B$46:$B$52,0),MATCH($C158,CaseData!$B$46:$E$46,0))</f>
        <v>700</v>
      </c>
      <c r="BB158" s="72">
        <f>INDEX(CaseData!$B$46:$E$52,MATCH($D158,CaseData!$B$46:$B$52,0),MATCH($C158,CaseData!$B$46:$E$46,0))</f>
        <v>700</v>
      </c>
      <c r="BC158" s="72">
        <f>INDEX(CaseData!$B$46:$E$52,MATCH($D158,CaseData!$B$46:$B$52,0),MATCH($C158,CaseData!$B$46:$E$46,0))</f>
        <v>700</v>
      </c>
      <c r="BD158" s="72">
        <f>INDEX(CaseData!$B$46:$E$52,MATCH($D158,CaseData!$B$46:$B$52,0),MATCH($C158,CaseData!$B$46:$E$46,0))</f>
        <v>700</v>
      </c>
      <c r="BE158" s="72">
        <f>INDEX(CaseData!$B$46:$E$52,MATCH($D158,CaseData!$B$46:$B$52,0),MATCH($C158,CaseData!$B$46:$E$46,0))</f>
        <v>700</v>
      </c>
      <c r="BF158" s="72">
        <f>INDEX(CaseData!$B$46:$E$52,MATCH($D158,CaseData!$B$46:$B$52,0),MATCH($C158,CaseData!$B$46:$E$46,0))</f>
        <v>700</v>
      </c>
      <c r="BG158" s="72">
        <f>INDEX(CaseData!$B$46:$E$52,MATCH($D158,CaseData!$B$46:$B$52,0),MATCH($C158,CaseData!$B$46:$E$46,0))</f>
        <v>700</v>
      </c>
      <c r="BH158" s="72">
        <f>INDEX(CaseData!$B$46:$E$52,MATCH($D158,CaseData!$B$46:$B$52,0),MATCH($C158,CaseData!$B$46:$E$46,0))</f>
        <v>700</v>
      </c>
      <c r="BI158" s="72">
        <f>INDEX(CaseData!$B$46:$E$52,MATCH($D158,CaseData!$B$46:$B$52,0),MATCH($C158,CaseData!$B$46:$E$46,0))</f>
        <v>700</v>
      </c>
      <c r="BJ158" s="72">
        <f>INDEX(CaseData!$B$46:$E$52,MATCH($D158,CaseData!$B$46:$B$52,0),MATCH($C158,CaseData!$B$46:$E$46,0))</f>
        <v>700</v>
      </c>
      <c r="BK158" s="72">
        <f>INDEX(CaseData!$B$46:$E$52,MATCH($D158,CaseData!$B$46:$B$52,0),MATCH($C158,CaseData!$B$46:$E$46,0))</f>
        <v>700</v>
      </c>
      <c r="BL158" s="72">
        <f>INDEX(CaseData!$B$46:$E$52,MATCH($D158,CaseData!$B$46:$B$52,0),MATCH($C158,CaseData!$B$46:$E$46,0))</f>
        <v>700</v>
      </c>
      <c r="BM158" s="72">
        <f>INDEX(CaseData!$B$46:$E$52,MATCH($D158,CaseData!$B$46:$B$52,0),MATCH($C158,CaseData!$B$46:$E$46,0))</f>
        <v>700</v>
      </c>
      <c r="BN158" s="72">
        <f>INDEX(CaseData!$B$46:$E$52,MATCH($D158,CaseData!$B$46:$B$52,0),MATCH($C158,CaseData!$B$46:$E$46,0))</f>
        <v>700</v>
      </c>
    </row>
    <row r="159" spans="2:66" ht="13.8">
      <c r="B159" s="37" t="str">
        <f>B158</f>
        <v>Montreal</v>
      </c>
      <c r="C159" t="str">
        <f t="shared" si="70"/>
        <v>Men's</v>
      </c>
      <c r="D159" s="84" t="str">
        <f>INDEX(CaseData!$E$10:$E$17,MATCH(B159,CaseData!$C$10:$C$17,0))</f>
        <v>CAD</v>
      </c>
      <c r="E159" s="85"/>
      <c r="G159" s="72">
        <f>INDEX(CaseData!$B$46:$E$52,MATCH($D159,CaseData!$B$46:$B$52,0),MATCH($C159,CaseData!$B$46:$E$46,0))</f>
        <v>550</v>
      </c>
      <c r="H159" s="72">
        <f>INDEX(CaseData!$B$46:$E$52,MATCH($D159,CaseData!$B$46:$B$52,0),MATCH($C159,CaseData!$B$46:$E$46,0))</f>
        <v>550</v>
      </c>
      <c r="I159" s="72">
        <f>INDEX(CaseData!$B$46:$E$52,MATCH($D159,CaseData!$B$46:$B$52,0),MATCH($C159,CaseData!$B$46:$E$46,0))</f>
        <v>550</v>
      </c>
      <c r="J159" s="72">
        <f>INDEX(CaseData!$B$46:$E$52,MATCH($D159,CaseData!$B$46:$B$52,0),MATCH($C159,CaseData!$B$46:$E$46,0))</f>
        <v>550</v>
      </c>
      <c r="K159" s="72">
        <f>INDEX(CaseData!$B$46:$E$52,MATCH($D159,CaseData!$B$46:$B$52,0),MATCH($C159,CaseData!$B$46:$E$46,0))</f>
        <v>550</v>
      </c>
      <c r="L159" s="72">
        <f>INDEX(CaseData!$B$46:$E$52,MATCH($D159,CaseData!$B$46:$B$52,0),MATCH($C159,CaseData!$B$46:$E$46,0))</f>
        <v>550</v>
      </c>
      <c r="M159" s="72">
        <f>INDEX(CaseData!$B$46:$E$52,MATCH($D159,CaseData!$B$46:$B$52,0),MATCH($C159,CaseData!$B$46:$E$46,0))</f>
        <v>550</v>
      </c>
      <c r="N159" s="72">
        <f>INDEX(CaseData!$B$46:$E$52,MATCH($D159,CaseData!$B$46:$B$52,0),MATCH($C159,CaseData!$B$46:$E$46,0))</f>
        <v>550</v>
      </c>
      <c r="O159" s="72">
        <f>INDEX(CaseData!$B$46:$E$52,MATCH($D159,CaseData!$B$46:$B$52,0),MATCH($C159,CaseData!$B$46:$E$46,0))</f>
        <v>550</v>
      </c>
      <c r="P159" s="72">
        <f>INDEX(CaseData!$B$46:$E$52,MATCH($D159,CaseData!$B$46:$B$52,0),MATCH($C159,CaseData!$B$46:$E$46,0))</f>
        <v>550</v>
      </c>
      <c r="Q159" s="72">
        <f>INDEX(CaseData!$B$46:$E$52,MATCH($D159,CaseData!$B$46:$B$52,0),MATCH($C159,CaseData!$B$46:$E$46,0))</f>
        <v>550</v>
      </c>
      <c r="R159" s="72">
        <f>INDEX(CaseData!$B$46:$E$52,MATCH($D159,CaseData!$B$46:$B$52,0),MATCH($C159,CaseData!$B$46:$E$46,0))</f>
        <v>550</v>
      </c>
      <c r="S159" s="72">
        <f>INDEX(CaseData!$B$46:$E$52,MATCH($D159,CaseData!$B$46:$B$52,0),MATCH($C159,CaseData!$B$46:$E$46,0))</f>
        <v>550</v>
      </c>
      <c r="T159" s="72">
        <f>INDEX(CaseData!$B$46:$E$52,MATCH($D159,CaseData!$B$46:$B$52,0),MATCH($C159,CaseData!$B$46:$E$46,0))</f>
        <v>550</v>
      </c>
      <c r="U159" s="72">
        <f>INDEX(CaseData!$B$46:$E$52,MATCH($D159,CaseData!$B$46:$B$52,0),MATCH($C159,CaseData!$B$46:$E$46,0))</f>
        <v>550</v>
      </c>
      <c r="V159" s="72">
        <f>INDEX(CaseData!$B$46:$E$52,MATCH($D159,CaseData!$B$46:$B$52,0),MATCH($C159,CaseData!$B$46:$E$46,0))</f>
        <v>550</v>
      </c>
      <c r="W159" s="72">
        <f>INDEX(CaseData!$B$46:$E$52,MATCH($D159,CaseData!$B$46:$B$52,0),MATCH($C159,CaseData!$B$46:$E$46,0))</f>
        <v>550</v>
      </c>
      <c r="X159" s="72">
        <f>INDEX(CaseData!$B$46:$E$52,MATCH($D159,CaseData!$B$46:$B$52,0),MATCH($C159,CaseData!$B$46:$E$46,0))</f>
        <v>550</v>
      </c>
      <c r="Y159" s="72">
        <f>INDEX(CaseData!$B$46:$E$52,MATCH($D159,CaseData!$B$46:$B$52,0),MATCH($C159,CaseData!$B$46:$E$46,0))</f>
        <v>550</v>
      </c>
      <c r="Z159" s="72">
        <f>INDEX(CaseData!$B$46:$E$52,MATCH($D159,CaseData!$B$46:$B$52,0),MATCH($C159,CaseData!$B$46:$E$46,0))</f>
        <v>550</v>
      </c>
      <c r="AA159" s="72">
        <f>INDEX(CaseData!$B$46:$E$52,MATCH($D159,CaseData!$B$46:$B$52,0),MATCH($C159,CaseData!$B$46:$E$46,0))</f>
        <v>550</v>
      </c>
      <c r="AB159" s="72">
        <f>INDEX(CaseData!$B$46:$E$52,MATCH($D159,CaseData!$B$46:$B$52,0),MATCH($C159,CaseData!$B$46:$E$46,0))</f>
        <v>550</v>
      </c>
      <c r="AC159" s="72">
        <f>INDEX(CaseData!$B$46:$E$52,MATCH($D159,CaseData!$B$46:$B$52,0),MATCH($C159,CaseData!$B$46:$E$46,0))</f>
        <v>550</v>
      </c>
      <c r="AD159" s="72">
        <f>INDEX(CaseData!$B$46:$E$52,MATCH($D159,CaseData!$B$46:$B$52,0),MATCH($C159,CaseData!$B$46:$E$46,0))</f>
        <v>550</v>
      </c>
      <c r="AE159" s="72">
        <f>INDEX(CaseData!$B$46:$E$52,MATCH($D159,CaseData!$B$46:$B$52,0),MATCH($C159,CaseData!$B$46:$E$46,0))</f>
        <v>550</v>
      </c>
      <c r="AF159" s="72">
        <f>INDEX(CaseData!$B$46:$E$52,MATCH($D159,CaseData!$B$46:$B$52,0),MATCH($C159,CaseData!$B$46:$E$46,0))</f>
        <v>550</v>
      </c>
      <c r="AG159" s="72">
        <f>INDEX(CaseData!$B$46:$E$52,MATCH($D159,CaseData!$B$46:$B$52,0),MATCH($C159,CaseData!$B$46:$E$46,0))</f>
        <v>550</v>
      </c>
      <c r="AH159" s="72">
        <f>INDEX(CaseData!$B$46:$E$52,MATCH($D159,CaseData!$B$46:$B$52,0),MATCH($C159,CaseData!$B$46:$E$46,0))</f>
        <v>550</v>
      </c>
      <c r="AI159" s="72">
        <f>INDEX(CaseData!$B$46:$E$52,MATCH($D159,CaseData!$B$46:$B$52,0),MATCH($C159,CaseData!$B$46:$E$46,0))</f>
        <v>550</v>
      </c>
      <c r="AJ159" s="72">
        <f>INDEX(CaseData!$B$46:$E$52,MATCH($D159,CaseData!$B$46:$B$52,0),MATCH($C159,CaseData!$B$46:$E$46,0))</f>
        <v>550</v>
      </c>
      <c r="AK159" s="72">
        <f>INDEX(CaseData!$B$46:$E$52,MATCH($D159,CaseData!$B$46:$B$52,0),MATCH($C159,CaseData!$B$46:$E$46,0))</f>
        <v>550</v>
      </c>
      <c r="AL159" s="72">
        <f>INDEX(CaseData!$B$46:$E$52,MATCH($D159,CaseData!$B$46:$B$52,0),MATCH($C159,CaseData!$B$46:$E$46,0))</f>
        <v>550</v>
      </c>
      <c r="AM159" s="72">
        <f>INDEX(CaseData!$B$46:$E$52,MATCH($D159,CaseData!$B$46:$B$52,0),MATCH($C159,CaseData!$B$46:$E$46,0))</f>
        <v>550</v>
      </c>
      <c r="AN159" s="72">
        <f>INDEX(CaseData!$B$46:$E$52,MATCH($D159,CaseData!$B$46:$B$52,0),MATCH($C159,CaseData!$B$46:$E$46,0))</f>
        <v>550</v>
      </c>
      <c r="AO159" s="72">
        <f>INDEX(CaseData!$B$46:$E$52,MATCH($D159,CaseData!$B$46:$B$52,0),MATCH($C159,CaseData!$B$46:$E$46,0))</f>
        <v>550</v>
      </c>
      <c r="AP159" s="72">
        <f>INDEX(CaseData!$B$46:$E$52,MATCH($D159,CaseData!$B$46:$B$52,0),MATCH($C159,CaseData!$B$46:$E$46,0))</f>
        <v>550</v>
      </c>
      <c r="AQ159" s="72">
        <f>INDEX(CaseData!$B$46:$E$52,MATCH($D159,CaseData!$B$46:$B$52,0),MATCH($C159,CaseData!$B$46:$E$46,0))</f>
        <v>550</v>
      </c>
      <c r="AR159" s="72">
        <f>INDEX(CaseData!$B$46:$E$52,MATCH($D159,CaseData!$B$46:$B$52,0),MATCH($C159,CaseData!$B$46:$E$46,0))</f>
        <v>550</v>
      </c>
      <c r="AS159" s="72">
        <f>INDEX(CaseData!$B$46:$E$52,MATCH($D159,CaseData!$B$46:$B$52,0),MATCH($C159,CaseData!$B$46:$E$46,0))</f>
        <v>550</v>
      </c>
      <c r="AT159" s="72">
        <f>INDEX(CaseData!$B$46:$E$52,MATCH($D159,CaseData!$B$46:$B$52,0),MATCH($C159,CaseData!$B$46:$E$46,0))</f>
        <v>550</v>
      </c>
      <c r="AU159" s="72">
        <f>INDEX(CaseData!$B$46:$E$52,MATCH($D159,CaseData!$B$46:$B$52,0),MATCH($C159,CaseData!$B$46:$E$46,0))</f>
        <v>550</v>
      </c>
      <c r="AV159" s="72">
        <f>INDEX(CaseData!$B$46:$E$52,MATCH($D159,CaseData!$B$46:$B$52,0),MATCH($C159,CaseData!$B$46:$E$46,0))</f>
        <v>550</v>
      </c>
      <c r="AW159" s="72">
        <f>INDEX(CaseData!$B$46:$E$52,MATCH($D159,CaseData!$B$46:$B$52,0),MATCH($C159,CaseData!$B$46:$E$46,0))</f>
        <v>550</v>
      </c>
      <c r="AX159" s="72">
        <f>INDEX(CaseData!$B$46:$E$52,MATCH($D159,CaseData!$B$46:$B$52,0),MATCH($C159,CaseData!$B$46:$E$46,0))</f>
        <v>550</v>
      </c>
      <c r="AY159" s="72">
        <f>INDEX(CaseData!$B$46:$E$52,MATCH($D159,CaseData!$B$46:$B$52,0),MATCH($C159,CaseData!$B$46:$E$46,0))</f>
        <v>550</v>
      </c>
      <c r="AZ159" s="72">
        <f>INDEX(CaseData!$B$46:$E$52,MATCH($D159,CaseData!$B$46:$B$52,0),MATCH($C159,CaseData!$B$46:$E$46,0))</f>
        <v>550</v>
      </c>
      <c r="BA159" s="72">
        <f>INDEX(CaseData!$B$46:$E$52,MATCH($D159,CaseData!$B$46:$B$52,0),MATCH($C159,CaseData!$B$46:$E$46,0))</f>
        <v>550</v>
      </c>
      <c r="BB159" s="72">
        <f>INDEX(CaseData!$B$46:$E$52,MATCH($D159,CaseData!$B$46:$B$52,0),MATCH($C159,CaseData!$B$46:$E$46,0))</f>
        <v>550</v>
      </c>
      <c r="BC159" s="72">
        <f>INDEX(CaseData!$B$46:$E$52,MATCH($D159,CaseData!$B$46:$B$52,0),MATCH($C159,CaseData!$B$46:$E$46,0))</f>
        <v>550</v>
      </c>
      <c r="BD159" s="72">
        <f>INDEX(CaseData!$B$46:$E$52,MATCH($D159,CaseData!$B$46:$B$52,0),MATCH($C159,CaseData!$B$46:$E$46,0))</f>
        <v>550</v>
      </c>
      <c r="BE159" s="72">
        <f>INDEX(CaseData!$B$46:$E$52,MATCH($D159,CaseData!$B$46:$B$52,0),MATCH($C159,CaseData!$B$46:$E$46,0))</f>
        <v>550</v>
      </c>
      <c r="BF159" s="72">
        <f>INDEX(CaseData!$B$46:$E$52,MATCH($D159,CaseData!$B$46:$B$52,0),MATCH($C159,CaseData!$B$46:$E$46,0))</f>
        <v>550</v>
      </c>
      <c r="BG159" s="72">
        <f>INDEX(CaseData!$B$46:$E$52,MATCH($D159,CaseData!$B$46:$B$52,0),MATCH($C159,CaseData!$B$46:$E$46,0))</f>
        <v>550</v>
      </c>
      <c r="BH159" s="72">
        <f>INDEX(CaseData!$B$46:$E$52,MATCH($D159,CaseData!$B$46:$B$52,0),MATCH($C159,CaseData!$B$46:$E$46,0))</f>
        <v>550</v>
      </c>
      <c r="BI159" s="72">
        <f>INDEX(CaseData!$B$46:$E$52,MATCH($D159,CaseData!$B$46:$B$52,0),MATCH($C159,CaseData!$B$46:$E$46,0))</f>
        <v>550</v>
      </c>
      <c r="BJ159" s="72">
        <f>INDEX(CaseData!$B$46:$E$52,MATCH($D159,CaseData!$B$46:$B$52,0),MATCH($C159,CaseData!$B$46:$E$46,0))</f>
        <v>550</v>
      </c>
      <c r="BK159" s="72">
        <f>INDEX(CaseData!$B$46:$E$52,MATCH($D159,CaseData!$B$46:$B$52,0),MATCH($C159,CaseData!$B$46:$E$46,0))</f>
        <v>550</v>
      </c>
      <c r="BL159" s="72">
        <f>INDEX(CaseData!$B$46:$E$52,MATCH($D159,CaseData!$B$46:$B$52,0),MATCH($C159,CaseData!$B$46:$E$46,0))</f>
        <v>550</v>
      </c>
      <c r="BM159" s="72">
        <f>INDEX(CaseData!$B$46:$E$52,MATCH($D159,CaseData!$B$46:$B$52,0),MATCH($C159,CaseData!$B$46:$E$46,0))</f>
        <v>550</v>
      </c>
      <c r="BN159" s="72">
        <f>INDEX(CaseData!$B$46:$E$52,MATCH($D159,CaseData!$B$46:$B$52,0),MATCH($C159,CaseData!$B$46:$E$46,0))</f>
        <v>550</v>
      </c>
    </row>
    <row r="160" spans="2:66" ht="13.8">
      <c r="B160" s="37" t="str">
        <f t="shared" ref="B160" si="75">B159</f>
        <v>Montreal</v>
      </c>
      <c r="C160" t="str">
        <f t="shared" si="70"/>
        <v>Accessories</v>
      </c>
      <c r="D160" s="84" t="str">
        <f>INDEX(CaseData!$E$10:$E$17,MATCH(B160,CaseData!$C$10:$C$17,0))</f>
        <v>CAD</v>
      </c>
      <c r="E160" s="85"/>
      <c r="G160" s="72">
        <f>INDEX(CaseData!$B$46:$E$52,MATCH($D160,CaseData!$B$46:$B$52,0),MATCH($C160,CaseData!$B$46:$E$46,0))</f>
        <v>200</v>
      </c>
      <c r="H160" s="72">
        <f>INDEX(CaseData!$B$46:$E$52,MATCH($D160,CaseData!$B$46:$B$52,0),MATCH($C160,CaseData!$B$46:$E$46,0))</f>
        <v>200</v>
      </c>
      <c r="I160" s="72">
        <f>INDEX(CaseData!$B$46:$E$52,MATCH($D160,CaseData!$B$46:$B$52,0),MATCH($C160,CaseData!$B$46:$E$46,0))</f>
        <v>200</v>
      </c>
      <c r="J160" s="72">
        <f>INDEX(CaseData!$B$46:$E$52,MATCH($D160,CaseData!$B$46:$B$52,0),MATCH($C160,CaseData!$B$46:$E$46,0))</f>
        <v>200</v>
      </c>
      <c r="K160" s="72">
        <f>INDEX(CaseData!$B$46:$E$52,MATCH($D160,CaseData!$B$46:$B$52,0),MATCH($C160,CaseData!$B$46:$E$46,0))</f>
        <v>200</v>
      </c>
      <c r="L160" s="72">
        <f>INDEX(CaseData!$B$46:$E$52,MATCH($D160,CaseData!$B$46:$B$52,0),MATCH($C160,CaseData!$B$46:$E$46,0))</f>
        <v>200</v>
      </c>
      <c r="M160" s="72">
        <f>INDEX(CaseData!$B$46:$E$52,MATCH($D160,CaseData!$B$46:$B$52,0),MATCH($C160,CaseData!$B$46:$E$46,0))</f>
        <v>200</v>
      </c>
      <c r="N160" s="72">
        <f>INDEX(CaseData!$B$46:$E$52,MATCH($D160,CaseData!$B$46:$B$52,0),MATCH($C160,CaseData!$B$46:$E$46,0))</f>
        <v>200</v>
      </c>
      <c r="O160" s="72">
        <f>INDEX(CaseData!$B$46:$E$52,MATCH($D160,CaseData!$B$46:$B$52,0),MATCH($C160,CaseData!$B$46:$E$46,0))</f>
        <v>200</v>
      </c>
      <c r="P160" s="72">
        <f>INDEX(CaseData!$B$46:$E$52,MATCH($D160,CaseData!$B$46:$B$52,0),MATCH($C160,CaseData!$B$46:$E$46,0))</f>
        <v>200</v>
      </c>
      <c r="Q160" s="72">
        <f>INDEX(CaseData!$B$46:$E$52,MATCH($D160,CaseData!$B$46:$B$52,0),MATCH($C160,CaseData!$B$46:$E$46,0))</f>
        <v>200</v>
      </c>
      <c r="R160" s="72">
        <f>INDEX(CaseData!$B$46:$E$52,MATCH($D160,CaseData!$B$46:$B$52,0),MATCH($C160,CaseData!$B$46:$E$46,0))</f>
        <v>200</v>
      </c>
      <c r="S160" s="72">
        <f>INDEX(CaseData!$B$46:$E$52,MATCH($D160,CaseData!$B$46:$B$52,0),MATCH($C160,CaseData!$B$46:$E$46,0))</f>
        <v>200</v>
      </c>
      <c r="T160" s="72">
        <f>INDEX(CaseData!$B$46:$E$52,MATCH($D160,CaseData!$B$46:$B$52,0),MATCH($C160,CaseData!$B$46:$E$46,0))</f>
        <v>200</v>
      </c>
      <c r="U160" s="72">
        <f>INDEX(CaseData!$B$46:$E$52,MATCH($D160,CaseData!$B$46:$B$52,0),MATCH($C160,CaseData!$B$46:$E$46,0))</f>
        <v>200</v>
      </c>
      <c r="V160" s="72">
        <f>INDEX(CaseData!$B$46:$E$52,MATCH($D160,CaseData!$B$46:$B$52,0),MATCH($C160,CaseData!$B$46:$E$46,0))</f>
        <v>200</v>
      </c>
      <c r="W160" s="72">
        <f>INDEX(CaseData!$B$46:$E$52,MATCH($D160,CaseData!$B$46:$B$52,0),MATCH($C160,CaseData!$B$46:$E$46,0))</f>
        <v>200</v>
      </c>
      <c r="X160" s="72">
        <f>INDEX(CaseData!$B$46:$E$52,MATCH($D160,CaseData!$B$46:$B$52,0),MATCH($C160,CaseData!$B$46:$E$46,0))</f>
        <v>200</v>
      </c>
      <c r="Y160" s="72">
        <f>INDEX(CaseData!$B$46:$E$52,MATCH($D160,CaseData!$B$46:$B$52,0),MATCH($C160,CaseData!$B$46:$E$46,0))</f>
        <v>200</v>
      </c>
      <c r="Z160" s="72">
        <f>INDEX(CaseData!$B$46:$E$52,MATCH($D160,CaseData!$B$46:$B$52,0),MATCH($C160,CaseData!$B$46:$E$46,0))</f>
        <v>200</v>
      </c>
      <c r="AA160" s="72">
        <f>INDEX(CaseData!$B$46:$E$52,MATCH($D160,CaseData!$B$46:$B$52,0),MATCH($C160,CaseData!$B$46:$E$46,0))</f>
        <v>200</v>
      </c>
      <c r="AB160" s="72">
        <f>INDEX(CaseData!$B$46:$E$52,MATCH($D160,CaseData!$B$46:$B$52,0),MATCH($C160,CaseData!$B$46:$E$46,0))</f>
        <v>200</v>
      </c>
      <c r="AC160" s="72">
        <f>INDEX(CaseData!$B$46:$E$52,MATCH($D160,CaseData!$B$46:$B$52,0),MATCH($C160,CaseData!$B$46:$E$46,0))</f>
        <v>200</v>
      </c>
      <c r="AD160" s="72">
        <f>INDEX(CaseData!$B$46:$E$52,MATCH($D160,CaseData!$B$46:$B$52,0),MATCH($C160,CaseData!$B$46:$E$46,0))</f>
        <v>200</v>
      </c>
      <c r="AE160" s="72">
        <f>INDEX(CaseData!$B$46:$E$52,MATCH($D160,CaseData!$B$46:$B$52,0),MATCH($C160,CaseData!$B$46:$E$46,0))</f>
        <v>200</v>
      </c>
      <c r="AF160" s="72">
        <f>INDEX(CaseData!$B$46:$E$52,MATCH($D160,CaseData!$B$46:$B$52,0),MATCH($C160,CaseData!$B$46:$E$46,0))</f>
        <v>200</v>
      </c>
      <c r="AG160" s="72">
        <f>INDEX(CaseData!$B$46:$E$52,MATCH($D160,CaseData!$B$46:$B$52,0),MATCH($C160,CaseData!$B$46:$E$46,0))</f>
        <v>200</v>
      </c>
      <c r="AH160" s="72">
        <f>INDEX(CaseData!$B$46:$E$52,MATCH($D160,CaseData!$B$46:$B$52,0),MATCH($C160,CaseData!$B$46:$E$46,0))</f>
        <v>200</v>
      </c>
      <c r="AI160" s="72">
        <f>INDEX(CaseData!$B$46:$E$52,MATCH($D160,CaseData!$B$46:$B$52,0),MATCH($C160,CaseData!$B$46:$E$46,0))</f>
        <v>200</v>
      </c>
      <c r="AJ160" s="72">
        <f>INDEX(CaseData!$B$46:$E$52,MATCH($D160,CaseData!$B$46:$B$52,0),MATCH($C160,CaseData!$B$46:$E$46,0))</f>
        <v>200</v>
      </c>
      <c r="AK160" s="72">
        <f>INDEX(CaseData!$B$46:$E$52,MATCH($D160,CaseData!$B$46:$B$52,0),MATCH($C160,CaseData!$B$46:$E$46,0))</f>
        <v>200</v>
      </c>
      <c r="AL160" s="72">
        <f>INDEX(CaseData!$B$46:$E$52,MATCH($D160,CaseData!$B$46:$B$52,0),MATCH($C160,CaseData!$B$46:$E$46,0))</f>
        <v>200</v>
      </c>
      <c r="AM160" s="72">
        <f>INDEX(CaseData!$B$46:$E$52,MATCH($D160,CaseData!$B$46:$B$52,0),MATCH($C160,CaseData!$B$46:$E$46,0))</f>
        <v>200</v>
      </c>
      <c r="AN160" s="72">
        <f>INDEX(CaseData!$B$46:$E$52,MATCH($D160,CaseData!$B$46:$B$52,0),MATCH($C160,CaseData!$B$46:$E$46,0))</f>
        <v>200</v>
      </c>
      <c r="AO160" s="72">
        <f>INDEX(CaseData!$B$46:$E$52,MATCH($D160,CaseData!$B$46:$B$52,0),MATCH($C160,CaseData!$B$46:$E$46,0))</f>
        <v>200</v>
      </c>
      <c r="AP160" s="72">
        <f>INDEX(CaseData!$B$46:$E$52,MATCH($D160,CaseData!$B$46:$B$52,0),MATCH($C160,CaseData!$B$46:$E$46,0))</f>
        <v>200</v>
      </c>
      <c r="AQ160" s="72">
        <f>INDEX(CaseData!$B$46:$E$52,MATCH($D160,CaseData!$B$46:$B$52,0),MATCH($C160,CaseData!$B$46:$E$46,0))</f>
        <v>200</v>
      </c>
      <c r="AR160" s="72">
        <f>INDEX(CaseData!$B$46:$E$52,MATCH($D160,CaseData!$B$46:$B$52,0),MATCH($C160,CaseData!$B$46:$E$46,0))</f>
        <v>200</v>
      </c>
      <c r="AS160" s="72">
        <f>INDEX(CaseData!$B$46:$E$52,MATCH($D160,CaseData!$B$46:$B$52,0),MATCH($C160,CaseData!$B$46:$E$46,0))</f>
        <v>200</v>
      </c>
      <c r="AT160" s="72">
        <f>INDEX(CaseData!$B$46:$E$52,MATCH($D160,CaseData!$B$46:$B$52,0),MATCH($C160,CaseData!$B$46:$E$46,0))</f>
        <v>200</v>
      </c>
      <c r="AU160" s="72">
        <f>INDEX(CaseData!$B$46:$E$52,MATCH($D160,CaseData!$B$46:$B$52,0),MATCH($C160,CaseData!$B$46:$E$46,0))</f>
        <v>200</v>
      </c>
      <c r="AV160" s="72">
        <f>INDEX(CaseData!$B$46:$E$52,MATCH($D160,CaseData!$B$46:$B$52,0),MATCH($C160,CaseData!$B$46:$E$46,0))</f>
        <v>200</v>
      </c>
      <c r="AW160" s="72">
        <f>INDEX(CaseData!$B$46:$E$52,MATCH($D160,CaseData!$B$46:$B$52,0),MATCH($C160,CaseData!$B$46:$E$46,0))</f>
        <v>200</v>
      </c>
      <c r="AX160" s="72">
        <f>INDEX(CaseData!$B$46:$E$52,MATCH($D160,CaseData!$B$46:$B$52,0),MATCH($C160,CaseData!$B$46:$E$46,0))</f>
        <v>200</v>
      </c>
      <c r="AY160" s="72">
        <f>INDEX(CaseData!$B$46:$E$52,MATCH($D160,CaseData!$B$46:$B$52,0),MATCH($C160,CaseData!$B$46:$E$46,0))</f>
        <v>200</v>
      </c>
      <c r="AZ160" s="72">
        <f>INDEX(CaseData!$B$46:$E$52,MATCH($D160,CaseData!$B$46:$B$52,0),MATCH($C160,CaseData!$B$46:$E$46,0))</f>
        <v>200</v>
      </c>
      <c r="BA160" s="72">
        <f>INDEX(CaseData!$B$46:$E$52,MATCH($D160,CaseData!$B$46:$B$52,0),MATCH($C160,CaseData!$B$46:$E$46,0))</f>
        <v>200</v>
      </c>
      <c r="BB160" s="72">
        <f>INDEX(CaseData!$B$46:$E$52,MATCH($D160,CaseData!$B$46:$B$52,0),MATCH($C160,CaseData!$B$46:$E$46,0))</f>
        <v>200</v>
      </c>
      <c r="BC160" s="72">
        <f>INDEX(CaseData!$B$46:$E$52,MATCH($D160,CaseData!$B$46:$B$52,0),MATCH($C160,CaseData!$B$46:$E$46,0))</f>
        <v>200</v>
      </c>
      <c r="BD160" s="72">
        <f>INDEX(CaseData!$B$46:$E$52,MATCH($D160,CaseData!$B$46:$B$52,0),MATCH($C160,CaseData!$B$46:$E$46,0))</f>
        <v>200</v>
      </c>
      <c r="BE160" s="72">
        <f>INDEX(CaseData!$B$46:$E$52,MATCH($D160,CaseData!$B$46:$B$52,0),MATCH($C160,CaseData!$B$46:$E$46,0))</f>
        <v>200</v>
      </c>
      <c r="BF160" s="72">
        <f>INDEX(CaseData!$B$46:$E$52,MATCH($D160,CaseData!$B$46:$B$52,0),MATCH($C160,CaseData!$B$46:$E$46,0))</f>
        <v>200</v>
      </c>
      <c r="BG160" s="72">
        <f>INDEX(CaseData!$B$46:$E$52,MATCH($D160,CaseData!$B$46:$B$52,0),MATCH($C160,CaseData!$B$46:$E$46,0))</f>
        <v>200</v>
      </c>
      <c r="BH160" s="72">
        <f>INDEX(CaseData!$B$46:$E$52,MATCH($D160,CaseData!$B$46:$B$52,0),MATCH($C160,CaseData!$B$46:$E$46,0))</f>
        <v>200</v>
      </c>
      <c r="BI160" s="72">
        <f>INDEX(CaseData!$B$46:$E$52,MATCH($D160,CaseData!$B$46:$B$52,0),MATCH($C160,CaseData!$B$46:$E$46,0))</f>
        <v>200</v>
      </c>
      <c r="BJ160" s="72">
        <f>INDEX(CaseData!$B$46:$E$52,MATCH($D160,CaseData!$B$46:$B$52,0),MATCH($C160,CaseData!$B$46:$E$46,0))</f>
        <v>200</v>
      </c>
      <c r="BK160" s="72">
        <f>INDEX(CaseData!$B$46:$E$52,MATCH($D160,CaseData!$B$46:$B$52,0),MATCH($C160,CaseData!$B$46:$E$46,0))</f>
        <v>200</v>
      </c>
      <c r="BL160" s="72">
        <f>INDEX(CaseData!$B$46:$E$52,MATCH($D160,CaseData!$B$46:$B$52,0),MATCH($C160,CaseData!$B$46:$E$46,0))</f>
        <v>200</v>
      </c>
      <c r="BM160" s="72">
        <f>INDEX(CaseData!$B$46:$E$52,MATCH($D160,CaseData!$B$46:$B$52,0),MATCH($C160,CaseData!$B$46:$E$46,0))</f>
        <v>200</v>
      </c>
      <c r="BN160" s="72">
        <f>INDEX(CaseData!$B$46:$E$52,MATCH($D160,CaseData!$B$46:$B$52,0),MATCH($C160,CaseData!$B$46:$E$46,0))</f>
        <v>200</v>
      </c>
    </row>
    <row r="161" spans="2:66" ht="13.8">
      <c r="B161" s="37" t="str">
        <f>CaseData!$B$34</f>
        <v>Zurich</v>
      </c>
      <c r="C161" t="str">
        <f t="shared" si="70"/>
        <v>Women's</v>
      </c>
      <c r="D161" s="84" t="str">
        <f>INDEX(CaseData!$E$10:$E$17,MATCH(B161,CaseData!$C$10:$C$17,0))</f>
        <v>CHF</v>
      </c>
      <c r="E161" s="85"/>
      <c r="G161" s="72">
        <f>INDEX(CaseData!$B$46:$E$52,MATCH($D161,CaseData!$B$46:$B$52,0),MATCH($C161,CaseData!$B$46:$E$46,0))</f>
        <v>750</v>
      </c>
      <c r="H161" s="72">
        <f>INDEX(CaseData!$B$46:$E$52,MATCH($D161,CaseData!$B$46:$B$52,0),MATCH($C161,CaseData!$B$46:$E$46,0))</f>
        <v>750</v>
      </c>
      <c r="I161" s="72">
        <f>INDEX(CaseData!$B$46:$E$52,MATCH($D161,CaseData!$B$46:$B$52,0),MATCH($C161,CaseData!$B$46:$E$46,0))</f>
        <v>750</v>
      </c>
      <c r="J161" s="72">
        <f>INDEX(CaseData!$B$46:$E$52,MATCH($D161,CaseData!$B$46:$B$52,0),MATCH($C161,CaseData!$B$46:$E$46,0))</f>
        <v>750</v>
      </c>
      <c r="K161" s="72">
        <f>INDEX(CaseData!$B$46:$E$52,MATCH($D161,CaseData!$B$46:$B$52,0),MATCH($C161,CaseData!$B$46:$E$46,0))</f>
        <v>750</v>
      </c>
      <c r="L161" s="72">
        <f>INDEX(CaseData!$B$46:$E$52,MATCH($D161,CaseData!$B$46:$B$52,0),MATCH($C161,CaseData!$B$46:$E$46,0))</f>
        <v>750</v>
      </c>
      <c r="M161" s="72">
        <f>INDEX(CaseData!$B$46:$E$52,MATCH($D161,CaseData!$B$46:$B$52,0),MATCH($C161,CaseData!$B$46:$E$46,0))</f>
        <v>750</v>
      </c>
      <c r="N161" s="72">
        <f>INDEX(CaseData!$B$46:$E$52,MATCH($D161,CaseData!$B$46:$B$52,0),MATCH($C161,CaseData!$B$46:$E$46,0))</f>
        <v>750</v>
      </c>
      <c r="O161" s="72">
        <f>INDEX(CaseData!$B$46:$E$52,MATCH($D161,CaseData!$B$46:$B$52,0),MATCH($C161,CaseData!$B$46:$E$46,0))</f>
        <v>750</v>
      </c>
      <c r="P161" s="72">
        <f>INDEX(CaseData!$B$46:$E$52,MATCH($D161,CaseData!$B$46:$B$52,0),MATCH($C161,CaseData!$B$46:$E$46,0))</f>
        <v>750</v>
      </c>
      <c r="Q161" s="72">
        <f>INDEX(CaseData!$B$46:$E$52,MATCH($D161,CaseData!$B$46:$B$52,0),MATCH($C161,CaseData!$B$46:$E$46,0))</f>
        <v>750</v>
      </c>
      <c r="R161" s="72">
        <f>INDEX(CaseData!$B$46:$E$52,MATCH($D161,CaseData!$B$46:$B$52,0),MATCH($C161,CaseData!$B$46:$E$46,0))</f>
        <v>750</v>
      </c>
      <c r="S161" s="72">
        <f>INDEX(CaseData!$B$46:$E$52,MATCH($D161,CaseData!$B$46:$B$52,0),MATCH($C161,CaseData!$B$46:$E$46,0))</f>
        <v>750</v>
      </c>
      <c r="T161" s="72">
        <f>INDEX(CaseData!$B$46:$E$52,MATCH($D161,CaseData!$B$46:$B$52,0),MATCH($C161,CaseData!$B$46:$E$46,0))</f>
        <v>750</v>
      </c>
      <c r="U161" s="72">
        <f>INDEX(CaseData!$B$46:$E$52,MATCH($D161,CaseData!$B$46:$B$52,0),MATCH($C161,CaseData!$B$46:$E$46,0))</f>
        <v>750</v>
      </c>
      <c r="V161" s="72">
        <f>INDEX(CaseData!$B$46:$E$52,MATCH($D161,CaseData!$B$46:$B$52,0),MATCH($C161,CaseData!$B$46:$E$46,0))</f>
        <v>750</v>
      </c>
      <c r="W161" s="72">
        <f>INDEX(CaseData!$B$46:$E$52,MATCH($D161,CaseData!$B$46:$B$52,0),MATCH($C161,CaseData!$B$46:$E$46,0))</f>
        <v>750</v>
      </c>
      <c r="X161" s="72">
        <f>INDEX(CaseData!$B$46:$E$52,MATCH($D161,CaseData!$B$46:$B$52,0),MATCH($C161,CaseData!$B$46:$E$46,0))</f>
        <v>750</v>
      </c>
      <c r="Y161" s="72">
        <f>INDEX(CaseData!$B$46:$E$52,MATCH($D161,CaseData!$B$46:$B$52,0),MATCH($C161,CaseData!$B$46:$E$46,0))</f>
        <v>750</v>
      </c>
      <c r="Z161" s="72">
        <f>INDEX(CaseData!$B$46:$E$52,MATCH($D161,CaseData!$B$46:$B$52,0),MATCH($C161,CaseData!$B$46:$E$46,0))</f>
        <v>750</v>
      </c>
      <c r="AA161" s="72">
        <f>INDEX(CaseData!$B$46:$E$52,MATCH($D161,CaseData!$B$46:$B$52,0),MATCH($C161,CaseData!$B$46:$E$46,0))</f>
        <v>750</v>
      </c>
      <c r="AB161" s="72">
        <f>INDEX(CaseData!$B$46:$E$52,MATCH($D161,CaseData!$B$46:$B$52,0),MATCH($C161,CaseData!$B$46:$E$46,0))</f>
        <v>750</v>
      </c>
      <c r="AC161" s="72">
        <f>INDEX(CaseData!$B$46:$E$52,MATCH($D161,CaseData!$B$46:$B$52,0),MATCH($C161,CaseData!$B$46:$E$46,0))</f>
        <v>750</v>
      </c>
      <c r="AD161" s="72">
        <f>INDEX(CaseData!$B$46:$E$52,MATCH($D161,CaseData!$B$46:$B$52,0),MATCH($C161,CaseData!$B$46:$E$46,0))</f>
        <v>750</v>
      </c>
      <c r="AE161" s="72">
        <f>INDEX(CaseData!$B$46:$E$52,MATCH($D161,CaseData!$B$46:$B$52,0),MATCH($C161,CaseData!$B$46:$E$46,0))</f>
        <v>750</v>
      </c>
      <c r="AF161" s="72">
        <f>INDEX(CaseData!$B$46:$E$52,MATCH($D161,CaseData!$B$46:$B$52,0),MATCH($C161,CaseData!$B$46:$E$46,0))</f>
        <v>750</v>
      </c>
      <c r="AG161" s="72">
        <f>INDEX(CaseData!$B$46:$E$52,MATCH($D161,CaseData!$B$46:$B$52,0),MATCH($C161,CaseData!$B$46:$E$46,0))</f>
        <v>750</v>
      </c>
      <c r="AH161" s="72">
        <f>INDEX(CaseData!$B$46:$E$52,MATCH($D161,CaseData!$B$46:$B$52,0),MATCH($C161,CaseData!$B$46:$E$46,0))</f>
        <v>750</v>
      </c>
      <c r="AI161" s="72">
        <f>INDEX(CaseData!$B$46:$E$52,MATCH($D161,CaseData!$B$46:$B$52,0),MATCH($C161,CaseData!$B$46:$E$46,0))</f>
        <v>750</v>
      </c>
      <c r="AJ161" s="72">
        <f>INDEX(CaseData!$B$46:$E$52,MATCH($D161,CaseData!$B$46:$B$52,0),MATCH($C161,CaseData!$B$46:$E$46,0))</f>
        <v>750</v>
      </c>
      <c r="AK161" s="72">
        <f>INDEX(CaseData!$B$46:$E$52,MATCH($D161,CaseData!$B$46:$B$52,0),MATCH($C161,CaseData!$B$46:$E$46,0))</f>
        <v>750</v>
      </c>
      <c r="AL161" s="72">
        <f>INDEX(CaseData!$B$46:$E$52,MATCH($D161,CaseData!$B$46:$B$52,0),MATCH($C161,CaseData!$B$46:$E$46,0))</f>
        <v>750</v>
      </c>
      <c r="AM161" s="72">
        <f>INDEX(CaseData!$B$46:$E$52,MATCH($D161,CaseData!$B$46:$B$52,0),MATCH($C161,CaseData!$B$46:$E$46,0))</f>
        <v>750</v>
      </c>
      <c r="AN161" s="72">
        <f>INDEX(CaseData!$B$46:$E$52,MATCH($D161,CaseData!$B$46:$B$52,0),MATCH($C161,CaseData!$B$46:$E$46,0))</f>
        <v>750</v>
      </c>
      <c r="AO161" s="72">
        <f>INDEX(CaseData!$B$46:$E$52,MATCH($D161,CaseData!$B$46:$B$52,0),MATCH($C161,CaseData!$B$46:$E$46,0))</f>
        <v>750</v>
      </c>
      <c r="AP161" s="72">
        <f>INDEX(CaseData!$B$46:$E$52,MATCH($D161,CaseData!$B$46:$B$52,0),MATCH($C161,CaseData!$B$46:$E$46,0))</f>
        <v>750</v>
      </c>
      <c r="AQ161" s="72">
        <f>INDEX(CaseData!$B$46:$E$52,MATCH($D161,CaseData!$B$46:$B$52,0),MATCH($C161,CaseData!$B$46:$E$46,0))</f>
        <v>750</v>
      </c>
      <c r="AR161" s="72">
        <f>INDEX(CaseData!$B$46:$E$52,MATCH($D161,CaseData!$B$46:$B$52,0),MATCH($C161,CaseData!$B$46:$E$46,0))</f>
        <v>750</v>
      </c>
      <c r="AS161" s="72">
        <f>INDEX(CaseData!$B$46:$E$52,MATCH($D161,CaseData!$B$46:$B$52,0),MATCH($C161,CaseData!$B$46:$E$46,0))</f>
        <v>750</v>
      </c>
      <c r="AT161" s="72">
        <f>INDEX(CaseData!$B$46:$E$52,MATCH($D161,CaseData!$B$46:$B$52,0),MATCH($C161,CaseData!$B$46:$E$46,0))</f>
        <v>750</v>
      </c>
      <c r="AU161" s="72">
        <f>INDEX(CaseData!$B$46:$E$52,MATCH($D161,CaseData!$B$46:$B$52,0),MATCH($C161,CaseData!$B$46:$E$46,0))</f>
        <v>750</v>
      </c>
      <c r="AV161" s="72">
        <f>INDEX(CaseData!$B$46:$E$52,MATCH($D161,CaseData!$B$46:$B$52,0),MATCH($C161,CaseData!$B$46:$E$46,0))</f>
        <v>750</v>
      </c>
      <c r="AW161" s="72">
        <f>INDEX(CaseData!$B$46:$E$52,MATCH($D161,CaseData!$B$46:$B$52,0),MATCH($C161,CaseData!$B$46:$E$46,0))</f>
        <v>750</v>
      </c>
      <c r="AX161" s="72">
        <f>INDEX(CaseData!$B$46:$E$52,MATCH($D161,CaseData!$B$46:$B$52,0),MATCH($C161,CaseData!$B$46:$E$46,0))</f>
        <v>750</v>
      </c>
      <c r="AY161" s="72">
        <f>INDEX(CaseData!$B$46:$E$52,MATCH($D161,CaseData!$B$46:$B$52,0),MATCH($C161,CaseData!$B$46:$E$46,0))</f>
        <v>750</v>
      </c>
      <c r="AZ161" s="72">
        <f>INDEX(CaseData!$B$46:$E$52,MATCH($D161,CaseData!$B$46:$B$52,0),MATCH($C161,CaseData!$B$46:$E$46,0))</f>
        <v>750</v>
      </c>
      <c r="BA161" s="72">
        <f>INDEX(CaseData!$B$46:$E$52,MATCH($D161,CaseData!$B$46:$B$52,0),MATCH($C161,CaseData!$B$46:$E$46,0))</f>
        <v>750</v>
      </c>
      <c r="BB161" s="72">
        <f>INDEX(CaseData!$B$46:$E$52,MATCH($D161,CaseData!$B$46:$B$52,0),MATCH($C161,CaseData!$B$46:$E$46,0))</f>
        <v>750</v>
      </c>
      <c r="BC161" s="72">
        <f>INDEX(CaseData!$B$46:$E$52,MATCH($D161,CaseData!$B$46:$B$52,0),MATCH($C161,CaseData!$B$46:$E$46,0))</f>
        <v>750</v>
      </c>
      <c r="BD161" s="72">
        <f>INDEX(CaseData!$B$46:$E$52,MATCH($D161,CaseData!$B$46:$B$52,0),MATCH($C161,CaseData!$B$46:$E$46,0))</f>
        <v>750</v>
      </c>
      <c r="BE161" s="72">
        <f>INDEX(CaseData!$B$46:$E$52,MATCH($D161,CaseData!$B$46:$B$52,0),MATCH($C161,CaseData!$B$46:$E$46,0))</f>
        <v>750</v>
      </c>
      <c r="BF161" s="72">
        <f>INDEX(CaseData!$B$46:$E$52,MATCH($D161,CaseData!$B$46:$B$52,0),MATCH($C161,CaseData!$B$46:$E$46,0))</f>
        <v>750</v>
      </c>
      <c r="BG161" s="72">
        <f>INDEX(CaseData!$B$46:$E$52,MATCH($D161,CaseData!$B$46:$B$52,0),MATCH($C161,CaseData!$B$46:$E$46,0))</f>
        <v>750</v>
      </c>
      <c r="BH161" s="72">
        <f>INDEX(CaseData!$B$46:$E$52,MATCH($D161,CaseData!$B$46:$B$52,0),MATCH($C161,CaseData!$B$46:$E$46,0))</f>
        <v>750</v>
      </c>
      <c r="BI161" s="72">
        <f>INDEX(CaseData!$B$46:$E$52,MATCH($D161,CaseData!$B$46:$B$52,0),MATCH($C161,CaseData!$B$46:$E$46,0))</f>
        <v>750</v>
      </c>
      <c r="BJ161" s="72">
        <f>INDEX(CaseData!$B$46:$E$52,MATCH($D161,CaseData!$B$46:$B$52,0),MATCH($C161,CaseData!$B$46:$E$46,0))</f>
        <v>750</v>
      </c>
      <c r="BK161" s="72">
        <f>INDEX(CaseData!$B$46:$E$52,MATCH($D161,CaseData!$B$46:$B$52,0),MATCH($C161,CaseData!$B$46:$E$46,0))</f>
        <v>750</v>
      </c>
      <c r="BL161" s="72">
        <f>INDEX(CaseData!$B$46:$E$52,MATCH($D161,CaseData!$B$46:$B$52,0),MATCH($C161,CaseData!$B$46:$E$46,0))</f>
        <v>750</v>
      </c>
      <c r="BM161" s="72">
        <f>INDEX(CaseData!$B$46:$E$52,MATCH($D161,CaseData!$B$46:$B$52,0),MATCH($C161,CaseData!$B$46:$E$46,0))</f>
        <v>750</v>
      </c>
      <c r="BN161" s="72">
        <f>INDEX(CaseData!$B$46:$E$52,MATCH($D161,CaseData!$B$46:$B$52,0),MATCH($C161,CaseData!$B$46:$E$46,0))</f>
        <v>750</v>
      </c>
    </row>
    <row r="162" spans="2:66" ht="13.8">
      <c r="B162" s="37" t="str">
        <f t="shared" ref="B162:B163" si="76">B161</f>
        <v>Zurich</v>
      </c>
      <c r="C162" t="str">
        <f t="shared" si="70"/>
        <v>Men's</v>
      </c>
      <c r="D162" s="84" t="str">
        <f>INDEX(CaseData!$E$10:$E$17,MATCH(B162,CaseData!$C$10:$C$17,0))</f>
        <v>CHF</v>
      </c>
      <c r="E162" s="85"/>
      <c r="G162" s="72">
        <f>INDEX(CaseData!$B$46:$E$52,MATCH($D162,CaseData!$B$46:$B$52,0),MATCH($C162,CaseData!$B$46:$E$46,0))</f>
        <v>600</v>
      </c>
      <c r="H162" s="72">
        <f>INDEX(CaseData!$B$46:$E$52,MATCH($D162,CaseData!$B$46:$B$52,0),MATCH($C162,CaseData!$B$46:$E$46,0))</f>
        <v>600</v>
      </c>
      <c r="I162" s="72">
        <f>INDEX(CaseData!$B$46:$E$52,MATCH($D162,CaseData!$B$46:$B$52,0),MATCH($C162,CaseData!$B$46:$E$46,0))</f>
        <v>600</v>
      </c>
      <c r="J162" s="72">
        <f>INDEX(CaseData!$B$46:$E$52,MATCH($D162,CaseData!$B$46:$B$52,0),MATCH($C162,CaseData!$B$46:$E$46,0))</f>
        <v>600</v>
      </c>
      <c r="K162" s="72">
        <f>INDEX(CaseData!$B$46:$E$52,MATCH($D162,CaseData!$B$46:$B$52,0),MATCH($C162,CaseData!$B$46:$E$46,0))</f>
        <v>600</v>
      </c>
      <c r="L162" s="72">
        <f>INDEX(CaseData!$B$46:$E$52,MATCH($D162,CaseData!$B$46:$B$52,0),MATCH($C162,CaseData!$B$46:$E$46,0))</f>
        <v>600</v>
      </c>
      <c r="M162" s="72">
        <f>INDEX(CaseData!$B$46:$E$52,MATCH($D162,CaseData!$B$46:$B$52,0),MATCH($C162,CaseData!$B$46:$E$46,0))</f>
        <v>600</v>
      </c>
      <c r="N162" s="72">
        <f>INDEX(CaseData!$B$46:$E$52,MATCH($D162,CaseData!$B$46:$B$52,0),MATCH($C162,CaseData!$B$46:$E$46,0))</f>
        <v>600</v>
      </c>
      <c r="O162" s="72">
        <f>INDEX(CaseData!$B$46:$E$52,MATCH($D162,CaseData!$B$46:$B$52,0),MATCH($C162,CaseData!$B$46:$E$46,0))</f>
        <v>600</v>
      </c>
      <c r="P162" s="72">
        <f>INDEX(CaseData!$B$46:$E$52,MATCH($D162,CaseData!$B$46:$B$52,0),MATCH($C162,CaseData!$B$46:$E$46,0))</f>
        <v>600</v>
      </c>
      <c r="Q162" s="72">
        <f>INDEX(CaseData!$B$46:$E$52,MATCH($D162,CaseData!$B$46:$B$52,0),MATCH($C162,CaseData!$B$46:$E$46,0))</f>
        <v>600</v>
      </c>
      <c r="R162" s="72">
        <f>INDEX(CaseData!$B$46:$E$52,MATCH($D162,CaseData!$B$46:$B$52,0),MATCH($C162,CaseData!$B$46:$E$46,0))</f>
        <v>600</v>
      </c>
      <c r="S162" s="72">
        <f>INDEX(CaseData!$B$46:$E$52,MATCH($D162,CaseData!$B$46:$B$52,0),MATCH($C162,CaseData!$B$46:$E$46,0))</f>
        <v>600</v>
      </c>
      <c r="T162" s="72">
        <f>INDEX(CaseData!$B$46:$E$52,MATCH($D162,CaseData!$B$46:$B$52,0),MATCH($C162,CaseData!$B$46:$E$46,0))</f>
        <v>600</v>
      </c>
      <c r="U162" s="72">
        <f>INDEX(CaseData!$B$46:$E$52,MATCH($D162,CaseData!$B$46:$B$52,0),MATCH($C162,CaseData!$B$46:$E$46,0))</f>
        <v>600</v>
      </c>
      <c r="V162" s="72">
        <f>INDEX(CaseData!$B$46:$E$52,MATCH($D162,CaseData!$B$46:$B$52,0),MATCH($C162,CaseData!$B$46:$E$46,0))</f>
        <v>600</v>
      </c>
      <c r="W162" s="72">
        <f>INDEX(CaseData!$B$46:$E$52,MATCH($D162,CaseData!$B$46:$B$52,0),MATCH($C162,CaseData!$B$46:$E$46,0))</f>
        <v>600</v>
      </c>
      <c r="X162" s="72">
        <f>INDEX(CaseData!$B$46:$E$52,MATCH($D162,CaseData!$B$46:$B$52,0),MATCH($C162,CaseData!$B$46:$E$46,0))</f>
        <v>600</v>
      </c>
      <c r="Y162" s="72">
        <f>INDEX(CaseData!$B$46:$E$52,MATCH($D162,CaseData!$B$46:$B$52,0),MATCH($C162,CaseData!$B$46:$E$46,0))</f>
        <v>600</v>
      </c>
      <c r="Z162" s="72">
        <f>INDEX(CaseData!$B$46:$E$52,MATCH($D162,CaseData!$B$46:$B$52,0),MATCH($C162,CaseData!$B$46:$E$46,0))</f>
        <v>600</v>
      </c>
      <c r="AA162" s="72">
        <f>INDEX(CaseData!$B$46:$E$52,MATCH($D162,CaseData!$B$46:$B$52,0),MATCH($C162,CaseData!$B$46:$E$46,0))</f>
        <v>600</v>
      </c>
      <c r="AB162" s="72">
        <f>INDEX(CaseData!$B$46:$E$52,MATCH($D162,CaseData!$B$46:$B$52,0),MATCH($C162,CaseData!$B$46:$E$46,0))</f>
        <v>600</v>
      </c>
      <c r="AC162" s="72">
        <f>INDEX(CaseData!$B$46:$E$52,MATCH($D162,CaseData!$B$46:$B$52,0),MATCH($C162,CaseData!$B$46:$E$46,0))</f>
        <v>600</v>
      </c>
      <c r="AD162" s="72">
        <f>INDEX(CaseData!$B$46:$E$52,MATCH($D162,CaseData!$B$46:$B$52,0),MATCH($C162,CaseData!$B$46:$E$46,0))</f>
        <v>600</v>
      </c>
      <c r="AE162" s="72">
        <f>INDEX(CaseData!$B$46:$E$52,MATCH($D162,CaseData!$B$46:$B$52,0),MATCH($C162,CaseData!$B$46:$E$46,0))</f>
        <v>600</v>
      </c>
      <c r="AF162" s="72">
        <f>INDEX(CaseData!$B$46:$E$52,MATCH($D162,CaseData!$B$46:$B$52,0),MATCH($C162,CaseData!$B$46:$E$46,0))</f>
        <v>600</v>
      </c>
      <c r="AG162" s="72">
        <f>INDEX(CaseData!$B$46:$E$52,MATCH($D162,CaseData!$B$46:$B$52,0),MATCH($C162,CaseData!$B$46:$E$46,0))</f>
        <v>600</v>
      </c>
      <c r="AH162" s="72">
        <f>INDEX(CaseData!$B$46:$E$52,MATCH($D162,CaseData!$B$46:$B$52,0),MATCH($C162,CaseData!$B$46:$E$46,0))</f>
        <v>600</v>
      </c>
      <c r="AI162" s="72">
        <f>INDEX(CaseData!$B$46:$E$52,MATCH($D162,CaseData!$B$46:$B$52,0),MATCH($C162,CaseData!$B$46:$E$46,0))</f>
        <v>600</v>
      </c>
      <c r="AJ162" s="72">
        <f>INDEX(CaseData!$B$46:$E$52,MATCH($D162,CaseData!$B$46:$B$52,0),MATCH($C162,CaseData!$B$46:$E$46,0))</f>
        <v>600</v>
      </c>
      <c r="AK162" s="72">
        <f>INDEX(CaseData!$B$46:$E$52,MATCH($D162,CaseData!$B$46:$B$52,0),MATCH($C162,CaseData!$B$46:$E$46,0))</f>
        <v>600</v>
      </c>
      <c r="AL162" s="72">
        <f>INDEX(CaseData!$B$46:$E$52,MATCH($D162,CaseData!$B$46:$B$52,0),MATCH($C162,CaseData!$B$46:$E$46,0))</f>
        <v>600</v>
      </c>
      <c r="AM162" s="72">
        <f>INDEX(CaseData!$B$46:$E$52,MATCH($D162,CaseData!$B$46:$B$52,0),MATCH($C162,CaseData!$B$46:$E$46,0))</f>
        <v>600</v>
      </c>
      <c r="AN162" s="72">
        <f>INDEX(CaseData!$B$46:$E$52,MATCH($D162,CaseData!$B$46:$B$52,0),MATCH($C162,CaseData!$B$46:$E$46,0))</f>
        <v>600</v>
      </c>
      <c r="AO162" s="72">
        <f>INDEX(CaseData!$B$46:$E$52,MATCH($D162,CaseData!$B$46:$B$52,0),MATCH($C162,CaseData!$B$46:$E$46,0))</f>
        <v>600</v>
      </c>
      <c r="AP162" s="72">
        <f>INDEX(CaseData!$B$46:$E$52,MATCH($D162,CaseData!$B$46:$B$52,0),MATCH($C162,CaseData!$B$46:$E$46,0))</f>
        <v>600</v>
      </c>
      <c r="AQ162" s="72">
        <f>INDEX(CaseData!$B$46:$E$52,MATCH($D162,CaseData!$B$46:$B$52,0),MATCH($C162,CaseData!$B$46:$E$46,0))</f>
        <v>600</v>
      </c>
      <c r="AR162" s="72">
        <f>INDEX(CaseData!$B$46:$E$52,MATCH($D162,CaseData!$B$46:$B$52,0),MATCH($C162,CaseData!$B$46:$E$46,0))</f>
        <v>600</v>
      </c>
      <c r="AS162" s="72">
        <f>INDEX(CaseData!$B$46:$E$52,MATCH($D162,CaseData!$B$46:$B$52,0),MATCH($C162,CaseData!$B$46:$E$46,0))</f>
        <v>600</v>
      </c>
      <c r="AT162" s="72">
        <f>INDEX(CaseData!$B$46:$E$52,MATCH($D162,CaseData!$B$46:$B$52,0),MATCH($C162,CaseData!$B$46:$E$46,0))</f>
        <v>600</v>
      </c>
      <c r="AU162" s="72">
        <f>INDEX(CaseData!$B$46:$E$52,MATCH($D162,CaseData!$B$46:$B$52,0),MATCH($C162,CaseData!$B$46:$E$46,0))</f>
        <v>600</v>
      </c>
      <c r="AV162" s="72">
        <f>INDEX(CaseData!$B$46:$E$52,MATCH($D162,CaseData!$B$46:$B$52,0),MATCH($C162,CaseData!$B$46:$E$46,0))</f>
        <v>600</v>
      </c>
      <c r="AW162" s="72">
        <f>INDEX(CaseData!$B$46:$E$52,MATCH($D162,CaseData!$B$46:$B$52,0),MATCH($C162,CaseData!$B$46:$E$46,0))</f>
        <v>600</v>
      </c>
      <c r="AX162" s="72">
        <f>INDEX(CaseData!$B$46:$E$52,MATCH($D162,CaseData!$B$46:$B$52,0),MATCH($C162,CaseData!$B$46:$E$46,0))</f>
        <v>600</v>
      </c>
      <c r="AY162" s="72">
        <f>INDEX(CaseData!$B$46:$E$52,MATCH($D162,CaseData!$B$46:$B$52,0),MATCH($C162,CaseData!$B$46:$E$46,0))</f>
        <v>600</v>
      </c>
      <c r="AZ162" s="72">
        <f>INDEX(CaseData!$B$46:$E$52,MATCH($D162,CaseData!$B$46:$B$52,0),MATCH($C162,CaseData!$B$46:$E$46,0))</f>
        <v>600</v>
      </c>
      <c r="BA162" s="72">
        <f>INDEX(CaseData!$B$46:$E$52,MATCH($D162,CaseData!$B$46:$B$52,0),MATCH($C162,CaseData!$B$46:$E$46,0))</f>
        <v>600</v>
      </c>
      <c r="BB162" s="72">
        <f>INDEX(CaseData!$B$46:$E$52,MATCH($D162,CaseData!$B$46:$B$52,0),MATCH($C162,CaseData!$B$46:$E$46,0))</f>
        <v>600</v>
      </c>
      <c r="BC162" s="72">
        <f>INDEX(CaseData!$B$46:$E$52,MATCH($D162,CaseData!$B$46:$B$52,0),MATCH($C162,CaseData!$B$46:$E$46,0))</f>
        <v>600</v>
      </c>
      <c r="BD162" s="72">
        <f>INDEX(CaseData!$B$46:$E$52,MATCH($D162,CaseData!$B$46:$B$52,0),MATCH($C162,CaseData!$B$46:$E$46,0))</f>
        <v>600</v>
      </c>
      <c r="BE162" s="72">
        <f>INDEX(CaseData!$B$46:$E$52,MATCH($D162,CaseData!$B$46:$B$52,0),MATCH($C162,CaseData!$B$46:$E$46,0))</f>
        <v>600</v>
      </c>
      <c r="BF162" s="72">
        <f>INDEX(CaseData!$B$46:$E$52,MATCH($D162,CaseData!$B$46:$B$52,0),MATCH($C162,CaseData!$B$46:$E$46,0))</f>
        <v>600</v>
      </c>
      <c r="BG162" s="72">
        <f>INDEX(CaseData!$B$46:$E$52,MATCH($D162,CaseData!$B$46:$B$52,0),MATCH($C162,CaseData!$B$46:$E$46,0))</f>
        <v>600</v>
      </c>
      <c r="BH162" s="72">
        <f>INDEX(CaseData!$B$46:$E$52,MATCH($D162,CaseData!$B$46:$B$52,0),MATCH($C162,CaseData!$B$46:$E$46,0))</f>
        <v>600</v>
      </c>
      <c r="BI162" s="72">
        <f>INDEX(CaseData!$B$46:$E$52,MATCH($D162,CaseData!$B$46:$B$52,0),MATCH($C162,CaseData!$B$46:$E$46,0))</f>
        <v>600</v>
      </c>
      <c r="BJ162" s="72">
        <f>INDEX(CaseData!$B$46:$E$52,MATCH($D162,CaseData!$B$46:$B$52,0),MATCH($C162,CaseData!$B$46:$E$46,0))</f>
        <v>600</v>
      </c>
      <c r="BK162" s="72">
        <f>INDEX(CaseData!$B$46:$E$52,MATCH($D162,CaseData!$B$46:$B$52,0),MATCH($C162,CaseData!$B$46:$E$46,0))</f>
        <v>600</v>
      </c>
      <c r="BL162" s="72">
        <f>INDEX(CaseData!$B$46:$E$52,MATCH($D162,CaseData!$B$46:$B$52,0),MATCH($C162,CaseData!$B$46:$E$46,0))</f>
        <v>600</v>
      </c>
      <c r="BM162" s="72">
        <f>INDEX(CaseData!$B$46:$E$52,MATCH($D162,CaseData!$B$46:$B$52,0),MATCH($C162,CaseData!$B$46:$E$46,0))</f>
        <v>600</v>
      </c>
      <c r="BN162" s="72">
        <f>INDEX(CaseData!$B$46:$E$52,MATCH($D162,CaseData!$B$46:$B$52,0),MATCH($C162,CaseData!$B$46:$E$46,0))</f>
        <v>600</v>
      </c>
    </row>
    <row r="163" spans="2:66" ht="13.8">
      <c r="B163" s="37" t="str">
        <f t="shared" si="76"/>
        <v>Zurich</v>
      </c>
      <c r="C163" t="str">
        <f t="shared" si="70"/>
        <v>Accessories</v>
      </c>
      <c r="D163" s="84" t="str">
        <f>INDEX(CaseData!$E$10:$E$17,MATCH(B163,CaseData!$C$10:$C$17,0))</f>
        <v>CHF</v>
      </c>
      <c r="E163" s="85"/>
      <c r="G163" s="72">
        <f>INDEX(CaseData!$B$46:$E$52,MATCH($D163,CaseData!$B$46:$B$52,0),MATCH($C163,CaseData!$B$46:$E$46,0))</f>
        <v>225</v>
      </c>
      <c r="H163" s="72">
        <f>INDEX(CaseData!$B$46:$E$52,MATCH($D163,CaseData!$B$46:$B$52,0),MATCH($C163,CaseData!$B$46:$E$46,0))</f>
        <v>225</v>
      </c>
      <c r="I163" s="72">
        <f>INDEX(CaseData!$B$46:$E$52,MATCH($D163,CaseData!$B$46:$B$52,0),MATCH($C163,CaseData!$B$46:$E$46,0))</f>
        <v>225</v>
      </c>
      <c r="J163" s="72">
        <f>INDEX(CaseData!$B$46:$E$52,MATCH($D163,CaseData!$B$46:$B$52,0),MATCH($C163,CaseData!$B$46:$E$46,0))</f>
        <v>225</v>
      </c>
      <c r="K163" s="72">
        <f>INDEX(CaseData!$B$46:$E$52,MATCH($D163,CaseData!$B$46:$B$52,0),MATCH($C163,CaseData!$B$46:$E$46,0))</f>
        <v>225</v>
      </c>
      <c r="L163" s="72">
        <f>INDEX(CaseData!$B$46:$E$52,MATCH($D163,CaseData!$B$46:$B$52,0),MATCH($C163,CaseData!$B$46:$E$46,0))</f>
        <v>225</v>
      </c>
      <c r="M163" s="72">
        <f>INDEX(CaseData!$B$46:$E$52,MATCH($D163,CaseData!$B$46:$B$52,0),MATCH($C163,CaseData!$B$46:$E$46,0))</f>
        <v>225</v>
      </c>
      <c r="N163" s="72">
        <f>INDEX(CaseData!$B$46:$E$52,MATCH($D163,CaseData!$B$46:$B$52,0),MATCH($C163,CaseData!$B$46:$E$46,0))</f>
        <v>225</v>
      </c>
      <c r="O163" s="72">
        <f>INDEX(CaseData!$B$46:$E$52,MATCH($D163,CaseData!$B$46:$B$52,0),MATCH($C163,CaseData!$B$46:$E$46,0))</f>
        <v>225</v>
      </c>
      <c r="P163" s="72">
        <f>INDEX(CaseData!$B$46:$E$52,MATCH($D163,CaseData!$B$46:$B$52,0),MATCH($C163,CaseData!$B$46:$E$46,0))</f>
        <v>225</v>
      </c>
      <c r="Q163" s="72">
        <f>INDEX(CaseData!$B$46:$E$52,MATCH($D163,CaseData!$B$46:$B$52,0),MATCH($C163,CaseData!$B$46:$E$46,0))</f>
        <v>225</v>
      </c>
      <c r="R163" s="72">
        <f>INDEX(CaseData!$B$46:$E$52,MATCH($D163,CaseData!$B$46:$B$52,0),MATCH($C163,CaseData!$B$46:$E$46,0))</f>
        <v>225</v>
      </c>
      <c r="S163" s="72">
        <f>INDEX(CaseData!$B$46:$E$52,MATCH($D163,CaseData!$B$46:$B$52,0),MATCH($C163,CaseData!$B$46:$E$46,0))</f>
        <v>225</v>
      </c>
      <c r="T163" s="72">
        <f>INDEX(CaseData!$B$46:$E$52,MATCH($D163,CaseData!$B$46:$B$52,0),MATCH($C163,CaseData!$B$46:$E$46,0))</f>
        <v>225</v>
      </c>
      <c r="U163" s="72">
        <f>INDEX(CaseData!$B$46:$E$52,MATCH($D163,CaseData!$B$46:$B$52,0),MATCH($C163,CaseData!$B$46:$E$46,0))</f>
        <v>225</v>
      </c>
      <c r="V163" s="72">
        <f>INDEX(CaseData!$B$46:$E$52,MATCH($D163,CaseData!$B$46:$B$52,0),MATCH($C163,CaseData!$B$46:$E$46,0))</f>
        <v>225</v>
      </c>
      <c r="W163" s="72">
        <f>INDEX(CaseData!$B$46:$E$52,MATCH($D163,CaseData!$B$46:$B$52,0),MATCH($C163,CaseData!$B$46:$E$46,0))</f>
        <v>225</v>
      </c>
      <c r="X163" s="72">
        <f>INDEX(CaseData!$B$46:$E$52,MATCH($D163,CaseData!$B$46:$B$52,0),MATCH($C163,CaseData!$B$46:$E$46,0))</f>
        <v>225</v>
      </c>
      <c r="Y163" s="72">
        <f>INDEX(CaseData!$B$46:$E$52,MATCH($D163,CaseData!$B$46:$B$52,0),MATCH($C163,CaseData!$B$46:$E$46,0))</f>
        <v>225</v>
      </c>
      <c r="Z163" s="72">
        <f>INDEX(CaseData!$B$46:$E$52,MATCH($D163,CaseData!$B$46:$B$52,0),MATCH($C163,CaseData!$B$46:$E$46,0))</f>
        <v>225</v>
      </c>
      <c r="AA163" s="72">
        <f>INDEX(CaseData!$B$46:$E$52,MATCH($D163,CaseData!$B$46:$B$52,0),MATCH($C163,CaseData!$B$46:$E$46,0))</f>
        <v>225</v>
      </c>
      <c r="AB163" s="72">
        <f>INDEX(CaseData!$B$46:$E$52,MATCH($D163,CaseData!$B$46:$B$52,0),MATCH($C163,CaseData!$B$46:$E$46,0))</f>
        <v>225</v>
      </c>
      <c r="AC163" s="72">
        <f>INDEX(CaseData!$B$46:$E$52,MATCH($D163,CaseData!$B$46:$B$52,0),MATCH($C163,CaseData!$B$46:$E$46,0))</f>
        <v>225</v>
      </c>
      <c r="AD163" s="72">
        <f>INDEX(CaseData!$B$46:$E$52,MATCH($D163,CaseData!$B$46:$B$52,0),MATCH($C163,CaseData!$B$46:$E$46,0))</f>
        <v>225</v>
      </c>
      <c r="AE163" s="72">
        <f>INDEX(CaseData!$B$46:$E$52,MATCH($D163,CaseData!$B$46:$B$52,0),MATCH($C163,CaseData!$B$46:$E$46,0))</f>
        <v>225</v>
      </c>
      <c r="AF163" s="72">
        <f>INDEX(CaseData!$B$46:$E$52,MATCH($D163,CaseData!$B$46:$B$52,0),MATCH($C163,CaseData!$B$46:$E$46,0))</f>
        <v>225</v>
      </c>
      <c r="AG163" s="72">
        <f>INDEX(CaseData!$B$46:$E$52,MATCH($D163,CaseData!$B$46:$B$52,0),MATCH($C163,CaseData!$B$46:$E$46,0))</f>
        <v>225</v>
      </c>
      <c r="AH163" s="72">
        <f>INDEX(CaseData!$B$46:$E$52,MATCH($D163,CaseData!$B$46:$B$52,0),MATCH($C163,CaseData!$B$46:$E$46,0))</f>
        <v>225</v>
      </c>
      <c r="AI163" s="72">
        <f>INDEX(CaseData!$B$46:$E$52,MATCH($D163,CaseData!$B$46:$B$52,0),MATCH($C163,CaseData!$B$46:$E$46,0))</f>
        <v>225</v>
      </c>
      <c r="AJ163" s="72">
        <f>INDEX(CaseData!$B$46:$E$52,MATCH($D163,CaseData!$B$46:$B$52,0),MATCH($C163,CaseData!$B$46:$E$46,0))</f>
        <v>225</v>
      </c>
      <c r="AK163" s="72">
        <f>INDEX(CaseData!$B$46:$E$52,MATCH($D163,CaseData!$B$46:$B$52,0),MATCH($C163,CaseData!$B$46:$E$46,0))</f>
        <v>225</v>
      </c>
      <c r="AL163" s="72">
        <f>INDEX(CaseData!$B$46:$E$52,MATCH($D163,CaseData!$B$46:$B$52,0),MATCH($C163,CaseData!$B$46:$E$46,0))</f>
        <v>225</v>
      </c>
      <c r="AM163" s="72">
        <f>INDEX(CaseData!$B$46:$E$52,MATCH($D163,CaseData!$B$46:$B$52,0),MATCH($C163,CaseData!$B$46:$E$46,0))</f>
        <v>225</v>
      </c>
      <c r="AN163" s="72">
        <f>INDEX(CaseData!$B$46:$E$52,MATCH($D163,CaseData!$B$46:$B$52,0),MATCH($C163,CaseData!$B$46:$E$46,0))</f>
        <v>225</v>
      </c>
      <c r="AO163" s="72">
        <f>INDEX(CaseData!$B$46:$E$52,MATCH($D163,CaseData!$B$46:$B$52,0),MATCH($C163,CaseData!$B$46:$E$46,0))</f>
        <v>225</v>
      </c>
      <c r="AP163" s="72">
        <f>INDEX(CaseData!$B$46:$E$52,MATCH($D163,CaseData!$B$46:$B$52,0),MATCH($C163,CaseData!$B$46:$E$46,0))</f>
        <v>225</v>
      </c>
      <c r="AQ163" s="72">
        <f>INDEX(CaseData!$B$46:$E$52,MATCH($D163,CaseData!$B$46:$B$52,0),MATCH($C163,CaseData!$B$46:$E$46,0))</f>
        <v>225</v>
      </c>
      <c r="AR163" s="72">
        <f>INDEX(CaseData!$B$46:$E$52,MATCH($D163,CaseData!$B$46:$B$52,0),MATCH($C163,CaseData!$B$46:$E$46,0))</f>
        <v>225</v>
      </c>
      <c r="AS163" s="72">
        <f>INDEX(CaseData!$B$46:$E$52,MATCH($D163,CaseData!$B$46:$B$52,0),MATCH($C163,CaseData!$B$46:$E$46,0))</f>
        <v>225</v>
      </c>
      <c r="AT163" s="72">
        <f>INDEX(CaseData!$B$46:$E$52,MATCH($D163,CaseData!$B$46:$B$52,0),MATCH($C163,CaseData!$B$46:$E$46,0))</f>
        <v>225</v>
      </c>
      <c r="AU163" s="72">
        <f>INDEX(CaseData!$B$46:$E$52,MATCH($D163,CaseData!$B$46:$B$52,0),MATCH($C163,CaseData!$B$46:$E$46,0))</f>
        <v>225</v>
      </c>
      <c r="AV163" s="72">
        <f>INDEX(CaseData!$B$46:$E$52,MATCH($D163,CaseData!$B$46:$B$52,0),MATCH($C163,CaseData!$B$46:$E$46,0))</f>
        <v>225</v>
      </c>
      <c r="AW163" s="72">
        <f>INDEX(CaseData!$B$46:$E$52,MATCH($D163,CaseData!$B$46:$B$52,0),MATCH($C163,CaseData!$B$46:$E$46,0))</f>
        <v>225</v>
      </c>
      <c r="AX163" s="72">
        <f>INDEX(CaseData!$B$46:$E$52,MATCH($D163,CaseData!$B$46:$B$52,0),MATCH($C163,CaseData!$B$46:$E$46,0))</f>
        <v>225</v>
      </c>
      <c r="AY163" s="72">
        <f>INDEX(CaseData!$B$46:$E$52,MATCH($D163,CaseData!$B$46:$B$52,0),MATCH($C163,CaseData!$B$46:$E$46,0))</f>
        <v>225</v>
      </c>
      <c r="AZ163" s="72">
        <f>INDEX(CaseData!$B$46:$E$52,MATCH($D163,CaseData!$B$46:$B$52,0),MATCH($C163,CaseData!$B$46:$E$46,0))</f>
        <v>225</v>
      </c>
      <c r="BA163" s="72">
        <f>INDEX(CaseData!$B$46:$E$52,MATCH($D163,CaseData!$B$46:$B$52,0),MATCH($C163,CaseData!$B$46:$E$46,0))</f>
        <v>225</v>
      </c>
      <c r="BB163" s="72">
        <f>INDEX(CaseData!$B$46:$E$52,MATCH($D163,CaseData!$B$46:$B$52,0),MATCH($C163,CaseData!$B$46:$E$46,0))</f>
        <v>225</v>
      </c>
      <c r="BC163" s="72">
        <f>INDEX(CaseData!$B$46:$E$52,MATCH($D163,CaseData!$B$46:$B$52,0),MATCH($C163,CaseData!$B$46:$E$46,0))</f>
        <v>225</v>
      </c>
      <c r="BD163" s="72">
        <f>INDEX(CaseData!$B$46:$E$52,MATCH($D163,CaseData!$B$46:$B$52,0),MATCH($C163,CaseData!$B$46:$E$46,0))</f>
        <v>225</v>
      </c>
      <c r="BE163" s="72">
        <f>INDEX(CaseData!$B$46:$E$52,MATCH($D163,CaseData!$B$46:$B$52,0),MATCH($C163,CaseData!$B$46:$E$46,0))</f>
        <v>225</v>
      </c>
      <c r="BF163" s="72">
        <f>INDEX(CaseData!$B$46:$E$52,MATCH($D163,CaseData!$B$46:$B$52,0),MATCH($C163,CaseData!$B$46:$E$46,0))</f>
        <v>225</v>
      </c>
      <c r="BG163" s="72">
        <f>INDEX(CaseData!$B$46:$E$52,MATCH($D163,CaseData!$B$46:$B$52,0),MATCH($C163,CaseData!$B$46:$E$46,0))</f>
        <v>225</v>
      </c>
      <c r="BH163" s="72">
        <f>INDEX(CaseData!$B$46:$E$52,MATCH($D163,CaseData!$B$46:$B$52,0),MATCH($C163,CaseData!$B$46:$E$46,0))</f>
        <v>225</v>
      </c>
      <c r="BI163" s="72">
        <f>INDEX(CaseData!$B$46:$E$52,MATCH($D163,CaseData!$B$46:$B$52,0),MATCH($C163,CaseData!$B$46:$E$46,0))</f>
        <v>225</v>
      </c>
      <c r="BJ163" s="72">
        <f>INDEX(CaseData!$B$46:$E$52,MATCH($D163,CaseData!$B$46:$B$52,0),MATCH($C163,CaseData!$B$46:$E$46,0))</f>
        <v>225</v>
      </c>
      <c r="BK163" s="72">
        <f>INDEX(CaseData!$B$46:$E$52,MATCH($D163,CaseData!$B$46:$B$52,0),MATCH($C163,CaseData!$B$46:$E$46,0))</f>
        <v>225</v>
      </c>
      <c r="BL163" s="72">
        <f>INDEX(CaseData!$B$46:$E$52,MATCH($D163,CaseData!$B$46:$B$52,0),MATCH($C163,CaseData!$B$46:$E$46,0))</f>
        <v>225</v>
      </c>
      <c r="BM163" s="72">
        <f>INDEX(CaseData!$B$46:$E$52,MATCH($D163,CaseData!$B$46:$B$52,0),MATCH($C163,CaseData!$B$46:$E$46,0))</f>
        <v>225</v>
      </c>
      <c r="BN163" s="72">
        <f>INDEX(CaseData!$B$46:$E$52,MATCH($D163,CaseData!$B$46:$B$52,0),MATCH($C163,CaseData!$B$46:$E$46,0))</f>
        <v>225</v>
      </c>
    </row>
    <row r="164" spans="2:66" ht="13.8">
      <c r="B164" s="37" t="str">
        <f>CaseData!$B$35</f>
        <v>Moscow</v>
      </c>
      <c r="C164" t="str">
        <f t="shared" si="70"/>
        <v>Women's</v>
      </c>
      <c r="D164" s="84" t="str">
        <f>INDEX(CaseData!$E$10:$E$17,MATCH(B164,CaseData!$C$10:$C$17,0))</f>
        <v>RUB</v>
      </c>
      <c r="E164" s="85"/>
      <c r="G164" s="72">
        <f>INDEX(CaseData!$B$46:$E$52,MATCH($D164,CaseData!$B$46:$B$52,0),MATCH($C164,CaseData!$B$46:$E$46,0))</f>
        <v>55000</v>
      </c>
      <c r="H164" s="72">
        <f>INDEX(CaseData!$B$46:$E$52,MATCH($D164,CaseData!$B$46:$B$52,0),MATCH($C164,CaseData!$B$46:$E$46,0))</f>
        <v>55000</v>
      </c>
      <c r="I164" s="72">
        <f>INDEX(CaseData!$B$46:$E$52,MATCH($D164,CaseData!$B$46:$B$52,0),MATCH($C164,CaseData!$B$46:$E$46,0))</f>
        <v>55000</v>
      </c>
      <c r="J164" s="72">
        <f>INDEX(CaseData!$B$46:$E$52,MATCH($D164,CaseData!$B$46:$B$52,0),MATCH($C164,CaseData!$B$46:$E$46,0))</f>
        <v>55000</v>
      </c>
      <c r="K164" s="72">
        <f>INDEX(CaseData!$B$46:$E$52,MATCH($D164,CaseData!$B$46:$B$52,0),MATCH($C164,CaseData!$B$46:$E$46,0))</f>
        <v>55000</v>
      </c>
      <c r="L164" s="72">
        <f>INDEX(CaseData!$B$46:$E$52,MATCH($D164,CaseData!$B$46:$B$52,0),MATCH($C164,CaseData!$B$46:$E$46,0))</f>
        <v>55000</v>
      </c>
      <c r="M164" s="72">
        <f>INDEX(CaseData!$B$46:$E$52,MATCH($D164,CaseData!$B$46:$B$52,0),MATCH($C164,CaseData!$B$46:$E$46,0))</f>
        <v>55000</v>
      </c>
      <c r="N164" s="72">
        <f>INDEX(CaseData!$B$46:$E$52,MATCH($D164,CaseData!$B$46:$B$52,0),MATCH($C164,CaseData!$B$46:$E$46,0))</f>
        <v>55000</v>
      </c>
      <c r="O164" s="72">
        <f>INDEX(CaseData!$B$46:$E$52,MATCH($D164,CaseData!$B$46:$B$52,0),MATCH($C164,CaseData!$B$46:$E$46,0))</f>
        <v>55000</v>
      </c>
      <c r="P164" s="72">
        <f>INDEX(CaseData!$B$46:$E$52,MATCH($D164,CaseData!$B$46:$B$52,0),MATCH($C164,CaseData!$B$46:$E$46,0))</f>
        <v>55000</v>
      </c>
      <c r="Q164" s="72">
        <f>INDEX(CaseData!$B$46:$E$52,MATCH($D164,CaseData!$B$46:$B$52,0),MATCH($C164,CaseData!$B$46:$E$46,0))</f>
        <v>55000</v>
      </c>
      <c r="R164" s="72">
        <f>INDEX(CaseData!$B$46:$E$52,MATCH($D164,CaseData!$B$46:$B$52,0),MATCH($C164,CaseData!$B$46:$E$46,0))</f>
        <v>55000</v>
      </c>
      <c r="S164" s="72">
        <f>INDEX(CaseData!$B$46:$E$52,MATCH($D164,CaseData!$B$46:$B$52,0),MATCH($C164,CaseData!$B$46:$E$46,0))</f>
        <v>55000</v>
      </c>
      <c r="T164" s="72">
        <f>INDEX(CaseData!$B$46:$E$52,MATCH($D164,CaseData!$B$46:$B$52,0),MATCH($C164,CaseData!$B$46:$E$46,0))</f>
        <v>55000</v>
      </c>
      <c r="U164" s="72">
        <f>INDEX(CaseData!$B$46:$E$52,MATCH($D164,CaseData!$B$46:$B$52,0),MATCH($C164,CaseData!$B$46:$E$46,0))</f>
        <v>55000</v>
      </c>
      <c r="V164" s="72">
        <f>INDEX(CaseData!$B$46:$E$52,MATCH($D164,CaseData!$B$46:$B$52,0),MATCH($C164,CaseData!$B$46:$E$46,0))</f>
        <v>55000</v>
      </c>
      <c r="W164" s="72">
        <f>INDEX(CaseData!$B$46:$E$52,MATCH($D164,CaseData!$B$46:$B$52,0),MATCH($C164,CaseData!$B$46:$E$46,0))</f>
        <v>55000</v>
      </c>
      <c r="X164" s="72">
        <f>INDEX(CaseData!$B$46:$E$52,MATCH($D164,CaseData!$B$46:$B$52,0),MATCH($C164,CaseData!$B$46:$E$46,0))</f>
        <v>55000</v>
      </c>
      <c r="Y164" s="72">
        <f>INDEX(CaseData!$B$46:$E$52,MATCH($D164,CaseData!$B$46:$B$52,0),MATCH($C164,CaseData!$B$46:$E$46,0))</f>
        <v>55000</v>
      </c>
      <c r="Z164" s="72">
        <f>INDEX(CaseData!$B$46:$E$52,MATCH($D164,CaseData!$B$46:$B$52,0),MATCH($C164,CaseData!$B$46:$E$46,0))</f>
        <v>55000</v>
      </c>
      <c r="AA164" s="72">
        <f>INDEX(CaseData!$B$46:$E$52,MATCH($D164,CaseData!$B$46:$B$52,0),MATCH($C164,CaseData!$B$46:$E$46,0))</f>
        <v>55000</v>
      </c>
      <c r="AB164" s="72">
        <f>INDEX(CaseData!$B$46:$E$52,MATCH($D164,CaseData!$B$46:$B$52,0),MATCH($C164,CaseData!$B$46:$E$46,0))</f>
        <v>55000</v>
      </c>
      <c r="AC164" s="72">
        <f>INDEX(CaseData!$B$46:$E$52,MATCH($D164,CaseData!$B$46:$B$52,0),MATCH($C164,CaseData!$B$46:$E$46,0))</f>
        <v>55000</v>
      </c>
      <c r="AD164" s="72">
        <f>INDEX(CaseData!$B$46:$E$52,MATCH($D164,CaseData!$B$46:$B$52,0),MATCH($C164,CaseData!$B$46:$E$46,0))</f>
        <v>55000</v>
      </c>
      <c r="AE164" s="72">
        <f>INDEX(CaseData!$B$46:$E$52,MATCH($D164,CaseData!$B$46:$B$52,0),MATCH($C164,CaseData!$B$46:$E$46,0))</f>
        <v>55000</v>
      </c>
      <c r="AF164" s="72">
        <f>INDEX(CaseData!$B$46:$E$52,MATCH($D164,CaseData!$B$46:$B$52,0),MATCH($C164,CaseData!$B$46:$E$46,0))</f>
        <v>55000</v>
      </c>
      <c r="AG164" s="72">
        <f>INDEX(CaseData!$B$46:$E$52,MATCH($D164,CaseData!$B$46:$B$52,0),MATCH($C164,CaseData!$B$46:$E$46,0))</f>
        <v>55000</v>
      </c>
      <c r="AH164" s="72">
        <f>INDEX(CaseData!$B$46:$E$52,MATCH($D164,CaseData!$B$46:$B$52,0),MATCH($C164,CaseData!$B$46:$E$46,0))</f>
        <v>55000</v>
      </c>
      <c r="AI164" s="72">
        <f>INDEX(CaseData!$B$46:$E$52,MATCH($D164,CaseData!$B$46:$B$52,0),MATCH($C164,CaseData!$B$46:$E$46,0))</f>
        <v>55000</v>
      </c>
      <c r="AJ164" s="72">
        <f>INDEX(CaseData!$B$46:$E$52,MATCH($D164,CaseData!$B$46:$B$52,0),MATCH($C164,CaseData!$B$46:$E$46,0))</f>
        <v>55000</v>
      </c>
      <c r="AK164" s="72">
        <f>INDEX(CaseData!$B$46:$E$52,MATCH($D164,CaseData!$B$46:$B$52,0),MATCH($C164,CaseData!$B$46:$E$46,0))</f>
        <v>55000</v>
      </c>
      <c r="AL164" s="72">
        <f>INDEX(CaseData!$B$46:$E$52,MATCH($D164,CaseData!$B$46:$B$52,0),MATCH($C164,CaseData!$B$46:$E$46,0))</f>
        <v>55000</v>
      </c>
      <c r="AM164" s="72">
        <f>INDEX(CaseData!$B$46:$E$52,MATCH($D164,CaseData!$B$46:$B$52,0),MATCH($C164,CaseData!$B$46:$E$46,0))</f>
        <v>55000</v>
      </c>
      <c r="AN164" s="72">
        <f>INDEX(CaseData!$B$46:$E$52,MATCH($D164,CaseData!$B$46:$B$52,0),MATCH($C164,CaseData!$B$46:$E$46,0))</f>
        <v>55000</v>
      </c>
      <c r="AO164" s="72">
        <f>INDEX(CaseData!$B$46:$E$52,MATCH($D164,CaseData!$B$46:$B$52,0),MATCH($C164,CaseData!$B$46:$E$46,0))</f>
        <v>55000</v>
      </c>
      <c r="AP164" s="72">
        <f>INDEX(CaseData!$B$46:$E$52,MATCH($D164,CaseData!$B$46:$B$52,0),MATCH($C164,CaseData!$B$46:$E$46,0))</f>
        <v>55000</v>
      </c>
      <c r="AQ164" s="72">
        <f>INDEX(CaseData!$B$46:$E$52,MATCH($D164,CaseData!$B$46:$B$52,0),MATCH($C164,CaseData!$B$46:$E$46,0))</f>
        <v>55000</v>
      </c>
      <c r="AR164" s="72">
        <f>INDEX(CaseData!$B$46:$E$52,MATCH($D164,CaseData!$B$46:$B$52,0),MATCH($C164,CaseData!$B$46:$E$46,0))</f>
        <v>55000</v>
      </c>
      <c r="AS164" s="72">
        <f>INDEX(CaseData!$B$46:$E$52,MATCH($D164,CaseData!$B$46:$B$52,0),MATCH($C164,CaseData!$B$46:$E$46,0))</f>
        <v>55000</v>
      </c>
      <c r="AT164" s="72">
        <f>INDEX(CaseData!$B$46:$E$52,MATCH($D164,CaseData!$B$46:$B$52,0),MATCH($C164,CaseData!$B$46:$E$46,0))</f>
        <v>55000</v>
      </c>
      <c r="AU164" s="72">
        <f>INDEX(CaseData!$B$46:$E$52,MATCH($D164,CaseData!$B$46:$B$52,0),MATCH($C164,CaseData!$B$46:$E$46,0))</f>
        <v>55000</v>
      </c>
      <c r="AV164" s="72">
        <f>INDEX(CaseData!$B$46:$E$52,MATCH($D164,CaseData!$B$46:$B$52,0),MATCH($C164,CaseData!$B$46:$E$46,0))</f>
        <v>55000</v>
      </c>
      <c r="AW164" s="72">
        <f>INDEX(CaseData!$B$46:$E$52,MATCH($D164,CaseData!$B$46:$B$52,0),MATCH($C164,CaseData!$B$46:$E$46,0))</f>
        <v>55000</v>
      </c>
      <c r="AX164" s="72">
        <f>INDEX(CaseData!$B$46:$E$52,MATCH($D164,CaseData!$B$46:$B$52,0),MATCH($C164,CaseData!$B$46:$E$46,0))</f>
        <v>55000</v>
      </c>
      <c r="AY164" s="72">
        <f>INDEX(CaseData!$B$46:$E$52,MATCH($D164,CaseData!$B$46:$B$52,0),MATCH($C164,CaseData!$B$46:$E$46,0))</f>
        <v>55000</v>
      </c>
      <c r="AZ164" s="72">
        <f>INDEX(CaseData!$B$46:$E$52,MATCH($D164,CaseData!$B$46:$B$52,0),MATCH($C164,CaseData!$B$46:$E$46,0))</f>
        <v>55000</v>
      </c>
      <c r="BA164" s="72">
        <f>INDEX(CaseData!$B$46:$E$52,MATCH($D164,CaseData!$B$46:$B$52,0),MATCH($C164,CaseData!$B$46:$E$46,0))</f>
        <v>55000</v>
      </c>
      <c r="BB164" s="72">
        <f>INDEX(CaseData!$B$46:$E$52,MATCH($D164,CaseData!$B$46:$B$52,0),MATCH($C164,CaseData!$B$46:$E$46,0))</f>
        <v>55000</v>
      </c>
      <c r="BC164" s="72">
        <f>INDEX(CaseData!$B$46:$E$52,MATCH($D164,CaseData!$B$46:$B$52,0),MATCH($C164,CaseData!$B$46:$E$46,0))</f>
        <v>55000</v>
      </c>
      <c r="BD164" s="72">
        <f>INDEX(CaseData!$B$46:$E$52,MATCH($D164,CaseData!$B$46:$B$52,0),MATCH($C164,CaseData!$B$46:$E$46,0))</f>
        <v>55000</v>
      </c>
      <c r="BE164" s="72">
        <f>INDEX(CaseData!$B$46:$E$52,MATCH($D164,CaseData!$B$46:$B$52,0),MATCH($C164,CaseData!$B$46:$E$46,0))</f>
        <v>55000</v>
      </c>
      <c r="BF164" s="72">
        <f>INDEX(CaseData!$B$46:$E$52,MATCH($D164,CaseData!$B$46:$B$52,0),MATCH($C164,CaseData!$B$46:$E$46,0))</f>
        <v>55000</v>
      </c>
      <c r="BG164" s="72">
        <f>INDEX(CaseData!$B$46:$E$52,MATCH($D164,CaseData!$B$46:$B$52,0),MATCH($C164,CaseData!$B$46:$E$46,0))</f>
        <v>55000</v>
      </c>
      <c r="BH164" s="72">
        <f>INDEX(CaseData!$B$46:$E$52,MATCH($D164,CaseData!$B$46:$B$52,0),MATCH($C164,CaseData!$B$46:$E$46,0))</f>
        <v>55000</v>
      </c>
      <c r="BI164" s="72">
        <f>INDEX(CaseData!$B$46:$E$52,MATCH($D164,CaseData!$B$46:$B$52,0),MATCH($C164,CaseData!$B$46:$E$46,0))</f>
        <v>55000</v>
      </c>
      <c r="BJ164" s="72">
        <f>INDEX(CaseData!$B$46:$E$52,MATCH($D164,CaseData!$B$46:$B$52,0),MATCH($C164,CaseData!$B$46:$E$46,0))</f>
        <v>55000</v>
      </c>
      <c r="BK164" s="72">
        <f>INDEX(CaseData!$B$46:$E$52,MATCH($D164,CaseData!$B$46:$B$52,0),MATCH($C164,CaseData!$B$46:$E$46,0))</f>
        <v>55000</v>
      </c>
      <c r="BL164" s="72">
        <f>INDEX(CaseData!$B$46:$E$52,MATCH($D164,CaseData!$B$46:$B$52,0),MATCH($C164,CaseData!$B$46:$E$46,0))</f>
        <v>55000</v>
      </c>
      <c r="BM164" s="72">
        <f>INDEX(CaseData!$B$46:$E$52,MATCH($D164,CaseData!$B$46:$B$52,0),MATCH($C164,CaseData!$B$46:$E$46,0))</f>
        <v>55000</v>
      </c>
      <c r="BN164" s="72">
        <f>INDEX(CaseData!$B$46:$E$52,MATCH($D164,CaseData!$B$46:$B$52,0),MATCH($C164,CaseData!$B$46:$E$46,0))</f>
        <v>55000</v>
      </c>
    </row>
    <row r="165" spans="2:66" ht="13.8">
      <c r="B165" s="37" t="str">
        <f t="shared" ref="B165:B166" si="77">B164</f>
        <v>Moscow</v>
      </c>
      <c r="C165" t="str">
        <f t="shared" si="70"/>
        <v>Men's</v>
      </c>
      <c r="D165" s="84" t="str">
        <f>INDEX(CaseData!$E$10:$E$17,MATCH(B165,CaseData!$C$10:$C$17,0))</f>
        <v>RUB</v>
      </c>
      <c r="E165" s="85"/>
      <c r="G165" s="72">
        <f>INDEX(CaseData!$B$46:$E$52,MATCH($D165,CaseData!$B$46:$B$52,0),MATCH($C165,CaseData!$B$46:$E$46,0))</f>
        <v>40000</v>
      </c>
      <c r="H165" s="72">
        <f>INDEX(CaseData!$B$46:$E$52,MATCH($D165,CaseData!$B$46:$B$52,0),MATCH($C165,CaseData!$B$46:$E$46,0))</f>
        <v>40000</v>
      </c>
      <c r="I165" s="72">
        <f>INDEX(CaseData!$B$46:$E$52,MATCH($D165,CaseData!$B$46:$B$52,0),MATCH($C165,CaseData!$B$46:$E$46,0))</f>
        <v>40000</v>
      </c>
      <c r="J165" s="72">
        <f>INDEX(CaseData!$B$46:$E$52,MATCH($D165,CaseData!$B$46:$B$52,0),MATCH($C165,CaseData!$B$46:$E$46,0))</f>
        <v>40000</v>
      </c>
      <c r="K165" s="72">
        <f>INDEX(CaseData!$B$46:$E$52,MATCH($D165,CaseData!$B$46:$B$52,0),MATCH($C165,CaseData!$B$46:$E$46,0))</f>
        <v>40000</v>
      </c>
      <c r="L165" s="72">
        <f>INDEX(CaseData!$B$46:$E$52,MATCH($D165,CaseData!$B$46:$B$52,0),MATCH($C165,CaseData!$B$46:$E$46,0))</f>
        <v>40000</v>
      </c>
      <c r="M165" s="72">
        <f>INDEX(CaseData!$B$46:$E$52,MATCH($D165,CaseData!$B$46:$B$52,0),MATCH($C165,CaseData!$B$46:$E$46,0))</f>
        <v>40000</v>
      </c>
      <c r="N165" s="72">
        <f>INDEX(CaseData!$B$46:$E$52,MATCH($D165,CaseData!$B$46:$B$52,0),MATCH($C165,CaseData!$B$46:$E$46,0))</f>
        <v>40000</v>
      </c>
      <c r="O165" s="72">
        <f>INDEX(CaseData!$B$46:$E$52,MATCH($D165,CaseData!$B$46:$B$52,0),MATCH($C165,CaseData!$B$46:$E$46,0))</f>
        <v>40000</v>
      </c>
      <c r="P165" s="72">
        <f>INDEX(CaseData!$B$46:$E$52,MATCH($D165,CaseData!$B$46:$B$52,0),MATCH($C165,CaseData!$B$46:$E$46,0))</f>
        <v>40000</v>
      </c>
      <c r="Q165" s="72">
        <f>INDEX(CaseData!$B$46:$E$52,MATCH($D165,CaseData!$B$46:$B$52,0),MATCH($C165,CaseData!$B$46:$E$46,0))</f>
        <v>40000</v>
      </c>
      <c r="R165" s="72">
        <f>INDEX(CaseData!$B$46:$E$52,MATCH($D165,CaseData!$B$46:$B$52,0),MATCH($C165,CaseData!$B$46:$E$46,0))</f>
        <v>40000</v>
      </c>
      <c r="S165" s="72">
        <f>INDEX(CaseData!$B$46:$E$52,MATCH($D165,CaseData!$B$46:$B$52,0),MATCH($C165,CaseData!$B$46:$E$46,0))</f>
        <v>40000</v>
      </c>
      <c r="T165" s="72">
        <f>INDEX(CaseData!$B$46:$E$52,MATCH($D165,CaseData!$B$46:$B$52,0),MATCH($C165,CaseData!$B$46:$E$46,0))</f>
        <v>40000</v>
      </c>
      <c r="U165" s="72">
        <f>INDEX(CaseData!$B$46:$E$52,MATCH($D165,CaseData!$B$46:$B$52,0),MATCH($C165,CaseData!$B$46:$E$46,0))</f>
        <v>40000</v>
      </c>
      <c r="V165" s="72">
        <f>INDEX(CaseData!$B$46:$E$52,MATCH($D165,CaseData!$B$46:$B$52,0),MATCH($C165,CaseData!$B$46:$E$46,0))</f>
        <v>40000</v>
      </c>
      <c r="W165" s="72">
        <f>INDEX(CaseData!$B$46:$E$52,MATCH($D165,CaseData!$B$46:$B$52,0),MATCH($C165,CaseData!$B$46:$E$46,0))</f>
        <v>40000</v>
      </c>
      <c r="X165" s="72">
        <f>INDEX(CaseData!$B$46:$E$52,MATCH($D165,CaseData!$B$46:$B$52,0),MATCH($C165,CaseData!$B$46:$E$46,0))</f>
        <v>40000</v>
      </c>
      <c r="Y165" s="72">
        <f>INDEX(CaseData!$B$46:$E$52,MATCH($D165,CaseData!$B$46:$B$52,0),MATCH($C165,CaseData!$B$46:$E$46,0))</f>
        <v>40000</v>
      </c>
      <c r="Z165" s="72">
        <f>INDEX(CaseData!$B$46:$E$52,MATCH($D165,CaseData!$B$46:$B$52,0),MATCH($C165,CaseData!$B$46:$E$46,0))</f>
        <v>40000</v>
      </c>
      <c r="AA165" s="72">
        <f>INDEX(CaseData!$B$46:$E$52,MATCH($D165,CaseData!$B$46:$B$52,0),MATCH($C165,CaseData!$B$46:$E$46,0))</f>
        <v>40000</v>
      </c>
      <c r="AB165" s="72">
        <f>INDEX(CaseData!$B$46:$E$52,MATCH($D165,CaseData!$B$46:$B$52,0),MATCH($C165,CaseData!$B$46:$E$46,0))</f>
        <v>40000</v>
      </c>
      <c r="AC165" s="72">
        <f>INDEX(CaseData!$B$46:$E$52,MATCH($D165,CaseData!$B$46:$B$52,0),MATCH($C165,CaseData!$B$46:$E$46,0))</f>
        <v>40000</v>
      </c>
      <c r="AD165" s="72">
        <f>INDEX(CaseData!$B$46:$E$52,MATCH($D165,CaseData!$B$46:$B$52,0),MATCH($C165,CaseData!$B$46:$E$46,0))</f>
        <v>40000</v>
      </c>
      <c r="AE165" s="72">
        <f>INDEX(CaseData!$B$46:$E$52,MATCH($D165,CaseData!$B$46:$B$52,0),MATCH($C165,CaseData!$B$46:$E$46,0))</f>
        <v>40000</v>
      </c>
      <c r="AF165" s="72">
        <f>INDEX(CaseData!$B$46:$E$52,MATCH($D165,CaseData!$B$46:$B$52,0),MATCH($C165,CaseData!$B$46:$E$46,0))</f>
        <v>40000</v>
      </c>
      <c r="AG165" s="72">
        <f>INDEX(CaseData!$B$46:$E$52,MATCH($D165,CaseData!$B$46:$B$52,0),MATCH($C165,CaseData!$B$46:$E$46,0))</f>
        <v>40000</v>
      </c>
      <c r="AH165" s="72">
        <f>INDEX(CaseData!$B$46:$E$52,MATCH($D165,CaseData!$B$46:$B$52,0),MATCH($C165,CaseData!$B$46:$E$46,0))</f>
        <v>40000</v>
      </c>
      <c r="AI165" s="72">
        <f>INDEX(CaseData!$B$46:$E$52,MATCH($D165,CaseData!$B$46:$B$52,0),MATCH($C165,CaseData!$B$46:$E$46,0))</f>
        <v>40000</v>
      </c>
      <c r="AJ165" s="72">
        <f>INDEX(CaseData!$B$46:$E$52,MATCH($D165,CaseData!$B$46:$B$52,0),MATCH($C165,CaseData!$B$46:$E$46,0))</f>
        <v>40000</v>
      </c>
      <c r="AK165" s="72">
        <f>INDEX(CaseData!$B$46:$E$52,MATCH($D165,CaseData!$B$46:$B$52,0),MATCH($C165,CaseData!$B$46:$E$46,0))</f>
        <v>40000</v>
      </c>
      <c r="AL165" s="72">
        <f>INDEX(CaseData!$B$46:$E$52,MATCH($D165,CaseData!$B$46:$B$52,0),MATCH($C165,CaseData!$B$46:$E$46,0))</f>
        <v>40000</v>
      </c>
      <c r="AM165" s="72">
        <f>INDEX(CaseData!$B$46:$E$52,MATCH($D165,CaseData!$B$46:$B$52,0),MATCH($C165,CaseData!$B$46:$E$46,0))</f>
        <v>40000</v>
      </c>
      <c r="AN165" s="72">
        <f>INDEX(CaseData!$B$46:$E$52,MATCH($D165,CaseData!$B$46:$B$52,0),MATCH($C165,CaseData!$B$46:$E$46,0))</f>
        <v>40000</v>
      </c>
      <c r="AO165" s="72">
        <f>INDEX(CaseData!$B$46:$E$52,MATCH($D165,CaseData!$B$46:$B$52,0),MATCH($C165,CaseData!$B$46:$E$46,0))</f>
        <v>40000</v>
      </c>
      <c r="AP165" s="72">
        <f>INDEX(CaseData!$B$46:$E$52,MATCH($D165,CaseData!$B$46:$B$52,0),MATCH($C165,CaseData!$B$46:$E$46,0))</f>
        <v>40000</v>
      </c>
      <c r="AQ165" s="72">
        <f>INDEX(CaseData!$B$46:$E$52,MATCH($D165,CaseData!$B$46:$B$52,0),MATCH($C165,CaseData!$B$46:$E$46,0))</f>
        <v>40000</v>
      </c>
      <c r="AR165" s="72">
        <f>INDEX(CaseData!$B$46:$E$52,MATCH($D165,CaseData!$B$46:$B$52,0),MATCH($C165,CaseData!$B$46:$E$46,0))</f>
        <v>40000</v>
      </c>
      <c r="AS165" s="72">
        <f>INDEX(CaseData!$B$46:$E$52,MATCH($D165,CaseData!$B$46:$B$52,0),MATCH($C165,CaseData!$B$46:$E$46,0))</f>
        <v>40000</v>
      </c>
      <c r="AT165" s="72">
        <f>INDEX(CaseData!$B$46:$E$52,MATCH($D165,CaseData!$B$46:$B$52,0),MATCH($C165,CaseData!$B$46:$E$46,0))</f>
        <v>40000</v>
      </c>
      <c r="AU165" s="72">
        <f>INDEX(CaseData!$B$46:$E$52,MATCH($D165,CaseData!$B$46:$B$52,0),MATCH($C165,CaseData!$B$46:$E$46,0))</f>
        <v>40000</v>
      </c>
      <c r="AV165" s="72">
        <f>INDEX(CaseData!$B$46:$E$52,MATCH($D165,CaseData!$B$46:$B$52,0),MATCH($C165,CaseData!$B$46:$E$46,0))</f>
        <v>40000</v>
      </c>
      <c r="AW165" s="72">
        <f>INDEX(CaseData!$B$46:$E$52,MATCH($D165,CaseData!$B$46:$B$52,0),MATCH($C165,CaseData!$B$46:$E$46,0))</f>
        <v>40000</v>
      </c>
      <c r="AX165" s="72">
        <f>INDEX(CaseData!$B$46:$E$52,MATCH($D165,CaseData!$B$46:$B$52,0),MATCH($C165,CaseData!$B$46:$E$46,0))</f>
        <v>40000</v>
      </c>
      <c r="AY165" s="72">
        <f>INDEX(CaseData!$B$46:$E$52,MATCH($D165,CaseData!$B$46:$B$52,0),MATCH($C165,CaseData!$B$46:$E$46,0))</f>
        <v>40000</v>
      </c>
      <c r="AZ165" s="72">
        <f>INDEX(CaseData!$B$46:$E$52,MATCH($D165,CaseData!$B$46:$B$52,0),MATCH($C165,CaseData!$B$46:$E$46,0))</f>
        <v>40000</v>
      </c>
      <c r="BA165" s="72">
        <f>INDEX(CaseData!$B$46:$E$52,MATCH($D165,CaseData!$B$46:$B$52,0),MATCH($C165,CaseData!$B$46:$E$46,0))</f>
        <v>40000</v>
      </c>
      <c r="BB165" s="72">
        <f>INDEX(CaseData!$B$46:$E$52,MATCH($D165,CaseData!$B$46:$B$52,0),MATCH($C165,CaseData!$B$46:$E$46,0))</f>
        <v>40000</v>
      </c>
      <c r="BC165" s="72">
        <f>INDEX(CaseData!$B$46:$E$52,MATCH($D165,CaseData!$B$46:$B$52,0),MATCH($C165,CaseData!$B$46:$E$46,0))</f>
        <v>40000</v>
      </c>
      <c r="BD165" s="72">
        <f>INDEX(CaseData!$B$46:$E$52,MATCH($D165,CaseData!$B$46:$B$52,0),MATCH($C165,CaseData!$B$46:$E$46,0))</f>
        <v>40000</v>
      </c>
      <c r="BE165" s="72">
        <f>INDEX(CaseData!$B$46:$E$52,MATCH($D165,CaseData!$B$46:$B$52,0),MATCH($C165,CaseData!$B$46:$E$46,0))</f>
        <v>40000</v>
      </c>
      <c r="BF165" s="72">
        <f>INDEX(CaseData!$B$46:$E$52,MATCH($D165,CaseData!$B$46:$B$52,0),MATCH($C165,CaseData!$B$46:$E$46,0))</f>
        <v>40000</v>
      </c>
      <c r="BG165" s="72">
        <f>INDEX(CaseData!$B$46:$E$52,MATCH($D165,CaseData!$B$46:$B$52,0),MATCH($C165,CaseData!$B$46:$E$46,0))</f>
        <v>40000</v>
      </c>
      <c r="BH165" s="72">
        <f>INDEX(CaseData!$B$46:$E$52,MATCH($D165,CaseData!$B$46:$B$52,0),MATCH($C165,CaseData!$B$46:$E$46,0))</f>
        <v>40000</v>
      </c>
      <c r="BI165" s="72">
        <f>INDEX(CaseData!$B$46:$E$52,MATCH($D165,CaseData!$B$46:$B$52,0),MATCH($C165,CaseData!$B$46:$E$46,0))</f>
        <v>40000</v>
      </c>
      <c r="BJ165" s="72">
        <f>INDEX(CaseData!$B$46:$E$52,MATCH($D165,CaseData!$B$46:$B$52,0),MATCH($C165,CaseData!$B$46:$E$46,0))</f>
        <v>40000</v>
      </c>
      <c r="BK165" s="72">
        <f>INDEX(CaseData!$B$46:$E$52,MATCH($D165,CaseData!$B$46:$B$52,0),MATCH($C165,CaseData!$B$46:$E$46,0))</f>
        <v>40000</v>
      </c>
      <c r="BL165" s="72">
        <f>INDEX(CaseData!$B$46:$E$52,MATCH($D165,CaseData!$B$46:$B$52,0),MATCH($C165,CaseData!$B$46:$E$46,0))</f>
        <v>40000</v>
      </c>
      <c r="BM165" s="72">
        <f>INDEX(CaseData!$B$46:$E$52,MATCH($D165,CaseData!$B$46:$B$52,0),MATCH($C165,CaseData!$B$46:$E$46,0))</f>
        <v>40000</v>
      </c>
      <c r="BN165" s="72">
        <f>INDEX(CaseData!$B$46:$E$52,MATCH($D165,CaseData!$B$46:$B$52,0),MATCH($C165,CaseData!$B$46:$E$46,0))</f>
        <v>40000</v>
      </c>
    </row>
    <row r="166" spans="2:66" ht="13.8">
      <c r="B166" s="37" t="str">
        <f t="shared" si="77"/>
        <v>Moscow</v>
      </c>
      <c r="C166" t="str">
        <f t="shared" si="70"/>
        <v>Accessories</v>
      </c>
      <c r="D166" s="84" t="str">
        <f>INDEX(CaseData!$E$10:$E$17,MATCH(B166,CaseData!$C$10:$C$17,0))</f>
        <v>RUB</v>
      </c>
      <c r="E166" s="85"/>
      <c r="G166" s="72">
        <f>INDEX(CaseData!$B$46:$E$52,MATCH($D166,CaseData!$B$46:$B$52,0),MATCH($C166,CaseData!$B$46:$E$46,0))</f>
        <v>15000</v>
      </c>
      <c r="H166" s="72">
        <f>INDEX(CaseData!$B$46:$E$52,MATCH($D166,CaseData!$B$46:$B$52,0),MATCH($C166,CaseData!$B$46:$E$46,0))</f>
        <v>15000</v>
      </c>
      <c r="I166" s="72">
        <f>INDEX(CaseData!$B$46:$E$52,MATCH($D166,CaseData!$B$46:$B$52,0),MATCH($C166,CaseData!$B$46:$E$46,0))</f>
        <v>15000</v>
      </c>
      <c r="J166" s="72">
        <f>INDEX(CaseData!$B$46:$E$52,MATCH($D166,CaseData!$B$46:$B$52,0),MATCH($C166,CaseData!$B$46:$E$46,0))</f>
        <v>15000</v>
      </c>
      <c r="K166" s="72">
        <f>INDEX(CaseData!$B$46:$E$52,MATCH($D166,CaseData!$B$46:$B$52,0),MATCH($C166,CaseData!$B$46:$E$46,0))</f>
        <v>15000</v>
      </c>
      <c r="L166" s="72">
        <f>INDEX(CaseData!$B$46:$E$52,MATCH($D166,CaseData!$B$46:$B$52,0),MATCH($C166,CaseData!$B$46:$E$46,0))</f>
        <v>15000</v>
      </c>
      <c r="M166" s="72">
        <f>INDEX(CaseData!$B$46:$E$52,MATCH($D166,CaseData!$B$46:$B$52,0),MATCH($C166,CaseData!$B$46:$E$46,0))</f>
        <v>15000</v>
      </c>
      <c r="N166" s="72">
        <f>INDEX(CaseData!$B$46:$E$52,MATCH($D166,CaseData!$B$46:$B$52,0),MATCH($C166,CaseData!$B$46:$E$46,0))</f>
        <v>15000</v>
      </c>
      <c r="O166" s="72">
        <f>INDEX(CaseData!$B$46:$E$52,MATCH($D166,CaseData!$B$46:$B$52,0),MATCH($C166,CaseData!$B$46:$E$46,0))</f>
        <v>15000</v>
      </c>
      <c r="P166" s="72">
        <f>INDEX(CaseData!$B$46:$E$52,MATCH($D166,CaseData!$B$46:$B$52,0),MATCH($C166,CaseData!$B$46:$E$46,0))</f>
        <v>15000</v>
      </c>
      <c r="Q166" s="72">
        <f>INDEX(CaseData!$B$46:$E$52,MATCH($D166,CaseData!$B$46:$B$52,0),MATCH($C166,CaseData!$B$46:$E$46,0))</f>
        <v>15000</v>
      </c>
      <c r="R166" s="72">
        <f>INDEX(CaseData!$B$46:$E$52,MATCH($D166,CaseData!$B$46:$B$52,0),MATCH($C166,CaseData!$B$46:$E$46,0))</f>
        <v>15000</v>
      </c>
      <c r="S166" s="72">
        <f>INDEX(CaseData!$B$46:$E$52,MATCH($D166,CaseData!$B$46:$B$52,0),MATCH($C166,CaseData!$B$46:$E$46,0))</f>
        <v>15000</v>
      </c>
      <c r="T166" s="72">
        <f>INDEX(CaseData!$B$46:$E$52,MATCH($D166,CaseData!$B$46:$B$52,0),MATCH($C166,CaseData!$B$46:$E$46,0))</f>
        <v>15000</v>
      </c>
      <c r="U166" s="72">
        <f>INDEX(CaseData!$B$46:$E$52,MATCH($D166,CaseData!$B$46:$B$52,0),MATCH($C166,CaseData!$B$46:$E$46,0))</f>
        <v>15000</v>
      </c>
      <c r="V166" s="72">
        <f>INDEX(CaseData!$B$46:$E$52,MATCH($D166,CaseData!$B$46:$B$52,0),MATCH($C166,CaseData!$B$46:$E$46,0))</f>
        <v>15000</v>
      </c>
      <c r="W166" s="72">
        <f>INDEX(CaseData!$B$46:$E$52,MATCH($D166,CaseData!$B$46:$B$52,0),MATCH($C166,CaseData!$B$46:$E$46,0))</f>
        <v>15000</v>
      </c>
      <c r="X166" s="72">
        <f>INDEX(CaseData!$B$46:$E$52,MATCH($D166,CaseData!$B$46:$B$52,0),MATCH($C166,CaseData!$B$46:$E$46,0))</f>
        <v>15000</v>
      </c>
      <c r="Y166" s="72">
        <f>INDEX(CaseData!$B$46:$E$52,MATCH($D166,CaseData!$B$46:$B$52,0),MATCH($C166,CaseData!$B$46:$E$46,0))</f>
        <v>15000</v>
      </c>
      <c r="Z166" s="72">
        <f>INDEX(CaseData!$B$46:$E$52,MATCH($D166,CaseData!$B$46:$B$52,0),MATCH($C166,CaseData!$B$46:$E$46,0))</f>
        <v>15000</v>
      </c>
      <c r="AA166" s="72">
        <f>INDEX(CaseData!$B$46:$E$52,MATCH($D166,CaseData!$B$46:$B$52,0),MATCH($C166,CaseData!$B$46:$E$46,0))</f>
        <v>15000</v>
      </c>
      <c r="AB166" s="72">
        <f>INDEX(CaseData!$B$46:$E$52,MATCH($D166,CaseData!$B$46:$B$52,0),MATCH($C166,CaseData!$B$46:$E$46,0))</f>
        <v>15000</v>
      </c>
      <c r="AC166" s="72">
        <f>INDEX(CaseData!$B$46:$E$52,MATCH($D166,CaseData!$B$46:$B$52,0),MATCH($C166,CaseData!$B$46:$E$46,0))</f>
        <v>15000</v>
      </c>
      <c r="AD166" s="72">
        <f>INDEX(CaseData!$B$46:$E$52,MATCH($D166,CaseData!$B$46:$B$52,0),MATCH($C166,CaseData!$B$46:$E$46,0))</f>
        <v>15000</v>
      </c>
      <c r="AE166" s="72">
        <f>INDEX(CaseData!$B$46:$E$52,MATCH($D166,CaseData!$B$46:$B$52,0),MATCH($C166,CaseData!$B$46:$E$46,0))</f>
        <v>15000</v>
      </c>
      <c r="AF166" s="72">
        <f>INDEX(CaseData!$B$46:$E$52,MATCH($D166,CaseData!$B$46:$B$52,0),MATCH($C166,CaseData!$B$46:$E$46,0))</f>
        <v>15000</v>
      </c>
      <c r="AG166" s="72">
        <f>INDEX(CaseData!$B$46:$E$52,MATCH($D166,CaseData!$B$46:$B$52,0),MATCH($C166,CaseData!$B$46:$E$46,0))</f>
        <v>15000</v>
      </c>
      <c r="AH166" s="72">
        <f>INDEX(CaseData!$B$46:$E$52,MATCH($D166,CaseData!$B$46:$B$52,0),MATCH($C166,CaseData!$B$46:$E$46,0))</f>
        <v>15000</v>
      </c>
      <c r="AI166" s="72">
        <f>INDEX(CaseData!$B$46:$E$52,MATCH($D166,CaseData!$B$46:$B$52,0),MATCH($C166,CaseData!$B$46:$E$46,0))</f>
        <v>15000</v>
      </c>
      <c r="AJ166" s="72">
        <f>INDEX(CaseData!$B$46:$E$52,MATCH($D166,CaseData!$B$46:$B$52,0),MATCH($C166,CaseData!$B$46:$E$46,0))</f>
        <v>15000</v>
      </c>
      <c r="AK166" s="72">
        <f>INDEX(CaseData!$B$46:$E$52,MATCH($D166,CaseData!$B$46:$B$52,0),MATCH($C166,CaseData!$B$46:$E$46,0))</f>
        <v>15000</v>
      </c>
      <c r="AL166" s="72">
        <f>INDEX(CaseData!$B$46:$E$52,MATCH($D166,CaseData!$B$46:$B$52,0),MATCH($C166,CaseData!$B$46:$E$46,0))</f>
        <v>15000</v>
      </c>
      <c r="AM166" s="72">
        <f>INDEX(CaseData!$B$46:$E$52,MATCH($D166,CaseData!$B$46:$B$52,0),MATCH($C166,CaseData!$B$46:$E$46,0))</f>
        <v>15000</v>
      </c>
      <c r="AN166" s="72">
        <f>INDEX(CaseData!$B$46:$E$52,MATCH($D166,CaseData!$B$46:$B$52,0),MATCH($C166,CaseData!$B$46:$E$46,0))</f>
        <v>15000</v>
      </c>
      <c r="AO166" s="72">
        <f>INDEX(CaseData!$B$46:$E$52,MATCH($D166,CaseData!$B$46:$B$52,0),MATCH($C166,CaseData!$B$46:$E$46,0))</f>
        <v>15000</v>
      </c>
      <c r="AP166" s="72">
        <f>INDEX(CaseData!$B$46:$E$52,MATCH($D166,CaseData!$B$46:$B$52,0),MATCH($C166,CaseData!$B$46:$E$46,0))</f>
        <v>15000</v>
      </c>
      <c r="AQ166" s="72">
        <f>INDEX(CaseData!$B$46:$E$52,MATCH($D166,CaseData!$B$46:$B$52,0),MATCH($C166,CaseData!$B$46:$E$46,0))</f>
        <v>15000</v>
      </c>
      <c r="AR166" s="72">
        <f>INDEX(CaseData!$B$46:$E$52,MATCH($D166,CaseData!$B$46:$B$52,0),MATCH($C166,CaseData!$B$46:$E$46,0))</f>
        <v>15000</v>
      </c>
      <c r="AS166" s="72">
        <f>INDEX(CaseData!$B$46:$E$52,MATCH($D166,CaseData!$B$46:$B$52,0),MATCH($C166,CaseData!$B$46:$E$46,0))</f>
        <v>15000</v>
      </c>
      <c r="AT166" s="72">
        <f>INDEX(CaseData!$B$46:$E$52,MATCH($D166,CaseData!$B$46:$B$52,0),MATCH($C166,CaseData!$B$46:$E$46,0))</f>
        <v>15000</v>
      </c>
      <c r="AU166" s="72">
        <f>INDEX(CaseData!$B$46:$E$52,MATCH($D166,CaseData!$B$46:$B$52,0),MATCH($C166,CaseData!$B$46:$E$46,0))</f>
        <v>15000</v>
      </c>
      <c r="AV166" s="72">
        <f>INDEX(CaseData!$B$46:$E$52,MATCH($D166,CaseData!$B$46:$B$52,0),MATCH($C166,CaseData!$B$46:$E$46,0))</f>
        <v>15000</v>
      </c>
      <c r="AW166" s="72">
        <f>INDEX(CaseData!$B$46:$E$52,MATCH($D166,CaseData!$B$46:$B$52,0),MATCH($C166,CaseData!$B$46:$E$46,0))</f>
        <v>15000</v>
      </c>
      <c r="AX166" s="72">
        <f>INDEX(CaseData!$B$46:$E$52,MATCH($D166,CaseData!$B$46:$B$52,0),MATCH($C166,CaseData!$B$46:$E$46,0))</f>
        <v>15000</v>
      </c>
      <c r="AY166" s="72">
        <f>INDEX(CaseData!$B$46:$E$52,MATCH($D166,CaseData!$B$46:$B$52,0),MATCH($C166,CaseData!$B$46:$E$46,0))</f>
        <v>15000</v>
      </c>
      <c r="AZ166" s="72">
        <f>INDEX(CaseData!$B$46:$E$52,MATCH($D166,CaseData!$B$46:$B$52,0),MATCH($C166,CaseData!$B$46:$E$46,0))</f>
        <v>15000</v>
      </c>
      <c r="BA166" s="72">
        <f>INDEX(CaseData!$B$46:$E$52,MATCH($D166,CaseData!$B$46:$B$52,0),MATCH($C166,CaseData!$B$46:$E$46,0))</f>
        <v>15000</v>
      </c>
      <c r="BB166" s="72">
        <f>INDEX(CaseData!$B$46:$E$52,MATCH($D166,CaseData!$B$46:$B$52,0),MATCH($C166,CaseData!$B$46:$E$46,0))</f>
        <v>15000</v>
      </c>
      <c r="BC166" s="72">
        <f>INDEX(CaseData!$B$46:$E$52,MATCH($D166,CaseData!$B$46:$B$52,0),MATCH($C166,CaseData!$B$46:$E$46,0))</f>
        <v>15000</v>
      </c>
      <c r="BD166" s="72">
        <f>INDEX(CaseData!$B$46:$E$52,MATCH($D166,CaseData!$B$46:$B$52,0),MATCH($C166,CaseData!$B$46:$E$46,0))</f>
        <v>15000</v>
      </c>
      <c r="BE166" s="72">
        <f>INDEX(CaseData!$B$46:$E$52,MATCH($D166,CaseData!$B$46:$B$52,0),MATCH($C166,CaseData!$B$46:$E$46,0))</f>
        <v>15000</v>
      </c>
      <c r="BF166" s="72">
        <f>INDEX(CaseData!$B$46:$E$52,MATCH($D166,CaseData!$B$46:$B$52,0),MATCH($C166,CaseData!$B$46:$E$46,0))</f>
        <v>15000</v>
      </c>
      <c r="BG166" s="72">
        <f>INDEX(CaseData!$B$46:$E$52,MATCH($D166,CaseData!$B$46:$B$52,0),MATCH($C166,CaseData!$B$46:$E$46,0))</f>
        <v>15000</v>
      </c>
      <c r="BH166" s="72">
        <f>INDEX(CaseData!$B$46:$E$52,MATCH($D166,CaseData!$B$46:$B$52,0),MATCH($C166,CaseData!$B$46:$E$46,0))</f>
        <v>15000</v>
      </c>
      <c r="BI166" s="72">
        <f>INDEX(CaseData!$B$46:$E$52,MATCH($D166,CaseData!$B$46:$B$52,0),MATCH($C166,CaseData!$B$46:$E$46,0))</f>
        <v>15000</v>
      </c>
      <c r="BJ166" s="72">
        <f>INDEX(CaseData!$B$46:$E$52,MATCH($D166,CaseData!$B$46:$B$52,0),MATCH($C166,CaseData!$B$46:$E$46,0))</f>
        <v>15000</v>
      </c>
      <c r="BK166" s="72">
        <f>INDEX(CaseData!$B$46:$E$52,MATCH($D166,CaseData!$B$46:$B$52,0),MATCH($C166,CaseData!$B$46:$E$46,0))</f>
        <v>15000</v>
      </c>
      <c r="BL166" s="72">
        <f>INDEX(CaseData!$B$46:$E$52,MATCH($D166,CaseData!$B$46:$B$52,0),MATCH($C166,CaseData!$B$46:$E$46,0))</f>
        <v>15000</v>
      </c>
      <c r="BM166" s="72">
        <f>INDEX(CaseData!$B$46:$E$52,MATCH($D166,CaseData!$B$46:$B$52,0),MATCH($C166,CaseData!$B$46:$E$46,0))</f>
        <v>15000</v>
      </c>
      <c r="BN166" s="72">
        <f>INDEX(CaseData!$B$46:$E$52,MATCH($D166,CaseData!$B$46:$B$52,0),MATCH($C166,CaseData!$B$46:$E$46,0))</f>
        <v>15000</v>
      </c>
    </row>
    <row r="168" spans="2:66">
      <c r="B168" s="3" t="s">
        <v>71</v>
      </c>
      <c r="G168" s="74">
        <f>INDEX(CaseData!$E$58:$E$69,MATCH(MONTH(G$5),CaseData!$C$58:$C$69,0))</f>
        <v>0.4</v>
      </c>
      <c r="H168" s="74">
        <f>INDEX(CaseData!$E$58:$E$69,MATCH(MONTH(H$5),CaseData!$C$58:$C$69,0))</f>
        <v>0</v>
      </c>
      <c r="I168" s="74">
        <f>INDEX(CaseData!$E$58:$E$69,MATCH(MONTH(I$5),CaseData!$C$58:$C$69,0))</f>
        <v>0</v>
      </c>
      <c r="J168" s="74">
        <f>INDEX(CaseData!$E$58:$E$69,MATCH(MONTH(J$5),CaseData!$C$58:$C$69,0))</f>
        <v>0</v>
      </c>
      <c r="K168" s="74">
        <f>INDEX(CaseData!$E$58:$E$69,MATCH(MONTH(K$5),CaseData!$C$58:$C$69,0))</f>
        <v>0</v>
      </c>
      <c r="L168" s="74">
        <f>INDEX(CaseData!$E$58:$E$69,MATCH(MONTH(L$5),CaseData!$C$58:$C$69,0))</f>
        <v>0</v>
      </c>
      <c r="M168" s="74">
        <f>INDEX(CaseData!$E$58:$E$69,MATCH(MONTH(M$5),CaseData!$C$58:$C$69,0))</f>
        <v>0.4</v>
      </c>
      <c r="N168" s="74">
        <f>INDEX(CaseData!$E$58:$E$69,MATCH(MONTH(N$5),CaseData!$C$58:$C$69,0))</f>
        <v>0</v>
      </c>
      <c r="O168" s="74">
        <f>INDEX(CaseData!$E$58:$E$69,MATCH(MONTH(O$5),CaseData!$C$58:$C$69,0))</f>
        <v>0</v>
      </c>
      <c r="P168" s="74">
        <f>INDEX(CaseData!$E$58:$E$69,MATCH(MONTH(P$5),CaseData!$C$58:$C$69,0))</f>
        <v>0</v>
      </c>
      <c r="Q168" s="74">
        <f>INDEX(CaseData!$E$58:$E$69,MATCH(MONTH(Q$5),CaseData!$C$58:$C$69,0))</f>
        <v>0</v>
      </c>
      <c r="R168" s="74">
        <f>INDEX(CaseData!$E$58:$E$69,MATCH(MONTH(R$5),CaseData!$C$58:$C$69,0))</f>
        <v>0.2</v>
      </c>
      <c r="S168" s="74">
        <f>INDEX(CaseData!$E$58:$E$69,MATCH(MONTH(S$5),CaseData!$C$58:$C$69,0))</f>
        <v>0.4</v>
      </c>
      <c r="T168" s="74">
        <f>INDEX(CaseData!$E$58:$E$69,MATCH(MONTH(T$5),CaseData!$C$58:$C$69,0))</f>
        <v>0</v>
      </c>
      <c r="U168" s="74">
        <f>INDEX(CaseData!$E$58:$E$69,MATCH(MONTH(U$5),CaseData!$C$58:$C$69,0))</f>
        <v>0</v>
      </c>
      <c r="V168" s="74">
        <f>INDEX(CaseData!$E$58:$E$69,MATCH(MONTH(V$5),CaseData!$C$58:$C$69,0))</f>
        <v>0</v>
      </c>
      <c r="W168" s="74">
        <f>INDEX(CaseData!$E$58:$E$69,MATCH(MONTH(W$5),CaseData!$C$58:$C$69,0))</f>
        <v>0</v>
      </c>
      <c r="X168" s="74">
        <f>INDEX(CaseData!$E$58:$E$69,MATCH(MONTH(X$5),CaseData!$C$58:$C$69,0))</f>
        <v>0</v>
      </c>
      <c r="Y168" s="74">
        <f>INDEX(CaseData!$E$58:$E$69,MATCH(MONTH(Y$5),CaseData!$C$58:$C$69,0))</f>
        <v>0.4</v>
      </c>
      <c r="Z168" s="74">
        <f>INDEX(CaseData!$E$58:$E$69,MATCH(MONTH(Z$5),CaseData!$C$58:$C$69,0))</f>
        <v>0</v>
      </c>
      <c r="AA168" s="74">
        <f>INDEX(CaseData!$E$58:$E$69,MATCH(MONTH(AA$5),CaseData!$C$58:$C$69,0))</f>
        <v>0</v>
      </c>
      <c r="AB168" s="74">
        <f>INDEX(CaseData!$E$58:$E$69,MATCH(MONTH(AB$5),CaseData!$C$58:$C$69,0))</f>
        <v>0</v>
      </c>
      <c r="AC168" s="74">
        <f>INDEX(CaseData!$E$58:$E$69,MATCH(MONTH(AC$5),CaseData!$C$58:$C$69,0))</f>
        <v>0</v>
      </c>
      <c r="AD168" s="74">
        <f>INDEX(CaseData!$E$58:$E$69,MATCH(MONTH(AD$5),CaseData!$C$58:$C$69,0))</f>
        <v>0.2</v>
      </c>
      <c r="AE168" s="74">
        <f>INDEX(CaseData!$E$58:$E$69,MATCH(MONTH(AE$5),CaseData!$C$58:$C$69,0))</f>
        <v>0.4</v>
      </c>
      <c r="AF168" s="74">
        <f>INDEX(CaseData!$E$58:$E$69,MATCH(MONTH(AF$5),CaseData!$C$58:$C$69,0))</f>
        <v>0</v>
      </c>
      <c r="AG168" s="74">
        <f>INDEX(CaseData!$E$58:$E$69,MATCH(MONTH(AG$5),CaseData!$C$58:$C$69,0))</f>
        <v>0</v>
      </c>
      <c r="AH168" s="74">
        <f>INDEX(CaseData!$E$58:$E$69,MATCH(MONTH(AH$5),CaseData!$C$58:$C$69,0))</f>
        <v>0</v>
      </c>
      <c r="AI168" s="74">
        <f>INDEX(CaseData!$E$58:$E$69,MATCH(MONTH(AI$5),CaseData!$C$58:$C$69,0))</f>
        <v>0</v>
      </c>
      <c r="AJ168" s="74">
        <f>INDEX(CaseData!$E$58:$E$69,MATCH(MONTH(AJ$5),CaseData!$C$58:$C$69,0))</f>
        <v>0</v>
      </c>
      <c r="AK168" s="74">
        <f>INDEX(CaseData!$E$58:$E$69,MATCH(MONTH(AK$5),CaseData!$C$58:$C$69,0))</f>
        <v>0.4</v>
      </c>
      <c r="AL168" s="74">
        <f>INDEX(CaseData!$E$58:$E$69,MATCH(MONTH(AL$5),CaseData!$C$58:$C$69,0))</f>
        <v>0</v>
      </c>
      <c r="AM168" s="74">
        <f>INDEX(CaseData!$E$58:$E$69,MATCH(MONTH(AM$5),CaseData!$C$58:$C$69,0))</f>
        <v>0</v>
      </c>
      <c r="AN168" s="74">
        <f>INDEX(CaseData!$E$58:$E$69,MATCH(MONTH(AN$5),CaseData!$C$58:$C$69,0))</f>
        <v>0</v>
      </c>
      <c r="AO168" s="74">
        <f>INDEX(CaseData!$E$58:$E$69,MATCH(MONTH(AO$5),CaseData!$C$58:$C$69,0))</f>
        <v>0</v>
      </c>
      <c r="AP168" s="74">
        <f>INDEX(CaseData!$E$58:$E$69,MATCH(MONTH(AP$5),CaseData!$C$58:$C$69,0))</f>
        <v>0.2</v>
      </c>
      <c r="AQ168" s="74">
        <f>INDEX(CaseData!$E$58:$E$69,MATCH(MONTH(AQ$5),CaseData!$C$58:$C$69,0))</f>
        <v>0.4</v>
      </c>
      <c r="AR168" s="74">
        <f>INDEX(CaseData!$E$58:$E$69,MATCH(MONTH(AR$5),CaseData!$C$58:$C$69,0))</f>
        <v>0</v>
      </c>
      <c r="AS168" s="74">
        <f>INDEX(CaseData!$E$58:$E$69,MATCH(MONTH(AS$5),CaseData!$C$58:$C$69,0))</f>
        <v>0</v>
      </c>
      <c r="AT168" s="74">
        <f>INDEX(CaseData!$E$58:$E$69,MATCH(MONTH(AT$5),CaseData!$C$58:$C$69,0))</f>
        <v>0</v>
      </c>
      <c r="AU168" s="74">
        <f>INDEX(CaseData!$E$58:$E$69,MATCH(MONTH(AU$5),CaseData!$C$58:$C$69,0))</f>
        <v>0</v>
      </c>
      <c r="AV168" s="74">
        <f>INDEX(CaseData!$E$58:$E$69,MATCH(MONTH(AV$5),CaseData!$C$58:$C$69,0))</f>
        <v>0</v>
      </c>
      <c r="AW168" s="74">
        <f>INDEX(CaseData!$E$58:$E$69,MATCH(MONTH(AW$5),CaseData!$C$58:$C$69,0))</f>
        <v>0.4</v>
      </c>
      <c r="AX168" s="74">
        <f>INDEX(CaseData!$E$58:$E$69,MATCH(MONTH(AX$5),CaseData!$C$58:$C$69,0))</f>
        <v>0</v>
      </c>
      <c r="AY168" s="74">
        <f>INDEX(CaseData!$E$58:$E$69,MATCH(MONTH(AY$5),CaseData!$C$58:$C$69,0))</f>
        <v>0</v>
      </c>
      <c r="AZ168" s="74">
        <f>INDEX(CaseData!$E$58:$E$69,MATCH(MONTH(AZ$5),CaseData!$C$58:$C$69,0))</f>
        <v>0</v>
      </c>
      <c r="BA168" s="74">
        <f>INDEX(CaseData!$E$58:$E$69,MATCH(MONTH(BA$5),CaseData!$C$58:$C$69,0))</f>
        <v>0</v>
      </c>
      <c r="BB168" s="74">
        <f>INDEX(CaseData!$E$58:$E$69,MATCH(MONTH(BB$5),CaseData!$C$58:$C$69,0))</f>
        <v>0.2</v>
      </c>
      <c r="BC168" s="74">
        <f>INDEX(CaseData!$E$58:$E$69,MATCH(MONTH(BC$5),CaseData!$C$58:$C$69,0))</f>
        <v>0.4</v>
      </c>
      <c r="BD168" s="74">
        <f>INDEX(CaseData!$E$58:$E$69,MATCH(MONTH(BD$5),CaseData!$C$58:$C$69,0))</f>
        <v>0</v>
      </c>
      <c r="BE168" s="74">
        <f>INDEX(CaseData!$E$58:$E$69,MATCH(MONTH(BE$5),CaseData!$C$58:$C$69,0))</f>
        <v>0</v>
      </c>
      <c r="BF168" s="74">
        <f>INDEX(CaseData!$E$58:$E$69,MATCH(MONTH(BF$5),CaseData!$C$58:$C$69,0))</f>
        <v>0</v>
      </c>
      <c r="BG168" s="74">
        <f>INDEX(CaseData!$E$58:$E$69,MATCH(MONTH(BG$5),CaseData!$C$58:$C$69,0))</f>
        <v>0</v>
      </c>
      <c r="BH168" s="74">
        <f>INDEX(CaseData!$E$58:$E$69,MATCH(MONTH(BH$5),CaseData!$C$58:$C$69,0))</f>
        <v>0</v>
      </c>
      <c r="BI168" s="74">
        <f>INDEX(CaseData!$E$58:$E$69,MATCH(MONTH(BI$5),CaseData!$C$58:$C$69,0))</f>
        <v>0.4</v>
      </c>
      <c r="BJ168" s="74">
        <f>INDEX(CaseData!$E$58:$E$69,MATCH(MONTH(BJ$5),CaseData!$C$58:$C$69,0))</f>
        <v>0</v>
      </c>
      <c r="BK168" s="74">
        <f>INDEX(CaseData!$E$58:$E$69,MATCH(MONTH(BK$5),CaseData!$C$58:$C$69,0))</f>
        <v>0</v>
      </c>
      <c r="BL168" s="74">
        <f>INDEX(CaseData!$E$58:$E$69,MATCH(MONTH(BL$5),CaseData!$C$58:$C$69,0))</f>
        <v>0</v>
      </c>
      <c r="BM168" s="74">
        <f>INDEX(CaseData!$E$58:$E$69,MATCH(MONTH(BM$5),CaseData!$C$58:$C$69,0))</f>
        <v>0</v>
      </c>
      <c r="BN168" s="74">
        <f>INDEX(CaseData!$E$58:$E$69,MATCH(MONTH(BN$5),CaseData!$C$58:$C$69,0))</f>
        <v>0.2</v>
      </c>
    </row>
    <row r="170" spans="2:66">
      <c r="B170" s="3" t="s">
        <v>72</v>
      </c>
    </row>
    <row r="171" spans="2:66">
      <c r="B171" t="str">
        <f>CaseData!B86</f>
        <v>EUR</v>
      </c>
      <c r="G171" s="79">
        <v>1</v>
      </c>
      <c r="H171" s="79">
        <v>1</v>
      </c>
      <c r="I171" s="79">
        <v>1</v>
      </c>
      <c r="J171" s="79">
        <v>1</v>
      </c>
      <c r="K171" s="79">
        <v>1</v>
      </c>
      <c r="L171" s="79">
        <v>1</v>
      </c>
      <c r="M171" s="79">
        <v>1</v>
      </c>
      <c r="N171" s="79">
        <v>1</v>
      </c>
      <c r="O171" s="79">
        <v>1</v>
      </c>
      <c r="P171" s="79">
        <v>1</v>
      </c>
      <c r="Q171" s="79">
        <v>1</v>
      </c>
      <c r="R171" s="79">
        <v>1</v>
      </c>
      <c r="S171" s="80">
        <f>G171*(1+INDEX(CaseData!$B$85:$G$91,MATCH($B171,CaseData!$B$85:$B$91,0),MATCH(YEAR(S$5),CaseData!$B$85:$G$85,0)))</f>
        <v>1.0049999999999999</v>
      </c>
      <c r="T171" s="80">
        <f>H171*(1+INDEX(CaseData!$B$85:$G$91,MATCH($B171,CaseData!$B$85:$B$91,0),MATCH(YEAR(T$5),CaseData!$B$85:$G$85,0)))</f>
        <v>1.0049999999999999</v>
      </c>
      <c r="U171" s="80">
        <f>I171*(1+INDEX(CaseData!$B$85:$G$91,MATCH($B171,CaseData!$B$85:$B$91,0),MATCH(YEAR(U$5),CaseData!$B$85:$G$85,0)))</f>
        <v>1.0049999999999999</v>
      </c>
      <c r="V171" s="80">
        <f>J171*(1+INDEX(CaseData!$B$85:$G$91,MATCH($B171,CaseData!$B$85:$B$91,0),MATCH(YEAR(V$5),CaseData!$B$85:$G$85,0)))</f>
        <v>1.0049999999999999</v>
      </c>
      <c r="W171" s="80">
        <f>K171*(1+INDEX(CaseData!$B$85:$G$91,MATCH($B171,CaseData!$B$85:$B$91,0),MATCH(YEAR(W$5),CaseData!$B$85:$G$85,0)))</f>
        <v>1.0049999999999999</v>
      </c>
      <c r="X171" s="80">
        <f>L171*(1+INDEX(CaseData!$B$85:$G$91,MATCH($B171,CaseData!$B$85:$B$91,0),MATCH(YEAR(X$5),CaseData!$B$85:$G$85,0)))</f>
        <v>1.0049999999999999</v>
      </c>
      <c r="Y171" s="80">
        <f>M171*(1+INDEX(CaseData!$B$85:$G$91,MATCH($B171,CaseData!$B$85:$B$91,0),MATCH(YEAR(Y$5),CaseData!$B$85:$G$85,0)))</f>
        <v>1.0049999999999999</v>
      </c>
      <c r="Z171" s="80">
        <f>N171*(1+INDEX(CaseData!$B$85:$G$91,MATCH($B171,CaseData!$B$85:$B$91,0),MATCH(YEAR(Z$5),CaseData!$B$85:$G$85,0)))</f>
        <v>1.0049999999999999</v>
      </c>
      <c r="AA171" s="80">
        <f>O171*(1+INDEX(CaseData!$B$85:$G$91,MATCH($B171,CaseData!$B$85:$B$91,0),MATCH(YEAR(AA$5),CaseData!$B$85:$G$85,0)))</f>
        <v>1.0049999999999999</v>
      </c>
      <c r="AB171" s="80">
        <f>P171*(1+INDEX(CaseData!$B$85:$G$91,MATCH($B171,CaseData!$B$85:$B$91,0),MATCH(YEAR(AB$5),CaseData!$B$85:$G$85,0)))</f>
        <v>1.0049999999999999</v>
      </c>
      <c r="AC171" s="80">
        <f>Q171*(1+INDEX(CaseData!$B$85:$G$91,MATCH($B171,CaseData!$B$85:$B$91,0),MATCH(YEAR(AC$5),CaseData!$B$85:$G$85,0)))</f>
        <v>1.0049999999999999</v>
      </c>
      <c r="AD171" s="80">
        <f>R171*(1+INDEX(CaseData!$B$85:$G$91,MATCH($B171,CaseData!$B$85:$B$91,0),MATCH(YEAR(AD$5),CaseData!$B$85:$G$85,0)))</f>
        <v>1.0049999999999999</v>
      </c>
      <c r="AE171" s="80">
        <f>S171*(1+INDEX(CaseData!$B$85:$G$91,MATCH($B171,CaseData!$B$85:$B$91,0),MATCH(YEAR(AE$5),CaseData!$B$85:$G$85,0)))</f>
        <v>1.0100249999999997</v>
      </c>
      <c r="AF171" s="80">
        <f>T171*(1+INDEX(CaseData!$B$85:$G$91,MATCH($B171,CaseData!$B$85:$B$91,0),MATCH(YEAR(AF$5),CaseData!$B$85:$G$85,0)))</f>
        <v>1.0100249999999997</v>
      </c>
      <c r="AG171" s="80">
        <f>U171*(1+INDEX(CaseData!$B$85:$G$91,MATCH($B171,CaseData!$B$85:$B$91,0),MATCH(YEAR(AG$5),CaseData!$B$85:$G$85,0)))</f>
        <v>1.0100249999999997</v>
      </c>
      <c r="AH171" s="80">
        <f>V171*(1+INDEX(CaseData!$B$85:$G$91,MATCH($B171,CaseData!$B$85:$B$91,0),MATCH(YEAR(AH$5),CaseData!$B$85:$G$85,0)))</f>
        <v>1.0100249999999997</v>
      </c>
      <c r="AI171" s="80">
        <f>W171*(1+INDEX(CaseData!$B$85:$G$91,MATCH($B171,CaseData!$B$85:$B$91,0),MATCH(YEAR(AI$5),CaseData!$B$85:$G$85,0)))</f>
        <v>1.0100249999999997</v>
      </c>
      <c r="AJ171" s="80">
        <f>X171*(1+INDEX(CaseData!$B$85:$G$91,MATCH($B171,CaseData!$B$85:$B$91,0),MATCH(YEAR(AJ$5),CaseData!$B$85:$G$85,0)))</f>
        <v>1.0100249999999997</v>
      </c>
      <c r="AK171" s="80">
        <f>Y171*(1+INDEX(CaseData!$B$85:$G$91,MATCH($B171,CaseData!$B$85:$B$91,0),MATCH(YEAR(AK$5),CaseData!$B$85:$G$85,0)))</f>
        <v>1.0100249999999997</v>
      </c>
      <c r="AL171" s="80">
        <f>Z171*(1+INDEX(CaseData!$B$85:$G$91,MATCH($B171,CaseData!$B$85:$B$91,0),MATCH(YEAR(AL$5),CaseData!$B$85:$G$85,0)))</f>
        <v>1.0100249999999997</v>
      </c>
      <c r="AM171" s="80">
        <f>AA171*(1+INDEX(CaseData!$B$85:$G$91,MATCH($B171,CaseData!$B$85:$B$91,0),MATCH(YEAR(AM$5),CaseData!$B$85:$G$85,0)))</f>
        <v>1.0100249999999997</v>
      </c>
      <c r="AN171" s="80">
        <f>AB171*(1+INDEX(CaseData!$B$85:$G$91,MATCH($B171,CaseData!$B$85:$B$91,0),MATCH(YEAR(AN$5),CaseData!$B$85:$G$85,0)))</f>
        <v>1.0100249999999997</v>
      </c>
      <c r="AO171" s="80">
        <f>AC171*(1+INDEX(CaseData!$B$85:$G$91,MATCH($B171,CaseData!$B$85:$B$91,0),MATCH(YEAR(AO$5),CaseData!$B$85:$G$85,0)))</f>
        <v>1.0100249999999997</v>
      </c>
      <c r="AP171" s="80">
        <f>AD171*(1+INDEX(CaseData!$B$85:$G$91,MATCH($B171,CaseData!$B$85:$B$91,0),MATCH(YEAR(AP$5),CaseData!$B$85:$G$85,0)))</f>
        <v>1.0100249999999997</v>
      </c>
      <c r="AQ171" s="80">
        <f>AE171*(1+INDEX(CaseData!$B$85:$G$91,MATCH($B171,CaseData!$B$85:$B$91,0),MATCH(YEAR(AQ$5),CaseData!$B$85:$G$85,0)))</f>
        <v>1.0201252499999998</v>
      </c>
      <c r="AR171" s="80">
        <f>AF171*(1+INDEX(CaseData!$B$85:$G$91,MATCH($B171,CaseData!$B$85:$B$91,0),MATCH(YEAR(AR$5),CaseData!$B$85:$G$85,0)))</f>
        <v>1.0201252499999998</v>
      </c>
      <c r="AS171" s="80">
        <f>AG171*(1+INDEX(CaseData!$B$85:$G$91,MATCH($B171,CaseData!$B$85:$B$91,0),MATCH(YEAR(AS$5),CaseData!$B$85:$G$85,0)))</f>
        <v>1.0201252499999998</v>
      </c>
      <c r="AT171" s="80">
        <f>AH171*(1+INDEX(CaseData!$B$85:$G$91,MATCH($B171,CaseData!$B$85:$B$91,0),MATCH(YEAR(AT$5),CaseData!$B$85:$G$85,0)))</f>
        <v>1.0201252499999998</v>
      </c>
      <c r="AU171" s="80">
        <f>AI171*(1+INDEX(CaseData!$B$85:$G$91,MATCH($B171,CaseData!$B$85:$B$91,0),MATCH(YEAR(AU$5),CaseData!$B$85:$G$85,0)))</f>
        <v>1.0201252499999998</v>
      </c>
      <c r="AV171" s="80">
        <f>AJ171*(1+INDEX(CaseData!$B$85:$G$91,MATCH($B171,CaseData!$B$85:$B$91,0),MATCH(YEAR(AV$5),CaseData!$B$85:$G$85,0)))</f>
        <v>1.0201252499999998</v>
      </c>
      <c r="AW171" s="80">
        <f>AK171*(1+INDEX(CaseData!$B$85:$G$91,MATCH($B171,CaseData!$B$85:$B$91,0),MATCH(YEAR(AW$5),CaseData!$B$85:$G$85,0)))</f>
        <v>1.0201252499999998</v>
      </c>
      <c r="AX171" s="80">
        <f>AL171*(1+INDEX(CaseData!$B$85:$G$91,MATCH($B171,CaseData!$B$85:$B$91,0),MATCH(YEAR(AX$5),CaseData!$B$85:$G$85,0)))</f>
        <v>1.0201252499999998</v>
      </c>
      <c r="AY171" s="80">
        <f>AM171*(1+INDEX(CaseData!$B$85:$G$91,MATCH($B171,CaseData!$B$85:$B$91,0),MATCH(YEAR(AY$5),CaseData!$B$85:$G$85,0)))</f>
        <v>1.0201252499999998</v>
      </c>
      <c r="AZ171" s="80">
        <f>AN171*(1+INDEX(CaseData!$B$85:$G$91,MATCH($B171,CaseData!$B$85:$B$91,0),MATCH(YEAR(AZ$5),CaseData!$B$85:$G$85,0)))</f>
        <v>1.0201252499999998</v>
      </c>
      <c r="BA171" s="80">
        <f>AO171*(1+INDEX(CaseData!$B$85:$G$91,MATCH($B171,CaseData!$B$85:$B$91,0),MATCH(YEAR(BA$5),CaseData!$B$85:$G$85,0)))</f>
        <v>1.0201252499999998</v>
      </c>
      <c r="BB171" s="80">
        <f>AP171*(1+INDEX(CaseData!$B$85:$G$91,MATCH($B171,CaseData!$B$85:$B$91,0),MATCH(YEAR(BB$5),CaseData!$B$85:$G$85,0)))</f>
        <v>1.0201252499999998</v>
      </c>
      <c r="BC171" s="80">
        <f>AQ171*(1+INDEX(CaseData!$B$85:$G$91,MATCH($B171,CaseData!$B$85:$B$91,0),MATCH(YEAR(BC$5),CaseData!$B$85:$G$85,0)))</f>
        <v>1.0456283812499996</v>
      </c>
      <c r="BD171" s="80">
        <f>AR171*(1+INDEX(CaseData!$B$85:$G$91,MATCH($B171,CaseData!$B$85:$B$91,0),MATCH(YEAR(BD$5),CaseData!$B$85:$G$85,0)))</f>
        <v>1.0456283812499996</v>
      </c>
      <c r="BE171" s="80">
        <f>AS171*(1+INDEX(CaseData!$B$85:$G$91,MATCH($B171,CaseData!$B$85:$B$91,0),MATCH(YEAR(BE$5),CaseData!$B$85:$G$85,0)))</f>
        <v>1.0456283812499996</v>
      </c>
      <c r="BF171" s="80">
        <f>AT171*(1+INDEX(CaseData!$B$85:$G$91,MATCH($B171,CaseData!$B$85:$B$91,0),MATCH(YEAR(BF$5),CaseData!$B$85:$G$85,0)))</f>
        <v>1.0456283812499996</v>
      </c>
      <c r="BG171" s="80">
        <f>AU171*(1+INDEX(CaseData!$B$85:$G$91,MATCH($B171,CaseData!$B$85:$B$91,0),MATCH(YEAR(BG$5),CaseData!$B$85:$G$85,0)))</f>
        <v>1.0456283812499996</v>
      </c>
      <c r="BH171" s="80">
        <f>AV171*(1+INDEX(CaseData!$B$85:$G$91,MATCH($B171,CaseData!$B$85:$B$91,0),MATCH(YEAR(BH$5),CaseData!$B$85:$G$85,0)))</f>
        <v>1.0456283812499996</v>
      </c>
      <c r="BI171" s="80">
        <f>AW171*(1+INDEX(CaseData!$B$85:$G$91,MATCH($B171,CaseData!$B$85:$B$91,0),MATCH(YEAR(BI$5),CaseData!$B$85:$G$85,0)))</f>
        <v>1.0456283812499996</v>
      </c>
      <c r="BJ171" s="80">
        <f>AX171*(1+INDEX(CaseData!$B$85:$G$91,MATCH($B171,CaseData!$B$85:$B$91,0),MATCH(YEAR(BJ$5),CaseData!$B$85:$G$85,0)))</f>
        <v>1.0456283812499996</v>
      </c>
      <c r="BK171" s="80">
        <f>AY171*(1+INDEX(CaseData!$B$85:$G$91,MATCH($B171,CaseData!$B$85:$B$91,0),MATCH(YEAR(BK$5),CaseData!$B$85:$G$85,0)))</f>
        <v>1.0456283812499996</v>
      </c>
      <c r="BL171" s="80">
        <f>AZ171*(1+INDEX(CaseData!$B$85:$G$91,MATCH($B171,CaseData!$B$85:$B$91,0),MATCH(YEAR(BL$5),CaseData!$B$85:$G$85,0)))</f>
        <v>1.0456283812499996</v>
      </c>
      <c r="BM171" s="80">
        <f>BA171*(1+INDEX(CaseData!$B$85:$G$91,MATCH($B171,CaseData!$B$85:$B$91,0),MATCH(YEAR(BM$5),CaseData!$B$85:$G$85,0)))</f>
        <v>1.0456283812499996</v>
      </c>
      <c r="BN171" s="80">
        <f>BB171*(1+INDEX(CaseData!$B$85:$G$91,MATCH($B171,CaseData!$B$85:$B$91,0),MATCH(YEAR(BN$5),CaseData!$B$85:$G$85,0)))</f>
        <v>1.0456283812499996</v>
      </c>
    </row>
    <row r="172" spans="2:66">
      <c r="B172" t="str">
        <f>CaseData!B87</f>
        <v>GBP</v>
      </c>
      <c r="G172" s="79">
        <v>1</v>
      </c>
      <c r="H172" s="79">
        <v>1</v>
      </c>
      <c r="I172" s="79">
        <v>1</v>
      </c>
      <c r="J172" s="79">
        <v>1</v>
      </c>
      <c r="K172" s="79">
        <v>1</v>
      </c>
      <c r="L172" s="79">
        <v>1</v>
      </c>
      <c r="M172" s="79">
        <v>1</v>
      </c>
      <c r="N172" s="79">
        <v>1</v>
      </c>
      <c r="O172" s="79">
        <v>1</v>
      </c>
      <c r="P172" s="79">
        <v>1</v>
      </c>
      <c r="Q172" s="79">
        <v>1</v>
      </c>
      <c r="R172" s="79">
        <v>1</v>
      </c>
      <c r="S172" s="80">
        <f>G172*(1+INDEX(CaseData!$B$85:$G$91,MATCH($B172,CaseData!$B$85:$B$91,0),MATCH(YEAR(S$5),CaseData!$B$85:$G$85,0)))</f>
        <v>1.03</v>
      </c>
      <c r="T172" s="80">
        <f>H172*(1+INDEX(CaseData!$B$85:$G$91,MATCH($B172,CaseData!$B$85:$B$91,0),MATCH(YEAR(T$5),CaseData!$B$85:$G$85,0)))</f>
        <v>1.03</v>
      </c>
      <c r="U172" s="80">
        <f>I172*(1+INDEX(CaseData!$B$85:$G$91,MATCH($B172,CaseData!$B$85:$B$91,0),MATCH(YEAR(U$5),CaseData!$B$85:$G$85,0)))</f>
        <v>1.03</v>
      </c>
      <c r="V172" s="80">
        <f>J172*(1+INDEX(CaseData!$B$85:$G$91,MATCH($B172,CaseData!$B$85:$B$91,0),MATCH(YEAR(V$5),CaseData!$B$85:$G$85,0)))</f>
        <v>1.03</v>
      </c>
      <c r="W172" s="80">
        <f>K172*(1+INDEX(CaseData!$B$85:$G$91,MATCH($B172,CaseData!$B$85:$B$91,0),MATCH(YEAR(W$5),CaseData!$B$85:$G$85,0)))</f>
        <v>1.03</v>
      </c>
      <c r="X172" s="80">
        <f>L172*(1+INDEX(CaseData!$B$85:$G$91,MATCH($B172,CaseData!$B$85:$B$91,0),MATCH(YEAR(X$5),CaseData!$B$85:$G$85,0)))</f>
        <v>1.03</v>
      </c>
      <c r="Y172" s="80">
        <f>M172*(1+INDEX(CaseData!$B$85:$G$91,MATCH($B172,CaseData!$B$85:$B$91,0),MATCH(YEAR(Y$5),CaseData!$B$85:$G$85,0)))</f>
        <v>1.03</v>
      </c>
      <c r="Z172" s="80">
        <f>N172*(1+INDEX(CaseData!$B$85:$G$91,MATCH($B172,CaseData!$B$85:$B$91,0),MATCH(YEAR(Z$5),CaseData!$B$85:$G$85,0)))</f>
        <v>1.03</v>
      </c>
      <c r="AA172" s="80">
        <f>O172*(1+INDEX(CaseData!$B$85:$G$91,MATCH($B172,CaseData!$B$85:$B$91,0),MATCH(YEAR(AA$5),CaseData!$B$85:$G$85,0)))</f>
        <v>1.03</v>
      </c>
      <c r="AB172" s="80">
        <f>P172*(1+INDEX(CaseData!$B$85:$G$91,MATCH($B172,CaseData!$B$85:$B$91,0),MATCH(YEAR(AB$5),CaseData!$B$85:$G$85,0)))</f>
        <v>1.03</v>
      </c>
      <c r="AC172" s="80">
        <f>Q172*(1+INDEX(CaseData!$B$85:$G$91,MATCH($B172,CaseData!$B$85:$B$91,0),MATCH(YEAR(AC$5),CaseData!$B$85:$G$85,0)))</f>
        <v>1.03</v>
      </c>
      <c r="AD172" s="80">
        <f>R172*(1+INDEX(CaseData!$B$85:$G$91,MATCH($B172,CaseData!$B$85:$B$91,0),MATCH(YEAR(AD$5),CaseData!$B$85:$G$85,0)))</f>
        <v>1.03</v>
      </c>
      <c r="AE172" s="80">
        <f>S172*(1+INDEX(CaseData!$B$85:$G$91,MATCH($B172,CaseData!$B$85:$B$91,0),MATCH(YEAR(AE$5),CaseData!$B$85:$G$85,0)))</f>
        <v>1.0403</v>
      </c>
      <c r="AF172" s="80">
        <f>T172*(1+INDEX(CaseData!$B$85:$G$91,MATCH($B172,CaseData!$B$85:$B$91,0),MATCH(YEAR(AF$5),CaseData!$B$85:$G$85,0)))</f>
        <v>1.0403</v>
      </c>
      <c r="AG172" s="80">
        <f>U172*(1+INDEX(CaseData!$B$85:$G$91,MATCH($B172,CaseData!$B$85:$B$91,0),MATCH(YEAR(AG$5),CaseData!$B$85:$G$85,0)))</f>
        <v>1.0403</v>
      </c>
      <c r="AH172" s="80">
        <f>V172*(1+INDEX(CaseData!$B$85:$G$91,MATCH($B172,CaseData!$B$85:$B$91,0),MATCH(YEAR(AH$5),CaseData!$B$85:$G$85,0)))</f>
        <v>1.0403</v>
      </c>
      <c r="AI172" s="80">
        <f>W172*(1+INDEX(CaseData!$B$85:$G$91,MATCH($B172,CaseData!$B$85:$B$91,0),MATCH(YEAR(AI$5),CaseData!$B$85:$G$85,0)))</f>
        <v>1.0403</v>
      </c>
      <c r="AJ172" s="80">
        <f>X172*(1+INDEX(CaseData!$B$85:$G$91,MATCH($B172,CaseData!$B$85:$B$91,0),MATCH(YEAR(AJ$5),CaseData!$B$85:$G$85,0)))</f>
        <v>1.0403</v>
      </c>
      <c r="AK172" s="80">
        <f>Y172*(1+INDEX(CaseData!$B$85:$G$91,MATCH($B172,CaseData!$B$85:$B$91,0),MATCH(YEAR(AK$5),CaseData!$B$85:$G$85,0)))</f>
        <v>1.0403</v>
      </c>
      <c r="AL172" s="80">
        <f>Z172*(1+INDEX(CaseData!$B$85:$G$91,MATCH($B172,CaseData!$B$85:$B$91,0),MATCH(YEAR(AL$5),CaseData!$B$85:$G$85,0)))</f>
        <v>1.0403</v>
      </c>
      <c r="AM172" s="80">
        <f>AA172*(1+INDEX(CaseData!$B$85:$G$91,MATCH($B172,CaseData!$B$85:$B$91,0),MATCH(YEAR(AM$5),CaseData!$B$85:$G$85,0)))</f>
        <v>1.0403</v>
      </c>
      <c r="AN172" s="80">
        <f>AB172*(1+INDEX(CaseData!$B$85:$G$91,MATCH($B172,CaseData!$B$85:$B$91,0),MATCH(YEAR(AN$5),CaseData!$B$85:$G$85,0)))</f>
        <v>1.0403</v>
      </c>
      <c r="AO172" s="80">
        <f>AC172*(1+INDEX(CaseData!$B$85:$G$91,MATCH($B172,CaseData!$B$85:$B$91,0),MATCH(YEAR(AO$5),CaseData!$B$85:$G$85,0)))</f>
        <v>1.0403</v>
      </c>
      <c r="AP172" s="80">
        <f>AD172*(1+INDEX(CaseData!$B$85:$G$91,MATCH($B172,CaseData!$B$85:$B$91,0),MATCH(YEAR(AP$5),CaseData!$B$85:$G$85,0)))</f>
        <v>1.0403</v>
      </c>
      <c r="AQ172" s="80">
        <f>AE172*(1+INDEX(CaseData!$B$85:$G$91,MATCH($B172,CaseData!$B$85:$B$91,0),MATCH(YEAR(AQ$5),CaseData!$B$85:$G$85,0)))</f>
        <v>1.0507029999999999</v>
      </c>
      <c r="AR172" s="80">
        <f>AF172*(1+INDEX(CaseData!$B$85:$G$91,MATCH($B172,CaseData!$B$85:$B$91,0),MATCH(YEAR(AR$5),CaseData!$B$85:$G$85,0)))</f>
        <v>1.0507029999999999</v>
      </c>
      <c r="AS172" s="80">
        <f>AG172*(1+INDEX(CaseData!$B$85:$G$91,MATCH($B172,CaseData!$B$85:$B$91,0),MATCH(YEAR(AS$5),CaseData!$B$85:$G$85,0)))</f>
        <v>1.0507029999999999</v>
      </c>
      <c r="AT172" s="80">
        <f>AH172*(1+INDEX(CaseData!$B$85:$G$91,MATCH($B172,CaseData!$B$85:$B$91,0),MATCH(YEAR(AT$5),CaseData!$B$85:$G$85,0)))</f>
        <v>1.0507029999999999</v>
      </c>
      <c r="AU172" s="80">
        <f>AI172*(1+INDEX(CaseData!$B$85:$G$91,MATCH($B172,CaseData!$B$85:$B$91,0),MATCH(YEAR(AU$5),CaseData!$B$85:$G$85,0)))</f>
        <v>1.0507029999999999</v>
      </c>
      <c r="AV172" s="80">
        <f>AJ172*(1+INDEX(CaseData!$B$85:$G$91,MATCH($B172,CaseData!$B$85:$B$91,0),MATCH(YEAR(AV$5),CaseData!$B$85:$G$85,0)))</f>
        <v>1.0507029999999999</v>
      </c>
      <c r="AW172" s="80">
        <f>AK172*(1+INDEX(CaseData!$B$85:$G$91,MATCH($B172,CaseData!$B$85:$B$91,0),MATCH(YEAR(AW$5),CaseData!$B$85:$G$85,0)))</f>
        <v>1.0507029999999999</v>
      </c>
      <c r="AX172" s="80">
        <f>AL172*(1+INDEX(CaseData!$B$85:$G$91,MATCH($B172,CaseData!$B$85:$B$91,0),MATCH(YEAR(AX$5),CaseData!$B$85:$G$85,0)))</f>
        <v>1.0507029999999999</v>
      </c>
      <c r="AY172" s="80">
        <f>AM172*(1+INDEX(CaseData!$B$85:$G$91,MATCH($B172,CaseData!$B$85:$B$91,0),MATCH(YEAR(AY$5),CaseData!$B$85:$G$85,0)))</f>
        <v>1.0507029999999999</v>
      </c>
      <c r="AZ172" s="80">
        <f>AN172*(1+INDEX(CaseData!$B$85:$G$91,MATCH($B172,CaseData!$B$85:$B$91,0),MATCH(YEAR(AZ$5),CaseData!$B$85:$G$85,0)))</f>
        <v>1.0507029999999999</v>
      </c>
      <c r="BA172" s="80">
        <f>AO172*(1+INDEX(CaseData!$B$85:$G$91,MATCH($B172,CaseData!$B$85:$B$91,0),MATCH(YEAR(BA$5),CaseData!$B$85:$G$85,0)))</f>
        <v>1.0507029999999999</v>
      </c>
      <c r="BB172" s="80">
        <f>AP172*(1+INDEX(CaseData!$B$85:$G$91,MATCH($B172,CaseData!$B$85:$B$91,0),MATCH(YEAR(BB$5),CaseData!$B$85:$G$85,0)))</f>
        <v>1.0507029999999999</v>
      </c>
      <c r="BC172" s="80">
        <f>AQ172*(1+INDEX(CaseData!$B$85:$G$91,MATCH($B172,CaseData!$B$85:$B$91,0),MATCH(YEAR(BC$5),CaseData!$B$85:$G$85,0)))</f>
        <v>1.06121003</v>
      </c>
      <c r="BD172" s="80">
        <f>AR172*(1+INDEX(CaseData!$B$85:$G$91,MATCH($B172,CaseData!$B$85:$B$91,0),MATCH(YEAR(BD$5),CaseData!$B$85:$G$85,0)))</f>
        <v>1.06121003</v>
      </c>
      <c r="BE172" s="80">
        <f>AS172*(1+INDEX(CaseData!$B$85:$G$91,MATCH($B172,CaseData!$B$85:$B$91,0),MATCH(YEAR(BE$5),CaseData!$B$85:$G$85,0)))</f>
        <v>1.06121003</v>
      </c>
      <c r="BF172" s="80">
        <f>AT172*(1+INDEX(CaseData!$B$85:$G$91,MATCH($B172,CaseData!$B$85:$B$91,0),MATCH(YEAR(BF$5),CaseData!$B$85:$G$85,0)))</f>
        <v>1.06121003</v>
      </c>
      <c r="BG172" s="80">
        <f>AU172*(1+INDEX(CaseData!$B$85:$G$91,MATCH($B172,CaseData!$B$85:$B$91,0),MATCH(YEAR(BG$5),CaseData!$B$85:$G$85,0)))</f>
        <v>1.06121003</v>
      </c>
      <c r="BH172" s="80">
        <f>AV172*(1+INDEX(CaseData!$B$85:$G$91,MATCH($B172,CaseData!$B$85:$B$91,0),MATCH(YEAR(BH$5),CaseData!$B$85:$G$85,0)))</f>
        <v>1.06121003</v>
      </c>
      <c r="BI172" s="80">
        <f>AW172*(1+INDEX(CaseData!$B$85:$G$91,MATCH($B172,CaseData!$B$85:$B$91,0),MATCH(YEAR(BI$5),CaseData!$B$85:$G$85,0)))</f>
        <v>1.06121003</v>
      </c>
      <c r="BJ172" s="80">
        <f>AX172*(1+INDEX(CaseData!$B$85:$G$91,MATCH($B172,CaseData!$B$85:$B$91,0),MATCH(YEAR(BJ$5),CaseData!$B$85:$G$85,0)))</f>
        <v>1.06121003</v>
      </c>
      <c r="BK172" s="80">
        <f>AY172*(1+INDEX(CaseData!$B$85:$G$91,MATCH($B172,CaseData!$B$85:$B$91,0),MATCH(YEAR(BK$5),CaseData!$B$85:$G$85,0)))</f>
        <v>1.06121003</v>
      </c>
      <c r="BL172" s="80">
        <f>AZ172*(1+INDEX(CaseData!$B$85:$G$91,MATCH($B172,CaseData!$B$85:$B$91,0),MATCH(YEAR(BL$5),CaseData!$B$85:$G$85,0)))</f>
        <v>1.06121003</v>
      </c>
      <c r="BM172" s="80">
        <f>BA172*(1+INDEX(CaseData!$B$85:$G$91,MATCH($B172,CaseData!$B$85:$B$91,0),MATCH(YEAR(BM$5),CaseData!$B$85:$G$85,0)))</f>
        <v>1.06121003</v>
      </c>
      <c r="BN172" s="80">
        <f>BB172*(1+INDEX(CaseData!$B$85:$G$91,MATCH($B172,CaseData!$B$85:$B$91,0),MATCH(YEAR(BN$5),CaseData!$B$85:$G$85,0)))</f>
        <v>1.06121003</v>
      </c>
    </row>
    <row r="173" spans="2:66">
      <c r="B173" t="str">
        <f>CaseData!B88</f>
        <v>USD</v>
      </c>
      <c r="G173" s="79">
        <v>1</v>
      </c>
      <c r="H173" s="79">
        <v>1</v>
      </c>
      <c r="I173" s="79">
        <v>1</v>
      </c>
      <c r="J173" s="79">
        <v>1</v>
      </c>
      <c r="K173" s="79">
        <v>1</v>
      </c>
      <c r="L173" s="79">
        <v>1</v>
      </c>
      <c r="M173" s="79">
        <v>1</v>
      </c>
      <c r="N173" s="79">
        <v>1</v>
      </c>
      <c r="O173" s="79">
        <v>1</v>
      </c>
      <c r="P173" s="79">
        <v>1</v>
      </c>
      <c r="Q173" s="79">
        <v>1</v>
      </c>
      <c r="R173" s="79">
        <v>1</v>
      </c>
      <c r="S173" s="80">
        <f>G173*(1+INDEX(CaseData!$B$85:$G$91,MATCH($B173,CaseData!$B$85:$B$91,0),MATCH(YEAR(S$5),CaseData!$B$85:$G$85,0)))</f>
        <v>1.03</v>
      </c>
      <c r="T173" s="80">
        <f>H173*(1+INDEX(CaseData!$B$85:$G$91,MATCH($B173,CaseData!$B$85:$B$91,0),MATCH(YEAR(T$5),CaseData!$B$85:$G$85,0)))</f>
        <v>1.03</v>
      </c>
      <c r="U173" s="80">
        <f>I173*(1+INDEX(CaseData!$B$85:$G$91,MATCH($B173,CaseData!$B$85:$B$91,0),MATCH(YEAR(U$5),CaseData!$B$85:$G$85,0)))</f>
        <v>1.03</v>
      </c>
      <c r="V173" s="80">
        <f>J173*(1+INDEX(CaseData!$B$85:$G$91,MATCH($B173,CaseData!$B$85:$B$91,0),MATCH(YEAR(V$5),CaseData!$B$85:$G$85,0)))</f>
        <v>1.03</v>
      </c>
      <c r="W173" s="80">
        <f>K173*(1+INDEX(CaseData!$B$85:$G$91,MATCH($B173,CaseData!$B$85:$B$91,0),MATCH(YEAR(W$5),CaseData!$B$85:$G$85,0)))</f>
        <v>1.03</v>
      </c>
      <c r="X173" s="80">
        <f>L173*(1+INDEX(CaseData!$B$85:$G$91,MATCH($B173,CaseData!$B$85:$B$91,0),MATCH(YEAR(X$5),CaseData!$B$85:$G$85,0)))</f>
        <v>1.03</v>
      </c>
      <c r="Y173" s="80">
        <f>M173*(1+INDEX(CaseData!$B$85:$G$91,MATCH($B173,CaseData!$B$85:$B$91,0),MATCH(YEAR(Y$5),CaseData!$B$85:$G$85,0)))</f>
        <v>1.03</v>
      </c>
      <c r="Z173" s="80">
        <f>N173*(1+INDEX(CaseData!$B$85:$G$91,MATCH($B173,CaseData!$B$85:$B$91,0),MATCH(YEAR(Z$5),CaseData!$B$85:$G$85,0)))</f>
        <v>1.03</v>
      </c>
      <c r="AA173" s="80">
        <f>O173*(1+INDEX(CaseData!$B$85:$G$91,MATCH($B173,CaseData!$B$85:$B$91,0),MATCH(YEAR(AA$5),CaseData!$B$85:$G$85,0)))</f>
        <v>1.03</v>
      </c>
      <c r="AB173" s="80">
        <f>P173*(1+INDEX(CaseData!$B$85:$G$91,MATCH($B173,CaseData!$B$85:$B$91,0),MATCH(YEAR(AB$5),CaseData!$B$85:$G$85,0)))</f>
        <v>1.03</v>
      </c>
      <c r="AC173" s="80">
        <f>Q173*(1+INDEX(CaseData!$B$85:$G$91,MATCH($B173,CaseData!$B$85:$B$91,0),MATCH(YEAR(AC$5),CaseData!$B$85:$G$85,0)))</f>
        <v>1.03</v>
      </c>
      <c r="AD173" s="80">
        <f>R173*(1+INDEX(CaseData!$B$85:$G$91,MATCH($B173,CaseData!$B$85:$B$91,0),MATCH(YEAR(AD$5),CaseData!$B$85:$G$85,0)))</f>
        <v>1.03</v>
      </c>
      <c r="AE173" s="80">
        <f>S173*(1+INDEX(CaseData!$B$85:$G$91,MATCH($B173,CaseData!$B$85:$B$91,0),MATCH(YEAR(AE$5),CaseData!$B$85:$G$85,0)))</f>
        <v>1.0506</v>
      </c>
      <c r="AF173" s="80">
        <f>T173*(1+INDEX(CaseData!$B$85:$G$91,MATCH($B173,CaseData!$B$85:$B$91,0),MATCH(YEAR(AF$5),CaseData!$B$85:$G$85,0)))</f>
        <v>1.0506</v>
      </c>
      <c r="AG173" s="80">
        <f>U173*(1+INDEX(CaseData!$B$85:$G$91,MATCH($B173,CaseData!$B$85:$B$91,0),MATCH(YEAR(AG$5),CaseData!$B$85:$G$85,0)))</f>
        <v>1.0506</v>
      </c>
      <c r="AH173" s="80">
        <f>V173*(1+INDEX(CaseData!$B$85:$G$91,MATCH($B173,CaseData!$B$85:$B$91,0),MATCH(YEAR(AH$5),CaseData!$B$85:$G$85,0)))</f>
        <v>1.0506</v>
      </c>
      <c r="AI173" s="80">
        <f>W173*(1+INDEX(CaseData!$B$85:$G$91,MATCH($B173,CaseData!$B$85:$B$91,0),MATCH(YEAR(AI$5),CaseData!$B$85:$G$85,0)))</f>
        <v>1.0506</v>
      </c>
      <c r="AJ173" s="80">
        <f>X173*(1+INDEX(CaseData!$B$85:$G$91,MATCH($B173,CaseData!$B$85:$B$91,0),MATCH(YEAR(AJ$5),CaseData!$B$85:$G$85,0)))</f>
        <v>1.0506</v>
      </c>
      <c r="AK173" s="80">
        <f>Y173*(1+INDEX(CaseData!$B$85:$G$91,MATCH($B173,CaseData!$B$85:$B$91,0),MATCH(YEAR(AK$5),CaseData!$B$85:$G$85,0)))</f>
        <v>1.0506</v>
      </c>
      <c r="AL173" s="80">
        <f>Z173*(1+INDEX(CaseData!$B$85:$G$91,MATCH($B173,CaseData!$B$85:$B$91,0),MATCH(YEAR(AL$5),CaseData!$B$85:$G$85,0)))</f>
        <v>1.0506</v>
      </c>
      <c r="AM173" s="80">
        <f>AA173*(1+INDEX(CaseData!$B$85:$G$91,MATCH($B173,CaseData!$B$85:$B$91,0),MATCH(YEAR(AM$5),CaseData!$B$85:$G$85,0)))</f>
        <v>1.0506</v>
      </c>
      <c r="AN173" s="80">
        <f>AB173*(1+INDEX(CaseData!$B$85:$G$91,MATCH($B173,CaseData!$B$85:$B$91,0),MATCH(YEAR(AN$5),CaseData!$B$85:$G$85,0)))</f>
        <v>1.0506</v>
      </c>
      <c r="AO173" s="80">
        <f>AC173*(1+INDEX(CaseData!$B$85:$G$91,MATCH($B173,CaseData!$B$85:$B$91,0),MATCH(YEAR(AO$5),CaseData!$B$85:$G$85,0)))</f>
        <v>1.0506</v>
      </c>
      <c r="AP173" s="80">
        <f>AD173*(1+INDEX(CaseData!$B$85:$G$91,MATCH($B173,CaseData!$B$85:$B$91,0),MATCH(YEAR(AP$5),CaseData!$B$85:$G$85,0)))</f>
        <v>1.0506</v>
      </c>
      <c r="AQ173" s="80">
        <f>AE173*(1+INDEX(CaseData!$B$85:$G$91,MATCH($B173,CaseData!$B$85:$B$91,0),MATCH(YEAR(AQ$5),CaseData!$B$85:$G$85,0)))</f>
        <v>1.0821179999999999</v>
      </c>
      <c r="AR173" s="80">
        <f>AF173*(1+INDEX(CaseData!$B$85:$G$91,MATCH($B173,CaseData!$B$85:$B$91,0),MATCH(YEAR(AR$5),CaseData!$B$85:$G$85,0)))</f>
        <v>1.0821179999999999</v>
      </c>
      <c r="AS173" s="80">
        <f>AG173*(1+INDEX(CaseData!$B$85:$G$91,MATCH($B173,CaseData!$B$85:$B$91,0),MATCH(YEAR(AS$5),CaseData!$B$85:$G$85,0)))</f>
        <v>1.0821179999999999</v>
      </c>
      <c r="AT173" s="80">
        <f>AH173*(1+INDEX(CaseData!$B$85:$G$91,MATCH($B173,CaseData!$B$85:$B$91,0),MATCH(YEAR(AT$5),CaseData!$B$85:$G$85,0)))</f>
        <v>1.0821179999999999</v>
      </c>
      <c r="AU173" s="80">
        <f>AI173*(1+INDEX(CaseData!$B$85:$G$91,MATCH($B173,CaseData!$B$85:$B$91,0),MATCH(YEAR(AU$5),CaseData!$B$85:$G$85,0)))</f>
        <v>1.0821179999999999</v>
      </c>
      <c r="AV173" s="80">
        <f>AJ173*(1+INDEX(CaseData!$B$85:$G$91,MATCH($B173,CaseData!$B$85:$B$91,0),MATCH(YEAR(AV$5),CaseData!$B$85:$G$85,0)))</f>
        <v>1.0821179999999999</v>
      </c>
      <c r="AW173" s="80">
        <f>AK173*(1+INDEX(CaseData!$B$85:$G$91,MATCH($B173,CaseData!$B$85:$B$91,0),MATCH(YEAR(AW$5),CaseData!$B$85:$G$85,0)))</f>
        <v>1.0821179999999999</v>
      </c>
      <c r="AX173" s="80">
        <f>AL173*(1+INDEX(CaseData!$B$85:$G$91,MATCH($B173,CaseData!$B$85:$B$91,0),MATCH(YEAR(AX$5),CaseData!$B$85:$G$85,0)))</f>
        <v>1.0821179999999999</v>
      </c>
      <c r="AY173" s="80">
        <f>AM173*(1+INDEX(CaseData!$B$85:$G$91,MATCH($B173,CaseData!$B$85:$B$91,0),MATCH(YEAR(AY$5),CaseData!$B$85:$G$85,0)))</f>
        <v>1.0821179999999999</v>
      </c>
      <c r="AZ173" s="80">
        <f>AN173*(1+INDEX(CaseData!$B$85:$G$91,MATCH($B173,CaseData!$B$85:$B$91,0),MATCH(YEAR(AZ$5),CaseData!$B$85:$G$85,0)))</f>
        <v>1.0821179999999999</v>
      </c>
      <c r="BA173" s="80">
        <f>AO173*(1+INDEX(CaseData!$B$85:$G$91,MATCH($B173,CaseData!$B$85:$B$91,0),MATCH(YEAR(BA$5),CaseData!$B$85:$G$85,0)))</f>
        <v>1.0821179999999999</v>
      </c>
      <c r="BB173" s="80">
        <f>AP173*(1+INDEX(CaseData!$B$85:$G$91,MATCH($B173,CaseData!$B$85:$B$91,0),MATCH(YEAR(BB$5),CaseData!$B$85:$G$85,0)))</f>
        <v>1.0821179999999999</v>
      </c>
      <c r="BC173" s="80">
        <f>AQ173*(1+INDEX(CaseData!$B$85:$G$91,MATCH($B173,CaseData!$B$85:$B$91,0),MATCH(YEAR(BC$5),CaseData!$B$85:$G$85,0)))</f>
        <v>1.0875285899999998</v>
      </c>
      <c r="BD173" s="80">
        <f>AR173*(1+INDEX(CaseData!$B$85:$G$91,MATCH($B173,CaseData!$B$85:$B$91,0),MATCH(YEAR(BD$5),CaseData!$B$85:$G$85,0)))</f>
        <v>1.0875285899999998</v>
      </c>
      <c r="BE173" s="80">
        <f>AS173*(1+INDEX(CaseData!$B$85:$G$91,MATCH($B173,CaseData!$B$85:$B$91,0),MATCH(YEAR(BE$5),CaseData!$B$85:$G$85,0)))</f>
        <v>1.0875285899999998</v>
      </c>
      <c r="BF173" s="80">
        <f>AT173*(1+INDEX(CaseData!$B$85:$G$91,MATCH($B173,CaseData!$B$85:$B$91,0),MATCH(YEAR(BF$5),CaseData!$B$85:$G$85,0)))</f>
        <v>1.0875285899999998</v>
      </c>
      <c r="BG173" s="80">
        <f>AU173*(1+INDEX(CaseData!$B$85:$G$91,MATCH($B173,CaseData!$B$85:$B$91,0),MATCH(YEAR(BG$5),CaseData!$B$85:$G$85,0)))</f>
        <v>1.0875285899999998</v>
      </c>
      <c r="BH173" s="80">
        <f>AV173*(1+INDEX(CaseData!$B$85:$G$91,MATCH($B173,CaseData!$B$85:$B$91,0),MATCH(YEAR(BH$5),CaseData!$B$85:$G$85,0)))</f>
        <v>1.0875285899999998</v>
      </c>
      <c r="BI173" s="80">
        <f>AW173*(1+INDEX(CaseData!$B$85:$G$91,MATCH($B173,CaseData!$B$85:$B$91,0),MATCH(YEAR(BI$5),CaseData!$B$85:$G$85,0)))</f>
        <v>1.0875285899999998</v>
      </c>
      <c r="BJ173" s="80">
        <f>AX173*(1+INDEX(CaseData!$B$85:$G$91,MATCH($B173,CaseData!$B$85:$B$91,0),MATCH(YEAR(BJ$5),CaseData!$B$85:$G$85,0)))</f>
        <v>1.0875285899999998</v>
      </c>
      <c r="BK173" s="80">
        <f>AY173*(1+INDEX(CaseData!$B$85:$G$91,MATCH($B173,CaseData!$B$85:$B$91,0),MATCH(YEAR(BK$5),CaseData!$B$85:$G$85,0)))</f>
        <v>1.0875285899999998</v>
      </c>
      <c r="BL173" s="80">
        <f>AZ173*(1+INDEX(CaseData!$B$85:$G$91,MATCH($B173,CaseData!$B$85:$B$91,0),MATCH(YEAR(BL$5),CaseData!$B$85:$G$85,0)))</f>
        <v>1.0875285899999998</v>
      </c>
      <c r="BM173" s="80">
        <f>BA173*(1+INDEX(CaseData!$B$85:$G$91,MATCH($B173,CaseData!$B$85:$B$91,0),MATCH(YEAR(BM$5),CaseData!$B$85:$G$85,0)))</f>
        <v>1.0875285899999998</v>
      </c>
      <c r="BN173" s="80">
        <f>BB173*(1+INDEX(CaseData!$B$85:$G$91,MATCH($B173,CaseData!$B$85:$B$91,0),MATCH(YEAR(BN$5),CaseData!$B$85:$G$85,0)))</f>
        <v>1.0875285899999998</v>
      </c>
    </row>
    <row r="174" spans="2:66">
      <c r="B174" t="str">
        <f>CaseData!B89</f>
        <v>CAD</v>
      </c>
      <c r="G174" s="79">
        <v>1</v>
      </c>
      <c r="H174" s="79">
        <v>1</v>
      </c>
      <c r="I174" s="79">
        <v>1</v>
      </c>
      <c r="J174" s="79">
        <v>1</v>
      </c>
      <c r="K174" s="79">
        <v>1</v>
      </c>
      <c r="L174" s="79">
        <v>1</v>
      </c>
      <c r="M174" s="79">
        <v>1</v>
      </c>
      <c r="N174" s="79">
        <v>1</v>
      </c>
      <c r="O174" s="79">
        <v>1</v>
      </c>
      <c r="P174" s="79">
        <v>1</v>
      </c>
      <c r="Q174" s="79">
        <v>1</v>
      </c>
      <c r="R174" s="79">
        <v>1</v>
      </c>
      <c r="S174" s="80">
        <f>G174*(1+INDEX(CaseData!$B$85:$G$91,MATCH($B174,CaseData!$B$85:$B$91,0),MATCH(YEAR(S$5),CaseData!$B$85:$G$85,0)))</f>
        <v>1.02</v>
      </c>
      <c r="T174" s="80">
        <f>H174*(1+INDEX(CaseData!$B$85:$G$91,MATCH($B174,CaseData!$B$85:$B$91,0),MATCH(YEAR(T$5),CaseData!$B$85:$G$85,0)))</f>
        <v>1.02</v>
      </c>
      <c r="U174" s="80">
        <f>I174*(1+INDEX(CaseData!$B$85:$G$91,MATCH($B174,CaseData!$B$85:$B$91,0),MATCH(YEAR(U$5),CaseData!$B$85:$G$85,0)))</f>
        <v>1.02</v>
      </c>
      <c r="V174" s="80">
        <f>J174*(1+INDEX(CaseData!$B$85:$G$91,MATCH($B174,CaseData!$B$85:$B$91,0),MATCH(YEAR(V$5),CaseData!$B$85:$G$85,0)))</f>
        <v>1.02</v>
      </c>
      <c r="W174" s="80">
        <f>K174*(1+INDEX(CaseData!$B$85:$G$91,MATCH($B174,CaseData!$B$85:$B$91,0),MATCH(YEAR(W$5),CaseData!$B$85:$G$85,0)))</f>
        <v>1.02</v>
      </c>
      <c r="X174" s="80">
        <f>L174*(1+INDEX(CaseData!$B$85:$G$91,MATCH($B174,CaseData!$B$85:$B$91,0),MATCH(YEAR(X$5),CaseData!$B$85:$G$85,0)))</f>
        <v>1.02</v>
      </c>
      <c r="Y174" s="80">
        <f>M174*(1+INDEX(CaseData!$B$85:$G$91,MATCH($B174,CaseData!$B$85:$B$91,0),MATCH(YEAR(Y$5),CaseData!$B$85:$G$85,0)))</f>
        <v>1.02</v>
      </c>
      <c r="Z174" s="80">
        <f>N174*(1+INDEX(CaseData!$B$85:$G$91,MATCH($B174,CaseData!$B$85:$B$91,0),MATCH(YEAR(Z$5),CaseData!$B$85:$G$85,0)))</f>
        <v>1.02</v>
      </c>
      <c r="AA174" s="80">
        <f>O174*(1+INDEX(CaseData!$B$85:$G$91,MATCH($B174,CaseData!$B$85:$B$91,0),MATCH(YEAR(AA$5),CaseData!$B$85:$G$85,0)))</f>
        <v>1.02</v>
      </c>
      <c r="AB174" s="80">
        <f>P174*(1+INDEX(CaseData!$B$85:$G$91,MATCH($B174,CaseData!$B$85:$B$91,0),MATCH(YEAR(AB$5),CaseData!$B$85:$G$85,0)))</f>
        <v>1.02</v>
      </c>
      <c r="AC174" s="80">
        <f>Q174*(1+INDEX(CaseData!$B$85:$G$91,MATCH($B174,CaseData!$B$85:$B$91,0),MATCH(YEAR(AC$5),CaseData!$B$85:$G$85,0)))</f>
        <v>1.02</v>
      </c>
      <c r="AD174" s="80">
        <f>R174*(1+INDEX(CaseData!$B$85:$G$91,MATCH($B174,CaseData!$B$85:$B$91,0),MATCH(YEAR(AD$5),CaseData!$B$85:$G$85,0)))</f>
        <v>1.02</v>
      </c>
      <c r="AE174" s="80">
        <f>S174*(1+INDEX(CaseData!$B$85:$G$91,MATCH($B174,CaseData!$B$85:$B$91,0),MATCH(YEAR(AE$5),CaseData!$B$85:$G$85,0)))</f>
        <v>1.0404</v>
      </c>
      <c r="AF174" s="80">
        <f>T174*(1+INDEX(CaseData!$B$85:$G$91,MATCH($B174,CaseData!$B$85:$B$91,0),MATCH(YEAR(AF$5),CaseData!$B$85:$G$85,0)))</f>
        <v>1.0404</v>
      </c>
      <c r="AG174" s="80">
        <f>U174*(1+INDEX(CaseData!$B$85:$G$91,MATCH($B174,CaseData!$B$85:$B$91,0),MATCH(YEAR(AG$5),CaseData!$B$85:$G$85,0)))</f>
        <v>1.0404</v>
      </c>
      <c r="AH174" s="80">
        <f>V174*(1+INDEX(CaseData!$B$85:$G$91,MATCH($B174,CaseData!$B$85:$B$91,0),MATCH(YEAR(AH$5),CaseData!$B$85:$G$85,0)))</f>
        <v>1.0404</v>
      </c>
      <c r="AI174" s="80">
        <f>W174*(1+INDEX(CaseData!$B$85:$G$91,MATCH($B174,CaseData!$B$85:$B$91,0),MATCH(YEAR(AI$5),CaseData!$B$85:$G$85,0)))</f>
        <v>1.0404</v>
      </c>
      <c r="AJ174" s="80">
        <f>X174*(1+INDEX(CaseData!$B$85:$G$91,MATCH($B174,CaseData!$B$85:$B$91,0),MATCH(YEAR(AJ$5),CaseData!$B$85:$G$85,0)))</f>
        <v>1.0404</v>
      </c>
      <c r="AK174" s="80">
        <f>Y174*(1+INDEX(CaseData!$B$85:$G$91,MATCH($B174,CaseData!$B$85:$B$91,0),MATCH(YEAR(AK$5),CaseData!$B$85:$G$85,0)))</f>
        <v>1.0404</v>
      </c>
      <c r="AL174" s="80">
        <f>Z174*(1+INDEX(CaseData!$B$85:$G$91,MATCH($B174,CaseData!$B$85:$B$91,0),MATCH(YEAR(AL$5),CaseData!$B$85:$G$85,0)))</f>
        <v>1.0404</v>
      </c>
      <c r="AM174" s="80">
        <f>AA174*(1+INDEX(CaseData!$B$85:$G$91,MATCH($B174,CaseData!$B$85:$B$91,0),MATCH(YEAR(AM$5),CaseData!$B$85:$G$85,0)))</f>
        <v>1.0404</v>
      </c>
      <c r="AN174" s="80">
        <f>AB174*(1+INDEX(CaseData!$B$85:$G$91,MATCH($B174,CaseData!$B$85:$B$91,0),MATCH(YEAR(AN$5),CaseData!$B$85:$G$85,0)))</f>
        <v>1.0404</v>
      </c>
      <c r="AO174" s="80">
        <f>AC174*(1+INDEX(CaseData!$B$85:$G$91,MATCH($B174,CaseData!$B$85:$B$91,0),MATCH(YEAR(AO$5),CaseData!$B$85:$G$85,0)))</f>
        <v>1.0404</v>
      </c>
      <c r="AP174" s="80">
        <f>AD174*(1+INDEX(CaseData!$B$85:$G$91,MATCH($B174,CaseData!$B$85:$B$91,0),MATCH(YEAR(AP$5),CaseData!$B$85:$G$85,0)))</f>
        <v>1.0404</v>
      </c>
      <c r="AQ174" s="80">
        <f>AE174*(1+INDEX(CaseData!$B$85:$G$91,MATCH($B174,CaseData!$B$85:$B$91,0),MATCH(YEAR(AQ$5),CaseData!$B$85:$G$85,0)))</f>
        <v>1.0664099999999999</v>
      </c>
      <c r="AR174" s="80">
        <f>AF174*(1+INDEX(CaseData!$B$85:$G$91,MATCH($B174,CaseData!$B$85:$B$91,0),MATCH(YEAR(AR$5),CaseData!$B$85:$G$85,0)))</f>
        <v>1.0664099999999999</v>
      </c>
      <c r="AS174" s="80">
        <f>AG174*(1+INDEX(CaseData!$B$85:$G$91,MATCH($B174,CaseData!$B$85:$B$91,0),MATCH(YEAR(AS$5),CaseData!$B$85:$G$85,0)))</f>
        <v>1.0664099999999999</v>
      </c>
      <c r="AT174" s="80">
        <f>AH174*(1+INDEX(CaseData!$B$85:$G$91,MATCH($B174,CaseData!$B$85:$B$91,0),MATCH(YEAR(AT$5),CaseData!$B$85:$G$85,0)))</f>
        <v>1.0664099999999999</v>
      </c>
      <c r="AU174" s="80">
        <f>AI174*(1+INDEX(CaseData!$B$85:$G$91,MATCH($B174,CaseData!$B$85:$B$91,0),MATCH(YEAR(AU$5),CaseData!$B$85:$G$85,0)))</f>
        <v>1.0664099999999999</v>
      </c>
      <c r="AV174" s="80">
        <f>AJ174*(1+INDEX(CaseData!$B$85:$G$91,MATCH($B174,CaseData!$B$85:$B$91,0),MATCH(YEAR(AV$5),CaseData!$B$85:$G$85,0)))</f>
        <v>1.0664099999999999</v>
      </c>
      <c r="AW174" s="80">
        <f>AK174*(1+INDEX(CaseData!$B$85:$G$91,MATCH($B174,CaseData!$B$85:$B$91,0),MATCH(YEAR(AW$5),CaseData!$B$85:$G$85,0)))</f>
        <v>1.0664099999999999</v>
      </c>
      <c r="AX174" s="80">
        <f>AL174*(1+INDEX(CaseData!$B$85:$G$91,MATCH($B174,CaseData!$B$85:$B$91,0),MATCH(YEAR(AX$5),CaseData!$B$85:$G$85,0)))</f>
        <v>1.0664099999999999</v>
      </c>
      <c r="AY174" s="80">
        <f>AM174*(1+INDEX(CaseData!$B$85:$G$91,MATCH($B174,CaseData!$B$85:$B$91,0),MATCH(YEAR(AY$5),CaseData!$B$85:$G$85,0)))</f>
        <v>1.0664099999999999</v>
      </c>
      <c r="AZ174" s="80">
        <f>AN174*(1+INDEX(CaseData!$B$85:$G$91,MATCH($B174,CaseData!$B$85:$B$91,0),MATCH(YEAR(AZ$5),CaseData!$B$85:$G$85,0)))</f>
        <v>1.0664099999999999</v>
      </c>
      <c r="BA174" s="80">
        <f>AO174*(1+INDEX(CaseData!$B$85:$G$91,MATCH($B174,CaseData!$B$85:$B$91,0),MATCH(YEAR(BA$5),CaseData!$B$85:$G$85,0)))</f>
        <v>1.0664099999999999</v>
      </c>
      <c r="BB174" s="80">
        <f>AP174*(1+INDEX(CaseData!$B$85:$G$91,MATCH($B174,CaseData!$B$85:$B$91,0),MATCH(YEAR(BB$5),CaseData!$B$85:$G$85,0)))</f>
        <v>1.0664099999999999</v>
      </c>
      <c r="BC174" s="80">
        <f>AQ174*(1+INDEX(CaseData!$B$85:$G$91,MATCH($B174,CaseData!$B$85:$B$91,0),MATCH(YEAR(BC$5),CaseData!$B$85:$G$85,0)))</f>
        <v>1.0877381999999998</v>
      </c>
      <c r="BD174" s="80">
        <f>AR174*(1+INDEX(CaseData!$B$85:$G$91,MATCH($B174,CaseData!$B$85:$B$91,0),MATCH(YEAR(BD$5),CaseData!$B$85:$G$85,0)))</f>
        <v>1.0877381999999998</v>
      </c>
      <c r="BE174" s="80">
        <f>AS174*(1+INDEX(CaseData!$B$85:$G$91,MATCH($B174,CaseData!$B$85:$B$91,0),MATCH(YEAR(BE$5),CaseData!$B$85:$G$85,0)))</f>
        <v>1.0877381999999998</v>
      </c>
      <c r="BF174" s="80">
        <f>AT174*(1+INDEX(CaseData!$B$85:$G$91,MATCH($B174,CaseData!$B$85:$B$91,0),MATCH(YEAR(BF$5),CaseData!$B$85:$G$85,0)))</f>
        <v>1.0877381999999998</v>
      </c>
      <c r="BG174" s="80">
        <f>AU174*(1+INDEX(CaseData!$B$85:$G$91,MATCH($B174,CaseData!$B$85:$B$91,0),MATCH(YEAR(BG$5),CaseData!$B$85:$G$85,0)))</f>
        <v>1.0877381999999998</v>
      </c>
      <c r="BH174" s="80">
        <f>AV174*(1+INDEX(CaseData!$B$85:$G$91,MATCH($B174,CaseData!$B$85:$B$91,0),MATCH(YEAR(BH$5),CaseData!$B$85:$G$85,0)))</f>
        <v>1.0877381999999998</v>
      </c>
      <c r="BI174" s="80">
        <f>AW174*(1+INDEX(CaseData!$B$85:$G$91,MATCH($B174,CaseData!$B$85:$B$91,0),MATCH(YEAR(BI$5),CaseData!$B$85:$G$85,0)))</f>
        <v>1.0877381999999998</v>
      </c>
      <c r="BJ174" s="80">
        <f>AX174*(1+INDEX(CaseData!$B$85:$G$91,MATCH($B174,CaseData!$B$85:$B$91,0),MATCH(YEAR(BJ$5),CaseData!$B$85:$G$85,0)))</f>
        <v>1.0877381999999998</v>
      </c>
      <c r="BK174" s="80">
        <f>AY174*(1+INDEX(CaseData!$B$85:$G$91,MATCH($B174,CaseData!$B$85:$B$91,0),MATCH(YEAR(BK$5),CaseData!$B$85:$G$85,0)))</f>
        <v>1.0877381999999998</v>
      </c>
      <c r="BL174" s="80">
        <f>AZ174*(1+INDEX(CaseData!$B$85:$G$91,MATCH($B174,CaseData!$B$85:$B$91,0),MATCH(YEAR(BL$5),CaseData!$B$85:$G$85,0)))</f>
        <v>1.0877381999999998</v>
      </c>
      <c r="BM174" s="80">
        <f>BA174*(1+INDEX(CaseData!$B$85:$G$91,MATCH($B174,CaseData!$B$85:$B$91,0),MATCH(YEAR(BM$5),CaseData!$B$85:$G$85,0)))</f>
        <v>1.0877381999999998</v>
      </c>
      <c r="BN174" s="80">
        <f>BB174*(1+INDEX(CaseData!$B$85:$G$91,MATCH($B174,CaseData!$B$85:$B$91,0),MATCH(YEAR(BN$5),CaseData!$B$85:$G$85,0)))</f>
        <v>1.0877381999999998</v>
      </c>
    </row>
    <row r="175" spans="2:66">
      <c r="B175" t="str">
        <f>CaseData!B90</f>
        <v>CHF</v>
      </c>
      <c r="G175" s="79">
        <v>1</v>
      </c>
      <c r="H175" s="79">
        <v>1</v>
      </c>
      <c r="I175" s="79">
        <v>1</v>
      </c>
      <c r="J175" s="79">
        <v>1</v>
      </c>
      <c r="K175" s="79">
        <v>1</v>
      </c>
      <c r="L175" s="79">
        <v>1</v>
      </c>
      <c r="M175" s="79">
        <v>1</v>
      </c>
      <c r="N175" s="79">
        <v>1</v>
      </c>
      <c r="O175" s="79">
        <v>1</v>
      </c>
      <c r="P175" s="79">
        <v>1</v>
      </c>
      <c r="Q175" s="79">
        <v>1</v>
      </c>
      <c r="R175" s="79">
        <v>1</v>
      </c>
      <c r="S175" s="80">
        <f>G175*(1+INDEX(CaseData!$B$85:$G$91,MATCH($B175,CaseData!$B$85:$B$91,0),MATCH(YEAR(S$5),CaseData!$B$85:$G$85,0)))</f>
        <v>1.0249999999999999</v>
      </c>
      <c r="T175" s="80">
        <f>H175*(1+INDEX(CaseData!$B$85:$G$91,MATCH($B175,CaseData!$B$85:$B$91,0),MATCH(YEAR(T$5),CaseData!$B$85:$G$85,0)))</f>
        <v>1.0249999999999999</v>
      </c>
      <c r="U175" s="80">
        <f>I175*(1+INDEX(CaseData!$B$85:$G$91,MATCH($B175,CaseData!$B$85:$B$91,0),MATCH(YEAR(U$5),CaseData!$B$85:$G$85,0)))</f>
        <v>1.0249999999999999</v>
      </c>
      <c r="V175" s="80">
        <f>J175*(1+INDEX(CaseData!$B$85:$G$91,MATCH($B175,CaseData!$B$85:$B$91,0),MATCH(YEAR(V$5),CaseData!$B$85:$G$85,0)))</f>
        <v>1.0249999999999999</v>
      </c>
      <c r="W175" s="80">
        <f>K175*(1+INDEX(CaseData!$B$85:$G$91,MATCH($B175,CaseData!$B$85:$B$91,0),MATCH(YEAR(W$5),CaseData!$B$85:$G$85,0)))</f>
        <v>1.0249999999999999</v>
      </c>
      <c r="X175" s="80">
        <f>L175*(1+INDEX(CaseData!$B$85:$G$91,MATCH($B175,CaseData!$B$85:$B$91,0),MATCH(YEAR(X$5),CaseData!$B$85:$G$85,0)))</f>
        <v>1.0249999999999999</v>
      </c>
      <c r="Y175" s="80">
        <f>M175*(1+INDEX(CaseData!$B$85:$G$91,MATCH($B175,CaseData!$B$85:$B$91,0),MATCH(YEAR(Y$5),CaseData!$B$85:$G$85,0)))</f>
        <v>1.0249999999999999</v>
      </c>
      <c r="Z175" s="80">
        <f>N175*(1+INDEX(CaseData!$B$85:$G$91,MATCH($B175,CaseData!$B$85:$B$91,0),MATCH(YEAR(Z$5),CaseData!$B$85:$G$85,0)))</f>
        <v>1.0249999999999999</v>
      </c>
      <c r="AA175" s="80">
        <f>O175*(1+INDEX(CaseData!$B$85:$G$91,MATCH($B175,CaseData!$B$85:$B$91,0),MATCH(YEAR(AA$5),CaseData!$B$85:$G$85,0)))</f>
        <v>1.0249999999999999</v>
      </c>
      <c r="AB175" s="80">
        <f>P175*(1+INDEX(CaseData!$B$85:$G$91,MATCH($B175,CaseData!$B$85:$B$91,0),MATCH(YEAR(AB$5),CaseData!$B$85:$G$85,0)))</f>
        <v>1.0249999999999999</v>
      </c>
      <c r="AC175" s="80">
        <f>Q175*(1+INDEX(CaseData!$B$85:$G$91,MATCH($B175,CaseData!$B$85:$B$91,0),MATCH(YEAR(AC$5),CaseData!$B$85:$G$85,0)))</f>
        <v>1.0249999999999999</v>
      </c>
      <c r="AD175" s="80">
        <f>R175*(1+INDEX(CaseData!$B$85:$G$91,MATCH($B175,CaseData!$B$85:$B$91,0),MATCH(YEAR(AD$5),CaseData!$B$85:$G$85,0)))</f>
        <v>1.0249999999999999</v>
      </c>
      <c r="AE175" s="80">
        <f>S175*(1+INDEX(CaseData!$B$85:$G$91,MATCH($B175,CaseData!$B$85:$B$91,0),MATCH(YEAR(AE$5),CaseData!$B$85:$G$85,0)))</f>
        <v>1.0301249999999997</v>
      </c>
      <c r="AF175" s="80">
        <f>T175*(1+INDEX(CaseData!$B$85:$G$91,MATCH($B175,CaseData!$B$85:$B$91,0),MATCH(YEAR(AF$5),CaseData!$B$85:$G$85,0)))</f>
        <v>1.0301249999999997</v>
      </c>
      <c r="AG175" s="80">
        <f>U175*(1+INDEX(CaseData!$B$85:$G$91,MATCH($B175,CaseData!$B$85:$B$91,0),MATCH(YEAR(AG$5),CaseData!$B$85:$G$85,0)))</f>
        <v>1.0301249999999997</v>
      </c>
      <c r="AH175" s="80">
        <f>V175*(1+INDEX(CaseData!$B$85:$G$91,MATCH($B175,CaseData!$B$85:$B$91,0),MATCH(YEAR(AH$5),CaseData!$B$85:$G$85,0)))</f>
        <v>1.0301249999999997</v>
      </c>
      <c r="AI175" s="80">
        <f>W175*(1+INDEX(CaseData!$B$85:$G$91,MATCH($B175,CaseData!$B$85:$B$91,0),MATCH(YEAR(AI$5),CaseData!$B$85:$G$85,0)))</f>
        <v>1.0301249999999997</v>
      </c>
      <c r="AJ175" s="80">
        <f>X175*(1+INDEX(CaseData!$B$85:$G$91,MATCH($B175,CaseData!$B$85:$B$91,0),MATCH(YEAR(AJ$5),CaseData!$B$85:$G$85,0)))</f>
        <v>1.0301249999999997</v>
      </c>
      <c r="AK175" s="80">
        <f>Y175*(1+INDEX(CaseData!$B$85:$G$91,MATCH($B175,CaseData!$B$85:$B$91,0),MATCH(YEAR(AK$5),CaseData!$B$85:$G$85,0)))</f>
        <v>1.0301249999999997</v>
      </c>
      <c r="AL175" s="80">
        <f>Z175*(1+INDEX(CaseData!$B$85:$G$91,MATCH($B175,CaseData!$B$85:$B$91,0),MATCH(YEAR(AL$5),CaseData!$B$85:$G$85,0)))</f>
        <v>1.0301249999999997</v>
      </c>
      <c r="AM175" s="80">
        <f>AA175*(1+INDEX(CaseData!$B$85:$G$91,MATCH($B175,CaseData!$B$85:$B$91,0),MATCH(YEAR(AM$5),CaseData!$B$85:$G$85,0)))</f>
        <v>1.0301249999999997</v>
      </c>
      <c r="AN175" s="80">
        <f>AB175*(1+INDEX(CaseData!$B$85:$G$91,MATCH($B175,CaseData!$B$85:$B$91,0),MATCH(YEAR(AN$5),CaseData!$B$85:$G$85,0)))</f>
        <v>1.0301249999999997</v>
      </c>
      <c r="AO175" s="80">
        <f>AC175*(1+INDEX(CaseData!$B$85:$G$91,MATCH($B175,CaseData!$B$85:$B$91,0),MATCH(YEAR(AO$5),CaseData!$B$85:$G$85,0)))</f>
        <v>1.0301249999999997</v>
      </c>
      <c r="AP175" s="80">
        <f>AD175*(1+INDEX(CaseData!$B$85:$G$91,MATCH($B175,CaseData!$B$85:$B$91,0),MATCH(YEAR(AP$5),CaseData!$B$85:$G$85,0)))</f>
        <v>1.0301249999999997</v>
      </c>
      <c r="AQ175" s="80">
        <f>AE175*(1+INDEX(CaseData!$B$85:$G$91,MATCH($B175,CaseData!$B$85:$B$91,0),MATCH(YEAR(AQ$5),CaseData!$B$85:$G$85,0)))</f>
        <v>1.0610287499999997</v>
      </c>
      <c r="AR175" s="80">
        <f>AF175*(1+INDEX(CaseData!$B$85:$G$91,MATCH($B175,CaseData!$B$85:$B$91,0),MATCH(YEAR(AR$5),CaseData!$B$85:$G$85,0)))</f>
        <v>1.0610287499999997</v>
      </c>
      <c r="AS175" s="80">
        <f>AG175*(1+INDEX(CaseData!$B$85:$G$91,MATCH($B175,CaseData!$B$85:$B$91,0),MATCH(YEAR(AS$5),CaseData!$B$85:$G$85,0)))</f>
        <v>1.0610287499999997</v>
      </c>
      <c r="AT175" s="80">
        <f>AH175*(1+INDEX(CaseData!$B$85:$G$91,MATCH($B175,CaseData!$B$85:$B$91,0),MATCH(YEAR(AT$5),CaseData!$B$85:$G$85,0)))</f>
        <v>1.0610287499999997</v>
      </c>
      <c r="AU175" s="80">
        <f>AI175*(1+INDEX(CaseData!$B$85:$G$91,MATCH($B175,CaseData!$B$85:$B$91,0),MATCH(YEAR(AU$5),CaseData!$B$85:$G$85,0)))</f>
        <v>1.0610287499999997</v>
      </c>
      <c r="AV175" s="80">
        <f>AJ175*(1+INDEX(CaseData!$B$85:$G$91,MATCH($B175,CaseData!$B$85:$B$91,0),MATCH(YEAR(AV$5),CaseData!$B$85:$G$85,0)))</f>
        <v>1.0610287499999997</v>
      </c>
      <c r="AW175" s="80">
        <f>AK175*(1+INDEX(CaseData!$B$85:$G$91,MATCH($B175,CaseData!$B$85:$B$91,0),MATCH(YEAR(AW$5),CaseData!$B$85:$G$85,0)))</f>
        <v>1.0610287499999997</v>
      </c>
      <c r="AX175" s="80">
        <f>AL175*(1+INDEX(CaseData!$B$85:$G$91,MATCH($B175,CaseData!$B$85:$B$91,0),MATCH(YEAR(AX$5),CaseData!$B$85:$G$85,0)))</f>
        <v>1.0610287499999997</v>
      </c>
      <c r="AY175" s="80">
        <f>AM175*(1+INDEX(CaseData!$B$85:$G$91,MATCH($B175,CaseData!$B$85:$B$91,0),MATCH(YEAR(AY$5),CaseData!$B$85:$G$85,0)))</f>
        <v>1.0610287499999997</v>
      </c>
      <c r="AZ175" s="80">
        <f>AN175*(1+INDEX(CaseData!$B$85:$G$91,MATCH($B175,CaseData!$B$85:$B$91,0),MATCH(YEAR(AZ$5),CaseData!$B$85:$G$85,0)))</f>
        <v>1.0610287499999997</v>
      </c>
      <c r="BA175" s="80">
        <f>AO175*(1+INDEX(CaseData!$B$85:$G$91,MATCH($B175,CaseData!$B$85:$B$91,0),MATCH(YEAR(BA$5),CaseData!$B$85:$G$85,0)))</f>
        <v>1.0610287499999997</v>
      </c>
      <c r="BB175" s="80">
        <f>AP175*(1+INDEX(CaseData!$B$85:$G$91,MATCH($B175,CaseData!$B$85:$B$91,0),MATCH(YEAR(BB$5),CaseData!$B$85:$G$85,0)))</f>
        <v>1.0610287499999997</v>
      </c>
      <c r="BC175" s="80">
        <f>AQ175*(1+INDEX(CaseData!$B$85:$G$91,MATCH($B175,CaseData!$B$85:$B$91,0),MATCH(YEAR(BC$5),CaseData!$B$85:$G$85,0)))</f>
        <v>1.0769441812499996</v>
      </c>
      <c r="BD175" s="80">
        <f>AR175*(1+INDEX(CaseData!$B$85:$G$91,MATCH($B175,CaseData!$B$85:$B$91,0),MATCH(YEAR(BD$5),CaseData!$B$85:$G$85,0)))</f>
        <v>1.0769441812499996</v>
      </c>
      <c r="BE175" s="80">
        <f>AS175*(1+INDEX(CaseData!$B$85:$G$91,MATCH($B175,CaseData!$B$85:$B$91,0),MATCH(YEAR(BE$5),CaseData!$B$85:$G$85,0)))</f>
        <v>1.0769441812499996</v>
      </c>
      <c r="BF175" s="80">
        <f>AT175*(1+INDEX(CaseData!$B$85:$G$91,MATCH($B175,CaseData!$B$85:$B$91,0),MATCH(YEAR(BF$5),CaseData!$B$85:$G$85,0)))</f>
        <v>1.0769441812499996</v>
      </c>
      <c r="BG175" s="80">
        <f>AU175*(1+INDEX(CaseData!$B$85:$G$91,MATCH($B175,CaseData!$B$85:$B$91,0),MATCH(YEAR(BG$5),CaseData!$B$85:$G$85,0)))</f>
        <v>1.0769441812499996</v>
      </c>
      <c r="BH175" s="80">
        <f>AV175*(1+INDEX(CaseData!$B$85:$G$91,MATCH($B175,CaseData!$B$85:$B$91,0),MATCH(YEAR(BH$5),CaseData!$B$85:$G$85,0)))</f>
        <v>1.0769441812499996</v>
      </c>
      <c r="BI175" s="80">
        <f>AW175*(1+INDEX(CaseData!$B$85:$G$91,MATCH($B175,CaseData!$B$85:$B$91,0),MATCH(YEAR(BI$5),CaseData!$B$85:$G$85,0)))</f>
        <v>1.0769441812499996</v>
      </c>
      <c r="BJ175" s="80">
        <f>AX175*(1+INDEX(CaseData!$B$85:$G$91,MATCH($B175,CaseData!$B$85:$B$91,0),MATCH(YEAR(BJ$5),CaseData!$B$85:$G$85,0)))</f>
        <v>1.0769441812499996</v>
      </c>
      <c r="BK175" s="80">
        <f>AY175*(1+INDEX(CaseData!$B$85:$G$91,MATCH($B175,CaseData!$B$85:$B$91,0),MATCH(YEAR(BK$5),CaseData!$B$85:$G$85,0)))</f>
        <v>1.0769441812499996</v>
      </c>
      <c r="BL175" s="80">
        <f>AZ175*(1+INDEX(CaseData!$B$85:$G$91,MATCH($B175,CaseData!$B$85:$B$91,0),MATCH(YEAR(BL$5),CaseData!$B$85:$G$85,0)))</f>
        <v>1.0769441812499996</v>
      </c>
      <c r="BM175" s="80">
        <f>BA175*(1+INDEX(CaseData!$B$85:$G$91,MATCH($B175,CaseData!$B$85:$B$91,0),MATCH(YEAR(BM$5),CaseData!$B$85:$G$85,0)))</f>
        <v>1.0769441812499996</v>
      </c>
      <c r="BN175" s="80">
        <f>BB175*(1+INDEX(CaseData!$B$85:$G$91,MATCH($B175,CaseData!$B$85:$B$91,0),MATCH(YEAR(BN$5),CaseData!$B$85:$G$85,0)))</f>
        <v>1.0769441812499996</v>
      </c>
    </row>
    <row r="176" spans="2:66">
      <c r="B176" t="str">
        <f>CaseData!B91</f>
        <v>RUB</v>
      </c>
      <c r="G176" s="79">
        <v>1</v>
      </c>
      <c r="H176" s="79">
        <v>1</v>
      </c>
      <c r="I176" s="79">
        <v>1</v>
      </c>
      <c r="J176" s="79">
        <v>1</v>
      </c>
      <c r="K176" s="79">
        <v>1</v>
      </c>
      <c r="L176" s="79">
        <v>1</v>
      </c>
      <c r="M176" s="79">
        <v>1</v>
      </c>
      <c r="N176" s="79">
        <v>1</v>
      </c>
      <c r="O176" s="79">
        <v>1</v>
      </c>
      <c r="P176" s="79">
        <v>1</v>
      </c>
      <c r="Q176" s="79">
        <v>1</v>
      </c>
      <c r="R176" s="79">
        <v>1</v>
      </c>
      <c r="S176" s="80">
        <f>G176*(1+INDEX(CaseData!$B$85:$G$91,MATCH($B176,CaseData!$B$85:$B$91,0),MATCH(YEAR(S$5),CaseData!$B$85:$G$85,0)))</f>
        <v>1.01</v>
      </c>
      <c r="T176" s="80">
        <f>H176*(1+INDEX(CaseData!$B$85:$G$91,MATCH($B176,CaseData!$B$85:$B$91,0),MATCH(YEAR(T$5),CaseData!$B$85:$G$85,0)))</f>
        <v>1.01</v>
      </c>
      <c r="U176" s="80">
        <f>I176*(1+INDEX(CaseData!$B$85:$G$91,MATCH($B176,CaseData!$B$85:$B$91,0),MATCH(YEAR(U$5),CaseData!$B$85:$G$85,0)))</f>
        <v>1.01</v>
      </c>
      <c r="V176" s="80">
        <f>J176*(1+INDEX(CaseData!$B$85:$G$91,MATCH($B176,CaseData!$B$85:$B$91,0),MATCH(YEAR(V$5),CaseData!$B$85:$G$85,0)))</f>
        <v>1.01</v>
      </c>
      <c r="W176" s="80">
        <f>K176*(1+INDEX(CaseData!$B$85:$G$91,MATCH($B176,CaseData!$B$85:$B$91,0),MATCH(YEAR(W$5),CaseData!$B$85:$G$85,0)))</f>
        <v>1.01</v>
      </c>
      <c r="X176" s="80">
        <f>L176*(1+INDEX(CaseData!$B$85:$G$91,MATCH($B176,CaseData!$B$85:$B$91,0),MATCH(YEAR(X$5),CaseData!$B$85:$G$85,0)))</f>
        <v>1.01</v>
      </c>
      <c r="Y176" s="80">
        <f>M176*(1+INDEX(CaseData!$B$85:$G$91,MATCH($B176,CaseData!$B$85:$B$91,0),MATCH(YEAR(Y$5),CaseData!$B$85:$G$85,0)))</f>
        <v>1.01</v>
      </c>
      <c r="Z176" s="80">
        <f>N176*(1+INDEX(CaseData!$B$85:$G$91,MATCH($B176,CaseData!$B$85:$B$91,0),MATCH(YEAR(Z$5),CaseData!$B$85:$G$85,0)))</f>
        <v>1.01</v>
      </c>
      <c r="AA176" s="80">
        <f>O176*(1+INDEX(CaseData!$B$85:$G$91,MATCH($B176,CaseData!$B$85:$B$91,0),MATCH(YEAR(AA$5),CaseData!$B$85:$G$85,0)))</f>
        <v>1.01</v>
      </c>
      <c r="AB176" s="80">
        <f>P176*(1+INDEX(CaseData!$B$85:$G$91,MATCH($B176,CaseData!$B$85:$B$91,0),MATCH(YEAR(AB$5),CaseData!$B$85:$G$85,0)))</f>
        <v>1.01</v>
      </c>
      <c r="AC176" s="80">
        <f>Q176*(1+INDEX(CaseData!$B$85:$G$91,MATCH($B176,CaseData!$B$85:$B$91,0),MATCH(YEAR(AC$5),CaseData!$B$85:$G$85,0)))</f>
        <v>1.01</v>
      </c>
      <c r="AD176" s="80">
        <f>R176*(1+INDEX(CaseData!$B$85:$G$91,MATCH($B176,CaseData!$B$85:$B$91,0),MATCH(YEAR(AD$5),CaseData!$B$85:$G$85,0)))</f>
        <v>1.01</v>
      </c>
      <c r="AE176" s="80">
        <f>S176*(1+INDEX(CaseData!$B$85:$G$91,MATCH($B176,CaseData!$B$85:$B$91,0),MATCH(YEAR(AE$5),CaseData!$B$85:$G$85,0)))</f>
        <v>1.0201</v>
      </c>
      <c r="AF176" s="80">
        <f>T176*(1+INDEX(CaseData!$B$85:$G$91,MATCH($B176,CaseData!$B$85:$B$91,0),MATCH(YEAR(AF$5),CaseData!$B$85:$G$85,0)))</f>
        <v>1.0201</v>
      </c>
      <c r="AG176" s="80">
        <f>U176*(1+INDEX(CaseData!$B$85:$G$91,MATCH($B176,CaseData!$B$85:$B$91,0),MATCH(YEAR(AG$5),CaseData!$B$85:$G$85,0)))</f>
        <v>1.0201</v>
      </c>
      <c r="AH176" s="80">
        <f>V176*(1+INDEX(CaseData!$B$85:$G$91,MATCH($B176,CaseData!$B$85:$B$91,0),MATCH(YEAR(AH$5),CaseData!$B$85:$G$85,0)))</f>
        <v>1.0201</v>
      </c>
      <c r="AI176" s="80">
        <f>W176*(1+INDEX(CaseData!$B$85:$G$91,MATCH($B176,CaseData!$B$85:$B$91,0),MATCH(YEAR(AI$5),CaseData!$B$85:$G$85,0)))</f>
        <v>1.0201</v>
      </c>
      <c r="AJ176" s="80">
        <f>X176*(1+INDEX(CaseData!$B$85:$G$91,MATCH($B176,CaseData!$B$85:$B$91,0),MATCH(YEAR(AJ$5),CaseData!$B$85:$G$85,0)))</f>
        <v>1.0201</v>
      </c>
      <c r="AK176" s="80">
        <f>Y176*(1+INDEX(CaseData!$B$85:$G$91,MATCH($B176,CaseData!$B$85:$B$91,0),MATCH(YEAR(AK$5),CaseData!$B$85:$G$85,0)))</f>
        <v>1.0201</v>
      </c>
      <c r="AL176" s="80">
        <f>Z176*(1+INDEX(CaseData!$B$85:$G$91,MATCH($B176,CaseData!$B$85:$B$91,0),MATCH(YEAR(AL$5),CaseData!$B$85:$G$85,0)))</f>
        <v>1.0201</v>
      </c>
      <c r="AM176" s="80">
        <f>AA176*(1+INDEX(CaseData!$B$85:$G$91,MATCH($B176,CaseData!$B$85:$B$91,0),MATCH(YEAR(AM$5),CaseData!$B$85:$G$85,0)))</f>
        <v>1.0201</v>
      </c>
      <c r="AN176" s="80">
        <f>AB176*(1+INDEX(CaseData!$B$85:$G$91,MATCH($B176,CaseData!$B$85:$B$91,0),MATCH(YEAR(AN$5),CaseData!$B$85:$G$85,0)))</f>
        <v>1.0201</v>
      </c>
      <c r="AO176" s="80">
        <f>AC176*(1+INDEX(CaseData!$B$85:$G$91,MATCH($B176,CaseData!$B$85:$B$91,0),MATCH(YEAR(AO$5),CaseData!$B$85:$G$85,0)))</f>
        <v>1.0201</v>
      </c>
      <c r="AP176" s="80">
        <f>AD176*(1+INDEX(CaseData!$B$85:$G$91,MATCH($B176,CaseData!$B$85:$B$91,0),MATCH(YEAR(AP$5),CaseData!$B$85:$G$85,0)))</f>
        <v>1.0201</v>
      </c>
      <c r="AQ176" s="80">
        <f>AE176*(1+INDEX(CaseData!$B$85:$G$91,MATCH($B176,CaseData!$B$85:$B$91,0),MATCH(YEAR(AQ$5),CaseData!$B$85:$G$85,0)))</f>
        <v>1.0354014999999999</v>
      </c>
      <c r="AR176" s="80">
        <f>AF176*(1+INDEX(CaseData!$B$85:$G$91,MATCH($B176,CaseData!$B$85:$B$91,0),MATCH(YEAR(AR$5),CaseData!$B$85:$G$85,0)))</f>
        <v>1.0354014999999999</v>
      </c>
      <c r="AS176" s="80">
        <f>AG176*(1+INDEX(CaseData!$B$85:$G$91,MATCH($B176,CaseData!$B$85:$B$91,0),MATCH(YEAR(AS$5),CaseData!$B$85:$G$85,0)))</f>
        <v>1.0354014999999999</v>
      </c>
      <c r="AT176" s="80">
        <f>AH176*(1+INDEX(CaseData!$B$85:$G$91,MATCH($B176,CaseData!$B$85:$B$91,0),MATCH(YEAR(AT$5),CaseData!$B$85:$G$85,0)))</f>
        <v>1.0354014999999999</v>
      </c>
      <c r="AU176" s="80">
        <f>AI176*(1+INDEX(CaseData!$B$85:$G$91,MATCH($B176,CaseData!$B$85:$B$91,0),MATCH(YEAR(AU$5),CaseData!$B$85:$G$85,0)))</f>
        <v>1.0354014999999999</v>
      </c>
      <c r="AV176" s="80">
        <f>AJ176*(1+INDEX(CaseData!$B$85:$G$91,MATCH($B176,CaseData!$B$85:$B$91,0),MATCH(YEAR(AV$5),CaseData!$B$85:$G$85,0)))</f>
        <v>1.0354014999999999</v>
      </c>
      <c r="AW176" s="80">
        <f>AK176*(1+INDEX(CaseData!$B$85:$G$91,MATCH($B176,CaseData!$B$85:$B$91,0),MATCH(YEAR(AW$5),CaseData!$B$85:$G$85,0)))</f>
        <v>1.0354014999999999</v>
      </c>
      <c r="AX176" s="80">
        <f>AL176*(1+INDEX(CaseData!$B$85:$G$91,MATCH($B176,CaseData!$B$85:$B$91,0),MATCH(YEAR(AX$5),CaseData!$B$85:$G$85,0)))</f>
        <v>1.0354014999999999</v>
      </c>
      <c r="AY176" s="80">
        <f>AM176*(1+INDEX(CaseData!$B$85:$G$91,MATCH($B176,CaseData!$B$85:$B$91,0),MATCH(YEAR(AY$5),CaseData!$B$85:$G$85,0)))</f>
        <v>1.0354014999999999</v>
      </c>
      <c r="AZ176" s="80">
        <f>AN176*(1+INDEX(CaseData!$B$85:$G$91,MATCH($B176,CaseData!$B$85:$B$91,0),MATCH(YEAR(AZ$5),CaseData!$B$85:$G$85,0)))</f>
        <v>1.0354014999999999</v>
      </c>
      <c r="BA176" s="80">
        <f>AO176*(1+INDEX(CaseData!$B$85:$G$91,MATCH($B176,CaseData!$B$85:$B$91,0),MATCH(YEAR(BA$5),CaseData!$B$85:$G$85,0)))</f>
        <v>1.0354014999999999</v>
      </c>
      <c r="BB176" s="80">
        <f>AP176*(1+INDEX(CaseData!$B$85:$G$91,MATCH($B176,CaseData!$B$85:$B$91,0),MATCH(YEAR(BB$5),CaseData!$B$85:$G$85,0)))</f>
        <v>1.0354014999999999</v>
      </c>
      <c r="BC176" s="80">
        <f>AQ176*(1+INDEX(CaseData!$B$85:$G$91,MATCH($B176,CaseData!$B$85:$B$91,0),MATCH(YEAR(BC$5),CaseData!$B$85:$G$85,0)))</f>
        <v>1.045755515</v>
      </c>
      <c r="BD176" s="80">
        <f>AR176*(1+INDEX(CaseData!$B$85:$G$91,MATCH($B176,CaseData!$B$85:$B$91,0),MATCH(YEAR(BD$5),CaseData!$B$85:$G$85,0)))</f>
        <v>1.045755515</v>
      </c>
      <c r="BE176" s="80">
        <f>AS176*(1+INDEX(CaseData!$B$85:$G$91,MATCH($B176,CaseData!$B$85:$B$91,0),MATCH(YEAR(BE$5),CaseData!$B$85:$G$85,0)))</f>
        <v>1.045755515</v>
      </c>
      <c r="BF176" s="80">
        <f>AT176*(1+INDEX(CaseData!$B$85:$G$91,MATCH($B176,CaseData!$B$85:$B$91,0),MATCH(YEAR(BF$5),CaseData!$B$85:$G$85,0)))</f>
        <v>1.045755515</v>
      </c>
      <c r="BG176" s="80">
        <f>AU176*(1+INDEX(CaseData!$B$85:$G$91,MATCH($B176,CaseData!$B$85:$B$91,0),MATCH(YEAR(BG$5),CaseData!$B$85:$G$85,0)))</f>
        <v>1.045755515</v>
      </c>
      <c r="BH176" s="80">
        <f>AV176*(1+INDEX(CaseData!$B$85:$G$91,MATCH($B176,CaseData!$B$85:$B$91,0),MATCH(YEAR(BH$5),CaseData!$B$85:$G$85,0)))</f>
        <v>1.045755515</v>
      </c>
      <c r="BI176" s="80">
        <f>AW176*(1+INDEX(CaseData!$B$85:$G$91,MATCH($B176,CaseData!$B$85:$B$91,0),MATCH(YEAR(BI$5),CaseData!$B$85:$G$85,0)))</f>
        <v>1.045755515</v>
      </c>
      <c r="BJ176" s="80">
        <f>AX176*(1+INDEX(CaseData!$B$85:$G$91,MATCH($B176,CaseData!$B$85:$B$91,0),MATCH(YEAR(BJ$5),CaseData!$B$85:$G$85,0)))</f>
        <v>1.045755515</v>
      </c>
      <c r="BK176" s="80">
        <f>AY176*(1+INDEX(CaseData!$B$85:$G$91,MATCH($B176,CaseData!$B$85:$B$91,0),MATCH(YEAR(BK$5),CaseData!$B$85:$G$85,0)))</f>
        <v>1.045755515</v>
      </c>
      <c r="BL176" s="80">
        <f>AZ176*(1+INDEX(CaseData!$B$85:$G$91,MATCH($B176,CaseData!$B$85:$B$91,0),MATCH(YEAR(BL$5),CaseData!$B$85:$G$85,0)))</f>
        <v>1.045755515</v>
      </c>
      <c r="BM176" s="80">
        <f>BA176*(1+INDEX(CaseData!$B$85:$G$91,MATCH($B176,CaseData!$B$85:$B$91,0),MATCH(YEAR(BM$5),CaseData!$B$85:$G$85,0)))</f>
        <v>1.045755515</v>
      </c>
      <c r="BN176" s="80">
        <f>BB176*(1+INDEX(CaseData!$B$85:$G$91,MATCH($B176,CaseData!$B$85:$B$91,0),MATCH(YEAR(BN$5),CaseData!$B$85:$G$85,0)))</f>
        <v>1.045755515</v>
      </c>
    </row>
    <row r="179" spans="2:66">
      <c r="B179" s="3" t="s">
        <v>73</v>
      </c>
    </row>
    <row r="180" spans="2:66">
      <c r="B180" s="3" t="s">
        <v>6</v>
      </c>
      <c r="C180" s="3" t="s">
        <v>61</v>
      </c>
      <c r="D180" s="87" t="s">
        <v>8</v>
      </c>
      <c r="E180" s="87"/>
    </row>
    <row r="181" spans="2:66" ht="13.8">
      <c r="B181" s="37" t="str">
        <f>CaseData!$B$28</f>
        <v>Paris</v>
      </c>
      <c r="C181" t="str">
        <f>CaseData!$C$27</f>
        <v>Women's</v>
      </c>
      <c r="D181" s="84" t="str">
        <f>INDEX(CaseData!$E$10:$E$17,MATCH(B181,CaseData!$C$10:$C$17,0))</f>
        <v>EUR</v>
      </c>
      <c r="E181" s="85"/>
      <c r="G181" s="72">
        <f t="shared" ref="G181:BN185" si="78">G112*G143*(1-G$168)*INDEX(G$171:G$176,MATCH($D181,$B$171:$B$176,0))</f>
        <v>135000</v>
      </c>
      <c r="H181" s="72">
        <f t="shared" si="78"/>
        <v>90000</v>
      </c>
      <c r="I181" s="72">
        <f t="shared" si="78"/>
        <v>90000</v>
      </c>
      <c r="J181" s="72">
        <f t="shared" si="78"/>
        <v>90000</v>
      </c>
      <c r="K181" s="72">
        <f t="shared" si="78"/>
        <v>90000</v>
      </c>
      <c r="L181" s="72">
        <f t="shared" si="78"/>
        <v>90000</v>
      </c>
      <c r="M181" s="72">
        <f t="shared" si="78"/>
        <v>135000</v>
      </c>
      <c r="N181" s="72">
        <f t="shared" si="78"/>
        <v>90000</v>
      </c>
      <c r="O181" s="72">
        <f t="shared" si="78"/>
        <v>90000</v>
      </c>
      <c r="P181" s="72">
        <f t="shared" si="78"/>
        <v>90000</v>
      </c>
      <c r="Q181" s="72">
        <f t="shared" si="78"/>
        <v>90000</v>
      </c>
      <c r="R181" s="72">
        <f t="shared" si="78"/>
        <v>108000</v>
      </c>
      <c r="S181" s="72">
        <f t="shared" si="78"/>
        <v>135675</v>
      </c>
      <c r="T181" s="72">
        <f t="shared" si="78"/>
        <v>90449.999999999985</v>
      </c>
      <c r="U181" s="72">
        <f t="shared" si="78"/>
        <v>90449.999999999985</v>
      </c>
      <c r="V181" s="72">
        <f t="shared" si="78"/>
        <v>90449.999999999985</v>
      </c>
      <c r="W181" s="72">
        <f t="shared" si="78"/>
        <v>90449.999999999985</v>
      </c>
      <c r="X181" s="72">
        <f t="shared" si="78"/>
        <v>90449.999999999985</v>
      </c>
      <c r="Y181" s="72">
        <f t="shared" si="78"/>
        <v>135675</v>
      </c>
      <c r="Z181" s="72">
        <f t="shared" si="78"/>
        <v>90449.999999999985</v>
      </c>
      <c r="AA181" s="72">
        <f t="shared" si="78"/>
        <v>90449.999999999985</v>
      </c>
      <c r="AB181" s="72">
        <f t="shared" si="78"/>
        <v>90449.999999999985</v>
      </c>
      <c r="AC181" s="72">
        <f t="shared" si="78"/>
        <v>90449.999999999985</v>
      </c>
      <c r="AD181" s="72">
        <f t="shared" si="78"/>
        <v>108539.99999999999</v>
      </c>
      <c r="AE181" s="72">
        <f t="shared" si="78"/>
        <v>136353.37499999997</v>
      </c>
      <c r="AF181" s="72">
        <f t="shared" si="78"/>
        <v>90902.249999999971</v>
      </c>
      <c r="AG181" s="72">
        <f t="shared" si="78"/>
        <v>90902.249999999971</v>
      </c>
      <c r="AH181" s="72">
        <f t="shared" si="78"/>
        <v>90902.249999999971</v>
      </c>
      <c r="AI181" s="72">
        <f t="shared" si="78"/>
        <v>90902.249999999971</v>
      </c>
      <c r="AJ181" s="72">
        <f t="shared" si="78"/>
        <v>90902.249999999971</v>
      </c>
      <c r="AK181" s="72">
        <f t="shared" si="78"/>
        <v>136353.37499999997</v>
      </c>
      <c r="AL181" s="72">
        <f t="shared" si="78"/>
        <v>90902.249999999971</v>
      </c>
      <c r="AM181" s="72">
        <f t="shared" si="78"/>
        <v>90902.249999999971</v>
      </c>
      <c r="AN181" s="72">
        <f t="shared" si="78"/>
        <v>90902.249999999971</v>
      </c>
      <c r="AO181" s="72">
        <f t="shared" si="78"/>
        <v>90902.249999999971</v>
      </c>
      <c r="AP181" s="72">
        <f t="shared" si="78"/>
        <v>109082.69999999997</v>
      </c>
      <c r="AQ181" s="72">
        <f t="shared" si="78"/>
        <v>137716.90874999997</v>
      </c>
      <c r="AR181" s="72">
        <f t="shared" si="78"/>
        <v>91811.272499999977</v>
      </c>
      <c r="AS181" s="72">
        <f t="shared" si="78"/>
        <v>91811.272499999977</v>
      </c>
      <c r="AT181" s="72">
        <f t="shared" si="78"/>
        <v>91811.272499999977</v>
      </c>
      <c r="AU181" s="72">
        <f t="shared" si="78"/>
        <v>91811.272499999977</v>
      </c>
      <c r="AV181" s="72">
        <f t="shared" si="78"/>
        <v>91811.272499999977</v>
      </c>
      <c r="AW181" s="72">
        <f t="shared" si="78"/>
        <v>137716.90874999997</v>
      </c>
      <c r="AX181" s="72">
        <f t="shared" si="78"/>
        <v>91811.272499999977</v>
      </c>
      <c r="AY181" s="72">
        <f t="shared" si="78"/>
        <v>91811.272499999977</v>
      </c>
      <c r="AZ181" s="72">
        <f t="shared" si="78"/>
        <v>91811.272499999977</v>
      </c>
      <c r="BA181" s="72">
        <f t="shared" si="78"/>
        <v>91811.272499999977</v>
      </c>
      <c r="BB181" s="72">
        <f t="shared" si="78"/>
        <v>110173.52699999997</v>
      </c>
      <c r="BC181" s="72">
        <f t="shared" si="78"/>
        <v>141159.83146874994</v>
      </c>
      <c r="BD181" s="72">
        <f t="shared" si="78"/>
        <v>94106.554312499968</v>
      </c>
      <c r="BE181" s="72">
        <f t="shared" si="78"/>
        <v>94106.554312499968</v>
      </c>
      <c r="BF181" s="72">
        <f t="shared" si="78"/>
        <v>94106.554312499968</v>
      </c>
      <c r="BG181" s="72">
        <f t="shared" si="78"/>
        <v>94106.554312499968</v>
      </c>
      <c r="BH181" s="72">
        <f t="shared" si="78"/>
        <v>94106.554312499968</v>
      </c>
      <c r="BI181" s="72">
        <f t="shared" si="78"/>
        <v>141159.83146874994</v>
      </c>
      <c r="BJ181" s="72">
        <f t="shared" si="78"/>
        <v>94106.554312499968</v>
      </c>
      <c r="BK181" s="72">
        <f t="shared" si="78"/>
        <v>94106.554312499968</v>
      </c>
      <c r="BL181" s="72">
        <f t="shared" si="78"/>
        <v>94106.554312499968</v>
      </c>
      <c r="BM181" s="72">
        <f t="shared" si="78"/>
        <v>94106.554312499968</v>
      </c>
      <c r="BN181" s="72">
        <f t="shared" si="78"/>
        <v>112927.86517499996</v>
      </c>
    </row>
    <row r="182" spans="2:66" ht="13.8">
      <c r="B182" s="37" t="str">
        <f>B181</f>
        <v>Paris</v>
      </c>
      <c r="C182" t="str">
        <f>CaseData!$D$27</f>
        <v>Men's</v>
      </c>
      <c r="D182" s="84" t="str">
        <f>INDEX(CaseData!$E$10:$E$17,MATCH(B182,CaseData!$C$10:$C$17,0))</f>
        <v>EUR</v>
      </c>
      <c r="E182" s="85"/>
      <c r="G182" s="72">
        <f t="shared" si="78"/>
        <v>102000</v>
      </c>
      <c r="H182" s="72">
        <f t="shared" si="78"/>
        <v>68000</v>
      </c>
      <c r="I182" s="72">
        <f t="shared" si="78"/>
        <v>68000</v>
      </c>
      <c r="J182" s="72">
        <f t="shared" si="78"/>
        <v>68000</v>
      </c>
      <c r="K182" s="72">
        <f t="shared" si="78"/>
        <v>68000</v>
      </c>
      <c r="L182" s="72">
        <f t="shared" si="78"/>
        <v>68000</v>
      </c>
      <c r="M182" s="72">
        <f t="shared" si="78"/>
        <v>102000</v>
      </c>
      <c r="N182" s="72">
        <f t="shared" si="78"/>
        <v>68000</v>
      </c>
      <c r="O182" s="72">
        <f t="shared" si="78"/>
        <v>68000</v>
      </c>
      <c r="P182" s="72">
        <f t="shared" si="78"/>
        <v>68000</v>
      </c>
      <c r="Q182" s="72">
        <f t="shared" si="78"/>
        <v>68000</v>
      </c>
      <c r="R182" s="72">
        <f t="shared" si="78"/>
        <v>81600</v>
      </c>
      <c r="S182" s="72">
        <f t="shared" si="78"/>
        <v>102509.99999999999</v>
      </c>
      <c r="T182" s="72">
        <f t="shared" si="78"/>
        <v>68340</v>
      </c>
      <c r="U182" s="72">
        <f t="shared" si="78"/>
        <v>68340</v>
      </c>
      <c r="V182" s="72">
        <f t="shared" si="78"/>
        <v>68340</v>
      </c>
      <c r="W182" s="72">
        <f t="shared" si="78"/>
        <v>68340</v>
      </c>
      <c r="X182" s="72">
        <f t="shared" si="78"/>
        <v>68340</v>
      </c>
      <c r="Y182" s="72">
        <f t="shared" si="78"/>
        <v>102509.99999999999</v>
      </c>
      <c r="Z182" s="72">
        <f t="shared" si="78"/>
        <v>68340</v>
      </c>
      <c r="AA182" s="72">
        <f t="shared" si="78"/>
        <v>68340</v>
      </c>
      <c r="AB182" s="72">
        <f t="shared" si="78"/>
        <v>68340</v>
      </c>
      <c r="AC182" s="72">
        <f t="shared" si="78"/>
        <v>68340</v>
      </c>
      <c r="AD182" s="72">
        <f t="shared" si="78"/>
        <v>82007.999999999985</v>
      </c>
      <c r="AE182" s="72">
        <f t="shared" si="78"/>
        <v>103022.54999999997</v>
      </c>
      <c r="AF182" s="72">
        <f t="shared" si="78"/>
        <v>68681.699999999983</v>
      </c>
      <c r="AG182" s="72">
        <f t="shared" si="78"/>
        <v>68681.699999999983</v>
      </c>
      <c r="AH182" s="72">
        <f t="shared" si="78"/>
        <v>68681.699999999983</v>
      </c>
      <c r="AI182" s="72">
        <f t="shared" si="78"/>
        <v>68681.699999999983</v>
      </c>
      <c r="AJ182" s="72">
        <f t="shared" si="78"/>
        <v>68681.699999999983</v>
      </c>
      <c r="AK182" s="72">
        <f t="shared" si="78"/>
        <v>103022.54999999997</v>
      </c>
      <c r="AL182" s="72">
        <f t="shared" si="78"/>
        <v>68681.699999999983</v>
      </c>
      <c r="AM182" s="72">
        <f t="shared" si="78"/>
        <v>68681.699999999983</v>
      </c>
      <c r="AN182" s="72">
        <f t="shared" si="78"/>
        <v>68681.699999999983</v>
      </c>
      <c r="AO182" s="72">
        <f t="shared" si="78"/>
        <v>68681.699999999983</v>
      </c>
      <c r="AP182" s="72">
        <f t="shared" si="78"/>
        <v>82418.039999999979</v>
      </c>
      <c r="AQ182" s="72">
        <f t="shared" si="78"/>
        <v>104052.77549999997</v>
      </c>
      <c r="AR182" s="72">
        <f t="shared" si="78"/>
        <v>69368.516999999978</v>
      </c>
      <c r="AS182" s="72">
        <f t="shared" si="78"/>
        <v>69368.516999999978</v>
      </c>
      <c r="AT182" s="72">
        <f t="shared" si="78"/>
        <v>69368.516999999978</v>
      </c>
      <c r="AU182" s="72">
        <f t="shared" si="78"/>
        <v>69368.516999999978</v>
      </c>
      <c r="AV182" s="72">
        <f t="shared" si="78"/>
        <v>69368.516999999978</v>
      </c>
      <c r="AW182" s="72">
        <f t="shared" si="78"/>
        <v>104052.77549999997</v>
      </c>
      <c r="AX182" s="72">
        <f t="shared" si="78"/>
        <v>69368.516999999978</v>
      </c>
      <c r="AY182" s="72">
        <f t="shared" si="78"/>
        <v>69368.516999999978</v>
      </c>
      <c r="AZ182" s="72">
        <f t="shared" si="78"/>
        <v>69368.516999999978</v>
      </c>
      <c r="BA182" s="72">
        <f t="shared" si="78"/>
        <v>69368.516999999978</v>
      </c>
      <c r="BB182" s="72">
        <f t="shared" si="78"/>
        <v>83242.220399999977</v>
      </c>
      <c r="BC182" s="72">
        <f t="shared" si="78"/>
        <v>106654.09488749996</v>
      </c>
      <c r="BD182" s="72">
        <f t="shared" si="78"/>
        <v>71102.729924999978</v>
      </c>
      <c r="BE182" s="72">
        <f t="shared" si="78"/>
        <v>71102.729924999978</v>
      </c>
      <c r="BF182" s="72">
        <f t="shared" si="78"/>
        <v>71102.729924999978</v>
      </c>
      <c r="BG182" s="72">
        <f t="shared" si="78"/>
        <v>71102.729924999978</v>
      </c>
      <c r="BH182" s="72">
        <f t="shared" si="78"/>
        <v>71102.729924999978</v>
      </c>
      <c r="BI182" s="72">
        <f t="shared" si="78"/>
        <v>106654.09488749996</v>
      </c>
      <c r="BJ182" s="72">
        <f t="shared" si="78"/>
        <v>71102.729924999978</v>
      </c>
      <c r="BK182" s="72">
        <f t="shared" si="78"/>
        <v>71102.729924999978</v>
      </c>
      <c r="BL182" s="72">
        <f t="shared" si="78"/>
        <v>71102.729924999978</v>
      </c>
      <c r="BM182" s="72">
        <f t="shared" si="78"/>
        <v>71102.729924999978</v>
      </c>
      <c r="BN182" s="72">
        <f t="shared" si="78"/>
        <v>85323.275909999968</v>
      </c>
    </row>
    <row r="183" spans="2:66" ht="13.8">
      <c r="B183" s="37" t="str">
        <f>B182</f>
        <v>Paris</v>
      </c>
      <c r="C183" t="str">
        <f>CaseData!$E$27</f>
        <v>Accessories</v>
      </c>
      <c r="D183" s="84" t="str">
        <f>INDEX(CaseData!$E$10:$E$17,MATCH(B183,CaseData!$C$10:$C$17,0))</f>
        <v>EUR</v>
      </c>
      <c r="E183" s="85"/>
      <c r="G183" s="72">
        <f t="shared" si="78"/>
        <v>58500</v>
      </c>
      <c r="H183" s="72">
        <f t="shared" si="78"/>
        <v>39000</v>
      </c>
      <c r="I183" s="72">
        <f t="shared" si="78"/>
        <v>39000</v>
      </c>
      <c r="J183" s="72">
        <f t="shared" si="78"/>
        <v>39000</v>
      </c>
      <c r="K183" s="72">
        <f t="shared" si="78"/>
        <v>39000</v>
      </c>
      <c r="L183" s="72">
        <f t="shared" si="78"/>
        <v>39000</v>
      </c>
      <c r="M183" s="72">
        <f t="shared" si="78"/>
        <v>58500</v>
      </c>
      <c r="N183" s="72">
        <f t="shared" si="78"/>
        <v>39000</v>
      </c>
      <c r="O183" s="72">
        <f t="shared" si="78"/>
        <v>39000</v>
      </c>
      <c r="P183" s="72">
        <f t="shared" si="78"/>
        <v>39000</v>
      </c>
      <c r="Q183" s="72">
        <f t="shared" si="78"/>
        <v>39000</v>
      </c>
      <c r="R183" s="72">
        <f t="shared" si="78"/>
        <v>46800</v>
      </c>
      <c r="S183" s="72">
        <f t="shared" si="78"/>
        <v>58792.499999999993</v>
      </c>
      <c r="T183" s="72">
        <f t="shared" si="78"/>
        <v>39194.999999999993</v>
      </c>
      <c r="U183" s="72">
        <f t="shared" si="78"/>
        <v>39194.999999999993</v>
      </c>
      <c r="V183" s="72">
        <f t="shared" si="78"/>
        <v>39194.999999999993</v>
      </c>
      <c r="W183" s="72">
        <f t="shared" si="78"/>
        <v>39194.999999999993</v>
      </c>
      <c r="X183" s="72">
        <f t="shared" si="78"/>
        <v>39194.999999999993</v>
      </c>
      <c r="Y183" s="72">
        <f t="shared" si="78"/>
        <v>58306.611570247915</v>
      </c>
      <c r="Z183" s="72">
        <f t="shared" si="78"/>
        <v>39194.999999999993</v>
      </c>
      <c r="AA183" s="72">
        <f t="shared" si="78"/>
        <v>39194.999999999993</v>
      </c>
      <c r="AB183" s="72">
        <f t="shared" si="78"/>
        <v>39194.999999999993</v>
      </c>
      <c r="AC183" s="72">
        <f t="shared" si="78"/>
        <v>39194.999999999993</v>
      </c>
      <c r="AD183" s="72">
        <f t="shared" si="78"/>
        <v>47033.999999999993</v>
      </c>
      <c r="AE183" s="72">
        <f t="shared" si="78"/>
        <v>52096.807494489338</v>
      </c>
      <c r="AF183" s="72">
        <f t="shared" si="78"/>
        <v>39390.974999999991</v>
      </c>
      <c r="AG183" s="72">
        <f t="shared" si="78"/>
        <v>39390.974999999991</v>
      </c>
      <c r="AH183" s="72">
        <f t="shared" si="78"/>
        <v>39390.974999999991</v>
      </c>
      <c r="AI183" s="72">
        <f t="shared" si="78"/>
        <v>39390.974999999991</v>
      </c>
      <c r="AJ183" s="72">
        <f t="shared" si="78"/>
        <v>39390.974999999991</v>
      </c>
      <c r="AK183" s="72">
        <f t="shared" si="78"/>
        <v>50429.413229018479</v>
      </c>
      <c r="AL183" s="72">
        <f t="shared" si="78"/>
        <v>39390.974999999991</v>
      </c>
      <c r="AM183" s="72">
        <f t="shared" si="78"/>
        <v>39390.974999999991</v>
      </c>
      <c r="AN183" s="72">
        <f t="shared" si="78"/>
        <v>39390.974999999991</v>
      </c>
      <c r="AO183" s="72">
        <f t="shared" si="78"/>
        <v>39390.974999999991</v>
      </c>
      <c r="AP183" s="72">
        <f t="shared" si="78"/>
        <v>47269.169999999984</v>
      </c>
      <c r="AQ183" s="72">
        <f t="shared" si="78"/>
        <v>50574.006038135587</v>
      </c>
      <c r="AR183" s="72">
        <f t="shared" si="78"/>
        <v>39784.88474999999</v>
      </c>
      <c r="AS183" s="72">
        <f t="shared" si="78"/>
        <v>39784.88474999999</v>
      </c>
      <c r="AT183" s="72">
        <f t="shared" si="78"/>
        <v>39784.88474999999</v>
      </c>
      <c r="AU183" s="72">
        <f t="shared" si="78"/>
        <v>39784.88474999999</v>
      </c>
      <c r="AV183" s="72">
        <f t="shared" si="78"/>
        <v>39784.88474999999</v>
      </c>
      <c r="AW183" s="72">
        <f t="shared" si="78"/>
        <v>50574.006038135587</v>
      </c>
      <c r="AX183" s="72">
        <f t="shared" si="78"/>
        <v>39784.88474999999</v>
      </c>
      <c r="AY183" s="72">
        <f t="shared" si="78"/>
        <v>39784.88474999999</v>
      </c>
      <c r="AZ183" s="72">
        <f t="shared" si="78"/>
        <v>39784.88474999999</v>
      </c>
      <c r="BA183" s="72">
        <f t="shared" si="78"/>
        <v>39784.88474999999</v>
      </c>
      <c r="BB183" s="72">
        <f t="shared" si="78"/>
        <v>47741.861699999987</v>
      </c>
      <c r="BC183" s="72">
        <f t="shared" si="78"/>
        <v>51838.356189088969</v>
      </c>
      <c r="BD183" s="72">
        <f t="shared" si="78"/>
        <v>40779.506868749981</v>
      </c>
      <c r="BE183" s="72">
        <f t="shared" si="78"/>
        <v>40779.506868749981</v>
      </c>
      <c r="BF183" s="72">
        <f t="shared" si="78"/>
        <v>40779.506868749981</v>
      </c>
      <c r="BG183" s="72">
        <f t="shared" si="78"/>
        <v>40779.506868749981</v>
      </c>
      <c r="BH183" s="72">
        <f t="shared" si="78"/>
        <v>40779.506868749981</v>
      </c>
      <c r="BI183" s="72">
        <f t="shared" si="78"/>
        <v>51838.356189088969</v>
      </c>
      <c r="BJ183" s="72">
        <f t="shared" si="78"/>
        <v>40779.506868749981</v>
      </c>
      <c r="BK183" s="72">
        <f t="shared" si="78"/>
        <v>40779.506868749981</v>
      </c>
      <c r="BL183" s="72">
        <f t="shared" si="78"/>
        <v>40779.506868749981</v>
      </c>
      <c r="BM183" s="72">
        <f t="shared" si="78"/>
        <v>40779.506868749981</v>
      </c>
      <c r="BN183" s="72">
        <f t="shared" si="78"/>
        <v>48935.40824249998</v>
      </c>
    </row>
    <row r="184" spans="2:66" ht="13.8">
      <c r="B184" s="37" t="str">
        <f>CaseData!$B$29</f>
        <v>Milano</v>
      </c>
      <c r="C184" t="str">
        <f>C181</f>
        <v>Women's</v>
      </c>
      <c r="D184" s="84" t="str">
        <f>INDEX(CaseData!$E$10:$E$17,MATCH(B184,CaseData!$C$10:$C$17,0))</f>
        <v>EUR</v>
      </c>
      <c r="E184" s="85"/>
      <c r="G184" s="72">
        <f t="shared" si="78"/>
        <v>210000</v>
      </c>
      <c r="H184" s="72">
        <f t="shared" si="78"/>
        <v>140000</v>
      </c>
      <c r="I184" s="72">
        <f t="shared" si="78"/>
        <v>140000</v>
      </c>
      <c r="J184" s="72">
        <f t="shared" si="78"/>
        <v>140000</v>
      </c>
      <c r="K184" s="72">
        <f t="shared" si="78"/>
        <v>140000</v>
      </c>
      <c r="L184" s="72">
        <f t="shared" si="78"/>
        <v>140000</v>
      </c>
      <c r="M184" s="72">
        <f t="shared" si="78"/>
        <v>210000</v>
      </c>
      <c r="N184" s="72">
        <f t="shared" si="78"/>
        <v>140000</v>
      </c>
      <c r="O184" s="72">
        <f t="shared" si="78"/>
        <v>140000</v>
      </c>
      <c r="P184" s="72">
        <f t="shared" si="78"/>
        <v>140000</v>
      </c>
      <c r="Q184" s="72">
        <f t="shared" si="78"/>
        <v>140000</v>
      </c>
      <c r="R184" s="72">
        <f t="shared" si="78"/>
        <v>168000</v>
      </c>
      <c r="S184" s="72">
        <f t="shared" si="78"/>
        <v>211049.99999999997</v>
      </c>
      <c r="T184" s="72">
        <f t="shared" si="78"/>
        <v>140699.99999999997</v>
      </c>
      <c r="U184" s="72">
        <f t="shared" si="78"/>
        <v>140699.99999999997</v>
      </c>
      <c r="V184" s="72">
        <f t="shared" si="78"/>
        <v>140699.99999999997</v>
      </c>
      <c r="W184" s="72">
        <f t="shared" si="78"/>
        <v>140699.99999999997</v>
      </c>
      <c r="X184" s="72">
        <f t="shared" si="78"/>
        <v>140699.99999999997</v>
      </c>
      <c r="Y184" s="72">
        <f t="shared" si="78"/>
        <v>211049.99999999997</v>
      </c>
      <c r="Z184" s="72">
        <f t="shared" si="78"/>
        <v>140699.99999999997</v>
      </c>
      <c r="AA184" s="72">
        <f t="shared" si="78"/>
        <v>140699.99999999997</v>
      </c>
      <c r="AB184" s="72">
        <f t="shared" si="78"/>
        <v>140699.99999999997</v>
      </c>
      <c r="AC184" s="72">
        <f t="shared" si="78"/>
        <v>140699.99999999997</v>
      </c>
      <c r="AD184" s="72">
        <f t="shared" si="78"/>
        <v>168839.99999999997</v>
      </c>
      <c r="AE184" s="72">
        <f t="shared" si="78"/>
        <v>212105.24999999994</v>
      </c>
      <c r="AF184" s="72">
        <f t="shared" si="78"/>
        <v>141403.49999999997</v>
      </c>
      <c r="AG184" s="72">
        <f t="shared" si="78"/>
        <v>141403.49999999997</v>
      </c>
      <c r="AH184" s="72">
        <f t="shared" si="78"/>
        <v>141403.49999999997</v>
      </c>
      <c r="AI184" s="72">
        <f t="shared" si="78"/>
        <v>141403.49999999997</v>
      </c>
      <c r="AJ184" s="72">
        <f t="shared" si="78"/>
        <v>141403.49999999997</v>
      </c>
      <c r="AK184" s="72">
        <f t="shared" si="78"/>
        <v>212105.24999999994</v>
      </c>
      <c r="AL184" s="72">
        <f t="shared" si="78"/>
        <v>141403.49999999997</v>
      </c>
      <c r="AM184" s="72">
        <f t="shared" si="78"/>
        <v>141403.49999999997</v>
      </c>
      <c r="AN184" s="72">
        <f t="shared" si="78"/>
        <v>141403.49999999997</v>
      </c>
      <c r="AO184" s="72">
        <f t="shared" si="78"/>
        <v>141403.49999999997</v>
      </c>
      <c r="AP184" s="72">
        <f t="shared" si="78"/>
        <v>169684.19999999995</v>
      </c>
      <c r="AQ184" s="72">
        <f t="shared" si="78"/>
        <v>214226.30249999996</v>
      </c>
      <c r="AR184" s="72">
        <f t="shared" si="78"/>
        <v>142817.53499999997</v>
      </c>
      <c r="AS184" s="72">
        <f t="shared" si="78"/>
        <v>142817.53499999997</v>
      </c>
      <c r="AT184" s="72">
        <f t="shared" si="78"/>
        <v>142817.53499999997</v>
      </c>
      <c r="AU184" s="72">
        <f t="shared" si="78"/>
        <v>142817.53499999997</v>
      </c>
      <c r="AV184" s="72">
        <f t="shared" si="78"/>
        <v>142817.53499999997</v>
      </c>
      <c r="AW184" s="72">
        <f t="shared" si="78"/>
        <v>214226.30249999996</v>
      </c>
      <c r="AX184" s="72">
        <f t="shared" si="78"/>
        <v>142817.53499999997</v>
      </c>
      <c r="AY184" s="72">
        <f t="shared" si="78"/>
        <v>142817.53499999997</v>
      </c>
      <c r="AZ184" s="72">
        <f t="shared" si="78"/>
        <v>142817.53499999997</v>
      </c>
      <c r="BA184" s="72">
        <f t="shared" si="78"/>
        <v>142817.53499999997</v>
      </c>
      <c r="BB184" s="72">
        <f t="shared" si="78"/>
        <v>171381.04199999996</v>
      </c>
      <c r="BC184" s="72">
        <f t="shared" si="78"/>
        <v>219581.96006249991</v>
      </c>
      <c r="BD184" s="72">
        <f t="shared" si="78"/>
        <v>146387.97337499994</v>
      </c>
      <c r="BE184" s="72">
        <f t="shared" si="78"/>
        <v>146387.97337499994</v>
      </c>
      <c r="BF184" s="72">
        <f t="shared" si="78"/>
        <v>146387.97337499994</v>
      </c>
      <c r="BG184" s="72">
        <f t="shared" si="78"/>
        <v>146387.97337499994</v>
      </c>
      <c r="BH184" s="72">
        <f t="shared" si="78"/>
        <v>146387.97337499994</v>
      </c>
      <c r="BI184" s="72">
        <f t="shared" si="78"/>
        <v>219581.96006249991</v>
      </c>
      <c r="BJ184" s="72">
        <f t="shared" si="78"/>
        <v>146387.97337499994</v>
      </c>
      <c r="BK184" s="72">
        <f t="shared" si="78"/>
        <v>146387.97337499994</v>
      </c>
      <c r="BL184" s="72">
        <f t="shared" si="78"/>
        <v>146387.97337499994</v>
      </c>
      <c r="BM184" s="72">
        <f t="shared" si="78"/>
        <v>146387.97337499994</v>
      </c>
      <c r="BN184" s="72">
        <f t="shared" si="78"/>
        <v>175665.56804999991</v>
      </c>
    </row>
    <row r="185" spans="2:66" ht="13.8">
      <c r="B185" s="37" t="str">
        <f>B184</f>
        <v>Milano</v>
      </c>
      <c r="C185" t="str">
        <f t="shared" ref="C185:C204" si="79">C182</f>
        <v>Men's</v>
      </c>
      <c r="D185" s="84" t="str">
        <f>INDEX(CaseData!$E$10:$E$17,MATCH(B185,CaseData!$C$10:$C$17,0))</f>
        <v>EUR</v>
      </c>
      <c r="E185" s="85"/>
      <c r="G185" s="72">
        <f t="shared" si="78"/>
        <v>102000</v>
      </c>
      <c r="H185" s="72">
        <f t="shared" si="78"/>
        <v>68000</v>
      </c>
      <c r="I185" s="72">
        <f t="shared" si="78"/>
        <v>68000</v>
      </c>
      <c r="J185" s="72">
        <f t="shared" si="78"/>
        <v>68000</v>
      </c>
      <c r="K185" s="72">
        <f t="shared" si="78"/>
        <v>68000</v>
      </c>
      <c r="L185" s="72">
        <f t="shared" si="78"/>
        <v>68000</v>
      </c>
      <c r="M185" s="72">
        <f t="shared" si="78"/>
        <v>102000</v>
      </c>
      <c r="N185" s="72">
        <f t="shared" si="78"/>
        <v>68000</v>
      </c>
      <c r="O185" s="72">
        <f t="shared" si="78"/>
        <v>68000</v>
      </c>
      <c r="P185" s="72">
        <f t="shared" si="78"/>
        <v>68000</v>
      </c>
      <c r="Q185" s="72">
        <f t="shared" si="78"/>
        <v>68000</v>
      </c>
      <c r="R185" s="72">
        <f t="shared" si="78"/>
        <v>81600</v>
      </c>
      <c r="S185" s="72">
        <f t="shared" si="78"/>
        <v>102509.99999999999</v>
      </c>
      <c r="T185" s="72">
        <f t="shared" si="78"/>
        <v>68340</v>
      </c>
      <c r="U185" s="72">
        <f t="shared" si="78"/>
        <v>68340</v>
      </c>
      <c r="V185" s="72">
        <f t="shared" ref="V185:BN193" si="80">V116*V147*(1-V$168)*INDEX(V$171:V$176,MATCH($D185,$B$171:$B$176,0))</f>
        <v>68340</v>
      </c>
      <c r="W185" s="72">
        <f t="shared" si="80"/>
        <v>68340</v>
      </c>
      <c r="X185" s="72">
        <f t="shared" si="80"/>
        <v>68340</v>
      </c>
      <c r="Y185" s="72">
        <f t="shared" si="80"/>
        <v>102509.99999999999</v>
      </c>
      <c r="Z185" s="72">
        <f t="shared" si="80"/>
        <v>68340</v>
      </c>
      <c r="AA185" s="72">
        <f t="shared" si="80"/>
        <v>68340</v>
      </c>
      <c r="AB185" s="72">
        <f t="shared" si="80"/>
        <v>68340</v>
      </c>
      <c r="AC185" s="72">
        <f t="shared" si="80"/>
        <v>68340</v>
      </c>
      <c r="AD185" s="72">
        <f t="shared" si="80"/>
        <v>82007.999999999985</v>
      </c>
      <c r="AE185" s="72">
        <f t="shared" si="80"/>
        <v>103022.54999999997</v>
      </c>
      <c r="AF185" s="72">
        <f t="shared" si="80"/>
        <v>68681.699999999983</v>
      </c>
      <c r="AG185" s="72">
        <f t="shared" si="80"/>
        <v>68681.699999999983</v>
      </c>
      <c r="AH185" s="72">
        <f t="shared" si="80"/>
        <v>68681.699999999983</v>
      </c>
      <c r="AI185" s="72">
        <f t="shared" si="80"/>
        <v>68681.699999999983</v>
      </c>
      <c r="AJ185" s="72">
        <f t="shared" si="80"/>
        <v>68681.699999999983</v>
      </c>
      <c r="AK185" s="72">
        <f t="shared" si="80"/>
        <v>103022.54999999997</v>
      </c>
      <c r="AL185" s="72">
        <f t="shared" si="80"/>
        <v>68681.699999999983</v>
      </c>
      <c r="AM185" s="72">
        <f t="shared" si="80"/>
        <v>68681.699999999983</v>
      </c>
      <c r="AN185" s="72">
        <f t="shared" si="80"/>
        <v>68681.699999999983</v>
      </c>
      <c r="AO185" s="72">
        <f t="shared" si="80"/>
        <v>68681.699999999983</v>
      </c>
      <c r="AP185" s="72">
        <f t="shared" si="80"/>
        <v>82418.039999999979</v>
      </c>
      <c r="AQ185" s="72">
        <f t="shared" si="80"/>
        <v>104052.77549999997</v>
      </c>
      <c r="AR185" s="72">
        <f t="shared" si="80"/>
        <v>69368.516999999978</v>
      </c>
      <c r="AS185" s="72">
        <f t="shared" si="80"/>
        <v>69368.516999999978</v>
      </c>
      <c r="AT185" s="72">
        <f t="shared" si="80"/>
        <v>69368.516999999978</v>
      </c>
      <c r="AU185" s="72">
        <f t="shared" si="80"/>
        <v>69368.516999999978</v>
      </c>
      <c r="AV185" s="72">
        <f t="shared" si="80"/>
        <v>69368.516999999978</v>
      </c>
      <c r="AW185" s="72">
        <f t="shared" si="80"/>
        <v>104052.77549999997</v>
      </c>
      <c r="AX185" s="72">
        <f t="shared" si="80"/>
        <v>69368.516999999978</v>
      </c>
      <c r="AY185" s="72">
        <f t="shared" si="80"/>
        <v>69368.516999999978</v>
      </c>
      <c r="AZ185" s="72">
        <f t="shared" si="80"/>
        <v>69368.516999999978</v>
      </c>
      <c r="BA185" s="72">
        <f t="shared" si="80"/>
        <v>69368.516999999978</v>
      </c>
      <c r="BB185" s="72">
        <f t="shared" si="80"/>
        <v>83242.220399999977</v>
      </c>
      <c r="BC185" s="72">
        <f t="shared" si="80"/>
        <v>106654.09488749996</v>
      </c>
      <c r="BD185" s="72">
        <f t="shared" si="80"/>
        <v>71102.729924999978</v>
      </c>
      <c r="BE185" s="72">
        <f t="shared" si="80"/>
        <v>71102.729924999978</v>
      </c>
      <c r="BF185" s="72">
        <f t="shared" si="80"/>
        <v>71102.729924999978</v>
      </c>
      <c r="BG185" s="72">
        <f t="shared" si="80"/>
        <v>71102.729924999978</v>
      </c>
      <c r="BH185" s="72">
        <f t="shared" si="80"/>
        <v>71102.729924999978</v>
      </c>
      <c r="BI185" s="72">
        <f t="shared" si="80"/>
        <v>106654.09488749996</v>
      </c>
      <c r="BJ185" s="72">
        <f t="shared" si="80"/>
        <v>71102.729924999978</v>
      </c>
      <c r="BK185" s="72">
        <f t="shared" si="80"/>
        <v>71102.729924999978</v>
      </c>
      <c r="BL185" s="72">
        <f t="shared" si="80"/>
        <v>71102.729924999978</v>
      </c>
      <c r="BM185" s="72">
        <f t="shared" si="80"/>
        <v>71102.729924999978</v>
      </c>
      <c r="BN185" s="72">
        <f t="shared" si="80"/>
        <v>85323.275909999968</v>
      </c>
    </row>
    <row r="186" spans="2:66" ht="13.8">
      <c r="B186" s="37" t="str">
        <f t="shared" ref="B186" si="81">B185</f>
        <v>Milano</v>
      </c>
      <c r="C186" t="str">
        <f t="shared" si="79"/>
        <v>Accessories</v>
      </c>
      <c r="D186" s="84" t="str">
        <f>INDEX(CaseData!$E$10:$E$17,MATCH(B186,CaseData!$C$10:$C$17,0))</f>
        <v>EUR</v>
      </c>
      <c r="E186" s="85"/>
      <c r="G186" s="72">
        <f t="shared" ref="G186:AL193" si="82">G117*G148*(1-G$168)*INDEX(G$171:G$176,MATCH($D186,$B$171:$B$176,0))</f>
        <v>33750</v>
      </c>
      <c r="H186" s="72">
        <f t="shared" si="82"/>
        <v>22500</v>
      </c>
      <c r="I186" s="72">
        <f t="shared" si="82"/>
        <v>22500</v>
      </c>
      <c r="J186" s="72">
        <f t="shared" si="82"/>
        <v>22500</v>
      </c>
      <c r="K186" s="72">
        <f t="shared" si="82"/>
        <v>22500</v>
      </c>
      <c r="L186" s="72">
        <f t="shared" si="82"/>
        <v>22500</v>
      </c>
      <c r="M186" s="72">
        <f t="shared" si="82"/>
        <v>33750</v>
      </c>
      <c r="N186" s="72">
        <f t="shared" si="82"/>
        <v>22500</v>
      </c>
      <c r="O186" s="72">
        <f t="shared" si="82"/>
        <v>22500</v>
      </c>
      <c r="P186" s="72">
        <f t="shared" si="82"/>
        <v>22500</v>
      </c>
      <c r="Q186" s="72">
        <f t="shared" si="82"/>
        <v>22500</v>
      </c>
      <c r="R186" s="72">
        <f t="shared" si="82"/>
        <v>27000</v>
      </c>
      <c r="S186" s="72">
        <f t="shared" si="82"/>
        <v>33918.75</v>
      </c>
      <c r="T186" s="72">
        <f t="shared" si="82"/>
        <v>22612.499999999996</v>
      </c>
      <c r="U186" s="72">
        <f t="shared" si="82"/>
        <v>22612.499999999996</v>
      </c>
      <c r="V186" s="72">
        <f t="shared" si="82"/>
        <v>22612.499999999996</v>
      </c>
      <c r="W186" s="72">
        <f t="shared" si="82"/>
        <v>22612.499999999996</v>
      </c>
      <c r="X186" s="72">
        <f t="shared" si="82"/>
        <v>22612.499999999996</v>
      </c>
      <c r="Y186" s="72">
        <f t="shared" si="82"/>
        <v>33638.429752066106</v>
      </c>
      <c r="Z186" s="72">
        <f t="shared" si="82"/>
        <v>22612.499999999996</v>
      </c>
      <c r="AA186" s="72">
        <f t="shared" si="82"/>
        <v>22612.499999999996</v>
      </c>
      <c r="AB186" s="72">
        <f t="shared" si="82"/>
        <v>22612.499999999996</v>
      </c>
      <c r="AC186" s="72">
        <f t="shared" si="82"/>
        <v>22612.499999999996</v>
      </c>
      <c r="AD186" s="72">
        <f t="shared" si="82"/>
        <v>27134.999999999996</v>
      </c>
      <c r="AE186" s="72">
        <f t="shared" si="82"/>
        <v>30055.85047759</v>
      </c>
      <c r="AF186" s="72">
        <f t="shared" si="82"/>
        <v>22725.562499999993</v>
      </c>
      <c r="AG186" s="72">
        <f t="shared" si="82"/>
        <v>22725.562499999993</v>
      </c>
      <c r="AH186" s="72">
        <f t="shared" si="82"/>
        <v>22725.562499999993</v>
      </c>
      <c r="AI186" s="72">
        <f t="shared" si="82"/>
        <v>22725.562499999993</v>
      </c>
      <c r="AJ186" s="72">
        <f t="shared" si="82"/>
        <v>22725.562499999993</v>
      </c>
      <c r="AK186" s="72">
        <f t="shared" si="82"/>
        <v>29093.892247510663</v>
      </c>
      <c r="AL186" s="72">
        <f t="shared" si="82"/>
        <v>22725.562499999993</v>
      </c>
      <c r="AM186" s="72">
        <f t="shared" si="80"/>
        <v>22725.562499999993</v>
      </c>
      <c r="AN186" s="72">
        <f t="shared" si="80"/>
        <v>22725.562499999993</v>
      </c>
      <c r="AO186" s="72">
        <f t="shared" si="80"/>
        <v>22725.562499999993</v>
      </c>
      <c r="AP186" s="72">
        <f t="shared" si="80"/>
        <v>27270.674999999992</v>
      </c>
      <c r="AQ186" s="72">
        <f t="shared" si="80"/>
        <v>29177.311175847448</v>
      </c>
      <c r="AR186" s="72">
        <f t="shared" si="80"/>
        <v>22952.818124999994</v>
      </c>
      <c r="AS186" s="72">
        <f t="shared" si="80"/>
        <v>22952.818124999994</v>
      </c>
      <c r="AT186" s="72">
        <f t="shared" si="80"/>
        <v>22952.818124999994</v>
      </c>
      <c r="AU186" s="72">
        <f t="shared" si="80"/>
        <v>22952.818124999994</v>
      </c>
      <c r="AV186" s="72">
        <f t="shared" si="80"/>
        <v>22952.818124999994</v>
      </c>
      <c r="AW186" s="72">
        <f t="shared" si="80"/>
        <v>29177.311175847448</v>
      </c>
      <c r="AX186" s="72">
        <f t="shared" si="80"/>
        <v>22952.818124999994</v>
      </c>
      <c r="AY186" s="72">
        <f t="shared" si="80"/>
        <v>22952.818124999994</v>
      </c>
      <c r="AZ186" s="72">
        <f t="shared" si="80"/>
        <v>22952.818124999994</v>
      </c>
      <c r="BA186" s="72">
        <f t="shared" si="80"/>
        <v>22952.818124999994</v>
      </c>
      <c r="BB186" s="72">
        <f t="shared" si="80"/>
        <v>27543.381749999993</v>
      </c>
      <c r="BC186" s="72">
        <f t="shared" si="80"/>
        <v>29906.743955243626</v>
      </c>
      <c r="BD186" s="72">
        <f t="shared" si="80"/>
        <v>23526.638578124992</v>
      </c>
      <c r="BE186" s="72">
        <f t="shared" si="80"/>
        <v>23526.638578124992</v>
      </c>
      <c r="BF186" s="72">
        <f t="shared" si="80"/>
        <v>23526.638578124992</v>
      </c>
      <c r="BG186" s="72">
        <f t="shared" si="80"/>
        <v>23526.638578124992</v>
      </c>
      <c r="BH186" s="72">
        <f t="shared" si="80"/>
        <v>23526.638578124992</v>
      </c>
      <c r="BI186" s="72">
        <f t="shared" si="80"/>
        <v>29906.743955243626</v>
      </c>
      <c r="BJ186" s="72">
        <f t="shared" si="80"/>
        <v>23526.638578124992</v>
      </c>
      <c r="BK186" s="72">
        <f t="shared" si="80"/>
        <v>23526.638578124992</v>
      </c>
      <c r="BL186" s="72">
        <f t="shared" si="80"/>
        <v>23526.638578124992</v>
      </c>
      <c r="BM186" s="72">
        <f t="shared" si="80"/>
        <v>23526.638578124992</v>
      </c>
      <c r="BN186" s="72">
        <f t="shared" si="80"/>
        <v>28231.966293749989</v>
      </c>
    </row>
    <row r="187" spans="2:66" ht="13.8">
      <c r="B187" s="37" t="str">
        <f>CaseData!$B$30</f>
        <v>Madrid</v>
      </c>
      <c r="C187" t="str">
        <f t="shared" si="79"/>
        <v>Women's</v>
      </c>
      <c r="D187" s="84" t="str">
        <f>INDEX(CaseData!$E$10:$E$17,MATCH(B187,CaseData!$C$10:$C$17,0))</f>
        <v>EUR</v>
      </c>
      <c r="E187" s="85"/>
      <c r="G187" s="72">
        <f t="shared" si="82"/>
        <v>112500</v>
      </c>
      <c r="H187" s="72">
        <f t="shared" si="82"/>
        <v>75000</v>
      </c>
      <c r="I187" s="72">
        <f t="shared" si="82"/>
        <v>75000</v>
      </c>
      <c r="J187" s="72">
        <f t="shared" si="82"/>
        <v>75000</v>
      </c>
      <c r="K187" s="72">
        <f t="shared" si="82"/>
        <v>75000</v>
      </c>
      <c r="L187" s="72">
        <f t="shared" si="82"/>
        <v>75000</v>
      </c>
      <c r="M187" s="72">
        <f t="shared" si="82"/>
        <v>112500</v>
      </c>
      <c r="N187" s="72">
        <f t="shared" si="82"/>
        <v>75000</v>
      </c>
      <c r="O187" s="72">
        <f t="shared" si="82"/>
        <v>75000</v>
      </c>
      <c r="P187" s="72">
        <f t="shared" si="82"/>
        <v>75000</v>
      </c>
      <c r="Q187" s="72">
        <f t="shared" si="82"/>
        <v>75000</v>
      </c>
      <c r="R187" s="72">
        <f t="shared" si="82"/>
        <v>90000</v>
      </c>
      <c r="S187" s="72">
        <f t="shared" si="82"/>
        <v>113062.49999999999</v>
      </c>
      <c r="T187" s="72">
        <f t="shared" si="82"/>
        <v>75374.999999999985</v>
      </c>
      <c r="U187" s="72">
        <f t="shared" si="82"/>
        <v>75374.999999999985</v>
      </c>
      <c r="V187" s="72">
        <f t="shared" si="82"/>
        <v>75374.999999999985</v>
      </c>
      <c r="W187" s="72">
        <f t="shared" si="82"/>
        <v>75374.999999999985</v>
      </c>
      <c r="X187" s="72">
        <f t="shared" si="82"/>
        <v>75374.999999999985</v>
      </c>
      <c r="Y187" s="72">
        <f t="shared" si="82"/>
        <v>113062.49999999999</v>
      </c>
      <c r="Z187" s="72">
        <f t="shared" si="82"/>
        <v>75374.999999999985</v>
      </c>
      <c r="AA187" s="72">
        <f t="shared" si="82"/>
        <v>75374.999999999985</v>
      </c>
      <c r="AB187" s="72">
        <f t="shared" si="82"/>
        <v>75374.999999999985</v>
      </c>
      <c r="AC187" s="72">
        <f t="shared" si="82"/>
        <v>75374.999999999985</v>
      </c>
      <c r="AD187" s="72">
        <f t="shared" si="82"/>
        <v>90449.999999999985</v>
      </c>
      <c r="AE187" s="72">
        <f t="shared" si="82"/>
        <v>113627.81249999997</v>
      </c>
      <c r="AF187" s="72">
        <f t="shared" si="82"/>
        <v>75751.874999999985</v>
      </c>
      <c r="AG187" s="72">
        <f t="shared" si="82"/>
        <v>75751.874999999985</v>
      </c>
      <c r="AH187" s="72">
        <f t="shared" si="82"/>
        <v>75751.874999999985</v>
      </c>
      <c r="AI187" s="72">
        <f t="shared" si="82"/>
        <v>75751.874999999985</v>
      </c>
      <c r="AJ187" s="72">
        <f t="shared" si="82"/>
        <v>75751.874999999985</v>
      </c>
      <c r="AK187" s="72">
        <f t="shared" si="82"/>
        <v>113627.81249999997</v>
      </c>
      <c r="AL187" s="72">
        <f t="shared" si="82"/>
        <v>75751.874999999985</v>
      </c>
      <c r="AM187" s="72">
        <f t="shared" si="80"/>
        <v>75751.874999999985</v>
      </c>
      <c r="AN187" s="72">
        <f t="shared" si="80"/>
        <v>75751.874999999985</v>
      </c>
      <c r="AO187" s="72">
        <f t="shared" si="80"/>
        <v>75751.874999999985</v>
      </c>
      <c r="AP187" s="72">
        <f t="shared" si="80"/>
        <v>90902.249999999971</v>
      </c>
      <c r="AQ187" s="72">
        <f t="shared" si="80"/>
        <v>114764.09062499997</v>
      </c>
      <c r="AR187" s="72">
        <f t="shared" si="80"/>
        <v>76509.393749999988</v>
      </c>
      <c r="AS187" s="72">
        <f t="shared" si="80"/>
        <v>76509.393749999988</v>
      </c>
      <c r="AT187" s="72">
        <f t="shared" si="80"/>
        <v>76509.393749999988</v>
      </c>
      <c r="AU187" s="72">
        <f t="shared" si="80"/>
        <v>76509.393749999988</v>
      </c>
      <c r="AV187" s="72">
        <f t="shared" si="80"/>
        <v>76509.393749999988</v>
      </c>
      <c r="AW187" s="72">
        <f t="shared" si="80"/>
        <v>114764.09062499997</v>
      </c>
      <c r="AX187" s="72">
        <f t="shared" si="80"/>
        <v>76509.393749999988</v>
      </c>
      <c r="AY187" s="72">
        <f t="shared" si="80"/>
        <v>76509.393749999988</v>
      </c>
      <c r="AZ187" s="72">
        <f t="shared" si="80"/>
        <v>76509.393749999988</v>
      </c>
      <c r="BA187" s="72">
        <f t="shared" si="80"/>
        <v>76509.393749999988</v>
      </c>
      <c r="BB187" s="72">
        <f t="shared" si="80"/>
        <v>91811.272499999977</v>
      </c>
      <c r="BC187" s="72">
        <f t="shared" si="80"/>
        <v>117633.19289062495</v>
      </c>
      <c r="BD187" s="72">
        <f t="shared" si="80"/>
        <v>78422.128593749963</v>
      </c>
      <c r="BE187" s="72">
        <f t="shared" si="80"/>
        <v>78422.128593749963</v>
      </c>
      <c r="BF187" s="72">
        <f t="shared" si="80"/>
        <v>78422.128593749963</v>
      </c>
      <c r="BG187" s="72">
        <f t="shared" si="80"/>
        <v>78422.128593749963</v>
      </c>
      <c r="BH187" s="72">
        <f t="shared" si="80"/>
        <v>78422.128593749963</v>
      </c>
      <c r="BI187" s="72">
        <f t="shared" si="80"/>
        <v>117633.19289062495</v>
      </c>
      <c r="BJ187" s="72">
        <f t="shared" si="80"/>
        <v>78422.128593749963</v>
      </c>
      <c r="BK187" s="72">
        <f t="shared" si="80"/>
        <v>78422.128593749963</v>
      </c>
      <c r="BL187" s="72">
        <f t="shared" si="80"/>
        <v>78422.128593749963</v>
      </c>
      <c r="BM187" s="72">
        <f t="shared" si="80"/>
        <v>78422.128593749963</v>
      </c>
      <c r="BN187" s="72">
        <f t="shared" si="80"/>
        <v>94106.554312499968</v>
      </c>
    </row>
    <row r="188" spans="2:66" ht="13.8">
      <c r="B188" s="37" t="str">
        <f t="shared" ref="B188:B189" si="83">B187</f>
        <v>Madrid</v>
      </c>
      <c r="C188" t="str">
        <f t="shared" si="79"/>
        <v>Men's</v>
      </c>
      <c r="D188" s="84" t="str">
        <f>INDEX(CaseData!$E$10:$E$17,MATCH(B188,CaseData!$C$10:$C$17,0))</f>
        <v>EUR</v>
      </c>
      <c r="E188" s="85"/>
      <c r="G188" s="72">
        <f t="shared" si="82"/>
        <v>54000</v>
      </c>
      <c r="H188" s="72">
        <f t="shared" si="82"/>
        <v>36000</v>
      </c>
      <c r="I188" s="72">
        <f t="shared" si="82"/>
        <v>36000</v>
      </c>
      <c r="J188" s="72">
        <f t="shared" si="82"/>
        <v>36000</v>
      </c>
      <c r="K188" s="72">
        <f t="shared" si="82"/>
        <v>36000</v>
      </c>
      <c r="L188" s="72">
        <f t="shared" si="82"/>
        <v>36000</v>
      </c>
      <c r="M188" s="72">
        <f t="shared" si="82"/>
        <v>54000</v>
      </c>
      <c r="N188" s="72">
        <f t="shared" si="82"/>
        <v>36000</v>
      </c>
      <c r="O188" s="72">
        <f t="shared" si="82"/>
        <v>36000</v>
      </c>
      <c r="P188" s="72">
        <f t="shared" si="82"/>
        <v>36000</v>
      </c>
      <c r="Q188" s="72">
        <f t="shared" si="82"/>
        <v>36000</v>
      </c>
      <c r="R188" s="72">
        <f t="shared" si="82"/>
        <v>43200</v>
      </c>
      <c r="S188" s="72">
        <f t="shared" si="82"/>
        <v>54269.999999999993</v>
      </c>
      <c r="T188" s="72">
        <f t="shared" si="82"/>
        <v>36179.999999999993</v>
      </c>
      <c r="U188" s="72">
        <f t="shared" si="82"/>
        <v>36179.999999999993</v>
      </c>
      <c r="V188" s="72">
        <f t="shared" si="82"/>
        <v>36179.999999999993</v>
      </c>
      <c r="W188" s="72">
        <f t="shared" si="82"/>
        <v>36179.999999999993</v>
      </c>
      <c r="X188" s="72">
        <f t="shared" si="82"/>
        <v>36179.999999999993</v>
      </c>
      <c r="Y188" s="72">
        <f t="shared" si="82"/>
        <v>54269.999999999993</v>
      </c>
      <c r="Z188" s="72">
        <f t="shared" si="82"/>
        <v>36179.999999999993</v>
      </c>
      <c r="AA188" s="72">
        <f t="shared" si="82"/>
        <v>36179.999999999993</v>
      </c>
      <c r="AB188" s="72">
        <f t="shared" si="82"/>
        <v>36179.999999999993</v>
      </c>
      <c r="AC188" s="72">
        <f t="shared" si="82"/>
        <v>36179.999999999993</v>
      </c>
      <c r="AD188" s="72">
        <f t="shared" si="82"/>
        <v>43415.999999999993</v>
      </c>
      <c r="AE188" s="72">
        <f t="shared" si="82"/>
        <v>54541.349999999984</v>
      </c>
      <c r="AF188" s="72">
        <f t="shared" si="82"/>
        <v>36360.899999999987</v>
      </c>
      <c r="AG188" s="72">
        <f t="shared" si="82"/>
        <v>36360.899999999987</v>
      </c>
      <c r="AH188" s="72">
        <f t="shared" si="82"/>
        <v>36360.899999999987</v>
      </c>
      <c r="AI188" s="72">
        <f t="shared" si="82"/>
        <v>36360.899999999987</v>
      </c>
      <c r="AJ188" s="72">
        <f t="shared" si="82"/>
        <v>36360.899999999987</v>
      </c>
      <c r="AK188" s="72">
        <f t="shared" si="82"/>
        <v>54541.349999999984</v>
      </c>
      <c r="AL188" s="72">
        <f t="shared" si="82"/>
        <v>36360.899999999987</v>
      </c>
      <c r="AM188" s="72">
        <f t="shared" si="80"/>
        <v>36360.899999999987</v>
      </c>
      <c r="AN188" s="72">
        <f t="shared" si="80"/>
        <v>36360.899999999987</v>
      </c>
      <c r="AO188" s="72">
        <f t="shared" si="80"/>
        <v>36360.899999999987</v>
      </c>
      <c r="AP188" s="72">
        <f t="shared" si="80"/>
        <v>43633.079999999987</v>
      </c>
      <c r="AQ188" s="72">
        <f t="shared" si="80"/>
        <v>55086.763499999986</v>
      </c>
      <c r="AR188" s="72">
        <f t="shared" si="80"/>
        <v>36724.508999999991</v>
      </c>
      <c r="AS188" s="72">
        <f t="shared" si="80"/>
        <v>36724.508999999991</v>
      </c>
      <c r="AT188" s="72">
        <f t="shared" si="80"/>
        <v>36724.508999999991</v>
      </c>
      <c r="AU188" s="72">
        <f t="shared" si="80"/>
        <v>36724.508999999991</v>
      </c>
      <c r="AV188" s="72">
        <f t="shared" si="80"/>
        <v>36724.508999999991</v>
      </c>
      <c r="AW188" s="72">
        <f t="shared" si="80"/>
        <v>55086.763499999986</v>
      </c>
      <c r="AX188" s="72">
        <f t="shared" si="80"/>
        <v>36724.508999999991</v>
      </c>
      <c r="AY188" s="72">
        <f t="shared" si="80"/>
        <v>36724.508999999991</v>
      </c>
      <c r="AZ188" s="72">
        <f t="shared" si="80"/>
        <v>36724.508999999991</v>
      </c>
      <c r="BA188" s="72">
        <f t="shared" si="80"/>
        <v>36724.508999999991</v>
      </c>
      <c r="BB188" s="72">
        <f t="shared" si="80"/>
        <v>44069.410799999991</v>
      </c>
      <c r="BC188" s="72">
        <f t="shared" si="80"/>
        <v>56463.932587499978</v>
      </c>
      <c r="BD188" s="72">
        <f t="shared" si="80"/>
        <v>37642.621724999983</v>
      </c>
      <c r="BE188" s="72">
        <f t="shared" si="80"/>
        <v>37642.621724999983</v>
      </c>
      <c r="BF188" s="72">
        <f t="shared" si="80"/>
        <v>37642.621724999983</v>
      </c>
      <c r="BG188" s="72">
        <f t="shared" si="80"/>
        <v>37642.621724999983</v>
      </c>
      <c r="BH188" s="72">
        <f t="shared" si="80"/>
        <v>37642.621724999983</v>
      </c>
      <c r="BI188" s="72">
        <f t="shared" si="80"/>
        <v>56463.932587499978</v>
      </c>
      <c r="BJ188" s="72">
        <f t="shared" si="80"/>
        <v>37642.621724999983</v>
      </c>
      <c r="BK188" s="72">
        <f t="shared" si="80"/>
        <v>37642.621724999983</v>
      </c>
      <c r="BL188" s="72">
        <f t="shared" si="80"/>
        <v>37642.621724999983</v>
      </c>
      <c r="BM188" s="72">
        <f t="shared" si="80"/>
        <v>37642.621724999983</v>
      </c>
      <c r="BN188" s="72">
        <f t="shared" si="80"/>
        <v>45171.146069999981</v>
      </c>
    </row>
    <row r="189" spans="2:66" ht="13.8">
      <c r="B189" s="37" t="str">
        <f t="shared" si="83"/>
        <v>Madrid</v>
      </c>
      <c r="C189" t="str">
        <f t="shared" si="79"/>
        <v>Accessories</v>
      </c>
      <c r="D189" s="84" t="str">
        <f>INDEX(CaseData!$E$10:$E$17,MATCH(B189,CaseData!$C$10:$C$17,0))</f>
        <v>EUR</v>
      </c>
      <c r="E189" s="85"/>
      <c r="G189" s="72">
        <f t="shared" si="82"/>
        <v>13500</v>
      </c>
      <c r="H189" s="72">
        <f t="shared" si="82"/>
        <v>9000</v>
      </c>
      <c r="I189" s="72">
        <f t="shared" si="82"/>
        <v>9000</v>
      </c>
      <c r="J189" s="72">
        <f t="shared" si="82"/>
        <v>9000</v>
      </c>
      <c r="K189" s="72">
        <f t="shared" si="82"/>
        <v>9000</v>
      </c>
      <c r="L189" s="72">
        <f t="shared" si="82"/>
        <v>9000</v>
      </c>
      <c r="M189" s="72">
        <f t="shared" si="82"/>
        <v>13500</v>
      </c>
      <c r="N189" s="72">
        <f t="shared" si="82"/>
        <v>9000</v>
      </c>
      <c r="O189" s="72">
        <f t="shared" si="82"/>
        <v>9000</v>
      </c>
      <c r="P189" s="72">
        <f t="shared" si="82"/>
        <v>9000</v>
      </c>
      <c r="Q189" s="72">
        <f t="shared" si="82"/>
        <v>9000</v>
      </c>
      <c r="R189" s="72">
        <f t="shared" si="82"/>
        <v>10800</v>
      </c>
      <c r="S189" s="72">
        <f t="shared" si="82"/>
        <v>13567.499999999998</v>
      </c>
      <c r="T189" s="72">
        <f t="shared" si="82"/>
        <v>9044.9999999999982</v>
      </c>
      <c r="U189" s="72">
        <f t="shared" si="82"/>
        <v>9044.9999999999982</v>
      </c>
      <c r="V189" s="72">
        <f t="shared" si="82"/>
        <v>9044.9999999999982</v>
      </c>
      <c r="W189" s="72">
        <f t="shared" si="82"/>
        <v>9044.9999999999982</v>
      </c>
      <c r="X189" s="72">
        <f t="shared" si="82"/>
        <v>9044.9999999999982</v>
      </c>
      <c r="Y189" s="72">
        <f t="shared" si="82"/>
        <v>13455.371900826443</v>
      </c>
      <c r="Z189" s="72">
        <f t="shared" si="82"/>
        <v>9044.9999999999982</v>
      </c>
      <c r="AA189" s="72">
        <f t="shared" si="82"/>
        <v>9044.9999999999982</v>
      </c>
      <c r="AB189" s="72">
        <f t="shared" si="82"/>
        <v>9044.9999999999982</v>
      </c>
      <c r="AC189" s="72">
        <f t="shared" si="82"/>
        <v>9044.9999999999982</v>
      </c>
      <c r="AD189" s="72">
        <f t="shared" si="82"/>
        <v>10853.999999999998</v>
      </c>
      <c r="AE189" s="72">
        <f t="shared" si="82"/>
        <v>12022.340191036001</v>
      </c>
      <c r="AF189" s="72">
        <f t="shared" si="82"/>
        <v>9090.2249999999967</v>
      </c>
      <c r="AG189" s="72">
        <f t="shared" si="82"/>
        <v>9090.2249999999967</v>
      </c>
      <c r="AH189" s="72">
        <f t="shared" si="82"/>
        <v>9090.2249999999967</v>
      </c>
      <c r="AI189" s="72">
        <f t="shared" si="82"/>
        <v>9090.2249999999967</v>
      </c>
      <c r="AJ189" s="72">
        <f t="shared" si="82"/>
        <v>9090.2249999999967</v>
      </c>
      <c r="AK189" s="72">
        <f t="shared" si="82"/>
        <v>11637.556899004265</v>
      </c>
      <c r="AL189" s="72">
        <f t="shared" si="82"/>
        <v>9090.2249999999967</v>
      </c>
      <c r="AM189" s="72">
        <f t="shared" si="80"/>
        <v>9090.2249999999967</v>
      </c>
      <c r="AN189" s="72">
        <f t="shared" si="80"/>
        <v>9090.2249999999967</v>
      </c>
      <c r="AO189" s="72">
        <f t="shared" si="80"/>
        <v>9090.2249999999967</v>
      </c>
      <c r="AP189" s="72">
        <f t="shared" si="80"/>
        <v>10908.269999999997</v>
      </c>
      <c r="AQ189" s="72">
        <f t="shared" si="80"/>
        <v>11670.92447033898</v>
      </c>
      <c r="AR189" s="72">
        <f t="shared" si="80"/>
        <v>9181.1272499999977</v>
      </c>
      <c r="AS189" s="72">
        <f t="shared" si="80"/>
        <v>9181.1272499999977</v>
      </c>
      <c r="AT189" s="72">
        <f t="shared" si="80"/>
        <v>9181.1272499999977</v>
      </c>
      <c r="AU189" s="72">
        <f t="shared" si="80"/>
        <v>9181.1272499999977</v>
      </c>
      <c r="AV189" s="72">
        <f t="shared" si="80"/>
        <v>9181.1272499999977</v>
      </c>
      <c r="AW189" s="72">
        <f t="shared" si="80"/>
        <v>11670.92447033898</v>
      </c>
      <c r="AX189" s="72">
        <f t="shared" si="80"/>
        <v>9181.1272499999977</v>
      </c>
      <c r="AY189" s="72">
        <f t="shared" si="80"/>
        <v>9181.1272499999977</v>
      </c>
      <c r="AZ189" s="72">
        <f t="shared" si="80"/>
        <v>9181.1272499999977</v>
      </c>
      <c r="BA189" s="72">
        <f t="shared" si="80"/>
        <v>9181.1272499999977</v>
      </c>
      <c r="BB189" s="72">
        <f t="shared" si="80"/>
        <v>11017.352699999998</v>
      </c>
      <c r="BC189" s="72">
        <f t="shared" si="80"/>
        <v>11962.697582097451</v>
      </c>
      <c r="BD189" s="72">
        <f t="shared" si="80"/>
        <v>9410.6554312499957</v>
      </c>
      <c r="BE189" s="72">
        <f t="shared" si="80"/>
        <v>9410.6554312499957</v>
      </c>
      <c r="BF189" s="72">
        <f t="shared" si="80"/>
        <v>9410.6554312499957</v>
      </c>
      <c r="BG189" s="72">
        <f t="shared" si="80"/>
        <v>9410.6554312499957</v>
      </c>
      <c r="BH189" s="72">
        <f t="shared" si="80"/>
        <v>9410.6554312499957</v>
      </c>
      <c r="BI189" s="72">
        <f t="shared" si="80"/>
        <v>11962.697582097451</v>
      </c>
      <c r="BJ189" s="72">
        <f t="shared" si="80"/>
        <v>9410.6554312499957</v>
      </c>
      <c r="BK189" s="72">
        <f t="shared" si="80"/>
        <v>9410.6554312499957</v>
      </c>
      <c r="BL189" s="72">
        <f t="shared" si="80"/>
        <v>9410.6554312499957</v>
      </c>
      <c r="BM189" s="72">
        <f t="shared" si="80"/>
        <v>9410.6554312499957</v>
      </c>
      <c r="BN189" s="72">
        <f t="shared" si="80"/>
        <v>11292.786517499995</v>
      </c>
    </row>
    <row r="190" spans="2:66" ht="13.8">
      <c r="B190" s="37" t="str">
        <f>CaseData!$B$31</f>
        <v>London</v>
      </c>
      <c r="C190" t="str">
        <f t="shared" si="79"/>
        <v>Women's</v>
      </c>
      <c r="D190" s="84" t="str">
        <f>INDEX(CaseData!$E$10:$E$17,MATCH(B190,CaseData!$C$10:$C$17,0))</f>
        <v>GBP</v>
      </c>
      <c r="E190" s="85"/>
      <c r="G190" s="72">
        <f t="shared" si="82"/>
        <v>70125</v>
      </c>
      <c r="H190" s="72">
        <f t="shared" si="82"/>
        <v>46750</v>
      </c>
      <c r="I190" s="72">
        <f t="shared" si="82"/>
        <v>46750</v>
      </c>
      <c r="J190" s="72">
        <f t="shared" si="82"/>
        <v>46750</v>
      </c>
      <c r="K190" s="72">
        <f t="shared" si="82"/>
        <v>46750</v>
      </c>
      <c r="L190" s="72">
        <f t="shared" si="82"/>
        <v>46750</v>
      </c>
      <c r="M190" s="72">
        <f t="shared" si="82"/>
        <v>70125</v>
      </c>
      <c r="N190" s="72">
        <f t="shared" si="82"/>
        <v>46750</v>
      </c>
      <c r="O190" s="72">
        <f t="shared" si="82"/>
        <v>46750</v>
      </c>
      <c r="P190" s="72">
        <f t="shared" si="82"/>
        <v>46750</v>
      </c>
      <c r="Q190" s="72">
        <f t="shared" si="82"/>
        <v>46750</v>
      </c>
      <c r="R190" s="72">
        <f t="shared" si="82"/>
        <v>56100</v>
      </c>
      <c r="S190" s="72">
        <f t="shared" si="82"/>
        <v>72228.75</v>
      </c>
      <c r="T190" s="72">
        <f t="shared" si="82"/>
        <v>48152.5</v>
      </c>
      <c r="U190" s="72">
        <f t="shared" si="82"/>
        <v>48152.5</v>
      </c>
      <c r="V190" s="72">
        <f t="shared" si="82"/>
        <v>48152.5</v>
      </c>
      <c r="W190" s="72">
        <f t="shared" si="82"/>
        <v>48152.5</v>
      </c>
      <c r="X190" s="72">
        <f t="shared" si="82"/>
        <v>48152.5</v>
      </c>
      <c r="Y190" s="72">
        <f t="shared" si="82"/>
        <v>72228.75</v>
      </c>
      <c r="Z190" s="72">
        <f t="shared" si="82"/>
        <v>48152.5</v>
      </c>
      <c r="AA190" s="72">
        <f t="shared" si="82"/>
        <v>48152.5</v>
      </c>
      <c r="AB190" s="72">
        <f t="shared" si="82"/>
        <v>48152.5</v>
      </c>
      <c r="AC190" s="72">
        <f t="shared" si="82"/>
        <v>48152.5</v>
      </c>
      <c r="AD190" s="72">
        <f t="shared" si="82"/>
        <v>57783</v>
      </c>
      <c r="AE190" s="72">
        <f t="shared" si="82"/>
        <v>72951.037500000006</v>
      </c>
      <c r="AF190" s="72">
        <f t="shared" si="82"/>
        <v>48634.025000000001</v>
      </c>
      <c r="AG190" s="72">
        <f t="shared" si="82"/>
        <v>48634.025000000001</v>
      </c>
      <c r="AH190" s="72">
        <f t="shared" si="82"/>
        <v>48634.025000000001</v>
      </c>
      <c r="AI190" s="72">
        <f t="shared" si="82"/>
        <v>48634.025000000001</v>
      </c>
      <c r="AJ190" s="72">
        <f t="shared" si="82"/>
        <v>48634.025000000001</v>
      </c>
      <c r="AK190" s="72">
        <f t="shared" si="82"/>
        <v>72951.037500000006</v>
      </c>
      <c r="AL190" s="72">
        <f t="shared" si="82"/>
        <v>48634.025000000001</v>
      </c>
      <c r="AM190" s="72">
        <f t="shared" si="80"/>
        <v>48634.025000000001</v>
      </c>
      <c r="AN190" s="72">
        <f t="shared" si="80"/>
        <v>48634.025000000001</v>
      </c>
      <c r="AO190" s="72">
        <f t="shared" si="80"/>
        <v>48634.025000000001</v>
      </c>
      <c r="AP190" s="72">
        <f t="shared" si="80"/>
        <v>58360.83</v>
      </c>
      <c r="AQ190" s="72">
        <f t="shared" si="80"/>
        <v>73680.547874999989</v>
      </c>
      <c r="AR190" s="72">
        <f t="shared" si="80"/>
        <v>49120.365249999995</v>
      </c>
      <c r="AS190" s="72">
        <f t="shared" si="80"/>
        <v>49120.365249999995</v>
      </c>
      <c r="AT190" s="72">
        <f t="shared" si="80"/>
        <v>49120.365249999995</v>
      </c>
      <c r="AU190" s="72">
        <f t="shared" si="80"/>
        <v>49120.365249999995</v>
      </c>
      <c r="AV190" s="72">
        <f t="shared" si="80"/>
        <v>49120.365249999995</v>
      </c>
      <c r="AW190" s="72">
        <f t="shared" si="80"/>
        <v>73680.547874999989</v>
      </c>
      <c r="AX190" s="72">
        <f t="shared" si="80"/>
        <v>49120.365249999995</v>
      </c>
      <c r="AY190" s="72">
        <f t="shared" si="80"/>
        <v>49120.365249999995</v>
      </c>
      <c r="AZ190" s="72">
        <f t="shared" si="80"/>
        <v>49120.365249999995</v>
      </c>
      <c r="BA190" s="72">
        <f t="shared" si="80"/>
        <v>49120.365249999995</v>
      </c>
      <c r="BB190" s="72">
        <f t="shared" si="80"/>
        <v>58944.438299999994</v>
      </c>
      <c r="BC190" s="72">
        <f t="shared" si="80"/>
        <v>74417.353353750004</v>
      </c>
      <c r="BD190" s="72">
        <f t="shared" si="80"/>
        <v>49611.568902500003</v>
      </c>
      <c r="BE190" s="72">
        <f t="shared" si="80"/>
        <v>49611.568902500003</v>
      </c>
      <c r="BF190" s="72">
        <f t="shared" si="80"/>
        <v>49611.568902500003</v>
      </c>
      <c r="BG190" s="72">
        <f t="shared" si="80"/>
        <v>49611.568902500003</v>
      </c>
      <c r="BH190" s="72">
        <f t="shared" si="80"/>
        <v>49611.568902500003</v>
      </c>
      <c r="BI190" s="72">
        <f t="shared" si="80"/>
        <v>74417.353353750004</v>
      </c>
      <c r="BJ190" s="72">
        <f t="shared" si="80"/>
        <v>49611.568902500003</v>
      </c>
      <c r="BK190" s="72">
        <f t="shared" si="80"/>
        <v>49611.568902500003</v>
      </c>
      <c r="BL190" s="72">
        <f t="shared" si="80"/>
        <v>49611.568902500003</v>
      </c>
      <c r="BM190" s="72">
        <f t="shared" si="80"/>
        <v>49611.568902500003</v>
      </c>
      <c r="BN190" s="72">
        <f t="shared" si="80"/>
        <v>59533.882683000003</v>
      </c>
    </row>
    <row r="191" spans="2:66" ht="13.8">
      <c r="B191" s="37" t="str">
        <f t="shared" ref="B191:B192" si="84">B190</f>
        <v>London</v>
      </c>
      <c r="C191" t="str">
        <f t="shared" si="79"/>
        <v>Men's</v>
      </c>
      <c r="D191" s="84" t="str">
        <f>INDEX(CaseData!$E$10:$E$17,MATCH(B191,CaseData!$C$10:$C$17,0))</f>
        <v>GBP</v>
      </c>
      <c r="E191" s="85"/>
      <c r="G191" s="72">
        <f t="shared" si="82"/>
        <v>68250</v>
      </c>
      <c r="H191" s="72">
        <f t="shared" si="82"/>
        <v>45500</v>
      </c>
      <c r="I191" s="72">
        <f t="shared" si="82"/>
        <v>45500</v>
      </c>
      <c r="J191" s="72">
        <f t="shared" si="82"/>
        <v>45500</v>
      </c>
      <c r="K191" s="72">
        <f t="shared" si="82"/>
        <v>45500</v>
      </c>
      <c r="L191" s="72">
        <f t="shared" si="82"/>
        <v>45500</v>
      </c>
      <c r="M191" s="72">
        <f t="shared" si="82"/>
        <v>68250</v>
      </c>
      <c r="N191" s="72">
        <f t="shared" si="82"/>
        <v>45500</v>
      </c>
      <c r="O191" s="72">
        <f t="shared" si="82"/>
        <v>45500</v>
      </c>
      <c r="P191" s="72">
        <f t="shared" si="82"/>
        <v>45500</v>
      </c>
      <c r="Q191" s="72">
        <f t="shared" si="82"/>
        <v>45500</v>
      </c>
      <c r="R191" s="72">
        <f t="shared" si="82"/>
        <v>54600</v>
      </c>
      <c r="S191" s="72">
        <f t="shared" si="82"/>
        <v>70297.5</v>
      </c>
      <c r="T191" s="72">
        <f t="shared" si="82"/>
        <v>46865</v>
      </c>
      <c r="U191" s="72">
        <f t="shared" si="82"/>
        <v>46865</v>
      </c>
      <c r="V191" s="72">
        <f t="shared" si="82"/>
        <v>46865</v>
      </c>
      <c r="W191" s="72">
        <f t="shared" si="82"/>
        <v>46865</v>
      </c>
      <c r="X191" s="72">
        <f t="shared" si="82"/>
        <v>46865</v>
      </c>
      <c r="Y191" s="72">
        <f t="shared" si="82"/>
        <v>70297.5</v>
      </c>
      <c r="Z191" s="72">
        <f t="shared" si="82"/>
        <v>46865</v>
      </c>
      <c r="AA191" s="72">
        <f t="shared" si="82"/>
        <v>46865</v>
      </c>
      <c r="AB191" s="72">
        <f t="shared" si="82"/>
        <v>46865</v>
      </c>
      <c r="AC191" s="72">
        <f t="shared" si="82"/>
        <v>46865</v>
      </c>
      <c r="AD191" s="72">
        <f t="shared" si="82"/>
        <v>56238</v>
      </c>
      <c r="AE191" s="72">
        <f t="shared" si="82"/>
        <v>71000.475000000006</v>
      </c>
      <c r="AF191" s="72">
        <f t="shared" si="82"/>
        <v>47333.65</v>
      </c>
      <c r="AG191" s="72">
        <f t="shared" si="82"/>
        <v>47333.65</v>
      </c>
      <c r="AH191" s="72">
        <f t="shared" si="82"/>
        <v>47333.65</v>
      </c>
      <c r="AI191" s="72">
        <f t="shared" si="82"/>
        <v>47333.65</v>
      </c>
      <c r="AJ191" s="72">
        <f t="shared" si="82"/>
        <v>47333.65</v>
      </c>
      <c r="AK191" s="72">
        <f t="shared" si="82"/>
        <v>71000.475000000006</v>
      </c>
      <c r="AL191" s="72">
        <f t="shared" si="82"/>
        <v>47333.65</v>
      </c>
      <c r="AM191" s="72">
        <f t="shared" si="80"/>
        <v>47333.65</v>
      </c>
      <c r="AN191" s="72">
        <f t="shared" si="80"/>
        <v>47333.65</v>
      </c>
      <c r="AO191" s="72">
        <f t="shared" si="80"/>
        <v>47333.65</v>
      </c>
      <c r="AP191" s="72">
        <f t="shared" si="80"/>
        <v>56800.38</v>
      </c>
      <c r="AQ191" s="72">
        <f t="shared" si="80"/>
        <v>71710.479749999999</v>
      </c>
      <c r="AR191" s="72">
        <f t="shared" si="80"/>
        <v>47806.986499999999</v>
      </c>
      <c r="AS191" s="72">
        <f t="shared" si="80"/>
        <v>47806.986499999999</v>
      </c>
      <c r="AT191" s="72">
        <f t="shared" si="80"/>
        <v>47806.986499999999</v>
      </c>
      <c r="AU191" s="72">
        <f t="shared" si="80"/>
        <v>47806.986499999999</v>
      </c>
      <c r="AV191" s="72">
        <f t="shared" si="80"/>
        <v>47806.986499999999</v>
      </c>
      <c r="AW191" s="72">
        <f t="shared" si="80"/>
        <v>71710.479749999999</v>
      </c>
      <c r="AX191" s="72">
        <f t="shared" si="80"/>
        <v>47806.986499999999</v>
      </c>
      <c r="AY191" s="72">
        <f t="shared" si="80"/>
        <v>47806.986499999999</v>
      </c>
      <c r="AZ191" s="72">
        <f t="shared" si="80"/>
        <v>47806.986499999999</v>
      </c>
      <c r="BA191" s="72">
        <f t="shared" si="80"/>
        <v>47806.986499999999</v>
      </c>
      <c r="BB191" s="72">
        <f t="shared" si="80"/>
        <v>57368.383799999996</v>
      </c>
      <c r="BC191" s="72">
        <f t="shared" si="80"/>
        <v>72427.584547499995</v>
      </c>
      <c r="BD191" s="72">
        <f t="shared" si="80"/>
        <v>48285.056365000004</v>
      </c>
      <c r="BE191" s="72">
        <f t="shared" si="80"/>
        <v>48285.056365000004</v>
      </c>
      <c r="BF191" s="72">
        <f t="shared" si="80"/>
        <v>48285.056365000004</v>
      </c>
      <c r="BG191" s="72">
        <f t="shared" si="80"/>
        <v>48285.056365000004</v>
      </c>
      <c r="BH191" s="72">
        <f t="shared" si="80"/>
        <v>48285.056365000004</v>
      </c>
      <c r="BI191" s="72">
        <f t="shared" si="80"/>
        <v>72427.584547499995</v>
      </c>
      <c r="BJ191" s="72">
        <f t="shared" si="80"/>
        <v>48285.056365000004</v>
      </c>
      <c r="BK191" s="72">
        <f t="shared" si="80"/>
        <v>48285.056365000004</v>
      </c>
      <c r="BL191" s="72">
        <f t="shared" si="80"/>
        <v>48285.056365000004</v>
      </c>
      <c r="BM191" s="72">
        <f t="shared" si="80"/>
        <v>48285.056365000004</v>
      </c>
      <c r="BN191" s="72">
        <f t="shared" si="80"/>
        <v>57942.067638</v>
      </c>
    </row>
    <row r="192" spans="2:66" ht="13.8">
      <c r="B192" s="37" t="str">
        <f t="shared" si="84"/>
        <v>London</v>
      </c>
      <c r="C192" t="str">
        <f t="shared" si="79"/>
        <v>Accessories</v>
      </c>
      <c r="D192" s="84" t="str">
        <f>INDEX(CaseData!$E$10:$E$17,MATCH(B192,CaseData!$C$10:$C$17,0))</f>
        <v>GBP</v>
      </c>
      <c r="E192" s="85"/>
      <c r="G192" s="72">
        <f t="shared" si="82"/>
        <v>18750</v>
      </c>
      <c r="H192" s="72">
        <f t="shared" si="82"/>
        <v>12500</v>
      </c>
      <c r="I192" s="72">
        <f t="shared" si="82"/>
        <v>12500</v>
      </c>
      <c r="J192" s="72">
        <f t="shared" si="82"/>
        <v>12500</v>
      </c>
      <c r="K192" s="72">
        <f t="shared" si="82"/>
        <v>12500</v>
      </c>
      <c r="L192" s="72">
        <f t="shared" si="82"/>
        <v>12500</v>
      </c>
      <c r="M192" s="72">
        <f t="shared" si="82"/>
        <v>18750</v>
      </c>
      <c r="N192" s="72">
        <f t="shared" si="82"/>
        <v>12500</v>
      </c>
      <c r="O192" s="72">
        <f t="shared" si="82"/>
        <v>12500</v>
      </c>
      <c r="P192" s="72">
        <f t="shared" si="82"/>
        <v>12500</v>
      </c>
      <c r="Q192" s="72">
        <f t="shared" si="82"/>
        <v>12500</v>
      </c>
      <c r="R192" s="72">
        <f t="shared" si="82"/>
        <v>15000</v>
      </c>
      <c r="S192" s="72">
        <f t="shared" si="82"/>
        <v>19312.5</v>
      </c>
      <c r="T192" s="72">
        <f t="shared" si="82"/>
        <v>12875</v>
      </c>
      <c r="U192" s="72">
        <f t="shared" si="82"/>
        <v>12875</v>
      </c>
      <c r="V192" s="72">
        <f t="shared" si="82"/>
        <v>12875</v>
      </c>
      <c r="W192" s="72">
        <f t="shared" si="82"/>
        <v>12875</v>
      </c>
      <c r="X192" s="72">
        <f t="shared" si="82"/>
        <v>12875</v>
      </c>
      <c r="Y192" s="72">
        <f t="shared" si="82"/>
        <v>19152.89256198347</v>
      </c>
      <c r="Z192" s="72">
        <f t="shared" si="82"/>
        <v>12875</v>
      </c>
      <c r="AA192" s="72">
        <f t="shared" si="82"/>
        <v>12875</v>
      </c>
      <c r="AB192" s="72">
        <f t="shared" si="82"/>
        <v>12875</v>
      </c>
      <c r="AC192" s="72">
        <f t="shared" si="82"/>
        <v>12875</v>
      </c>
      <c r="AD192" s="72">
        <f t="shared" si="82"/>
        <v>15450</v>
      </c>
      <c r="AE192" s="72">
        <f t="shared" si="82"/>
        <v>17198.199853049227</v>
      </c>
      <c r="AF192" s="72">
        <f t="shared" si="82"/>
        <v>13003.75</v>
      </c>
      <c r="AG192" s="72">
        <f t="shared" si="82"/>
        <v>13003.75</v>
      </c>
      <c r="AH192" s="72">
        <f t="shared" si="82"/>
        <v>13003.75</v>
      </c>
      <c r="AI192" s="72">
        <f t="shared" si="82"/>
        <v>13003.75</v>
      </c>
      <c r="AJ192" s="72">
        <f t="shared" si="82"/>
        <v>13003.75</v>
      </c>
      <c r="AK192" s="72">
        <f t="shared" si="82"/>
        <v>16647.75960170697</v>
      </c>
      <c r="AL192" s="72">
        <f t="shared" si="82"/>
        <v>13003.75</v>
      </c>
      <c r="AM192" s="72">
        <f t="shared" si="80"/>
        <v>13003.75</v>
      </c>
      <c r="AN192" s="72">
        <f t="shared" si="80"/>
        <v>13003.75</v>
      </c>
      <c r="AO192" s="72">
        <f t="shared" si="80"/>
        <v>13003.75</v>
      </c>
      <c r="AP192" s="72">
        <f t="shared" si="80"/>
        <v>15604.5</v>
      </c>
      <c r="AQ192" s="72">
        <f t="shared" si="80"/>
        <v>16695.49258474576</v>
      </c>
      <c r="AR192" s="72">
        <f t="shared" si="80"/>
        <v>13133.787499999999</v>
      </c>
      <c r="AS192" s="72">
        <f t="shared" si="80"/>
        <v>13133.787499999999</v>
      </c>
      <c r="AT192" s="72">
        <f t="shared" si="80"/>
        <v>13133.787499999999</v>
      </c>
      <c r="AU192" s="72">
        <f t="shared" si="80"/>
        <v>13133.787499999999</v>
      </c>
      <c r="AV192" s="72">
        <f t="shared" si="80"/>
        <v>13133.787499999999</v>
      </c>
      <c r="AW192" s="72">
        <f t="shared" si="80"/>
        <v>16695.49258474576</v>
      </c>
      <c r="AX192" s="72">
        <f t="shared" si="80"/>
        <v>13133.787499999999</v>
      </c>
      <c r="AY192" s="72">
        <f t="shared" si="80"/>
        <v>13133.787499999999</v>
      </c>
      <c r="AZ192" s="72">
        <f t="shared" si="80"/>
        <v>13133.787499999999</v>
      </c>
      <c r="BA192" s="72">
        <f t="shared" si="80"/>
        <v>13133.787499999999</v>
      </c>
      <c r="BB192" s="72">
        <f t="shared" si="80"/>
        <v>15760.544999999998</v>
      </c>
      <c r="BC192" s="72">
        <f t="shared" si="80"/>
        <v>16862.447510593218</v>
      </c>
      <c r="BD192" s="72">
        <f t="shared" si="80"/>
        <v>13265.125375</v>
      </c>
      <c r="BE192" s="72">
        <f t="shared" si="80"/>
        <v>13265.125375</v>
      </c>
      <c r="BF192" s="72">
        <f t="shared" si="80"/>
        <v>13265.125375</v>
      </c>
      <c r="BG192" s="72">
        <f t="shared" si="80"/>
        <v>13265.125375</v>
      </c>
      <c r="BH192" s="72">
        <f t="shared" si="80"/>
        <v>13265.125375</v>
      </c>
      <c r="BI192" s="72">
        <f t="shared" si="80"/>
        <v>16862.447510593218</v>
      </c>
      <c r="BJ192" s="72">
        <f t="shared" si="80"/>
        <v>13265.125375</v>
      </c>
      <c r="BK192" s="72">
        <f t="shared" si="80"/>
        <v>13265.125375</v>
      </c>
      <c r="BL192" s="72">
        <f t="shared" si="80"/>
        <v>13265.125375</v>
      </c>
      <c r="BM192" s="72">
        <f t="shared" si="80"/>
        <v>13265.125375</v>
      </c>
      <c r="BN192" s="72">
        <f t="shared" si="80"/>
        <v>15918.150450000001</v>
      </c>
    </row>
    <row r="193" spans="2:66" ht="13.8">
      <c r="B193" s="37" t="str">
        <f>CaseData!$B$32</f>
        <v>New York</v>
      </c>
      <c r="C193" t="str">
        <f t="shared" si="79"/>
        <v>Women's</v>
      </c>
      <c r="D193" s="84" t="str">
        <f>INDEX(CaseData!$E$10:$E$17,MATCH(B193,CaseData!$C$10:$C$17,0))</f>
        <v>USD</v>
      </c>
      <c r="E193" s="85"/>
      <c r="G193" s="72">
        <f t="shared" si="82"/>
        <v>0</v>
      </c>
      <c r="H193" s="72">
        <f t="shared" si="82"/>
        <v>0</v>
      </c>
      <c r="I193" s="72">
        <f t="shared" si="82"/>
        <v>26125</v>
      </c>
      <c r="J193" s="72">
        <f t="shared" si="82"/>
        <v>28302.083333333325</v>
      </c>
      <c r="K193" s="72">
        <f t="shared" si="82"/>
        <v>30479.166666666661</v>
      </c>
      <c r="L193" s="72">
        <f t="shared" si="82"/>
        <v>32656.25</v>
      </c>
      <c r="M193" s="72">
        <f t="shared" si="82"/>
        <v>52249.999999999993</v>
      </c>
      <c r="N193" s="72">
        <f t="shared" si="82"/>
        <v>37010.416666666664</v>
      </c>
      <c r="O193" s="72">
        <f t="shared" si="82"/>
        <v>39187.5</v>
      </c>
      <c r="P193" s="72">
        <f t="shared" si="82"/>
        <v>41364.583333333336</v>
      </c>
      <c r="Q193" s="72">
        <f t="shared" si="82"/>
        <v>43541.666666666672</v>
      </c>
      <c r="R193" s="72">
        <f t="shared" si="82"/>
        <v>54862.5</v>
      </c>
      <c r="S193" s="72">
        <f t="shared" si="82"/>
        <v>73999.0625</v>
      </c>
      <c r="T193" s="72">
        <f t="shared" si="82"/>
        <v>51575.104166666679</v>
      </c>
      <c r="U193" s="72">
        <f t="shared" si="82"/>
        <v>53817.500000000015</v>
      </c>
      <c r="V193" s="72">
        <f t="shared" si="82"/>
        <v>53817.500000000015</v>
      </c>
      <c r="W193" s="72">
        <f t="shared" si="82"/>
        <v>53817.500000000015</v>
      </c>
      <c r="X193" s="72">
        <f t="shared" si="82"/>
        <v>53817.500000000015</v>
      </c>
      <c r="Y193" s="72">
        <f t="shared" si="82"/>
        <v>80726.250000000015</v>
      </c>
      <c r="Z193" s="72">
        <f t="shared" si="82"/>
        <v>53817.500000000015</v>
      </c>
      <c r="AA193" s="72">
        <f t="shared" si="82"/>
        <v>53817.500000000015</v>
      </c>
      <c r="AB193" s="72">
        <f t="shared" si="82"/>
        <v>53817.500000000015</v>
      </c>
      <c r="AC193" s="72">
        <f t="shared" si="82"/>
        <v>53817.500000000015</v>
      </c>
      <c r="AD193" s="72">
        <f t="shared" si="82"/>
        <v>64581.000000000015</v>
      </c>
      <c r="AE193" s="72">
        <f t="shared" si="82"/>
        <v>82340.775000000009</v>
      </c>
      <c r="AF193" s="72">
        <f t="shared" si="82"/>
        <v>54893.850000000013</v>
      </c>
      <c r="AG193" s="72">
        <f t="shared" si="82"/>
        <v>54893.850000000013</v>
      </c>
      <c r="AH193" s="72">
        <f t="shared" si="82"/>
        <v>54893.850000000013</v>
      </c>
      <c r="AI193" s="72">
        <f t="shared" si="82"/>
        <v>54893.850000000013</v>
      </c>
      <c r="AJ193" s="72">
        <f t="shared" si="82"/>
        <v>54893.850000000013</v>
      </c>
      <c r="AK193" s="72">
        <f t="shared" si="82"/>
        <v>82340.775000000009</v>
      </c>
      <c r="AL193" s="72">
        <f t="shared" ref="AL193" si="85">AL124*AL155*(1-AL$168)*INDEX(AL$171:AL$176,MATCH($D193,$B$171:$B$176,0))</f>
        <v>54893.850000000013</v>
      </c>
      <c r="AM193" s="72">
        <f t="shared" si="80"/>
        <v>54893.850000000013</v>
      </c>
      <c r="AN193" s="72">
        <f t="shared" si="80"/>
        <v>54893.850000000013</v>
      </c>
      <c r="AO193" s="72">
        <f t="shared" si="80"/>
        <v>54893.850000000013</v>
      </c>
      <c r="AP193" s="72">
        <f t="shared" si="80"/>
        <v>65872.62000000001</v>
      </c>
      <c r="AQ193" s="72">
        <f t="shared" si="80"/>
        <v>84810.998250000004</v>
      </c>
      <c r="AR193" s="72">
        <f t="shared" si="80"/>
        <v>56540.66550000001</v>
      </c>
      <c r="AS193" s="72">
        <f t="shared" si="80"/>
        <v>56540.66550000001</v>
      </c>
      <c r="AT193" s="72">
        <f t="shared" si="80"/>
        <v>56540.66550000001</v>
      </c>
      <c r="AU193" s="72">
        <f t="shared" si="80"/>
        <v>56540.66550000001</v>
      </c>
      <c r="AV193" s="72">
        <f t="shared" si="80"/>
        <v>56540.66550000001</v>
      </c>
      <c r="AW193" s="72">
        <f t="shared" si="80"/>
        <v>84810.998250000004</v>
      </c>
      <c r="AX193" s="72">
        <f t="shared" si="80"/>
        <v>56540.66550000001</v>
      </c>
      <c r="AY193" s="72">
        <f t="shared" si="80"/>
        <v>56540.66550000001</v>
      </c>
      <c r="AZ193" s="72">
        <f t="shared" si="80"/>
        <v>56540.66550000001</v>
      </c>
      <c r="BA193" s="72">
        <f t="shared" ref="BA193:BN193" si="86">BA124*BA155*(1-BA$168)*INDEX(BA$171:BA$176,MATCH($D193,$B$171:$B$176,0))</f>
        <v>56540.66550000001</v>
      </c>
      <c r="BB193" s="72">
        <f t="shared" si="86"/>
        <v>67848.798600000009</v>
      </c>
      <c r="BC193" s="72">
        <f t="shared" si="86"/>
        <v>85235.053241250003</v>
      </c>
      <c r="BD193" s="72">
        <f t="shared" si="86"/>
        <v>56823.368827500002</v>
      </c>
      <c r="BE193" s="72">
        <f t="shared" si="86"/>
        <v>56823.368827500002</v>
      </c>
      <c r="BF193" s="72">
        <f t="shared" si="86"/>
        <v>56823.368827500002</v>
      </c>
      <c r="BG193" s="72">
        <f t="shared" si="86"/>
        <v>56823.368827500002</v>
      </c>
      <c r="BH193" s="72">
        <f t="shared" si="86"/>
        <v>56823.368827500002</v>
      </c>
      <c r="BI193" s="72">
        <f t="shared" si="86"/>
        <v>85235.053241250003</v>
      </c>
      <c r="BJ193" s="72">
        <f t="shared" si="86"/>
        <v>56823.368827500002</v>
      </c>
      <c r="BK193" s="72">
        <f t="shared" si="86"/>
        <v>56823.368827500002</v>
      </c>
      <c r="BL193" s="72">
        <f t="shared" si="86"/>
        <v>56823.368827500002</v>
      </c>
      <c r="BM193" s="72">
        <f t="shared" si="86"/>
        <v>56823.368827500002</v>
      </c>
      <c r="BN193" s="72">
        <f t="shared" si="86"/>
        <v>68188.042593000006</v>
      </c>
    </row>
    <row r="194" spans="2:66" ht="13.8">
      <c r="B194" s="37" t="str">
        <f t="shared" ref="B194:B195" si="87">B193</f>
        <v>New York</v>
      </c>
      <c r="C194" t="str">
        <f t="shared" si="79"/>
        <v>Men's</v>
      </c>
      <c r="D194" s="84" t="str">
        <f>INDEX(CaseData!$E$10:$E$17,MATCH(B194,CaseData!$C$10:$C$17,0))</f>
        <v>USD</v>
      </c>
      <c r="E194" s="85"/>
      <c r="G194" s="72">
        <f t="shared" ref="G194:BN198" si="88">G125*G156*(1-G$168)*INDEX(G$171:G$176,MATCH($D194,$B$171:$B$176,0))</f>
        <v>0</v>
      </c>
      <c r="H194" s="72">
        <f t="shared" si="88"/>
        <v>0</v>
      </c>
      <c r="I194" s="72">
        <f t="shared" si="88"/>
        <v>24375</v>
      </c>
      <c r="J194" s="72">
        <f t="shared" si="88"/>
        <v>26406.249999999993</v>
      </c>
      <c r="K194" s="72">
        <f t="shared" si="88"/>
        <v>28437.5</v>
      </c>
      <c r="L194" s="72">
        <f t="shared" si="88"/>
        <v>30468.75</v>
      </c>
      <c r="M194" s="72">
        <f t="shared" si="88"/>
        <v>48750</v>
      </c>
      <c r="N194" s="72">
        <f t="shared" si="88"/>
        <v>34531.25</v>
      </c>
      <c r="O194" s="72">
        <f t="shared" si="88"/>
        <v>36562.5</v>
      </c>
      <c r="P194" s="72">
        <f t="shared" si="88"/>
        <v>38593.75</v>
      </c>
      <c r="Q194" s="72">
        <f t="shared" si="88"/>
        <v>40625</v>
      </c>
      <c r="R194" s="72">
        <f t="shared" si="88"/>
        <v>51187.5</v>
      </c>
      <c r="S194" s="72">
        <f t="shared" si="88"/>
        <v>69042.1875</v>
      </c>
      <c r="T194" s="72">
        <f t="shared" si="88"/>
        <v>48120.312500000007</v>
      </c>
      <c r="U194" s="72">
        <f t="shared" si="88"/>
        <v>50212.500000000007</v>
      </c>
      <c r="V194" s="72">
        <f t="shared" si="88"/>
        <v>50212.500000000007</v>
      </c>
      <c r="W194" s="72">
        <f t="shared" si="88"/>
        <v>50212.500000000007</v>
      </c>
      <c r="X194" s="72">
        <f t="shared" si="88"/>
        <v>50212.500000000007</v>
      </c>
      <c r="Y194" s="72">
        <f t="shared" si="88"/>
        <v>75318.75</v>
      </c>
      <c r="Z194" s="72">
        <f t="shared" si="88"/>
        <v>50212.500000000007</v>
      </c>
      <c r="AA194" s="72">
        <f t="shared" si="88"/>
        <v>50212.500000000007</v>
      </c>
      <c r="AB194" s="72">
        <f t="shared" si="88"/>
        <v>50212.500000000007</v>
      </c>
      <c r="AC194" s="72">
        <f t="shared" si="88"/>
        <v>50212.500000000007</v>
      </c>
      <c r="AD194" s="72">
        <f t="shared" si="88"/>
        <v>60255.000000000015</v>
      </c>
      <c r="AE194" s="72">
        <f t="shared" si="88"/>
        <v>76825.125</v>
      </c>
      <c r="AF194" s="72">
        <f t="shared" si="88"/>
        <v>51216.750000000007</v>
      </c>
      <c r="AG194" s="72">
        <f t="shared" si="88"/>
        <v>51216.750000000007</v>
      </c>
      <c r="AH194" s="72">
        <f t="shared" si="88"/>
        <v>51216.750000000007</v>
      </c>
      <c r="AI194" s="72">
        <f t="shared" si="88"/>
        <v>51216.750000000007</v>
      </c>
      <c r="AJ194" s="72">
        <f t="shared" si="88"/>
        <v>51216.750000000007</v>
      </c>
      <c r="AK194" s="72">
        <f t="shared" si="88"/>
        <v>76825.125</v>
      </c>
      <c r="AL194" s="72">
        <f t="shared" si="88"/>
        <v>51216.750000000007</v>
      </c>
      <c r="AM194" s="72">
        <f t="shared" si="88"/>
        <v>51216.750000000007</v>
      </c>
      <c r="AN194" s="72">
        <f t="shared" si="88"/>
        <v>51216.750000000007</v>
      </c>
      <c r="AO194" s="72">
        <f t="shared" si="88"/>
        <v>51216.750000000007</v>
      </c>
      <c r="AP194" s="72">
        <f t="shared" si="88"/>
        <v>61460.100000000013</v>
      </c>
      <c r="AQ194" s="72">
        <f t="shared" si="88"/>
        <v>79129.878749999989</v>
      </c>
      <c r="AR194" s="72">
        <f t="shared" si="88"/>
        <v>52753.252500000002</v>
      </c>
      <c r="AS194" s="72">
        <f t="shared" si="88"/>
        <v>52753.252500000002</v>
      </c>
      <c r="AT194" s="72">
        <f t="shared" si="88"/>
        <v>52753.252500000002</v>
      </c>
      <c r="AU194" s="72">
        <f t="shared" si="88"/>
        <v>52753.252500000002</v>
      </c>
      <c r="AV194" s="72">
        <f t="shared" si="88"/>
        <v>52753.252500000002</v>
      </c>
      <c r="AW194" s="72">
        <f t="shared" si="88"/>
        <v>79129.878749999989</v>
      </c>
      <c r="AX194" s="72">
        <f t="shared" si="88"/>
        <v>52753.252500000002</v>
      </c>
      <c r="AY194" s="72">
        <f t="shared" si="88"/>
        <v>52753.252500000002</v>
      </c>
      <c r="AZ194" s="72">
        <f t="shared" si="88"/>
        <v>52753.252500000002</v>
      </c>
      <c r="BA194" s="72">
        <f t="shared" si="88"/>
        <v>52753.252500000002</v>
      </c>
      <c r="BB194" s="72">
        <f t="shared" si="88"/>
        <v>63303.903000000013</v>
      </c>
      <c r="BC194" s="72">
        <f t="shared" si="88"/>
        <v>79525.52814374998</v>
      </c>
      <c r="BD194" s="72">
        <f t="shared" si="88"/>
        <v>53017.018762499996</v>
      </c>
      <c r="BE194" s="72">
        <f t="shared" si="88"/>
        <v>53017.018762499996</v>
      </c>
      <c r="BF194" s="72">
        <f t="shared" si="88"/>
        <v>53017.018762499996</v>
      </c>
      <c r="BG194" s="72">
        <f t="shared" si="88"/>
        <v>53017.018762499996</v>
      </c>
      <c r="BH194" s="72">
        <f t="shared" si="88"/>
        <v>53017.018762499996</v>
      </c>
      <c r="BI194" s="72">
        <f t="shared" si="88"/>
        <v>79525.52814374998</v>
      </c>
      <c r="BJ194" s="72">
        <f t="shared" si="88"/>
        <v>53017.018762499996</v>
      </c>
      <c r="BK194" s="72">
        <f t="shared" si="88"/>
        <v>53017.018762499996</v>
      </c>
      <c r="BL194" s="72">
        <f t="shared" si="88"/>
        <v>53017.018762499996</v>
      </c>
      <c r="BM194" s="72">
        <f t="shared" si="88"/>
        <v>53017.018762499996</v>
      </c>
      <c r="BN194" s="72">
        <f t="shared" si="88"/>
        <v>63620.422515000006</v>
      </c>
    </row>
    <row r="195" spans="2:66" ht="13.8">
      <c r="B195" s="37" t="str">
        <f t="shared" si="87"/>
        <v>New York</v>
      </c>
      <c r="C195" t="str">
        <f t="shared" si="79"/>
        <v>Accessories</v>
      </c>
      <c r="D195" s="84" t="str">
        <f>INDEX(CaseData!$E$10:$E$17,MATCH(B195,CaseData!$C$10:$C$17,0))</f>
        <v>USD</v>
      </c>
      <c r="E195" s="85"/>
      <c r="G195" s="72">
        <f t="shared" si="88"/>
        <v>0</v>
      </c>
      <c r="H195" s="72">
        <f t="shared" si="88"/>
        <v>0</v>
      </c>
      <c r="I195" s="72">
        <f t="shared" si="88"/>
        <v>7500</v>
      </c>
      <c r="J195" s="72">
        <f t="shared" si="88"/>
        <v>8124.9999999999973</v>
      </c>
      <c r="K195" s="72">
        <f t="shared" si="88"/>
        <v>8750</v>
      </c>
      <c r="L195" s="72">
        <f t="shared" si="88"/>
        <v>9375</v>
      </c>
      <c r="M195" s="72">
        <f t="shared" si="88"/>
        <v>15000</v>
      </c>
      <c r="N195" s="72">
        <f t="shared" si="88"/>
        <v>10625</v>
      </c>
      <c r="O195" s="72">
        <f t="shared" si="88"/>
        <v>11250</v>
      </c>
      <c r="P195" s="72">
        <f t="shared" si="88"/>
        <v>11875</v>
      </c>
      <c r="Q195" s="72">
        <f t="shared" si="88"/>
        <v>12500.000000000002</v>
      </c>
      <c r="R195" s="72">
        <f t="shared" si="88"/>
        <v>15750</v>
      </c>
      <c r="S195" s="72">
        <f t="shared" si="88"/>
        <v>21243.75</v>
      </c>
      <c r="T195" s="72">
        <f t="shared" si="88"/>
        <v>14806.250000000002</v>
      </c>
      <c r="U195" s="72">
        <f t="shared" si="88"/>
        <v>15450.000000000004</v>
      </c>
      <c r="V195" s="72">
        <f t="shared" si="88"/>
        <v>15450.000000000004</v>
      </c>
      <c r="W195" s="72">
        <f t="shared" si="88"/>
        <v>15450.000000000004</v>
      </c>
      <c r="X195" s="72">
        <f t="shared" si="88"/>
        <v>15450.000000000004</v>
      </c>
      <c r="Y195" s="72">
        <f t="shared" si="88"/>
        <v>22983.47107438017</v>
      </c>
      <c r="Z195" s="72">
        <f t="shared" si="88"/>
        <v>15450.000000000004</v>
      </c>
      <c r="AA195" s="72">
        <f t="shared" si="88"/>
        <v>15450.000000000004</v>
      </c>
      <c r="AB195" s="72">
        <f t="shared" si="88"/>
        <v>15450.000000000004</v>
      </c>
      <c r="AC195" s="72">
        <f t="shared" si="88"/>
        <v>15450.000000000004</v>
      </c>
      <c r="AD195" s="72">
        <f t="shared" si="88"/>
        <v>18540.000000000004</v>
      </c>
      <c r="AE195" s="72">
        <f t="shared" si="88"/>
        <v>20842.174871418076</v>
      </c>
      <c r="AF195" s="72">
        <f t="shared" si="88"/>
        <v>15759.000000000004</v>
      </c>
      <c r="AG195" s="72">
        <f t="shared" si="88"/>
        <v>15759.000000000004</v>
      </c>
      <c r="AH195" s="72">
        <f t="shared" si="88"/>
        <v>15759.000000000004</v>
      </c>
      <c r="AI195" s="72">
        <f t="shared" si="88"/>
        <v>15759.000000000004</v>
      </c>
      <c r="AJ195" s="72">
        <f t="shared" si="88"/>
        <v>15759.000000000004</v>
      </c>
      <c r="AK195" s="72">
        <f t="shared" si="88"/>
        <v>20175.106685633007</v>
      </c>
      <c r="AL195" s="72">
        <f t="shared" si="88"/>
        <v>15759.000000000004</v>
      </c>
      <c r="AM195" s="72">
        <f t="shared" si="88"/>
        <v>15759.000000000004</v>
      </c>
      <c r="AN195" s="72">
        <f t="shared" si="88"/>
        <v>15759.000000000004</v>
      </c>
      <c r="AO195" s="72">
        <f t="shared" si="88"/>
        <v>15759.000000000004</v>
      </c>
      <c r="AP195" s="72">
        <f t="shared" si="88"/>
        <v>18910.800000000003</v>
      </c>
      <c r="AQ195" s="72">
        <f t="shared" si="88"/>
        <v>20633.605932203391</v>
      </c>
      <c r="AR195" s="72">
        <f t="shared" si="88"/>
        <v>16231.770000000002</v>
      </c>
      <c r="AS195" s="72">
        <f t="shared" si="88"/>
        <v>16231.770000000002</v>
      </c>
      <c r="AT195" s="72">
        <f t="shared" si="88"/>
        <v>16231.770000000002</v>
      </c>
      <c r="AU195" s="72">
        <f t="shared" si="88"/>
        <v>16231.770000000002</v>
      </c>
      <c r="AV195" s="72">
        <f t="shared" si="88"/>
        <v>16231.770000000002</v>
      </c>
      <c r="AW195" s="72">
        <f t="shared" si="88"/>
        <v>20633.605932203391</v>
      </c>
      <c r="AX195" s="72">
        <f t="shared" si="88"/>
        <v>16231.770000000002</v>
      </c>
      <c r="AY195" s="72">
        <f t="shared" si="88"/>
        <v>16231.770000000002</v>
      </c>
      <c r="AZ195" s="72">
        <f t="shared" si="88"/>
        <v>16231.770000000002</v>
      </c>
      <c r="BA195" s="72">
        <f t="shared" si="88"/>
        <v>16231.770000000002</v>
      </c>
      <c r="BB195" s="72">
        <f t="shared" si="88"/>
        <v>19478.124000000003</v>
      </c>
      <c r="BC195" s="72">
        <f t="shared" si="88"/>
        <v>20736.773961864405</v>
      </c>
      <c r="BD195" s="72">
        <f t="shared" si="88"/>
        <v>16312.92885</v>
      </c>
      <c r="BE195" s="72">
        <f t="shared" si="88"/>
        <v>16312.92885</v>
      </c>
      <c r="BF195" s="72">
        <f t="shared" si="88"/>
        <v>16312.92885</v>
      </c>
      <c r="BG195" s="72">
        <f t="shared" si="88"/>
        <v>16312.92885</v>
      </c>
      <c r="BH195" s="72">
        <f t="shared" si="88"/>
        <v>16312.92885</v>
      </c>
      <c r="BI195" s="72">
        <f t="shared" si="88"/>
        <v>20736.773961864405</v>
      </c>
      <c r="BJ195" s="72">
        <f t="shared" si="88"/>
        <v>16312.92885</v>
      </c>
      <c r="BK195" s="72">
        <f t="shared" si="88"/>
        <v>16312.92885</v>
      </c>
      <c r="BL195" s="72">
        <f t="shared" si="88"/>
        <v>16312.92885</v>
      </c>
      <c r="BM195" s="72">
        <f t="shared" si="88"/>
        <v>16312.92885</v>
      </c>
      <c r="BN195" s="72">
        <f t="shared" si="88"/>
        <v>19575.514620000002</v>
      </c>
    </row>
    <row r="196" spans="2:66" ht="13.8">
      <c r="B196" s="37" t="str">
        <f>CaseData!$B$33</f>
        <v>Montreal</v>
      </c>
      <c r="C196" t="str">
        <f t="shared" si="79"/>
        <v>Women's</v>
      </c>
      <c r="D196" s="84" t="str">
        <f>INDEX(CaseData!$E$10:$E$17,MATCH(B196,CaseData!$C$10:$C$17,0))</f>
        <v>CAD</v>
      </c>
      <c r="E196" s="85"/>
      <c r="G196" s="72">
        <f t="shared" si="88"/>
        <v>0</v>
      </c>
      <c r="H196" s="72">
        <f t="shared" si="88"/>
        <v>0</v>
      </c>
      <c r="I196" s="72">
        <f t="shared" si="88"/>
        <v>0</v>
      </c>
      <c r="J196" s="72">
        <f t="shared" si="88"/>
        <v>0</v>
      </c>
      <c r="K196" s="72">
        <f t="shared" si="88"/>
        <v>0</v>
      </c>
      <c r="L196" s="72">
        <f t="shared" si="88"/>
        <v>0</v>
      </c>
      <c r="M196" s="72">
        <f t="shared" si="88"/>
        <v>0</v>
      </c>
      <c r="N196" s="72">
        <f t="shared" si="88"/>
        <v>0</v>
      </c>
      <c r="O196" s="72">
        <f t="shared" si="88"/>
        <v>63000</v>
      </c>
      <c r="P196" s="72">
        <f t="shared" si="88"/>
        <v>68249.999999999985</v>
      </c>
      <c r="Q196" s="72">
        <f t="shared" si="88"/>
        <v>73499.999999999985</v>
      </c>
      <c r="R196" s="72">
        <f t="shared" si="88"/>
        <v>94500</v>
      </c>
      <c r="S196" s="72">
        <f t="shared" si="88"/>
        <v>128520</v>
      </c>
      <c r="T196" s="72">
        <f t="shared" si="88"/>
        <v>91034.999999999985</v>
      </c>
      <c r="U196" s="72">
        <f t="shared" si="88"/>
        <v>96390</v>
      </c>
      <c r="V196" s="72">
        <f t="shared" si="88"/>
        <v>101745</v>
      </c>
      <c r="W196" s="72">
        <f t="shared" si="88"/>
        <v>107100</v>
      </c>
      <c r="X196" s="72">
        <f t="shared" si="88"/>
        <v>112455</v>
      </c>
      <c r="Y196" s="72">
        <f t="shared" si="88"/>
        <v>176715.00000000003</v>
      </c>
      <c r="Z196" s="72">
        <f t="shared" si="88"/>
        <v>123165.00000000001</v>
      </c>
      <c r="AA196" s="72">
        <f t="shared" si="88"/>
        <v>128520.00000000001</v>
      </c>
      <c r="AB196" s="72">
        <f t="shared" si="88"/>
        <v>128520.00000000001</v>
      </c>
      <c r="AC196" s="72">
        <f t="shared" si="88"/>
        <v>128520.00000000001</v>
      </c>
      <c r="AD196" s="72">
        <f t="shared" si="88"/>
        <v>154224.00000000003</v>
      </c>
      <c r="AE196" s="72">
        <f t="shared" si="88"/>
        <v>196635.60000000003</v>
      </c>
      <c r="AF196" s="72">
        <f t="shared" si="88"/>
        <v>131090.40000000002</v>
      </c>
      <c r="AG196" s="72">
        <f t="shared" si="88"/>
        <v>131090.40000000002</v>
      </c>
      <c r="AH196" s="72">
        <f t="shared" si="88"/>
        <v>131090.40000000002</v>
      </c>
      <c r="AI196" s="72">
        <f t="shared" si="88"/>
        <v>131090.40000000002</v>
      </c>
      <c r="AJ196" s="72">
        <f t="shared" si="88"/>
        <v>131090.40000000002</v>
      </c>
      <c r="AK196" s="72">
        <f t="shared" si="88"/>
        <v>196635.60000000003</v>
      </c>
      <c r="AL196" s="72">
        <f t="shared" si="88"/>
        <v>131090.40000000002</v>
      </c>
      <c r="AM196" s="72">
        <f t="shared" si="88"/>
        <v>131090.40000000002</v>
      </c>
      <c r="AN196" s="72">
        <f t="shared" si="88"/>
        <v>131090.40000000002</v>
      </c>
      <c r="AO196" s="72">
        <f t="shared" si="88"/>
        <v>131090.40000000002</v>
      </c>
      <c r="AP196" s="72">
        <f t="shared" si="88"/>
        <v>157308.48000000004</v>
      </c>
      <c r="AQ196" s="72">
        <f t="shared" si="88"/>
        <v>201551.49</v>
      </c>
      <c r="AR196" s="72">
        <f t="shared" si="88"/>
        <v>134367.66</v>
      </c>
      <c r="AS196" s="72">
        <f t="shared" si="88"/>
        <v>134367.66</v>
      </c>
      <c r="AT196" s="72">
        <f t="shared" si="88"/>
        <v>134367.66</v>
      </c>
      <c r="AU196" s="72">
        <f t="shared" si="88"/>
        <v>134367.66</v>
      </c>
      <c r="AV196" s="72">
        <f t="shared" si="88"/>
        <v>134367.66</v>
      </c>
      <c r="AW196" s="72">
        <f t="shared" si="88"/>
        <v>201551.49</v>
      </c>
      <c r="AX196" s="72">
        <f t="shared" si="88"/>
        <v>134367.66</v>
      </c>
      <c r="AY196" s="72">
        <f t="shared" si="88"/>
        <v>134367.66</v>
      </c>
      <c r="AZ196" s="72">
        <f t="shared" si="88"/>
        <v>134367.66</v>
      </c>
      <c r="BA196" s="72">
        <f t="shared" si="88"/>
        <v>134367.66</v>
      </c>
      <c r="BB196" s="72">
        <f t="shared" si="88"/>
        <v>161241.19200000001</v>
      </c>
      <c r="BC196" s="72">
        <f t="shared" si="88"/>
        <v>205582.51979999998</v>
      </c>
      <c r="BD196" s="72">
        <f t="shared" si="88"/>
        <v>137055.01319999999</v>
      </c>
      <c r="BE196" s="72">
        <f t="shared" si="88"/>
        <v>137055.01319999999</v>
      </c>
      <c r="BF196" s="72">
        <f t="shared" si="88"/>
        <v>137055.01319999999</v>
      </c>
      <c r="BG196" s="72">
        <f t="shared" si="88"/>
        <v>137055.01319999999</v>
      </c>
      <c r="BH196" s="72">
        <f t="shared" si="88"/>
        <v>137055.01319999999</v>
      </c>
      <c r="BI196" s="72">
        <f t="shared" si="88"/>
        <v>205582.51979999998</v>
      </c>
      <c r="BJ196" s="72">
        <f t="shared" si="88"/>
        <v>137055.01319999999</v>
      </c>
      <c r="BK196" s="72">
        <f t="shared" si="88"/>
        <v>137055.01319999999</v>
      </c>
      <c r="BL196" s="72">
        <f t="shared" si="88"/>
        <v>137055.01319999999</v>
      </c>
      <c r="BM196" s="72">
        <f t="shared" si="88"/>
        <v>137055.01319999999</v>
      </c>
      <c r="BN196" s="72">
        <f t="shared" si="88"/>
        <v>164466.01584000001</v>
      </c>
    </row>
    <row r="197" spans="2:66" ht="13.8">
      <c r="B197" s="37" t="str">
        <f>B196</f>
        <v>Montreal</v>
      </c>
      <c r="C197" t="str">
        <f t="shared" si="79"/>
        <v>Men's</v>
      </c>
      <c r="D197" s="84" t="str">
        <f>INDEX(CaseData!$E$10:$E$17,MATCH(B197,CaseData!$C$10:$C$17,0))</f>
        <v>CAD</v>
      </c>
      <c r="E197" s="85"/>
      <c r="G197" s="72">
        <f t="shared" si="88"/>
        <v>0</v>
      </c>
      <c r="H197" s="72">
        <f t="shared" si="88"/>
        <v>0</v>
      </c>
      <c r="I197" s="72">
        <f t="shared" si="88"/>
        <v>0</v>
      </c>
      <c r="J197" s="72">
        <f t="shared" si="88"/>
        <v>0</v>
      </c>
      <c r="K197" s="72">
        <f t="shared" si="88"/>
        <v>0</v>
      </c>
      <c r="L197" s="72">
        <f t="shared" si="88"/>
        <v>0</v>
      </c>
      <c r="M197" s="72">
        <f t="shared" si="88"/>
        <v>0</v>
      </c>
      <c r="N197" s="72">
        <f t="shared" si="88"/>
        <v>0</v>
      </c>
      <c r="O197" s="72">
        <f t="shared" si="88"/>
        <v>46750</v>
      </c>
      <c r="P197" s="72">
        <f t="shared" si="88"/>
        <v>50645.833333333321</v>
      </c>
      <c r="Q197" s="72">
        <f t="shared" si="88"/>
        <v>54541.666666666664</v>
      </c>
      <c r="R197" s="72">
        <f t="shared" si="88"/>
        <v>70125</v>
      </c>
      <c r="S197" s="72">
        <f t="shared" si="88"/>
        <v>95369.999999999985</v>
      </c>
      <c r="T197" s="72">
        <f t="shared" si="88"/>
        <v>67553.749999999985</v>
      </c>
      <c r="U197" s="72">
        <f t="shared" si="88"/>
        <v>71527.5</v>
      </c>
      <c r="V197" s="72">
        <f t="shared" si="88"/>
        <v>75501.250000000015</v>
      </c>
      <c r="W197" s="72">
        <f t="shared" si="88"/>
        <v>79475</v>
      </c>
      <c r="X197" s="72">
        <f t="shared" si="88"/>
        <v>83448.75</v>
      </c>
      <c r="Y197" s="72">
        <f t="shared" si="88"/>
        <v>131133.75</v>
      </c>
      <c r="Z197" s="72">
        <f t="shared" si="88"/>
        <v>91396.25</v>
      </c>
      <c r="AA197" s="72">
        <f t="shared" si="88"/>
        <v>95370.000000000015</v>
      </c>
      <c r="AB197" s="72">
        <f t="shared" si="88"/>
        <v>95370.000000000015</v>
      </c>
      <c r="AC197" s="72">
        <f t="shared" si="88"/>
        <v>95370.000000000015</v>
      </c>
      <c r="AD197" s="72">
        <f t="shared" si="88"/>
        <v>114444.00000000003</v>
      </c>
      <c r="AE197" s="72">
        <f t="shared" si="88"/>
        <v>145916.10000000003</v>
      </c>
      <c r="AF197" s="72">
        <f t="shared" si="88"/>
        <v>97277.400000000009</v>
      </c>
      <c r="AG197" s="72">
        <f t="shared" si="88"/>
        <v>97277.400000000009</v>
      </c>
      <c r="AH197" s="72">
        <f t="shared" si="88"/>
        <v>97277.400000000009</v>
      </c>
      <c r="AI197" s="72">
        <f t="shared" si="88"/>
        <v>97277.400000000009</v>
      </c>
      <c r="AJ197" s="72">
        <f t="shared" si="88"/>
        <v>97277.400000000009</v>
      </c>
      <c r="AK197" s="72">
        <f t="shared" si="88"/>
        <v>145916.10000000003</v>
      </c>
      <c r="AL197" s="72">
        <f t="shared" si="88"/>
        <v>97277.400000000009</v>
      </c>
      <c r="AM197" s="72">
        <f t="shared" si="88"/>
        <v>97277.400000000009</v>
      </c>
      <c r="AN197" s="72">
        <f t="shared" si="88"/>
        <v>97277.400000000009</v>
      </c>
      <c r="AO197" s="72">
        <f t="shared" si="88"/>
        <v>97277.400000000009</v>
      </c>
      <c r="AP197" s="72">
        <f t="shared" si="88"/>
        <v>116732.88000000003</v>
      </c>
      <c r="AQ197" s="72">
        <f t="shared" si="88"/>
        <v>149564.0025</v>
      </c>
      <c r="AR197" s="72">
        <f t="shared" si="88"/>
        <v>99709.335000000006</v>
      </c>
      <c r="AS197" s="72">
        <f t="shared" si="88"/>
        <v>99709.335000000006</v>
      </c>
      <c r="AT197" s="72">
        <f t="shared" si="88"/>
        <v>99709.335000000006</v>
      </c>
      <c r="AU197" s="72">
        <f t="shared" si="88"/>
        <v>99709.335000000006</v>
      </c>
      <c r="AV197" s="72">
        <f t="shared" si="88"/>
        <v>99709.335000000006</v>
      </c>
      <c r="AW197" s="72">
        <f t="shared" si="88"/>
        <v>149564.0025</v>
      </c>
      <c r="AX197" s="72">
        <f t="shared" si="88"/>
        <v>99709.335000000006</v>
      </c>
      <c r="AY197" s="72">
        <f t="shared" si="88"/>
        <v>99709.335000000006</v>
      </c>
      <c r="AZ197" s="72">
        <f t="shared" si="88"/>
        <v>99709.335000000006</v>
      </c>
      <c r="BA197" s="72">
        <f t="shared" si="88"/>
        <v>99709.335000000006</v>
      </c>
      <c r="BB197" s="72">
        <f t="shared" si="88"/>
        <v>119651.20200000002</v>
      </c>
      <c r="BC197" s="72">
        <f t="shared" si="88"/>
        <v>152555.28255</v>
      </c>
      <c r="BD197" s="72">
        <f t="shared" si="88"/>
        <v>101703.5217</v>
      </c>
      <c r="BE197" s="72">
        <f t="shared" si="88"/>
        <v>101703.5217</v>
      </c>
      <c r="BF197" s="72">
        <f t="shared" si="88"/>
        <v>101703.5217</v>
      </c>
      <c r="BG197" s="72">
        <f t="shared" si="88"/>
        <v>101703.5217</v>
      </c>
      <c r="BH197" s="72">
        <f t="shared" si="88"/>
        <v>101703.5217</v>
      </c>
      <c r="BI197" s="72">
        <f t="shared" si="88"/>
        <v>152555.28255</v>
      </c>
      <c r="BJ197" s="72">
        <f t="shared" si="88"/>
        <v>101703.5217</v>
      </c>
      <c r="BK197" s="72">
        <f t="shared" si="88"/>
        <v>101703.5217</v>
      </c>
      <c r="BL197" s="72">
        <f t="shared" si="88"/>
        <v>101703.5217</v>
      </c>
      <c r="BM197" s="72">
        <f t="shared" si="88"/>
        <v>101703.5217</v>
      </c>
      <c r="BN197" s="72">
        <f t="shared" si="88"/>
        <v>122044.22604000001</v>
      </c>
    </row>
    <row r="198" spans="2:66" ht="13.8">
      <c r="B198" s="37" t="str">
        <f t="shared" ref="B198" si="89">B197</f>
        <v>Montreal</v>
      </c>
      <c r="C198" t="str">
        <f t="shared" si="79"/>
        <v>Accessories</v>
      </c>
      <c r="D198" s="84" t="str">
        <f>INDEX(CaseData!$E$10:$E$17,MATCH(B198,CaseData!$C$10:$C$17,0))</f>
        <v>CAD</v>
      </c>
      <c r="E198" s="85"/>
      <c r="G198" s="72">
        <f t="shared" si="88"/>
        <v>0</v>
      </c>
      <c r="H198" s="72">
        <f t="shared" si="88"/>
        <v>0</v>
      </c>
      <c r="I198" s="72">
        <f t="shared" si="88"/>
        <v>0</v>
      </c>
      <c r="J198" s="72">
        <f t="shared" si="88"/>
        <v>0</v>
      </c>
      <c r="K198" s="72">
        <f t="shared" si="88"/>
        <v>0</v>
      </c>
      <c r="L198" s="72">
        <f t="shared" si="88"/>
        <v>0</v>
      </c>
      <c r="M198" s="72">
        <f t="shared" si="88"/>
        <v>0</v>
      </c>
      <c r="N198" s="72">
        <f t="shared" si="88"/>
        <v>0</v>
      </c>
      <c r="O198" s="72">
        <f t="shared" si="88"/>
        <v>26000</v>
      </c>
      <c r="P198" s="72">
        <f t="shared" si="88"/>
        <v>28166.666666666657</v>
      </c>
      <c r="Q198" s="72">
        <f t="shared" si="88"/>
        <v>30333.333333333332</v>
      </c>
      <c r="R198" s="72">
        <f t="shared" si="88"/>
        <v>39000</v>
      </c>
      <c r="S198" s="72">
        <f t="shared" si="88"/>
        <v>53039.999999999993</v>
      </c>
      <c r="T198" s="72">
        <f t="shared" si="88"/>
        <v>37569.999999999993</v>
      </c>
      <c r="U198" s="72">
        <f t="shared" si="88"/>
        <v>39780</v>
      </c>
      <c r="V198" s="72">
        <f t="shared" ref="V198:BN204" si="90">V129*V160*(1-V$168)*INDEX(V$171:V$176,MATCH($D198,$B$171:$B$176,0))</f>
        <v>41990.000000000007</v>
      </c>
      <c r="W198" s="72">
        <f t="shared" si="90"/>
        <v>44200</v>
      </c>
      <c r="X198" s="72">
        <f t="shared" si="90"/>
        <v>46410</v>
      </c>
      <c r="Y198" s="72">
        <f t="shared" si="90"/>
        <v>72327.272727272721</v>
      </c>
      <c r="Z198" s="72">
        <f t="shared" si="90"/>
        <v>50830.000000000007</v>
      </c>
      <c r="AA198" s="72">
        <f t="shared" si="90"/>
        <v>53040.000000000015</v>
      </c>
      <c r="AB198" s="72">
        <f t="shared" si="90"/>
        <v>53040.000000000015</v>
      </c>
      <c r="AC198" s="72">
        <f t="shared" si="90"/>
        <v>53040.000000000015</v>
      </c>
      <c r="AD198" s="72">
        <f t="shared" si="90"/>
        <v>63648.000000000029</v>
      </c>
      <c r="AE198" s="72">
        <f t="shared" si="90"/>
        <v>71551.388684790596</v>
      </c>
      <c r="AF198" s="72">
        <f t="shared" si="90"/>
        <v>54100.800000000017</v>
      </c>
      <c r="AG198" s="72">
        <f t="shared" si="90"/>
        <v>54100.800000000017</v>
      </c>
      <c r="AH198" s="72">
        <f t="shared" si="90"/>
        <v>54100.800000000017</v>
      </c>
      <c r="AI198" s="72">
        <f t="shared" si="90"/>
        <v>54100.800000000017</v>
      </c>
      <c r="AJ198" s="72">
        <f t="shared" si="90"/>
        <v>54100.800000000017</v>
      </c>
      <c r="AK198" s="72">
        <f t="shared" si="90"/>
        <v>69261.337126600309</v>
      </c>
      <c r="AL198" s="72">
        <f t="shared" si="90"/>
        <v>54100.800000000017</v>
      </c>
      <c r="AM198" s="72">
        <f t="shared" si="90"/>
        <v>54100.800000000017</v>
      </c>
      <c r="AN198" s="72">
        <f t="shared" si="90"/>
        <v>54100.800000000017</v>
      </c>
      <c r="AO198" s="72">
        <f t="shared" si="90"/>
        <v>54100.800000000017</v>
      </c>
      <c r="AP198" s="72">
        <f t="shared" si="90"/>
        <v>64920.960000000028</v>
      </c>
      <c r="AQ198" s="72">
        <f t="shared" si="90"/>
        <v>70491.508474576258</v>
      </c>
      <c r="AR198" s="72">
        <f t="shared" si="90"/>
        <v>55453.320000000007</v>
      </c>
      <c r="AS198" s="72">
        <f t="shared" si="90"/>
        <v>55453.320000000007</v>
      </c>
      <c r="AT198" s="72">
        <f t="shared" si="90"/>
        <v>55453.320000000007</v>
      </c>
      <c r="AU198" s="72">
        <f t="shared" si="90"/>
        <v>55453.320000000007</v>
      </c>
      <c r="AV198" s="72">
        <f t="shared" si="90"/>
        <v>55453.320000000007</v>
      </c>
      <c r="AW198" s="72">
        <f t="shared" si="90"/>
        <v>70491.508474576258</v>
      </c>
      <c r="AX198" s="72">
        <f t="shared" si="90"/>
        <v>55453.320000000007</v>
      </c>
      <c r="AY198" s="72">
        <f t="shared" si="90"/>
        <v>55453.320000000007</v>
      </c>
      <c r="AZ198" s="72">
        <f t="shared" si="90"/>
        <v>55453.320000000007</v>
      </c>
      <c r="BA198" s="72">
        <f t="shared" si="90"/>
        <v>55453.320000000007</v>
      </c>
      <c r="BB198" s="72">
        <f t="shared" si="90"/>
        <v>66543.984000000026</v>
      </c>
      <c r="BC198" s="72">
        <f t="shared" si="90"/>
        <v>71901.338644067786</v>
      </c>
      <c r="BD198" s="72">
        <f t="shared" si="90"/>
        <v>56562.386400000003</v>
      </c>
      <c r="BE198" s="72">
        <f t="shared" si="90"/>
        <v>56562.386400000003</v>
      </c>
      <c r="BF198" s="72">
        <f t="shared" si="90"/>
        <v>56562.386400000003</v>
      </c>
      <c r="BG198" s="72">
        <f t="shared" si="90"/>
        <v>56562.386400000003</v>
      </c>
      <c r="BH198" s="72">
        <f t="shared" si="90"/>
        <v>56562.386400000003</v>
      </c>
      <c r="BI198" s="72">
        <f t="shared" si="90"/>
        <v>71901.338644067786</v>
      </c>
      <c r="BJ198" s="72">
        <f t="shared" si="90"/>
        <v>56562.386400000003</v>
      </c>
      <c r="BK198" s="72">
        <f t="shared" si="90"/>
        <v>56562.386400000003</v>
      </c>
      <c r="BL198" s="72">
        <f t="shared" si="90"/>
        <v>56562.386400000003</v>
      </c>
      <c r="BM198" s="72">
        <f t="shared" si="90"/>
        <v>56562.386400000003</v>
      </c>
      <c r="BN198" s="72">
        <f t="shared" si="90"/>
        <v>67874.863680000024</v>
      </c>
    </row>
    <row r="199" spans="2:66" ht="13.8">
      <c r="B199" s="37" t="str">
        <f>CaseData!$B$34</f>
        <v>Zurich</v>
      </c>
      <c r="C199" t="str">
        <f t="shared" si="79"/>
        <v>Women's</v>
      </c>
      <c r="D199" s="84" t="str">
        <f>INDEX(CaseData!$E$10:$E$17,MATCH(B199,CaseData!$C$10:$C$17,0))</f>
        <v>CHF</v>
      </c>
      <c r="E199" s="85"/>
      <c r="G199" s="72">
        <f t="shared" ref="G199:AL204" si="91">G130*G161*(1-G$168)*INDEX(G$171:G$176,MATCH($D199,$B$171:$B$176,0))</f>
        <v>0</v>
      </c>
      <c r="H199" s="72">
        <f t="shared" si="91"/>
        <v>0</v>
      </c>
      <c r="I199" s="72">
        <f t="shared" si="91"/>
        <v>0</v>
      </c>
      <c r="J199" s="72">
        <f t="shared" si="91"/>
        <v>0</v>
      </c>
      <c r="K199" s="72">
        <f t="shared" si="91"/>
        <v>0</v>
      </c>
      <c r="L199" s="72">
        <f t="shared" si="91"/>
        <v>0</v>
      </c>
      <c r="M199" s="72">
        <f t="shared" si="91"/>
        <v>0</v>
      </c>
      <c r="N199" s="72">
        <f t="shared" si="91"/>
        <v>0</v>
      </c>
      <c r="O199" s="72">
        <f t="shared" si="91"/>
        <v>0</v>
      </c>
      <c r="P199" s="72">
        <f t="shared" si="91"/>
        <v>0</v>
      </c>
      <c r="Q199" s="72">
        <f t="shared" si="91"/>
        <v>0</v>
      </c>
      <c r="R199" s="72">
        <f t="shared" si="91"/>
        <v>0</v>
      </c>
      <c r="S199" s="72">
        <f t="shared" si="91"/>
        <v>0</v>
      </c>
      <c r="T199" s="72">
        <f t="shared" si="91"/>
        <v>0</v>
      </c>
      <c r="U199" s="72">
        <f t="shared" si="91"/>
        <v>107624.99999999999</v>
      </c>
      <c r="V199" s="72">
        <f t="shared" si="91"/>
        <v>116593.74999999996</v>
      </c>
      <c r="W199" s="72">
        <f t="shared" si="91"/>
        <v>125562.49999999997</v>
      </c>
      <c r="X199" s="72">
        <f t="shared" si="91"/>
        <v>134531.25</v>
      </c>
      <c r="Y199" s="72">
        <f t="shared" si="91"/>
        <v>215249.99999999997</v>
      </c>
      <c r="Z199" s="72">
        <f t="shared" si="91"/>
        <v>152468.75</v>
      </c>
      <c r="AA199" s="72">
        <f t="shared" si="91"/>
        <v>161437.5</v>
      </c>
      <c r="AB199" s="72">
        <f t="shared" si="91"/>
        <v>170406.24999999997</v>
      </c>
      <c r="AC199" s="72">
        <f t="shared" si="91"/>
        <v>179374.99999999997</v>
      </c>
      <c r="AD199" s="72">
        <f t="shared" si="91"/>
        <v>226012.49999999997</v>
      </c>
      <c r="AE199" s="72">
        <f t="shared" si="91"/>
        <v>297448.59374999994</v>
      </c>
      <c r="AF199" s="72">
        <f t="shared" si="91"/>
        <v>207312.65624999997</v>
      </c>
      <c r="AG199" s="72">
        <f t="shared" si="91"/>
        <v>216326.24999999997</v>
      </c>
      <c r="AH199" s="72">
        <f t="shared" si="91"/>
        <v>216326.24999999997</v>
      </c>
      <c r="AI199" s="72">
        <f t="shared" si="91"/>
        <v>216326.24999999997</v>
      </c>
      <c r="AJ199" s="72">
        <f t="shared" si="91"/>
        <v>216326.24999999997</v>
      </c>
      <c r="AK199" s="72">
        <f t="shared" si="91"/>
        <v>324489.375</v>
      </c>
      <c r="AL199" s="72">
        <f t="shared" si="91"/>
        <v>216326.24999999997</v>
      </c>
      <c r="AM199" s="72">
        <f t="shared" si="90"/>
        <v>216326.24999999997</v>
      </c>
      <c r="AN199" s="72">
        <f t="shared" si="90"/>
        <v>216326.24999999997</v>
      </c>
      <c r="AO199" s="72">
        <f t="shared" si="90"/>
        <v>216326.24999999997</v>
      </c>
      <c r="AP199" s="72">
        <f t="shared" si="90"/>
        <v>259591.5</v>
      </c>
      <c r="AQ199" s="72">
        <f t="shared" si="90"/>
        <v>334224.05624999997</v>
      </c>
      <c r="AR199" s="72">
        <f t="shared" si="90"/>
        <v>222816.03749999998</v>
      </c>
      <c r="AS199" s="72">
        <f t="shared" si="90"/>
        <v>222816.03749999998</v>
      </c>
      <c r="AT199" s="72">
        <f t="shared" si="90"/>
        <v>222816.03749999998</v>
      </c>
      <c r="AU199" s="72">
        <f t="shared" si="90"/>
        <v>222816.03749999998</v>
      </c>
      <c r="AV199" s="72">
        <f t="shared" si="90"/>
        <v>222816.03749999998</v>
      </c>
      <c r="AW199" s="72">
        <f t="shared" si="90"/>
        <v>334224.05624999997</v>
      </c>
      <c r="AX199" s="72">
        <f t="shared" si="90"/>
        <v>222816.03749999998</v>
      </c>
      <c r="AY199" s="72">
        <f t="shared" si="90"/>
        <v>222816.03749999998</v>
      </c>
      <c r="AZ199" s="72">
        <f t="shared" si="90"/>
        <v>222816.03749999998</v>
      </c>
      <c r="BA199" s="72">
        <f t="shared" si="90"/>
        <v>222816.03749999998</v>
      </c>
      <c r="BB199" s="72">
        <f t="shared" si="90"/>
        <v>267379.245</v>
      </c>
      <c r="BC199" s="72">
        <f t="shared" si="90"/>
        <v>339237.41709374991</v>
      </c>
      <c r="BD199" s="72">
        <f t="shared" si="90"/>
        <v>226158.27806249994</v>
      </c>
      <c r="BE199" s="72">
        <f t="shared" si="90"/>
        <v>226158.27806249994</v>
      </c>
      <c r="BF199" s="72">
        <f t="shared" si="90"/>
        <v>226158.27806249994</v>
      </c>
      <c r="BG199" s="72">
        <f t="shared" si="90"/>
        <v>226158.27806249994</v>
      </c>
      <c r="BH199" s="72">
        <f t="shared" si="90"/>
        <v>226158.27806249994</v>
      </c>
      <c r="BI199" s="72">
        <f t="shared" si="90"/>
        <v>339237.41709374991</v>
      </c>
      <c r="BJ199" s="72">
        <f t="shared" si="90"/>
        <v>226158.27806249994</v>
      </c>
      <c r="BK199" s="72">
        <f t="shared" si="90"/>
        <v>226158.27806249994</v>
      </c>
      <c r="BL199" s="72">
        <f t="shared" si="90"/>
        <v>226158.27806249994</v>
      </c>
      <c r="BM199" s="72">
        <f t="shared" si="90"/>
        <v>226158.27806249994</v>
      </c>
      <c r="BN199" s="72">
        <f t="shared" si="90"/>
        <v>271389.93367499998</v>
      </c>
    </row>
    <row r="200" spans="2:66" ht="13.8">
      <c r="B200" s="37" t="str">
        <f t="shared" ref="B200:B201" si="92">B199</f>
        <v>Zurich</v>
      </c>
      <c r="C200" t="str">
        <f t="shared" si="79"/>
        <v>Men's</v>
      </c>
      <c r="D200" s="84" t="str">
        <f>INDEX(CaseData!$E$10:$E$17,MATCH(B200,CaseData!$C$10:$C$17,0))</f>
        <v>CHF</v>
      </c>
      <c r="E200" s="85"/>
      <c r="G200" s="72">
        <f t="shared" si="91"/>
        <v>0</v>
      </c>
      <c r="H200" s="72">
        <f t="shared" si="91"/>
        <v>0</v>
      </c>
      <c r="I200" s="72">
        <f t="shared" si="91"/>
        <v>0</v>
      </c>
      <c r="J200" s="72">
        <f t="shared" si="91"/>
        <v>0</v>
      </c>
      <c r="K200" s="72">
        <f t="shared" si="91"/>
        <v>0</v>
      </c>
      <c r="L200" s="72">
        <f t="shared" si="91"/>
        <v>0</v>
      </c>
      <c r="M200" s="72">
        <f t="shared" si="91"/>
        <v>0</v>
      </c>
      <c r="N200" s="72">
        <f t="shared" si="91"/>
        <v>0</v>
      </c>
      <c r="O200" s="72">
        <f t="shared" si="91"/>
        <v>0</v>
      </c>
      <c r="P200" s="72">
        <f t="shared" si="91"/>
        <v>0</v>
      </c>
      <c r="Q200" s="72">
        <f t="shared" si="91"/>
        <v>0</v>
      </c>
      <c r="R200" s="72">
        <f t="shared" si="91"/>
        <v>0</v>
      </c>
      <c r="S200" s="72">
        <f t="shared" si="91"/>
        <v>0</v>
      </c>
      <c r="T200" s="72">
        <f t="shared" si="91"/>
        <v>0</v>
      </c>
      <c r="U200" s="72">
        <f t="shared" si="91"/>
        <v>52274.999999999993</v>
      </c>
      <c r="V200" s="72">
        <f t="shared" si="91"/>
        <v>56631.249999999978</v>
      </c>
      <c r="W200" s="72">
        <f t="shared" si="91"/>
        <v>60987.499999999985</v>
      </c>
      <c r="X200" s="72">
        <f t="shared" si="91"/>
        <v>65343.749999999993</v>
      </c>
      <c r="Y200" s="72">
        <f t="shared" si="91"/>
        <v>104549.99999999999</v>
      </c>
      <c r="Z200" s="72">
        <f t="shared" si="91"/>
        <v>74056.25</v>
      </c>
      <c r="AA200" s="72">
        <f t="shared" si="91"/>
        <v>78412.5</v>
      </c>
      <c r="AB200" s="72">
        <f t="shared" si="91"/>
        <v>82768.75</v>
      </c>
      <c r="AC200" s="72">
        <f t="shared" si="91"/>
        <v>87125.000000000015</v>
      </c>
      <c r="AD200" s="72">
        <f t="shared" si="91"/>
        <v>109777.49999999999</v>
      </c>
      <c r="AE200" s="72">
        <f t="shared" si="91"/>
        <v>144475.03124999997</v>
      </c>
      <c r="AF200" s="72">
        <f t="shared" si="91"/>
        <v>100694.71874999999</v>
      </c>
      <c r="AG200" s="72">
        <f t="shared" si="91"/>
        <v>105072.74999999999</v>
      </c>
      <c r="AH200" s="72">
        <f t="shared" si="91"/>
        <v>105072.74999999999</v>
      </c>
      <c r="AI200" s="72">
        <f t="shared" si="91"/>
        <v>105072.74999999999</v>
      </c>
      <c r="AJ200" s="72">
        <f t="shared" si="91"/>
        <v>105072.74999999999</v>
      </c>
      <c r="AK200" s="72">
        <f t="shared" si="91"/>
        <v>157609.125</v>
      </c>
      <c r="AL200" s="72">
        <f t="shared" si="91"/>
        <v>105072.74999999999</v>
      </c>
      <c r="AM200" s="72">
        <f t="shared" si="90"/>
        <v>105072.74999999999</v>
      </c>
      <c r="AN200" s="72">
        <f t="shared" si="90"/>
        <v>105072.74999999999</v>
      </c>
      <c r="AO200" s="72">
        <f t="shared" si="90"/>
        <v>105072.74999999999</v>
      </c>
      <c r="AP200" s="72">
        <f t="shared" si="90"/>
        <v>126087.3</v>
      </c>
      <c r="AQ200" s="72">
        <f t="shared" si="90"/>
        <v>162337.39874999999</v>
      </c>
      <c r="AR200" s="72">
        <f t="shared" si="90"/>
        <v>108224.9325</v>
      </c>
      <c r="AS200" s="72">
        <f t="shared" si="90"/>
        <v>108224.9325</v>
      </c>
      <c r="AT200" s="72">
        <f t="shared" si="90"/>
        <v>108224.9325</v>
      </c>
      <c r="AU200" s="72">
        <f t="shared" si="90"/>
        <v>108224.9325</v>
      </c>
      <c r="AV200" s="72">
        <f t="shared" si="90"/>
        <v>108224.9325</v>
      </c>
      <c r="AW200" s="72">
        <f t="shared" si="90"/>
        <v>162337.39874999999</v>
      </c>
      <c r="AX200" s="72">
        <f t="shared" si="90"/>
        <v>108224.9325</v>
      </c>
      <c r="AY200" s="72">
        <f t="shared" si="90"/>
        <v>108224.9325</v>
      </c>
      <c r="AZ200" s="72">
        <f t="shared" si="90"/>
        <v>108224.9325</v>
      </c>
      <c r="BA200" s="72">
        <f t="shared" si="90"/>
        <v>108224.9325</v>
      </c>
      <c r="BB200" s="72">
        <f t="shared" si="90"/>
        <v>129869.91899999999</v>
      </c>
      <c r="BC200" s="72">
        <f t="shared" si="90"/>
        <v>164772.45973124995</v>
      </c>
      <c r="BD200" s="72">
        <f t="shared" si="90"/>
        <v>109848.30648749997</v>
      </c>
      <c r="BE200" s="72">
        <f t="shared" si="90"/>
        <v>109848.30648749997</v>
      </c>
      <c r="BF200" s="72">
        <f t="shared" si="90"/>
        <v>109848.30648749997</v>
      </c>
      <c r="BG200" s="72">
        <f t="shared" si="90"/>
        <v>109848.30648749997</v>
      </c>
      <c r="BH200" s="72">
        <f t="shared" si="90"/>
        <v>109848.30648749997</v>
      </c>
      <c r="BI200" s="72">
        <f t="shared" si="90"/>
        <v>164772.45973124995</v>
      </c>
      <c r="BJ200" s="72">
        <f t="shared" si="90"/>
        <v>109848.30648749997</v>
      </c>
      <c r="BK200" s="72">
        <f t="shared" si="90"/>
        <v>109848.30648749997</v>
      </c>
      <c r="BL200" s="72">
        <f t="shared" si="90"/>
        <v>109848.30648749997</v>
      </c>
      <c r="BM200" s="72">
        <f t="shared" si="90"/>
        <v>109848.30648749997</v>
      </c>
      <c r="BN200" s="72">
        <f t="shared" si="90"/>
        <v>131817.96778499999</v>
      </c>
    </row>
    <row r="201" spans="2:66" ht="13.8">
      <c r="B201" s="37" t="str">
        <f t="shared" si="92"/>
        <v>Zurich</v>
      </c>
      <c r="C201" t="str">
        <f t="shared" si="79"/>
        <v>Accessories</v>
      </c>
      <c r="D201" s="84" t="str">
        <f>INDEX(CaseData!$E$10:$E$17,MATCH(B201,CaseData!$C$10:$C$17,0))</f>
        <v>CHF</v>
      </c>
      <c r="E201" s="85"/>
      <c r="G201" s="72">
        <f t="shared" si="91"/>
        <v>0</v>
      </c>
      <c r="H201" s="72">
        <f t="shared" si="91"/>
        <v>0</v>
      </c>
      <c r="I201" s="72">
        <f t="shared" si="91"/>
        <v>0</v>
      </c>
      <c r="J201" s="72">
        <f t="shared" si="91"/>
        <v>0</v>
      </c>
      <c r="K201" s="72">
        <f t="shared" si="91"/>
        <v>0</v>
      </c>
      <c r="L201" s="72">
        <f t="shared" si="91"/>
        <v>0</v>
      </c>
      <c r="M201" s="72">
        <f t="shared" si="91"/>
        <v>0</v>
      </c>
      <c r="N201" s="72">
        <f t="shared" si="91"/>
        <v>0</v>
      </c>
      <c r="O201" s="72">
        <f t="shared" si="91"/>
        <v>0</v>
      </c>
      <c r="P201" s="72">
        <f t="shared" si="91"/>
        <v>0</v>
      </c>
      <c r="Q201" s="72">
        <f t="shared" si="91"/>
        <v>0</v>
      </c>
      <c r="R201" s="72">
        <f t="shared" si="91"/>
        <v>0</v>
      </c>
      <c r="S201" s="72">
        <f t="shared" si="91"/>
        <v>0</v>
      </c>
      <c r="T201" s="72">
        <f t="shared" si="91"/>
        <v>0</v>
      </c>
      <c r="U201" s="72">
        <f t="shared" si="91"/>
        <v>17296.875</v>
      </c>
      <c r="V201" s="72">
        <f t="shared" si="91"/>
        <v>18738.281249999993</v>
      </c>
      <c r="W201" s="72">
        <f t="shared" si="91"/>
        <v>20179.687499999993</v>
      </c>
      <c r="X201" s="72">
        <f t="shared" si="91"/>
        <v>21621.093749999996</v>
      </c>
      <c r="Y201" s="72">
        <f t="shared" si="91"/>
        <v>34307.851239669413</v>
      </c>
      <c r="Z201" s="72">
        <f t="shared" si="91"/>
        <v>24503.906249999993</v>
      </c>
      <c r="AA201" s="72">
        <f t="shared" si="91"/>
        <v>25945.312499999996</v>
      </c>
      <c r="AB201" s="72">
        <f t="shared" si="91"/>
        <v>27386.71875</v>
      </c>
      <c r="AC201" s="72">
        <f t="shared" si="91"/>
        <v>28828.124999999996</v>
      </c>
      <c r="AD201" s="72">
        <f t="shared" si="91"/>
        <v>36323.4375</v>
      </c>
      <c r="AE201" s="72">
        <f t="shared" si="91"/>
        <v>42149.218175973539</v>
      </c>
      <c r="AF201" s="72">
        <f t="shared" si="91"/>
        <v>33318.10546875</v>
      </c>
      <c r="AG201" s="72">
        <f t="shared" si="91"/>
        <v>34766.71875</v>
      </c>
      <c r="AH201" s="72">
        <f t="shared" si="91"/>
        <v>34766.71875</v>
      </c>
      <c r="AI201" s="72">
        <f t="shared" si="91"/>
        <v>34766.71875</v>
      </c>
      <c r="AJ201" s="72">
        <f t="shared" si="91"/>
        <v>34766.71875</v>
      </c>
      <c r="AK201" s="72">
        <f t="shared" si="91"/>
        <v>44509.312766714065</v>
      </c>
      <c r="AL201" s="72">
        <f t="shared" si="91"/>
        <v>34766.71875</v>
      </c>
      <c r="AM201" s="72">
        <f t="shared" si="90"/>
        <v>34766.71875</v>
      </c>
      <c r="AN201" s="72">
        <f t="shared" si="90"/>
        <v>34766.71875</v>
      </c>
      <c r="AO201" s="72">
        <f t="shared" si="90"/>
        <v>34766.71875</v>
      </c>
      <c r="AP201" s="72">
        <f t="shared" si="90"/>
        <v>41720.062500000007</v>
      </c>
      <c r="AQ201" s="72">
        <f t="shared" si="90"/>
        <v>45520.83090572033</v>
      </c>
      <c r="AR201" s="72">
        <f t="shared" si="90"/>
        <v>35809.720312500001</v>
      </c>
      <c r="AS201" s="72">
        <f t="shared" si="90"/>
        <v>35809.720312500001</v>
      </c>
      <c r="AT201" s="72">
        <f t="shared" si="90"/>
        <v>35809.720312500001</v>
      </c>
      <c r="AU201" s="72">
        <f t="shared" si="90"/>
        <v>35809.720312500001</v>
      </c>
      <c r="AV201" s="72">
        <f t="shared" si="90"/>
        <v>35809.720312500001</v>
      </c>
      <c r="AW201" s="72">
        <f t="shared" si="90"/>
        <v>45520.83090572033</v>
      </c>
      <c r="AX201" s="72">
        <f t="shared" si="90"/>
        <v>35809.720312500001</v>
      </c>
      <c r="AY201" s="72">
        <f t="shared" si="90"/>
        <v>35809.720312500001</v>
      </c>
      <c r="AZ201" s="72">
        <f t="shared" si="90"/>
        <v>35809.720312500001</v>
      </c>
      <c r="BA201" s="72">
        <f t="shared" si="90"/>
        <v>35809.720312500001</v>
      </c>
      <c r="BB201" s="72">
        <f t="shared" si="90"/>
        <v>42971.664375000008</v>
      </c>
      <c r="BC201" s="72">
        <f t="shared" si="90"/>
        <v>46203.643369306126</v>
      </c>
      <c r="BD201" s="72">
        <f t="shared" si="90"/>
        <v>36346.866117187492</v>
      </c>
      <c r="BE201" s="72">
        <f t="shared" si="90"/>
        <v>36346.866117187492</v>
      </c>
      <c r="BF201" s="72">
        <f t="shared" si="90"/>
        <v>36346.866117187492</v>
      </c>
      <c r="BG201" s="72">
        <f t="shared" si="90"/>
        <v>36346.866117187492</v>
      </c>
      <c r="BH201" s="72">
        <f t="shared" si="90"/>
        <v>36346.866117187492</v>
      </c>
      <c r="BI201" s="72">
        <f t="shared" si="90"/>
        <v>46203.643369306126</v>
      </c>
      <c r="BJ201" s="72">
        <f t="shared" si="90"/>
        <v>36346.866117187492</v>
      </c>
      <c r="BK201" s="72">
        <f t="shared" si="90"/>
        <v>36346.866117187492</v>
      </c>
      <c r="BL201" s="72">
        <f t="shared" si="90"/>
        <v>36346.866117187492</v>
      </c>
      <c r="BM201" s="72">
        <f t="shared" si="90"/>
        <v>36346.866117187492</v>
      </c>
      <c r="BN201" s="72">
        <f t="shared" si="90"/>
        <v>43616.239340624998</v>
      </c>
    </row>
    <row r="202" spans="2:66" ht="13.8">
      <c r="B202" s="37" t="str">
        <f>CaseData!$B$35</f>
        <v>Moscow</v>
      </c>
      <c r="C202" t="str">
        <f t="shared" si="79"/>
        <v>Women's</v>
      </c>
      <c r="D202" s="84" t="str">
        <f>INDEX(CaseData!$E$10:$E$17,MATCH(B202,CaseData!$C$10:$C$17,0))</f>
        <v>RUB</v>
      </c>
      <c r="E202" s="85"/>
      <c r="G202" s="72">
        <f t="shared" si="91"/>
        <v>0</v>
      </c>
      <c r="H202" s="72">
        <f t="shared" si="91"/>
        <v>0</v>
      </c>
      <c r="I202" s="72">
        <f t="shared" si="91"/>
        <v>0</v>
      </c>
      <c r="J202" s="72">
        <f t="shared" si="91"/>
        <v>0</v>
      </c>
      <c r="K202" s="72">
        <f t="shared" si="91"/>
        <v>0</v>
      </c>
      <c r="L202" s="72">
        <f t="shared" si="91"/>
        <v>0</v>
      </c>
      <c r="M202" s="72">
        <f t="shared" si="91"/>
        <v>0</v>
      </c>
      <c r="N202" s="72">
        <f t="shared" si="91"/>
        <v>0</v>
      </c>
      <c r="O202" s="72">
        <f t="shared" si="91"/>
        <v>0</v>
      </c>
      <c r="P202" s="72">
        <f t="shared" si="91"/>
        <v>0</v>
      </c>
      <c r="Q202" s="72">
        <f t="shared" si="91"/>
        <v>0</v>
      </c>
      <c r="R202" s="72">
        <f t="shared" si="91"/>
        <v>0</v>
      </c>
      <c r="S202" s="72">
        <f t="shared" si="91"/>
        <v>0</v>
      </c>
      <c r="T202" s="72">
        <f t="shared" si="91"/>
        <v>0</v>
      </c>
      <c r="U202" s="72">
        <f t="shared" si="91"/>
        <v>0</v>
      </c>
      <c r="V202" s="72">
        <f t="shared" si="91"/>
        <v>0</v>
      </c>
      <c r="W202" s="72">
        <f t="shared" si="91"/>
        <v>0</v>
      </c>
      <c r="X202" s="72">
        <f t="shared" si="91"/>
        <v>0</v>
      </c>
      <c r="Y202" s="72">
        <f t="shared" si="91"/>
        <v>0</v>
      </c>
      <c r="Z202" s="72">
        <f t="shared" si="91"/>
        <v>0</v>
      </c>
      <c r="AA202" s="72">
        <f t="shared" si="91"/>
        <v>3055250</v>
      </c>
      <c r="AB202" s="72">
        <f t="shared" si="91"/>
        <v>3309854.1666666656</v>
      </c>
      <c r="AC202" s="72">
        <f t="shared" si="91"/>
        <v>3564458.3333333326</v>
      </c>
      <c r="AD202" s="72">
        <f t="shared" si="91"/>
        <v>4582875</v>
      </c>
      <c r="AE202" s="72">
        <f t="shared" si="91"/>
        <v>6171604.9999999991</v>
      </c>
      <c r="AF202" s="72">
        <f t="shared" si="91"/>
        <v>4371553.541666666</v>
      </c>
      <c r="AG202" s="72">
        <f t="shared" si="91"/>
        <v>4628703.75</v>
      </c>
      <c r="AH202" s="72">
        <f t="shared" si="91"/>
        <v>4885853.958333334</v>
      </c>
      <c r="AI202" s="72">
        <f t="shared" si="91"/>
        <v>5143004.166666667</v>
      </c>
      <c r="AJ202" s="72">
        <f t="shared" si="91"/>
        <v>5400154.375</v>
      </c>
      <c r="AK202" s="72">
        <f t="shared" si="91"/>
        <v>8485956.875</v>
      </c>
      <c r="AL202" s="72">
        <f t="shared" si="91"/>
        <v>5914454.7916666679</v>
      </c>
      <c r="AM202" s="72">
        <f t="shared" si="90"/>
        <v>6171605.0000000019</v>
      </c>
      <c r="AN202" s="72">
        <f t="shared" si="90"/>
        <v>6171605.0000000019</v>
      </c>
      <c r="AO202" s="72">
        <f t="shared" si="90"/>
        <v>6171605.0000000019</v>
      </c>
      <c r="AP202" s="72">
        <f t="shared" si="90"/>
        <v>7405926.0000000019</v>
      </c>
      <c r="AQ202" s="72">
        <f t="shared" si="90"/>
        <v>9396268.6125000007</v>
      </c>
      <c r="AR202" s="72">
        <f t="shared" si="90"/>
        <v>6264179.0750000011</v>
      </c>
      <c r="AS202" s="72">
        <f t="shared" si="90"/>
        <v>6264179.0750000011</v>
      </c>
      <c r="AT202" s="72">
        <f t="shared" si="90"/>
        <v>6264179.0750000011</v>
      </c>
      <c r="AU202" s="72">
        <f t="shared" si="90"/>
        <v>6264179.0750000011</v>
      </c>
      <c r="AV202" s="72">
        <f t="shared" si="90"/>
        <v>6264179.0750000011</v>
      </c>
      <c r="AW202" s="72">
        <f t="shared" si="90"/>
        <v>9396268.6125000007</v>
      </c>
      <c r="AX202" s="72">
        <f t="shared" si="90"/>
        <v>6264179.0750000011</v>
      </c>
      <c r="AY202" s="72">
        <f t="shared" si="90"/>
        <v>6264179.0750000011</v>
      </c>
      <c r="AZ202" s="72">
        <f t="shared" si="90"/>
        <v>6264179.0750000011</v>
      </c>
      <c r="BA202" s="72">
        <f t="shared" si="90"/>
        <v>6264179.0750000011</v>
      </c>
      <c r="BB202" s="72">
        <f t="shared" si="90"/>
        <v>7517014.8900000006</v>
      </c>
      <c r="BC202" s="72">
        <f t="shared" si="90"/>
        <v>9490231.2986250017</v>
      </c>
      <c r="BD202" s="72">
        <f t="shared" si="90"/>
        <v>6326820.8657500017</v>
      </c>
      <c r="BE202" s="72">
        <f t="shared" si="90"/>
        <v>6326820.8657500017</v>
      </c>
      <c r="BF202" s="72">
        <f t="shared" si="90"/>
        <v>6326820.8657500017</v>
      </c>
      <c r="BG202" s="72">
        <f t="shared" si="90"/>
        <v>6326820.8657500017</v>
      </c>
      <c r="BH202" s="72">
        <f t="shared" si="90"/>
        <v>6326820.8657500017</v>
      </c>
      <c r="BI202" s="72">
        <f t="shared" si="90"/>
        <v>9490231.2986250017</v>
      </c>
      <c r="BJ202" s="72">
        <f t="shared" si="90"/>
        <v>6326820.8657500017</v>
      </c>
      <c r="BK202" s="72">
        <f t="shared" si="90"/>
        <v>6326820.8657500017</v>
      </c>
      <c r="BL202" s="72">
        <f t="shared" si="90"/>
        <v>6326820.8657500017</v>
      </c>
      <c r="BM202" s="72">
        <f t="shared" si="90"/>
        <v>6326820.8657500017</v>
      </c>
      <c r="BN202" s="72">
        <f t="shared" si="90"/>
        <v>7592185.0389000019</v>
      </c>
    </row>
    <row r="203" spans="2:66" ht="13.8">
      <c r="B203" s="37" t="str">
        <f t="shared" ref="B203:B204" si="93">B202</f>
        <v>Moscow</v>
      </c>
      <c r="C203" t="str">
        <f t="shared" si="79"/>
        <v>Men's</v>
      </c>
      <c r="D203" s="84" t="str">
        <f>INDEX(CaseData!$E$10:$E$17,MATCH(B203,CaseData!$C$10:$C$17,0))</f>
        <v>RUB</v>
      </c>
      <c r="E203" s="85"/>
      <c r="G203" s="72">
        <f t="shared" si="91"/>
        <v>0</v>
      </c>
      <c r="H203" s="72">
        <f t="shared" si="91"/>
        <v>0</v>
      </c>
      <c r="I203" s="72">
        <f t="shared" si="91"/>
        <v>0</v>
      </c>
      <c r="J203" s="72">
        <f t="shared" si="91"/>
        <v>0</v>
      </c>
      <c r="K203" s="72">
        <f t="shared" si="91"/>
        <v>0</v>
      </c>
      <c r="L203" s="72">
        <f t="shared" si="91"/>
        <v>0</v>
      </c>
      <c r="M203" s="72">
        <f t="shared" si="91"/>
        <v>0</v>
      </c>
      <c r="N203" s="72">
        <f t="shared" si="91"/>
        <v>0</v>
      </c>
      <c r="O203" s="72">
        <f t="shared" si="91"/>
        <v>0</v>
      </c>
      <c r="P203" s="72">
        <f t="shared" si="91"/>
        <v>0</v>
      </c>
      <c r="Q203" s="72">
        <f t="shared" si="91"/>
        <v>0</v>
      </c>
      <c r="R203" s="72">
        <f t="shared" si="91"/>
        <v>0</v>
      </c>
      <c r="S203" s="72">
        <f t="shared" si="91"/>
        <v>0</v>
      </c>
      <c r="T203" s="72">
        <f t="shared" si="91"/>
        <v>0</v>
      </c>
      <c r="U203" s="72">
        <f t="shared" si="91"/>
        <v>0</v>
      </c>
      <c r="V203" s="72">
        <f t="shared" si="91"/>
        <v>0</v>
      </c>
      <c r="W203" s="72">
        <f t="shared" si="91"/>
        <v>0</v>
      </c>
      <c r="X203" s="72">
        <f t="shared" si="91"/>
        <v>0</v>
      </c>
      <c r="Y203" s="72">
        <f t="shared" si="91"/>
        <v>0</v>
      </c>
      <c r="Z203" s="72">
        <f t="shared" si="91"/>
        <v>0</v>
      </c>
      <c r="AA203" s="72">
        <f t="shared" si="91"/>
        <v>2626000</v>
      </c>
      <c r="AB203" s="72">
        <f t="shared" si="91"/>
        <v>2844833.3333333321</v>
      </c>
      <c r="AC203" s="72">
        <f t="shared" si="91"/>
        <v>3063666.6666666665</v>
      </c>
      <c r="AD203" s="72">
        <f t="shared" si="91"/>
        <v>3939000</v>
      </c>
      <c r="AE203" s="72">
        <f t="shared" si="91"/>
        <v>5304519.9999999991</v>
      </c>
      <c r="AF203" s="72">
        <f t="shared" si="91"/>
        <v>3757368.333333333</v>
      </c>
      <c r="AG203" s="72">
        <f t="shared" si="91"/>
        <v>3978390</v>
      </c>
      <c r="AH203" s="72">
        <f t="shared" si="91"/>
        <v>4199411.666666667</v>
      </c>
      <c r="AI203" s="72">
        <f t="shared" si="91"/>
        <v>4420433.333333334</v>
      </c>
      <c r="AJ203" s="72">
        <f t="shared" si="91"/>
        <v>4641455</v>
      </c>
      <c r="AK203" s="72">
        <f t="shared" si="91"/>
        <v>7293715.0000000009</v>
      </c>
      <c r="AL203" s="72">
        <f t="shared" si="91"/>
        <v>5083498.333333334</v>
      </c>
      <c r="AM203" s="72">
        <f t="shared" si="90"/>
        <v>5304520.0000000009</v>
      </c>
      <c r="AN203" s="72">
        <f t="shared" si="90"/>
        <v>5304520.0000000009</v>
      </c>
      <c r="AO203" s="72">
        <f t="shared" si="90"/>
        <v>5304520.0000000009</v>
      </c>
      <c r="AP203" s="72">
        <f t="shared" si="90"/>
        <v>6365424.0000000019</v>
      </c>
      <c r="AQ203" s="72">
        <f t="shared" si="90"/>
        <v>8076131.7000000002</v>
      </c>
      <c r="AR203" s="72">
        <f t="shared" si="90"/>
        <v>5384087.7999999998</v>
      </c>
      <c r="AS203" s="72">
        <f t="shared" si="90"/>
        <v>5384087.7999999998</v>
      </c>
      <c r="AT203" s="72">
        <f t="shared" si="90"/>
        <v>5384087.7999999998</v>
      </c>
      <c r="AU203" s="72">
        <f t="shared" si="90"/>
        <v>5384087.7999999998</v>
      </c>
      <c r="AV203" s="72">
        <f t="shared" si="90"/>
        <v>5384087.7999999998</v>
      </c>
      <c r="AW203" s="72">
        <f t="shared" si="90"/>
        <v>8076131.7000000002</v>
      </c>
      <c r="AX203" s="72">
        <f t="shared" si="90"/>
        <v>5384087.7999999998</v>
      </c>
      <c r="AY203" s="72">
        <f t="shared" si="90"/>
        <v>5384087.7999999998</v>
      </c>
      <c r="AZ203" s="72">
        <f t="shared" si="90"/>
        <v>5384087.7999999998</v>
      </c>
      <c r="BA203" s="72">
        <f t="shared" si="90"/>
        <v>5384087.7999999998</v>
      </c>
      <c r="BB203" s="72">
        <f t="shared" si="90"/>
        <v>6460905.3600000013</v>
      </c>
      <c r="BC203" s="72">
        <f t="shared" si="90"/>
        <v>8156893.0170000009</v>
      </c>
      <c r="BD203" s="72">
        <f t="shared" si="90"/>
        <v>5437928.6780000012</v>
      </c>
      <c r="BE203" s="72">
        <f t="shared" si="90"/>
        <v>5437928.6780000012</v>
      </c>
      <c r="BF203" s="72">
        <f t="shared" si="90"/>
        <v>5437928.6780000012</v>
      </c>
      <c r="BG203" s="72">
        <f t="shared" si="90"/>
        <v>5437928.6780000012</v>
      </c>
      <c r="BH203" s="72">
        <f t="shared" si="90"/>
        <v>5437928.6780000012</v>
      </c>
      <c r="BI203" s="72">
        <f t="shared" si="90"/>
        <v>8156893.0170000009</v>
      </c>
      <c r="BJ203" s="72">
        <f t="shared" si="90"/>
        <v>5437928.6780000012</v>
      </c>
      <c r="BK203" s="72">
        <f t="shared" si="90"/>
        <v>5437928.6780000012</v>
      </c>
      <c r="BL203" s="72">
        <f t="shared" si="90"/>
        <v>5437928.6780000012</v>
      </c>
      <c r="BM203" s="72">
        <f t="shared" si="90"/>
        <v>5437928.6780000012</v>
      </c>
      <c r="BN203" s="72">
        <f t="shared" si="90"/>
        <v>6525514.4136000015</v>
      </c>
    </row>
    <row r="204" spans="2:66" ht="13.8">
      <c r="B204" s="37" t="str">
        <f t="shared" si="93"/>
        <v>Moscow</v>
      </c>
      <c r="C204" t="str">
        <f t="shared" si="79"/>
        <v>Accessories</v>
      </c>
      <c r="D204" s="84" t="str">
        <f>INDEX(CaseData!$E$10:$E$17,MATCH(B204,CaseData!$C$10:$C$17,0))</f>
        <v>RUB</v>
      </c>
      <c r="E204" s="85"/>
      <c r="G204" s="72">
        <f t="shared" si="91"/>
        <v>0</v>
      </c>
      <c r="H204" s="72">
        <f t="shared" si="91"/>
        <v>0</v>
      </c>
      <c r="I204" s="72">
        <f t="shared" si="91"/>
        <v>0</v>
      </c>
      <c r="J204" s="72">
        <f t="shared" si="91"/>
        <v>0</v>
      </c>
      <c r="K204" s="72">
        <f t="shared" si="91"/>
        <v>0</v>
      </c>
      <c r="L204" s="72">
        <f t="shared" si="91"/>
        <v>0</v>
      </c>
      <c r="M204" s="72">
        <f t="shared" si="91"/>
        <v>0</v>
      </c>
      <c r="N204" s="72">
        <f t="shared" si="91"/>
        <v>0</v>
      </c>
      <c r="O204" s="72">
        <f t="shared" si="91"/>
        <v>0</v>
      </c>
      <c r="P204" s="72">
        <f t="shared" si="91"/>
        <v>0</v>
      </c>
      <c r="Q204" s="72">
        <f t="shared" si="91"/>
        <v>0</v>
      </c>
      <c r="R204" s="72">
        <f t="shared" si="91"/>
        <v>0</v>
      </c>
      <c r="S204" s="72">
        <f t="shared" si="91"/>
        <v>0</v>
      </c>
      <c r="T204" s="72">
        <f t="shared" si="91"/>
        <v>0</v>
      </c>
      <c r="U204" s="72">
        <f t="shared" si="91"/>
        <v>0</v>
      </c>
      <c r="V204" s="72">
        <f t="shared" si="91"/>
        <v>0</v>
      </c>
      <c r="W204" s="72">
        <f t="shared" si="91"/>
        <v>0</v>
      </c>
      <c r="X204" s="72">
        <f t="shared" si="91"/>
        <v>0</v>
      </c>
      <c r="Y204" s="72">
        <f t="shared" si="91"/>
        <v>0</v>
      </c>
      <c r="Z204" s="72">
        <f t="shared" si="91"/>
        <v>0</v>
      </c>
      <c r="AA204" s="72">
        <f t="shared" si="91"/>
        <v>757500</v>
      </c>
      <c r="AB204" s="72">
        <f t="shared" si="91"/>
        <v>820624.99999999977</v>
      </c>
      <c r="AC204" s="72">
        <f t="shared" si="91"/>
        <v>883749.99999999988</v>
      </c>
      <c r="AD204" s="72">
        <f t="shared" si="91"/>
        <v>1136250</v>
      </c>
      <c r="AE204" s="72">
        <f t="shared" si="91"/>
        <v>1349140.3379867745</v>
      </c>
      <c r="AF204" s="72">
        <f t="shared" si="91"/>
        <v>1083856.25</v>
      </c>
      <c r="AG204" s="72">
        <f t="shared" si="91"/>
        <v>1147612.5</v>
      </c>
      <c r="AH204" s="72">
        <f t="shared" si="91"/>
        <v>1211368.75</v>
      </c>
      <c r="AI204" s="72">
        <f t="shared" si="91"/>
        <v>1275125.0000000002</v>
      </c>
      <c r="AJ204" s="72">
        <f t="shared" si="91"/>
        <v>1338881.25</v>
      </c>
      <c r="AK204" s="72">
        <f t="shared" si="91"/>
        <v>1795695.234708393</v>
      </c>
      <c r="AL204" s="72">
        <f t="shared" si="91"/>
        <v>1466393.7500000002</v>
      </c>
      <c r="AM204" s="72">
        <f t="shared" si="90"/>
        <v>1530150.0000000005</v>
      </c>
      <c r="AN204" s="72">
        <f t="shared" si="90"/>
        <v>1530150.0000000005</v>
      </c>
      <c r="AO204" s="72">
        <f t="shared" si="90"/>
        <v>1530150.0000000005</v>
      </c>
      <c r="AP204" s="72">
        <f t="shared" si="90"/>
        <v>1836180.0000000005</v>
      </c>
      <c r="AQ204" s="72">
        <f t="shared" si="90"/>
        <v>1974282.5211864407</v>
      </c>
      <c r="AR204" s="72">
        <f t="shared" si="90"/>
        <v>1553102.2500000002</v>
      </c>
      <c r="AS204" s="72">
        <f t="shared" si="90"/>
        <v>1553102.2500000002</v>
      </c>
      <c r="AT204" s="72">
        <f t="shared" si="90"/>
        <v>1553102.2500000002</v>
      </c>
      <c r="AU204" s="72">
        <f t="shared" si="90"/>
        <v>1553102.2500000002</v>
      </c>
      <c r="AV204" s="72">
        <f t="shared" si="90"/>
        <v>1553102.2500000002</v>
      </c>
      <c r="AW204" s="72">
        <f t="shared" si="90"/>
        <v>1974282.5211864407</v>
      </c>
      <c r="AX204" s="72">
        <f t="shared" si="90"/>
        <v>1553102.2500000002</v>
      </c>
      <c r="AY204" s="72">
        <f t="shared" si="90"/>
        <v>1553102.2500000002</v>
      </c>
      <c r="AZ204" s="72">
        <f t="shared" si="90"/>
        <v>1553102.2500000002</v>
      </c>
      <c r="BA204" s="72">
        <f t="shared" si="90"/>
        <v>1553102.2500000002</v>
      </c>
      <c r="BB204" s="72">
        <f t="shared" si="90"/>
        <v>1863722.7000000002</v>
      </c>
      <c r="BC204" s="72">
        <f t="shared" si="90"/>
        <v>1994025.3463983054</v>
      </c>
      <c r="BD204" s="72">
        <f t="shared" si="90"/>
        <v>1568633.2725000004</v>
      </c>
      <c r="BE204" s="72">
        <f t="shared" si="90"/>
        <v>1568633.2725000004</v>
      </c>
      <c r="BF204" s="72">
        <f t="shared" si="90"/>
        <v>1568633.2725000004</v>
      </c>
      <c r="BG204" s="72">
        <f t="shared" si="90"/>
        <v>1568633.2725000004</v>
      </c>
      <c r="BH204" s="72">
        <f t="shared" si="90"/>
        <v>1568633.2725000004</v>
      </c>
      <c r="BI204" s="72">
        <f t="shared" si="90"/>
        <v>1994025.3463983054</v>
      </c>
      <c r="BJ204" s="72">
        <f t="shared" si="90"/>
        <v>1568633.2725000004</v>
      </c>
      <c r="BK204" s="72">
        <f t="shared" si="90"/>
        <v>1568633.2725000004</v>
      </c>
      <c r="BL204" s="72">
        <f t="shared" si="90"/>
        <v>1568633.2725000004</v>
      </c>
      <c r="BM204" s="72">
        <f t="shared" si="90"/>
        <v>1568633.2725000004</v>
      </c>
      <c r="BN204" s="72">
        <f t="shared" si="90"/>
        <v>1882359.9270000004</v>
      </c>
    </row>
    <row r="207" spans="2:66">
      <c r="B207" s="3" t="s">
        <v>74</v>
      </c>
    </row>
    <row r="208" spans="2:66">
      <c r="B208" s="37" t="str">
        <f>CaseData!B75</f>
        <v>EUR</v>
      </c>
      <c r="G208" s="80">
        <f>INDEX(CaseData!$B$74:$G$80,MATCH($B208,CaseData!$B$74:$B$80,0),MATCH(YEAR(G$5),CaseData!$B$74:$G$74,0))</f>
        <v>1</v>
      </c>
      <c r="H208" s="80">
        <f>INDEX(CaseData!$B$74:$G$80,MATCH($B208,CaseData!$B$74:$B$80,0),MATCH(YEAR(H$5),CaseData!$B$74:$G$74,0))</f>
        <v>1</v>
      </c>
      <c r="I208" s="80">
        <f>INDEX(CaseData!$B$74:$G$80,MATCH($B208,CaseData!$B$74:$B$80,0),MATCH(YEAR(I$5),CaseData!$B$74:$G$74,0))</f>
        <v>1</v>
      </c>
      <c r="J208" s="80">
        <f>INDEX(CaseData!$B$74:$G$80,MATCH($B208,CaseData!$B$74:$B$80,0),MATCH(YEAR(J$5),CaseData!$B$74:$G$74,0))</f>
        <v>1</v>
      </c>
      <c r="K208" s="80">
        <f>INDEX(CaseData!$B$74:$G$80,MATCH($B208,CaseData!$B$74:$B$80,0),MATCH(YEAR(K$5),CaseData!$B$74:$G$74,0))</f>
        <v>1</v>
      </c>
      <c r="L208" s="80">
        <f>INDEX(CaseData!$B$74:$G$80,MATCH($B208,CaseData!$B$74:$B$80,0),MATCH(YEAR(L$5),CaseData!$B$74:$G$74,0))</f>
        <v>1</v>
      </c>
      <c r="M208" s="80">
        <f>INDEX(CaseData!$B$74:$G$80,MATCH($B208,CaseData!$B$74:$B$80,0),MATCH(YEAR(M$5),CaseData!$B$74:$G$74,0))</f>
        <v>1</v>
      </c>
      <c r="N208" s="80">
        <f>INDEX(CaseData!$B$74:$G$80,MATCH($B208,CaseData!$B$74:$B$80,0),MATCH(YEAR(N$5),CaseData!$B$74:$G$74,0))</f>
        <v>1</v>
      </c>
      <c r="O208" s="80">
        <f>INDEX(CaseData!$B$74:$G$80,MATCH($B208,CaseData!$B$74:$B$80,0),MATCH(YEAR(O$5),CaseData!$B$74:$G$74,0))</f>
        <v>1</v>
      </c>
      <c r="P208" s="80">
        <f>INDEX(CaseData!$B$74:$G$80,MATCH($B208,CaseData!$B$74:$B$80,0),MATCH(YEAR(P$5),CaseData!$B$74:$G$74,0))</f>
        <v>1</v>
      </c>
      <c r="Q208" s="80">
        <f>INDEX(CaseData!$B$74:$G$80,MATCH($B208,CaseData!$B$74:$B$80,0),MATCH(YEAR(Q$5),CaseData!$B$74:$G$74,0))</f>
        <v>1</v>
      </c>
      <c r="R208" s="80">
        <f>INDEX(CaseData!$B$74:$G$80,MATCH($B208,CaseData!$B$74:$B$80,0),MATCH(YEAR(R$5),CaseData!$B$74:$G$74,0))</f>
        <v>1</v>
      </c>
      <c r="S208" s="80">
        <f>INDEX(CaseData!$B$74:$G$80,MATCH($B208,CaseData!$B$74:$B$80,0),MATCH(YEAR(S$5),CaseData!$B$74:$G$74,0))</f>
        <v>1</v>
      </c>
      <c r="T208" s="80">
        <f>INDEX(CaseData!$B$74:$G$80,MATCH($B208,CaseData!$B$74:$B$80,0),MATCH(YEAR(T$5),CaseData!$B$74:$G$74,0))</f>
        <v>1</v>
      </c>
      <c r="U208" s="80">
        <f>INDEX(CaseData!$B$74:$G$80,MATCH($B208,CaseData!$B$74:$B$80,0),MATCH(YEAR(U$5),CaseData!$B$74:$G$74,0))</f>
        <v>1</v>
      </c>
      <c r="V208" s="80">
        <f>INDEX(CaseData!$B$74:$G$80,MATCH($B208,CaseData!$B$74:$B$80,0),MATCH(YEAR(V$5),CaseData!$B$74:$G$74,0))</f>
        <v>1</v>
      </c>
      <c r="W208" s="80">
        <f>INDEX(CaseData!$B$74:$G$80,MATCH($B208,CaseData!$B$74:$B$80,0),MATCH(YEAR(W$5),CaseData!$B$74:$G$74,0))</f>
        <v>1</v>
      </c>
      <c r="X208" s="80">
        <f>INDEX(CaseData!$B$74:$G$80,MATCH($B208,CaseData!$B$74:$B$80,0),MATCH(YEAR(X$5),CaseData!$B$74:$G$74,0))</f>
        <v>1</v>
      </c>
      <c r="Y208" s="80">
        <f>INDEX(CaseData!$B$74:$G$80,MATCH($B208,CaseData!$B$74:$B$80,0),MATCH(YEAR(Y$5),CaseData!$B$74:$G$74,0))</f>
        <v>1</v>
      </c>
      <c r="Z208" s="80">
        <f>INDEX(CaseData!$B$74:$G$80,MATCH($B208,CaseData!$B$74:$B$80,0),MATCH(YEAR(Z$5),CaseData!$B$74:$G$74,0))</f>
        <v>1</v>
      </c>
      <c r="AA208" s="80">
        <f>INDEX(CaseData!$B$74:$G$80,MATCH($B208,CaseData!$B$74:$B$80,0),MATCH(YEAR(AA$5),CaseData!$B$74:$G$74,0))</f>
        <v>1</v>
      </c>
      <c r="AB208" s="80">
        <f>INDEX(CaseData!$B$74:$G$80,MATCH($B208,CaseData!$B$74:$B$80,0),MATCH(YEAR(AB$5),CaseData!$B$74:$G$74,0))</f>
        <v>1</v>
      </c>
      <c r="AC208" s="80">
        <f>INDEX(CaseData!$B$74:$G$80,MATCH($B208,CaseData!$B$74:$B$80,0),MATCH(YEAR(AC$5),CaseData!$B$74:$G$74,0))</f>
        <v>1</v>
      </c>
      <c r="AD208" s="80">
        <f>INDEX(CaseData!$B$74:$G$80,MATCH($B208,CaseData!$B$74:$B$80,0),MATCH(YEAR(AD$5),CaseData!$B$74:$G$74,0))</f>
        <v>1</v>
      </c>
      <c r="AE208" s="80">
        <f>INDEX(CaseData!$B$74:$G$80,MATCH($B208,CaseData!$B$74:$B$80,0),MATCH(YEAR(AE$5),CaseData!$B$74:$G$74,0))</f>
        <v>1</v>
      </c>
      <c r="AF208" s="80">
        <f>INDEX(CaseData!$B$74:$G$80,MATCH($B208,CaseData!$B$74:$B$80,0),MATCH(YEAR(AF$5),CaseData!$B$74:$G$74,0))</f>
        <v>1</v>
      </c>
      <c r="AG208" s="80">
        <f>INDEX(CaseData!$B$74:$G$80,MATCH($B208,CaseData!$B$74:$B$80,0),MATCH(YEAR(AG$5),CaseData!$B$74:$G$74,0))</f>
        <v>1</v>
      </c>
      <c r="AH208" s="80">
        <f>INDEX(CaseData!$B$74:$G$80,MATCH($B208,CaseData!$B$74:$B$80,0),MATCH(YEAR(AH$5),CaseData!$B$74:$G$74,0))</f>
        <v>1</v>
      </c>
      <c r="AI208" s="80">
        <f>INDEX(CaseData!$B$74:$G$80,MATCH($B208,CaseData!$B$74:$B$80,0),MATCH(YEAR(AI$5),CaseData!$B$74:$G$74,0))</f>
        <v>1</v>
      </c>
      <c r="AJ208" s="80">
        <f>INDEX(CaseData!$B$74:$G$80,MATCH($B208,CaseData!$B$74:$B$80,0),MATCH(YEAR(AJ$5),CaseData!$B$74:$G$74,0))</f>
        <v>1</v>
      </c>
      <c r="AK208" s="80">
        <f>INDEX(CaseData!$B$74:$G$80,MATCH($B208,CaseData!$B$74:$B$80,0),MATCH(YEAR(AK$5),CaseData!$B$74:$G$74,0))</f>
        <v>1</v>
      </c>
      <c r="AL208" s="80">
        <f>INDEX(CaseData!$B$74:$G$80,MATCH($B208,CaseData!$B$74:$B$80,0),MATCH(YEAR(AL$5),CaseData!$B$74:$G$74,0))</f>
        <v>1</v>
      </c>
      <c r="AM208" s="80">
        <f>INDEX(CaseData!$B$74:$G$80,MATCH($B208,CaseData!$B$74:$B$80,0),MATCH(YEAR(AM$5),CaseData!$B$74:$G$74,0))</f>
        <v>1</v>
      </c>
      <c r="AN208" s="80">
        <f>INDEX(CaseData!$B$74:$G$80,MATCH($B208,CaseData!$B$74:$B$80,0),MATCH(YEAR(AN$5),CaseData!$B$74:$G$74,0))</f>
        <v>1</v>
      </c>
      <c r="AO208" s="80">
        <f>INDEX(CaseData!$B$74:$G$80,MATCH($B208,CaseData!$B$74:$B$80,0),MATCH(YEAR(AO$5),CaseData!$B$74:$G$74,0))</f>
        <v>1</v>
      </c>
      <c r="AP208" s="80">
        <f>INDEX(CaseData!$B$74:$G$80,MATCH($B208,CaseData!$B$74:$B$80,0),MATCH(YEAR(AP$5),CaseData!$B$74:$G$74,0))</f>
        <v>1</v>
      </c>
      <c r="AQ208" s="80">
        <f>INDEX(CaseData!$B$74:$G$80,MATCH($B208,CaseData!$B$74:$B$80,0),MATCH(YEAR(AQ$5),CaseData!$B$74:$G$74,0))</f>
        <v>1</v>
      </c>
      <c r="AR208" s="80">
        <f>INDEX(CaseData!$B$74:$G$80,MATCH($B208,CaseData!$B$74:$B$80,0),MATCH(YEAR(AR$5),CaseData!$B$74:$G$74,0))</f>
        <v>1</v>
      </c>
      <c r="AS208" s="80">
        <f>INDEX(CaseData!$B$74:$G$80,MATCH($B208,CaseData!$B$74:$B$80,0),MATCH(YEAR(AS$5),CaseData!$B$74:$G$74,0))</f>
        <v>1</v>
      </c>
      <c r="AT208" s="80">
        <f>INDEX(CaseData!$B$74:$G$80,MATCH($B208,CaseData!$B$74:$B$80,0),MATCH(YEAR(AT$5),CaseData!$B$74:$G$74,0))</f>
        <v>1</v>
      </c>
      <c r="AU208" s="80">
        <f>INDEX(CaseData!$B$74:$G$80,MATCH($B208,CaseData!$B$74:$B$80,0),MATCH(YEAR(AU$5),CaseData!$B$74:$G$74,0))</f>
        <v>1</v>
      </c>
      <c r="AV208" s="80">
        <f>INDEX(CaseData!$B$74:$G$80,MATCH($B208,CaseData!$B$74:$B$80,0),MATCH(YEAR(AV$5),CaseData!$B$74:$G$74,0))</f>
        <v>1</v>
      </c>
      <c r="AW208" s="80">
        <f>INDEX(CaseData!$B$74:$G$80,MATCH($B208,CaseData!$B$74:$B$80,0),MATCH(YEAR(AW$5),CaseData!$B$74:$G$74,0))</f>
        <v>1</v>
      </c>
      <c r="AX208" s="80">
        <f>INDEX(CaseData!$B$74:$G$80,MATCH($B208,CaseData!$B$74:$B$80,0),MATCH(YEAR(AX$5),CaseData!$B$74:$G$74,0))</f>
        <v>1</v>
      </c>
      <c r="AY208" s="80">
        <f>INDEX(CaseData!$B$74:$G$80,MATCH($B208,CaseData!$B$74:$B$80,0),MATCH(YEAR(AY$5),CaseData!$B$74:$G$74,0))</f>
        <v>1</v>
      </c>
      <c r="AZ208" s="80">
        <f>INDEX(CaseData!$B$74:$G$80,MATCH($B208,CaseData!$B$74:$B$80,0),MATCH(YEAR(AZ$5),CaseData!$B$74:$G$74,0))</f>
        <v>1</v>
      </c>
      <c r="BA208" s="80">
        <f>INDEX(CaseData!$B$74:$G$80,MATCH($B208,CaseData!$B$74:$B$80,0),MATCH(YEAR(BA$5),CaseData!$B$74:$G$74,0))</f>
        <v>1</v>
      </c>
      <c r="BB208" s="80">
        <f>INDEX(CaseData!$B$74:$G$80,MATCH($B208,CaseData!$B$74:$B$80,0),MATCH(YEAR(BB$5),CaseData!$B$74:$G$74,0))</f>
        <v>1</v>
      </c>
      <c r="BC208" s="80">
        <f>INDEX(CaseData!$B$74:$G$80,MATCH($B208,CaseData!$B$74:$B$80,0),MATCH(YEAR(BC$5),CaseData!$B$74:$G$74,0))</f>
        <v>1</v>
      </c>
      <c r="BD208" s="80">
        <f>INDEX(CaseData!$B$74:$G$80,MATCH($B208,CaseData!$B$74:$B$80,0),MATCH(YEAR(BD$5),CaseData!$B$74:$G$74,0))</f>
        <v>1</v>
      </c>
      <c r="BE208" s="80">
        <f>INDEX(CaseData!$B$74:$G$80,MATCH($B208,CaseData!$B$74:$B$80,0),MATCH(YEAR(BE$5),CaseData!$B$74:$G$74,0))</f>
        <v>1</v>
      </c>
      <c r="BF208" s="80">
        <f>INDEX(CaseData!$B$74:$G$80,MATCH($B208,CaseData!$B$74:$B$80,0),MATCH(YEAR(BF$5),CaseData!$B$74:$G$74,0))</f>
        <v>1</v>
      </c>
      <c r="BG208" s="80">
        <f>INDEX(CaseData!$B$74:$G$80,MATCH($B208,CaseData!$B$74:$B$80,0),MATCH(YEAR(BG$5),CaseData!$B$74:$G$74,0))</f>
        <v>1</v>
      </c>
      <c r="BH208" s="80">
        <f>INDEX(CaseData!$B$74:$G$80,MATCH($B208,CaseData!$B$74:$B$80,0),MATCH(YEAR(BH$5),CaseData!$B$74:$G$74,0))</f>
        <v>1</v>
      </c>
      <c r="BI208" s="80">
        <f>INDEX(CaseData!$B$74:$G$80,MATCH($B208,CaseData!$B$74:$B$80,0),MATCH(YEAR(BI$5),CaseData!$B$74:$G$74,0))</f>
        <v>1</v>
      </c>
      <c r="BJ208" s="80">
        <f>INDEX(CaseData!$B$74:$G$80,MATCH($B208,CaseData!$B$74:$B$80,0),MATCH(YEAR(BJ$5),CaseData!$B$74:$G$74,0))</f>
        <v>1</v>
      </c>
      <c r="BK208" s="80">
        <f>INDEX(CaseData!$B$74:$G$80,MATCH($B208,CaseData!$B$74:$B$80,0),MATCH(YEAR(BK$5),CaseData!$B$74:$G$74,0))</f>
        <v>1</v>
      </c>
      <c r="BL208" s="80">
        <f>INDEX(CaseData!$B$74:$G$80,MATCH($B208,CaseData!$B$74:$B$80,0),MATCH(YEAR(BL$5),CaseData!$B$74:$G$74,0))</f>
        <v>1</v>
      </c>
      <c r="BM208" s="80">
        <f>INDEX(CaseData!$B$74:$G$80,MATCH($B208,CaseData!$B$74:$B$80,0),MATCH(YEAR(BM$5),CaseData!$B$74:$G$74,0))</f>
        <v>1</v>
      </c>
      <c r="BN208" s="80">
        <f>INDEX(CaseData!$B$74:$G$80,MATCH($B208,CaseData!$B$74:$B$80,0),MATCH(YEAR(BN$5),CaseData!$B$74:$G$74,0))</f>
        <v>1</v>
      </c>
    </row>
    <row r="209" spans="2:72">
      <c r="B209" s="37" t="str">
        <f>CaseData!B76</f>
        <v>GBP</v>
      </c>
      <c r="G209" s="80">
        <f>INDEX(CaseData!$B$74:$G$80,MATCH($B209,CaseData!$B$74:$B$80,0),MATCH(YEAR(G$5),CaseData!$B$74:$G$74,0))</f>
        <v>0.86</v>
      </c>
      <c r="H209" s="80">
        <f>INDEX(CaseData!$B$74:$G$80,MATCH($B209,CaseData!$B$74:$B$80,0),MATCH(YEAR(H$5),CaseData!$B$74:$G$74,0))</f>
        <v>0.86</v>
      </c>
      <c r="I209" s="80">
        <f>INDEX(CaseData!$B$74:$G$80,MATCH($B209,CaseData!$B$74:$B$80,0),MATCH(YEAR(I$5),CaseData!$B$74:$G$74,0))</f>
        <v>0.86</v>
      </c>
      <c r="J209" s="80">
        <f>INDEX(CaseData!$B$74:$G$80,MATCH($B209,CaseData!$B$74:$B$80,0),MATCH(YEAR(J$5),CaseData!$B$74:$G$74,0))</f>
        <v>0.86</v>
      </c>
      <c r="K209" s="80">
        <f>INDEX(CaseData!$B$74:$G$80,MATCH($B209,CaseData!$B$74:$B$80,0),MATCH(YEAR(K$5),CaseData!$B$74:$G$74,0))</f>
        <v>0.86</v>
      </c>
      <c r="L209" s="80">
        <f>INDEX(CaseData!$B$74:$G$80,MATCH($B209,CaseData!$B$74:$B$80,0),MATCH(YEAR(L$5),CaseData!$B$74:$G$74,0))</f>
        <v>0.86</v>
      </c>
      <c r="M209" s="80">
        <f>INDEX(CaseData!$B$74:$G$80,MATCH($B209,CaseData!$B$74:$B$80,0),MATCH(YEAR(M$5),CaseData!$B$74:$G$74,0))</f>
        <v>0.86</v>
      </c>
      <c r="N209" s="80">
        <f>INDEX(CaseData!$B$74:$G$80,MATCH($B209,CaseData!$B$74:$B$80,0),MATCH(YEAR(N$5),CaseData!$B$74:$G$74,0))</f>
        <v>0.86</v>
      </c>
      <c r="O209" s="80">
        <f>INDEX(CaseData!$B$74:$G$80,MATCH($B209,CaseData!$B$74:$B$80,0),MATCH(YEAR(O$5),CaseData!$B$74:$G$74,0))</f>
        <v>0.86</v>
      </c>
      <c r="P209" s="80">
        <f>INDEX(CaseData!$B$74:$G$80,MATCH($B209,CaseData!$B$74:$B$80,0),MATCH(YEAR(P$5),CaseData!$B$74:$G$74,0))</f>
        <v>0.86</v>
      </c>
      <c r="Q209" s="80">
        <f>INDEX(CaseData!$B$74:$G$80,MATCH($B209,CaseData!$B$74:$B$80,0),MATCH(YEAR(Q$5),CaseData!$B$74:$G$74,0))</f>
        <v>0.86</v>
      </c>
      <c r="R209" s="80">
        <f>INDEX(CaseData!$B$74:$G$80,MATCH($B209,CaseData!$B$74:$B$80,0),MATCH(YEAR(R$5),CaseData!$B$74:$G$74,0))</f>
        <v>0.86</v>
      </c>
      <c r="S209" s="80">
        <f>INDEX(CaseData!$B$74:$G$80,MATCH($B209,CaseData!$B$74:$B$80,0),MATCH(YEAR(S$5),CaseData!$B$74:$G$74,0))</f>
        <v>0.87</v>
      </c>
      <c r="T209" s="80">
        <f>INDEX(CaseData!$B$74:$G$80,MATCH($B209,CaseData!$B$74:$B$80,0),MATCH(YEAR(T$5),CaseData!$B$74:$G$74,0))</f>
        <v>0.87</v>
      </c>
      <c r="U209" s="80">
        <f>INDEX(CaseData!$B$74:$G$80,MATCH($B209,CaseData!$B$74:$B$80,0),MATCH(YEAR(U$5),CaseData!$B$74:$G$74,0))</f>
        <v>0.87</v>
      </c>
      <c r="V209" s="80">
        <f>INDEX(CaseData!$B$74:$G$80,MATCH($B209,CaseData!$B$74:$B$80,0),MATCH(YEAR(V$5),CaseData!$B$74:$G$74,0))</f>
        <v>0.87</v>
      </c>
      <c r="W209" s="80">
        <f>INDEX(CaseData!$B$74:$G$80,MATCH($B209,CaseData!$B$74:$B$80,0),MATCH(YEAR(W$5),CaseData!$B$74:$G$74,0))</f>
        <v>0.87</v>
      </c>
      <c r="X209" s="80">
        <f>INDEX(CaseData!$B$74:$G$80,MATCH($B209,CaseData!$B$74:$B$80,0),MATCH(YEAR(X$5),CaseData!$B$74:$G$74,0))</f>
        <v>0.87</v>
      </c>
      <c r="Y209" s="80">
        <f>INDEX(CaseData!$B$74:$G$80,MATCH($B209,CaseData!$B$74:$B$80,0),MATCH(YEAR(Y$5),CaseData!$B$74:$G$74,0))</f>
        <v>0.87</v>
      </c>
      <c r="Z209" s="80">
        <f>INDEX(CaseData!$B$74:$G$80,MATCH($B209,CaseData!$B$74:$B$80,0),MATCH(YEAR(Z$5),CaseData!$B$74:$G$74,0))</f>
        <v>0.87</v>
      </c>
      <c r="AA209" s="80">
        <f>INDEX(CaseData!$B$74:$G$80,MATCH($B209,CaseData!$B$74:$B$80,0),MATCH(YEAR(AA$5),CaseData!$B$74:$G$74,0))</f>
        <v>0.87</v>
      </c>
      <c r="AB209" s="80">
        <f>INDEX(CaseData!$B$74:$G$80,MATCH($B209,CaseData!$B$74:$B$80,0),MATCH(YEAR(AB$5),CaseData!$B$74:$G$74,0))</f>
        <v>0.87</v>
      </c>
      <c r="AC209" s="80">
        <f>INDEX(CaseData!$B$74:$G$80,MATCH($B209,CaseData!$B$74:$B$80,0),MATCH(YEAR(AC$5),CaseData!$B$74:$G$74,0))</f>
        <v>0.87</v>
      </c>
      <c r="AD209" s="80">
        <f>INDEX(CaseData!$B$74:$G$80,MATCH($B209,CaseData!$B$74:$B$80,0),MATCH(YEAR(AD$5),CaseData!$B$74:$G$74,0))</f>
        <v>0.87</v>
      </c>
      <c r="AE209" s="80">
        <f>INDEX(CaseData!$B$74:$G$80,MATCH($B209,CaseData!$B$74:$B$80,0),MATCH(YEAR(AE$5),CaseData!$B$74:$G$74,0))</f>
        <v>0.88</v>
      </c>
      <c r="AF209" s="80">
        <f>INDEX(CaseData!$B$74:$G$80,MATCH($B209,CaseData!$B$74:$B$80,0),MATCH(YEAR(AF$5),CaseData!$B$74:$G$74,0))</f>
        <v>0.88</v>
      </c>
      <c r="AG209" s="80">
        <f>INDEX(CaseData!$B$74:$G$80,MATCH($B209,CaseData!$B$74:$B$80,0),MATCH(YEAR(AG$5),CaseData!$B$74:$G$74,0))</f>
        <v>0.88</v>
      </c>
      <c r="AH209" s="80">
        <f>INDEX(CaseData!$B$74:$G$80,MATCH($B209,CaseData!$B$74:$B$80,0),MATCH(YEAR(AH$5),CaseData!$B$74:$G$74,0))</f>
        <v>0.88</v>
      </c>
      <c r="AI209" s="80">
        <f>INDEX(CaseData!$B$74:$G$80,MATCH($B209,CaseData!$B$74:$B$80,0),MATCH(YEAR(AI$5),CaseData!$B$74:$G$74,0))</f>
        <v>0.88</v>
      </c>
      <c r="AJ209" s="80">
        <f>INDEX(CaseData!$B$74:$G$80,MATCH($B209,CaseData!$B$74:$B$80,0),MATCH(YEAR(AJ$5),CaseData!$B$74:$G$74,0))</f>
        <v>0.88</v>
      </c>
      <c r="AK209" s="80">
        <f>INDEX(CaseData!$B$74:$G$80,MATCH($B209,CaseData!$B$74:$B$80,0),MATCH(YEAR(AK$5),CaseData!$B$74:$G$74,0))</f>
        <v>0.88</v>
      </c>
      <c r="AL209" s="80">
        <f>INDEX(CaseData!$B$74:$G$80,MATCH($B209,CaseData!$B$74:$B$80,0),MATCH(YEAR(AL$5),CaseData!$B$74:$G$74,0))</f>
        <v>0.88</v>
      </c>
      <c r="AM209" s="80">
        <f>INDEX(CaseData!$B$74:$G$80,MATCH($B209,CaseData!$B$74:$B$80,0),MATCH(YEAR(AM$5),CaseData!$B$74:$G$74,0))</f>
        <v>0.88</v>
      </c>
      <c r="AN209" s="80">
        <f>INDEX(CaseData!$B$74:$G$80,MATCH($B209,CaseData!$B$74:$B$80,0),MATCH(YEAR(AN$5),CaseData!$B$74:$G$74,0))</f>
        <v>0.88</v>
      </c>
      <c r="AO209" s="80">
        <f>INDEX(CaseData!$B$74:$G$80,MATCH($B209,CaseData!$B$74:$B$80,0),MATCH(YEAR(AO$5),CaseData!$B$74:$G$74,0))</f>
        <v>0.88</v>
      </c>
      <c r="AP209" s="80">
        <f>INDEX(CaseData!$B$74:$G$80,MATCH($B209,CaseData!$B$74:$B$80,0),MATCH(YEAR(AP$5),CaseData!$B$74:$G$74,0))</f>
        <v>0.88</v>
      </c>
      <c r="AQ209" s="80">
        <f>INDEX(CaseData!$B$74:$G$80,MATCH($B209,CaseData!$B$74:$B$80,0),MATCH(YEAR(AQ$5),CaseData!$B$74:$G$74,0))</f>
        <v>0.89</v>
      </c>
      <c r="AR209" s="80">
        <f>INDEX(CaseData!$B$74:$G$80,MATCH($B209,CaseData!$B$74:$B$80,0),MATCH(YEAR(AR$5),CaseData!$B$74:$G$74,0))</f>
        <v>0.89</v>
      </c>
      <c r="AS209" s="80">
        <f>INDEX(CaseData!$B$74:$G$80,MATCH($B209,CaseData!$B$74:$B$80,0),MATCH(YEAR(AS$5),CaseData!$B$74:$G$74,0))</f>
        <v>0.89</v>
      </c>
      <c r="AT209" s="80">
        <f>INDEX(CaseData!$B$74:$G$80,MATCH($B209,CaseData!$B$74:$B$80,0),MATCH(YEAR(AT$5),CaseData!$B$74:$G$74,0))</f>
        <v>0.89</v>
      </c>
      <c r="AU209" s="80">
        <f>INDEX(CaseData!$B$74:$G$80,MATCH($B209,CaseData!$B$74:$B$80,0),MATCH(YEAR(AU$5),CaseData!$B$74:$G$74,0))</f>
        <v>0.89</v>
      </c>
      <c r="AV209" s="80">
        <f>INDEX(CaseData!$B$74:$G$80,MATCH($B209,CaseData!$B$74:$B$80,0),MATCH(YEAR(AV$5),CaseData!$B$74:$G$74,0))</f>
        <v>0.89</v>
      </c>
      <c r="AW209" s="80">
        <f>INDEX(CaseData!$B$74:$G$80,MATCH($B209,CaseData!$B$74:$B$80,0),MATCH(YEAR(AW$5),CaseData!$B$74:$G$74,0))</f>
        <v>0.89</v>
      </c>
      <c r="AX209" s="80">
        <f>INDEX(CaseData!$B$74:$G$80,MATCH($B209,CaseData!$B$74:$B$80,0),MATCH(YEAR(AX$5),CaseData!$B$74:$G$74,0))</f>
        <v>0.89</v>
      </c>
      <c r="AY209" s="80">
        <f>INDEX(CaseData!$B$74:$G$80,MATCH($B209,CaseData!$B$74:$B$80,0),MATCH(YEAR(AY$5),CaseData!$B$74:$G$74,0))</f>
        <v>0.89</v>
      </c>
      <c r="AZ209" s="80">
        <f>INDEX(CaseData!$B$74:$G$80,MATCH($B209,CaseData!$B$74:$B$80,0),MATCH(YEAR(AZ$5),CaseData!$B$74:$G$74,0))</f>
        <v>0.89</v>
      </c>
      <c r="BA209" s="80">
        <f>INDEX(CaseData!$B$74:$G$80,MATCH($B209,CaseData!$B$74:$B$80,0),MATCH(YEAR(BA$5),CaseData!$B$74:$G$74,0))</f>
        <v>0.89</v>
      </c>
      <c r="BB209" s="80">
        <f>INDEX(CaseData!$B$74:$G$80,MATCH($B209,CaseData!$B$74:$B$80,0),MATCH(YEAR(BB$5),CaseData!$B$74:$G$74,0))</f>
        <v>0.89</v>
      </c>
      <c r="BC209" s="80">
        <f>INDEX(CaseData!$B$74:$G$80,MATCH($B209,CaseData!$B$74:$B$80,0),MATCH(YEAR(BC$5),CaseData!$B$74:$G$74,0))</f>
        <v>0.9</v>
      </c>
      <c r="BD209" s="80">
        <f>INDEX(CaseData!$B$74:$G$80,MATCH($B209,CaseData!$B$74:$B$80,0),MATCH(YEAR(BD$5),CaseData!$B$74:$G$74,0))</f>
        <v>0.9</v>
      </c>
      <c r="BE209" s="80">
        <f>INDEX(CaseData!$B$74:$G$80,MATCH($B209,CaseData!$B$74:$B$80,0),MATCH(YEAR(BE$5),CaseData!$B$74:$G$74,0))</f>
        <v>0.9</v>
      </c>
      <c r="BF209" s="80">
        <f>INDEX(CaseData!$B$74:$G$80,MATCH($B209,CaseData!$B$74:$B$80,0),MATCH(YEAR(BF$5),CaseData!$B$74:$G$74,0))</f>
        <v>0.9</v>
      </c>
      <c r="BG209" s="80">
        <f>INDEX(CaseData!$B$74:$G$80,MATCH($B209,CaseData!$B$74:$B$80,0),MATCH(YEAR(BG$5),CaseData!$B$74:$G$74,0))</f>
        <v>0.9</v>
      </c>
      <c r="BH209" s="80">
        <f>INDEX(CaseData!$B$74:$G$80,MATCH($B209,CaseData!$B$74:$B$80,0),MATCH(YEAR(BH$5),CaseData!$B$74:$G$74,0))</f>
        <v>0.9</v>
      </c>
      <c r="BI209" s="80">
        <f>INDEX(CaseData!$B$74:$G$80,MATCH($B209,CaseData!$B$74:$B$80,0),MATCH(YEAR(BI$5),CaseData!$B$74:$G$74,0))</f>
        <v>0.9</v>
      </c>
      <c r="BJ209" s="80">
        <f>INDEX(CaseData!$B$74:$G$80,MATCH($B209,CaseData!$B$74:$B$80,0),MATCH(YEAR(BJ$5),CaseData!$B$74:$G$74,0))</f>
        <v>0.9</v>
      </c>
      <c r="BK209" s="80">
        <f>INDEX(CaseData!$B$74:$G$80,MATCH($B209,CaseData!$B$74:$B$80,0),MATCH(YEAR(BK$5),CaseData!$B$74:$G$74,0))</f>
        <v>0.9</v>
      </c>
      <c r="BL209" s="80">
        <f>INDEX(CaseData!$B$74:$G$80,MATCH($B209,CaseData!$B$74:$B$80,0),MATCH(YEAR(BL$5),CaseData!$B$74:$G$74,0))</f>
        <v>0.9</v>
      </c>
      <c r="BM209" s="80">
        <f>INDEX(CaseData!$B$74:$G$80,MATCH($B209,CaseData!$B$74:$B$80,0),MATCH(YEAR(BM$5),CaseData!$B$74:$G$74,0))</f>
        <v>0.9</v>
      </c>
      <c r="BN209" s="80">
        <f>INDEX(CaseData!$B$74:$G$80,MATCH($B209,CaseData!$B$74:$B$80,0),MATCH(YEAR(BN$5),CaseData!$B$74:$G$74,0))</f>
        <v>0.9</v>
      </c>
    </row>
    <row r="210" spans="2:72">
      <c r="B210" s="37" t="str">
        <f>CaseData!B77</f>
        <v>USD</v>
      </c>
      <c r="G210" s="80">
        <f>INDEX(CaseData!$B$74:$G$80,MATCH($B210,CaseData!$B$74:$B$80,0),MATCH(YEAR(G$5),CaseData!$B$74:$G$74,0))</f>
        <v>1.1000000000000001</v>
      </c>
      <c r="H210" s="80">
        <f>INDEX(CaseData!$B$74:$G$80,MATCH($B210,CaseData!$B$74:$B$80,0),MATCH(YEAR(H$5),CaseData!$B$74:$G$74,0))</f>
        <v>1.1000000000000001</v>
      </c>
      <c r="I210" s="80">
        <f>INDEX(CaseData!$B$74:$G$80,MATCH($B210,CaseData!$B$74:$B$80,0),MATCH(YEAR(I$5),CaseData!$B$74:$G$74,0))</f>
        <v>1.1000000000000001</v>
      </c>
      <c r="J210" s="80">
        <f>INDEX(CaseData!$B$74:$G$80,MATCH($B210,CaseData!$B$74:$B$80,0),MATCH(YEAR(J$5),CaseData!$B$74:$G$74,0))</f>
        <v>1.1000000000000001</v>
      </c>
      <c r="K210" s="80">
        <f>INDEX(CaseData!$B$74:$G$80,MATCH($B210,CaseData!$B$74:$B$80,0),MATCH(YEAR(K$5),CaseData!$B$74:$G$74,0))</f>
        <v>1.1000000000000001</v>
      </c>
      <c r="L210" s="80">
        <f>INDEX(CaseData!$B$74:$G$80,MATCH($B210,CaseData!$B$74:$B$80,0),MATCH(YEAR(L$5),CaseData!$B$74:$G$74,0))</f>
        <v>1.1000000000000001</v>
      </c>
      <c r="M210" s="80">
        <f>INDEX(CaseData!$B$74:$G$80,MATCH($B210,CaseData!$B$74:$B$80,0),MATCH(YEAR(M$5),CaseData!$B$74:$G$74,0))</f>
        <v>1.1000000000000001</v>
      </c>
      <c r="N210" s="80">
        <f>INDEX(CaseData!$B$74:$G$80,MATCH($B210,CaseData!$B$74:$B$80,0),MATCH(YEAR(N$5),CaseData!$B$74:$G$74,0))</f>
        <v>1.1000000000000001</v>
      </c>
      <c r="O210" s="80">
        <f>INDEX(CaseData!$B$74:$G$80,MATCH($B210,CaseData!$B$74:$B$80,0),MATCH(YEAR(O$5),CaseData!$B$74:$G$74,0))</f>
        <v>1.1000000000000001</v>
      </c>
      <c r="P210" s="80">
        <f>INDEX(CaseData!$B$74:$G$80,MATCH($B210,CaseData!$B$74:$B$80,0),MATCH(YEAR(P$5),CaseData!$B$74:$G$74,0))</f>
        <v>1.1000000000000001</v>
      </c>
      <c r="Q210" s="80">
        <f>INDEX(CaseData!$B$74:$G$80,MATCH($B210,CaseData!$B$74:$B$80,0),MATCH(YEAR(Q$5),CaseData!$B$74:$G$74,0))</f>
        <v>1.1000000000000001</v>
      </c>
      <c r="R210" s="80">
        <f>INDEX(CaseData!$B$74:$G$80,MATCH($B210,CaseData!$B$74:$B$80,0),MATCH(YEAR(R$5),CaseData!$B$74:$G$74,0))</f>
        <v>1.1000000000000001</v>
      </c>
      <c r="S210" s="80">
        <f>INDEX(CaseData!$B$74:$G$80,MATCH($B210,CaseData!$B$74:$B$80,0),MATCH(YEAR(S$5),CaseData!$B$74:$G$74,0))</f>
        <v>1.1100000000000001</v>
      </c>
      <c r="T210" s="80">
        <f>INDEX(CaseData!$B$74:$G$80,MATCH($B210,CaseData!$B$74:$B$80,0),MATCH(YEAR(T$5),CaseData!$B$74:$G$74,0))</f>
        <v>1.1100000000000001</v>
      </c>
      <c r="U210" s="80">
        <f>INDEX(CaseData!$B$74:$G$80,MATCH($B210,CaseData!$B$74:$B$80,0),MATCH(YEAR(U$5),CaseData!$B$74:$G$74,0))</f>
        <v>1.1100000000000001</v>
      </c>
      <c r="V210" s="80">
        <f>INDEX(CaseData!$B$74:$G$80,MATCH($B210,CaseData!$B$74:$B$80,0),MATCH(YEAR(V$5),CaseData!$B$74:$G$74,0))</f>
        <v>1.1100000000000001</v>
      </c>
      <c r="W210" s="80">
        <f>INDEX(CaseData!$B$74:$G$80,MATCH($B210,CaseData!$B$74:$B$80,0),MATCH(YEAR(W$5),CaseData!$B$74:$G$74,0))</f>
        <v>1.1100000000000001</v>
      </c>
      <c r="X210" s="80">
        <f>INDEX(CaseData!$B$74:$G$80,MATCH($B210,CaseData!$B$74:$B$80,0),MATCH(YEAR(X$5),CaseData!$B$74:$G$74,0))</f>
        <v>1.1100000000000001</v>
      </c>
      <c r="Y210" s="80">
        <f>INDEX(CaseData!$B$74:$G$80,MATCH($B210,CaseData!$B$74:$B$80,0),MATCH(YEAR(Y$5),CaseData!$B$74:$G$74,0))</f>
        <v>1.1100000000000001</v>
      </c>
      <c r="Z210" s="80">
        <f>INDEX(CaseData!$B$74:$G$80,MATCH($B210,CaseData!$B$74:$B$80,0),MATCH(YEAR(Z$5),CaseData!$B$74:$G$74,0))</f>
        <v>1.1100000000000001</v>
      </c>
      <c r="AA210" s="80">
        <f>INDEX(CaseData!$B$74:$G$80,MATCH($B210,CaseData!$B$74:$B$80,0),MATCH(YEAR(AA$5),CaseData!$B$74:$G$74,0))</f>
        <v>1.1100000000000001</v>
      </c>
      <c r="AB210" s="80">
        <f>INDEX(CaseData!$B$74:$G$80,MATCH($B210,CaseData!$B$74:$B$80,0),MATCH(YEAR(AB$5),CaseData!$B$74:$G$74,0))</f>
        <v>1.1100000000000001</v>
      </c>
      <c r="AC210" s="80">
        <f>INDEX(CaseData!$B$74:$G$80,MATCH($B210,CaseData!$B$74:$B$80,0),MATCH(YEAR(AC$5),CaseData!$B$74:$G$74,0))</f>
        <v>1.1100000000000001</v>
      </c>
      <c r="AD210" s="80">
        <f>INDEX(CaseData!$B$74:$G$80,MATCH($B210,CaseData!$B$74:$B$80,0),MATCH(YEAR(AD$5),CaseData!$B$74:$G$74,0))</f>
        <v>1.1100000000000001</v>
      </c>
      <c r="AE210" s="80">
        <f>INDEX(CaseData!$B$74:$G$80,MATCH($B210,CaseData!$B$74:$B$80,0),MATCH(YEAR(AE$5),CaseData!$B$74:$G$74,0))</f>
        <v>1.1200000000000001</v>
      </c>
      <c r="AF210" s="80">
        <f>INDEX(CaseData!$B$74:$G$80,MATCH($B210,CaseData!$B$74:$B$80,0),MATCH(YEAR(AF$5),CaseData!$B$74:$G$74,0))</f>
        <v>1.1200000000000001</v>
      </c>
      <c r="AG210" s="80">
        <f>INDEX(CaseData!$B$74:$G$80,MATCH($B210,CaseData!$B$74:$B$80,0),MATCH(YEAR(AG$5),CaseData!$B$74:$G$74,0))</f>
        <v>1.1200000000000001</v>
      </c>
      <c r="AH210" s="80">
        <f>INDEX(CaseData!$B$74:$G$80,MATCH($B210,CaseData!$B$74:$B$80,0),MATCH(YEAR(AH$5),CaseData!$B$74:$G$74,0))</f>
        <v>1.1200000000000001</v>
      </c>
      <c r="AI210" s="80">
        <f>INDEX(CaseData!$B$74:$G$80,MATCH($B210,CaseData!$B$74:$B$80,0),MATCH(YEAR(AI$5),CaseData!$B$74:$G$74,0))</f>
        <v>1.1200000000000001</v>
      </c>
      <c r="AJ210" s="80">
        <f>INDEX(CaseData!$B$74:$G$80,MATCH($B210,CaseData!$B$74:$B$80,0),MATCH(YEAR(AJ$5),CaseData!$B$74:$G$74,0))</f>
        <v>1.1200000000000001</v>
      </c>
      <c r="AK210" s="80">
        <f>INDEX(CaseData!$B$74:$G$80,MATCH($B210,CaseData!$B$74:$B$80,0),MATCH(YEAR(AK$5),CaseData!$B$74:$G$74,0))</f>
        <v>1.1200000000000001</v>
      </c>
      <c r="AL210" s="80">
        <f>INDEX(CaseData!$B$74:$G$80,MATCH($B210,CaseData!$B$74:$B$80,0),MATCH(YEAR(AL$5),CaseData!$B$74:$G$74,0))</f>
        <v>1.1200000000000001</v>
      </c>
      <c r="AM210" s="80">
        <f>INDEX(CaseData!$B$74:$G$80,MATCH($B210,CaseData!$B$74:$B$80,0),MATCH(YEAR(AM$5),CaseData!$B$74:$G$74,0))</f>
        <v>1.1200000000000001</v>
      </c>
      <c r="AN210" s="80">
        <f>INDEX(CaseData!$B$74:$G$80,MATCH($B210,CaseData!$B$74:$B$80,0),MATCH(YEAR(AN$5),CaseData!$B$74:$G$74,0))</f>
        <v>1.1200000000000001</v>
      </c>
      <c r="AO210" s="80">
        <f>INDEX(CaseData!$B$74:$G$80,MATCH($B210,CaseData!$B$74:$B$80,0),MATCH(YEAR(AO$5),CaseData!$B$74:$G$74,0))</f>
        <v>1.1200000000000001</v>
      </c>
      <c r="AP210" s="80">
        <f>INDEX(CaseData!$B$74:$G$80,MATCH($B210,CaseData!$B$74:$B$80,0),MATCH(YEAR(AP$5),CaseData!$B$74:$G$74,0))</f>
        <v>1.1200000000000001</v>
      </c>
      <c r="AQ210" s="80">
        <f>INDEX(CaseData!$B$74:$G$80,MATCH($B210,CaseData!$B$74:$B$80,0),MATCH(YEAR(AQ$5),CaseData!$B$74:$G$74,0))</f>
        <v>1.1299999999999999</v>
      </c>
      <c r="AR210" s="80">
        <f>INDEX(CaseData!$B$74:$G$80,MATCH($B210,CaseData!$B$74:$B$80,0),MATCH(YEAR(AR$5),CaseData!$B$74:$G$74,0))</f>
        <v>1.1299999999999999</v>
      </c>
      <c r="AS210" s="80">
        <f>INDEX(CaseData!$B$74:$G$80,MATCH($B210,CaseData!$B$74:$B$80,0),MATCH(YEAR(AS$5),CaseData!$B$74:$G$74,0))</f>
        <v>1.1299999999999999</v>
      </c>
      <c r="AT210" s="80">
        <f>INDEX(CaseData!$B$74:$G$80,MATCH($B210,CaseData!$B$74:$B$80,0),MATCH(YEAR(AT$5),CaseData!$B$74:$G$74,0))</f>
        <v>1.1299999999999999</v>
      </c>
      <c r="AU210" s="80">
        <f>INDEX(CaseData!$B$74:$G$80,MATCH($B210,CaseData!$B$74:$B$80,0),MATCH(YEAR(AU$5),CaseData!$B$74:$G$74,0))</f>
        <v>1.1299999999999999</v>
      </c>
      <c r="AV210" s="80">
        <f>INDEX(CaseData!$B$74:$G$80,MATCH($B210,CaseData!$B$74:$B$80,0),MATCH(YEAR(AV$5),CaseData!$B$74:$G$74,0))</f>
        <v>1.1299999999999999</v>
      </c>
      <c r="AW210" s="80">
        <f>INDEX(CaseData!$B$74:$G$80,MATCH($B210,CaseData!$B$74:$B$80,0),MATCH(YEAR(AW$5),CaseData!$B$74:$G$74,0))</f>
        <v>1.1299999999999999</v>
      </c>
      <c r="AX210" s="80">
        <f>INDEX(CaseData!$B$74:$G$80,MATCH($B210,CaseData!$B$74:$B$80,0),MATCH(YEAR(AX$5),CaseData!$B$74:$G$74,0))</f>
        <v>1.1299999999999999</v>
      </c>
      <c r="AY210" s="80">
        <f>INDEX(CaseData!$B$74:$G$80,MATCH($B210,CaseData!$B$74:$B$80,0),MATCH(YEAR(AY$5),CaseData!$B$74:$G$74,0))</f>
        <v>1.1299999999999999</v>
      </c>
      <c r="AZ210" s="80">
        <f>INDEX(CaseData!$B$74:$G$80,MATCH($B210,CaseData!$B$74:$B$80,0),MATCH(YEAR(AZ$5),CaseData!$B$74:$G$74,0))</f>
        <v>1.1299999999999999</v>
      </c>
      <c r="BA210" s="80">
        <f>INDEX(CaseData!$B$74:$G$80,MATCH($B210,CaseData!$B$74:$B$80,0),MATCH(YEAR(BA$5),CaseData!$B$74:$G$74,0))</f>
        <v>1.1299999999999999</v>
      </c>
      <c r="BB210" s="80">
        <f>INDEX(CaseData!$B$74:$G$80,MATCH($B210,CaseData!$B$74:$B$80,0),MATCH(YEAR(BB$5),CaseData!$B$74:$G$74,0))</f>
        <v>1.1299999999999999</v>
      </c>
      <c r="BC210" s="80">
        <f>INDEX(CaseData!$B$74:$G$80,MATCH($B210,CaseData!$B$74:$B$80,0),MATCH(YEAR(BC$5),CaseData!$B$74:$G$74,0))</f>
        <v>1.1399999999999999</v>
      </c>
      <c r="BD210" s="80">
        <f>INDEX(CaseData!$B$74:$G$80,MATCH($B210,CaseData!$B$74:$B$80,0),MATCH(YEAR(BD$5),CaseData!$B$74:$G$74,0))</f>
        <v>1.1399999999999999</v>
      </c>
      <c r="BE210" s="80">
        <f>INDEX(CaseData!$B$74:$G$80,MATCH($B210,CaseData!$B$74:$B$80,0),MATCH(YEAR(BE$5),CaseData!$B$74:$G$74,0))</f>
        <v>1.1399999999999999</v>
      </c>
      <c r="BF210" s="80">
        <f>INDEX(CaseData!$B$74:$G$80,MATCH($B210,CaseData!$B$74:$B$80,0),MATCH(YEAR(BF$5),CaseData!$B$74:$G$74,0))</f>
        <v>1.1399999999999999</v>
      </c>
      <c r="BG210" s="80">
        <f>INDEX(CaseData!$B$74:$G$80,MATCH($B210,CaseData!$B$74:$B$80,0),MATCH(YEAR(BG$5),CaseData!$B$74:$G$74,0))</f>
        <v>1.1399999999999999</v>
      </c>
      <c r="BH210" s="80">
        <f>INDEX(CaseData!$B$74:$G$80,MATCH($B210,CaseData!$B$74:$B$80,0),MATCH(YEAR(BH$5),CaseData!$B$74:$G$74,0))</f>
        <v>1.1399999999999999</v>
      </c>
      <c r="BI210" s="80">
        <f>INDEX(CaseData!$B$74:$G$80,MATCH($B210,CaseData!$B$74:$B$80,0),MATCH(YEAR(BI$5),CaseData!$B$74:$G$74,0))</f>
        <v>1.1399999999999999</v>
      </c>
      <c r="BJ210" s="80">
        <f>INDEX(CaseData!$B$74:$G$80,MATCH($B210,CaseData!$B$74:$B$80,0),MATCH(YEAR(BJ$5),CaseData!$B$74:$G$74,0))</f>
        <v>1.1399999999999999</v>
      </c>
      <c r="BK210" s="80">
        <f>INDEX(CaseData!$B$74:$G$80,MATCH($B210,CaseData!$B$74:$B$80,0),MATCH(YEAR(BK$5),CaseData!$B$74:$G$74,0))</f>
        <v>1.1399999999999999</v>
      </c>
      <c r="BL210" s="80">
        <f>INDEX(CaseData!$B$74:$G$80,MATCH($B210,CaseData!$B$74:$B$80,0),MATCH(YEAR(BL$5),CaseData!$B$74:$G$74,0))</f>
        <v>1.1399999999999999</v>
      </c>
      <c r="BM210" s="80">
        <f>INDEX(CaseData!$B$74:$G$80,MATCH($B210,CaseData!$B$74:$B$80,0),MATCH(YEAR(BM$5),CaseData!$B$74:$G$74,0))</f>
        <v>1.1399999999999999</v>
      </c>
      <c r="BN210" s="80">
        <f>INDEX(CaseData!$B$74:$G$80,MATCH($B210,CaseData!$B$74:$B$80,0),MATCH(YEAR(BN$5),CaseData!$B$74:$G$74,0))</f>
        <v>1.1399999999999999</v>
      </c>
    </row>
    <row r="211" spans="2:72">
      <c r="B211" s="37" t="str">
        <f>CaseData!B78</f>
        <v>CAD</v>
      </c>
      <c r="G211" s="80">
        <f>INDEX(CaseData!$B$74:$G$80,MATCH($B211,CaseData!$B$74:$B$80,0),MATCH(YEAR(G$5),CaseData!$B$74:$G$74,0))</f>
        <v>1.49</v>
      </c>
      <c r="H211" s="80">
        <f>INDEX(CaseData!$B$74:$G$80,MATCH($B211,CaseData!$B$74:$B$80,0),MATCH(YEAR(H$5),CaseData!$B$74:$G$74,0))</f>
        <v>1.49</v>
      </c>
      <c r="I211" s="80">
        <f>INDEX(CaseData!$B$74:$G$80,MATCH($B211,CaseData!$B$74:$B$80,0),MATCH(YEAR(I$5),CaseData!$B$74:$G$74,0))</f>
        <v>1.49</v>
      </c>
      <c r="J211" s="80">
        <f>INDEX(CaseData!$B$74:$G$80,MATCH($B211,CaseData!$B$74:$B$80,0),MATCH(YEAR(J$5),CaseData!$B$74:$G$74,0))</f>
        <v>1.49</v>
      </c>
      <c r="K211" s="80">
        <f>INDEX(CaseData!$B$74:$G$80,MATCH($B211,CaseData!$B$74:$B$80,0),MATCH(YEAR(K$5),CaseData!$B$74:$G$74,0))</f>
        <v>1.49</v>
      </c>
      <c r="L211" s="80">
        <f>INDEX(CaseData!$B$74:$G$80,MATCH($B211,CaseData!$B$74:$B$80,0),MATCH(YEAR(L$5),CaseData!$B$74:$G$74,0))</f>
        <v>1.49</v>
      </c>
      <c r="M211" s="80">
        <f>INDEX(CaseData!$B$74:$G$80,MATCH($B211,CaseData!$B$74:$B$80,0),MATCH(YEAR(M$5),CaseData!$B$74:$G$74,0))</f>
        <v>1.49</v>
      </c>
      <c r="N211" s="80">
        <f>INDEX(CaseData!$B$74:$G$80,MATCH($B211,CaseData!$B$74:$B$80,0),MATCH(YEAR(N$5),CaseData!$B$74:$G$74,0))</f>
        <v>1.49</v>
      </c>
      <c r="O211" s="80">
        <f>INDEX(CaseData!$B$74:$G$80,MATCH($B211,CaseData!$B$74:$B$80,0),MATCH(YEAR(O$5),CaseData!$B$74:$G$74,0))</f>
        <v>1.49</v>
      </c>
      <c r="P211" s="80">
        <f>INDEX(CaseData!$B$74:$G$80,MATCH($B211,CaseData!$B$74:$B$80,0),MATCH(YEAR(P$5),CaseData!$B$74:$G$74,0))</f>
        <v>1.49</v>
      </c>
      <c r="Q211" s="80">
        <f>INDEX(CaseData!$B$74:$G$80,MATCH($B211,CaseData!$B$74:$B$80,0),MATCH(YEAR(Q$5),CaseData!$B$74:$G$74,0))</f>
        <v>1.49</v>
      </c>
      <c r="R211" s="80">
        <f>INDEX(CaseData!$B$74:$G$80,MATCH($B211,CaseData!$B$74:$B$80,0),MATCH(YEAR(R$5),CaseData!$B$74:$G$74,0))</f>
        <v>1.49</v>
      </c>
      <c r="S211" s="80">
        <f>INDEX(CaseData!$B$74:$G$80,MATCH($B211,CaseData!$B$74:$B$80,0),MATCH(YEAR(S$5),CaseData!$B$74:$G$74,0))</f>
        <v>1.5</v>
      </c>
      <c r="T211" s="80">
        <f>INDEX(CaseData!$B$74:$G$80,MATCH($B211,CaseData!$B$74:$B$80,0),MATCH(YEAR(T$5),CaseData!$B$74:$G$74,0))</f>
        <v>1.5</v>
      </c>
      <c r="U211" s="80">
        <f>INDEX(CaseData!$B$74:$G$80,MATCH($B211,CaseData!$B$74:$B$80,0),MATCH(YEAR(U$5),CaseData!$B$74:$G$74,0))</f>
        <v>1.5</v>
      </c>
      <c r="V211" s="80">
        <f>INDEX(CaseData!$B$74:$G$80,MATCH($B211,CaseData!$B$74:$B$80,0),MATCH(YEAR(V$5),CaseData!$B$74:$G$74,0))</f>
        <v>1.5</v>
      </c>
      <c r="W211" s="80">
        <f>INDEX(CaseData!$B$74:$G$80,MATCH($B211,CaseData!$B$74:$B$80,0),MATCH(YEAR(W$5),CaseData!$B$74:$G$74,0))</f>
        <v>1.5</v>
      </c>
      <c r="X211" s="80">
        <f>INDEX(CaseData!$B$74:$G$80,MATCH($B211,CaseData!$B$74:$B$80,0),MATCH(YEAR(X$5),CaseData!$B$74:$G$74,0))</f>
        <v>1.5</v>
      </c>
      <c r="Y211" s="80">
        <f>INDEX(CaseData!$B$74:$G$80,MATCH($B211,CaseData!$B$74:$B$80,0),MATCH(YEAR(Y$5),CaseData!$B$74:$G$74,0))</f>
        <v>1.5</v>
      </c>
      <c r="Z211" s="80">
        <f>INDEX(CaseData!$B$74:$G$80,MATCH($B211,CaseData!$B$74:$B$80,0),MATCH(YEAR(Z$5),CaseData!$B$74:$G$74,0))</f>
        <v>1.5</v>
      </c>
      <c r="AA211" s="80">
        <f>INDEX(CaseData!$B$74:$G$80,MATCH($B211,CaseData!$B$74:$B$80,0),MATCH(YEAR(AA$5),CaseData!$B$74:$G$74,0))</f>
        <v>1.5</v>
      </c>
      <c r="AB211" s="80">
        <f>INDEX(CaseData!$B$74:$G$80,MATCH($B211,CaseData!$B$74:$B$80,0),MATCH(YEAR(AB$5),CaseData!$B$74:$G$74,0))</f>
        <v>1.5</v>
      </c>
      <c r="AC211" s="80">
        <f>INDEX(CaseData!$B$74:$G$80,MATCH($B211,CaseData!$B$74:$B$80,0),MATCH(YEAR(AC$5),CaseData!$B$74:$G$74,0))</f>
        <v>1.5</v>
      </c>
      <c r="AD211" s="80">
        <f>INDEX(CaseData!$B$74:$G$80,MATCH($B211,CaseData!$B$74:$B$80,0),MATCH(YEAR(AD$5),CaseData!$B$74:$G$74,0))</f>
        <v>1.5</v>
      </c>
      <c r="AE211" s="80">
        <f>INDEX(CaseData!$B$74:$G$80,MATCH($B211,CaseData!$B$74:$B$80,0),MATCH(YEAR(AE$5),CaseData!$B$74:$G$74,0))</f>
        <v>1.51</v>
      </c>
      <c r="AF211" s="80">
        <f>INDEX(CaseData!$B$74:$G$80,MATCH($B211,CaseData!$B$74:$B$80,0),MATCH(YEAR(AF$5),CaseData!$B$74:$G$74,0))</f>
        <v>1.51</v>
      </c>
      <c r="AG211" s="80">
        <f>INDEX(CaseData!$B$74:$G$80,MATCH($B211,CaseData!$B$74:$B$80,0),MATCH(YEAR(AG$5),CaseData!$B$74:$G$74,0))</f>
        <v>1.51</v>
      </c>
      <c r="AH211" s="80">
        <f>INDEX(CaseData!$B$74:$G$80,MATCH($B211,CaseData!$B$74:$B$80,0),MATCH(YEAR(AH$5),CaseData!$B$74:$G$74,0))</f>
        <v>1.51</v>
      </c>
      <c r="AI211" s="80">
        <f>INDEX(CaseData!$B$74:$G$80,MATCH($B211,CaseData!$B$74:$B$80,0),MATCH(YEAR(AI$5),CaseData!$B$74:$G$74,0))</f>
        <v>1.51</v>
      </c>
      <c r="AJ211" s="80">
        <f>INDEX(CaseData!$B$74:$G$80,MATCH($B211,CaseData!$B$74:$B$80,0),MATCH(YEAR(AJ$5),CaseData!$B$74:$G$74,0))</f>
        <v>1.51</v>
      </c>
      <c r="AK211" s="80">
        <f>INDEX(CaseData!$B$74:$G$80,MATCH($B211,CaseData!$B$74:$B$80,0),MATCH(YEAR(AK$5),CaseData!$B$74:$G$74,0))</f>
        <v>1.51</v>
      </c>
      <c r="AL211" s="80">
        <f>INDEX(CaseData!$B$74:$G$80,MATCH($B211,CaseData!$B$74:$B$80,0),MATCH(YEAR(AL$5),CaseData!$B$74:$G$74,0))</f>
        <v>1.51</v>
      </c>
      <c r="AM211" s="80">
        <f>INDEX(CaseData!$B$74:$G$80,MATCH($B211,CaseData!$B$74:$B$80,0),MATCH(YEAR(AM$5),CaseData!$B$74:$G$74,0))</f>
        <v>1.51</v>
      </c>
      <c r="AN211" s="80">
        <f>INDEX(CaseData!$B$74:$G$80,MATCH($B211,CaseData!$B$74:$B$80,0),MATCH(YEAR(AN$5),CaseData!$B$74:$G$74,0))</f>
        <v>1.51</v>
      </c>
      <c r="AO211" s="80">
        <f>INDEX(CaseData!$B$74:$G$80,MATCH($B211,CaseData!$B$74:$B$80,0),MATCH(YEAR(AO$5),CaseData!$B$74:$G$74,0))</f>
        <v>1.51</v>
      </c>
      <c r="AP211" s="80">
        <f>INDEX(CaseData!$B$74:$G$80,MATCH($B211,CaseData!$B$74:$B$80,0),MATCH(YEAR(AP$5),CaseData!$B$74:$G$74,0))</f>
        <v>1.51</v>
      </c>
      <c r="AQ211" s="80">
        <f>INDEX(CaseData!$B$74:$G$80,MATCH($B211,CaseData!$B$74:$B$80,0),MATCH(YEAR(AQ$5),CaseData!$B$74:$G$74,0))</f>
        <v>1.52</v>
      </c>
      <c r="AR211" s="80">
        <f>INDEX(CaseData!$B$74:$G$80,MATCH($B211,CaseData!$B$74:$B$80,0),MATCH(YEAR(AR$5),CaseData!$B$74:$G$74,0))</f>
        <v>1.52</v>
      </c>
      <c r="AS211" s="80">
        <f>INDEX(CaseData!$B$74:$G$80,MATCH($B211,CaseData!$B$74:$B$80,0),MATCH(YEAR(AS$5),CaseData!$B$74:$G$74,0))</f>
        <v>1.52</v>
      </c>
      <c r="AT211" s="80">
        <f>INDEX(CaseData!$B$74:$G$80,MATCH($B211,CaseData!$B$74:$B$80,0),MATCH(YEAR(AT$5),CaseData!$B$74:$G$74,0))</f>
        <v>1.52</v>
      </c>
      <c r="AU211" s="80">
        <f>INDEX(CaseData!$B$74:$G$80,MATCH($B211,CaseData!$B$74:$B$80,0),MATCH(YEAR(AU$5),CaseData!$B$74:$G$74,0))</f>
        <v>1.52</v>
      </c>
      <c r="AV211" s="80">
        <f>INDEX(CaseData!$B$74:$G$80,MATCH($B211,CaseData!$B$74:$B$80,0),MATCH(YEAR(AV$5),CaseData!$B$74:$G$74,0))</f>
        <v>1.52</v>
      </c>
      <c r="AW211" s="80">
        <f>INDEX(CaseData!$B$74:$G$80,MATCH($B211,CaseData!$B$74:$B$80,0),MATCH(YEAR(AW$5),CaseData!$B$74:$G$74,0))</f>
        <v>1.52</v>
      </c>
      <c r="AX211" s="80">
        <f>INDEX(CaseData!$B$74:$G$80,MATCH($B211,CaseData!$B$74:$B$80,0),MATCH(YEAR(AX$5),CaseData!$B$74:$G$74,0))</f>
        <v>1.52</v>
      </c>
      <c r="AY211" s="80">
        <f>INDEX(CaseData!$B$74:$G$80,MATCH($B211,CaseData!$B$74:$B$80,0),MATCH(YEAR(AY$5),CaseData!$B$74:$G$74,0))</f>
        <v>1.52</v>
      </c>
      <c r="AZ211" s="80">
        <f>INDEX(CaseData!$B$74:$G$80,MATCH($B211,CaseData!$B$74:$B$80,0),MATCH(YEAR(AZ$5),CaseData!$B$74:$G$74,0))</f>
        <v>1.52</v>
      </c>
      <c r="BA211" s="80">
        <f>INDEX(CaseData!$B$74:$G$80,MATCH($B211,CaseData!$B$74:$B$80,0),MATCH(YEAR(BA$5),CaseData!$B$74:$G$74,0))</f>
        <v>1.52</v>
      </c>
      <c r="BB211" s="80">
        <f>INDEX(CaseData!$B$74:$G$80,MATCH($B211,CaseData!$B$74:$B$80,0),MATCH(YEAR(BB$5),CaseData!$B$74:$G$74,0))</f>
        <v>1.52</v>
      </c>
      <c r="BC211" s="80">
        <f>INDEX(CaseData!$B$74:$G$80,MATCH($B211,CaseData!$B$74:$B$80,0),MATCH(YEAR(BC$5),CaseData!$B$74:$G$74,0))</f>
        <v>1.53</v>
      </c>
      <c r="BD211" s="80">
        <f>INDEX(CaseData!$B$74:$G$80,MATCH($B211,CaseData!$B$74:$B$80,0),MATCH(YEAR(BD$5),CaseData!$B$74:$G$74,0))</f>
        <v>1.53</v>
      </c>
      <c r="BE211" s="80">
        <f>INDEX(CaseData!$B$74:$G$80,MATCH($B211,CaseData!$B$74:$B$80,0),MATCH(YEAR(BE$5),CaseData!$B$74:$G$74,0))</f>
        <v>1.53</v>
      </c>
      <c r="BF211" s="80">
        <f>INDEX(CaseData!$B$74:$G$80,MATCH($B211,CaseData!$B$74:$B$80,0),MATCH(YEAR(BF$5),CaseData!$B$74:$G$74,0))</f>
        <v>1.53</v>
      </c>
      <c r="BG211" s="80">
        <f>INDEX(CaseData!$B$74:$G$80,MATCH($B211,CaseData!$B$74:$B$80,0),MATCH(YEAR(BG$5),CaseData!$B$74:$G$74,0))</f>
        <v>1.53</v>
      </c>
      <c r="BH211" s="80">
        <f>INDEX(CaseData!$B$74:$G$80,MATCH($B211,CaseData!$B$74:$B$80,0),MATCH(YEAR(BH$5),CaseData!$B$74:$G$74,0))</f>
        <v>1.53</v>
      </c>
      <c r="BI211" s="80">
        <f>INDEX(CaseData!$B$74:$G$80,MATCH($B211,CaseData!$B$74:$B$80,0),MATCH(YEAR(BI$5),CaseData!$B$74:$G$74,0))</f>
        <v>1.53</v>
      </c>
      <c r="BJ211" s="80">
        <f>INDEX(CaseData!$B$74:$G$80,MATCH($B211,CaseData!$B$74:$B$80,0),MATCH(YEAR(BJ$5),CaseData!$B$74:$G$74,0))</f>
        <v>1.53</v>
      </c>
      <c r="BK211" s="80">
        <f>INDEX(CaseData!$B$74:$G$80,MATCH($B211,CaseData!$B$74:$B$80,0),MATCH(YEAR(BK$5),CaseData!$B$74:$G$74,0))</f>
        <v>1.53</v>
      </c>
      <c r="BL211" s="80">
        <f>INDEX(CaseData!$B$74:$G$80,MATCH($B211,CaseData!$B$74:$B$80,0),MATCH(YEAR(BL$5),CaseData!$B$74:$G$74,0))</f>
        <v>1.53</v>
      </c>
      <c r="BM211" s="80">
        <f>INDEX(CaseData!$B$74:$G$80,MATCH($B211,CaseData!$B$74:$B$80,0),MATCH(YEAR(BM$5),CaseData!$B$74:$G$74,0))</f>
        <v>1.53</v>
      </c>
      <c r="BN211" s="80">
        <f>INDEX(CaseData!$B$74:$G$80,MATCH($B211,CaseData!$B$74:$B$80,0),MATCH(YEAR(BN$5),CaseData!$B$74:$G$74,0))</f>
        <v>1.53</v>
      </c>
    </row>
    <row r="212" spans="2:72">
      <c r="B212" s="37" t="str">
        <f>CaseData!B79</f>
        <v>CHF</v>
      </c>
      <c r="G212" s="80">
        <f>INDEX(CaseData!$B$74:$G$80,MATCH($B212,CaseData!$B$74:$B$80,0),MATCH(YEAR(G$5),CaseData!$B$74:$G$74,0))</f>
        <v>1.06</v>
      </c>
      <c r="H212" s="80">
        <f>INDEX(CaseData!$B$74:$G$80,MATCH($B212,CaseData!$B$74:$B$80,0),MATCH(YEAR(H$5),CaseData!$B$74:$G$74,0))</f>
        <v>1.06</v>
      </c>
      <c r="I212" s="80">
        <f>INDEX(CaseData!$B$74:$G$80,MATCH($B212,CaseData!$B$74:$B$80,0),MATCH(YEAR(I$5),CaseData!$B$74:$G$74,0))</f>
        <v>1.06</v>
      </c>
      <c r="J212" s="80">
        <f>INDEX(CaseData!$B$74:$G$80,MATCH($B212,CaseData!$B$74:$B$80,0),MATCH(YEAR(J$5),CaseData!$B$74:$G$74,0))</f>
        <v>1.06</v>
      </c>
      <c r="K212" s="80">
        <f>INDEX(CaseData!$B$74:$G$80,MATCH($B212,CaseData!$B$74:$B$80,0),MATCH(YEAR(K$5),CaseData!$B$74:$G$74,0))</f>
        <v>1.06</v>
      </c>
      <c r="L212" s="80">
        <f>INDEX(CaseData!$B$74:$G$80,MATCH($B212,CaseData!$B$74:$B$80,0),MATCH(YEAR(L$5),CaseData!$B$74:$G$74,0))</f>
        <v>1.06</v>
      </c>
      <c r="M212" s="80">
        <f>INDEX(CaseData!$B$74:$G$80,MATCH($B212,CaseData!$B$74:$B$80,0),MATCH(YEAR(M$5),CaseData!$B$74:$G$74,0))</f>
        <v>1.06</v>
      </c>
      <c r="N212" s="80">
        <f>INDEX(CaseData!$B$74:$G$80,MATCH($B212,CaseData!$B$74:$B$80,0),MATCH(YEAR(N$5),CaseData!$B$74:$G$74,0))</f>
        <v>1.06</v>
      </c>
      <c r="O212" s="80">
        <f>INDEX(CaseData!$B$74:$G$80,MATCH($B212,CaseData!$B$74:$B$80,0),MATCH(YEAR(O$5),CaseData!$B$74:$G$74,0))</f>
        <v>1.06</v>
      </c>
      <c r="P212" s="80">
        <f>INDEX(CaseData!$B$74:$G$80,MATCH($B212,CaseData!$B$74:$B$80,0),MATCH(YEAR(P$5),CaseData!$B$74:$G$74,0))</f>
        <v>1.06</v>
      </c>
      <c r="Q212" s="80">
        <f>INDEX(CaseData!$B$74:$G$80,MATCH($B212,CaseData!$B$74:$B$80,0),MATCH(YEAR(Q$5),CaseData!$B$74:$G$74,0))</f>
        <v>1.06</v>
      </c>
      <c r="R212" s="80">
        <f>INDEX(CaseData!$B$74:$G$80,MATCH($B212,CaseData!$B$74:$B$80,0),MATCH(YEAR(R$5),CaseData!$B$74:$G$74,0))</f>
        <v>1.06</v>
      </c>
      <c r="S212" s="80">
        <f>INDEX(CaseData!$B$74:$G$80,MATCH($B212,CaseData!$B$74:$B$80,0),MATCH(YEAR(S$5),CaseData!$B$74:$G$74,0))</f>
        <v>1.07</v>
      </c>
      <c r="T212" s="80">
        <f>INDEX(CaseData!$B$74:$G$80,MATCH($B212,CaseData!$B$74:$B$80,0),MATCH(YEAR(T$5),CaseData!$B$74:$G$74,0))</f>
        <v>1.07</v>
      </c>
      <c r="U212" s="80">
        <f>INDEX(CaseData!$B$74:$G$80,MATCH($B212,CaseData!$B$74:$B$80,0),MATCH(YEAR(U$5),CaseData!$B$74:$G$74,0))</f>
        <v>1.07</v>
      </c>
      <c r="V212" s="80">
        <f>INDEX(CaseData!$B$74:$G$80,MATCH($B212,CaseData!$B$74:$B$80,0),MATCH(YEAR(V$5),CaseData!$B$74:$G$74,0))</f>
        <v>1.07</v>
      </c>
      <c r="W212" s="80">
        <f>INDEX(CaseData!$B$74:$G$80,MATCH($B212,CaseData!$B$74:$B$80,0),MATCH(YEAR(W$5),CaseData!$B$74:$G$74,0))</f>
        <v>1.07</v>
      </c>
      <c r="X212" s="80">
        <f>INDEX(CaseData!$B$74:$G$80,MATCH($B212,CaseData!$B$74:$B$80,0),MATCH(YEAR(X$5),CaseData!$B$74:$G$74,0))</f>
        <v>1.07</v>
      </c>
      <c r="Y212" s="80">
        <f>INDEX(CaseData!$B$74:$G$80,MATCH($B212,CaseData!$B$74:$B$80,0),MATCH(YEAR(Y$5),CaseData!$B$74:$G$74,0))</f>
        <v>1.07</v>
      </c>
      <c r="Z212" s="80">
        <f>INDEX(CaseData!$B$74:$G$80,MATCH($B212,CaseData!$B$74:$B$80,0),MATCH(YEAR(Z$5),CaseData!$B$74:$G$74,0))</f>
        <v>1.07</v>
      </c>
      <c r="AA212" s="80">
        <f>INDEX(CaseData!$B$74:$G$80,MATCH($B212,CaseData!$B$74:$B$80,0),MATCH(YEAR(AA$5),CaseData!$B$74:$G$74,0))</f>
        <v>1.07</v>
      </c>
      <c r="AB212" s="80">
        <f>INDEX(CaseData!$B$74:$G$80,MATCH($B212,CaseData!$B$74:$B$80,0),MATCH(YEAR(AB$5),CaseData!$B$74:$G$74,0))</f>
        <v>1.07</v>
      </c>
      <c r="AC212" s="80">
        <f>INDEX(CaseData!$B$74:$G$80,MATCH($B212,CaseData!$B$74:$B$80,0),MATCH(YEAR(AC$5),CaseData!$B$74:$G$74,0))</f>
        <v>1.07</v>
      </c>
      <c r="AD212" s="80">
        <f>INDEX(CaseData!$B$74:$G$80,MATCH($B212,CaseData!$B$74:$B$80,0),MATCH(YEAR(AD$5),CaseData!$B$74:$G$74,0))</f>
        <v>1.07</v>
      </c>
      <c r="AE212" s="80">
        <f>INDEX(CaseData!$B$74:$G$80,MATCH($B212,CaseData!$B$74:$B$80,0),MATCH(YEAR(AE$5),CaseData!$B$74:$G$74,0))</f>
        <v>1.08</v>
      </c>
      <c r="AF212" s="80">
        <f>INDEX(CaseData!$B$74:$G$80,MATCH($B212,CaseData!$B$74:$B$80,0),MATCH(YEAR(AF$5),CaseData!$B$74:$G$74,0))</f>
        <v>1.08</v>
      </c>
      <c r="AG212" s="80">
        <f>INDEX(CaseData!$B$74:$G$80,MATCH($B212,CaseData!$B$74:$B$80,0),MATCH(YEAR(AG$5),CaseData!$B$74:$G$74,0))</f>
        <v>1.08</v>
      </c>
      <c r="AH212" s="80">
        <f>INDEX(CaseData!$B$74:$G$80,MATCH($B212,CaseData!$B$74:$B$80,0),MATCH(YEAR(AH$5),CaseData!$B$74:$G$74,0))</f>
        <v>1.08</v>
      </c>
      <c r="AI212" s="80">
        <f>INDEX(CaseData!$B$74:$G$80,MATCH($B212,CaseData!$B$74:$B$80,0),MATCH(YEAR(AI$5),CaseData!$B$74:$G$74,0))</f>
        <v>1.08</v>
      </c>
      <c r="AJ212" s="80">
        <f>INDEX(CaseData!$B$74:$G$80,MATCH($B212,CaseData!$B$74:$B$80,0),MATCH(YEAR(AJ$5),CaseData!$B$74:$G$74,0))</f>
        <v>1.08</v>
      </c>
      <c r="AK212" s="80">
        <f>INDEX(CaseData!$B$74:$G$80,MATCH($B212,CaseData!$B$74:$B$80,0),MATCH(YEAR(AK$5),CaseData!$B$74:$G$74,0))</f>
        <v>1.08</v>
      </c>
      <c r="AL212" s="80">
        <f>INDEX(CaseData!$B$74:$G$80,MATCH($B212,CaseData!$B$74:$B$80,0),MATCH(YEAR(AL$5),CaseData!$B$74:$G$74,0))</f>
        <v>1.08</v>
      </c>
      <c r="AM212" s="80">
        <f>INDEX(CaseData!$B$74:$G$80,MATCH($B212,CaseData!$B$74:$B$80,0),MATCH(YEAR(AM$5),CaseData!$B$74:$G$74,0))</f>
        <v>1.08</v>
      </c>
      <c r="AN212" s="80">
        <f>INDEX(CaseData!$B$74:$G$80,MATCH($B212,CaseData!$B$74:$B$80,0),MATCH(YEAR(AN$5),CaseData!$B$74:$G$74,0))</f>
        <v>1.08</v>
      </c>
      <c r="AO212" s="80">
        <f>INDEX(CaseData!$B$74:$G$80,MATCH($B212,CaseData!$B$74:$B$80,0),MATCH(YEAR(AO$5),CaseData!$B$74:$G$74,0))</f>
        <v>1.08</v>
      </c>
      <c r="AP212" s="80">
        <f>INDEX(CaseData!$B$74:$G$80,MATCH($B212,CaseData!$B$74:$B$80,0),MATCH(YEAR(AP$5),CaseData!$B$74:$G$74,0))</f>
        <v>1.08</v>
      </c>
      <c r="AQ212" s="80">
        <f>INDEX(CaseData!$B$74:$G$80,MATCH($B212,CaseData!$B$74:$B$80,0),MATCH(YEAR(AQ$5),CaseData!$B$74:$G$74,0))</f>
        <v>1.0900000000000001</v>
      </c>
      <c r="AR212" s="80">
        <f>INDEX(CaseData!$B$74:$G$80,MATCH($B212,CaseData!$B$74:$B$80,0),MATCH(YEAR(AR$5),CaseData!$B$74:$G$74,0))</f>
        <v>1.0900000000000001</v>
      </c>
      <c r="AS212" s="80">
        <f>INDEX(CaseData!$B$74:$G$80,MATCH($B212,CaseData!$B$74:$B$80,0),MATCH(YEAR(AS$5),CaseData!$B$74:$G$74,0))</f>
        <v>1.0900000000000001</v>
      </c>
      <c r="AT212" s="80">
        <f>INDEX(CaseData!$B$74:$G$80,MATCH($B212,CaseData!$B$74:$B$80,0),MATCH(YEAR(AT$5),CaseData!$B$74:$G$74,0))</f>
        <v>1.0900000000000001</v>
      </c>
      <c r="AU212" s="80">
        <f>INDEX(CaseData!$B$74:$G$80,MATCH($B212,CaseData!$B$74:$B$80,0),MATCH(YEAR(AU$5),CaseData!$B$74:$G$74,0))</f>
        <v>1.0900000000000001</v>
      </c>
      <c r="AV212" s="80">
        <f>INDEX(CaseData!$B$74:$G$80,MATCH($B212,CaseData!$B$74:$B$80,0),MATCH(YEAR(AV$5),CaseData!$B$74:$G$74,0))</f>
        <v>1.0900000000000001</v>
      </c>
      <c r="AW212" s="80">
        <f>INDEX(CaseData!$B$74:$G$80,MATCH($B212,CaseData!$B$74:$B$80,0),MATCH(YEAR(AW$5),CaseData!$B$74:$G$74,0))</f>
        <v>1.0900000000000001</v>
      </c>
      <c r="AX212" s="80">
        <f>INDEX(CaseData!$B$74:$G$80,MATCH($B212,CaseData!$B$74:$B$80,0),MATCH(YEAR(AX$5),CaseData!$B$74:$G$74,0))</f>
        <v>1.0900000000000001</v>
      </c>
      <c r="AY212" s="80">
        <f>INDEX(CaseData!$B$74:$G$80,MATCH($B212,CaseData!$B$74:$B$80,0),MATCH(YEAR(AY$5),CaseData!$B$74:$G$74,0))</f>
        <v>1.0900000000000001</v>
      </c>
      <c r="AZ212" s="80">
        <f>INDEX(CaseData!$B$74:$G$80,MATCH($B212,CaseData!$B$74:$B$80,0),MATCH(YEAR(AZ$5),CaseData!$B$74:$G$74,0))</f>
        <v>1.0900000000000001</v>
      </c>
      <c r="BA212" s="80">
        <f>INDEX(CaseData!$B$74:$G$80,MATCH($B212,CaseData!$B$74:$B$80,0),MATCH(YEAR(BA$5),CaseData!$B$74:$G$74,0))</f>
        <v>1.0900000000000001</v>
      </c>
      <c r="BB212" s="80">
        <f>INDEX(CaseData!$B$74:$G$80,MATCH($B212,CaseData!$B$74:$B$80,0),MATCH(YEAR(BB$5),CaseData!$B$74:$G$74,0))</f>
        <v>1.0900000000000001</v>
      </c>
      <c r="BC212" s="80">
        <f>INDEX(CaseData!$B$74:$G$80,MATCH($B212,CaseData!$B$74:$B$80,0),MATCH(YEAR(BC$5),CaseData!$B$74:$G$74,0))</f>
        <v>1.1000000000000001</v>
      </c>
      <c r="BD212" s="80">
        <f>INDEX(CaseData!$B$74:$G$80,MATCH($B212,CaseData!$B$74:$B$80,0),MATCH(YEAR(BD$5),CaseData!$B$74:$G$74,0))</f>
        <v>1.1000000000000001</v>
      </c>
      <c r="BE212" s="80">
        <f>INDEX(CaseData!$B$74:$G$80,MATCH($B212,CaseData!$B$74:$B$80,0),MATCH(YEAR(BE$5),CaseData!$B$74:$G$74,0))</f>
        <v>1.1000000000000001</v>
      </c>
      <c r="BF212" s="80">
        <f>INDEX(CaseData!$B$74:$G$80,MATCH($B212,CaseData!$B$74:$B$80,0),MATCH(YEAR(BF$5),CaseData!$B$74:$G$74,0))</f>
        <v>1.1000000000000001</v>
      </c>
      <c r="BG212" s="80">
        <f>INDEX(CaseData!$B$74:$G$80,MATCH($B212,CaseData!$B$74:$B$80,0),MATCH(YEAR(BG$5),CaseData!$B$74:$G$74,0))</f>
        <v>1.1000000000000001</v>
      </c>
      <c r="BH212" s="80">
        <f>INDEX(CaseData!$B$74:$G$80,MATCH($B212,CaseData!$B$74:$B$80,0),MATCH(YEAR(BH$5),CaseData!$B$74:$G$74,0))</f>
        <v>1.1000000000000001</v>
      </c>
      <c r="BI212" s="80">
        <f>INDEX(CaseData!$B$74:$G$80,MATCH($B212,CaseData!$B$74:$B$80,0),MATCH(YEAR(BI$5),CaseData!$B$74:$G$74,0))</f>
        <v>1.1000000000000001</v>
      </c>
      <c r="BJ212" s="80">
        <f>INDEX(CaseData!$B$74:$G$80,MATCH($B212,CaseData!$B$74:$B$80,0),MATCH(YEAR(BJ$5),CaseData!$B$74:$G$74,0))</f>
        <v>1.1000000000000001</v>
      </c>
      <c r="BK212" s="80">
        <f>INDEX(CaseData!$B$74:$G$80,MATCH($B212,CaseData!$B$74:$B$80,0),MATCH(YEAR(BK$5),CaseData!$B$74:$G$74,0))</f>
        <v>1.1000000000000001</v>
      </c>
      <c r="BL212" s="80">
        <f>INDEX(CaseData!$B$74:$G$80,MATCH($B212,CaseData!$B$74:$B$80,0),MATCH(YEAR(BL$5),CaseData!$B$74:$G$74,0))</f>
        <v>1.1000000000000001</v>
      </c>
      <c r="BM212" s="80">
        <f>INDEX(CaseData!$B$74:$G$80,MATCH($B212,CaseData!$B$74:$B$80,0),MATCH(YEAR(BM$5),CaseData!$B$74:$G$74,0))</f>
        <v>1.1000000000000001</v>
      </c>
      <c r="BN212" s="80">
        <f>INDEX(CaseData!$B$74:$G$80,MATCH($B212,CaseData!$B$74:$B$80,0),MATCH(YEAR(BN$5),CaseData!$B$74:$G$74,0))</f>
        <v>1.1000000000000001</v>
      </c>
    </row>
    <row r="213" spans="2:72">
      <c r="B213" s="37" t="str">
        <f>CaseData!B80</f>
        <v>RUB</v>
      </c>
      <c r="G213" s="80">
        <f>INDEX(CaseData!$B$74:$G$80,MATCH($B213,CaseData!$B$74:$B$80,0),MATCH(YEAR(G$5),CaseData!$B$74:$G$74,0))</f>
        <v>73</v>
      </c>
      <c r="H213" s="80">
        <f>INDEX(CaseData!$B$74:$G$80,MATCH($B213,CaseData!$B$74:$B$80,0),MATCH(YEAR(H$5),CaseData!$B$74:$G$74,0))</f>
        <v>73</v>
      </c>
      <c r="I213" s="80">
        <f>INDEX(CaseData!$B$74:$G$80,MATCH($B213,CaseData!$B$74:$B$80,0),MATCH(YEAR(I$5),CaseData!$B$74:$G$74,0))</f>
        <v>73</v>
      </c>
      <c r="J213" s="80">
        <f>INDEX(CaseData!$B$74:$G$80,MATCH($B213,CaseData!$B$74:$B$80,0),MATCH(YEAR(J$5),CaseData!$B$74:$G$74,0))</f>
        <v>73</v>
      </c>
      <c r="K213" s="80">
        <f>INDEX(CaseData!$B$74:$G$80,MATCH($B213,CaseData!$B$74:$B$80,0),MATCH(YEAR(K$5),CaseData!$B$74:$G$74,0))</f>
        <v>73</v>
      </c>
      <c r="L213" s="80">
        <f>INDEX(CaseData!$B$74:$G$80,MATCH($B213,CaseData!$B$74:$B$80,0),MATCH(YEAR(L$5),CaseData!$B$74:$G$74,0))</f>
        <v>73</v>
      </c>
      <c r="M213" s="80">
        <f>INDEX(CaseData!$B$74:$G$80,MATCH($B213,CaseData!$B$74:$B$80,0),MATCH(YEAR(M$5),CaseData!$B$74:$G$74,0))</f>
        <v>73</v>
      </c>
      <c r="N213" s="80">
        <f>INDEX(CaseData!$B$74:$G$80,MATCH($B213,CaseData!$B$74:$B$80,0),MATCH(YEAR(N$5),CaseData!$B$74:$G$74,0))</f>
        <v>73</v>
      </c>
      <c r="O213" s="80">
        <f>INDEX(CaseData!$B$74:$G$80,MATCH($B213,CaseData!$B$74:$B$80,0),MATCH(YEAR(O$5),CaseData!$B$74:$G$74,0))</f>
        <v>73</v>
      </c>
      <c r="P213" s="80">
        <f>INDEX(CaseData!$B$74:$G$80,MATCH($B213,CaseData!$B$74:$B$80,0),MATCH(YEAR(P$5),CaseData!$B$74:$G$74,0))</f>
        <v>73</v>
      </c>
      <c r="Q213" s="80">
        <f>INDEX(CaseData!$B$74:$G$80,MATCH($B213,CaseData!$B$74:$B$80,0),MATCH(YEAR(Q$5),CaseData!$B$74:$G$74,0))</f>
        <v>73</v>
      </c>
      <c r="R213" s="80">
        <f>INDEX(CaseData!$B$74:$G$80,MATCH($B213,CaseData!$B$74:$B$80,0),MATCH(YEAR(R$5),CaseData!$B$74:$G$74,0))</f>
        <v>73</v>
      </c>
      <c r="S213" s="80">
        <f>INDEX(CaseData!$B$74:$G$80,MATCH($B213,CaseData!$B$74:$B$80,0),MATCH(YEAR(S$5),CaseData!$B$74:$G$74,0))</f>
        <v>74</v>
      </c>
      <c r="T213" s="80">
        <f>INDEX(CaseData!$B$74:$G$80,MATCH($B213,CaseData!$B$74:$B$80,0),MATCH(YEAR(T$5),CaseData!$B$74:$G$74,0))</f>
        <v>74</v>
      </c>
      <c r="U213" s="80">
        <f>INDEX(CaseData!$B$74:$G$80,MATCH($B213,CaseData!$B$74:$B$80,0),MATCH(YEAR(U$5),CaseData!$B$74:$G$74,0))</f>
        <v>74</v>
      </c>
      <c r="V213" s="80">
        <f>INDEX(CaseData!$B$74:$G$80,MATCH($B213,CaseData!$B$74:$B$80,0),MATCH(YEAR(V$5),CaseData!$B$74:$G$74,0))</f>
        <v>74</v>
      </c>
      <c r="W213" s="80">
        <f>INDEX(CaseData!$B$74:$G$80,MATCH($B213,CaseData!$B$74:$B$80,0),MATCH(YEAR(W$5),CaseData!$B$74:$G$74,0))</f>
        <v>74</v>
      </c>
      <c r="X213" s="80">
        <f>INDEX(CaseData!$B$74:$G$80,MATCH($B213,CaseData!$B$74:$B$80,0),MATCH(YEAR(X$5),CaseData!$B$74:$G$74,0))</f>
        <v>74</v>
      </c>
      <c r="Y213" s="80">
        <f>INDEX(CaseData!$B$74:$G$80,MATCH($B213,CaseData!$B$74:$B$80,0),MATCH(YEAR(Y$5),CaseData!$B$74:$G$74,0))</f>
        <v>74</v>
      </c>
      <c r="Z213" s="80">
        <f>INDEX(CaseData!$B$74:$G$80,MATCH($B213,CaseData!$B$74:$B$80,0),MATCH(YEAR(Z$5),CaseData!$B$74:$G$74,0))</f>
        <v>74</v>
      </c>
      <c r="AA213" s="80">
        <f>INDEX(CaseData!$B$74:$G$80,MATCH($B213,CaseData!$B$74:$B$80,0),MATCH(YEAR(AA$5),CaseData!$B$74:$G$74,0))</f>
        <v>74</v>
      </c>
      <c r="AB213" s="80">
        <f>INDEX(CaseData!$B$74:$G$80,MATCH($B213,CaseData!$B$74:$B$80,0),MATCH(YEAR(AB$5),CaseData!$B$74:$G$74,0))</f>
        <v>74</v>
      </c>
      <c r="AC213" s="80">
        <f>INDEX(CaseData!$B$74:$G$80,MATCH($B213,CaseData!$B$74:$B$80,0),MATCH(YEAR(AC$5),CaseData!$B$74:$G$74,0))</f>
        <v>74</v>
      </c>
      <c r="AD213" s="80">
        <f>INDEX(CaseData!$B$74:$G$80,MATCH($B213,CaseData!$B$74:$B$80,0),MATCH(YEAR(AD$5),CaseData!$B$74:$G$74,0))</f>
        <v>74</v>
      </c>
      <c r="AE213" s="80">
        <f>INDEX(CaseData!$B$74:$G$80,MATCH($B213,CaseData!$B$74:$B$80,0),MATCH(YEAR(AE$5),CaseData!$B$74:$G$74,0))</f>
        <v>75</v>
      </c>
      <c r="AF213" s="80">
        <f>INDEX(CaseData!$B$74:$G$80,MATCH($B213,CaseData!$B$74:$B$80,0),MATCH(YEAR(AF$5),CaseData!$B$74:$G$74,0))</f>
        <v>75</v>
      </c>
      <c r="AG213" s="80">
        <f>INDEX(CaseData!$B$74:$G$80,MATCH($B213,CaseData!$B$74:$B$80,0),MATCH(YEAR(AG$5),CaseData!$B$74:$G$74,0))</f>
        <v>75</v>
      </c>
      <c r="AH213" s="80">
        <f>INDEX(CaseData!$B$74:$G$80,MATCH($B213,CaseData!$B$74:$B$80,0),MATCH(YEAR(AH$5),CaseData!$B$74:$G$74,0))</f>
        <v>75</v>
      </c>
      <c r="AI213" s="80">
        <f>INDEX(CaseData!$B$74:$G$80,MATCH($B213,CaseData!$B$74:$B$80,0),MATCH(YEAR(AI$5),CaseData!$B$74:$G$74,0))</f>
        <v>75</v>
      </c>
      <c r="AJ213" s="80">
        <f>INDEX(CaseData!$B$74:$G$80,MATCH($B213,CaseData!$B$74:$B$80,0),MATCH(YEAR(AJ$5),CaseData!$B$74:$G$74,0))</f>
        <v>75</v>
      </c>
      <c r="AK213" s="80">
        <f>INDEX(CaseData!$B$74:$G$80,MATCH($B213,CaseData!$B$74:$B$80,0),MATCH(YEAR(AK$5),CaseData!$B$74:$G$74,0))</f>
        <v>75</v>
      </c>
      <c r="AL213" s="80">
        <f>INDEX(CaseData!$B$74:$G$80,MATCH($B213,CaseData!$B$74:$B$80,0),MATCH(YEAR(AL$5),CaseData!$B$74:$G$74,0))</f>
        <v>75</v>
      </c>
      <c r="AM213" s="80">
        <f>INDEX(CaseData!$B$74:$G$80,MATCH($B213,CaseData!$B$74:$B$80,0),MATCH(YEAR(AM$5),CaseData!$B$74:$G$74,0))</f>
        <v>75</v>
      </c>
      <c r="AN213" s="80">
        <f>INDEX(CaseData!$B$74:$G$80,MATCH($B213,CaseData!$B$74:$B$80,0),MATCH(YEAR(AN$5),CaseData!$B$74:$G$74,0))</f>
        <v>75</v>
      </c>
      <c r="AO213" s="80">
        <f>INDEX(CaseData!$B$74:$G$80,MATCH($B213,CaseData!$B$74:$B$80,0),MATCH(YEAR(AO$5),CaseData!$B$74:$G$74,0))</f>
        <v>75</v>
      </c>
      <c r="AP213" s="80">
        <f>INDEX(CaseData!$B$74:$G$80,MATCH($B213,CaseData!$B$74:$B$80,0),MATCH(YEAR(AP$5),CaseData!$B$74:$G$74,0))</f>
        <v>75</v>
      </c>
      <c r="AQ213" s="80">
        <f>INDEX(CaseData!$B$74:$G$80,MATCH($B213,CaseData!$B$74:$B$80,0),MATCH(YEAR(AQ$5),CaseData!$B$74:$G$74,0))</f>
        <v>76</v>
      </c>
      <c r="AR213" s="80">
        <f>INDEX(CaseData!$B$74:$G$80,MATCH($B213,CaseData!$B$74:$B$80,0),MATCH(YEAR(AR$5),CaseData!$B$74:$G$74,0))</f>
        <v>76</v>
      </c>
      <c r="AS213" s="80">
        <f>INDEX(CaseData!$B$74:$G$80,MATCH($B213,CaseData!$B$74:$B$80,0),MATCH(YEAR(AS$5),CaseData!$B$74:$G$74,0))</f>
        <v>76</v>
      </c>
      <c r="AT213" s="80">
        <f>INDEX(CaseData!$B$74:$G$80,MATCH($B213,CaseData!$B$74:$B$80,0),MATCH(YEAR(AT$5),CaseData!$B$74:$G$74,0))</f>
        <v>76</v>
      </c>
      <c r="AU213" s="80">
        <f>INDEX(CaseData!$B$74:$G$80,MATCH($B213,CaseData!$B$74:$B$80,0),MATCH(YEAR(AU$5),CaseData!$B$74:$G$74,0))</f>
        <v>76</v>
      </c>
      <c r="AV213" s="80">
        <f>INDEX(CaseData!$B$74:$G$80,MATCH($B213,CaseData!$B$74:$B$80,0),MATCH(YEAR(AV$5),CaseData!$B$74:$G$74,0))</f>
        <v>76</v>
      </c>
      <c r="AW213" s="80">
        <f>INDEX(CaseData!$B$74:$G$80,MATCH($B213,CaseData!$B$74:$B$80,0),MATCH(YEAR(AW$5),CaseData!$B$74:$G$74,0))</f>
        <v>76</v>
      </c>
      <c r="AX213" s="80">
        <f>INDEX(CaseData!$B$74:$G$80,MATCH($B213,CaseData!$B$74:$B$80,0),MATCH(YEAR(AX$5),CaseData!$B$74:$G$74,0))</f>
        <v>76</v>
      </c>
      <c r="AY213" s="80">
        <f>INDEX(CaseData!$B$74:$G$80,MATCH($B213,CaseData!$B$74:$B$80,0),MATCH(YEAR(AY$5),CaseData!$B$74:$G$74,0))</f>
        <v>76</v>
      </c>
      <c r="AZ213" s="80">
        <f>INDEX(CaseData!$B$74:$G$80,MATCH($B213,CaseData!$B$74:$B$80,0),MATCH(YEAR(AZ$5),CaseData!$B$74:$G$74,0))</f>
        <v>76</v>
      </c>
      <c r="BA213" s="80">
        <f>INDEX(CaseData!$B$74:$G$80,MATCH($B213,CaseData!$B$74:$B$80,0),MATCH(YEAR(BA$5),CaseData!$B$74:$G$74,0))</f>
        <v>76</v>
      </c>
      <c r="BB213" s="80">
        <f>INDEX(CaseData!$B$74:$G$80,MATCH($B213,CaseData!$B$74:$B$80,0),MATCH(YEAR(BB$5),CaseData!$B$74:$G$74,0))</f>
        <v>76</v>
      </c>
      <c r="BC213" s="80">
        <f>INDEX(CaseData!$B$74:$G$80,MATCH($B213,CaseData!$B$74:$B$80,0),MATCH(YEAR(BC$5),CaseData!$B$74:$G$74,0))</f>
        <v>77</v>
      </c>
      <c r="BD213" s="80">
        <f>INDEX(CaseData!$B$74:$G$80,MATCH($B213,CaseData!$B$74:$B$80,0),MATCH(YEAR(BD$5),CaseData!$B$74:$G$74,0))</f>
        <v>77</v>
      </c>
      <c r="BE213" s="80">
        <f>INDEX(CaseData!$B$74:$G$80,MATCH($B213,CaseData!$B$74:$B$80,0),MATCH(YEAR(BE$5),CaseData!$B$74:$G$74,0))</f>
        <v>77</v>
      </c>
      <c r="BF213" s="80">
        <f>INDEX(CaseData!$B$74:$G$80,MATCH($B213,CaseData!$B$74:$B$80,0),MATCH(YEAR(BF$5),CaseData!$B$74:$G$74,0))</f>
        <v>77</v>
      </c>
      <c r="BG213" s="80">
        <f>INDEX(CaseData!$B$74:$G$80,MATCH($B213,CaseData!$B$74:$B$80,0),MATCH(YEAR(BG$5),CaseData!$B$74:$G$74,0))</f>
        <v>77</v>
      </c>
      <c r="BH213" s="80">
        <f>INDEX(CaseData!$B$74:$G$80,MATCH($B213,CaseData!$B$74:$B$80,0),MATCH(YEAR(BH$5),CaseData!$B$74:$G$74,0))</f>
        <v>77</v>
      </c>
      <c r="BI213" s="80">
        <f>INDEX(CaseData!$B$74:$G$80,MATCH($B213,CaseData!$B$74:$B$80,0),MATCH(YEAR(BI$5),CaseData!$B$74:$G$74,0))</f>
        <v>77</v>
      </c>
      <c r="BJ213" s="80">
        <f>INDEX(CaseData!$B$74:$G$80,MATCH($B213,CaseData!$B$74:$B$80,0),MATCH(YEAR(BJ$5),CaseData!$B$74:$G$74,0))</f>
        <v>77</v>
      </c>
      <c r="BK213" s="80">
        <f>INDEX(CaseData!$B$74:$G$80,MATCH($B213,CaseData!$B$74:$B$80,0),MATCH(YEAR(BK$5),CaseData!$B$74:$G$74,0))</f>
        <v>77</v>
      </c>
      <c r="BL213" s="80">
        <f>INDEX(CaseData!$B$74:$G$80,MATCH($B213,CaseData!$B$74:$B$80,0),MATCH(YEAR(BL$5),CaseData!$B$74:$G$74,0))</f>
        <v>77</v>
      </c>
      <c r="BM213" s="80">
        <f>INDEX(CaseData!$B$74:$G$80,MATCH($B213,CaseData!$B$74:$B$80,0),MATCH(YEAR(BM$5),CaseData!$B$74:$G$74,0))</f>
        <v>77</v>
      </c>
      <c r="BN213" s="80">
        <f>INDEX(CaseData!$B$74:$G$80,MATCH($B213,CaseData!$B$74:$B$80,0),MATCH(YEAR(BN$5),CaseData!$B$74:$G$74,0))</f>
        <v>77</v>
      </c>
    </row>
    <row r="216" spans="2:72">
      <c r="B216" s="3" t="s">
        <v>75</v>
      </c>
    </row>
    <row r="217" spans="2:72">
      <c r="B217" s="3" t="s">
        <v>6</v>
      </c>
      <c r="C217" s="3" t="s">
        <v>61</v>
      </c>
      <c r="D217" s="87" t="s">
        <v>8</v>
      </c>
      <c r="E217" s="87" t="s">
        <v>7</v>
      </c>
      <c r="G217" s="70">
        <f>SUM(G218:G241)</f>
        <v>1003953.488372093</v>
      </c>
      <c r="H217" s="70">
        <f t="shared" ref="H217:BN217" si="94">SUM(H218:H241)</f>
        <v>669302.3255813953</v>
      </c>
      <c r="I217" s="70">
        <f t="shared" si="94"/>
        <v>722029.59830866801</v>
      </c>
      <c r="J217" s="70">
        <f t="shared" si="94"/>
        <v>726423.53770260734</v>
      </c>
      <c r="K217" s="70">
        <f t="shared" si="94"/>
        <v>730817.47709654679</v>
      </c>
      <c r="L217" s="70">
        <f t="shared" si="94"/>
        <v>735211.41649048624</v>
      </c>
      <c r="M217" s="70">
        <f t="shared" si="94"/>
        <v>1109408.0338266382</v>
      </c>
      <c r="N217" s="70">
        <f t="shared" si="94"/>
        <v>743999.29527836503</v>
      </c>
      <c r="O217" s="70">
        <f t="shared" si="94"/>
        <v>839500.61722263985</v>
      </c>
      <c r="P217" s="70">
        <f t="shared" si="94"/>
        <v>851486.83849577396</v>
      </c>
      <c r="Q217" s="70">
        <f t="shared" si="94"/>
        <v>863473.05976890808</v>
      </c>
      <c r="R217" s="70">
        <f t="shared" si="94"/>
        <v>1050551.1372504507</v>
      </c>
      <c r="S217" s="70">
        <f t="shared" si="94"/>
        <v>1344002.3062286426</v>
      </c>
      <c r="T217" s="70">
        <f t="shared" si="94"/>
        <v>908179.02247074642</v>
      </c>
      <c r="U217" s="70">
        <f t="shared" si="94"/>
        <v>1085961.0635304977</v>
      </c>
      <c r="V217" s="70">
        <f t="shared" si="94"/>
        <v>1107453.943203395</v>
      </c>
      <c r="W217" s="70">
        <f t="shared" si="94"/>
        <v>1128946.8228762923</v>
      </c>
      <c r="X217" s="70">
        <f t="shared" si="94"/>
        <v>1150439.7025491896</v>
      </c>
      <c r="Y217" s="70">
        <f t="shared" si="94"/>
        <v>1755995.5178643938</v>
      </c>
      <c r="Z217" s="70">
        <f t="shared" si="94"/>
        <v>1193425.4618949839</v>
      </c>
      <c r="AA217" s="70">
        <f t="shared" si="94"/>
        <v>1301928.4767030161</v>
      </c>
      <c r="AB217" s="70">
        <f t="shared" si="94"/>
        <v>1322979.7009705079</v>
      </c>
      <c r="AC217" s="70">
        <f t="shared" si="94"/>
        <v>1344030.9252379998</v>
      </c>
      <c r="AD217" s="70">
        <f t="shared" si="94"/>
        <v>1638098.57940659</v>
      </c>
      <c r="AE217" s="70">
        <f t="shared" si="94"/>
        <v>2054153.6436682644</v>
      </c>
      <c r="AF217" s="70">
        <f t="shared" si="94"/>
        <v>1411576.4463549207</v>
      </c>
      <c r="AG217" s="70">
        <f t="shared" si="94"/>
        <v>1432543.1160597815</v>
      </c>
      <c r="AH217" s="70">
        <f t="shared" si="94"/>
        <v>1439768.8243931148</v>
      </c>
      <c r="AI217" s="70">
        <f t="shared" si="94"/>
        <v>1446994.5327264483</v>
      </c>
      <c r="AJ217" s="70">
        <f t="shared" si="94"/>
        <v>1454220.2410597815</v>
      </c>
      <c r="AK217" s="70">
        <f t="shared" si="94"/>
        <v>2151120.7419568868</v>
      </c>
      <c r="AL217" s="70">
        <f t="shared" si="94"/>
        <v>1468671.6577264483</v>
      </c>
      <c r="AM217" s="70">
        <f t="shared" si="94"/>
        <v>1475897.3660597815</v>
      </c>
      <c r="AN217" s="70">
        <f t="shared" si="94"/>
        <v>1475897.3660597815</v>
      </c>
      <c r="AO217" s="70">
        <f t="shared" si="94"/>
        <v>1475897.3660597815</v>
      </c>
      <c r="AP217" s="70">
        <f t="shared" si="94"/>
        <v>1771076.839271738</v>
      </c>
      <c r="AQ217" s="70">
        <f t="shared" si="94"/>
        <v>2197355.4248127313</v>
      </c>
      <c r="AR217" s="70">
        <f t="shared" si="94"/>
        <v>1494010.4174909394</v>
      </c>
      <c r="AS217" s="70">
        <f t="shared" si="94"/>
        <v>1494010.4174909394</v>
      </c>
      <c r="AT217" s="70">
        <f t="shared" si="94"/>
        <v>1494010.4174909394</v>
      </c>
      <c r="AU217" s="70">
        <f t="shared" si="94"/>
        <v>1494010.4174909394</v>
      </c>
      <c r="AV217" s="70">
        <f t="shared" si="94"/>
        <v>1494010.4174909394</v>
      </c>
      <c r="AW217" s="70">
        <f t="shared" si="94"/>
        <v>2197355.4248127313</v>
      </c>
      <c r="AX217" s="70">
        <f t="shared" si="94"/>
        <v>1494010.4174909394</v>
      </c>
      <c r="AY217" s="70">
        <f t="shared" si="94"/>
        <v>1494010.4174909394</v>
      </c>
      <c r="AZ217" s="70">
        <f t="shared" si="94"/>
        <v>1494010.4174909394</v>
      </c>
      <c r="BA217" s="70">
        <f t="shared" si="94"/>
        <v>1494010.4174909394</v>
      </c>
      <c r="BB217" s="70">
        <f t="shared" si="94"/>
        <v>1792812.5009891272</v>
      </c>
      <c r="BC217" s="70">
        <f t="shared" si="94"/>
        <v>2222814.2867784593</v>
      </c>
      <c r="BD217" s="70">
        <f t="shared" si="94"/>
        <v>1511339.5616641811</v>
      </c>
      <c r="BE217" s="70">
        <f t="shared" si="94"/>
        <v>1511339.5616641811</v>
      </c>
      <c r="BF217" s="70">
        <f t="shared" si="94"/>
        <v>1511339.5616641811</v>
      </c>
      <c r="BG217" s="70">
        <f t="shared" si="94"/>
        <v>1511339.5616641811</v>
      </c>
      <c r="BH217" s="70">
        <f t="shared" si="94"/>
        <v>1511339.5616641811</v>
      </c>
      <c r="BI217" s="70">
        <f t="shared" si="94"/>
        <v>2222814.2867784593</v>
      </c>
      <c r="BJ217" s="70">
        <f t="shared" si="94"/>
        <v>1511339.5616641811</v>
      </c>
      <c r="BK217" s="70">
        <f t="shared" si="94"/>
        <v>1511339.5616641811</v>
      </c>
      <c r="BL217" s="70">
        <f t="shared" si="94"/>
        <v>1511339.5616641811</v>
      </c>
      <c r="BM217" s="70">
        <f t="shared" si="94"/>
        <v>1511339.5616641811</v>
      </c>
      <c r="BN217" s="70">
        <f t="shared" si="94"/>
        <v>1813607.4739970171</v>
      </c>
      <c r="BO217" s="75"/>
      <c r="BP217" s="75"/>
      <c r="BQ217" s="75"/>
      <c r="BR217" s="75"/>
      <c r="BS217" s="75"/>
      <c r="BT217" s="75"/>
    </row>
    <row r="218" spans="2:72" ht="13.8">
      <c r="B218" s="37" t="str">
        <f>CaseData!$B$28</f>
        <v>Paris</v>
      </c>
      <c r="C218" t="str">
        <f>CaseData!$C$27</f>
        <v>Women's</v>
      </c>
      <c r="D218" s="84" t="str">
        <f>INDEX(CaseData!$E$10:$E$17,MATCH(B218,CaseData!$C$10:$C$17,0))</f>
        <v>EUR</v>
      </c>
      <c r="E218" s="84" t="str">
        <f>INDEX(CaseData!$D$10:$D$17,MATCH(B218,CaseData!$C$10:$C$17,0))</f>
        <v>France</v>
      </c>
      <c r="G218" s="72">
        <f>G181/INDEX(G$208:G$213,MATCH($D218,$B$208:$B$213,0))</f>
        <v>135000</v>
      </c>
      <c r="H218" s="72">
        <f t="shared" ref="H218:BN218" si="95">H181/INDEX(H$208:H$213,MATCH($D218,$B$208:$B$213,0))</f>
        <v>90000</v>
      </c>
      <c r="I218" s="72">
        <f t="shared" si="95"/>
        <v>90000</v>
      </c>
      <c r="J218" s="72">
        <f t="shared" si="95"/>
        <v>90000</v>
      </c>
      <c r="K218" s="72">
        <f t="shared" si="95"/>
        <v>90000</v>
      </c>
      <c r="L218" s="72">
        <f t="shared" si="95"/>
        <v>90000</v>
      </c>
      <c r="M218" s="72">
        <f t="shared" si="95"/>
        <v>135000</v>
      </c>
      <c r="N218" s="72">
        <f t="shared" si="95"/>
        <v>90000</v>
      </c>
      <c r="O218" s="72">
        <f t="shared" si="95"/>
        <v>90000</v>
      </c>
      <c r="P218" s="72">
        <f t="shared" si="95"/>
        <v>90000</v>
      </c>
      <c r="Q218" s="72">
        <f t="shared" si="95"/>
        <v>90000</v>
      </c>
      <c r="R218" s="72">
        <f t="shared" si="95"/>
        <v>108000</v>
      </c>
      <c r="S218" s="72">
        <f t="shared" si="95"/>
        <v>135675</v>
      </c>
      <c r="T218" s="72">
        <f t="shared" si="95"/>
        <v>90449.999999999985</v>
      </c>
      <c r="U218" s="72">
        <f t="shared" si="95"/>
        <v>90449.999999999985</v>
      </c>
      <c r="V218" s="72">
        <f t="shared" si="95"/>
        <v>90449.999999999985</v>
      </c>
      <c r="W218" s="72">
        <f t="shared" si="95"/>
        <v>90449.999999999985</v>
      </c>
      <c r="X218" s="72">
        <f t="shared" si="95"/>
        <v>90449.999999999985</v>
      </c>
      <c r="Y218" s="72">
        <f t="shared" si="95"/>
        <v>135675</v>
      </c>
      <c r="Z218" s="72">
        <f t="shared" si="95"/>
        <v>90449.999999999985</v>
      </c>
      <c r="AA218" s="72">
        <f t="shared" si="95"/>
        <v>90449.999999999985</v>
      </c>
      <c r="AB218" s="72">
        <f t="shared" si="95"/>
        <v>90449.999999999985</v>
      </c>
      <c r="AC218" s="72">
        <f t="shared" si="95"/>
        <v>90449.999999999985</v>
      </c>
      <c r="AD218" s="72">
        <f t="shared" si="95"/>
        <v>108539.99999999999</v>
      </c>
      <c r="AE218" s="72">
        <f t="shared" si="95"/>
        <v>136353.37499999997</v>
      </c>
      <c r="AF218" s="72">
        <f t="shared" si="95"/>
        <v>90902.249999999971</v>
      </c>
      <c r="AG218" s="72">
        <f t="shared" si="95"/>
        <v>90902.249999999971</v>
      </c>
      <c r="AH218" s="72">
        <f t="shared" si="95"/>
        <v>90902.249999999971</v>
      </c>
      <c r="AI218" s="72">
        <f t="shared" si="95"/>
        <v>90902.249999999971</v>
      </c>
      <c r="AJ218" s="72">
        <f t="shared" si="95"/>
        <v>90902.249999999971</v>
      </c>
      <c r="AK218" s="72">
        <f t="shared" si="95"/>
        <v>136353.37499999997</v>
      </c>
      <c r="AL218" s="72">
        <f t="shared" si="95"/>
        <v>90902.249999999971</v>
      </c>
      <c r="AM218" s="72">
        <f t="shared" si="95"/>
        <v>90902.249999999971</v>
      </c>
      <c r="AN218" s="72">
        <f t="shared" si="95"/>
        <v>90902.249999999971</v>
      </c>
      <c r="AO218" s="72">
        <f t="shared" si="95"/>
        <v>90902.249999999971</v>
      </c>
      <c r="AP218" s="72">
        <f t="shared" si="95"/>
        <v>109082.69999999997</v>
      </c>
      <c r="AQ218" s="72">
        <f t="shared" si="95"/>
        <v>137716.90874999997</v>
      </c>
      <c r="AR218" s="72">
        <f t="shared" si="95"/>
        <v>91811.272499999977</v>
      </c>
      <c r="AS218" s="72">
        <f t="shared" si="95"/>
        <v>91811.272499999977</v>
      </c>
      <c r="AT218" s="72">
        <f t="shared" si="95"/>
        <v>91811.272499999977</v>
      </c>
      <c r="AU218" s="72">
        <f t="shared" si="95"/>
        <v>91811.272499999977</v>
      </c>
      <c r="AV218" s="72">
        <f t="shared" si="95"/>
        <v>91811.272499999977</v>
      </c>
      <c r="AW218" s="72">
        <f t="shared" si="95"/>
        <v>137716.90874999997</v>
      </c>
      <c r="AX218" s="72">
        <f t="shared" si="95"/>
        <v>91811.272499999977</v>
      </c>
      <c r="AY218" s="72">
        <f t="shared" si="95"/>
        <v>91811.272499999977</v>
      </c>
      <c r="AZ218" s="72">
        <f t="shared" si="95"/>
        <v>91811.272499999977</v>
      </c>
      <c r="BA218" s="72">
        <f t="shared" si="95"/>
        <v>91811.272499999977</v>
      </c>
      <c r="BB218" s="72">
        <f t="shared" si="95"/>
        <v>110173.52699999997</v>
      </c>
      <c r="BC218" s="72">
        <f t="shared" si="95"/>
        <v>141159.83146874994</v>
      </c>
      <c r="BD218" s="72">
        <f t="shared" si="95"/>
        <v>94106.554312499968</v>
      </c>
      <c r="BE218" s="72">
        <f t="shared" si="95"/>
        <v>94106.554312499968</v>
      </c>
      <c r="BF218" s="72">
        <f t="shared" si="95"/>
        <v>94106.554312499968</v>
      </c>
      <c r="BG218" s="72">
        <f t="shared" si="95"/>
        <v>94106.554312499968</v>
      </c>
      <c r="BH218" s="72">
        <f t="shared" si="95"/>
        <v>94106.554312499968</v>
      </c>
      <c r="BI218" s="72">
        <f t="shared" si="95"/>
        <v>141159.83146874994</v>
      </c>
      <c r="BJ218" s="72">
        <f t="shared" si="95"/>
        <v>94106.554312499968</v>
      </c>
      <c r="BK218" s="72">
        <f t="shared" si="95"/>
        <v>94106.554312499968</v>
      </c>
      <c r="BL218" s="72">
        <f t="shared" si="95"/>
        <v>94106.554312499968</v>
      </c>
      <c r="BM218" s="72">
        <f t="shared" si="95"/>
        <v>94106.554312499968</v>
      </c>
      <c r="BN218" s="72">
        <f t="shared" si="95"/>
        <v>112927.86517499996</v>
      </c>
    </row>
    <row r="219" spans="2:72" ht="13.8">
      <c r="B219" s="37" t="str">
        <f>B218</f>
        <v>Paris</v>
      </c>
      <c r="C219" t="str">
        <f>CaseData!$D$27</f>
        <v>Men's</v>
      </c>
      <c r="D219" s="84" t="str">
        <f>INDEX(CaseData!$E$10:$E$17,MATCH(B219,CaseData!$C$10:$C$17,0))</f>
        <v>EUR</v>
      </c>
      <c r="E219" s="84" t="str">
        <f>INDEX(CaseData!$D$10:$D$17,MATCH(B219,CaseData!$C$10:$C$17,0))</f>
        <v>France</v>
      </c>
      <c r="G219" s="72">
        <f t="shared" ref="G219:BN223" si="96">G182/INDEX(G$208:G$213,MATCH($D219,$B$208:$B$213,0))</f>
        <v>102000</v>
      </c>
      <c r="H219" s="72">
        <f t="shared" si="96"/>
        <v>68000</v>
      </c>
      <c r="I219" s="72">
        <f t="shared" si="96"/>
        <v>68000</v>
      </c>
      <c r="J219" s="72">
        <f t="shared" si="96"/>
        <v>68000</v>
      </c>
      <c r="K219" s="72">
        <f t="shared" si="96"/>
        <v>68000</v>
      </c>
      <c r="L219" s="72">
        <f t="shared" si="96"/>
        <v>68000</v>
      </c>
      <c r="M219" s="72">
        <f t="shared" si="96"/>
        <v>102000</v>
      </c>
      <c r="N219" s="72">
        <f t="shared" si="96"/>
        <v>68000</v>
      </c>
      <c r="O219" s="72">
        <f t="shared" si="96"/>
        <v>68000</v>
      </c>
      <c r="P219" s="72">
        <f t="shared" si="96"/>
        <v>68000</v>
      </c>
      <c r="Q219" s="72">
        <f t="shared" si="96"/>
        <v>68000</v>
      </c>
      <c r="R219" s="72">
        <f t="shared" si="96"/>
        <v>81600</v>
      </c>
      <c r="S219" s="72">
        <f t="shared" si="96"/>
        <v>102509.99999999999</v>
      </c>
      <c r="T219" s="72">
        <f t="shared" si="96"/>
        <v>68340</v>
      </c>
      <c r="U219" s="72">
        <f t="shared" si="96"/>
        <v>68340</v>
      </c>
      <c r="V219" s="72">
        <f t="shared" si="96"/>
        <v>68340</v>
      </c>
      <c r="W219" s="72">
        <f t="shared" si="96"/>
        <v>68340</v>
      </c>
      <c r="X219" s="72">
        <f t="shared" si="96"/>
        <v>68340</v>
      </c>
      <c r="Y219" s="72">
        <f t="shared" si="96"/>
        <v>102509.99999999999</v>
      </c>
      <c r="Z219" s="72">
        <f t="shared" si="96"/>
        <v>68340</v>
      </c>
      <c r="AA219" s="72">
        <f t="shared" si="96"/>
        <v>68340</v>
      </c>
      <c r="AB219" s="72">
        <f t="shared" si="96"/>
        <v>68340</v>
      </c>
      <c r="AC219" s="72">
        <f t="shared" si="96"/>
        <v>68340</v>
      </c>
      <c r="AD219" s="72">
        <f t="shared" si="96"/>
        <v>82007.999999999985</v>
      </c>
      <c r="AE219" s="72">
        <f t="shared" si="96"/>
        <v>103022.54999999997</v>
      </c>
      <c r="AF219" s="72">
        <f t="shared" si="96"/>
        <v>68681.699999999983</v>
      </c>
      <c r="AG219" s="72">
        <f t="shared" si="96"/>
        <v>68681.699999999983</v>
      </c>
      <c r="AH219" s="72">
        <f t="shared" si="96"/>
        <v>68681.699999999983</v>
      </c>
      <c r="AI219" s="72">
        <f t="shared" si="96"/>
        <v>68681.699999999983</v>
      </c>
      <c r="AJ219" s="72">
        <f t="shared" si="96"/>
        <v>68681.699999999983</v>
      </c>
      <c r="AK219" s="72">
        <f t="shared" si="96"/>
        <v>103022.54999999997</v>
      </c>
      <c r="AL219" s="72">
        <f t="shared" si="96"/>
        <v>68681.699999999983</v>
      </c>
      <c r="AM219" s="72">
        <f t="shared" si="96"/>
        <v>68681.699999999983</v>
      </c>
      <c r="AN219" s="72">
        <f t="shared" si="96"/>
        <v>68681.699999999983</v>
      </c>
      <c r="AO219" s="72">
        <f t="shared" si="96"/>
        <v>68681.699999999983</v>
      </c>
      <c r="AP219" s="72">
        <f t="shared" si="96"/>
        <v>82418.039999999979</v>
      </c>
      <c r="AQ219" s="72">
        <f t="shared" si="96"/>
        <v>104052.77549999997</v>
      </c>
      <c r="AR219" s="72">
        <f t="shared" si="96"/>
        <v>69368.516999999978</v>
      </c>
      <c r="AS219" s="72">
        <f t="shared" si="96"/>
        <v>69368.516999999978</v>
      </c>
      <c r="AT219" s="72">
        <f t="shared" si="96"/>
        <v>69368.516999999978</v>
      </c>
      <c r="AU219" s="72">
        <f t="shared" si="96"/>
        <v>69368.516999999978</v>
      </c>
      <c r="AV219" s="72">
        <f t="shared" si="96"/>
        <v>69368.516999999978</v>
      </c>
      <c r="AW219" s="72">
        <f t="shared" si="96"/>
        <v>104052.77549999997</v>
      </c>
      <c r="AX219" s="72">
        <f t="shared" si="96"/>
        <v>69368.516999999978</v>
      </c>
      <c r="AY219" s="72">
        <f t="shared" si="96"/>
        <v>69368.516999999978</v>
      </c>
      <c r="AZ219" s="72">
        <f t="shared" si="96"/>
        <v>69368.516999999978</v>
      </c>
      <c r="BA219" s="72">
        <f t="shared" si="96"/>
        <v>69368.516999999978</v>
      </c>
      <c r="BB219" s="72">
        <f t="shared" si="96"/>
        <v>83242.220399999977</v>
      </c>
      <c r="BC219" s="72">
        <f t="shared" si="96"/>
        <v>106654.09488749996</v>
      </c>
      <c r="BD219" s="72">
        <f t="shared" si="96"/>
        <v>71102.729924999978</v>
      </c>
      <c r="BE219" s="72">
        <f t="shared" si="96"/>
        <v>71102.729924999978</v>
      </c>
      <c r="BF219" s="72">
        <f t="shared" si="96"/>
        <v>71102.729924999978</v>
      </c>
      <c r="BG219" s="72">
        <f t="shared" si="96"/>
        <v>71102.729924999978</v>
      </c>
      <c r="BH219" s="72">
        <f t="shared" si="96"/>
        <v>71102.729924999978</v>
      </c>
      <c r="BI219" s="72">
        <f t="shared" si="96"/>
        <v>106654.09488749996</v>
      </c>
      <c r="BJ219" s="72">
        <f t="shared" si="96"/>
        <v>71102.729924999978</v>
      </c>
      <c r="BK219" s="72">
        <f t="shared" si="96"/>
        <v>71102.729924999978</v>
      </c>
      <c r="BL219" s="72">
        <f t="shared" si="96"/>
        <v>71102.729924999978</v>
      </c>
      <c r="BM219" s="72">
        <f t="shared" si="96"/>
        <v>71102.729924999978</v>
      </c>
      <c r="BN219" s="72">
        <f t="shared" si="96"/>
        <v>85323.275909999968</v>
      </c>
    </row>
    <row r="220" spans="2:72" ht="13.8">
      <c r="B220" s="37" t="str">
        <f>B219</f>
        <v>Paris</v>
      </c>
      <c r="C220" t="str">
        <f>CaseData!$E$27</f>
        <v>Accessories</v>
      </c>
      <c r="D220" s="84" t="str">
        <f>INDEX(CaseData!$E$10:$E$17,MATCH(B220,CaseData!$C$10:$C$17,0))</f>
        <v>EUR</v>
      </c>
      <c r="E220" s="84" t="str">
        <f>INDEX(CaseData!$D$10:$D$17,MATCH(B220,CaseData!$C$10:$C$17,0))</f>
        <v>France</v>
      </c>
      <c r="G220" s="72">
        <f t="shared" si="96"/>
        <v>58500</v>
      </c>
      <c r="H220" s="72">
        <f t="shared" si="96"/>
        <v>39000</v>
      </c>
      <c r="I220" s="72">
        <f t="shared" si="96"/>
        <v>39000</v>
      </c>
      <c r="J220" s="72">
        <f t="shared" si="96"/>
        <v>39000</v>
      </c>
      <c r="K220" s="72">
        <f t="shared" si="96"/>
        <v>39000</v>
      </c>
      <c r="L220" s="72">
        <f t="shared" si="96"/>
        <v>39000</v>
      </c>
      <c r="M220" s="72">
        <f t="shared" si="96"/>
        <v>58500</v>
      </c>
      <c r="N220" s="72">
        <f t="shared" si="96"/>
        <v>39000</v>
      </c>
      <c r="O220" s="72">
        <f t="shared" si="96"/>
        <v>39000</v>
      </c>
      <c r="P220" s="72">
        <f t="shared" si="96"/>
        <v>39000</v>
      </c>
      <c r="Q220" s="72">
        <f t="shared" si="96"/>
        <v>39000</v>
      </c>
      <c r="R220" s="72">
        <f t="shared" si="96"/>
        <v>46800</v>
      </c>
      <c r="S220" s="72">
        <f t="shared" si="96"/>
        <v>58792.499999999993</v>
      </c>
      <c r="T220" s="72">
        <f t="shared" si="96"/>
        <v>39194.999999999993</v>
      </c>
      <c r="U220" s="72">
        <f t="shared" si="96"/>
        <v>39194.999999999993</v>
      </c>
      <c r="V220" s="72">
        <f t="shared" si="96"/>
        <v>39194.999999999993</v>
      </c>
      <c r="W220" s="72">
        <f t="shared" si="96"/>
        <v>39194.999999999993</v>
      </c>
      <c r="X220" s="72">
        <f t="shared" si="96"/>
        <v>39194.999999999993</v>
      </c>
      <c r="Y220" s="72">
        <f t="shared" si="96"/>
        <v>58306.611570247915</v>
      </c>
      <c r="Z220" s="72">
        <f t="shared" si="96"/>
        <v>39194.999999999993</v>
      </c>
      <c r="AA220" s="72">
        <f t="shared" si="96"/>
        <v>39194.999999999993</v>
      </c>
      <c r="AB220" s="72">
        <f t="shared" si="96"/>
        <v>39194.999999999993</v>
      </c>
      <c r="AC220" s="72">
        <f t="shared" si="96"/>
        <v>39194.999999999993</v>
      </c>
      <c r="AD220" s="72">
        <f t="shared" si="96"/>
        <v>47033.999999999993</v>
      </c>
      <c r="AE220" s="72">
        <f t="shared" si="96"/>
        <v>52096.807494489338</v>
      </c>
      <c r="AF220" s="72">
        <f t="shared" si="96"/>
        <v>39390.974999999991</v>
      </c>
      <c r="AG220" s="72">
        <f t="shared" si="96"/>
        <v>39390.974999999991</v>
      </c>
      <c r="AH220" s="72">
        <f t="shared" si="96"/>
        <v>39390.974999999991</v>
      </c>
      <c r="AI220" s="72">
        <f t="shared" si="96"/>
        <v>39390.974999999991</v>
      </c>
      <c r="AJ220" s="72">
        <f t="shared" si="96"/>
        <v>39390.974999999991</v>
      </c>
      <c r="AK220" s="72">
        <f t="shared" si="96"/>
        <v>50429.413229018479</v>
      </c>
      <c r="AL220" s="72">
        <f t="shared" si="96"/>
        <v>39390.974999999991</v>
      </c>
      <c r="AM220" s="72">
        <f t="shared" si="96"/>
        <v>39390.974999999991</v>
      </c>
      <c r="AN220" s="72">
        <f t="shared" si="96"/>
        <v>39390.974999999991</v>
      </c>
      <c r="AO220" s="72">
        <f t="shared" si="96"/>
        <v>39390.974999999991</v>
      </c>
      <c r="AP220" s="72">
        <f t="shared" si="96"/>
        <v>47269.169999999984</v>
      </c>
      <c r="AQ220" s="72">
        <f t="shared" si="96"/>
        <v>50574.006038135587</v>
      </c>
      <c r="AR220" s="72">
        <f t="shared" si="96"/>
        <v>39784.88474999999</v>
      </c>
      <c r="AS220" s="72">
        <f t="shared" si="96"/>
        <v>39784.88474999999</v>
      </c>
      <c r="AT220" s="72">
        <f t="shared" si="96"/>
        <v>39784.88474999999</v>
      </c>
      <c r="AU220" s="72">
        <f t="shared" si="96"/>
        <v>39784.88474999999</v>
      </c>
      <c r="AV220" s="72">
        <f t="shared" si="96"/>
        <v>39784.88474999999</v>
      </c>
      <c r="AW220" s="72">
        <f t="shared" si="96"/>
        <v>50574.006038135587</v>
      </c>
      <c r="AX220" s="72">
        <f t="shared" si="96"/>
        <v>39784.88474999999</v>
      </c>
      <c r="AY220" s="72">
        <f t="shared" si="96"/>
        <v>39784.88474999999</v>
      </c>
      <c r="AZ220" s="72">
        <f t="shared" si="96"/>
        <v>39784.88474999999</v>
      </c>
      <c r="BA220" s="72">
        <f t="shared" si="96"/>
        <v>39784.88474999999</v>
      </c>
      <c r="BB220" s="72">
        <f t="shared" si="96"/>
        <v>47741.861699999987</v>
      </c>
      <c r="BC220" s="72">
        <f t="shared" si="96"/>
        <v>51838.356189088969</v>
      </c>
      <c r="BD220" s="72">
        <f t="shared" si="96"/>
        <v>40779.506868749981</v>
      </c>
      <c r="BE220" s="72">
        <f t="shared" si="96"/>
        <v>40779.506868749981</v>
      </c>
      <c r="BF220" s="72">
        <f t="shared" si="96"/>
        <v>40779.506868749981</v>
      </c>
      <c r="BG220" s="72">
        <f t="shared" si="96"/>
        <v>40779.506868749981</v>
      </c>
      <c r="BH220" s="72">
        <f t="shared" si="96"/>
        <v>40779.506868749981</v>
      </c>
      <c r="BI220" s="72">
        <f t="shared" si="96"/>
        <v>51838.356189088969</v>
      </c>
      <c r="BJ220" s="72">
        <f t="shared" si="96"/>
        <v>40779.506868749981</v>
      </c>
      <c r="BK220" s="72">
        <f t="shared" si="96"/>
        <v>40779.506868749981</v>
      </c>
      <c r="BL220" s="72">
        <f t="shared" si="96"/>
        <v>40779.506868749981</v>
      </c>
      <c r="BM220" s="72">
        <f t="shared" si="96"/>
        <v>40779.506868749981</v>
      </c>
      <c r="BN220" s="72">
        <f t="shared" si="96"/>
        <v>48935.40824249998</v>
      </c>
    </row>
    <row r="221" spans="2:72" ht="13.8">
      <c r="B221" s="37" t="str">
        <f>CaseData!$B$29</f>
        <v>Milano</v>
      </c>
      <c r="C221" t="str">
        <f>C218</f>
        <v>Women's</v>
      </c>
      <c r="D221" s="84" t="str">
        <f>INDEX(CaseData!$E$10:$E$17,MATCH(B221,CaseData!$C$10:$C$17,0))</f>
        <v>EUR</v>
      </c>
      <c r="E221" s="84" t="str">
        <f>INDEX(CaseData!$D$10:$D$17,MATCH(B221,CaseData!$C$10:$C$17,0))</f>
        <v>Italy</v>
      </c>
      <c r="G221" s="72">
        <f t="shared" si="96"/>
        <v>210000</v>
      </c>
      <c r="H221" s="72">
        <f t="shared" si="96"/>
        <v>140000</v>
      </c>
      <c r="I221" s="72">
        <f t="shared" si="96"/>
        <v>140000</v>
      </c>
      <c r="J221" s="72">
        <f t="shared" si="96"/>
        <v>140000</v>
      </c>
      <c r="K221" s="72">
        <f t="shared" si="96"/>
        <v>140000</v>
      </c>
      <c r="L221" s="72">
        <f t="shared" si="96"/>
        <v>140000</v>
      </c>
      <c r="M221" s="72">
        <f t="shared" si="96"/>
        <v>210000</v>
      </c>
      <c r="N221" s="72">
        <f t="shared" si="96"/>
        <v>140000</v>
      </c>
      <c r="O221" s="72">
        <f t="shared" si="96"/>
        <v>140000</v>
      </c>
      <c r="P221" s="72">
        <f t="shared" si="96"/>
        <v>140000</v>
      </c>
      <c r="Q221" s="72">
        <f t="shared" si="96"/>
        <v>140000</v>
      </c>
      <c r="R221" s="72">
        <f t="shared" si="96"/>
        <v>168000</v>
      </c>
      <c r="S221" s="72">
        <f t="shared" si="96"/>
        <v>211049.99999999997</v>
      </c>
      <c r="T221" s="72">
        <f t="shared" si="96"/>
        <v>140699.99999999997</v>
      </c>
      <c r="U221" s="72">
        <f t="shared" si="96"/>
        <v>140699.99999999997</v>
      </c>
      <c r="V221" s="72">
        <f t="shared" si="96"/>
        <v>140699.99999999997</v>
      </c>
      <c r="W221" s="72">
        <f t="shared" si="96"/>
        <v>140699.99999999997</v>
      </c>
      <c r="X221" s="72">
        <f t="shared" si="96"/>
        <v>140699.99999999997</v>
      </c>
      <c r="Y221" s="72">
        <f t="shared" si="96"/>
        <v>211049.99999999997</v>
      </c>
      <c r="Z221" s="72">
        <f t="shared" si="96"/>
        <v>140699.99999999997</v>
      </c>
      <c r="AA221" s="72">
        <f t="shared" si="96"/>
        <v>140699.99999999997</v>
      </c>
      <c r="AB221" s="72">
        <f t="shared" si="96"/>
        <v>140699.99999999997</v>
      </c>
      <c r="AC221" s="72">
        <f t="shared" si="96"/>
        <v>140699.99999999997</v>
      </c>
      <c r="AD221" s="72">
        <f t="shared" si="96"/>
        <v>168839.99999999997</v>
      </c>
      <c r="AE221" s="72">
        <f t="shared" si="96"/>
        <v>212105.24999999994</v>
      </c>
      <c r="AF221" s="72">
        <f t="shared" si="96"/>
        <v>141403.49999999997</v>
      </c>
      <c r="AG221" s="72">
        <f t="shared" si="96"/>
        <v>141403.49999999997</v>
      </c>
      <c r="AH221" s="72">
        <f t="shared" si="96"/>
        <v>141403.49999999997</v>
      </c>
      <c r="AI221" s="72">
        <f t="shared" si="96"/>
        <v>141403.49999999997</v>
      </c>
      <c r="AJ221" s="72">
        <f t="shared" si="96"/>
        <v>141403.49999999997</v>
      </c>
      <c r="AK221" s="72">
        <f t="shared" si="96"/>
        <v>212105.24999999994</v>
      </c>
      <c r="AL221" s="72">
        <f t="shared" si="96"/>
        <v>141403.49999999997</v>
      </c>
      <c r="AM221" s="72">
        <f t="shared" si="96"/>
        <v>141403.49999999997</v>
      </c>
      <c r="AN221" s="72">
        <f t="shared" si="96"/>
        <v>141403.49999999997</v>
      </c>
      <c r="AO221" s="72">
        <f t="shared" si="96"/>
        <v>141403.49999999997</v>
      </c>
      <c r="AP221" s="72">
        <f t="shared" si="96"/>
        <v>169684.19999999995</v>
      </c>
      <c r="AQ221" s="72">
        <f t="shared" si="96"/>
        <v>214226.30249999996</v>
      </c>
      <c r="AR221" s="72">
        <f t="shared" si="96"/>
        <v>142817.53499999997</v>
      </c>
      <c r="AS221" s="72">
        <f t="shared" si="96"/>
        <v>142817.53499999997</v>
      </c>
      <c r="AT221" s="72">
        <f t="shared" si="96"/>
        <v>142817.53499999997</v>
      </c>
      <c r="AU221" s="72">
        <f t="shared" si="96"/>
        <v>142817.53499999997</v>
      </c>
      <c r="AV221" s="72">
        <f t="shared" si="96"/>
        <v>142817.53499999997</v>
      </c>
      <c r="AW221" s="72">
        <f t="shared" si="96"/>
        <v>214226.30249999996</v>
      </c>
      <c r="AX221" s="72">
        <f t="shared" si="96"/>
        <v>142817.53499999997</v>
      </c>
      <c r="AY221" s="72">
        <f t="shared" si="96"/>
        <v>142817.53499999997</v>
      </c>
      <c r="AZ221" s="72">
        <f t="shared" si="96"/>
        <v>142817.53499999997</v>
      </c>
      <c r="BA221" s="72">
        <f t="shared" si="96"/>
        <v>142817.53499999997</v>
      </c>
      <c r="BB221" s="72">
        <f t="shared" si="96"/>
        <v>171381.04199999996</v>
      </c>
      <c r="BC221" s="72">
        <f t="shared" si="96"/>
        <v>219581.96006249991</v>
      </c>
      <c r="BD221" s="72">
        <f t="shared" si="96"/>
        <v>146387.97337499994</v>
      </c>
      <c r="BE221" s="72">
        <f t="shared" si="96"/>
        <v>146387.97337499994</v>
      </c>
      <c r="BF221" s="72">
        <f t="shared" si="96"/>
        <v>146387.97337499994</v>
      </c>
      <c r="BG221" s="72">
        <f t="shared" si="96"/>
        <v>146387.97337499994</v>
      </c>
      <c r="BH221" s="72">
        <f t="shared" si="96"/>
        <v>146387.97337499994</v>
      </c>
      <c r="BI221" s="72">
        <f t="shared" si="96"/>
        <v>219581.96006249991</v>
      </c>
      <c r="BJ221" s="72">
        <f t="shared" si="96"/>
        <v>146387.97337499994</v>
      </c>
      <c r="BK221" s="72">
        <f t="shared" si="96"/>
        <v>146387.97337499994</v>
      </c>
      <c r="BL221" s="72">
        <f t="shared" si="96"/>
        <v>146387.97337499994</v>
      </c>
      <c r="BM221" s="72">
        <f t="shared" si="96"/>
        <v>146387.97337499994</v>
      </c>
      <c r="BN221" s="72">
        <f t="shared" si="96"/>
        <v>175665.56804999991</v>
      </c>
    </row>
    <row r="222" spans="2:72" ht="13.8">
      <c r="B222" s="37" t="str">
        <f>B221</f>
        <v>Milano</v>
      </c>
      <c r="C222" t="str">
        <f t="shared" ref="C222:C241" si="97">C219</f>
        <v>Men's</v>
      </c>
      <c r="D222" s="84" t="str">
        <f>INDEX(CaseData!$E$10:$E$17,MATCH(B222,CaseData!$C$10:$C$17,0))</f>
        <v>EUR</v>
      </c>
      <c r="E222" s="84" t="str">
        <f>INDEX(CaseData!$D$10:$D$17,MATCH(B222,CaseData!$C$10:$C$17,0))</f>
        <v>Italy</v>
      </c>
      <c r="G222" s="72">
        <f t="shared" si="96"/>
        <v>102000</v>
      </c>
      <c r="H222" s="72">
        <f t="shared" si="96"/>
        <v>68000</v>
      </c>
      <c r="I222" s="72">
        <f t="shared" si="96"/>
        <v>68000</v>
      </c>
      <c r="J222" s="72">
        <f t="shared" si="96"/>
        <v>68000</v>
      </c>
      <c r="K222" s="72">
        <f t="shared" si="96"/>
        <v>68000</v>
      </c>
      <c r="L222" s="72">
        <f t="shared" si="96"/>
        <v>68000</v>
      </c>
      <c r="M222" s="72">
        <f t="shared" si="96"/>
        <v>102000</v>
      </c>
      <c r="N222" s="72">
        <f t="shared" si="96"/>
        <v>68000</v>
      </c>
      <c r="O222" s="72">
        <f t="shared" si="96"/>
        <v>68000</v>
      </c>
      <c r="P222" s="72">
        <f t="shared" si="96"/>
        <v>68000</v>
      </c>
      <c r="Q222" s="72">
        <f t="shared" si="96"/>
        <v>68000</v>
      </c>
      <c r="R222" s="72">
        <f t="shared" si="96"/>
        <v>81600</v>
      </c>
      <c r="S222" s="72">
        <f t="shared" si="96"/>
        <v>102509.99999999999</v>
      </c>
      <c r="T222" s="72">
        <f t="shared" si="96"/>
        <v>68340</v>
      </c>
      <c r="U222" s="72">
        <f t="shared" si="96"/>
        <v>68340</v>
      </c>
      <c r="V222" s="72">
        <f t="shared" si="96"/>
        <v>68340</v>
      </c>
      <c r="W222" s="72">
        <f t="shared" si="96"/>
        <v>68340</v>
      </c>
      <c r="X222" s="72">
        <f t="shared" si="96"/>
        <v>68340</v>
      </c>
      <c r="Y222" s="72">
        <f t="shared" si="96"/>
        <v>102509.99999999999</v>
      </c>
      <c r="Z222" s="72">
        <f t="shared" si="96"/>
        <v>68340</v>
      </c>
      <c r="AA222" s="72">
        <f t="shared" si="96"/>
        <v>68340</v>
      </c>
      <c r="AB222" s="72">
        <f t="shared" si="96"/>
        <v>68340</v>
      </c>
      <c r="AC222" s="72">
        <f t="shared" si="96"/>
        <v>68340</v>
      </c>
      <c r="AD222" s="72">
        <f t="shared" si="96"/>
        <v>82007.999999999985</v>
      </c>
      <c r="AE222" s="72">
        <f t="shared" si="96"/>
        <v>103022.54999999997</v>
      </c>
      <c r="AF222" s="72">
        <f t="shared" si="96"/>
        <v>68681.699999999983</v>
      </c>
      <c r="AG222" s="72">
        <f t="shared" si="96"/>
        <v>68681.699999999983</v>
      </c>
      <c r="AH222" s="72">
        <f t="shared" si="96"/>
        <v>68681.699999999983</v>
      </c>
      <c r="AI222" s="72">
        <f t="shared" si="96"/>
        <v>68681.699999999983</v>
      </c>
      <c r="AJ222" s="72">
        <f t="shared" si="96"/>
        <v>68681.699999999983</v>
      </c>
      <c r="AK222" s="72">
        <f t="shared" si="96"/>
        <v>103022.54999999997</v>
      </c>
      <c r="AL222" s="72">
        <f t="shared" si="96"/>
        <v>68681.699999999983</v>
      </c>
      <c r="AM222" s="72">
        <f t="shared" si="96"/>
        <v>68681.699999999983</v>
      </c>
      <c r="AN222" s="72">
        <f t="shared" si="96"/>
        <v>68681.699999999983</v>
      </c>
      <c r="AO222" s="72">
        <f t="shared" si="96"/>
        <v>68681.699999999983</v>
      </c>
      <c r="AP222" s="72">
        <f t="shared" si="96"/>
        <v>82418.039999999979</v>
      </c>
      <c r="AQ222" s="72">
        <f t="shared" si="96"/>
        <v>104052.77549999997</v>
      </c>
      <c r="AR222" s="72">
        <f t="shared" si="96"/>
        <v>69368.516999999978</v>
      </c>
      <c r="AS222" s="72">
        <f t="shared" si="96"/>
        <v>69368.516999999978</v>
      </c>
      <c r="AT222" s="72">
        <f t="shared" si="96"/>
        <v>69368.516999999978</v>
      </c>
      <c r="AU222" s="72">
        <f t="shared" si="96"/>
        <v>69368.516999999978</v>
      </c>
      <c r="AV222" s="72">
        <f t="shared" si="96"/>
        <v>69368.516999999978</v>
      </c>
      <c r="AW222" s="72">
        <f t="shared" si="96"/>
        <v>104052.77549999997</v>
      </c>
      <c r="AX222" s="72">
        <f t="shared" si="96"/>
        <v>69368.516999999978</v>
      </c>
      <c r="AY222" s="72">
        <f t="shared" si="96"/>
        <v>69368.516999999978</v>
      </c>
      <c r="AZ222" s="72">
        <f t="shared" si="96"/>
        <v>69368.516999999978</v>
      </c>
      <c r="BA222" s="72">
        <f t="shared" si="96"/>
        <v>69368.516999999978</v>
      </c>
      <c r="BB222" s="72">
        <f t="shared" si="96"/>
        <v>83242.220399999977</v>
      </c>
      <c r="BC222" s="72">
        <f t="shared" si="96"/>
        <v>106654.09488749996</v>
      </c>
      <c r="BD222" s="72">
        <f t="shared" si="96"/>
        <v>71102.729924999978</v>
      </c>
      <c r="BE222" s="72">
        <f t="shared" si="96"/>
        <v>71102.729924999978</v>
      </c>
      <c r="BF222" s="72">
        <f t="shared" si="96"/>
        <v>71102.729924999978</v>
      </c>
      <c r="BG222" s="72">
        <f t="shared" si="96"/>
        <v>71102.729924999978</v>
      </c>
      <c r="BH222" s="72">
        <f t="shared" si="96"/>
        <v>71102.729924999978</v>
      </c>
      <c r="BI222" s="72">
        <f t="shared" si="96"/>
        <v>106654.09488749996</v>
      </c>
      <c r="BJ222" s="72">
        <f t="shared" si="96"/>
        <v>71102.729924999978</v>
      </c>
      <c r="BK222" s="72">
        <f t="shared" si="96"/>
        <v>71102.729924999978</v>
      </c>
      <c r="BL222" s="72">
        <f t="shared" si="96"/>
        <v>71102.729924999978</v>
      </c>
      <c r="BM222" s="72">
        <f t="shared" si="96"/>
        <v>71102.729924999978</v>
      </c>
      <c r="BN222" s="72">
        <f t="shared" si="96"/>
        <v>85323.275909999968</v>
      </c>
    </row>
    <row r="223" spans="2:72" ht="13.8">
      <c r="B223" s="37" t="str">
        <f t="shared" ref="B223" si="98">B222</f>
        <v>Milano</v>
      </c>
      <c r="C223" t="str">
        <f t="shared" si="97"/>
        <v>Accessories</v>
      </c>
      <c r="D223" s="84" t="str">
        <f>INDEX(CaseData!$E$10:$E$17,MATCH(B223,CaseData!$C$10:$C$17,0))</f>
        <v>EUR</v>
      </c>
      <c r="E223" s="84" t="str">
        <f>INDEX(CaseData!$D$10:$D$17,MATCH(B223,CaseData!$C$10:$C$17,0))</f>
        <v>Italy</v>
      </c>
      <c r="G223" s="72">
        <f t="shared" si="96"/>
        <v>33750</v>
      </c>
      <c r="H223" s="72">
        <f t="shared" si="96"/>
        <v>22500</v>
      </c>
      <c r="I223" s="72">
        <f t="shared" si="96"/>
        <v>22500</v>
      </c>
      <c r="J223" s="72">
        <f t="shared" si="96"/>
        <v>22500</v>
      </c>
      <c r="K223" s="72">
        <f t="shared" si="96"/>
        <v>22500</v>
      </c>
      <c r="L223" s="72">
        <f t="shared" si="96"/>
        <v>22500</v>
      </c>
      <c r="M223" s="72">
        <f t="shared" si="96"/>
        <v>33750</v>
      </c>
      <c r="N223" s="72">
        <f t="shared" si="96"/>
        <v>22500</v>
      </c>
      <c r="O223" s="72">
        <f t="shared" si="96"/>
        <v>22500</v>
      </c>
      <c r="P223" s="72">
        <f t="shared" si="96"/>
        <v>22500</v>
      </c>
      <c r="Q223" s="72">
        <f t="shared" si="96"/>
        <v>22500</v>
      </c>
      <c r="R223" s="72">
        <f t="shared" si="96"/>
        <v>27000</v>
      </c>
      <c r="S223" s="72">
        <f t="shared" si="96"/>
        <v>33918.75</v>
      </c>
      <c r="T223" s="72">
        <f t="shared" si="96"/>
        <v>22612.499999999996</v>
      </c>
      <c r="U223" s="72">
        <f t="shared" si="96"/>
        <v>22612.499999999996</v>
      </c>
      <c r="V223" s="72">
        <f t="shared" ref="V223:BN223" si="99">V186/INDEX(V$208:V$213,MATCH($D223,$B$208:$B$213,0))</f>
        <v>22612.499999999996</v>
      </c>
      <c r="W223" s="72">
        <f t="shared" si="99"/>
        <v>22612.499999999996</v>
      </c>
      <c r="X223" s="72">
        <f t="shared" si="99"/>
        <v>22612.499999999996</v>
      </c>
      <c r="Y223" s="72">
        <f t="shared" si="99"/>
        <v>33638.429752066106</v>
      </c>
      <c r="Z223" s="72">
        <f t="shared" si="99"/>
        <v>22612.499999999996</v>
      </c>
      <c r="AA223" s="72">
        <f t="shared" si="99"/>
        <v>22612.499999999996</v>
      </c>
      <c r="AB223" s="72">
        <f t="shared" si="99"/>
        <v>22612.499999999996</v>
      </c>
      <c r="AC223" s="72">
        <f t="shared" si="99"/>
        <v>22612.499999999996</v>
      </c>
      <c r="AD223" s="72">
        <f t="shared" si="99"/>
        <v>27134.999999999996</v>
      </c>
      <c r="AE223" s="72">
        <f t="shared" si="99"/>
        <v>30055.85047759</v>
      </c>
      <c r="AF223" s="72">
        <f t="shared" si="99"/>
        <v>22725.562499999993</v>
      </c>
      <c r="AG223" s="72">
        <f t="shared" si="99"/>
        <v>22725.562499999993</v>
      </c>
      <c r="AH223" s="72">
        <f t="shared" si="99"/>
        <v>22725.562499999993</v>
      </c>
      <c r="AI223" s="72">
        <f t="shared" si="99"/>
        <v>22725.562499999993</v>
      </c>
      <c r="AJ223" s="72">
        <f t="shared" si="99"/>
        <v>22725.562499999993</v>
      </c>
      <c r="AK223" s="72">
        <f t="shared" si="99"/>
        <v>29093.892247510663</v>
      </c>
      <c r="AL223" s="72">
        <f t="shared" si="99"/>
        <v>22725.562499999993</v>
      </c>
      <c r="AM223" s="72">
        <f t="shared" si="99"/>
        <v>22725.562499999993</v>
      </c>
      <c r="AN223" s="72">
        <f t="shared" si="99"/>
        <v>22725.562499999993</v>
      </c>
      <c r="AO223" s="72">
        <f t="shared" si="99"/>
        <v>22725.562499999993</v>
      </c>
      <c r="AP223" s="72">
        <f t="shared" si="99"/>
        <v>27270.674999999992</v>
      </c>
      <c r="AQ223" s="72">
        <f t="shared" si="99"/>
        <v>29177.311175847448</v>
      </c>
      <c r="AR223" s="72">
        <f t="shared" si="99"/>
        <v>22952.818124999994</v>
      </c>
      <c r="AS223" s="72">
        <f t="shared" si="99"/>
        <v>22952.818124999994</v>
      </c>
      <c r="AT223" s="72">
        <f t="shared" si="99"/>
        <v>22952.818124999994</v>
      </c>
      <c r="AU223" s="72">
        <f t="shared" si="99"/>
        <v>22952.818124999994</v>
      </c>
      <c r="AV223" s="72">
        <f t="shared" si="99"/>
        <v>22952.818124999994</v>
      </c>
      <c r="AW223" s="72">
        <f t="shared" si="99"/>
        <v>29177.311175847448</v>
      </c>
      <c r="AX223" s="72">
        <f t="shared" si="99"/>
        <v>22952.818124999994</v>
      </c>
      <c r="AY223" s="72">
        <f t="shared" si="99"/>
        <v>22952.818124999994</v>
      </c>
      <c r="AZ223" s="72">
        <f t="shared" si="99"/>
        <v>22952.818124999994</v>
      </c>
      <c r="BA223" s="72">
        <f t="shared" si="99"/>
        <v>22952.818124999994</v>
      </c>
      <c r="BB223" s="72">
        <f t="shared" si="99"/>
        <v>27543.381749999993</v>
      </c>
      <c r="BC223" s="72">
        <f t="shared" si="99"/>
        <v>29906.743955243626</v>
      </c>
      <c r="BD223" s="72">
        <f t="shared" si="99"/>
        <v>23526.638578124992</v>
      </c>
      <c r="BE223" s="72">
        <f t="shared" si="99"/>
        <v>23526.638578124992</v>
      </c>
      <c r="BF223" s="72">
        <f t="shared" si="99"/>
        <v>23526.638578124992</v>
      </c>
      <c r="BG223" s="72">
        <f t="shared" si="99"/>
        <v>23526.638578124992</v>
      </c>
      <c r="BH223" s="72">
        <f t="shared" si="99"/>
        <v>23526.638578124992</v>
      </c>
      <c r="BI223" s="72">
        <f t="shared" si="99"/>
        <v>29906.743955243626</v>
      </c>
      <c r="BJ223" s="72">
        <f t="shared" si="99"/>
        <v>23526.638578124992</v>
      </c>
      <c r="BK223" s="72">
        <f t="shared" si="99"/>
        <v>23526.638578124992</v>
      </c>
      <c r="BL223" s="72">
        <f t="shared" si="99"/>
        <v>23526.638578124992</v>
      </c>
      <c r="BM223" s="72">
        <f t="shared" si="99"/>
        <v>23526.638578124992</v>
      </c>
      <c r="BN223" s="72">
        <f t="shared" si="99"/>
        <v>28231.966293749989</v>
      </c>
    </row>
    <row r="224" spans="2:72" ht="13.8">
      <c r="B224" s="37" t="str">
        <f>CaseData!$B$30</f>
        <v>Madrid</v>
      </c>
      <c r="C224" t="str">
        <f t="shared" si="97"/>
        <v>Women's</v>
      </c>
      <c r="D224" s="84" t="str">
        <f>INDEX(CaseData!$E$10:$E$17,MATCH(B224,CaseData!$C$10:$C$17,0))</f>
        <v>EUR</v>
      </c>
      <c r="E224" s="84" t="str">
        <f>INDEX(CaseData!$D$10:$D$17,MATCH(B224,CaseData!$C$10:$C$17,0))</f>
        <v>Spain</v>
      </c>
      <c r="G224" s="72">
        <f t="shared" ref="G224:BN228" si="100">G187/INDEX(G$208:G$213,MATCH($D224,$B$208:$B$213,0))</f>
        <v>112500</v>
      </c>
      <c r="H224" s="72">
        <f t="shared" si="100"/>
        <v>75000</v>
      </c>
      <c r="I224" s="72">
        <f t="shared" si="100"/>
        <v>75000</v>
      </c>
      <c r="J224" s="72">
        <f t="shared" si="100"/>
        <v>75000</v>
      </c>
      <c r="K224" s="72">
        <f t="shared" si="100"/>
        <v>75000</v>
      </c>
      <c r="L224" s="72">
        <f t="shared" si="100"/>
        <v>75000</v>
      </c>
      <c r="M224" s="72">
        <f t="shared" si="100"/>
        <v>112500</v>
      </c>
      <c r="N224" s="72">
        <f t="shared" si="100"/>
        <v>75000</v>
      </c>
      <c r="O224" s="72">
        <f t="shared" si="100"/>
        <v>75000</v>
      </c>
      <c r="P224" s="72">
        <f t="shared" si="100"/>
        <v>75000</v>
      </c>
      <c r="Q224" s="72">
        <f t="shared" si="100"/>
        <v>75000</v>
      </c>
      <c r="R224" s="72">
        <f t="shared" si="100"/>
        <v>90000</v>
      </c>
      <c r="S224" s="72">
        <f t="shared" si="100"/>
        <v>113062.49999999999</v>
      </c>
      <c r="T224" s="72">
        <f t="shared" si="100"/>
        <v>75374.999999999985</v>
      </c>
      <c r="U224" s="72">
        <f t="shared" si="100"/>
        <v>75374.999999999985</v>
      </c>
      <c r="V224" s="72">
        <f t="shared" si="100"/>
        <v>75374.999999999985</v>
      </c>
      <c r="W224" s="72">
        <f t="shared" si="100"/>
        <v>75374.999999999985</v>
      </c>
      <c r="X224" s="72">
        <f t="shared" si="100"/>
        <v>75374.999999999985</v>
      </c>
      <c r="Y224" s="72">
        <f t="shared" si="100"/>
        <v>113062.49999999999</v>
      </c>
      <c r="Z224" s="72">
        <f t="shared" si="100"/>
        <v>75374.999999999985</v>
      </c>
      <c r="AA224" s="72">
        <f t="shared" si="100"/>
        <v>75374.999999999985</v>
      </c>
      <c r="AB224" s="72">
        <f t="shared" si="100"/>
        <v>75374.999999999985</v>
      </c>
      <c r="AC224" s="72">
        <f t="shared" si="100"/>
        <v>75374.999999999985</v>
      </c>
      <c r="AD224" s="72">
        <f t="shared" si="100"/>
        <v>90449.999999999985</v>
      </c>
      <c r="AE224" s="72">
        <f t="shared" si="100"/>
        <v>113627.81249999997</v>
      </c>
      <c r="AF224" s="72">
        <f t="shared" si="100"/>
        <v>75751.874999999985</v>
      </c>
      <c r="AG224" s="72">
        <f t="shared" si="100"/>
        <v>75751.874999999985</v>
      </c>
      <c r="AH224" s="72">
        <f t="shared" si="100"/>
        <v>75751.874999999985</v>
      </c>
      <c r="AI224" s="72">
        <f t="shared" si="100"/>
        <v>75751.874999999985</v>
      </c>
      <c r="AJ224" s="72">
        <f t="shared" si="100"/>
        <v>75751.874999999985</v>
      </c>
      <c r="AK224" s="72">
        <f t="shared" si="100"/>
        <v>113627.81249999997</v>
      </c>
      <c r="AL224" s="72">
        <f t="shared" si="100"/>
        <v>75751.874999999985</v>
      </c>
      <c r="AM224" s="72">
        <f t="shared" si="100"/>
        <v>75751.874999999985</v>
      </c>
      <c r="AN224" s="72">
        <f t="shared" si="100"/>
        <v>75751.874999999985</v>
      </c>
      <c r="AO224" s="72">
        <f t="shared" si="100"/>
        <v>75751.874999999985</v>
      </c>
      <c r="AP224" s="72">
        <f t="shared" si="100"/>
        <v>90902.249999999971</v>
      </c>
      <c r="AQ224" s="72">
        <f t="shared" si="100"/>
        <v>114764.09062499997</v>
      </c>
      <c r="AR224" s="72">
        <f t="shared" si="100"/>
        <v>76509.393749999988</v>
      </c>
      <c r="AS224" s="72">
        <f t="shared" si="100"/>
        <v>76509.393749999988</v>
      </c>
      <c r="AT224" s="72">
        <f t="shared" si="100"/>
        <v>76509.393749999988</v>
      </c>
      <c r="AU224" s="72">
        <f t="shared" si="100"/>
        <v>76509.393749999988</v>
      </c>
      <c r="AV224" s="72">
        <f t="shared" si="100"/>
        <v>76509.393749999988</v>
      </c>
      <c r="AW224" s="72">
        <f t="shared" si="100"/>
        <v>114764.09062499997</v>
      </c>
      <c r="AX224" s="72">
        <f t="shared" si="100"/>
        <v>76509.393749999988</v>
      </c>
      <c r="AY224" s="72">
        <f t="shared" si="100"/>
        <v>76509.393749999988</v>
      </c>
      <c r="AZ224" s="72">
        <f t="shared" si="100"/>
        <v>76509.393749999988</v>
      </c>
      <c r="BA224" s="72">
        <f t="shared" si="100"/>
        <v>76509.393749999988</v>
      </c>
      <c r="BB224" s="72">
        <f t="shared" si="100"/>
        <v>91811.272499999977</v>
      </c>
      <c r="BC224" s="72">
        <f t="shared" si="100"/>
        <v>117633.19289062495</v>
      </c>
      <c r="BD224" s="72">
        <f t="shared" si="100"/>
        <v>78422.128593749963</v>
      </c>
      <c r="BE224" s="72">
        <f t="shared" si="100"/>
        <v>78422.128593749963</v>
      </c>
      <c r="BF224" s="72">
        <f t="shared" si="100"/>
        <v>78422.128593749963</v>
      </c>
      <c r="BG224" s="72">
        <f t="shared" si="100"/>
        <v>78422.128593749963</v>
      </c>
      <c r="BH224" s="72">
        <f t="shared" si="100"/>
        <v>78422.128593749963</v>
      </c>
      <c r="BI224" s="72">
        <f t="shared" si="100"/>
        <v>117633.19289062495</v>
      </c>
      <c r="BJ224" s="72">
        <f t="shared" si="100"/>
        <v>78422.128593749963</v>
      </c>
      <c r="BK224" s="72">
        <f t="shared" si="100"/>
        <v>78422.128593749963</v>
      </c>
      <c r="BL224" s="72">
        <f t="shared" si="100"/>
        <v>78422.128593749963</v>
      </c>
      <c r="BM224" s="72">
        <f t="shared" si="100"/>
        <v>78422.128593749963</v>
      </c>
      <c r="BN224" s="72">
        <f t="shared" si="100"/>
        <v>94106.554312499968</v>
      </c>
    </row>
    <row r="225" spans="2:66" ht="13.8">
      <c r="B225" s="37" t="str">
        <f t="shared" ref="B225:B226" si="101">B224</f>
        <v>Madrid</v>
      </c>
      <c r="C225" t="str">
        <f t="shared" si="97"/>
        <v>Men's</v>
      </c>
      <c r="D225" s="84" t="str">
        <f>INDEX(CaseData!$E$10:$E$17,MATCH(B225,CaseData!$C$10:$C$17,0))</f>
        <v>EUR</v>
      </c>
      <c r="E225" s="84" t="str">
        <f>INDEX(CaseData!$D$10:$D$17,MATCH(B225,CaseData!$C$10:$C$17,0))</f>
        <v>Spain</v>
      </c>
      <c r="G225" s="72">
        <f t="shared" si="100"/>
        <v>54000</v>
      </c>
      <c r="H225" s="72">
        <f t="shared" si="100"/>
        <v>36000</v>
      </c>
      <c r="I225" s="72">
        <f t="shared" si="100"/>
        <v>36000</v>
      </c>
      <c r="J225" s="72">
        <f t="shared" si="100"/>
        <v>36000</v>
      </c>
      <c r="K225" s="72">
        <f t="shared" si="100"/>
        <v>36000</v>
      </c>
      <c r="L225" s="72">
        <f t="shared" si="100"/>
        <v>36000</v>
      </c>
      <c r="M225" s="72">
        <f t="shared" si="100"/>
        <v>54000</v>
      </c>
      <c r="N225" s="72">
        <f t="shared" si="100"/>
        <v>36000</v>
      </c>
      <c r="O225" s="72">
        <f t="shared" si="100"/>
        <v>36000</v>
      </c>
      <c r="P225" s="72">
        <f t="shared" si="100"/>
        <v>36000</v>
      </c>
      <c r="Q225" s="72">
        <f t="shared" si="100"/>
        <v>36000</v>
      </c>
      <c r="R225" s="72">
        <f t="shared" si="100"/>
        <v>43200</v>
      </c>
      <c r="S225" s="72">
        <f t="shared" si="100"/>
        <v>54269.999999999993</v>
      </c>
      <c r="T225" s="72">
        <f t="shared" si="100"/>
        <v>36179.999999999993</v>
      </c>
      <c r="U225" s="72">
        <f t="shared" si="100"/>
        <v>36179.999999999993</v>
      </c>
      <c r="V225" s="72">
        <f t="shared" si="100"/>
        <v>36179.999999999993</v>
      </c>
      <c r="W225" s="72">
        <f t="shared" si="100"/>
        <v>36179.999999999993</v>
      </c>
      <c r="X225" s="72">
        <f t="shared" si="100"/>
        <v>36179.999999999993</v>
      </c>
      <c r="Y225" s="72">
        <f t="shared" si="100"/>
        <v>54269.999999999993</v>
      </c>
      <c r="Z225" s="72">
        <f t="shared" si="100"/>
        <v>36179.999999999993</v>
      </c>
      <c r="AA225" s="72">
        <f t="shared" si="100"/>
        <v>36179.999999999993</v>
      </c>
      <c r="AB225" s="72">
        <f t="shared" si="100"/>
        <v>36179.999999999993</v>
      </c>
      <c r="AC225" s="72">
        <f t="shared" si="100"/>
        <v>36179.999999999993</v>
      </c>
      <c r="AD225" s="72">
        <f t="shared" si="100"/>
        <v>43415.999999999993</v>
      </c>
      <c r="AE225" s="72">
        <f t="shared" si="100"/>
        <v>54541.349999999984</v>
      </c>
      <c r="AF225" s="72">
        <f t="shared" si="100"/>
        <v>36360.899999999987</v>
      </c>
      <c r="AG225" s="72">
        <f t="shared" si="100"/>
        <v>36360.899999999987</v>
      </c>
      <c r="AH225" s="72">
        <f t="shared" si="100"/>
        <v>36360.899999999987</v>
      </c>
      <c r="AI225" s="72">
        <f t="shared" si="100"/>
        <v>36360.899999999987</v>
      </c>
      <c r="AJ225" s="72">
        <f t="shared" si="100"/>
        <v>36360.899999999987</v>
      </c>
      <c r="AK225" s="72">
        <f t="shared" si="100"/>
        <v>54541.349999999984</v>
      </c>
      <c r="AL225" s="72">
        <f t="shared" si="100"/>
        <v>36360.899999999987</v>
      </c>
      <c r="AM225" s="72">
        <f t="shared" si="100"/>
        <v>36360.899999999987</v>
      </c>
      <c r="AN225" s="72">
        <f t="shared" si="100"/>
        <v>36360.899999999987</v>
      </c>
      <c r="AO225" s="72">
        <f t="shared" si="100"/>
        <v>36360.899999999987</v>
      </c>
      <c r="AP225" s="72">
        <f t="shared" si="100"/>
        <v>43633.079999999987</v>
      </c>
      <c r="AQ225" s="72">
        <f t="shared" si="100"/>
        <v>55086.763499999986</v>
      </c>
      <c r="AR225" s="72">
        <f t="shared" si="100"/>
        <v>36724.508999999991</v>
      </c>
      <c r="AS225" s="72">
        <f t="shared" si="100"/>
        <v>36724.508999999991</v>
      </c>
      <c r="AT225" s="72">
        <f t="shared" si="100"/>
        <v>36724.508999999991</v>
      </c>
      <c r="AU225" s="72">
        <f t="shared" si="100"/>
        <v>36724.508999999991</v>
      </c>
      <c r="AV225" s="72">
        <f t="shared" si="100"/>
        <v>36724.508999999991</v>
      </c>
      <c r="AW225" s="72">
        <f t="shared" si="100"/>
        <v>55086.763499999986</v>
      </c>
      <c r="AX225" s="72">
        <f t="shared" si="100"/>
        <v>36724.508999999991</v>
      </c>
      <c r="AY225" s="72">
        <f t="shared" si="100"/>
        <v>36724.508999999991</v>
      </c>
      <c r="AZ225" s="72">
        <f t="shared" si="100"/>
        <v>36724.508999999991</v>
      </c>
      <c r="BA225" s="72">
        <f t="shared" si="100"/>
        <v>36724.508999999991</v>
      </c>
      <c r="BB225" s="72">
        <f t="shared" si="100"/>
        <v>44069.410799999991</v>
      </c>
      <c r="BC225" s="72">
        <f t="shared" si="100"/>
        <v>56463.932587499978</v>
      </c>
      <c r="BD225" s="72">
        <f t="shared" si="100"/>
        <v>37642.621724999983</v>
      </c>
      <c r="BE225" s="72">
        <f t="shared" si="100"/>
        <v>37642.621724999983</v>
      </c>
      <c r="BF225" s="72">
        <f t="shared" si="100"/>
        <v>37642.621724999983</v>
      </c>
      <c r="BG225" s="72">
        <f t="shared" si="100"/>
        <v>37642.621724999983</v>
      </c>
      <c r="BH225" s="72">
        <f t="shared" si="100"/>
        <v>37642.621724999983</v>
      </c>
      <c r="BI225" s="72">
        <f t="shared" si="100"/>
        <v>56463.932587499978</v>
      </c>
      <c r="BJ225" s="72">
        <f t="shared" si="100"/>
        <v>37642.621724999983</v>
      </c>
      <c r="BK225" s="72">
        <f t="shared" si="100"/>
        <v>37642.621724999983</v>
      </c>
      <c r="BL225" s="72">
        <f t="shared" si="100"/>
        <v>37642.621724999983</v>
      </c>
      <c r="BM225" s="72">
        <f t="shared" si="100"/>
        <v>37642.621724999983</v>
      </c>
      <c r="BN225" s="72">
        <f t="shared" si="100"/>
        <v>45171.146069999981</v>
      </c>
    </row>
    <row r="226" spans="2:66" ht="13.8">
      <c r="B226" s="37" t="str">
        <f t="shared" si="101"/>
        <v>Madrid</v>
      </c>
      <c r="C226" t="str">
        <f t="shared" si="97"/>
        <v>Accessories</v>
      </c>
      <c r="D226" s="84" t="str">
        <f>INDEX(CaseData!$E$10:$E$17,MATCH(B226,CaseData!$C$10:$C$17,0))</f>
        <v>EUR</v>
      </c>
      <c r="E226" s="84" t="str">
        <f>INDEX(CaseData!$D$10:$D$17,MATCH(B226,CaseData!$C$10:$C$17,0))</f>
        <v>Spain</v>
      </c>
      <c r="G226" s="72">
        <f t="shared" si="100"/>
        <v>13500</v>
      </c>
      <c r="H226" s="72">
        <f t="shared" si="100"/>
        <v>9000</v>
      </c>
      <c r="I226" s="72">
        <f t="shared" si="100"/>
        <v>9000</v>
      </c>
      <c r="J226" s="72">
        <f t="shared" si="100"/>
        <v>9000</v>
      </c>
      <c r="K226" s="72">
        <f t="shared" si="100"/>
        <v>9000</v>
      </c>
      <c r="L226" s="72">
        <f t="shared" si="100"/>
        <v>9000</v>
      </c>
      <c r="M226" s="72">
        <f t="shared" si="100"/>
        <v>13500</v>
      </c>
      <c r="N226" s="72">
        <f t="shared" si="100"/>
        <v>9000</v>
      </c>
      <c r="O226" s="72">
        <f t="shared" si="100"/>
        <v>9000</v>
      </c>
      <c r="P226" s="72">
        <f t="shared" si="100"/>
        <v>9000</v>
      </c>
      <c r="Q226" s="72">
        <f t="shared" si="100"/>
        <v>9000</v>
      </c>
      <c r="R226" s="72">
        <f t="shared" si="100"/>
        <v>10800</v>
      </c>
      <c r="S226" s="72">
        <f t="shared" si="100"/>
        <v>13567.499999999998</v>
      </c>
      <c r="T226" s="72">
        <f t="shared" si="100"/>
        <v>9044.9999999999982</v>
      </c>
      <c r="U226" s="72">
        <f t="shared" si="100"/>
        <v>9044.9999999999982</v>
      </c>
      <c r="V226" s="72">
        <f t="shared" si="100"/>
        <v>9044.9999999999982</v>
      </c>
      <c r="W226" s="72">
        <f t="shared" si="100"/>
        <v>9044.9999999999982</v>
      </c>
      <c r="X226" s="72">
        <f t="shared" si="100"/>
        <v>9044.9999999999982</v>
      </c>
      <c r="Y226" s="72">
        <f t="shared" si="100"/>
        <v>13455.371900826443</v>
      </c>
      <c r="Z226" s="72">
        <f t="shared" si="100"/>
        <v>9044.9999999999982</v>
      </c>
      <c r="AA226" s="72">
        <f t="shared" si="100"/>
        <v>9044.9999999999982</v>
      </c>
      <c r="AB226" s="72">
        <f t="shared" si="100"/>
        <v>9044.9999999999982</v>
      </c>
      <c r="AC226" s="72">
        <f t="shared" si="100"/>
        <v>9044.9999999999982</v>
      </c>
      <c r="AD226" s="72">
        <f t="shared" si="100"/>
        <v>10853.999999999998</v>
      </c>
      <c r="AE226" s="72">
        <f t="shared" si="100"/>
        <v>12022.340191036001</v>
      </c>
      <c r="AF226" s="72">
        <f t="shared" si="100"/>
        <v>9090.2249999999967</v>
      </c>
      <c r="AG226" s="72">
        <f t="shared" si="100"/>
        <v>9090.2249999999967</v>
      </c>
      <c r="AH226" s="72">
        <f t="shared" si="100"/>
        <v>9090.2249999999967</v>
      </c>
      <c r="AI226" s="72">
        <f t="shared" si="100"/>
        <v>9090.2249999999967</v>
      </c>
      <c r="AJ226" s="72">
        <f t="shared" si="100"/>
        <v>9090.2249999999967</v>
      </c>
      <c r="AK226" s="72">
        <f t="shared" si="100"/>
        <v>11637.556899004265</v>
      </c>
      <c r="AL226" s="72">
        <f t="shared" si="100"/>
        <v>9090.2249999999967</v>
      </c>
      <c r="AM226" s="72">
        <f t="shared" si="100"/>
        <v>9090.2249999999967</v>
      </c>
      <c r="AN226" s="72">
        <f t="shared" si="100"/>
        <v>9090.2249999999967</v>
      </c>
      <c r="AO226" s="72">
        <f t="shared" si="100"/>
        <v>9090.2249999999967</v>
      </c>
      <c r="AP226" s="72">
        <f t="shared" si="100"/>
        <v>10908.269999999997</v>
      </c>
      <c r="AQ226" s="72">
        <f t="shared" si="100"/>
        <v>11670.92447033898</v>
      </c>
      <c r="AR226" s="72">
        <f t="shared" si="100"/>
        <v>9181.1272499999977</v>
      </c>
      <c r="AS226" s="72">
        <f t="shared" si="100"/>
        <v>9181.1272499999977</v>
      </c>
      <c r="AT226" s="72">
        <f t="shared" si="100"/>
        <v>9181.1272499999977</v>
      </c>
      <c r="AU226" s="72">
        <f t="shared" si="100"/>
        <v>9181.1272499999977</v>
      </c>
      <c r="AV226" s="72">
        <f t="shared" si="100"/>
        <v>9181.1272499999977</v>
      </c>
      <c r="AW226" s="72">
        <f t="shared" si="100"/>
        <v>11670.92447033898</v>
      </c>
      <c r="AX226" s="72">
        <f t="shared" si="100"/>
        <v>9181.1272499999977</v>
      </c>
      <c r="AY226" s="72">
        <f t="shared" si="100"/>
        <v>9181.1272499999977</v>
      </c>
      <c r="AZ226" s="72">
        <f t="shared" si="100"/>
        <v>9181.1272499999977</v>
      </c>
      <c r="BA226" s="72">
        <f t="shared" si="100"/>
        <v>9181.1272499999977</v>
      </c>
      <c r="BB226" s="72">
        <f t="shared" si="100"/>
        <v>11017.352699999998</v>
      </c>
      <c r="BC226" s="72">
        <f t="shared" si="100"/>
        <v>11962.697582097451</v>
      </c>
      <c r="BD226" s="72">
        <f t="shared" si="100"/>
        <v>9410.6554312499957</v>
      </c>
      <c r="BE226" s="72">
        <f t="shared" si="100"/>
        <v>9410.6554312499957</v>
      </c>
      <c r="BF226" s="72">
        <f t="shared" si="100"/>
        <v>9410.6554312499957</v>
      </c>
      <c r="BG226" s="72">
        <f t="shared" si="100"/>
        <v>9410.6554312499957</v>
      </c>
      <c r="BH226" s="72">
        <f t="shared" si="100"/>
        <v>9410.6554312499957</v>
      </c>
      <c r="BI226" s="72">
        <f t="shared" si="100"/>
        <v>11962.697582097451</v>
      </c>
      <c r="BJ226" s="72">
        <f t="shared" si="100"/>
        <v>9410.6554312499957</v>
      </c>
      <c r="BK226" s="72">
        <f t="shared" si="100"/>
        <v>9410.6554312499957</v>
      </c>
      <c r="BL226" s="72">
        <f t="shared" si="100"/>
        <v>9410.6554312499957</v>
      </c>
      <c r="BM226" s="72">
        <f t="shared" si="100"/>
        <v>9410.6554312499957</v>
      </c>
      <c r="BN226" s="72">
        <f t="shared" si="100"/>
        <v>11292.786517499995</v>
      </c>
    </row>
    <row r="227" spans="2:66" ht="13.8">
      <c r="B227" s="37" t="str">
        <f>CaseData!$B$31</f>
        <v>London</v>
      </c>
      <c r="C227" t="str">
        <f t="shared" si="97"/>
        <v>Women's</v>
      </c>
      <c r="D227" s="84" t="str">
        <f>INDEX(CaseData!$E$10:$E$17,MATCH(B227,CaseData!$C$10:$C$17,0))</f>
        <v>GBP</v>
      </c>
      <c r="E227" s="84" t="str">
        <f>INDEX(CaseData!$D$10:$D$17,MATCH(B227,CaseData!$C$10:$C$17,0))</f>
        <v>UK</v>
      </c>
      <c r="G227" s="72">
        <f t="shared" si="100"/>
        <v>81540.69767441861</v>
      </c>
      <c r="H227" s="72">
        <f t="shared" si="100"/>
        <v>54360.465116279069</v>
      </c>
      <c r="I227" s="72">
        <f t="shared" si="100"/>
        <v>54360.465116279069</v>
      </c>
      <c r="J227" s="72">
        <f t="shared" si="100"/>
        <v>54360.465116279069</v>
      </c>
      <c r="K227" s="72">
        <f t="shared" si="100"/>
        <v>54360.465116279069</v>
      </c>
      <c r="L227" s="72">
        <f t="shared" si="100"/>
        <v>54360.465116279069</v>
      </c>
      <c r="M227" s="72">
        <f t="shared" si="100"/>
        <v>81540.69767441861</v>
      </c>
      <c r="N227" s="72">
        <f t="shared" si="100"/>
        <v>54360.465116279069</v>
      </c>
      <c r="O227" s="72">
        <f t="shared" si="100"/>
        <v>54360.465116279069</v>
      </c>
      <c r="P227" s="72">
        <f t="shared" si="100"/>
        <v>54360.465116279069</v>
      </c>
      <c r="Q227" s="72">
        <f t="shared" si="100"/>
        <v>54360.465116279069</v>
      </c>
      <c r="R227" s="72">
        <f t="shared" si="100"/>
        <v>65232.558139534885</v>
      </c>
      <c r="S227" s="72">
        <f t="shared" si="100"/>
        <v>83021.551724137928</v>
      </c>
      <c r="T227" s="72">
        <f t="shared" si="100"/>
        <v>55347.701149425287</v>
      </c>
      <c r="U227" s="72">
        <f t="shared" si="100"/>
        <v>55347.701149425287</v>
      </c>
      <c r="V227" s="72">
        <f t="shared" si="100"/>
        <v>55347.701149425287</v>
      </c>
      <c r="W227" s="72">
        <f t="shared" si="100"/>
        <v>55347.701149425287</v>
      </c>
      <c r="X227" s="72">
        <f t="shared" si="100"/>
        <v>55347.701149425287</v>
      </c>
      <c r="Y227" s="72">
        <f t="shared" si="100"/>
        <v>83021.551724137928</v>
      </c>
      <c r="Z227" s="72">
        <f t="shared" si="100"/>
        <v>55347.701149425287</v>
      </c>
      <c r="AA227" s="72">
        <f t="shared" si="100"/>
        <v>55347.701149425287</v>
      </c>
      <c r="AB227" s="72">
        <f t="shared" si="100"/>
        <v>55347.701149425287</v>
      </c>
      <c r="AC227" s="72">
        <f t="shared" si="100"/>
        <v>55347.701149425287</v>
      </c>
      <c r="AD227" s="72">
        <f t="shared" si="100"/>
        <v>66417.241379310348</v>
      </c>
      <c r="AE227" s="72">
        <f t="shared" si="100"/>
        <v>82898.90625</v>
      </c>
      <c r="AF227" s="72">
        <f t="shared" si="100"/>
        <v>55265.9375</v>
      </c>
      <c r="AG227" s="72">
        <f t="shared" si="100"/>
        <v>55265.9375</v>
      </c>
      <c r="AH227" s="72">
        <f t="shared" si="100"/>
        <v>55265.9375</v>
      </c>
      <c r="AI227" s="72">
        <f t="shared" si="100"/>
        <v>55265.9375</v>
      </c>
      <c r="AJ227" s="72">
        <f t="shared" si="100"/>
        <v>55265.9375</v>
      </c>
      <c r="AK227" s="72">
        <f t="shared" si="100"/>
        <v>82898.90625</v>
      </c>
      <c r="AL227" s="72">
        <f t="shared" si="100"/>
        <v>55265.9375</v>
      </c>
      <c r="AM227" s="72">
        <f t="shared" si="100"/>
        <v>55265.9375</v>
      </c>
      <c r="AN227" s="72">
        <f t="shared" si="100"/>
        <v>55265.9375</v>
      </c>
      <c r="AO227" s="72">
        <f t="shared" si="100"/>
        <v>55265.9375</v>
      </c>
      <c r="AP227" s="72">
        <f t="shared" si="100"/>
        <v>66319.125</v>
      </c>
      <c r="AQ227" s="72">
        <f t="shared" si="100"/>
        <v>82787.132443820214</v>
      </c>
      <c r="AR227" s="72">
        <f t="shared" si="100"/>
        <v>55191.421629213481</v>
      </c>
      <c r="AS227" s="72">
        <f t="shared" si="100"/>
        <v>55191.421629213481</v>
      </c>
      <c r="AT227" s="72">
        <f t="shared" si="100"/>
        <v>55191.421629213481</v>
      </c>
      <c r="AU227" s="72">
        <f t="shared" si="100"/>
        <v>55191.421629213481</v>
      </c>
      <c r="AV227" s="72">
        <f t="shared" si="100"/>
        <v>55191.421629213481</v>
      </c>
      <c r="AW227" s="72">
        <f t="shared" si="100"/>
        <v>82787.132443820214</v>
      </c>
      <c r="AX227" s="72">
        <f t="shared" si="100"/>
        <v>55191.421629213481</v>
      </c>
      <c r="AY227" s="72">
        <f t="shared" si="100"/>
        <v>55191.421629213481</v>
      </c>
      <c r="AZ227" s="72">
        <f t="shared" si="100"/>
        <v>55191.421629213481</v>
      </c>
      <c r="BA227" s="72">
        <f t="shared" si="100"/>
        <v>55191.421629213481</v>
      </c>
      <c r="BB227" s="72">
        <f t="shared" si="100"/>
        <v>66229.705955056168</v>
      </c>
      <c r="BC227" s="72">
        <f t="shared" si="100"/>
        <v>82685.948170833333</v>
      </c>
      <c r="BD227" s="72">
        <f t="shared" si="100"/>
        <v>55123.965447222225</v>
      </c>
      <c r="BE227" s="72">
        <f t="shared" si="100"/>
        <v>55123.965447222225</v>
      </c>
      <c r="BF227" s="72">
        <f t="shared" si="100"/>
        <v>55123.965447222225</v>
      </c>
      <c r="BG227" s="72">
        <f t="shared" si="100"/>
        <v>55123.965447222225</v>
      </c>
      <c r="BH227" s="72">
        <f t="shared" si="100"/>
        <v>55123.965447222225</v>
      </c>
      <c r="BI227" s="72">
        <f t="shared" si="100"/>
        <v>82685.948170833333</v>
      </c>
      <c r="BJ227" s="72">
        <f t="shared" si="100"/>
        <v>55123.965447222225</v>
      </c>
      <c r="BK227" s="72">
        <f t="shared" si="100"/>
        <v>55123.965447222225</v>
      </c>
      <c r="BL227" s="72">
        <f t="shared" si="100"/>
        <v>55123.965447222225</v>
      </c>
      <c r="BM227" s="72">
        <f t="shared" si="100"/>
        <v>55123.965447222225</v>
      </c>
      <c r="BN227" s="72">
        <f t="shared" si="100"/>
        <v>66148.758536666675</v>
      </c>
    </row>
    <row r="228" spans="2:66" ht="13.8">
      <c r="B228" s="37" t="str">
        <f t="shared" ref="B228:B229" si="102">B227</f>
        <v>London</v>
      </c>
      <c r="C228" t="str">
        <f t="shared" si="97"/>
        <v>Men's</v>
      </c>
      <c r="D228" s="84" t="str">
        <f>INDEX(CaseData!$E$10:$E$17,MATCH(B228,CaseData!$C$10:$C$17,0))</f>
        <v>GBP</v>
      </c>
      <c r="E228" s="84" t="str">
        <f>INDEX(CaseData!$D$10:$D$17,MATCH(B228,CaseData!$C$10:$C$17,0))</f>
        <v>UK</v>
      </c>
      <c r="G228" s="72">
        <f t="shared" si="100"/>
        <v>79360.465116279069</v>
      </c>
      <c r="H228" s="72">
        <f t="shared" si="100"/>
        <v>52906.976744186046</v>
      </c>
      <c r="I228" s="72">
        <f t="shared" si="100"/>
        <v>52906.976744186046</v>
      </c>
      <c r="J228" s="72">
        <f t="shared" si="100"/>
        <v>52906.976744186046</v>
      </c>
      <c r="K228" s="72">
        <f t="shared" si="100"/>
        <v>52906.976744186046</v>
      </c>
      <c r="L228" s="72">
        <f t="shared" si="100"/>
        <v>52906.976744186046</v>
      </c>
      <c r="M228" s="72">
        <f t="shared" si="100"/>
        <v>79360.465116279069</v>
      </c>
      <c r="N228" s="72">
        <f t="shared" si="100"/>
        <v>52906.976744186046</v>
      </c>
      <c r="O228" s="72">
        <f t="shared" si="100"/>
        <v>52906.976744186046</v>
      </c>
      <c r="P228" s="72">
        <f t="shared" si="100"/>
        <v>52906.976744186046</v>
      </c>
      <c r="Q228" s="72">
        <f t="shared" si="100"/>
        <v>52906.976744186046</v>
      </c>
      <c r="R228" s="72">
        <f t="shared" si="100"/>
        <v>63488.372093023259</v>
      </c>
      <c r="S228" s="72">
        <f t="shared" si="100"/>
        <v>80801.724137931029</v>
      </c>
      <c r="T228" s="72">
        <f t="shared" si="100"/>
        <v>53867.816091954024</v>
      </c>
      <c r="U228" s="72">
        <f t="shared" si="100"/>
        <v>53867.816091954024</v>
      </c>
      <c r="V228" s="72">
        <f t="shared" ref="V228:BN228" si="103">V191/INDEX(V$208:V$213,MATCH($D228,$B$208:$B$213,0))</f>
        <v>53867.816091954024</v>
      </c>
      <c r="W228" s="72">
        <f t="shared" si="103"/>
        <v>53867.816091954024</v>
      </c>
      <c r="X228" s="72">
        <f t="shared" si="103"/>
        <v>53867.816091954024</v>
      </c>
      <c r="Y228" s="72">
        <f t="shared" si="103"/>
        <v>80801.724137931029</v>
      </c>
      <c r="Z228" s="72">
        <f t="shared" si="103"/>
        <v>53867.816091954024</v>
      </c>
      <c r="AA228" s="72">
        <f t="shared" si="103"/>
        <v>53867.816091954024</v>
      </c>
      <c r="AB228" s="72">
        <f t="shared" si="103"/>
        <v>53867.816091954024</v>
      </c>
      <c r="AC228" s="72">
        <f t="shared" si="103"/>
        <v>53867.816091954024</v>
      </c>
      <c r="AD228" s="72">
        <f t="shared" si="103"/>
        <v>64641.379310344826</v>
      </c>
      <c r="AE228" s="72">
        <f t="shared" si="103"/>
        <v>80682.357954545456</v>
      </c>
      <c r="AF228" s="72">
        <f t="shared" si="103"/>
        <v>53788.23863636364</v>
      </c>
      <c r="AG228" s="72">
        <f t="shared" si="103"/>
        <v>53788.23863636364</v>
      </c>
      <c r="AH228" s="72">
        <f t="shared" si="103"/>
        <v>53788.23863636364</v>
      </c>
      <c r="AI228" s="72">
        <f t="shared" si="103"/>
        <v>53788.23863636364</v>
      </c>
      <c r="AJ228" s="72">
        <f t="shared" si="103"/>
        <v>53788.23863636364</v>
      </c>
      <c r="AK228" s="72">
        <f t="shared" si="103"/>
        <v>80682.357954545456</v>
      </c>
      <c r="AL228" s="72">
        <f t="shared" si="103"/>
        <v>53788.23863636364</v>
      </c>
      <c r="AM228" s="72">
        <f t="shared" si="103"/>
        <v>53788.23863636364</v>
      </c>
      <c r="AN228" s="72">
        <f t="shared" si="103"/>
        <v>53788.23863636364</v>
      </c>
      <c r="AO228" s="72">
        <f t="shared" si="103"/>
        <v>53788.23863636364</v>
      </c>
      <c r="AP228" s="72">
        <f t="shared" si="103"/>
        <v>64545.88636363636</v>
      </c>
      <c r="AQ228" s="72">
        <f t="shared" si="103"/>
        <v>80573.572752808992</v>
      </c>
      <c r="AR228" s="72">
        <f t="shared" si="103"/>
        <v>53715.715168539326</v>
      </c>
      <c r="AS228" s="72">
        <f t="shared" si="103"/>
        <v>53715.715168539326</v>
      </c>
      <c r="AT228" s="72">
        <f t="shared" si="103"/>
        <v>53715.715168539326</v>
      </c>
      <c r="AU228" s="72">
        <f t="shared" si="103"/>
        <v>53715.715168539326</v>
      </c>
      <c r="AV228" s="72">
        <f t="shared" si="103"/>
        <v>53715.715168539326</v>
      </c>
      <c r="AW228" s="72">
        <f t="shared" si="103"/>
        <v>80573.572752808992</v>
      </c>
      <c r="AX228" s="72">
        <f t="shared" si="103"/>
        <v>53715.715168539326</v>
      </c>
      <c r="AY228" s="72">
        <f t="shared" si="103"/>
        <v>53715.715168539326</v>
      </c>
      <c r="AZ228" s="72">
        <f t="shared" si="103"/>
        <v>53715.715168539326</v>
      </c>
      <c r="BA228" s="72">
        <f t="shared" si="103"/>
        <v>53715.715168539326</v>
      </c>
      <c r="BB228" s="72">
        <f t="shared" si="103"/>
        <v>64458.858202247182</v>
      </c>
      <c r="BC228" s="72">
        <f t="shared" si="103"/>
        <v>80475.093941666666</v>
      </c>
      <c r="BD228" s="72">
        <f t="shared" si="103"/>
        <v>53650.062627777777</v>
      </c>
      <c r="BE228" s="72">
        <f t="shared" si="103"/>
        <v>53650.062627777777</v>
      </c>
      <c r="BF228" s="72">
        <f t="shared" si="103"/>
        <v>53650.062627777777</v>
      </c>
      <c r="BG228" s="72">
        <f t="shared" si="103"/>
        <v>53650.062627777777</v>
      </c>
      <c r="BH228" s="72">
        <f t="shared" si="103"/>
        <v>53650.062627777777</v>
      </c>
      <c r="BI228" s="72">
        <f t="shared" si="103"/>
        <v>80475.093941666666</v>
      </c>
      <c r="BJ228" s="72">
        <f t="shared" si="103"/>
        <v>53650.062627777777</v>
      </c>
      <c r="BK228" s="72">
        <f t="shared" si="103"/>
        <v>53650.062627777777</v>
      </c>
      <c r="BL228" s="72">
        <f t="shared" si="103"/>
        <v>53650.062627777777</v>
      </c>
      <c r="BM228" s="72">
        <f t="shared" si="103"/>
        <v>53650.062627777777</v>
      </c>
      <c r="BN228" s="72">
        <f t="shared" si="103"/>
        <v>64380.075153333331</v>
      </c>
    </row>
    <row r="229" spans="2:66" ht="13.8">
      <c r="B229" s="37" t="str">
        <f t="shared" si="102"/>
        <v>London</v>
      </c>
      <c r="C229" t="str">
        <f t="shared" si="97"/>
        <v>Accessories</v>
      </c>
      <c r="D229" s="84" t="str">
        <f>INDEX(CaseData!$E$10:$E$17,MATCH(B229,CaseData!$C$10:$C$17,0))</f>
        <v>GBP</v>
      </c>
      <c r="E229" s="84" t="str">
        <f>INDEX(CaseData!$D$10:$D$17,MATCH(B229,CaseData!$C$10:$C$17,0))</f>
        <v>UK</v>
      </c>
      <c r="G229" s="72">
        <f t="shared" ref="G229:BN233" si="104">G192/INDEX(G$208:G$213,MATCH($D229,$B$208:$B$213,0))</f>
        <v>21802.325581395347</v>
      </c>
      <c r="H229" s="72">
        <f t="shared" si="104"/>
        <v>14534.883720930233</v>
      </c>
      <c r="I229" s="72">
        <f t="shared" si="104"/>
        <v>14534.883720930233</v>
      </c>
      <c r="J229" s="72">
        <f t="shared" si="104"/>
        <v>14534.883720930233</v>
      </c>
      <c r="K229" s="72">
        <f t="shared" si="104"/>
        <v>14534.883720930233</v>
      </c>
      <c r="L229" s="72">
        <f t="shared" si="104"/>
        <v>14534.883720930233</v>
      </c>
      <c r="M229" s="72">
        <f t="shared" si="104"/>
        <v>21802.325581395347</v>
      </c>
      <c r="N229" s="72">
        <f t="shared" si="104"/>
        <v>14534.883720930233</v>
      </c>
      <c r="O229" s="72">
        <f t="shared" si="104"/>
        <v>14534.883720930233</v>
      </c>
      <c r="P229" s="72">
        <f t="shared" si="104"/>
        <v>14534.883720930233</v>
      </c>
      <c r="Q229" s="72">
        <f t="shared" si="104"/>
        <v>14534.883720930233</v>
      </c>
      <c r="R229" s="72">
        <f t="shared" si="104"/>
        <v>17441.860465116279</v>
      </c>
      <c r="S229" s="72">
        <f t="shared" si="104"/>
        <v>22198.275862068967</v>
      </c>
      <c r="T229" s="72">
        <f t="shared" si="104"/>
        <v>14798.850574712644</v>
      </c>
      <c r="U229" s="72">
        <f t="shared" si="104"/>
        <v>14798.850574712644</v>
      </c>
      <c r="V229" s="72">
        <f t="shared" si="104"/>
        <v>14798.850574712644</v>
      </c>
      <c r="W229" s="72">
        <f t="shared" si="104"/>
        <v>14798.850574712644</v>
      </c>
      <c r="X229" s="72">
        <f t="shared" si="104"/>
        <v>14798.850574712644</v>
      </c>
      <c r="Y229" s="72">
        <f t="shared" si="104"/>
        <v>22014.819036762608</v>
      </c>
      <c r="Z229" s="72">
        <f t="shared" si="104"/>
        <v>14798.850574712644</v>
      </c>
      <c r="AA229" s="72">
        <f t="shared" si="104"/>
        <v>14798.850574712644</v>
      </c>
      <c r="AB229" s="72">
        <f t="shared" si="104"/>
        <v>14798.850574712644</v>
      </c>
      <c r="AC229" s="72">
        <f t="shared" si="104"/>
        <v>14798.850574712644</v>
      </c>
      <c r="AD229" s="72">
        <f t="shared" si="104"/>
        <v>17758.620689655174</v>
      </c>
      <c r="AE229" s="72">
        <f t="shared" si="104"/>
        <v>19543.408923919578</v>
      </c>
      <c r="AF229" s="72">
        <f t="shared" si="104"/>
        <v>14776.988636363636</v>
      </c>
      <c r="AG229" s="72">
        <f t="shared" si="104"/>
        <v>14776.988636363636</v>
      </c>
      <c r="AH229" s="72">
        <f t="shared" si="104"/>
        <v>14776.988636363636</v>
      </c>
      <c r="AI229" s="72">
        <f t="shared" si="104"/>
        <v>14776.988636363636</v>
      </c>
      <c r="AJ229" s="72">
        <f t="shared" si="104"/>
        <v>14776.988636363636</v>
      </c>
      <c r="AK229" s="72">
        <f t="shared" si="104"/>
        <v>18917.908638303375</v>
      </c>
      <c r="AL229" s="72">
        <f t="shared" si="104"/>
        <v>14776.988636363636</v>
      </c>
      <c r="AM229" s="72">
        <f t="shared" si="104"/>
        <v>14776.988636363636</v>
      </c>
      <c r="AN229" s="72">
        <f t="shared" si="104"/>
        <v>14776.988636363636</v>
      </c>
      <c r="AO229" s="72">
        <f t="shared" si="104"/>
        <v>14776.988636363636</v>
      </c>
      <c r="AP229" s="72">
        <f t="shared" si="104"/>
        <v>17732.386363636364</v>
      </c>
      <c r="AQ229" s="72">
        <f t="shared" si="104"/>
        <v>18758.980432298606</v>
      </c>
      <c r="AR229" s="72">
        <f t="shared" si="104"/>
        <v>14757.064606741571</v>
      </c>
      <c r="AS229" s="72">
        <f t="shared" si="104"/>
        <v>14757.064606741571</v>
      </c>
      <c r="AT229" s="72">
        <f t="shared" si="104"/>
        <v>14757.064606741571</v>
      </c>
      <c r="AU229" s="72">
        <f t="shared" si="104"/>
        <v>14757.064606741571</v>
      </c>
      <c r="AV229" s="72">
        <f t="shared" si="104"/>
        <v>14757.064606741571</v>
      </c>
      <c r="AW229" s="72">
        <f t="shared" si="104"/>
        <v>18758.980432298606</v>
      </c>
      <c r="AX229" s="72">
        <f t="shared" si="104"/>
        <v>14757.064606741571</v>
      </c>
      <c r="AY229" s="72">
        <f t="shared" si="104"/>
        <v>14757.064606741571</v>
      </c>
      <c r="AZ229" s="72">
        <f t="shared" si="104"/>
        <v>14757.064606741571</v>
      </c>
      <c r="BA229" s="72">
        <f t="shared" si="104"/>
        <v>14757.064606741571</v>
      </c>
      <c r="BB229" s="72">
        <f t="shared" si="104"/>
        <v>17708.477528089887</v>
      </c>
      <c r="BC229" s="72">
        <f t="shared" si="104"/>
        <v>18736.052789548019</v>
      </c>
      <c r="BD229" s="72">
        <f t="shared" si="104"/>
        <v>14739.028194444443</v>
      </c>
      <c r="BE229" s="72">
        <f t="shared" si="104"/>
        <v>14739.028194444443</v>
      </c>
      <c r="BF229" s="72">
        <f t="shared" si="104"/>
        <v>14739.028194444443</v>
      </c>
      <c r="BG229" s="72">
        <f t="shared" si="104"/>
        <v>14739.028194444443</v>
      </c>
      <c r="BH229" s="72">
        <f t="shared" si="104"/>
        <v>14739.028194444443</v>
      </c>
      <c r="BI229" s="72">
        <f t="shared" si="104"/>
        <v>18736.052789548019</v>
      </c>
      <c r="BJ229" s="72">
        <f t="shared" si="104"/>
        <v>14739.028194444443</v>
      </c>
      <c r="BK229" s="72">
        <f t="shared" si="104"/>
        <v>14739.028194444443</v>
      </c>
      <c r="BL229" s="72">
        <f t="shared" si="104"/>
        <v>14739.028194444443</v>
      </c>
      <c r="BM229" s="72">
        <f t="shared" si="104"/>
        <v>14739.028194444443</v>
      </c>
      <c r="BN229" s="72">
        <f t="shared" si="104"/>
        <v>17686.833833333334</v>
      </c>
    </row>
    <row r="230" spans="2:66" ht="13.8">
      <c r="B230" s="37" t="str">
        <f>CaseData!$B$32</f>
        <v>New York</v>
      </c>
      <c r="C230" t="str">
        <f t="shared" si="97"/>
        <v>Women's</v>
      </c>
      <c r="D230" s="84" t="str">
        <f>INDEX(CaseData!$E$10:$E$17,MATCH(B230,CaseData!$C$10:$C$17,0))</f>
        <v>USD</v>
      </c>
      <c r="E230" s="84" t="str">
        <f>INDEX(CaseData!$D$10:$D$17,MATCH(B230,CaseData!$C$10:$C$17,0))</f>
        <v>US</v>
      </c>
      <c r="G230" s="72">
        <f t="shared" si="104"/>
        <v>0</v>
      </c>
      <c r="H230" s="72">
        <f t="shared" si="104"/>
        <v>0</v>
      </c>
      <c r="I230" s="72">
        <f t="shared" si="104"/>
        <v>23749.999999999996</v>
      </c>
      <c r="J230" s="72">
        <f t="shared" si="104"/>
        <v>25729.166666666657</v>
      </c>
      <c r="K230" s="72">
        <f t="shared" si="104"/>
        <v>27708.333333333325</v>
      </c>
      <c r="L230" s="72">
        <f t="shared" si="104"/>
        <v>29687.499999999996</v>
      </c>
      <c r="M230" s="72">
        <f t="shared" si="104"/>
        <v>47499.999999999993</v>
      </c>
      <c r="N230" s="72">
        <f t="shared" si="104"/>
        <v>33645.833333333328</v>
      </c>
      <c r="O230" s="72">
        <f t="shared" si="104"/>
        <v>35625</v>
      </c>
      <c r="P230" s="72">
        <f t="shared" si="104"/>
        <v>37604.166666666664</v>
      </c>
      <c r="Q230" s="72">
        <f t="shared" si="104"/>
        <v>39583.333333333336</v>
      </c>
      <c r="R230" s="72">
        <f t="shared" si="104"/>
        <v>49874.999999999993</v>
      </c>
      <c r="S230" s="72">
        <f t="shared" si="104"/>
        <v>66665.822072072071</v>
      </c>
      <c r="T230" s="72">
        <f t="shared" si="104"/>
        <v>46464.057807807818</v>
      </c>
      <c r="U230" s="72">
        <f t="shared" si="104"/>
        <v>48484.234234234245</v>
      </c>
      <c r="V230" s="72">
        <f t="shared" si="104"/>
        <v>48484.234234234245</v>
      </c>
      <c r="W230" s="72">
        <f t="shared" si="104"/>
        <v>48484.234234234245</v>
      </c>
      <c r="X230" s="72">
        <f t="shared" si="104"/>
        <v>48484.234234234245</v>
      </c>
      <c r="Y230" s="72">
        <f t="shared" si="104"/>
        <v>72726.351351351361</v>
      </c>
      <c r="Z230" s="72">
        <f t="shared" si="104"/>
        <v>48484.234234234245</v>
      </c>
      <c r="AA230" s="72">
        <f t="shared" si="104"/>
        <v>48484.234234234245</v>
      </c>
      <c r="AB230" s="72">
        <f t="shared" si="104"/>
        <v>48484.234234234245</v>
      </c>
      <c r="AC230" s="72">
        <f t="shared" si="104"/>
        <v>48484.234234234245</v>
      </c>
      <c r="AD230" s="72">
        <f t="shared" si="104"/>
        <v>58181.081081081087</v>
      </c>
      <c r="AE230" s="72">
        <f t="shared" si="104"/>
        <v>73518.549107142855</v>
      </c>
      <c r="AF230" s="72">
        <f t="shared" si="104"/>
        <v>49012.36607142858</v>
      </c>
      <c r="AG230" s="72">
        <f t="shared" si="104"/>
        <v>49012.36607142858</v>
      </c>
      <c r="AH230" s="72">
        <f t="shared" si="104"/>
        <v>49012.36607142858</v>
      </c>
      <c r="AI230" s="72">
        <f t="shared" si="104"/>
        <v>49012.36607142858</v>
      </c>
      <c r="AJ230" s="72">
        <f t="shared" si="104"/>
        <v>49012.36607142858</v>
      </c>
      <c r="AK230" s="72">
        <f t="shared" si="104"/>
        <v>73518.549107142855</v>
      </c>
      <c r="AL230" s="72">
        <f t="shared" si="104"/>
        <v>49012.36607142858</v>
      </c>
      <c r="AM230" s="72">
        <f t="shared" si="104"/>
        <v>49012.36607142858</v>
      </c>
      <c r="AN230" s="72">
        <f t="shared" si="104"/>
        <v>49012.36607142858</v>
      </c>
      <c r="AO230" s="72">
        <f t="shared" si="104"/>
        <v>49012.36607142858</v>
      </c>
      <c r="AP230" s="72">
        <f t="shared" si="104"/>
        <v>58814.83928571429</v>
      </c>
      <c r="AQ230" s="72">
        <f t="shared" si="104"/>
        <v>75053.980752212403</v>
      </c>
      <c r="AR230" s="72">
        <f t="shared" si="104"/>
        <v>50035.987168141604</v>
      </c>
      <c r="AS230" s="72">
        <f t="shared" si="104"/>
        <v>50035.987168141604</v>
      </c>
      <c r="AT230" s="72">
        <f t="shared" si="104"/>
        <v>50035.987168141604</v>
      </c>
      <c r="AU230" s="72">
        <f t="shared" si="104"/>
        <v>50035.987168141604</v>
      </c>
      <c r="AV230" s="72">
        <f t="shared" si="104"/>
        <v>50035.987168141604</v>
      </c>
      <c r="AW230" s="72">
        <f t="shared" si="104"/>
        <v>75053.980752212403</v>
      </c>
      <c r="AX230" s="72">
        <f t="shared" si="104"/>
        <v>50035.987168141604</v>
      </c>
      <c r="AY230" s="72">
        <f t="shared" si="104"/>
        <v>50035.987168141604</v>
      </c>
      <c r="AZ230" s="72">
        <f t="shared" si="104"/>
        <v>50035.987168141604</v>
      </c>
      <c r="BA230" s="72">
        <f t="shared" si="104"/>
        <v>50035.987168141604</v>
      </c>
      <c r="BB230" s="72">
        <f t="shared" si="104"/>
        <v>60043.184601769928</v>
      </c>
      <c r="BC230" s="72">
        <f t="shared" si="104"/>
        <v>74767.590562500016</v>
      </c>
      <c r="BD230" s="72">
        <f t="shared" si="104"/>
        <v>49845.060375000008</v>
      </c>
      <c r="BE230" s="72">
        <f t="shared" si="104"/>
        <v>49845.060375000008</v>
      </c>
      <c r="BF230" s="72">
        <f t="shared" si="104"/>
        <v>49845.060375000008</v>
      </c>
      <c r="BG230" s="72">
        <f t="shared" si="104"/>
        <v>49845.060375000008</v>
      </c>
      <c r="BH230" s="72">
        <f t="shared" si="104"/>
        <v>49845.060375000008</v>
      </c>
      <c r="BI230" s="72">
        <f t="shared" si="104"/>
        <v>74767.590562500016</v>
      </c>
      <c r="BJ230" s="72">
        <f t="shared" si="104"/>
        <v>49845.060375000008</v>
      </c>
      <c r="BK230" s="72">
        <f t="shared" si="104"/>
        <v>49845.060375000008</v>
      </c>
      <c r="BL230" s="72">
        <f t="shared" si="104"/>
        <v>49845.060375000008</v>
      </c>
      <c r="BM230" s="72">
        <f t="shared" si="104"/>
        <v>49845.060375000008</v>
      </c>
      <c r="BN230" s="72">
        <f t="shared" si="104"/>
        <v>59814.072450000007</v>
      </c>
    </row>
    <row r="231" spans="2:66" ht="13.8">
      <c r="B231" s="37" t="str">
        <f t="shared" ref="B231:B232" si="105">B230</f>
        <v>New York</v>
      </c>
      <c r="C231" t="str">
        <f t="shared" si="97"/>
        <v>Men's</v>
      </c>
      <c r="D231" s="84" t="str">
        <f>INDEX(CaseData!$E$10:$E$17,MATCH(B231,CaseData!$C$10:$C$17,0))</f>
        <v>USD</v>
      </c>
      <c r="E231" s="84" t="str">
        <f>INDEX(CaseData!$D$10:$D$17,MATCH(B231,CaseData!$C$10:$C$17,0))</f>
        <v>US</v>
      </c>
      <c r="G231" s="72">
        <f t="shared" si="104"/>
        <v>0</v>
      </c>
      <c r="H231" s="72">
        <f t="shared" si="104"/>
        <v>0</v>
      </c>
      <c r="I231" s="72">
        <f t="shared" si="104"/>
        <v>22159.090909090908</v>
      </c>
      <c r="J231" s="72">
        <f t="shared" si="104"/>
        <v>24005.681818181809</v>
      </c>
      <c r="K231" s="72">
        <f t="shared" si="104"/>
        <v>25852.272727272724</v>
      </c>
      <c r="L231" s="72">
        <f t="shared" si="104"/>
        <v>27698.863636363632</v>
      </c>
      <c r="M231" s="72">
        <f t="shared" si="104"/>
        <v>44318.181818181816</v>
      </c>
      <c r="N231" s="72">
        <f t="shared" si="104"/>
        <v>31392.045454545452</v>
      </c>
      <c r="O231" s="72">
        <f t="shared" si="104"/>
        <v>33238.63636363636</v>
      </c>
      <c r="P231" s="72">
        <f t="shared" si="104"/>
        <v>35085.227272727272</v>
      </c>
      <c r="Q231" s="72">
        <f t="shared" si="104"/>
        <v>36931.818181818177</v>
      </c>
      <c r="R231" s="72">
        <f t="shared" si="104"/>
        <v>46534.090909090904</v>
      </c>
      <c r="S231" s="72">
        <f t="shared" si="104"/>
        <v>62200.168918918913</v>
      </c>
      <c r="T231" s="72">
        <f t="shared" si="104"/>
        <v>43351.632882882885</v>
      </c>
      <c r="U231" s="72">
        <f t="shared" si="104"/>
        <v>45236.486486486487</v>
      </c>
      <c r="V231" s="72">
        <f t="shared" si="104"/>
        <v>45236.486486486487</v>
      </c>
      <c r="W231" s="72">
        <f t="shared" si="104"/>
        <v>45236.486486486487</v>
      </c>
      <c r="X231" s="72">
        <f t="shared" si="104"/>
        <v>45236.486486486487</v>
      </c>
      <c r="Y231" s="72">
        <f t="shared" si="104"/>
        <v>67854.729729729719</v>
      </c>
      <c r="Z231" s="72">
        <f t="shared" si="104"/>
        <v>45236.486486486487</v>
      </c>
      <c r="AA231" s="72">
        <f t="shared" si="104"/>
        <v>45236.486486486487</v>
      </c>
      <c r="AB231" s="72">
        <f t="shared" si="104"/>
        <v>45236.486486486487</v>
      </c>
      <c r="AC231" s="72">
        <f t="shared" si="104"/>
        <v>45236.486486486487</v>
      </c>
      <c r="AD231" s="72">
        <f t="shared" si="104"/>
        <v>54283.783783783794</v>
      </c>
      <c r="AE231" s="72">
        <f t="shared" si="104"/>
        <v>68593.861607142855</v>
      </c>
      <c r="AF231" s="72">
        <f t="shared" si="104"/>
        <v>45729.241071428572</v>
      </c>
      <c r="AG231" s="72">
        <f t="shared" si="104"/>
        <v>45729.241071428572</v>
      </c>
      <c r="AH231" s="72">
        <f t="shared" si="104"/>
        <v>45729.241071428572</v>
      </c>
      <c r="AI231" s="72">
        <f t="shared" si="104"/>
        <v>45729.241071428572</v>
      </c>
      <c r="AJ231" s="72">
        <f t="shared" si="104"/>
        <v>45729.241071428572</v>
      </c>
      <c r="AK231" s="72">
        <f t="shared" si="104"/>
        <v>68593.861607142855</v>
      </c>
      <c r="AL231" s="72">
        <f t="shared" si="104"/>
        <v>45729.241071428572</v>
      </c>
      <c r="AM231" s="72">
        <f t="shared" si="104"/>
        <v>45729.241071428572</v>
      </c>
      <c r="AN231" s="72">
        <f t="shared" si="104"/>
        <v>45729.241071428572</v>
      </c>
      <c r="AO231" s="72">
        <f t="shared" si="104"/>
        <v>45729.241071428572</v>
      </c>
      <c r="AP231" s="72">
        <f t="shared" si="104"/>
        <v>54875.08928571429</v>
      </c>
      <c r="AQ231" s="72">
        <f t="shared" si="104"/>
        <v>70026.441371681416</v>
      </c>
      <c r="AR231" s="72">
        <f t="shared" si="104"/>
        <v>46684.29424778762</v>
      </c>
      <c r="AS231" s="72">
        <f t="shared" si="104"/>
        <v>46684.29424778762</v>
      </c>
      <c r="AT231" s="72">
        <f t="shared" si="104"/>
        <v>46684.29424778762</v>
      </c>
      <c r="AU231" s="72">
        <f t="shared" si="104"/>
        <v>46684.29424778762</v>
      </c>
      <c r="AV231" s="72">
        <f t="shared" si="104"/>
        <v>46684.29424778762</v>
      </c>
      <c r="AW231" s="72">
        <f t="shared" si="104"/>
        <v>70026.441371681416</v>
      </c>
      <c r="AX231" s="72">
        <f t="shared" si="104"/>
        <v>46684.29424778762</v>
      </c>
      <c r="AY231" s="72">
        <f t="shared" si="104"/>
        <v>46684.29424778762</v>
      </c>
      <c r="AZ231" s="72">
        <f t="shared" si="104"/>
        <v>46684.29424778762</v>
      </c>
      <c r="BA231" s="72">
        <f t="shared" si="104"/>
        <v>46684.29424778762</v>
      </c>
      <c r="BB231" s="72">
        <f t="shared" si="104"/>
        <v>56021.153097345152</v>
      </c>
      <c r="BC231" s="72">
        <f t="shared" si="104"/>
        <v>69759.235213815773</v>
      </c>
      <c r="BD231" s="72">
        <f t="shared" si="104"/>
        <v>46506.15680921053</v>
      </c>
      <c r="BE231" s="72">
        <f t="shared" si="104"/>
        <v>46506.15680921053</v>
      </c>
      <c r="BF231" s="72">
        <f t="shared" si="104"/>
        <v>46506.15680921053</v>
      </c>
      <c r="BG231" s="72">
        <f t="shared" si="104"/>
        <v>46506.15680921053</v>
      </c>
      <c r="BH231" s="72">
        <f t="shared" si="104"/>
        <v>46506.15680921053</v>
      </c>
      <c r="BI231" s="72">
        <f t="shared" si="104"/>
        <v>69759.235213815773</v>
      </c>
      <c r="BJ231" s="72">
        <f t="shared" si="104"/>
        <v>46506.15680921053</v>
      </c>
      <c r="BK231" s="72">
        <f t="shared" si="104"/>
        <v>46506.15680921053</v>
      </c>
      <c r="BL231" s="72">
        <f t="shared" si="104"/>
        <v>46506.15680921053</v>
      </c>
      <c r="BM231" s="72">
        <f t="shared" si="104"/>
        <v>46506.15680921053</v>
      </c>
      <c r="BN231" s="72">
        <f t="shared" si="104"/>
        <v>55807.38817105264</v>
      </c>
    </row>
    <row r="232" spans="2:66" ht="13.8">
      <c r="B232" s="37" t="str">
        <f t="shared" si="105"/>
        <v>New York</v>
      </c>
      <c r="C232" t="str">
        <f t="shared" si="97"/>
        <v>Accessories</v>
      </c>
      <c r="D232" s="84" t="str">
        <f>INDEX(CaseData!$E$10:$E$17,MATCH(B232,CaseData!$C$10:$C$17,0))</f>
        <v>USD</v>
      </c>
      <c r="E232" s="84" t="str">
        <f>INDEX(CaseData!$D$10:$D$17,MATCH(B232,CaseData!$C$10:$C$17,0))</f>
        <v>US</v>
      </c>
      <c r="G232" s="72">
        <f t="shared" si="104"/>
        <v>0</v>
      </c>
      <c r="H232" s="72">
        <f t="shared" si="104"/>
        <v>0</v>
      </c>
      <c r="I232" s="72">
        <f t="shared" si="104"/>
        <v>6818.181818181818</v>
      </c>
      <c r="J232" s="72">
        <f t="shared" si="104"/>
        <v>7386.3636363636333</v>
      </c>
      <c r="K232" s="72">
        <f t="shared" si="104"/>
        <v>7954.545454545454</v>
      </c>
      <c r="L232" s="72">
        <f t="shared" si="104"/>
        <v>8522.7272727272721</v>
      </c>
      <c r="M232" s="72">
        <f t="shared" si="104"/>
        <v>13636.363636363636</v>
      </c>
      <c r="N232" s="72">
        <f t="shared" si="104"/>
        <v>9659.0909090909081</v>
      </c>
      <c r="O232" s="72">
        <f t="shared" si="104"/>
        <v>10227.272727272726</v>
      </c>
      <c r="P232" s="72">
        <f t="shared" si="104"/>
        <v>10795.454545454544</v>
      </c>
      <c r="Q232" s="72">
        <f t="shared" si="104"/>
        <v>11363.636363636364</v>
      </c>
      <c r="R232" s="72">
        <f t="shared" si="104"/>
        <v>14318.181818181816</v>
      </c>
      <c r="S232" s="72">
        <f t="shared" si="104"/>
        <v>19138.513513513513</v>
      </c>
      <c r="T232" s="72">
        <f t="shared" si="104"/>
        <v>13338.963963963964</v>
      </c>
      <c r="U232" s="72">
        <f t="shared" si="104"/>
        <v>13918.91891891892</v>
      </c>
      <c r="V232" s="72">
        <f t="shared" si="104"/>
        <v>13918.91891891892</v>
      </c>
      <c r="W232" s="72">
        <f t="shared" si="104"/>
        <v>13918.91891891892</v>
      </c>
      <c r="X232" s="72">
        <f t="shared" si="104"/>
        <v>13918.91891891892</v>
      </c>
      <c r="Y232" s="72">
        <f t="shared" si="104"/>
        <v>20705.82979673889</v>
      </c>
      <c r="Z232" s="72">
        <f t="shared" si="104"/>
        <v>13918.91891891892</v>
      </c>
      <c r="AA232" s="72">
        <f t="shared" si="104"/>
        <v>13918.91891891892</v>
      </c>
      <c r="AB232" s="72">
        <f t="shared" si="104"/>
        <v>13918.91891891892</v>
      </c>
      <c r="AC232" s="72">
        <f t="shared" si="104"/>
        <v>13918.91891891892</v>
      </c>
      <c r="AD232" s="72">
        <f t="shared" si="104"/>
        <v>16702.702702702703</v>
      </c>
      <c r="AE232" s="72">
        <f t="shared" si="104"/>
        <v>18609.084706623282</v>
      </c>
      <c r="AF232" s="72">
        <f t="shared" si="104"/>
        <v>14070.535714285716</v>
      </c>
      <c r="AG232" s="72">
        <f t="shared" si="104"/>
        <v>14070.535714285716</v>
      </c>
      <c r="AH232" s="72">
        <f t="shared" si="104"/>
        <v>14070.535714285716</v>
      </c>
      <c r="AI232" s="72">
        <f t="shared" si="104"/>
        <v>14070.535714285716</v>
      </c>
      <c r="AJ232" s="72">
        <f t="shared" si="104"/>
        <v>14070.535714285716</v>
      </c>
      <c r="AK232" s="72">
        <f t="shared" si="104"/>
        <v>18013.488112172327</v>
      </c>
      <c r="AL232" s="72">
        <f t="shared" si="104"/>
        <v>14070.535714285716</v>
      </c>
      <c r="AM232" s="72">
        <f t="shared" si="104"/>
        <v>14070.535714285716</v>
      </c>
      <c r="AN232" s="72">
        <f t="shared" si="104"/>
        <v>14070.535714285716</v>
      </c>
      <c r="AO232" s="72">
        <f t="shared" si="104"/>
        <v>14070.535714285716</v>
      </c>
      <c r="AP232" s="72">
        <f t="shared" si="104"/>
        <v>16884.642857142859</v>
      </c>
      <c r="AQ232" s="72">
        <f t="shared" si="104"/>
        <v>18259.828258587073</v>
      </c>
      <c r="AR232" s="72">
        <f t="shared" si="104"/>
        <v>14364.398230088498</v>
      </c>
      <c r="AS232" s="72">
        <f t="shared" si="104"/>
        <v>14364.398230088498</v>
      </c>
      <c r="AT232" s="72">
        <f t="shared" si="104"/>
        <v>14364.398230088498</v>
      </c>
      <c r="AU232" s="72">
        <f t="shared" si="104"/>
        <v>14364.398230088498</v>
      </c>
      <c r="AV232" s="72">
        <f t="shared" si="104"/>
        <v>14364.398230088498</v>
      </c>
      <c r="AW232" s="72">
        <f t="shared" si="104"/>
        <v>18259.828258587073</v>
      </c>
      <c r="AX232" s="72">
        <f t="shared" si="104"/>
        <v>14364.398230088498</v>
      </c>
      <c r="AY232" s="72">
        <f t="shared" si="104"/>
        <v>14364.398230088498</v>
      </c>
      <c r="AZ232" s="72">
        <f t="shared" si="104"/>
        <v>14364.398230088498</v>
      </c>
      <c r="BA232" s="72">
        <f t="shared" si="104"/>
        <v>14364.398230088498</v>
      </c>
      <c r="BB232" s="72">
        <f t="shared" si="104"/>
        <v>17237.2778761062</v>
      </c>
      <c r="BC232" s="72">
        <f t="shared" si="104"/>
        <v>18190.152598126671</v>
      </c>
      <c r="BD232" s="72">
        <f t="shared" si="104"/>
        <v>14309.586710526317</v>
      </c>
      <c r="BE232" s="72">
        <f t="shared" si="104"/>
        <v>14309.586710526317</v>
      </c>
      <c r="BF232" s="72">
        <f t="shared" si="104"/>
        <v>14309.586710526317</v>
      </c>
      <c r="BG232" s="72">
        <f t="shared" si="104"/>
        <v>14309.586710526317</v>
      </c>
      <c r="BH232" s="72">
        <f t="shared" si="104"/>
        <v>14309.586710526317</v>
      </c>
      <c r="BI232" s="72">
        <f t="shared" si="104"/>
        <v>18190.152598126671</v>
      </c>
      <c r="BJ232" s="72">
        <f t="shared" si="104"/>
        <v>14309.586710526317</v>
      </c>
      <c r="BK232" s="72">
        <f t="shared" si="104"/>
        <v>14309.586710526317</v>
      </c>
      <c r="BL232" s="72">
        <f t="shared" si="104"/>
        <v>14309.586710526317</v>
      </c>
      <c r="BM232" s="72">
        <f t="shared" si="104"/>
        <v>14309.586710526317</v>
      </c>
      <c r="BN232" s="72">
        <f t="shared" si="104"/>
        <v>17171.504052631582</v>
      </c>
    </row>
    <row r="233" spans="2:66" ht="13.8">
      <c r="B233" s="37" t="str">
        <f>CaseData!$B$33</f>
        <v>Montreal</v>
      </c>
      <c r="C233" t="str">
        <f t="shared" si="97"/>
        <v>Women's</v>
      </c>
      <c r="D233" s="84" t="str">
        <f>INDEX(CaseData!$E$10:$E$17,MATCH(B233,CaseData!$C$10:$C$17,0))</f>
        <v>CAD</v>
      </c>
      <c r="E233" s="84" t="str">
        <f>INDEX(CaseData!$D$10:$D$17,MATCH(B233,CaseData!$C$10:$C$17,0))</f>
        <v>Canada</v>
      </c>
      <c r="G233" s="72">
        <f t="shared" si="104"/>
        <v>0</v>
      </c>
      <c r="H233" s="72">
        <f t="shared" si="104"/>
        <v>0</v>
      </c>
      <c r="I233" s="72">
        <f t="shared" si="104"/>
        <v>0</v>
      </c>
      <c r="J233" s="72">
        <f t="shared" si="104"/>
        <v>0</v>
      </c>
      <c r="K233" s="72">
        <f t="shared" si="104"/>
        <v>0</v>
      </c>
      <c r="L233" s="72">
        <f t="shared" si="104"/>
        <v>0</v>
      </c>
      <c r="M233" s="72">
        <f t="shared" si="104"/>
        <v>0</v>
      </c>
      <c r="N233" s="72">
        <f t="shared" si="104"/>
        <v>0</v>
      </c>
      <c r="O233" s="72">
        <f t="shared" si="104"/>
        <v>42281.87919463087</v>
      </c>
      <c r="P233" s="72">
        <f t="shared" si="104"/>
        <v>45805.369127516766</v>
      </c>
      <c r="Q233" s="72">
        <f t="shared" si="104"/>
        <v>49328.859060402676</v>
      </c>
      <c r="R233" s="72">
        <f t="shared" si="104"/>
        <v>63422.818791946309</v>
      </c>
      <c r="S233" s="72">
        <f t="shared" si="104"/>
        <v>85680</v>
      </c>
      <c r="T233" s="72">
        <f t="shared" si="104"/>
        <v>60689.999999999993</v>
      </c>
      <c r="U233" s="72">
        <f t="shared" si="104"/>
        <v>64260</v>
      </c>
      <c r="V233" s="72">
        <f t="shared" ref="V233:BN233" si="106">V196/INDEX(V$208:V$213,MATCH($D233,$B$208:$B$213,0))</f>
        <v>67830</v>
      </c>
      <c r="W233" s="72">
        <f t="shared" si="106"/>
        <v>71400</v>
      </c>
      <c r="X233" s="72">
        <f t="shared" si="106"/>
        <v>74970</v>
      </c>
      <c r="Y233" s="72">
        <f t="shared" si="106"/>
        <v>117810.00000000001</v>
      </c>
      <c r="Z233" s="72">
        <f t="shared" si="106"/>
        <v>82110.000000000015</v>
      </c>
      <c r="AA233" s="72">
        <f t="shared" si="106"/>
        <v>85680.000000000015</v>
      </c>
      <c r="AB233" s="72">
        <f t="shared" si="106"/>
        <v>85680.000000000015</v>
      </c>
      <c r="AC233" s="72">
        <f t="shared" si="106"/>
        <v>85680.000000000015</v>
      </c>
      <c r="AD233" s="72">
        <f t="shared" si="106"/>
        <v>102816.00000000001</v>
      </c>
      <c r="AE233" s="72">
        <f t="shared" si="106"/>
        <v>130222.25165562917</v>
      </c>
      <c r="AF233" s="72">
        <f t="shared" si="106"/>
        <v>86814.834437086101</v>
      </c>
      <c r="AG233" s="72">
        <f t="shared" si="106"/>
        <v>86814.834437086101</v>
      </c>
      <c r="AH233" s="72">
        <f t="shared" si="106"/>
        <v>86814.834437086101</v>
      </c>
      <c r="AI233" s="72">
        <f t="shared" si="106"/>
        <v>86814.834437086101</v>
      </c>
      <c r="AJ233" s="72">
        <f t="shared" si="106"/>
        <v>86814.834437086101</v>
      </c>
      <c r="AK233" s="72">
        <f t="shared" si="106"/>
        <v>130222.25165562917</v>
      </c>
      <c r="AL233" s="72">
        <f t="shared" si="106"/>
        <v>86814.834437086101</v>
      </c>
      <c r="AM233" s="72">
        <f t="shared" si="106"/>
        <v>86814.834437086101</v>
      </c>
      <c r="AN233" s="72">
        <f t="shared" si="106"/>
        <v>86814.834437086101</v>
      </c>
      <c r="AO233" s="72">
        <f t="shared" si="106"/>
        <v>86814.834437086101</v>
      </c>
      <c r="AP233" s="72">
        <f t="shared" si="106"/>
        <v>104177.80132450334</v>
      </c>
      <c r="AQ233" s="72">
        <f t="shared" si="106"/>
        <v>132599.66447368421</v>
      </c>
      <c r="AR233" s="72">
        <f t="shared" si="106"/>
        <v>88399.776315789481</v>
      </c>
      <c r="AS233" s="72">
        <f t="shared" si="106"/>
        <v>88399.776315789481</v>
      </c>
      <c r="AT233" s="72">
        <f t="shared" si="106"/>
        <v>88399.776315789481</v>
      </c>
      <c r="AU233" s="72">
        <f t="shared" si="106"/>
        <v>88399.776315789481</v>
      </c>
      <c r="AV233" s="72">
        <f t="shared" si="106"/>
        <v>88399.776315789481</v>
      </c>
      <c r="AW233" s="72">
        <f t="shared" si="106"/>
        <v>132599.66447368421</v>
      </c>
      <c r="AX233" s="72">
        <f t="shared" si="106"/>
        <v>88399.776315789481</v>
      </c>
      <c r="AY233" s="72">
        <f t="shared" si="106"/>
        <v>88399.776315789481</v>
      </c>
      <c r="AZ233" s="72">
        <f t="shared" si="106"/>
        <v>88399.776315789481</v>
      </c>
      <c r="BA233" s="72">
        <f t="shared" si="106"/>
        <v>88399.776315789481</v>
      </c>
      <c r="BB233" s="72">
        <f t="shared" si="106"/>
        <v>106079.73157894738</v>
      </c>
      <c r="BC233" s="72">
        <f t="shared" si="106"/>
        <v>134367.65999999997</v>
      </c>
      <c r="BD233" s="72">
        <f t="shared" si="106"/>
        <v>89578.439999999988</v>
      </c>
      <c r="BE233" s="72">
        <f t="shared" si="106"/>
        <v>89578.439999999988</v>
      </c>
      <c r="BF233" s="72">
        <f t="shared" si="106"/>
        <v>89578.439999999988</v>
      </c>
      <c r="BG233" s="72">
        <f t="shared" si="106"/>
        <v>89578.439999999988</v>
      </c>
      <c r="BH233" s="72">
        <f t="shared" si="106"/>
        <v>89578.439999999988</v>
      </c>
      <c r="BI233" s="72">
        <f t="shared" si="106"/>
        <v>134367.65999999997</v>
      </c>
      <c r="BJ233" s="72">
        <f t="shared" si="106"/>
        <v>89578.439999999988</v>
      </c>
      <c r="BK233" s="72">
        <f t="shared" si="106"/>
        <v>89578.439999999988</v>
      </c>
      <c r="BL233" s="72">
        <f t="shared" si="106"/>
        <v>89578.439999999988</v>
      </c>
      <c r="BM233" s="72">
        <f t="shared" si="106"/>
        <v>89578.439999999988</v>
      </c>
      <c r="BN233" s="72">
        <f t="shared" si="106"/>
        <v>107494.128</v>
      </c>
    </row>
    <row r="234" spans="2:66" ht="13.8">
      <c r="B234" s="37" t="str">
        <f>B233</f>
        <v>Montreal</v>
      </c>
      <c r="C234" t="str">
        <f t="shared" si="97"/>
        <v>Men's</v>
      </c>
      <c r="D234" s="84" t="str">
        <f>INDEX(CaseData!$E$10:$E$17,MATCH(B234,CaseData!$C$10:$C$17,0))</f>
        <v>CAD</v>
      </c>
      <c r="E234" s="84" t="str">
        <f>INDEX(CaseData!$D$10:$D$17,MATCH(B234,CaseData!$C$10:$C$17,0))</f>
        <v>Canada</v>
      </c>
      <c r="G234" s="72">
        <f t="shared" ref="G234:BN238" si="107">G197/INDEX(G$208:G$213,MATCH($D234,$B$208:$B$213,0))</f>
        <v>0</v>
      </c>
      <c r="H234" s="72">
        <f t="shared" si="107"/>
        <v>0</v>
      </c>
      <c r="I234" s="72">
        <f t="shared" si="107"/>
        <v>0</v>
      </c>
      <c r="J234" s="72">
        <f t="shared" si="107"/>
        <v>0</v>
      </c>
      <c r="K234" s="72">
        <f t="shared" si="107"/>
        <v>0</v>
      </c>
      <c r="L234" s="72">
        <f t="shared" si="107"/>
        <v>0</v>
      </c>
      <c r="M234" s="72">
        <f t="shared" si="107"/>
        <v>0</v>
      </c>
      <c r="N234" s="72">
        <f t="shared" si="107"/>
        <v>0</v>
      </c>
      <c r="O234" s="72">
        <f t="shared" si="107"/>
        <v>31375.838926174496</v>
      </c>
      <c r="P234" s="72">
        <f t="shared" si="107"/>
        <v>33990.492170022364</v>
      </c>
      <c r="Q234" s="72">
        <f t="shared" si="107"/>
        <v>36605.145413870247</v>
      </c>
      <c r="R234" s="72">
        <f t="shared" si="107"/>
        <v>47063.758389261748</v>
      </c>
      <c r="S234" s="72">
        <f t="shared" si="107"/>
        <v>63579.999999999993</v>
      </c>
      <c r="T234" s="72">
        <f t="shared" si="107"/>
        <v>45035.833333333321</v>
      </c>
      <c r="U234" s="72">
        <f t="shared" si="107"/>
        <v>47685</v>
      </c>
      <c r="V234" s="72">
        <f t="shared" si="107"/>
        <v>50334.166666666679</v>
      </c>
      <c r="W234" s="72">
        <f t="shared" si="107"/>
        <v>52983.333333333336</v>
      </c>
      <c r="X234" s="72">
        <f t="shared" si="107"/>
        <v>55632.5</v>
      </c>
      <c r="Y234" s="72">
        <f t="shared" si="107"/>
        <v>87422.5</v>
      </c>
      <c r="Z234" s="72">
        <f t="shared" si="107"/>
        <v>60930.833333333336</v>
      </c>
      <c r="AA234" s="72">
        <f t="shared" si="107"/>
        <v>63580.000000000007</v>
      </c>
      <c r="AB234" s="72">
        <f t="shared" si="107"/>
        <v>63580.000000000007</v>
      </c>
      <c r="AC234" s="72">
        <f t="shared" si="107"/>
        <v>63580.000000000007</v>
      </c>
      <c r="AD234" s="72">
        <f t="shared" si="107"/>
        <v>76296.000000000015</v>
      </c>
      <c r="AE234" s="72">
        <f t="shared" si="107"/>
        <v>96633.178807947043</v>
      </c>
      <c r="AF234" s="72">
        <f t="shared" si="107"/>
        <v>64422.119205298019</v>
      </c>
      <c r="AG234" s="72">
        <f t="shared" si="107"/>
        <v>64422.119205298019</v>
      </c>
      <c r="AH234" s="72">
        <f t="shared" si="107"/>
        <v>64422.119205298019</v>
      </c>
      <c r="AI234" s="72">
        <f t="shared" si="107"/>
        <v>64422.119205298019</v>
      </c>
      <c r="AJ234" s="72">
        <f t="shared" si="107"/>
        <v>64422.119205298019</v>
      </c>
      <c r="AK234" s="72">
        <f t="shared" si="107"/>
        <v>96633.178807947043</v>
      </c>
      <c r="AL234" s="72">
        <f t="shared" si="107"/>
        <v>64422.119205298019</v>
      </c>
      <c r="AM234" s="72">
        <f t="shared" si="107"/>
        <v>64422.119205298019</v>
      </c>
      <c r="AN234" s="72">
        <f t="shared" si="107"/>
        <v>64422.119205298019</v>
      </c>
      <c r="AO234" s="72">
        <f t="shared" si="107"/>
        <v>64422.119205298019</v>
      </c>
      <c r="AP234" s="72">
        <f t="shared" si="107"/>
        <v>77306.543046357634</v>
      </c>
      <c r="AQ234" s="72">
        <f t="shared" si="107"/>
        <v>98397.370065789481</v>
      </c>
      <c r="AR234" s="72">
        <f t="shared" si="107"/>
        <v>65598.24671052632</v>
      </c>
      <c r="AS234" s="72">
        <f t="shared" si="107"/>
        <v>65598.24671052632</v>
      </c>
      <c r="AT234" s="72">
        <f t="shared" si="107"/>
        <v>65598.24671052632</v>
      </c>
      <c r="AU234" s="72">
        <f t="shared" si="107"/>
        <v>65598.24671052632</v>
      </c>
      <c r="AV234" s="72">
        <f t="shared" si="107"/>
        <v>65598.24671052632</v>
      </c>
      <c r="AW234" s="72">
        <f t="shared" si="107"/>
        <v>98397.370065789481</v>
      </c>
      <c r="AX234" s="72">
        <f t="shared" si="107"/>
        <v>65598.24671052632</v>
      </c>
      <c r="AY234" s="72">
        <f t="shared" si="107"/>
        <v>65598.24671052632</v>
      </c>
      <c r="AZ234" s="72">
        <f t="shared" si="107"/>
        <v>65598.24671052632</v>
      </c>
      <c r="BA234" s="72">
        <f t="shared" si="107"/>
        <v>65598.24671052632</v>
      </c>
      <c r="BB234" s="72">
        <f t="shared" si="107"/>
        <v>78717.896052631593</v>
      </c>
      <c r="BC234" s="72">
        <f t="shared" si="107"/>
        <v>99709.335000000006</v>
      </c>
      <c r="BD234" s="72">
        <f t="shared" si="107"/>
        <v>66472.89</v>
      </c>
      <c r="BE234" s="72">
        <f t="shared" si="107"/>
        <v>66472.89</v>
      </c>
      <c r="BF234" s="72">
        <f t="shared" si="107"/>
        <v>66472.89</v>
      </c>
      <c r="BG234" s="72">
        <f t="shared" si="107"/>
        <v>66472.89</v>
      </c>
      <c r="BH234" s="72">
        <f t="shared" si="107"/>
        <v>66472.89</v>
      </c>
      <c r="BI234" s="72">
        <f t="shared" si="107"/>
        <v>99709.335000000006</v>
      </c>
      <c r="BJ234" s="72">
        <f t="shared" si="107"/>
        <v>66472.89</v>
      </c>
      <c r="BK234" s="72">
        <f t="shared" si="107"/>
        <v>66472.89</v>
      </c>
      <c r="BL234" s="72">
        <f t="shared" si="107"/>
        <v>66472.89</v>
      </c>
      <c r="BM234" s="72">
        <f t="shared" si="107"/>
        <v>66472.89</v>
      </c>
      <c r="BN234" s="72">
        <f t="shared" si="107"/>
        <v>79767.468000000008</v>
      </c>
    </row>
    <row r="235" spans="2:66" ht="13.8">
      <c r="B235" s="37" t="str">
        <f t="shared" ref="B235" si="108">B234</f>
        <v>Montreal</v>
      </c>
      <c r="C235" t="str">
        <f t="shared" si="97"/>
        <v>Accessories</v>
      </c>
      <c r="D235" s="84" t="str">
        <f>INDEX(CaseData!$E$10:$E$17,MATCH(B235,CaseData!$C$10:$C$17,0))</f>
        <v>CAD</v>
      </c>
      <c r="E235" s="84" t="str">
        <f>INDEX(CaseData!$D$10:$D$17,MATCH(B235,CaseData!$C$10:$C$17,0))</f>
        <v>Canada</v>
      </c>
      <c r="G235" s="72">
        <f t="shared" si="107"/>
        <v>0</v>
      </c>
      <c r="H235" s="72">
        <f t="shared" si="107"/>
        <v>0</v>
      </c>
      <c r="I235" s="72">
        <f t="shared" si="107"/>
        <v>0</v>
      </c>
      <c r="J235" s="72">
        <f t="shared" si="107"/>
        <v>0</v>
      </c>
      <c r="K235" s="72">
        <f t="shared" si="107"/>
        <v>0</v>
      </c>
      <c r="L235" s="72">
        <f t="shared" si="107"/>
        <v>0</v>
      </c>
      <c r="M235" s="72">
        <f t="shared" si="107"/>
        <v>0</v>
      </c>
      <c r="N235" s="72">
        <f t="shared" si="107"/>
        <v>0</v>
      </c>
      <c r="O235" s="72">
        <f t="shared" si="107"/>
        <v>17449.664429530203</v>
      </c>
      <c r="P235" s="72">
        <f t="shared" si="107"/>
        <v>18903.803131991044</v>
      </c>
      <c r="Q235" s="72">
        <f t="shared" si="107"/>
        <v>20357.9418344519</v>
      </c>
      <c r="R235" s="72">
        <f t="shared" si="107"/>
        <v>26174.496644295301</v>
      </c>
      <c r="S235" s="72">
        <f t="shared" si="107"/>
        <v>35359.999999999993</v>
      </c>
      <c r="T235" s="72">
        <f t="shared" si="107"/>
        <v>25046.666666666661</v>
      </c>
      <c r="U235" s="72">
        <f t="shared" si="107"/>
        <v>26520</v>
      </c>
      <c r="V235" s="72">
        <f t="shared" si="107"/>
        <v>27993.333333333339</v>
      </c>
      <c r="W235" s="72">
        <f t="shared" si="107"/>
        <v>29466.666666666668</v>
      </c>
      <c r="X235" s="72">
        <f t="shared" si="107"/>
        <v>30940</v>
      </c>
      <c r="Y235" s="72">
        <f t="shared" si="107"/>
        <v>48218.181818181816</v>
      </c>
      <c r="Z235" s="72">
        <f t="shared" si="107"/>
        <v>33886.666666666672</v>
      </c>
      <c r="AA235" s="72">
        <f t="shared" si="107"/>
        <v>35360.000000000007</v>
      </c>
      <c r="AB235" s="72">
        <f t="shared" si="107"/>
        <v>35360.000000000007</v>
      </c>
      <c r="AC235" s="72">
        <f t="shared" si="107"/>
        <v>35360.000000000007</v>
      </c>
      <c r="AD235" s="72">
        <f t="shared" si="107"/>
        <v>42432.000000000022</v>
      </c>
      <c r="AE235" s="72">
        <f t="shared" si="107"/>
        <v>47385.025619066619</v>
      </c>
      <c r="AF235" s="72">
        <f t="shared" si="107"/>
        <v>35828.344370860941</v>
      </c>
      <c r="AG235" s="72">
        <f t="shared" si="107"/>
        <v>35828.344370860941</v>
      </c>
      <c r="AH235" s="72">
        <f t="shared" si="107"/>
        <v>35828.344370860941</v>
      </c>
      <c r="AI235" s="72">
        <f t="shared" si="107"/>
        <v>35828.344370860941</v>
      </c>
      <c r="AJ235" s="72">
        <f t="shared" si="107"/>
        <v>35828.344370860941</v>
      </c>
      <c r="AK235" s="72">
        <f t="shared" si="107"/>
        <v>45868.435183179012</v>
      </c>
      <c r="AL235" s="72">
        <f t="shared" si="107"/>
        <v>35828.344370860941</v>
      </c>
      <c r="AM235" s="72">
        <f t="shared" si="107"/>
        <v>35828.344370860941</v>
      </c>
      <c r="AN235" s="72">
        <f t="shared" si="107"/>
        <v>35828.344370860941</v>
      </c>
      <c r="AO235" s="72">
        <f t="shared" si="107"/>
        <v>35828.344370860941</v>
      </c>
      <c r="AP235" s="72">
        <f t="shared" si="107"/>
        <v>42994.013245033129</v>
      </c>
      <c r="AQ235" s="72">
        <f t="shared" si="107"/>
        <v>46375.992417484376</v>
      </c>
      <c r="AR235" s="72">
        <f t="shared" si="107"/>
        <v>36482.447368421053</v>
      </c>
      <c r="AS235" s="72">
        <f t="shared" si="107"/>
        <v>36482.447368421053</v>
      </c>
      <c r="AT235" s="72">
        <f t="shared" si="107"/>
        <v>36482.447368421053</v>
      </c>
      <c r="AU235" s="72">
        <f t="shared" si="107"/>
        <v>36482.447368421053</v>
      </c>
      <c r="AV235" s="72">
        <f t="shared" si="107"/>
        <v>36482.447368421053</v>
      </c>
      <c r="AW235" s="72">
        <f t="shared" si="107"/>
        <v>46375.992417484376</v>
      </c>
      <c r="AX235" s="72">
        <f t="shared" si="107"/>
        <v>36482.447368421053</v>
      </c>
      <c r="AY235" s="72">
        <f t="shared" si="107"/>
        <v>36482.447368421053</v>
      </c>
      <c r="AZ235" s="72">
        <f t="shared" si="107"/>
        <v>36482.447368421053</v>
      </c>
      <c r="BA235" s="72">
        <f t="shared" si="107"/>
        <v>36482.447368421053</v>
      </c>
      <c r="BB235" s="72">
        <f t="shared" si="107"/>
        <v>43778.936842105279</v>
      </c>
      <c r="BC235" s="72">
        <f t="shared" si="107"/>
        <v>46994.338983050839</v>
      </c>
      <c r="BD235" s="72">
        <f t="shared" si="107"/>
        <v>36968.880000000005</v>
      </c>
      <c r="BE235" s="72">
        <f t="shared" si="107"/>
        <v>36968.880000000005</v>
      </c>
      <c r="BF235" s="72">
        <f t="shared" si="107"/>
        <v>36968.880000000005</v>
      </c>
      <c r="BG235" s="72">
        <f t="shared" si="107"/>
        <v>36968.880000000005</v>
      </c>
      <c r="BH235" s="72">
        <f t="shared" si="107"/>
        <v>36968.880000000005</v>
      </c>
      <c r="BI235" s="72">
        <f t="shared" si="107"/>
        <v>46994.338983050839</v>
      </c>
      <c r="BJ235" s="72">
        <f t="shared" si="107"/>
        <v>36968.880000000005</v>
      </c>
      <c r="BK235" s="72">
        <f t="shared" si="107"/>
        <v>36968.880000000005</v>
      </c>
      <c r="BL235" s="72">
        <f t="shared" si="107"/>
        <v>36968.880000000005</v>
      </c>
      <c r="BM235" s="72">
        <f t="shared" si="107"/>
        <v>36968.880000000005</v>
      </c>
      <c r="BN235" s="72">
        <f t="shared" si="107"/>
        <v>44362.656000000017</v>
      </c>
    </row>
    <row r="236" spans="2:66" ht="13.8">
      <c r="B236" s="37" t="str">
        <f>CaseData!$B$34</f>
        <v>Zurich</v>
      </c>
      <c r="C236" t="str">
        <f t="shared" si="97"/>
        <v>Women's</v>
      </c>
      <c r="D236" s="84" t="str">
        <f>INDEX(CaseData!$E$10:$E$17,MATCH(B236,CaseData!$C$10:$C$17,0))</f>
        <v>CHF</v>
      </c>
      <c r="E236" s="84" t="str">
        <f>INDEX(CaseData!$D$10:$D$17,MATCH(B236,CaseData!$C$10:$C$17,0))</f>
        <v>Switzerland</v>
      </c>
      <c r="G236" s="72">
        <f t="shared" si="107"/>
        <v>0</v>
      </c>
      <c r="H236" s="72">
        <f t="shared" si="107"/>
        <v>0</v>
      </c>
      <c r="I236" s="72">
        <f t="shared" si="107"/>
        <v>0</v>
      </c>
      <c r="J236" s="72">
        <f t="shared" si="107"/>
        <v>0</v>
      </c>
      <c r="K236" s="72">
        <f t="shared" si="107"/>
        <v>0</v>
      </c>
      <c r="L236" s="72">
        <f t="shared" si="107"/>
        <v>0</v>
      </c>
      <c r="M236" s="72">
        <f t="shared" si="107"/>
        <v>0</v>
      </c>
      <c r="N236" s="72">
        <f t="shared" si="107"/>
        <v>0</v>
      </c>
      <c r="O236" s="72">
        <f t="shared" si="107"/>
        <v>0</v>
      </c>
      <c r="P236" s="72">
        <f t="shared" si="107"/>
        <v>0</v>
      </c>
      <c r="Q236" s="72">
        <f t="shared" si="107"/>
        <v>0</v>
      </c>
      <c r="R236" s="72">
        <f t="shared" si="107"/>
        <v>0</v>
      </c>
      <c r="S236" s="72">
        <f t="shared" si="107"/>
        <v>0</v>
      </c>
      <c r="T236" s="72">
        <f t="shared" si="107"/>
        <v>0</v>
      </c>
      <c r="U236" s="72">
        <f t="shared" si="107"/>
        <v>100584.1121495327</v>
      </c>
      <c r="V236" s="72">
        <f t="shared" si="107"/>
        <v>108966.12149532705</v>
      </c>
      <c r="W236" s="72">
        <f t="shared" si="107"/>
        <v>117348.13084112146</v>
      </c>
      <c r="X236" s="72">
        <f t="shared" si="107"/>
        <v>125730.14018691589</v>
      </c>
      <c r="Y236" s="72">
        <f t="shared" si="107"/>
        <v>201168.22429906539</v>
      </c>
      <c r="Z236" s="72">
        <f t="shared" si="107"/>
        <v>142494.15887850468</v>
      </c>
      <c r="AA236" s="72">
        <f t="shared" si="107"/>
        <v>150876.16822429906</v>
      </c>
      <c r="AB236" s="72">
        <f t="shared" si="107"/>
        <v>159258.17757009342</v>
      </c>
      <c r="AC236" s="72">
        <f t="shared" si="107"/>
        <v>167640.18691588781</v>
      </c>
      <c r="AD236" s="72">
        <f t="shared" si="107"/>
        <v>211226.63551401865</v>
      </c>
      <c r="AE236" s="72">
        <f t="shared" si="107"/>
        <v>275415.36458333326</v>
      </c>
      <c r="AF236" s="72">
        <f t="shared" si="107"/>
        <v>191956.16319444441</v>
      </c>
      <c r="AG236" s="72">
        <f t="shared" si="107"/>
        <v>200302.08333333328</v>
      </c>
      <c r="AH236" s="72">
        <f t="shared" si="107"/>
        <v>200302.08333333328</v>
      </c>
      <c r="AI236" s="72">
        <f t="shared" si="107"/>
        <v>200302.08333333328</v>
      </c>
      <c r="AJ236" s="72">
        <f t="shared" si="107"/>
        <v>200302.08333333328</v>
      </c>
      <c r="AK236" s="72">
        <f t="shared" si="107"/>
        <v>300453.125</v>
      </c>
      <c r="AL236" s="72">
        <f t="shared" si="107"/>
        <v>200302.08333333328</v>
      </c>
      <c r="AM236" s="72">
        <f t="shared" si="107"/>
        <v>200302.08333333328</v>
      </c>
      <c r="AN236" s="72">
        <f t="shared" si="107"/>
        <v>200302.08333333328</v>
      </c>
      <c r="AO236" s="72">
        <f t="shared" si="107"/>
        <v>200302.08333333328</v>
      </c>
      <c r="AP236" s="72">
        <f t="shared" si="107"/>
        <v>240362.49999999997</v>
      </c>
      <c r="AQ236" s="72">
        <f t="shared" si="107"/>
        <v>306627.57454128435</v>
      </c>
      <c r="AR236" s="72">
        <f t="shared" si="107"/>
        <v>204418.38302752291</v>
      </c>
      <c r="AS236" s="72">
        <f t="shared" si="107"/>
        <v>204418.38302752291</v>
      </c>
      <c r="AT236" s="72">
        <f t="shared" si="107"/>
        <v>204418.38302752291</v>
      </c>
      <c r="AU236" s="72">
        <f t="shared" si="107"/>
        <v>204418.38302752291</v>
      </c>
      <c r="AV236" s="72">
        <f t="shared" si="107"/>
        <v>204418.38302752291</v>
      </c>
      <c r="AW236" s="72">
        <f t="shared" si="107"/>
        <v>306627.57454128435</v>
      </c>
      <c r="AX236" s="72">
        <f t="shared" si="107"/>
        <v>204418.38302752291</v>
      </c>
      <c r="AY236" s="72">
        <f t="shared" si="107"/>
        <v>204418.38302752291</v>
      </c>
      <c r="AZ236" s="72">
        <f t="shared" si="107"/>
        <v>204418.38302752291</v>
      </c>
      <c r="BA236" s="72">
        <f t="shared" si="107"/>
        <v>204418.38302752291</v>
      </c>
      <c r="BB236" s="72">
        <f t="shared" si="107"/>
        <v>245302.0596330275</v>
      </c>
      <c r="BC236" s="72">
        <f t="shared" si="107"/>
        <v>308397.65190340899</v>
      </c>
      <c r="BD236" s="72">
        <f t="shared" si="107"/>
        <v>205598.43460227267</v>
      </c>
      <c r="BE236" s="72">
        <f t="shared" si="107"/>
        <v>205598.43460227267</v>
      </c>
      <c r="BF236" s="72">
        <f t="shared" si="107"/>
        <v>205598.43460227267</v>
      </c>
      <c r="BG236" s="72">
        <f t="shared" si="107"/>
        <v>205598.43460227267</v>
      </c>
      <c r="BH236" s="72">
        <f t="shared" si="107"/>
        <v>205598.43460227267</v>
      </c>
      <c r="BI236" s="72">
        <f t="shared" si="107"/>
        <v>308397.65190340899</v>
      </c>
      <c r="BJ236" s="72">
        <f t="shared" si="107"/>
        <v>205598.43460227267</v>
      </c>
      <c r="BK236" s="72">
        <f t="shared" si="107"/>
        <v>205598.43460227267</v>
      </c>
      <c r="BL236" s="72">
        <f t="shared" si="107"/>
        <v>205598.43460227267</v>
      </c>
      <c r="BM236" s="72">
        <f t="shared" si="107"/>
        <v>205598.43460227267</v>
      </c>
      <c r="BN236" s="72">
        <f t="shared" si="107"/>
        <v>246718.12152272722</v>
      </c>
    </row>
    <row r="237" spans="2:66" ht="13.8">
      <c r="B237" s="37" t="str">
        <f t="shared" ref="B237:B238" si="109">B236</f>
        <v>Zurich</v>
      </c>
      <c r="C237" t="str">
        <f t="shared" si="97"/>
        <v>Men's</v>
      </c>
      <c r="D237" s="84" t="str">
        <f>INDEX(CaseData!$E$10:$E$17,MATCH(B237,CaseData!$C$10:$C$17,0))</f>
        <v>CHF</v>
      </c>
      <c r="E237" s="84" t="str">
        <f>INDEX(CaseData!$D$10:$D$17,MATCH(B237,CaseData!$C$10:$C$17,0))</f>
        <v>Switzerland</v>
      </c>
      <c r="G237" s="72">
        <f t="shared" si="107"/>
        <v>0</v>
      </c>
      <c r="H237" s="72">
        <f t="shared" si="107"/>
        <v>0</v>
      </c>
      <c r="I237" s="72">
        <f t="shared" si="107"/>
        <v>0</v>
      </c>
      <c r="J237" s="72">
        <f t="shared" si="107"/>
        <v>0</v>
      </c>
      <c r="K237" s="72">
        <f t="shared" si="107"/>
        <v>0</v>
      </c>
      <c r="L237" s="72">
        <f t="shared" si="107"/>
        <v>0</v>
      </c>
      <c r="M237" s="72">
        <f t="shared" si="107"/>
        <v>0</v>
      </c>
      <c r="N237" s="72">
        <f t="shared" si="107"/>
        <v>0</v>
      </c>
      <c r="O237" s="72">
        <f t="shared" si="107"/>
        <v>0</v>
      </c>
      <c r="P237" s="72">
        <f t="shared" si="107"/>
        <v>0</v>
      </c>
      <c r="Q237" s="72">
        <f t="shared" si="107"/>
        <v>0</v>
      </c>
      <c r="R237" s="72">
        <f t="shared" si="107"/>
        <v>0</v>
      </c>
      <c r="S237" s="72">
        <f t="shared" si="107"/>
        <v>0</v>
      </c>
      <c r="T237" s="72">
        <f t="shared" si="107"/>
        <v>0</v>
      </c>
      <c r="U237" s="72">
        <f t="shared" si="107"/>
        <v>48855.14018691588</v>
      </c>
      <c r="V237" s="72">
        <f t="shared" si="107"/>
        <v>52926.401869158857</v>
      </c>
      <c r="W237" s="72">
        <f t="shared" si="107"/>
        <v>56997.663551401849</v>
      </c>
      <c r="X237" s="72">
        <f t="shared" si="107"/>
        <v>61068.925233644848</v>
      </c>
      <c r="Y237" s="72">
        <f t="shared" si="107"/>
        <v>97710.28037383176</v>
      </c>
      <c r="Z237" s="72">
        <f t="shared" si="107"/>
        <v>69211.448598130839</v>
      </c>
      <c r="AA237" s="72">
        <f t="shared" si="107"/>
        <v>73282.710280373823</v>
      </c>
      <c r="AB237" s="72">
        <f t="shared" si="107"/>
        <v>77353.971962616823</v>
      </c>
      <c r="AC237" s="72">
        <f t="shared" si="107"/>
        <v>81425.233644859822</v>
      </c>
      <c r="AD237" s="72">
        <f t="shared" si="107"/>
        <v>102595.79439252334</v>
      </c>
      <c r="AE237" s="72">
        <f t="shared" si="107"/>
        <v>133773.17708333328</v>
      </c>
      <c r="AF237" s="72">
        <f t="shared" si="107"/>
        <v>93235.850694444423</v>
      </c>
      <c r="AG237" s="72">
        <f t="shared" si="107"/>
        <v>97289.583333333314</v>
      </c>
      <c r="AH237" s="72">
        <f t="shared" si="107"/>
        <v>97289.583333333314</v>
      </c>
      <c r="AI237" s="72">
        <f t="shared" si="107"/>
        <v>97289.583333333314</v>
      </c>
      <c r="AJ237" s="72">
        <f t="shared" si="107"/>
        <v>97289.583333333314</v>
      </c>
      <c r="AK237" s="72">
        <f t="shared" si="107"/>
        <v>145934.375</v>
      </c>
      <c r="AL237" s="72">
        <f t="shared" si="107"/>
        <v>97289.583333333314</v>
      </c>
      <c r="AM237" s="72">
        <f t="shared" si="107"/>
        <v>97289.583333333314</v>
      </c>
      <c r="AN237" s="72">
        <f t="shared" si="107"/>
        <v>97289.583333333314</v>
      </c>
      <c r="AO237" s="72">
        <f t="shared" si="107"/>
        <v>97289.583333333314</v>
      </c>
      <c r="AP237" s="72">
        <f t="shared" si="107"/>
        <v>116747.5</v>
      </c>
      <c r="AQ237" s="72">
        <f t="shared" si="107"/>
        <v>148933.39334862382</v>
      </c>
      <c r="AR237" s="72">
        <f t="shared" si="107"/>
        <v>99288.928899082559</v>
      </c>
      <c r="AS237" s="72">
        <f t="shared" si="107"/>
        <v>99288.928899082559</v>
      </c>
      <c r="AT237" s="72">
        <f t="shared" si="107"/>
        <v>99288.928899082559</v>
      </c>
      <c r="AU237" s="72">
        <f t="shared" si="107"/>
        <v>99288.928899082559</v>
      </c>
      <c r="AV237" s="72">
        <f t="shared" si="107"/>
        <v>99288.928899082559</v>
      </c>
      <c r="AW237" s="72">
        <f t="shared" si="107"/>
        <v>148933.39334862382</v>
      </c>
      <c r="AX237" s="72">
        <f t="shared" si="107"/>
        <v>99288.928899082559</v>
      </c>
      <c r="AY237" s="72">
        <f t="shared" si="107"/>
        <v>99288.928899082559</v>
      </c>
      <c r="AZ237" s="72">
        <f t="shared" si="107"/>
        <v>99288.928899082559</v>
      </c>
      <c r="BA237" s="72">
        <f t="shared" si="107"/>
        <v>99288.928899082559</v>
      </c>
      <c r="BB237" s="72">
        <f t="shared" si="107"/>
        <v>119146.71467889906</v>
      </c>
      <c r="BC237" s="72">
        <f t="shared" si="107"/>
        <v>149793.14521022723</v>
      </c>
      <c r="BD237" s="72">
        <f t="shared" si="107"/>
        <v>99862.096806818139</v>
      </c>
      <c r="BE237" s="72">
        <f t="shared" si="107"/>
        <v>99862.096806818139</v>
      </c>
      <c r="BF237" s="72">
        <f t="shared" si="107"/>
        <v>99862.096806818139</v>
      </c>
      <c r="BG237" s="72">
        <f t="shared" si="107"/>
        <v>99862.096806818139</v>
      </c>
      <c r="BH237" s="72">
        <f t="shared" si="107"/>
        <v>99862.096806818139</v>
      </c>
      <c r="BI237" s="72">
        <f t="shared" si="107"/>
        <v>149793.14521022723</v>
      </c>
      <c r="BJ237" s="72">
        <f t="shared" si="107"/>
        <v>99862.096806818139</v>
      </c>
      <c r="BK237" s="72">
        <f t="shared" si="107"/>
        <v>99862.096806818139</v>
      </c>
      <c r="BL237" s="72">
        <f t="shared" si="107"/>
        <v>99862.096806818139</v>
      </c>
      <c r="BM237" s="72">
        <f t="shared" si="107"/>
        <v>99862.096806818139</v>
      </c>
      <c r="BN237" s="72">
        <f t="shared" si="107"/>
        <v>119834.5161681818</v>
      </c>
    </row>
    <row r="238" spans="2:66" ht="13.8">
      <c r="B238" s="37" t="str">
        <f t="shared" si="109"/>
        <v>Zurich</v>
      </c>
      <c r="C238" t="str">
        <f t="shared" si="97"/>
        <v>Accessories</v>
      </c>
      <c r="D238" s="84" t="str">
        <f>INDEX(CaseData!$E$10:$E$17,MATCH(B238,CaseData!$C$10:$C$17,0))</f>
        <v>CHF</v>
      </c>
      <c r="E238" s="84" t="str">
        <f>INDEX(CaseData!$D$10:$D$17,MATCH(B238,CaseData!$C$10:$C$17,0))</f>
        <v>Switzerland</v>
      </c>
      <c r="G238" s="72">
        <f t="shared" si="107"/>
        <v>0</v>
      </c>
      <c r="H238" s="72">
        <f t="shared" si="107"/>
        <v>0</v>
      </c>
      <c r="I238" s="72">
        <f t="shared" si="107"/>
        <v>0</v>
      </c>
      <c r="J238" s="72">
        <f t="shared" si="107"/>
        <v>0</v>
      </c>
      <c r="K238" s="72">
        <f t="shared" si="107"/>
        <v>0</v>
      </c>
      <c r="L238" s="72">
        <f t="shared" si="107"/>
        <v>0</v>
      </c>
      <c r="M238" s="72">
        <f t="shared" si="107"/>
        <v>0</v>
      </c>
      <c r="N238" s="72">
        <f t="shared" si="107"/>
        <v>0</v>
      </c>
      <c r="O238" s="72">
        <f t="shared" si="107"/>
        <v>0</v>
      </c>
      <c r="P238" s="72">
        <f t="shared" si="107"/>
        <v>0</v>
      </c>
      <c r="Q238" s="72">
        <f t="shared" si="107"/>
        <v>0</v>
      </c>
      <c r="R238" s="72">
        <f t="shared" si="107"/>
        <v>0</v>
      </c>
      <c r="S238" s="72">
        <f t="shared" si="107"/>
        <v>0</v>
      </c>
      <c r="T238" s="72">
        <f t="shared" si="107"/>
        <v>0</v>
      </c>
      <c r="U238" s="72">
        <f t="shared" si="107"/>
        <v>16165.303738317756</v>
      </c>
      <c r="V238" s="72">
        <f t="shared" ref="V238:BN238" si="110">V201/INDEX(V$208:V$213,MATCH($D238,$B$208:$B$213,0))</f>
        <v>17512.412383177561</v>
      </c>
      <c r="W238" s="72">
        <f t="shared" si="110"/>
        <v>18859.521028037376</v>
      </c>
      <c r="X238" s="72">
        <f t="shared" si="110"/>
        <v>20206.62967289719</v>
      </c>
      <c r="Y238" s="72">
        <f t="shared" si="110"/>
        <v>32063.412373522813</v>
      </c>
      <c r="Z238" s="72">
        <f t="shared" si="110"/>
        <v>22900.846962616815</v>
      </c>
      <c r="AA238" s="72">
        <f t="shared" si="110"/>
        <v>24247.95560747663</v>
      </c>
      <c r="AB238" s="72">
        <f t="shared" si="110"/>
        <v>25595.064252336448</v>
      </c>
      <c r="AC238" s="72">
        <f t="shared" si="110"/>
        <v>26942.172897196258</v>
      </c>
      <c r="AD238" s="72">
        <f t="shared" si="110"/>
        <v>33947.13785046729</v>
      </c>
      <c r="AE238" s="72">
        <f t="shared" si="110"/>
        <v>39027.053866642163</v>
      </c>
      <c r="AF238" s="72">
        <f t="shared" si="110"/>
        <v>30850.097656249996</v>
      </c>
      <c r="AG238" s="72">
        <f t="shared" si="110"/>
        <v>32191.406249999996</v>
      </c>
      <c r="AH238" s="72">
        <f t="shared" si="110"/>
        <v>32191.406249999996</v>
      </c>
      <c r="AI238" s="72">
        <f t="shared" si="110"/>
        <v>32191.406249999996</v>
      </c>
      <c r="AJ238" s="72">
        <f t="shared" si="110"/>
        <v>32191.406249999996</v>
      </c>
      <c r="AK238" s="72">
        <f t="shared" si="110"/>
        <v>41212.326635846352</v>
      </c>
      <c r="AL238" s="72">
        <f t="shared" si="110"/>
        <v>32191.406249999996</v>
      </c>
      <c r="AM238" s="72">
        <f t="shared" si="110"/>
        <v>32191.406249999996</v>
      </c>
      <c r="AN238" s="72">
        <f t="shared" si="110"/>
        <v>32191.406249999996</v>
      </c>
      <c r="AO238" s="72">
        <f t="shared" si="110"/>
        <v>32191.406249999996</v>
      </c>
      <c r="AP238" s="72">
        <f t="shared" si="110"/>
        <v>38629.687500000007</v>
      </c>
      <c r="AQ238" s="72">
        <f t="shared" si="110"/>
        <v>41762.230188734247</v>
      </c>
      <c r="AR238" s="72">
        <f t="shared" si="110"/>
        <v>32852.95441513761</v>
      </c>
      <c r="AS238" s="72">
        <f t="shared" si="110"/>
        <v>32852.95441513761</v>
      </c>
      <c r="AT238" s="72">
        <f t="shared" si="110"/>
        <v>32852.95441513761</v>
      </c>
      <c r="AU238" s="72">
        <f t="shared" si="110"/>
        <v>32852.95441513761</v>
      </c>
      <c r="AV238" s="72">
        <f t="shared" si="110"/>
        <v>32852.95441513761</v>
      </c>
      <c r="AW238" s="72">
        <f t="shared" si="110"/>
        <v>41762.230188734247</v>
      </c>
      <c r="AX238" s="72">
        <f t="shared" si="110"/>
        <v>32852.95441513761</v>
      </c>
      <c r="AY238" s="72">
        <f t="shared" si="110"/>
        <v>32852.95441513761</v>
      </c>
      <c r="AZ238" s="72">
        <f t="shared" si="110"/>
        <v>32852.95441513761</v>
      </c>
      <c r="BA238" s="72">
        <f t="shared" si="110"/>
        <v>32852.95441513761</v>
      </c>
      <c r="BB238" s="72">
        <f t="shared" si="110"/>
        <v>39423.54529816514</v>
      </c>
      <c r="BC238" s="72">
        <f t="shared" si="110"/>
        <v>42003.31215391466</v>
      </c>
      <c r="BD238" s="72">
        <f t="shared" si="110"/>
        <v>33042.605561079537</v>
      </c>
      <c r="BE238" s="72">
        <f t="shared" si="110"/>
        <v>33042.605561079537</v>
      </c>
      <c r="BF238" s="72">
        <f t="shared" si="110"/>
        <v>33042.605561079537</v>
      </c>
      <c r="BG238" s="72">
        <f t="shared" si="110"/>
        <v>33042.605561079537</v>
      </c>
      <c r="BH238" s="72">
        <f t="shared" si="110"/>
        <v>33042.605561079537</v>
      </c>
      <c r="BI238" s="72">
        <f t="shared" si="110"/>
        <v>42003.31215391466</v>
      </c>
      <c r="BJ238" s="72">
        <f t="shared" si="110"/>
        <v>33042.605561079537</v>
      </c>
      <c r="BK238" s="72">
        <f t="shared" si="110"/>
        <v>33042.605561079537</v>
      </c>
      <c r="BL238" s="72">
        <f t="shared" si="110"/>
        <v>33042.605561079537</v>
      </c>
      <c r="BM238" s="72">
        <f t="shared" si="110"/>
        <v>33042.605561079537</v>
      </c>
      <c r="BN238" s="72">
        <f t="shared" si="110"/>
        <v>39651.126673295446</v>
      </c>
    </row>
    <row r="239" spans="2:66" ht="13.8">
      <c r="B239" s="37" t="str">
        <f>CaseData!$B$35</f>
        <v>Moscow</v>
      </c>
      <c r="C239" t="str">
        <f t="shared" si="97"/>
        <v>Women's</v>
      </c>
      <c r="D239" s="84" t="str">
        <f>INDEX(CaseData!$E$10:$E$17,MATCH(B239,CaseData!$C$10:$C$17,0))</f>
        <v>RUB</v>
      </c>
      <c r="E239" s="84" t="str">
        <f>INDEX(CaseData!$D$10:$D$17,MATCH(B239,CaseData!$C$10:$C$17,0))</f>
        <v>Russia</v>
      </c>
      <c r="G239" s="72">
        <f t="shared" ref="G239:BN241" si="111">G202/INDEX(G$208:G$213,MATCH($D239,$B$208:$B$213,0))</f>
        <v>0</v>
      </c>
      <c r="H239" s="72">
        <f t="shared" si="111"/>
        <v>0</v>
      </c>
      <c r="I239" s="72">
        <f t="shared" si="111"/>
        <v>0</v>
      </c>
      <c r="J239" s="72">
        <f t="shared" si="111"/>
        <v>0</v>
      </c>
      <c r="K239" s="72">
        <f t="shared" si="111"/>
        <v>0</v>
      </c>
      <c r="L239" s="72">
        <f t="shared" si="111"/>
        <v>0</v>
      </c>
      <c r="M239" s="72">
        <f t="shared" si="111"/>
        <v>0</v>
      </c>
      <c r="N239" s="72">
        <f t="shared" si="111"/>
        <v>0</v>
      </c>
      <c r="O239" s="72">
        <f t="shared" si="111"/>
        <v>0</v>
      </c>
      <c r="P239" s="72">
        <f t="shared" si="111"/>
        <v>0</v>
      </c>
      <c r="Q239" s="72">
        <f t="shared" si="111"/>
        <v>0</v>
      </c>
      <c r="R239" s="72">
        <f t="shared" si="111"/>
        <v>0</v>
      </c>
      <c r="S239" s="72">
        <f t="shared" si="111"/>
        <v>0</v>
      </c>
      <c r="T239" s="72">
        <f t="shared" si="111"/>
        <v>0</v>
      </c>
      <c r="U239" s="72">
        <f t="shared" si="111"/>
        <v>0</v>
      </c>
      <c r="V239" s="72">
        <f t="shared" si="111"/>
        <v>0</v>
      </c>
      <c r="W239" s="72">
        <f t="shared" si="111"/>
        <v>0</v>
      </c>
      <c r="X239" s="72">
        <f t="shared" si="111"/>
        <v>0</v>
      </c>
      <c r="Y239" s="72">
        <f t="shared" si="111"/>
        <v>0</v>
      </c>
      <c r="Z239" s="72">
        <f t="shared" si="111"/>
        <v>0</v>
      </c>
      <c r="AA239" s="72">
        <f t="shared" si="111"/>
        <v>41287.16216216216</v>
      </c>
      <c r="AB239" s="72">
        <f t="shared" si="111"/>
        <v>44727.759009008994</v>
      </c>
      <c r="AC239" s="72">
        <f t="shared" si="111"/>
        <v>48168.355855855843</v>
      </c>
      <c r="AD239" s="72">
        <f t="shared" si="111"/>
        <v>61930.74324324324</v>
      </c>
      <c r="AE239" s="72">
        <f t="shared" si="111"/>
        <v>82288.066666666651</v>
      </c>
      <c r="AF239" s="72">
        <f t="shared" si="111"/>
        <v>58287.380555555545</v>
      </c>
      <c r="AG239" s="72">
        <f t="shared" si="111"/>
        <v>61716.05</v>
      </c>
      <c r="AH239" s="72">
        <f t="shared" si="111"/>
        <v>65144.719444444454</v>
      </c>
      <c r="AI239" s="72">
        <f t="shared" si="111"/>
        <v>68573.388888888891</v>
      </c>
      <c r="AJ239" s="72">
        <f t="shared" si="111"/>
        <v>72002.058333333334</v>
      </c>
      <c r="AK239" s="72">
        <f t="shared" si="111"/>
        <v>113146.09166666666</v>
      </c>
      <c r="AL239" s="72">
        <f t="shared" si="111"/>
        <v>78859.397222222236</v>
      </c>
      <c r="AM239" s="72">
        <f t="shared" si="111"/>
        <v>82288.066666666695</v>
      </c>
      <c r="AN239" s="72">
        <f t="shared" si="111"/>
        <v>82288.066666666695</v>
      </c>
      <c r="AO239" s="72">
        <f t="shared" si="111"/>
        <v>82288.066666666695</v>
      </c>
      <c r="AP239" s="72">
        <f t="shared" si="111"/>
        <v>98745.680000000022</v>
      </c>
      <c r="AQ239" s="72">
        <f t="shared" si="111"/>
        <v>123635.11332236843</v>
      </c>
      <c r="AR239" s="72">
        <f t="shared" si="111"/>
        <v>82423.408881578958</v>
      </c>
      <c r="AS239" s="72">
        <f t="shared" si="111"/>
        <v>82423.408881578958</v>
      </c>
      <c r="AT239" s="72">
        <f t="shared" si="111"/>
        <v>82423.408881578958</v>
      </c>
      <c r="AU239" s="72">
        <f t="shared" si="111"/>
        <v>82423.408881578958</v>
      </c>
      <c r="AV239" s="72">
        <f t="shared" si="111"/>
        <v>82423.408881578958</v>
      </c>
      <c r="AW239" s="72">
        <f t="shared" si="111"/>
        <v>123635.11332236843</v>
      </c>
      <c r="AX239" s="72">
        <f t="shared" si="111"/>
        <v>82423.408881578958</v>
      </c>
      <c r="AY239" s="72">
        <f t="shared" si="111"/>
        <v>82423.408881578958</v>
      </c>
      <c r="AZ239" s="72">
        <f t="shared" si="111"/>
        <v>82423.408881578958</v>
      </c>
      <c r="BA239" s="72">
        <f t="shared" si="111"/>
        <v>82423.408881578958</v>
      </c>
      <c r="BB239" s="72">
        <f t="shared" si="111"/>
        <v>98908.090657894747</v>
      </c>
      <c r="BC239" s="72">
        <f t="shared" si="111"/>
        <v>123249.75712500002</v>
      </c>
      <c r="BD239" s="72">
        <f t="shared" si="111"/>
        <v>82166.504750000022</v>
      </c>
      <c r="BE239" s="72">
        <f t="shared" si="111"/>
        <v>82166.504750000022</v>
      </c>
      <c r="BF239" s="72">
        <f t="shared" si="111"/>
        <v>82166.504750000022</v>
      </c>
      <c r="BG239" s="72">
        <f t="shared" si="111"/>
        <v>82166.504750000022</v>
      </c>
      <c r="BH239" s="72">
        <f t="shared" si="111"/>
        <v>82166.504750000022</v>
      </c>
      <c r="BI239" s="72">
        <f t="shared" si="111"/>
        <v>123249.75712500002</v>
      </c>
      <c r="BJ239" s="72">
        <f t="shared" si="111"/>
        <v>82166.504750000022</v>
      </c>
      <c r="BK239" s="72">
        <f t="shared" si="111"/>
        <v>82166.504750000022</v>
      </c>
      <c r="BL239" s="72">
        <f t="shared" si="111"/>
        <v>82166.504750000022</v>
      </c>
      <c r="BM239" s="72">
        <f t="shared" si="111"/>
        <v>82166.504750000022</v>
      </c>
      <c r="BN239" s="72">
        <f t="shared" si="111"/>
        <v>98599.805700000026</v>
      </c>
    </row>
    <row r="240" spans="2:66" ht="13.8">
      <c r="B240" s="37" t="str">
        <f t="shared" ref="B240:B241" si="112">B239</f>
        <v>Moscow</v>
      </c>
      <c r="C240" t="str">
        <f t="shared" si="97"/>
        <v>Men's</v>
      </c>
      <c r="D240" s="84" t="str">
        <f>INDEX(CaseData!$E$10:$E$17,MATCH(B240,CaseData!$C$10:$C$17,0))</f>
        <v>RUB</v>
      </c>
      <c r="E240" s="84" t="str">
        <f>INDEX(CaseData!$D$10:$D$17,MATCH(B240,CaseData!$C$10:$C$17,0))</f>
        <v>Russia</v>
      </c>
      <c r="G240" s="72">
        <f t="shared" si="111"/>
        <v>0</v>
      </c>
      <c r="H240" s="72">
        <f t="shared" si="111"/>
        <v>0</v>
      </c>
      <c r="I240" s="72">
        <f t="shared" si="111"/>
        <v>0</v>
      </c>
      <c r="J240" s="72">
        <f t="shared" si="111"/>
        <v>0</v>
      </c>
      <c r="K240" s="72">
        <f t="shared" si="111"/>
        <v>0</v>
      </c>
      <c r="L240" s="72">
        <f t="shared" si="111"/>
        <v>0</v>
      </c>
      <c r="M240" s="72">
        <f t="shared" si="111"/>
        <v>0</v>
      </c>
      <c r="N240" s="72">
        <f t="shared" si="111"/>
        <v>0</v>
      </c>
      <c r="O240" s="72">
        <f t="shared" si="111"/>
        <v>0</v>
      </c>
      <c r="P240" s="72">
        <f t="shared" si="111"/>
        <v>0</v>
      </c>
      <c r="Q240" s="72">
        <f t="shared" si="111"/>
        <v>0</v>
      </c>
      <c r="R240" s="72">
        <f t="shared" si="111"/>
        <v>0</v>
      </c>
      <c r="S240" s="72">
        <f t="shared" si="111"/>
        <v>0</v>
      </c>
      <c r="T240" s="72">
        <f t="shared" si="111"/>
        <v>0</v>
      </c>
      <c r="U240" s="72">
        <f t="shared" si="111"/>
        <v>0</v>
      </c>
      <c r="V240" s="72">
        <f t="shared" si="111"/>
        <v>0</v>
      </c>
      <c r="W240" s="72">
        <f t="shared" si="111"/>
        <v>0</v>
      </c>
      <c r="X240" s="72">
        <f t="shared" si="111"/>
        <v>0</v>
      </c>
      <c r="Y240" s="72">
        <f t="shared" si="111"/>
        <v>0</v>
      </c>
      <c r="Z240" s="72">
        <f t="shared" si="111"/>
        <v>0</v>
      </c>
      <c r="AA240" s="72">
        <f t="shared" si="111"/>
        <v>35486.486486486487</v>
      </c>
      <c r="AB240" s="72">
        <f t="shared" si="111"/>
        <v>38443.693693693676</v>
      </c>
      <c r="AC240" s="72">
        <f t="shared" si="111"/>
        <v>41400.900900900902</v>
      </c>
      <c r="AD240" s="72">
        <f t="shared" si="111"/>
        <v>53229.729729729726</v>
      </c>
      <c r="AE240" s="72">
        <f t="shared" si="111"/>
        <v>70726.93333333332</v>
      </c>
      <c r="AF240" s="72">
        <f t="shared" si="111"/>
        <v>50098.244444444441</v>
      </c>
      <c r="AG240" s="72">
        <f t="shared" si="111"/>
        <v>53045.2</v>
      </c>
      <c r="AH240" s="72">
        <f t="shared" si="111"/>
        <v>55992.155555555561</v>
      </c>
      <c r="AI240" s="72">
        <f t="shared" si="111"/>
        <v>58939.111111111117</v>
      </c>
      <c r="AJ240" s="72">
        <f t="shared" si="111"/>
        <v>61886.066666666666</v>
      </c>
      <c r="AK240" s="72">
        <f t="shared" si="111"/>
        <v>97249.53333333334</v>
      </c>
      <c r="AL240" s="72">
        <f t="shared" si="111"/>
        <v>67779.977777777793</v>
      </c>
      <c r="AM240" s="72">
        <f t="shared" si="111"/>
        <v>70726.933333333349</v>
      </c>
      <c r="AN240" s="72">
        <f t="shared" si="111"/>
        <v>70726.933333333349</v>
      </c>
      <c r="AO240" s="72">
        <f t="shared" si="111"/>
        <v>70726.933333333349</v>
      </c>
      <c r="AP240" s="72">
        <f t="shared" si="111"/>
        <v>84872.320000000022</v>
      </c>
      <c r="AQ240" s="72">
        <f t="shared" si="111"/>
        <v>106264.89078947369</v>
      </c>
      <c r="AR240" s="72">
        <f t="shared" si="111"/>
        <v>70843.260526315789</v>
      </c>
      <c r="AS240" s="72">
        <f t="shared" si="111"/>
        <v>70843.260526315789</v>
      </c>
      <c r="AT240" s="72">
        <f t="shared" si="111"/>
        <v>70843.260526315789</v>
      </c>
      <c r="AU240" s="72">
        <f t="shared" si="111"/>
        <v>70843.260526315789</v>
      </c>
      <c r="AV240" s="72">
        <f t="shared" si="111"/>
        <v>70843.260526315789</v>
      </c>
      <c r="AW240" s="72">
        <f t="shared" si="111"/>
        <v>106264.89078947369</v>
      </c>
      <c r="AX240" s="72">
        <f t="shared" si="111"/>
        <v>70843.260526315789</v>
      </c>
      <c r="AY240" s="72">
        <f t="shared" si="111"/>
        <v>70843.260526315789</v>
      </c>
      <c r="AZ240" s="72">
        <f t="shared" si="111"/>
        <v>70843.260526315789</v>
      </c>
      <c r="BA240" s="72">
        <f t="shared" si="111"/>
        <v>70843.260526315789</v>
      </c>
      <c r="BB240" s="72">
        <f t="shared" si="111"/>
        <v>85011.912631578962</v>
      </c>
      <c r="BC240" s="72">
        <f t="shared" si="111"/>
        <v>105933.67554545456</v>
      </c>
      <c r="BD240" s="72">
        <f t="shared" si="111"/>
        <v>70622.450363636381</v>
      </c>
      <c r="BE240" s="72">
        <f t="shared" si="111"/>
        <v>70622.450363636381</v>
      </c>
      <c r="BF240" s="72">
        <f t="shared" si="111"/>
        <v>70622.450363636381</v>
      </c>
      <c r="BG240" s="72">
        <f t="shared" si="111"/>
        <v>70622.450363636381</v>
      </c>
      <c r="BH240" s="72">
        <f t="shared" si="111"/>
        <v>70622.450363636381</v>
      </c>
      <c r="BI240" s="72">
        <f t="shared" si="111"/>
        <v>105933.67554545456</v>
      </c>
      <c r="BJ240" s="72">
        <f t="shared" si="111"/>
        <v>70622.450363636381</v>
      </c>
      <c r="BK240" s="72">
        <f t="shared" si="111"/>
        <v>70622.450363636381</v>
      </c>
      <c r="BL240" s="72">
        <f t="shared" si="111"/>
        <v>70622.450363636381</v>
      </c>
      <c r="BM240" s="72">
        <f t="shared" si="111"/>
        <v>70622.450363636381</v>
      </c>
      <c r="BN240" s="72">
        <f t="shared" si="111"/>
        <v>84746.940436363657</v>
      </c>
    </row>
    <row r="241" spans="2:66" ht="13.8">
      <c r="B241" s="37" t="str">
        <f t="shared" si="112"/>
        <v>Moscow</v>
      </c>
      <c r="C241" t="str">
        <f t="shared" si="97"/>
        <v>Accessories</v>
      </c>
      <c r="D241" s="84" t="str">
        <f>INDEX(CaseData!$E$10:$E$17,MATCH(B241,CaseData!$C$10:$C$17,0))</f>
        <v>RUB</v>
      </c>
      <c r="E241" s="84" t="str">
        <f>INDEX(CaseData!$D$10:$D$17,MATCH(B241,CaseData!$C$10:$C$17,0))</f>
        <v>Russia</v>
      </c>
      <c r="G241" s="72">
        <f t="shared" si="111"/>
        <v>0</v>
      </c>
      <c r="H241" s="72">
        <f t="shared" si="111"/>
        <v>0</v>
      </c>
      <c r="I241" s="72">
        <f t="shared" si="111"/>
        <v>0</v>
      </c>
      <c r="J241" s="72">
        <f t="shared" si="111"/>
        <v>0</v>
      </c>
      <c r="K241" s="72">
        <f t="shared" si="111"/>
        <v>0</v>
      </c>
      <c r="L241" s="72">
        <f t="shared" si="111"/>
        <v>0</v>
      </c>
      <c r="M241" s="72">
        <f t="shared" si="111"/>
        <v>0</v>
      </c>
      <c r="N241" s="72">
        <f t="shared" si="111"/>
        <v>0</v>
      </c>
      <c r="O241" s="72">
        <f t="shared" si="111"/>
        <v>0</v>
      </c>
      <c r="P241" s="72">
        <f t="shared" si="111"/>
        <v>0</v>
      </c>
      <c r="Q241" s="72">
        <f t="shared" si="111"/>
        <v>0</v>
      </c>
      <c r="R241" s="72">
        <f t="shared" si="111"/>
        <v>0</v>
      </c>
      <c r="S241" s="72">
        <f t="shared" si="111"/>
        <v>0</v>
      </c>
      <c r="T241" s="72">
        <f t="shared" si="111"/>
        <v>0</v>
      </c>
      <c r="U241" s="72">
        <f t="shared" si="111"/>
        <v>0</v>
      </c>
      <c r="V241" s="72">
        <f t="shared" si="111"/>
        <v>0</v>
      </c>
      <c r="W241" s="72">
        <f t="shared" si="111"/>
        <v>0</v>
      </c>
      <c r="X241" s="72">
        <f t="shared" si="111"/>
        <v>0</v>
      </c>
      <c r="Y241" s="72">
        <f t="shared" si="111"/>
        <v>0</v>
      </c>
      <c r="Z241" s="72">
        <f t="shared" si="111"/>
        <v>0</v>
      </c>
      <c r="AA241" s="72">
        <f t="shared" si="111"/>
        <v>10236.486486486487</v>
      </c>
      <c r="AB241" s="72">
        <f t="shared" si="111"/>
        <v>11089.527027027023</v>
      </c>
      <c r="AC241" s="72">
        <f t="shared" si="111"/>
        <v>11942.567567567567</v>
      </c>
      <c r="AD241" s="72">
        <f t="shared" si="111"/>
        <v>15354.72972972973</v>
      </c>
      <c r="AE241" s="72">
        <f t="shared" si="111"/>
        <v>17988.537839823661</v>
      </c>
      <c r="AF241" s="72">
        <f t="shared" si="111"/>
        <v>14451.416666666666</v>
      </c>
      <c r="AG241" s="72">
        <f t="shared" si="111"/>
        <v>15301.5</v>
      </c>
      <c r="AH241" s="72">
        <f t="shared" si="111"/>
        <v>16151.583333333334</v>
      </c>
      <c r="AI241" s="72">
        <f t="shared" si="111"/>
        <v>17001.666666666672</v>
      </c>
      <c r="AJ241" s="72">
        <f t="shared" si="111"/>
        <v>17851.75</v>
      </c>
      <c r="AK241" s="72">
        <f t="shared" si="111"/>
        <v>23942.60312944524</v>
      </c>
      <c r="AL241" s="72">
        <f t="shared" si="111"/>
        <v>19551.916666666672</v>
      </c>
      <c r="AM241" s="72">
        <f t="shared" si="111"/>
        <v>20402.000000000007</v>
      </c>
      <c r="AN241" s="72">
        <f t="shared" si="111"/>
        <v>20402.000000000007</v>
      </c>
      <c r="AO241" s="72">
        <f t="shared" si="111"/>
        <v>20402.000000000007</v>
      </c>
      <c r="AP241" s="72">
        <f t="shared" si="111"/>
        <v>24482.400000000005</v>
      </c>
      <c r="AQ241" s="72">
        <f t="shared" si="111"/>
        <v>25977.401594558429</v>
      </c>
      <c r="AR241" s="72">
        <f t="shared" si="111"/>
        <v>20435.555921052633</v>
      </c>
      <c r="AS241" s="72">
        <f t="shared" si="111"/>
        <v>20435.555921052633</v>
      </c>
      <c r="AT241" s="72">
        <f t="shared" si="111"/>
        <v>20435.555921052633</v>
      </c>
      <c r="AU241" s="72">
        <f t="shared" si="111"/>
        <v>20435.555921052633</v>
      </c>
      <c r="AV241" s="72">
        <f t="shared" si="111"/>
        <v>20435.555921052633</v>
      </c>
      <c r="AW241" s="72">
        <f t="shared" si="111"/>
        <v>25977.401594558429</v>
      </c>
      <c r="AX241" s="72">
        <f t="shared" si="111"/>
        <v>20435.555921052633</v>
      </c>
      <c r="AY241" s="72">
        <f t="shared" si="111"/>
        <v>20435.555921052633</v>
      </c>
      <c r="AZ241" s="72">
        <f t="shared" si="111"/>
        <v>20435.555921052633</v>
      </c>
      <c r="BA241" s="72">
        <f t="shared" si="111"/>
        <v>20435.555921052633</v>
      </c>
      <c r="BB241" s="72">
        <f t="shared" si="111"/>
        <v>24522.667105263161</v>
      </c>
      <c r="BC241" s="72">
        <f t="shared" si="111"/>
        <v>25896.433070107862</v>
      </c>
      <c r="BD241" s="72">
        <f t="shared" si="111"/>
        <v>20371.860681818187</v>
      </c>
      <c r="BE241" s="72">
        <f t="shared" si="111"/>
        <v>20371.860681818187</v>
      </c>
      <c r="BF241" s="72">
        <f t="shared" si="111"/>
        <v>20371.860681818187</v>
      </c>
      <c r="BG241" s="72">
        <f t="shared" si="111"/>
        <v>20371.860681818187</v>
      </c>
      <c r="BH241" s="72">
        <f t="shared" si="111"/>
        <v>20371.860681818187</v>
      </c>
      <c r="BI241" s="72">
        <f t="shared" si="111"/>
        <v>25896.433070107862</v>
      </c>
      <c r="BJ241" s="72">
        <f t="shared" si="111"/>
        <v>20371.860681818187</v>
      </c>
      <c r="BK241" s="72">
        <f t="shared" si="111"/>
        <v>20371.860681818187</v>
      </c>
      <c r="BL241" s="72">
        <f t="shared" si="111"/>
        <v>20371.860681818187</v>
      </c>
      <c r="BM241" s="72">
        <f t="shared" si="111"/>
        <v>20371.860681818187</v>
      </c>
      <c r="BN241" s="72">
        <f t="shared" si="111"/>
        <v>24446.232818181823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Cover</vt:lpstr>
      <vt:lpstr>Notes</vt:lpstr>
      <vt:lpstr>Revenue</vt:lpstr>
      <vt:lpstr>Price</vt:lpstr>
      <vt:lpstr>Volume</vt:lpstr>
      <vt:lpstr>Time</vt:lpstr>
      <vt:lpstr>CaseData</vt:lpstr>
      <vt:lpstr>CaseSolution</vt:lpstr>
      <vt:lpstr>company</vt:lpstr>
      <vt:lpstr>lstCountries</vt:lpstr>
      <vt:lpstr>lstCurrencies</vt:lpstr>
      <vt:lpstr>lstStoreCurrencies</vt:lpstr>
      <vt:lpstr>lstStores</vt:lpstr>
      <vt:lpstr>periods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2026-08-12T07:11:08Z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2026-05-06T09:48:01Z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0578e37c-a030-49e9-9c6a-55b9e2629914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