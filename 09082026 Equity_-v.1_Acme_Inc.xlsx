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defaultThemeVersion="124226"/>
  <xr:revisionPtr revIDLastSave="542" documentId="8_{95104B70-50F6-40D8-88A3-F2D28ACD8F76}" xr6:coauthVersionLast="47" xr6:coauthVersionMax="47" xr10:uidLastSave="{9D317E0F-15F5-4F0B-9B1E-8A07339588BE}"/>
  <bookViews>
    <workbookView xWindow="-120" yWindow="-120" windowWidth="25440" windowHeight="15990" xr2:uid="{00000000-000D-0000-FFFF-FFFF00000000}"/>
  </bookViews>
  <sheets>
    <sheet name="Equity" sheetId="7" r:id="rId1"/>
    <sheet name="Equity_Answer" sheetId="1" r:id="rId2"/>
  </sheets>
  <definedNames>
    <definedName name="company">Equity!$F$104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_xlnm.Print_Area" localSheetId="0">Equity!$A$1:$N$99</definedName>
    <definedName name="topic">"CFM Topic: " &amp; Equity!$F$105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07" i="7" l="1"/>
  <c r="J108" i="7"/>
  <c r="J111" i="7"/>
  <c r="J3" i="7"/>
  <c r="J44" i="7"/>
  <c r="J43" i="7"/>
  <c r="J45" i="7"/>
  <c r="K43" i="7"/>
  <c r="K107" i="7"/>
  <c r="K108" i="7"/>
  <c r="K111" i="7"/>
  <c r="K3" i="7"/>
  <c r="K44" i="7"/>
  <c r="K45" i="7"/>
  <c r="L43" i="7"/>
  <c r="L107" i="7"/>
  <c r="L108" i="7"/>
  <c r="L111" i="7"/>
  <c r="L3" i="7"/>
  <c r="L44" i="7"/>
  <c r="L45" i="7"/>
  <c r="M43" i="7"/>
  <c r="M107" i="7"/>
  <c r="M108" i="7"/>
  <c r="M111" i="7"/>
  <c r="M3" i="7"/>
  <c r="M44" i="7"/>
  <c r="M45" i="7"/>
  <c r="N43" i="7"/>
  <c r="N107" i="7"/>
  <c r="N108" i="7"/>
  <c r="N111" i="7"/>
  <c r="N3" i="7"/>
  <c r="N44" i="7"/>
  <c r="N45" i="7"/>
  <c r="N49" i="7"/>
  <c r="N7" i="7"/>
  <c r="N36" i="7"/>
  <c r="J13" i="7"/>
  <c r="J15" i="7"/>
  <c r="K13" i="7"/>
  <c r="K15" i="7"/>
  <c r="L13" i="7"/>
  <c r="L15" i="7"/>
  <c r="M13" i="7"/>
  <c r="M15" i="7"/>
  <c r="N13" i="7"/>
  <c r="N15" i="7"/>
  <c r="N19" i="7"/>
  <c r="N26" i="7"/>
  <c r="J25" i="7"/>
  <c r="J7" i="7"/>
  <c r="J19" i="7"/>
  <c r="J26" i="7"/>
  <c r="J27" i="7"/>
  <c r="J28" i="7"/>
  <c r="K25" i="7"/>
  <c r="K7" i="7"/>
  <c r="K19" i="7"/>
  <c r="K26" i="7"/>
  <c r="K27" i="7"/>
  <c r="K28" i="7"/>
  <c r="L25" i="7"/>
  <c r="L7" i="7"/>
  <c r="L19" i="7"/>
  <c r="L26" i="7"/>
  <c r="L27" i="7"/>
  <c r="L28" i="7"/>
  <c r="M25" i="7"/>
  <c r="M7" i="7"/>
  <c r="M19" i="7"/>
  <c r="M26" i="7"/>
  <c r="M27" i="7"/>
  <c r="M28" i="7"/>
  <c r="N25" i="7"/>
  <c r="N27" i="7"/>
  <c r="N31" i="7"/>
  <c r="N37" i="7"/>
  <c r="N38" i="7"/>
  <c r="N52" i="7"/>
  <c r="N86" i="7"/>
  <c r="N58" i="7"/>
  <c r="N56" i="7"/>
  <c r="N57" i="7"/>
  <c r="N59" i="7"/>
  <c r="J66" i="7"/>
  <c r="K66" i="7"/>
  <c r="L66" i="7"/>
  <c r="M66" i="7"/>
  <c r="N66" i="7"/>
  <c r="N67" i="7"/>
  <c r="N87" i="7"/>
  <c r="N73" i="7"/>
  <c r="N74" i="7"/>
  <c r="N71" i="7"/>
  <c r="N72" i="7"/>
  <c r="N75" i="7"/>
  <c r="N80" i="7"/>
  <c r="N88" i="7"/>
  <c r="N85" i="7"/>
  <c r="N89" i="7"/>
  <c r="N95" i="7"/>
  <c r="M49" i="7"/>
  <c r="M36" i="7"/>
  <c r="M31" i="7"/>
  <c r="M37" i="7"/>
  <c r="M38" i="7"/>
  <c r="M52" i="7"/>
  <c r="M86" i="7"/>
  <c r="M58" i="7"/>
  <c r="M56" i="7"/>
  <c r="M57" i="7"/>
  <c r="M59" i="7"/>
  <c r="M67" i="7"/>
  <c r="M87" i="7"/>
  <c r="M73" i="7"/>
  <c r="M74" i="7"/>
  <c r="M71" i="7"/>
  <c r="M72" i="7"/>
  <c r="M75" i="7"/>
  <c r="M80" i="7"/>
  <c r="M88" i="7"/>
  <c r="M85" i="7"/>
  <c r="M89" i="7"/>
  <c r="M95" i="7"/>
  <c r="L49" i="7"/>
  <c r="L36" i="7"/>
  <c r="L31" i="7"/>
  <c r="L37" i="7"/>
  <c r="L38" i="7"/>
  <c r="L52" i="7"/>
  <c r="L86" i="7"/>
  <c r="L58" i="7"/>
  <c r="L56" i="7"/>
  <c r="L57" i="7"/>
  <c r="L59" i="7"/>
  <c r="L67" i="7"/>
  <c r="L87" i="7"/>
  <c r="L73" i="7"/>
  <c r="L74" i="7"/>
  <c r="L71" i="7"/>
  <c r="L72" i="7"/>
  <c r="L75" i="7"/>
  <c r="L80" i="7"/>
  <c r="L88" i="7"/>
  <c r="L85" i="7"/>
  <c r="L89" i="7"/>
  <c r="L95" i="7"/>
  <c r="K49" i="7"/>
  <c r="K36" i="7"/>
  <c r="K31" i="7"/>
  <c r="K37" i="7"/>
  <c r="K38" i="7"/>
  <c r="K52" i="7"/>
  <c r="K86" i="7"/>
  <c r="K58" i="7"/>
  <c r="K56" i="7"/>
  <c r="K57" i="7"/>
  <c r="K59" i="7"/>
  <c r="K67" i="7"/>
  <c r="K87" i="7"/>
  <c r="K73" i="7"/>
  <c r="K74" i="7"/>
  <c r="K71" i="7"/>
  <c r="K72" i="7"/>
  <c r="K75" i="7"/>
  <c r="K80" i="7"/>
  <c r="K88" i="7"/>
  <c r="K85" i="7"/>
  <c r="K89" i="7"/>
  <c r="K95" i="7"/>
  <c r="J49" i="7"/>
  <c r="J36" i="7"/>
  <c r="J31" i="7"/>
  <c r="J37" i="7"/>
  <c r="J38" i="7"/>
  <c r="J52" i="7"/>
  <c r="J86" i="7"/>
  <c r="J58" i="7"/>
  <c r="J56" i="7"/>
  <c r="J57" i="7"/>
  <c r="J59" i="7"/>
  <c r="J67" i="7"/>
  <c r="J87" i="7"/>
  <c r="J73" i="7"/>
  <c r="J74" i="7"/>
  <c r="J71" i="7"/>
  <c r="J72" i="7"/>
  <c r="J75" i="7"/>
  <c r="J80" i="7"/>
  <c r="J88" i="7"/>
  <c r="J85" i="7"/>
  <c r="J89" i="7"/>
  <c r="J95" i="7"/>
  <c r="I88" i="7"/>
  <c r="G88" i="7"/>
  <c r="E88" i="7"/>
  <c r="I87" i="7"/>
  <c r="G87" i="7"/>
  <c r="E87" i="7"/>
  <c r="I86" i="7"/>
  <c r="G86" i="7"/>
  <c r="E86" i="7"/>
  <c r="I85" i="7"/>
  <c r="G85" i="7"/>
  <c r="E85" i="7"/>
  <c r="I74" i="7"/>
  <c r="G74" i="7"/>
  <c r="E74" i="7"/>
  <c r="I73" i="7"/>
  <c r="G73" i="7"/>
  <c r="E73" i="7"/>
  <c r="I72" i="7"/>
  <c r="G72" i="7"/>
  <c r="E72" i="7"/>
  <c r="I7" i="7"/>
  <c r="I71" i="7"/>
  <c r="G7" i="7"/>
  <c r="G71" i="7"/>
  <c r="E7" i="7"/>
  <c r="E71" i="7"/>
  <c r="I58" i="7"/>
  <c r="G58" i="7"/>
  <c r="E58" i="7"/>
  <c r="I57" i="7"/>
  <c r="G57" i="7"/>
  <c r="E57" i="7"/>
  <c r="I56" i="7"/>
  <c r="G56" i="7"/>
  <c r="E56" i="7"/>
  <c r="I37" i="7"/>
  <c r="G37" i="7"/>
  <c r="E37" i="7"/>
  <c r="I36" i="7"/>
  <c r="G36" i="7"/>
  <c r="E36" i="7"/>
  <c r="N28" i="7"/>
  <c r="A2" i="7" a="1"/>
  <c r="A1" i="7" a="1"/>
  <c r="H30" i="1"/>
  <c r="I30" i="1"/>
  <c r="J30" i="1"/>
  <c r="K30" i="1"/>
  <c r="G30" i="1"/>
  <c r="G90" i="1"/>
  <c r="H90" i="1"/>
  <c r="I90" i="1"/>
  <c r="J90" i="1"/>
  <c r="K90" i="1"/>
  <c r="G91" i="1"/>
  <c r="H91" i="1"/>
  <c r="I91" i="1"/>
  <c r="J91" i="1"/>
  <c r="K91" i="1"/>
  <c r="G92" i="1"/>
  <c r="H92" i="1"/>
  <c r="I92" i="1"/>
  <c r="J92" i="1"/>
  <c r="K92" i="1"/>
  <c r="H87" i="1"/>
  <c r="I87" i="1"/>
  <c r="J87" i="1"/>
  <c r="K87" i="1"/>
  <c r="G87" i="1"/>
  <c r="G19" i="1"/>
  <c r="F38" i="1"/>
  <c r="G38" i="1"/>
  <c r="G34" i="1"/>
  <c r="H38" i="1"/>
  <c r="I38" i="1"/>
  <c r="H53" i="1"/>
  <c r="I53" i="1"/>
  <c r="J53" i="1"/>
  <c r="K53" i="1"/>
  <c r="G63" i="1"/>
  <c r="H63" i="1"/>
  <c r="I63" i="1"/>
  <c r="J63" i="1"/>
  <c r="K63" i="1"/>
  <c r="G52" i="1"/>
  <c r="G48" i="1"/>
  <c r="G50" i="1"/>
  <c r="H48" i="1"/>
  <c r="H50" i="1"/>
  <c r="I48" i="1"/>
  <c r="I50" i="1"/>
  <c r="J48" i="1"/>
  <c r="J50" i="1"/>
  <c r="K48" i="1"/>
  <c r="K50" i="1"/>
  <c r="G15" i="1"/>
  <c r="H15" i="1"/>
  <c r="I15" i="1"/>
  <c r="J15" i="1"/>
  <c r="K15" i="1"/>
  <c r="G11" i="1"/>
  <c r="G13" i="1"/>
  <c r="H11" i="1"/>
  <c r="H13" i="1"/>
  <c r="I11" i="1"/>
  <c r="I13" i="1"/>
  <c r="J11" i="1"/>
  <c r="J13" i="1"/>
  <c r="K11" i="1"/>
  <c r="K13" i="1"/>
  <c r="G6" i="1"/>
  <c r="H6" i="1"/>
  <c r="G35" i="1"/>
  <c r="G36" i="1"/>
  <c r="G16" i="1"/>
  <c r="K16" i="1"/>
  <c r="J38" i="1"/>
  <c r="J16" i="1"/>
  <c r="I16" i="1"/>
  <c r="H16" i="1"/>
  <c r="H52" i="1"/>
  <c r="K44" i="1"/>
  <c r="G44" i="1"/>
  <c r="K20" i="1"/>
  <c r="I20" i="1"/>
  <c r="J20" i="1"/>
  <c r="G39" i="1"/>
  <c r="H34" i="1"/>
  <c r="I6" i="1"/>
  <c r="H35" i="1"/>
  <c r="G20" i="1"/>
  <c r="G21" i="1"/>
  <c r="H20" i="1"/>
  <c r="I52" i="1"/>
  <c r="H44" i="1"/>
  <c r="K38" i="1"/>
  <c r="J44" i="1"/>
  <c r="I44" i="1"/>
  <c r="G24" i="1"/>
  <c r="G22" i="1"/>
  <c r="H19" i="1"/>
  <c r="H21" i="1"/>
  <c r="J6" i="1"/>
  <c r="I35" i="1"/>
  <c r="H36" i="1"/>
  <c r="J52" i="1"/>
  <c r="G31" i="1"/>
  <c r="G32" i="1"/>
  <c r="G40" i="1"/>
  <c r="G69" i="1"/>
  <c r="G68" i="1"/>
  <c r="H24" i="1"/>
  <c r="H22" i="1"/>
  <c r="I19" i="1"/>
  <c r="I21" i="1"/>
  <c r="K6" i="1"/>
  <c r="K35" i="1"/>
  <c r="J35" i="1"/>
  <c r="I34" i="1"/>
  <c r="I36" i="1"/>
  <c r="H39" i="1"/>
  <c r="K52" i="1"/>
  <c r="G45" i="1"/>
  <c r="G46" i="1"/>
  <c r="H31" i="1"/>
  <c r="H32" i="1"/>
  <c r="H68" i="1"/>
  <c r="H40" i="1"/>
  <c r="I24" i="1"/>
  <c r="I22" i="1"/>
  <c r="J19" i="1"/>
  <c r="J21" i="1"/>
  <c r="J34" i="1"/>
  <c r="J36" i="1"/>
  <c r="I39" i="1"/>
  <c r="I31" i="1"/>
  <c r="I32" i="1"/>
  <c r="I68" i="1"/>
  <c r="G59" i="1"/>
  <c r="G55" i="1"/>
  <c r="H45" i="1"/>
  <c r="H46" i="1"/>
  <c r="H55" i="1"/>
  <c r="H60" i="1"/>
  <c r="H69" i="1"/>
  <c r="I40" i="1"/>
  <c r="J24" i="1"/>
  <c r="J22" i="1"/>
  <c r="K19" i="1"/>
  <c r="K21" i="1"/>
  <c r="K34" i="1"/>
  <c r="K36" i="1"/>
  <c r="K39" i="1"/>
  <c r="J39" i="1"/>
  <c r="G70" i="1"/>
  <c r="G60" i="1"/>
  <c r="G61" i="1"/>
  <c r="G64" i="1"/>
  <c r="G71" i="1"/>
  <c r="J31" i="1"/>
  <c r="J32" i="1"/>
  <c r="J68" i="1"/>
  <c r="H59" i="1"/>
  <c r="H61" i="1"/>
  <c r="H64" i="1"/>
  <c r="H71" i="1"/>
  <c r="I45" i="1"/>
  <c r="I46" i="1"/>
  <c r="I59" i="1"/>
  <c r="I69" i="1"/>
  <c r="H70" i="1"/>
  <c r="J40" i="1"/>
  <c r="K24" i="1"/>
  <c r="K22" i="1"/>
  <c r="G72" i="1"/>
  <c r="G77" i="1"/>
  <c r="I55" i="1"/>
  <c r="I70" i="1"/>
  <c r="K31" i="1"/>
  <c r="K32" i="1"/>
  <c r="K40" i="1"/>
  <c r="K45" i="1"/>
  <c r="K46" i="1"/>
  <c r="K68" i="1"/>
  <c r="J45" i="1"/>
  <c r="J46" i="1"/>
  <c r="J55" i="1"/>
  <c r="J69" i="1"/>
  <c r="H72" i="1"/>
  <c r="H77" i="1"/>
  <c r="I60" i="1"/>
  <c r="J59" i="1"/>
  <c r="K55" i="1"/>
  <c r="K70" i="1"/>
  <c r="K59" i="1"/>
  <c r="K69" i="1"/>
  <c r="I61" i="1"/>
  <c r="I64" i="1"/>
  <c r="I71" i="1"/>
  <c r="I72" i="1"/>
  <c r="I77" i="1"/>
  <c r="J60" i="1"/>
  <c r="J70" i="1"/>
  <c r="K60" i="1"/>
  <c r="K61" i="1"/>
  <c r="K64" i="1"/>
  <c r="K71" i="1"/>
  <c r="K72" i="1"/>
  <c r="K77" i="1"/>
  <c r="J61" i="1"/>
  <c r="J64" i="1"/>
  <c r="J71" i="1"/>
  <c r="J72" i="1"/>
  <c r="J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<sst xmlns="http://schemas.openxmlformats.org/spreadsheetml/2006/main" count="163" uniqueCount="109">
  <si>
    <t>Net Income</t>
  </si>
  <si>
    <t>Preferred Shares</t>
  </si>
  <si>
    <t>Opening Balance</t>
  </si>
  <si>
    <t>Closing Balance</t>
  </si>
  <si>
    <t>Yield</t>
  </si>
  <si>
    <t>Class A Common Shares</t>
  </si>
  <si>
    <t>Issuance / (Repayment)</t>
  </si>
  <si>
    <t>Dividend per Share</t>
  </si>
  <si>
    <t>Class B Common Shares</t>
  </si>
  <si>
    <t>Net Income to Common</t>
  </si>
  <si>
    <t>Net Income to Class B Common</t>
  </si>
  <si>
    <t>Payout Ratio</t>
  </si>
  <si>
    <t>Total</t>
  </si>
  <si>
    <t>New Preferred Shares</t>
  </si>
  <si>
    <t>Scenario Analysis</t>
  </si>
  <si>
    <t>(1)</t>
  </si>
  <si>
    <t>(3)</t>
  </si>
  <si>
    <t>Equity Returns</t>
  </si>
  <si>
    <t>Unpaid Preferred Dividends</t>
  </si>
  <si>
    <t>Answers</t>
  </si>
  <si>
    <t>Total Dividends</t>
  </si>
  <si>
    <t>Total Dividends - 2020 Issuance</t>
  </si>
  <si>
    <t>Total Dividends - 2021 Issuance</t>
  </si>
  <si>
    <t>Total Dividends - 2022 Issuance</t>
  </si>
  <si>
    <t>Total Dividends Paid</t>
  </si>
  <si>
    <t>No New Pref Shares</t>
  </si>
  <si>
    <t>Issue Yr</t>
  </si>
  <si>
    <t>Accrued</t>
  </si>
  <si>
    <t>Payment of Previously Accrued</t>
  </si>
  <si>
    <t>Class A Common Shares Outstanding</t>
  </si>
  <si>
    <t>Opening Balance (# of shares)</t>
  </si>
  <si>
    <t>Closing Balance (# of shares)</t>
  </si>
  <si>
    <t>Growth in Dividend per share</t>
  </si>
  <si>
    <t>Less: Preferred Dividends Paid</t>
  </si>
  <si>
    <t>Dividend Declared</t>
  </si>
  <si>
    <t>Dividend Paid</t>
  </si>
  <si>
    <t xml:space="preserve"> </t>
  </si>
  <si>
    <t>Year Issued</t>
  </si>
  <si>
    <t>Net Income Available for New Preferred</t>
  </si>
  <si>
    <t>Less: Class A Dividends Paid</t>
  </si>
  <si>
    <t>CFM Sample Exam Question</t>
  </si>
  <si>
    <t>EQUITY SCHEDULE</t>
  </si>
  <si>
    <t>Constant</t>
  </si>
  <si>
    <t>Unit</t>
  </si>
  <si>
    <t>Model technical inputs</t>
  </si>
  <si>
    <t>Company name</t>
  </si>
  <si>
    <t>Acme Inc.</t>
  </si>
  <si>
    <t>Topic</t>
  </si>
  <si>
    <t>Equity</t>
  </si>
  <si>
    <t>Model timeline</t>
  </si>
  <si>
    <t>date</t>
  </si>
  <si>
    <t>Model first year forecasting</t>
  </si>
  <si>
    <t>counter</t>
  </si>
  <si>
    <t>label</t>
  </si>
  <si>
    <t>Model period counter</t>
  </si>
  <si>
    <t>Model first period flag</t>
  </si>
  <si>
    <t>flag</t>
  </si>
  <si>
    <t>Net income before dividends</t>
  </si>
  <si>
    <t>USD</t>
  </si>
  <si>
    <t>%</t>
  </si>
  <si>
    <t>Common Shares Class A target yield</t>
  </si>
  <si>
    <t>Committed target yield - Class A</t>
  </si>
  <si>
    <t>Preferred Shares annual yield</t>
  </si>
  <si>
    <t>Equity schedule</t>
  </si>
  <si>
    <t>USD m</t>
  </si>
  <si>
    <t>Preferred shares beginning balance</t>
  </si>
  <si>
    <t>Preferred shares</t>
  </si>
  <si>
    <t>Preferred shares opening balance</t>
  </si>
  <si>
    <t>Preferred dividend paid</t>
  </si>
  <si>
    <t>Preferred dividend declared</t>
  </si>
  <si>
    <t>Accrued preferred dividends</t>
  </si>
  <si>
    <t>Accrued preferred dividends opening balance</t>
  </si>
  <si>
    <t>Accrued preferred dividends beginning balance</t>
  </si>
  <si>
    <t>Accrued dividend accrued</t>
  </si>
  <si>
    <t>Previously accrued dividend paid</t>
  </si>
  <si>
    <t>Accrued preferred dividends closing balance</t>
  </si>
  <si>
    <t>New preferred shares</t>
  </si>
  <si>
    <t>Preferred Share Issuance / (Buy-Back)</t>
  </si>
  <si>
    <t>New preferred shares opening balance</t>
  </si>
  <si>
    <t>Year of issue</t>
  </si>
  <si>
    <t>Net income available for new preferred shares</t>
  </si>
  <si>
    <t>New preferred shares issuance</t>
  </si>
  <si>
    <t>New preferred shares closing balance</t>
  </si>
  <si>
    <t>New preferred shares annual yield</t>
  </si>
  <si>
    <t>New preferred shares dividend declared</t>
  </si>
  <si>
    <t>New preferred shares dividend paid</t>
  </si>
  <si>
    <t>Common Shares Class A</t>
  </si>
  <si>
    <t>Net income available for Class A commons shares</t>
  </si>
  <si>
    <t>New preferred dividends - declared</t>
  </si>
  <si>
    <t>New preferred shares dividend - paid</t>
  </si>
  <si>
    <t>Preferred dividends - declared</t>
  </si>
  <si>
    <t>Preferred dividend - paid</t>
  </si>
  <si>
    <t>Class A dividend - paid</t>
  </si>
  <si>
    <t>Class A dividend paid</t>
  </si>
  <si>
    <t>Class A shares</t>
  </si>
  <si>
    <t>shares</t>
  </si>
  <si>
    <t>Class A annual increase of annual yield</t>
  </si>
  <si>
    <t>Class A dividend per share</t>
  </si>
  <si>
    <t>Class A annual compounded yield</t>
  </si>
  <si>
    <t>factor</t>
  </si>
  <si>
    <t>Common Shares Class B</t>
  </si>
  <si>
    <t>Net income available for Class B common shares</t>
  </si>
  <si>
    <t>Class B dividend - declared</t>
  </si>
  <si>
    <t>Class B dividend paid</t>
  </si>
  <si>
    <t>Class B payout ratio</t>
  </si>
  <si>
    <t>Dividend paid</t>
  </si>
  <si>
    <t>Scenarios</t>
  </si>
  <si>
    <t>Dividends paid</t>
  </si>
  <si>
    <t>No new preferred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</si>
</sst>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&quot;-&quot;??_-;_-@_-"/>
    <numFmt numFmtId="165" formatCode="0.0%"/>
    <numFmt numFmtId="166" formatCode="_-* #,##0_-;\-* #,##0_-;_-* &quot;-&quot;??_-;_-@_-"/>
    <numFmt numFmtId="167" formatCode="_-* #,##0_);* \(#,##0\);_-* &quot;-&quot;??_-;_-@_-"/>
    <numFmt numFmtId="168" formatCode="0_);\(0\)"/>
    <numFmt numFmtId="169" formatCode="#,##0_);\(#,##0\);&quot;-  &quot;;&quot; &quot;@"/>
    <numFmt numFmtId="170" formatCode="0.00%\ ;\-0.00%\ _);&quot;-  &quot;;&quot; &quot;@&quot; &quot;"/>
    <numFmt numFmtId="171" formatCode="#,##0.0000_);\(#,##0.0000\);&quot;-  &quot;;&quot; &quot;@&quot; &quot;"/>
    <numFmt numFmtId="172" formatCode="dd\ mmm\ yyyy_);\(###0\);&quot;-  &quot;;&quot; &quot;@&quot; &quot;"/>
    <numFmt numFmtId="173" formatCode="dd\ mmm\ yy_);\(###0\);&quot;-  &quot;;&quot; &quot;@&quot; &quot;"/>
    <numFmt numFmtId="174" formatCode="###0_);\(###0\);&quot;-  &quot;;&quot; &quot;@&quot; &quot;"/>
    <numFmt numFmtId="175" formatCode="#,##0.00_);\(#,##0.00\);&quot;-  &quot;;&quot; &quot;@&quot; &quot;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0"/>
      <color rgb="FF0000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rgb="FF0000FF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rgb="FF80808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808080"/>
      </top>
      <bottom style="thin">
        <color theme="0" tint="-0.24994659260841701"/>
      </bottom>
      <diagonal/>
    </border>
    <border>
      <left/>
      <right/>
      <top/>
      <bottom style="thin">
        <color rgb="FF808080"/>
      </bottom>
      <diagonal/>
    </border>
  </borders>
  <cellStyleXfs count="7">
    <xf numFmtId="169" fontId="0" fillId="0" borderId="0" applyFont="0" applyFill="0" applyBorder="0" applyProtection="0">
      <alignment vertical="top"/>
    </xf>
    <xf numFmtId="164" fontId="2" fillId="0" borderId="0" applyFont="0" applyFill="0" applyBorder="0" applyAlignment="0" applyProtection="0"/>
    <xf numFmtId="170" fontId="15" fillId="0" borderId="0" applyFont="0" applyFill="0" applyBorder="0" applyProtection="0">
      <alignment vertical="top"/>
    </xf>
    <xf numFmtId="171" fontId="15" fillId="0" borderId="0" applyFont="0" applyFill="0" applyBorder="0" applyProtection="0">
      <alignment vertical="top"/>
    </xf>
    <xf numFmtId="172" fontId="15" fillId="0" borderId="0" applyFont="0" applyFill="0" applyBorder="0" applyProtection="0">
      <alignment vertical="top"/>
    </xf>
    <xf numFmtId="173" fontId="15" fillId="0" borderId="0" applyFont="0" applyFill="0" applyBorder="0" applyProtection="0">
      <alignment vertical="top"/>
    </xf>
    <xf numFmtId="174" fontId="15" fillId="0" borderId="0" applyFont="0" applyFill="0" applyBorder="0" applyProtection="0">
      <alignment vertical="top"/>
    </xf>
  </cellStyleXfs>
  <cellXfs count="78">
    <xf numFmtId="169" fontId="0" fillId="0" borderId="0" xfId="0">
      <alignment vertical="top"/>
    </xf>
    <xf numFmtId="169" fontId="4" fillId="0" borderId="0" xfId="0" applyFont="1" applyAlignment="1">
      <alignment horizontal="left" indent="1"/>
    </xf>
    <xf numFmtId="10" fontId="4" fillId="0" borderId="0" xfId="0" applyNumberFormat="1" applyFont="1">
      <alignment vertical="top"/>
    </xf>
    <xf numFmtId="169" fontId="3" fillId="0" borderId="0" xfId="0" applyFont="1">
      <alignment vertical="top"/>
    </xf>
    <xf numFmtId="166" fontId="5" fillId="0" borderId="1" xfId="1" applyNumberFormat="1" applyFont="1" applyBorder="1"/>
    <xf numFmtId="165" fontId="5" fillId="0" borderId="0" xfId="0" applyNumberFormat="1" applyFont="1">
      <alignment vertical="top"/>
    </xf>
    <xf numFmtId="10" fontId="6" fillId="0" borderId="0" xfId="0" applyNumberFormat="1" applyFont="1">
      <alignment vertical="top"/>
    </xf>
    <xf numFmtId="169" fontId="7" fillId="0" borderId="0" xfId="0" applyFont="1">
      <alignment vertical="top"/>
    </xf>
    <xf numFmtId="167" fontId="3" fillId="0" borderId="1" xfId="0" applyNumberFormat="1" applyFont="1" applyBorder="1">
      <alignment vertical="top"/>
    </xf>
    <xf numFmtId="169" fontId="5" fillId="0" borderId="0" xfId="0" applyFont="1">
      <alignment vertical="top"/>
    </xf>
    <xf numFmtId="169" fontId="3" fillId="0" borderId="5" xfId="0" applyFont="1" applyBorder="1">
      <alignment vertical="top"/>
    </xf>
    <xf numFmtId="169" fontId="9" fillId="0" borderId="0" xfId="0" applyFont="1">
      <alignment vertical="top"/>
    </xf>
    <xf numFmtId="169" fontId="10" fillId="0" borderId="0" xfId="0" applyFont="1">
      <alignment vertical="top"/>
    </xf>
    <xf numFmtId="169" fontId="12" fillId="0" borderId="0" xfId="0" applyFont="1">
      <alignment vertical="top"/>
    </xf>
    <xf numFmtId="169" fontId="12" fillId="0" borderId="5" xfId="0" applyFont="1" applyBorder="1">
      <alignment vertical="top"/>
    </xf>
    <xf numFmtId="169" fontId="12" fillId="0" borderId="1" xfId="0" applyFont="1" applyBorder="1">
      <alignment vertical="top"/>
    </xf>
    <xf numFmtId="169" fontId="1" fillId="0" borderId="0" xfId="0" applyFont="1">
      <alignment vertical="top"/>
    </xf>
    <xf numFmtId="166" fontId="1" fillId="0" borderId="0" xfId="0" applyNumberFormat="1" applyFont="1">
      <alignment vertical="top"/>
    </xf>
    <xf numFmtId="166" fontId="1" fillId="0" borderId="1" xfId="0" applyNumberFormat="1" applyFont="1" applyBorder="1">
      <alignment vertical="top"/>
    </xf>
    <xf numFmtId="165" fontId="1" fillId="0" borderId="0" xfId="0" applyNumberFormat="1" applyFont="1">
      <alignment vertical="top"/>
    </xf>
    <xf numFmtId="167" fontId="1" fillId="0" borderId="0" xfId="0" applyNumberFormat="1" applyFont="1">
      <alignment vertical="top"/>
    </xf>
    <xf numFmtId="167" fontId="1" fillId="0" borderId="1" xfId="0" applyNumberFormat="1" applyFont="1" applyBorder="1">
      <alignment vertical="top"/>
    </xf>
    <xf numFmtId="169" fontId="12" fillId="0" borderId="0" xfId="0" quotePrefix="1" applyFont="1">
      <alignment vertical="top"/>
    </xf>
    <xf numFmtId="166" fontId="1" fillId="0" borderId="4" xfId="0" applyNumberFormat="1" applyFont="1" applyBorder="1">
      <alignment vertical="top"/>
    </xf>
    <xf numFmtId="166" fontId="1" fillId="0" borderId="3" xfId="0" applyNumberFormat="1" applyFont="1" applyBorder="1">
      <alignment vertical="top"/>
    </xf>
    <xf numFmtId="169" fontId="3" fillId="0" borderId="0" xfId="0" applyFont="1" applyAlignment="1">
      <alignment horizontal="center"/>
    </xf>
    <xf numFmtId="169" fontId="1" fillId="0" borderId="0" xfId="0" applyFont="1" applyAlignment="1">
      <alignment vertical="center"/>
    </xf>
    <xf numFmtId="166" fontId="1" fillId="0" borderId="6" xfId="0" applyNumberFormat="1" applyFont="1" applyBorder="1" applyAlignment="1">
      <alignment vertical="center"/>
    </xf>
    <xf numFmtId="166" fontId="3" fillId="0" borderId="7" xfId="0" applyNumberFormat="1" applyFont="1" applyBorder="1">
      <alignment vertical="top"/>
    </xf>
    <xf numFmtId="164" fontId="5" fillId="0" borderId="0" xfId="1" applyFont="1" applyBorder="1"/>
    <xf numFmtId="164" fontId="8" fillId="0" borderId="0" xfId="1" applyFont="1" applyBorder="1"/>
    <xf numFmtId="166" fontId="5" fillId="0" borderId="0" xfId="1" applyNumberFormat="1" applyFont="1" applyBorder="1"/>
    <xf numFmtId="166" fontId="3" fillId="0" borderId="6" xfId="0" applyNumberFormat="1" applyFont="1" applyBorder="1" applyAlignment="1">
      <alignment vertical="center"/>
    </xf>
    <xf numFmtId="166" fontId="3" fillId="0" borderId="0" xfId="0" applyNumberFormat="1" applyFont="1">
      <alignment vertical="top"/>
    </xf>
    <xf numFmtId="166" fontId="3" fillId="0" borderId="6" xfId="0" applyNumberFormat="1" applyFont="1" applyBorder="1">
      <alignment vertical="top"/>
    </xf>
    <xf numFmtId="169" fontId="3" fillId="0" borderId="0" xfId="0" applyFont="1" applyAlignment="1">
      <alignment vertical="center"/>
    </xf>
    <xf numFmtId="168" fontId="5" fillId="0" borderId="2" xfId="0" applyNumberFormat="1" applyFont="1" applyBorder="1" applyAlignment="1">
      <alignment vertical="center"/>
    </xf>
    <xf numFmtId="166" fontId="11" fillId="0" borderId="0" xfId="1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5" fillId="0" borderId="1" xfId="1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7" fontId="1" fillId="0" borderId="1" xfId="0" applyNumberFormat="1" applyFont="1" applyBorder="1" applyAlignment="1">
      <alignment vertical="center"/>
    </xf>
    <xf numFmtId="166" fontId="5" fillId="0" borderId="0" xfId="1" applyNumberFormat="1" applyFont="1" applyBorder="1" applyAlignment="1">
      <alignment vertical="center"/>
    </xf>
    <xf numFmtId="168" fontId="5" fillId="0" borderId="0" xfId="0" applyNumberFormat="1" applyFont="1" applyAlignment="1">
      <alignment vertical="center"/>
    </xf>
    <xf numFmtId="165" fontId="1" fillId="0" borderId="5" xfId="0" applyNumberFormat="1" applyFont="1" applyBorder="1" applyAlignment="1">
      <alignment vertical="center"/>
    </xf>
    <xf numFmtId="166" fontId="3" fillId="0" borderId="5" xfId="0" applyNumberFormat="1" applyFont="1" applyBorder="1" applyAlignment="1">
      <alignment vertical="center"/>
    </xf>
    <xf numFmtId="169" fontId="14" fillId="2" borderId="0" xfId="0" applyFont="1" applyFill="1">
      <alignment vertical="top"/>
    </xf>
    <xf numFmtId="169" fontId="12" fillId="3" borderId="0" xfId="0" applyFont="1" applyFill="1">
      <alignment vertical="top"/>
    </xf>
    <xf numFmtId="169" fontId="13" fillId="3" borderId="0" xfId="0" applyFont="1" applyFill="1">
      <alignment vertical="top"/>
    </xf>
    <xf numFmtId="169" fontId="16" fillId="4" borderId="8" xfId="0" applyFont="1" applyFill="1" applyBorder="1">
      <alignment vertical="top"/>
    </xf>
    <xf numFmtId="174" fontId="12" fillId="0" borderId="0" xfId="6" applyFont="1">
      <alignment vertical="top"/>
    </xf>
    <xf numFmtId="174" fontId="16" fillId="4" borderId="8" xfId="6" applyFont="1" applyFill="1" applyBorder="1">
      <alignment vertical="top"/>
    </xf>
    <xf numFmtId="174" fontId="14" fillId="2" borderId="0" xfId="6" applyFont="1" applyFill="1">
      <alignment vertical="top"/>
    </xf>
    <xf numFmtId="170" fontId="16" fillId="4" borderId="8" xfId="2" applyFont="1" applyFill="1" applyBorder="1">
      <alignment vertical="top"/>
    </xf>
    <xf numFmtId="169" fontId="12" fillId="0" borderId="9" xfId="0" applyFont="1" applyBorder="1">
      <alignment vertical="top"/>
    </xf>
    <xf numFmtId="169" fontId="12" fillId="0" borderId="0" xfId="0" applyFont="1" applyBorder="1">
      <alignment vertical="top"/>
    </xf>
    <xf numFmtId="169" fontId="12" fillId="0" borderId="11" xfId="0" applyFont="1" applyBorder="1">
      <alignment vertical="top"/>
    </xf>
    <xf numFmtId="169" fontId="17" fillId="0" borderId="0" xfId="0" applyFont="1">
      <alignment vertical="top"/>
    </xf>
    <xf numFmtId="169" fontId="13" fillId="0" borderId="0" xfId="0" applyFont="1">
      <alignment vertical="top"/>
    </xf>
    <xf numFmtId="169" fontId="16" fillId="0" borderId="0" xfId="0" applyFont="1" applyBorder="1">
      <alignment vertical="top"/>
    </xf>
    <xf numFmtId="169" fontId="16" fillId="4" borderId="10" xfId="0" applyFont="1" applyFill="1" applyBorder="1">
      <alignment vertical="top"/>
    </xf>
    <xf numFmtId="169" fontId="18" fillId="0" borderId="0" xfId="0" applyFont="1" applyBorder="1">
      <alignment vertical="top"/>
    </xf>
    <xf numFmtId="169" fontId="19" fillId="0" borderId="0" xfId="0" applyFont="1" applyBorder="1">
      <alignment vertical="top"/>
    </xf>
    <xf numFmtId="169" fontId="13" fillId="0" borderId="1" xfId="0" applyFont="1" applyBorder="1">
      <alignment vertical="top"/>
    </xf>
    <xf numFmtId="169" fontId="19" fillId="0" borderId="11" xfId="0" applyFont="1" applyBorder="1">
      <alignment vertical="top"/>
    </xf>
    <xf numFmtId="171" fontId="12" fillId="0" borderId="0" xfId="3" applyFont="1">
      <alignment vertical="top"/>
    </xf>
    <xf numFmtId="175" fontId="16" fillId="4" borderId="8" xfId="3" applyNumberFormat="1" applyFont="1" applyFill="1" applyBorder="1">
      <alignment vertical="top"/>
    </xf>
    <xf numFmtId="169" fontId="13" fillId="0" borderId="0" xfId="0" applyFont="1" applyFill="1">
      <alignment vertical="top"/>
    </xf>
    <xf numFmtId="169" fontId="12" fillId="0" borderId="0" xfId="0" applyFont="1" applyFill="1">
      <alignment vertical="top"/>
    </xf>
    <xf numFmtId="169" fontId="12" fillId="0" borderId="0" xfId="0" applyFont="1" applyAlignment="1">
      <alignment horizontal="right" vertical="top"/>
    </xf>
    <xf numFmtId="169" fontId="20" fillId="0" borderId="0" xfId="0" applyFont="1">
      <alignment vertical="top"/>
    </xf>
    <xf numFmtId="169" fontId="13" fillId="0" borderId="0" xfId="0" applyFont="1" applyFill="1" applyBorder="1" applyAlignment="1">
      <alignment horizontal="centerContinuous" vertical="top"/>
    </xf>
    <xf numFmtId="169" fontId="12" fillId="0" borderId="0" xfId="0" applyFont="1" applyFill="1" applyBorder="1" applyAlignment="1">
      <alignment horizontal="centerContinuous" vertical="top"/>
    </xf>
    <xf numFmtId="169" fontId="12" fillId="0" borderId="3" xfId="0" applyFont="1" applyBorder="1">
      <alignment vertical="top"/>
    </xf>
    <xf numFmtId="169" fontId="12" fillId="0" borderId="4" xfId="0" applyFont="1" applyBorder="1">
      <alignment vertical="top"/>
    </xf>
  </cellXfs>
  <cellStyles count="7">
    <cellStyle name="Comma" xfId="1" builtinId="3"/>
    <cellStyle name="DateLong" xfId="4" xr:uid="{0E40467E-4077-4EF4-BAC2-386D0BD59D0D}"/>
    <cellStyle name="DateShort" xfId="5" xr:uid="{8241ED4E-7766-4A61-AD21-61F4ACA3C2AE}"/>
    <cellStyle name="Factor" xfId="3" xr:uid="{2D7AF659-9490-433B-BCAF-DBC7A86CB183}"/>
    <cellStyle name="Normal" xfId="0" builtinId="0" customBuiltin="1"/>
    <cellStyle name="Percent" xfId="2" builtinId="5" customBuiltin="1"/>
    <cellStyle name="Year" xfId="6" xr:uid="{832A8550-3387-4D91-9C5D-66F5BD6F46A3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01B3-585F-4F52-929E-D12E45911BE1}">
  <sheetPr>
    <pageSetUpPr fitToPage="1"/>
  </sheetPr>
  <dimension ref="A1:N117"/>
  <sheetViews>
    <sheetView showGridLines="0" tabSelected="1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E83" sqref="E83"/>
    </sheetView>
  </sheetViews>
  <sheetFormatPr defaultColWidth="0" defaultRowHeight="14.25" x14ac:dyDescent="0.25"/>
  <cols>
    <col min="1" max="4" width="1.7109375" style="13" customWidth="1"/>
    <col min="5" max="5" width="45.7109375" style="13" customWidth="1"/>
    <col min="6" max="8" width="12.7109375" style="13" customWidth="1"/>
    <col min="9" max="9" width="1.7109375" style="13" customWidth="1"/>
    <col min="10" max="14" width="12.7109375" style="13" customWidth="1"/>
    <col min="15" max="16384" width="9.140625" style="13" hidden="1"/>
  </cols>
  <sheetData>
    <row r="1" spans="1:14" s="49" customFormat="1" ht="15" x14ac:dyDescent="0.25">
      <c r="A1" s="49" t="str" cm="1">
        <f t="array" ref="A1">company</f>
        <v>Acme Inc.</v>
      </c>
    </row>
    <row r="2" spans="1:14" s="49" customFormat="1" ht="15" x14ac:dyDescent="0.25">
      <c r="A2" s="49" t="str" cm="1">
        <f t="array" ref="A2">topic</f>
        <v>CFM Topic: Equity</v>
      </c>
    </row>
    <row r="3" spans="1:14" s="49" customFormat="1" ht="15" x14ac:dyDescent="0.25">
      <c r="A3" s="49" t="s">
        <v>41</v>
      </c>
      <c r="F3" s="49" t="s">
        <v>42</v>
      </c>
      <c r="G3" s="49" t="s">
        <v>43</v>
      </c>
      <c r="H3" s="49" t="s">
        <v>12</v>
      </c>
      <c r="J3" s="55">
        <f>J$111</f>
        <v>2018</v>
      </c>
      <c r="K3" s="55">
        <f>K$111</f>
        <v>2019</v>
      </c>
      <c r="L3" s="55">
        <f>L$111</f>
        <v>2020</v>
      </c>
      <c r="M3" s="55">
        <f>M$111</f>
        <v>2021</v>
      </c>
      <c r="N3" s="55">
        <f>N$111</f>
        <v>2022</v>
      </c>
    </row>
    <row r="5" spans="1:14" s="50" customFormat="1" ht="15" x14ac:dyDescent="0.25">
      <c r="A5" s="51" t="s">
        <v>63</v>
      </c>
    </row>
    <row r="7" spans="1:14" ht="15" x14ac:dyDescent="0.25">
      <c r="E7" s="61" t="str">
        <f>E$114</f>
        <v>Net income before dividends</v>
      </c>
      <c r="F7" s="61"/>
      <c r="G7" s="61" t="str">
        <f>G$114</f>
        <v>USD</v>
      </c>
      <c r="H7" s="61"/>
      <c r="I7" s="61">
        <f t="shared" ref="I7:N7" si="0">I$114</f>
        <v>0</v>
      </c>
      <c r="J7" s="61">
        <f t="shared" si="0"/>
        <v>190167</v>
      </c>
      <c r="K7" s="61">
        <f t="shared" si="0"/>
        <v>304267</v>
      </c>
      <c r="L7" s="61">
        <f t="shared" si="0"/>
        <v>456401</v>
      </c>
      <c r="M7" s="61">
        <f t="shared" si="0"/>
        <v>684602</v>
      </c>
      <c r="N7" s="61">
        <f t="shared" si="0"/>
        <v>376531</v>
      </c>
    </row>
    <row r="9" spans="1:14" ht="15" x14ac:dyDescent="0.25">
      <c r="C9" s="61" t="s">
        <v>66</v>
      </c>
    </row>
    <row r="11" spans="1:14" s="57" customFormat="1" x14ac:dyDescent="0.25">
      <c r="A11" s="58"/>
      <c r="B11" s="58"/>
      <c r="C11" s="58"/>
      <c r="D11" s="58"/>
      <c r="E11" s="57" t="s">
        <v>67</v>
      </c>
      <c r="F11" s="63">
        <v>1897637</v>
      </c>
      <c r="G11" s="57" t="s">
        <v>64</v>
      </c>
    </row>
    <row r="12" spans="1:14" s="58" customFormat="1" x14ac:dyDescent="0.25"/>
    <row r="13" spans="1:14" s="58" customFormat="1" x14ac:dyDescent="0.25">
      <c r="E13" s="58" t="s">
        <v>65</v>
      </c>
      <c r="G13" s="58" t="s">
        <v>64</v>
      </c>
      <c r="J13" s="58">
        <f xml:space="preserve"> IF( J108 = 1, $F$11, I$15)</f>
        <v>1897637</v>
      </c>
      <c r="K13" s="58">
        <f xml:space="preserve"> IF( K108 = 1, $F$11, J$15)</f>
        <v>1897637</v>
      </c>
      <c r="L13" s="58">
        <f xml:space="preserve"> IF( L108 = 1, $F$11, K$15)</f>
        <v>1897637</v>
      </c>
      <c r="M13" s="58">
        <f xml:space="preserve"> IF( M108 = 1, $F$11, L$15)</f>
        <v>1897637</v>
      </c>
      <c r="N13" s="58">
        <f xml:space="preserve"> IF( N108 = 1, $F$11, M$15)</f>
        <v>1897637</v>
      </c>
    </row>
    <row r="14" spans="1:14" s="58" customFormat="1" x14ac:dyDescent="0.25">
      <c r="E14" s="58" t="s">
        <v>77</v>
      </c>
      <c r="G14" s="58" t="s">
        <v>64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</row>
    <row r="15" spans="1:14" s="59" customFormat="1" x14ac:dyDescent="0.25">
      <c r="A15" s="58"/>
      <c r="B15" s="58"/>
      <c r="C15" s="58"/>
      <c r="D15" s="58"/>
      <c r="E15" s="67" t="s">
        <v>66</v>
      </c>
      <c r="F15" s="67"/>
      <c r="G15" s="67" t="s">
        <v>64</v>
      </c>
      <c r="H15" s="67"/>
      <c r="I15" s="67"/>
      <c r="J15" s="67">
        <f>SUM(J13:J14)</f>
        <v>1897637</v>
      </c>
      <c r="K15" s="67">
        <f t="shared" ref="K15:N15" si="1">SUM(K13:K14)</f>
        <v>1897637</v>
      </c>
      <c r="L15" s="67">
        <f t="shared" si="1"/>
        <v>1897637</v>
      </c>
      <c r="M15" s="67">
        <f t="shared" si="1"/>
        <v>1897637</v>
      </c>
      <c r="N15" s="67">
        <f t="shared" si="1"/>
        <v>1897637</v>
      </c>
    </row>
    <row r="17" spans="4:14" x14ac:dyDescent="0.25">
      <c r="D17" s="60" t="s">
        <v>90</v>
      </c>
    </row>
    <row r="18" spans="4:14" x14ac:dyDescent="0.25">
      <c r="E18" s="13" t="s">
        <v>62</v>
      </c>
      <c r="F18" s="56">
        <v>0.12</v>
      </c>
      <c r="G18" s="13" t="s">
        <v>59</v>
      </c>
    </row>
    <row r="19" spans="4:14" x14ac:dyDescent="0.25">
      <c r="E19" s="13" t="s">
        <v>69</v>
      </c>
      <c r="G19" s="13" t="s">
        <v>58</v>
      </c>
      <c r="J19" s="13">
        <f xml:space="preserve"> J15 * $F$18</f>
        <v>227716.44</v>
      </c>
      <c r="K19" s="13">
        <f t="shared" ref="K19:N19" si="2" xml:space="preserve"> K15 * $F$18</f>
        <v>227716.44</v>
      </c>
      <c r="L19" s="13">
        <f t="shared" si="2"/>
        <v>227716.44</v>
      </c>
      <c r="M19" s="13">
        <f t="shared" si="2"/>
        <v>227716.44</v>
      </c>
      <c r="N19" s="13">
        <f t="shared" si="2"/>
        <v>227716.44</v>
      </c>
    </row>
    <row r="21" spans="4:14" x14ac:dyDescent="0.25">
      <c r="D21" s="60" t="s">
        <v>70</v>
      </c>
    </row>
    <row r="23" spans="4:14" x14ac:dyDescent="0.25">
      <c r="E23" s="57" t="s">
        <v>71</v>
      </c>
      <c r="F23" s="63">
        <v>0</v>
      </c>
      <c r="G23" s="57" t="s">
        <v>58</v>
      </c>
      <c r="H23" s="57"/>
      <c r="I23" s="57"/>
      <c r="J23" s="57"/>
      <c r="K23" s="57"/>
      <c r="L23" s="57"/>
      <c r="M23" s="57"/>
      <c r="N23" s="57"/>
    </row>
    <row r="24" spans="4:14" x14ac:dyDescent="0.25">
      <c r="E24" s="58"/>
      <c r="F24" s="58"/>
      <c r="G24" s="58"/>
      <c r="H24" s="58"/>
      <c r="I24" s="58"/>
      <c r="J24" s="58"/>
      <c r="K24" s="58"/>
      <c r="L24" s="58"/>
      <c r="M24" s="58"/>
      <c r="N24" s="58"/>
    </row>
    <row r="25" spans="4:14" x14ac:dyDescent="0.25">
      <c r="E25" s="58" t="s">
        <v>72</v>
      </c>
      <c r="F25" s="58"/>
      <c r="G25" s="58" t="s">
        <v>58</v>
      </c>
      <c r="H25" s="58"/>
      <c r="I25" s="58"/>
      <c r="J25" s="58">
        <f xml:space="preserve"> IF( J$108 = 1, $F$23, I$28 )</f>
        <v>0</v>
      </c>
      <c r="K25" s="58">
        <f xml:space="preserve"> IF( K$108 = 1, $F$23, J$28 )</f>
        <v>37549.440000000002</v>
      </c>
      <c r="L25" s="58">
        <f xml:space="preserve"> IF( L$108 = 1, $F$23, K$28 )</f>
        <v>0</v>
      </c>
      <c r="M25" s="58">
        <f xml:space="preserve"> IF( M$108 = 1, $F$23, L$28 )</f>
        <v>0</v>
      </c>
      <c r="N25" s="58">
        <f xml:space="preserve"> IF( N$108 = 1, $F$23, M$28 )</f>
        <v>0</v>
      </c>
    </row>
    <row r="26" spans="4:14" x14ac:dyDescent="0.25">
      <c r="E26" s="58" t="s">
        <v>73</v>
      </c>
      <c r="F26" s="58"/>
      <c r="G26" s="58" t="s">
        <v>58</v>
      </c>
      <c r="H26" s="58"/>
      <c r="I26" s="58"/>
      <c r="J26" s="64">
        <f xml:space="preserve"> - MIN( J7 - J19, 0 )</f>
        <v>37549.440000000002</v>
      </c>
      <c r="K26" s="64">
        <f t="shared" ref="K26:N26" si="3" xml:space="preserve"> - MIN( K7 - K19, 0 )</f>
        <v>0</v>
      </c>
      <c r="L26" s="64">
        <f t="shared" si="3"/>
        <v>0</v>
      </c>
      <c r="M26" s="64">
        <f t="shared" si="3"/>
        <v>0</v>
      </c>
      <c r="N26" s="64">
        <f t="shared" si="3"/>
        <v>0</v>
      </c>
    </row>
    <row r="27" spans="4:14" x14ac:dyDescent="0.25">
      <c r="E27" s="65" t="s">
        <v>74</v>
      </c>
      <c r="F27" s="65"/>
      <c r="G27" s="65" t="s">
        <v>58</v>
      </c>
      <c r="H27" s="65"/>
      <c r="I27" s="65"/>
      <c r="J27" s="65">
        <f xml:space="preserve"> - MIN( J25, MAX( J7 - J19, 0 ) )</f>
        <v>0</v>
      </c>
      <c r="K27" s="65">
        <f t="shared" ref="K27:N27" si="4" xml:space="preserve"> - MIN( K25, MAX( K7 - K19, 0 ) )</f>
        <v>-37549.440000000002</v>
      </c>
      <c r="L27" s="65">
        <f t="shared" si="4"/>
        <v>0</v>
      </c>
      <c r="M27" s="65">
        <f t="shared" si="4"/>
        <v>0</v>
      </c>
      <c r="N27" s="65">
        <f t="shared" si="4"/>
        <v>0</v>
      </c>
    </row>
    <row r="28" spans="4:14" x14ac:dyDescent="0.25">
      <c r="E28" s="58" t="s">
        <v>75</v>
      </c>
      <c r="G28" s="13" t="s">
        <v>58</v>
      </c>
      <c r="J28" s="13">
        <f>SUM(J25:J27)</f>
        <v>37549.440000000002</v>
      </c>
      <c r="K28" s="13">
        <f t="shared" ref="K28:N28" si="5">SUM(K25:K27)</f>
        <v>0</v>
      </c>
      <c r="L28" s="13">
        <f t="shared" si="5"/>
        <v>0</v>
      </c>
      <c r="M28" s="13">
        <f t="shared" si="5"/>
        <v>0</v>
      </c>
      <c r="N28" s="13">
        <f t="shared" si="5"/>
        <v>0</v>
      </c>
    </row>
    <row r="30" spans="4:14" x14ac:dyDescent="0.25">
      <c r="D30" s="60" t="s">
        <v>91</v>
      </c>
    </row>
    <row r="31" spans="4:14" x14ac:dyDescent="0.25">
      <c r="E31" s="13" t="s">
        <v>68</v>
      </c>
      <c r="G31" s="13" t="s">
        <v>58</v>
      </c>
      <c r="J31" s="13">
        <f>J19-SUM(J26:J27)</f>
        <v>190167</v>
      </c>
      <c r="K31" s="13">
        <f t="shared" ref="K31:N31" si="6">K19-SUM(K26:K27)</f>
        <v>265265.88</v>
      </c>
      <c r="L31" s="13">
        <f t="shared" si="6"/>
        <v>227716.44</v>
      </c>
      <c r="M31" s="13">
        <f t="shared" si="6"/>
        <v>227716.44</v>
      </c>
      <c r="N31" s="13">
        <f t="shared" si="6"/>
        <v>227716.44</v>
      </c>
    </row>
    <row r="34" spans="3:14" ht="15" x14ac:dyDescent="0.25">
      <c r="C34" s="61" t="s">
        <v>76</v>
      </c>
    </row>
    <row r="36" spans="3:14" x14ac:dyDescent="0.25">
      <c r="E36" s="13" t="str">
        <f>E$7</f>
        <v>Net income before dividends</v>
      </c>
      <c r="G36" s="13" t="str">
        <f t="shared" ref="G36:N36" si="7">G$7</f>
        <v>USD</v>
      </c>
      <c r="I36" s="13">
        <f t="shared" si="7"/>
        <v>0</v>
      </c>
      <c r="J36" s="13">
        <f t="shared" si="7"/>
        <v>190167</v>
      </c>
      <c r="K36" s="13">
        <f t="shared" si="7"/>
        <v>304267</v>
      </c>
      <c r="L36" s="13">
        <f t="shared" si="7"/>
        <v>456401</v>
      </c>
      <c r="M36" s="13">
        <f t="shared" si="7"/>
        <v>684602</v>
      </c>
      <c r="N36" s="13">
        <f t="shared" si="7"/>
        <v>376531</v>
      </c>
    </row>
    <row r="37" spans="3:14" x14ac:dyDescent="0.25">
      <c r="E37" s="13" t="str">
        <f>E$31</f>
        <v>Preferred dividend paid</v>
      </c>
      <c r="G37" s="13" t="str">
        <f t="shared" ref="G37:I37" si="8">G$31</f>
        <v>USD</v>
      </c>
      <c r="I37" s="13">
        <f t="shared" si="8"/>
        <v>0</v>
      </c>
      <c r="J37" s="13">
        <f>J$31 * - 1</f>
        <v>-190167</v>
      </c>
      <c r="K37" s="13">
        <f t="shared" ref="K37:N37" si="9">K$31 * - 1</f>
        <v>-265265.88</v>
      </c>
      <c r="L37" s="13">
        <f t="shared" si="9"/>
        <v>-227716.44</v>
      </c>
      <c r="M37" s="13">
        <f t="shared" si="9"/>
        <v>-227716.44</v>
      </c>
      <c r="N37" s="13">
        <f t="shared" si="9"/>
        <v>-227716.44</v>
      </c>
    </row>
    <row r="38" spans="3:14" ht="15" x14ac:dyDescent="0.25">
      <c r="E38" s="66" t="s">
        <v>80</v>
      </c>
      <c r="F38" s="66"/>
      <c r="G38" s="66" t="s">
        <v>58</v>
      </c>
      <c r="H38" s="66"/>
      <c r="I38" s="66"/>
      <c r="J38" s="66">
        <f>SUM(J36:J37)</f>
        <v>0</v>
      </c>
      <c r="K38" s="66">
        <f t="shared" ref="K38:N38" si="10">SUM(K36:K37)</f>
        <v>39001.119999999995</v>
      </c>
      <c r="L38" s="66">
        <f t="shared" si="10"/>
        <v>228684.56</v>
      </c>
      <c r="M38" s="66">
        <f t="shared" si="10"/>
        <v>456885.56</v>
      </c>
      <c r="N38" s="66">
        <f t="shared" si="10"/>
        <v>148814.56</v>
      </c>
    </row>
    <row r="40" spans="3:14" x14ac:dyDescent="0.25">
      <c r="E40" s="13" t="s">
        <v>79</v>
      </c>
      <c r="F40" s="54">
        <v>2020</v>
      </c>
    </row>
    <row r="41" spans="3:14" x14ac:dyDescent="0.25">
      <c r="E41" s="13" t="s">
        <v>81</v>
      </c>
      <c r="F41" s="52">
        <v>1000000</v>
      </c>
    </row>
    <row r="43" spans="3:14" x14ac:dyDescent="0.25">
      <c r="E43" s="13" t="s">
        <v>78</v>
      </c>
      <c r="G43" s="13" t="s">
        <v>58</v>
      </c>
      <c r="J43" s="13">
        <f>I45</f>
        <v>0</v>
      </c>
      <c r="K43" s="13">
        <f t="shared" ref="K43:N43" si="11">J45</f>
        <v>0</v>
      </c>
      <c r="L43" s="13">
        <f t="shared" si="11"/>
        <v>0</v>
      </c>
      <c r="M43" s="13">
        <f t="shared" si="11"/>
        <v>1000000</v>
      </c>
      <c r="N43" s="13">
        <f t="shared" si="11"/>
        <v>1000000</v>
      </c>
    </row>
    <row r="44" spans="3:14" x14ac:dyDescent="0.25">
      <c r="E44" s="13" t="s">
        <v>81</v>
      </c>
      <c r="G44" s="13" t="s">
        <v>58</v>
      </c>
      <c r="J44" s="13">
        <f xml:space="preserve"> IF( J3 = $F$40, $F$41, 0 )</f>
        <v>0</v>
      </c>
      <c r="K44" s="13">
        <f xml:space="preserve"> IF( K3 = $F$40, $F$41, 0 )</f>
        <v>0</v>
      </c>
      <c r="L44" s="13">
        <f xml:space="preserve"> IF( L3 = $F$40, $F$41, 0 )</f>
        <v>1000000</v>
      </c>
      <c r="M44" s="13">
        <f xml:space="preserve"> IF( M3 = $F$40, $F$41, 0 )</f>
        <v>0</v>
      </c>
      <c r="N44" s="13">
        <f xml:space="preserve"> IF( N3 = $F$40, $F$41, 0 )</f>
        <v>0</v>
      </c>
    </row>
    <row r="45" spans="3:14" x14ac:dyDescent="0.25">
      <c r="E45" s="15" t="s">
        <v>82</v>
      </c>
      <c r="F45" s="15"/>
      <c r="G45" s="15" t="s">
        <v>58</v>
      </c>
      <c r="H45" s="15"/>
      <c r="I45" s="15"/>
      <c r="J45" s="15">
        <f>SUM(J43:J44)</f>
        <v>0</v>
      </c>
      <c r="K45" s="15">
        <f t="shared" ref="K45:N45" si="12">SUM(K43:K44)</f>
        <v>0</v>
      </c>
      <c r="L45" s="15">
        <f t="shared" si="12"/>
        <v>1000000</v>
      </c>
      <c r="M45" s="15">
        <f t="shared" si="12"/>
        <v>1000000</v>
      </c>
      <c r="N45" s="15">
        <f t="shared" si="12"/>
        <v>1000000</v>
      </c>
    </row>
    <row r="47" spans="3:14" x14ac:dyDescent="0.25">
      <c r="D47" s="60" t="s">
        <v>88</v>
      </c>
    </row>
    <row r="48" spans="3:14" x14ac:dyDescent="0.25">
      <c r="E48" s="13" t="s">
        <v>83</v>
      </c>
      <c r="F48" s="56">
        <v>0.115</v>
      </c>
      <c r="G48" s="13" t="s">
        <v>59</v>
      </c>
    </row>
    <row r="49" spans="3:14" x14ac:dyDescent="0.25">
      <c r="E49" s="13" t="s">
        <v>84</v>
      </c>
      <c r="G49" s="13" t="s">
        <v>58</v>
      </c>
      <c r="J49" s="13">
        <f xml:space="preserve"> J$45 * $F$48</f>
        <v>0</v>
      </c>
      <c r="K49" s="13">
        <f t="shared" ref="K49:N49" si="13" xml:space="preserve"> K$45 * $F$48</f>
        <v>0</v>
      </c>
      <c r="L49" s="13">
        <f t="shared" si="13"/>
        <v>115000</v>
      </c>
      <c r="M49" s="13">
        <f t="shared" si="13"/>
        <v>115000</v>
      </c>
      <c r="N49" s="13">
        <f t="shared" si="13"/>
        <v>115000</v>
      </c>
    </row>
    <row r="51" spans="3:14" x14ac:dyDescent="0.25">
      <c r="D51" s="60" t="s">
        <v>89</v>
      </c>
    </row>
    <row r="52" spans="3:14" x14ac:dyDescent="0.25">
      <c r="E52" s="13" t="s">
        <v>85</v>
      </c>
      <c r="G52" s="13" t="s">
        <v>58</v>
      </c>
      <c r="J52" s="13">
        <f xml:space="preserve"> MIN( J38, J49)</f>
        <v>0</v>
      </c>
      <c r="K52" s="13">
        <f t="shared" ref="K52:N52" si="14" xml:space="preserve"> MIN( K38, K49)</f>
        <v>0</v>
      </c>
      <c r="L52" s="13">
        <f t="shared" si="14"/>
        <v>115000</v>
      </c>
      <c r="M52" s="13">
        <f t="shared" si="14"/>
        <v>115000</v>
      </c>
      <c r="N52" s="13">
        <f t="shared" si="14"/>
        <v>115000</v>
      </c>
    </row>
    <row r="54" spans="3:14" ht="15" x14ac:dyDescent="0.25">
      <c r="C54" s="61" t="s">
        <v>86</v>
      </c>
    </row>
    <row r="56" spans="3:14" x14ac:dyDescent="0.25">
      <c r="E56" s="13" t="str">
        <f>E$7</f>
        <v>Net income before dividends</v>
      </c>
      <c r="G56" s="13" t="str">
        <f t="shared" ref="G56:N56" si="15">G$7</f>
        <v>USD</v>
      </c>
      <c r="I56" s="13">
        <f t="shared" si="15"/>
        <v>0</v>
      </c>
      <c r="J56" s="13">
        <f t="shared" si="15"/>
        <v>190167</v>
      </c>
      <c r="K56" s="13">
        <f t="shared" si="15"/>
        <v>304267</v>
      </c>
      <c r="L56" s="13">
        <f t="shared" si="15"/>
        <v>456401</v>
      </c>
      <c r="M56" s="13">
        <f t="shared" si="15"/>
        <v>684602</v>
      </c>
      <c r="N56" s="13">
        <f t="shared" si="15"/>
        <v>376531</v>
      </c>
    </row>
    <row r="57" spans="3:14" x14ac:dyDescent="0.25">
      <c r="E57" s="13" t="str">
        <f>E$31</f>
        <v>Preferred dividend paid</v>
      </c>
      <c r="G57" s="13" t="str">
        <f t="shared" ref="G57:I57" si="16">G$31</f>
        <v>USD</v>
      </c>
      <c r="I57" s="13">
        <f t="shared" si="16"/>
        <v>0</v>
      </c>
      <c r="J57" s="13">
        <f>J$31 * - 1</f>
        <v>-190167</v>
      </c>
      <c r="K57" s="13">
        <f t="shared" ref="K57:N57" si="17">K$31 * - 1</f>
        <v>-265265.88</v>
      </c>
      <c r="L57" s="13">
        <f t="shared" si="17"/>
        <v>-227716.44</v>
      </c>
      <c r="M57" s="13">
        <f t="shared" si="17"/>
        <v>-227716.44</v>
      </c>
      <c r="N57" s="13">
        <f t="shared" si="17"/>
        <v>-227716.44</v>
      </c>
    </row>
    <row r="58" spans="3:14" x14ac:dyDescent="0.25">
      <c r="E58" s="13" t="str">
        <f>E$52</f>
        <v>New preferred shares dividend paid</v>
      </c>
      <c r="G58" s="13" t="str">
        <f t="shared" ref="G58:I58" si="18">G$52</f>
        <v>USD</v>
      </c>
      <c r="I58" s="13">
        <f t="shared" si="18"/>
        <v>0</v>
      </c>
      <c r="J58" s="13">
        <f>J$52 * - 1</f>
        <v>0</v>
      </c>
      <c r="K58" s="13">
        <f t="shared" ref="K58:N58" si="19">K$52 * - 1</f>
        <v>0</v>
      </c>
      <c r="L58" s="13">
        <f t="shared" si="19"/>
        <v>-115000</v>
      </c>
      <c r="M58" s="13">
        <f t="shared" si="19"/>
        <v>-115000</v>
      </c>
      <c r="N58" s="13">
        <f t="shared" si="19"/>
        <v>-115000</v>
      </c>
    </row>
    <row r="59" spans="3:14" ht="15" x14ac:dyDescent="0.25">
      <c r="E59" s="66" t="s">
        <v>87</v>
      </c>
      <c r="F59" s="66"/>
      <c r="G59" s="66" t="s">
        <v>58</v>
      </c>
      <c r="H59" s="66"/>
      <c r="I59" s="66"/>
      <c r="J59" s="66">
        <f>SUM(J56:J58)</f>
        <v>0</v>
      </c>
      <c r="K59" s="66">
        <f t="shared" ref="K59:N59" si="20">SUM(K56:K58)</f>
        <v>39001.119999999995</v>
      </c>
      <c r="L59" s="66">
        <f t="shared" si="20"/>
        <v>113684.56</v>
      </c>
      <c r="M59" s="66">
        <f t="shared" si="20"/>
        <v>341885.56</v>
      </c>
      <c r="N59" s="66">
        <f t="shared" si="20"/>
        <v>33814.559999999998</v>
      </c>
    </row>
    <row r="61" spans="3:14" x14ac:dyDescent="0.25">
      <c r="D61" s="60" t="s">
        <v>92</v>
      </c>
    </row>
    <row r="63" spans="3:14" x14ac:dyDescent="0.25">
      <c r="E63" s="13" t="s">
        <v>94</v>
      </c>
      <c r="F63" s="52">
        <v>650000</v>
      </c>
      <c r="G63" s="13" t="s">
        <v>95</v>
      </c>
    </row>
    <row r="64" spans="3:14" x14ac:dyDescent="0.25">
      <c r="E64" s="13" t="s">
        <v>97</v>
      </c>
      <c r="F64" s="69">
        <v>0.05</v>
      </c>
      <c r="G64" s="13" t="s">
        <v>58</v>
      </c>
    </row>
    <row r="65" spans="3:14" x14ac:dyDescent="0.25">
      <c r="E65" s="13" t="s">
        <v>96</v>
      </c>
      <c r="F65" s="56">
        <v>0.15</v>
      </c>
      <c r="G65" s="13" t="s">
        <v>59</v>
      </c>
    </row>
    <row r="66" spans="3:14" x14ac:dyDescent="0.25">
      <c r="E66" s="13" t="s">
        <v>98</v>
      </c>
      <c r="G66" s="13" t="s">
        <v>99</v>
      </c>
      <c r="J66" s="68">
        <f xml:space="preserve"> IF( J108 = 1, $F$64 * ( 1 + $F$65 ), I66 * ( 1 + $F$65 ) )</f>
        <v>5.7499999999999996E-2</v>
      </c>
      <c r="K66" s="68">
        <f xml:space="preserve"> IF( K108 = 1, $F$64 * ( 1 + $F$65 ), J66 * ( 1 + $F$65 ) )</f>
        <v>6.6124999999999989E-2</v>
      </c>
      <c r="L66" s="68">
        <f xml:space="preserve"> IF( L108 = 1, $F$64 * ( 1 + $F$65 ), K66 * ( 1 + $F$65 ) )</f>
        <v>7.6043749999999979E-2</v>
      </c>
      <c r="M66" s="68">
        <f xml:space="preserve"> IF( M108 = 1, $F$64 * ( 1 + $F$65 ), L66 * ( 1 + $F$65 ) )</f>
        <v>8.7450312499999974E-2</v>
      </c>
      <c r="N66" s="68">
        <f xml:space="preserve"> IF( N108 = 1, $F$64 * ( 1 + $F$65 ), M66 * ( 1 + $F$65 ) )</f>
        <v>0.10056785937499996</v>
      </c>
    </row>
    <row r="67" spans="3:14" x14ac:dyDescent="0.25">
      <c r="E67" s="13" t="s">
        <v>93</v>
      </c>
      <c r="G67" s="13" t="s">
        <v>58</v>
      </c>
      <c r="J67" s="13">
        <f xml:space="preserve"> MIN( J59, $F$63 * J$66 )</f>
        <v>0</v>
      </c>
      <c r="K67" s="13">
        <f t="shared" ref="K67:N67" si="21" xml:space="preserve"> MIN( K59, $F$63 * K$66 )</f>
        <v>39001.119999999995</v>
      </c>
      <c r="L67" s="13">
        <f t="shared" si="21"/>
        <v>49428.437499999985</v>
      </c>
      <c r="M67" s="13">
        <f t="shared" si="21"/>
        <v>56842.703124999985</v>
      </c>
      <c r="N67" s="13">
        <f t="shared" si="21"/>
        <v>33814.559999999998</v>
      </c>
    </row>
    <row r="69" spans="3:14" ht="15" x14ac:dyDescent="0.25">
      <c r="C69" s="61" t="s">
        <v>100</v>
      </c>
    </row>
    <row r="71" spans="3:14" x14ac:dyDescent="0.25">
      <c r="E71" s="13" t="str">
        <f>E$7</f>
        <v>Net income before dividends</v>
      </c>
      <c r="G71" s="13" t="str">
        <f t="shared" ref="G71:N71" si="22">G$7</f>
        <v>USD</v>
      </c>
      <c r="I71" s="13">
        <f t="shared" si="22"/>
        <v>0</v>
      </c>
      <c r="J71" s="13">
        <f t="shared" si="22"/>
        <v>190167</v>
      </c>
      <c r="K71" s="13">
        <f t="shared" si="22"/>
        <v>304267</v>
      </c>
      <c r="L71" s="13">
        <f t="shared" si="22"/>
        <v>456401</v>
      </c>
      <c r="M71" s="13">
        <f t="shared" si="22"/>
        <v>684602</v>
      </c>
      <c r="N71" s="13">
        <f t="shared" si="22"/>
        <v>376531</v>
      </c>
    </row>
    <row r="72" spans="3:14" x14ac:dyDescent="0.25">
      <c r="E72" s="13" t="str">
        <f>E$31</f>
        <v>Preferred dividend paid</v>
      </c>
      <c r="G72" s="13" t="str">
        <f t="shared" ref="G72:I72" si="23">G$31</f>
        <v>USD</v>
      </c>
      <c r="I72" s="13">
        <f t="shared" si="23"/>
        <v>0</v>
      </c>
      <c r="J72" s="13">
        <f>J$31 * - 1</f>
        <v>-190167</v>
      </c>
      <c r="K72" s="13">
        <f t="shared" ref="K72:N72" si="24">K$31 * - 1</f>
        <v>-265265.88</v>
      </c>
      <c r="L72" s="13">
        <f t="shared" si="24"/>
        <v>-227716.44</v>
      </c>
      <c r="M72" s="13">
        <f t="shared" si="24"/>
        <v>-227716.44</v>
      </c>
      <c r="N72" s="13">
        <f t="shared" si="24"/>
        <v>-227716.44</v>
      </c>
    </row>
    <row r="73" spans="3:14" x14ac:dyDescent="0.25">
      <c r="E73" s="13" t="str">
        <f>E$52</f>
        <v>New preferred shares dividend paid</v>
      </c>
      <c r="G73" s="13" t="str">
        <f t="shared" ref="G73:I73" si="25">G$52</f>
        <v>USD</v>
      </c>
      <c r="I73" s="13">
        <f t="shared" si="25"/>
        <v>0</v>
      </c>
      <c r="J73" s="13">
        <f>J$52 * - 1</f>
        <v>0</v>
      </c>
      <c r="K73" s="13">
        <f t="shared" ref="K73:N73" si="26">K$52 * - 1</f>
        <v>0</v>
      </c>
      <c r="L73" s="13">
        <f t="shared" si="26"/>
        <v>-115000</v>
      </c>
      <c r="M73" s="13">
        <f t="shared" si="26"/>
        <v>-115000</v>
      </c>
      <c r="N73" s="13">
        <f t="shared" si="26"/>
        <v>-115000</v>
      </c>
    </row>
    <row r="74" spans="3:14" x14ac:dyDescent="0.25">
      <c r="E74" s="13" t="str">
        <f>E$67</f>
        <v>Class A dividend paid</v>
      </c>
      <c r="G74" s="13" t="str">
        <f t="shared" ref="G74:I74" si="27">G$67</f>
        <v>USD</v>
      </c>
      <c r="I74" s="13">
        <f t="shared" si="27"/>
        <v>0</v>
      </c>
      <c r="J74" s="13">
        <f>J$67 * - 1</f>
        <v>0</v>
      </c>
      <c r="K74" s="13">
        <f t="shared" ref="K74:N74" si="28">K$67 * - 1</f>
        <v>-39001.119999999995</v>
      </c>
      <c r="L74" s="13">
        <f t="shared" si="28"/>
        <v>-49428.437499999985</v>
      </c>
      <c r="M74" s="13">
        <f t="shared" si="28"/>
        <v>-56842.703124999985</v>
      </c>
      <c r="N74" s="13">
        <f t="shared" si="28"/>
        <v>-33814.559999999998</v>
      </c>
    </row>
    <row r="75" spans="3:14" ht="15" x14ac:dyDescent="0.25">
      <c r="E75" s="66" t="s">
        <v>101</v>
      </c>
      <c r="F75" s="66"/>
      <c r="G75" s="66" t="s">
        <v>58</v>
      </c>
      <c r="H75" s="66"/>
      <c r="I75" s="66"/>
      <c r="J75" s="66">
        <f>SUM(J71:J74)</f>
        <v>0</v>
      </c>
      <c r="K75" s="66">
        <f t="shared" ref="K75:N75" si="29">SUM(K71:K74)</f>
        <v>0</v>
      </c>
      <c r="L75" s="66">
        <f t="shared" si="29"/>
        <v>64256.122500000012</v>
      </c>
      <c r="M75" s="66">
        <f t="shared" si="29"/>
        <v>285042.856875</v>
      </c>
      <c r="N75" s="66">
        <f t="shared" si="29"/>
        <v>0</v>
      </c>
    </row>
    <row r="78" spans="3:14" x14ac:dyDescent="0.25">
      <c r="D78" s="60" t="s">
        <v>102</v>
      </c>
    </row>
    <row r="79" spans="3:14" x14ac:dyDescent="0.25">
      <c r="E79" s="13" t="s">
        <v>104</v>
      </c>
      <c r="F79" s="56">
        <v>0.05</v>
      </c>
      <c r="G79" s="13" t="s">
        <v>59</v>
      </c>
    </row>
    <row r="80" spans="3:14" x14ac:dyDescent="0.25">
      <c r="E80" s="13" t="s">
        <v>103</v>
      </c>
      <c r="G80" s="13" t="s">
        <v>58</v>
      </c>
      <c r="J80" s="13">
        <f xml:space="preserve"> MAX( J75 * $F$79, 0 )</f>
        <v>0</v>
      </c>
      <c r="K80" s="13">
        <f t="shared" ref="K80:N80" si="30" xml:space="preserve"> MAX( K75 * $F$79, 0 )</f>
        <v>0</v>
      </c>
      <c r="L80" s="13">
        <f t="shared" si="30"/>
        <v>3212.806125000001</v>
      </c>
      <c r="M80" s="13">
        <f t="shared" si="30"/>
        <v>14252.14284375</v>
      </c>
      <c r="N80" s="13">
        <f t="shared" si="30"/>
        <v>0</v>
      </c>
    </row>
    <row r="83" spans="1:14" s="50" customFormat="1" ht="15" x14ac:dyDescent="0.25">
      <c r="A83" s="51" t="s">
        <v>105</v>
      </c>
    </row>
    <row r="85" spans="1:14" x14ac:dyDescent="0.25">
      <c r="E85" s="13" t="str">
        <f>E$31</f>
        <v>Preferred dividend paid</v>
      </c>
      <c r="G85" s="13" t="str">
        <f t="shared" ref="G85:N85" si="31">G$31</f>
        <v>USD</v>
      </c>
      <c r="I85" s="13">
        <f t="shared" si="31"/>
        <v>0</v>
      </c>
      <c r="J85" s="13">
        <f t="shared" si="31"/>
        <v>190167</v>
      </c>
      <c r="K85" s="13">
        <f t="shared" si="31"/>
        <v>265265.88</v>
      </c>
      <c r="L85" s="13">
        <f t="shared" si="31"/>
        <v>227716.44</v>
      </c>
      <c r="M85" s="13">
        <f t="shared" si="31"/>
        <v>227716.44</v>
      </c>
      <c r="N85" s="13">
        <f t="shared" si="31"/>
        <v>227716.44</v>
      </c>
    </row>
    <row r="86" spans="1:14" x14ac:dyDescent="0.25">
      <c r="E86" s="13" t="str">
        <f>E$52</f>
        <v>New preferred shares dividend paid</v>
      </c>
      <c r="G86" s="13" t="str">
        <f t="shared" ref="G86:N86" si="32">G$52</f>
        <v>USD</v>
      </c>
      <c r="I86" s="13">
        <f t="shared" si="32"/>
        <v>0</v>
      </c>
      <c r="J86" s="13">
        <f t="shared" si="32"/>
        <v>0</v>
      </c>
      <c r="K86" s="13">
        <f t="shared" si="32"/>
        <v>0</v>
      </c>
      <c r="L86" s="13">
        <f t="shared" si="32"/>
        <v>115000</v>
      </c>
      <c r="M86" s="13">
        <f t="shared" si="32"/>
        <v>115000</v>
      </c>
      <c r="N86" s="13">
        <f t="shared" si="32"/>
        <v>115000</v>
      </c>
    </row>
    <row r="87" spans="1:14" x14ac:dyDescent="0.25">
      <c r="E87" s="13" t="str">
        <f>E$67</f>
        <v>Class A dividend paid</v>
      </c>
      <c r="G87" s="13" t="str">
        <f t="shared" ref="G87:N87" si="33">G$67</f>
        <v>USD</v>
      </c>
      <c r="I87" s="13">
        <f t="shared" si="33"/>
        <v>0</v>
      </c>
      <c r="J87" s="13">
        <f t="shared" si="33"/>
        <v>0</v>
      </c>
      <c r="K87" s="13">
        <f t="shared" si="33"/>
        <v>39001.119999999995</v>
      </c>
      <c r="L87" s="13">
        <f t="shared" si="33"/>
        <v>49428.437499999985</v>
      </c>
      <c r="M87" s="13">
        <f t="shared" si="33"/>
        <v>56842.703124999985</v>
      </c>
      <c r="N87" s="13">
        <f t="shared" si="33"/>
        <v>33814.559999999998</v>
      </c>
    </row>
    <row r="88" spans="1:14" x14ac:dyDescent="0.25">
      <c r="E88" s="13" t="str">
        <f>E$80</f>
        <v>Class B dividend paid</v>
      </c>
      <c r="G88" s="13" t="str">
        <f t="shared" ref="G88:N88" si="34">G$80</f>
        <v>USD</v>
      </c>
      <c r="I88" s="13">
        <f t="shared" si="34"/>
        <v>0</v>
      </c>
      <c r="J88" s="13">
        <f t="shared" si="34"/>
        <v>0</v>
      </c>
      <c r="K88" s="13">
        <f t="shared" si="34"/>
        <v>0</v>
      </c>
      <c r="L88" s="13">
        <f t="shared" si="34"/>
        <v>3212.806125000001</v>
      </c>
      <c r="M88" s="13">
        <f t="shared" si="34"/>
        <v>14252.14284375</v>
      </c>
      <c r="N88" s="13">
        <f t="shared" si="34"/>
        <v>0</v>
      </c>
    </row>
    <row r="89" spans="1:14" ht="15" x14ac:dyDescent="0.25">
      <c r="E89" s="66" t="s">
        <v>105</v>
      </c>
      <c r="F89" s="66"/>
      <c r="G89" s="66" t="s">
        <v>58</v>
      </c>
      <c r="H89" s="66"/>
      <c r="I89" s="66"/>
      <c r="J89" s="66">
        <f>SUM(J85:J88)</f>
        <v>190167</v>
      </c>
      <c r="K89" s="66">
        <f t="shared" ref="K89:N89" si="35">SUM(K85:K88)</f>
        <v>304267</v>
      </c>
      <c r="L89" s="66">
        <f t="shared" si="35"/>
        <v>395357.68362500001</v>
      </c>
      <c r="M89" s="66">
        <f t="shared" si="35"/>
        <v>413811.28596875002</v>
      </c>
      <c r="N89" s="66">
        <f t="shared" si="35"/>
        <v>376531</v>
      </c>
    </row>
    <row r="92" spans="1:14" s="50" customFormat="1" ht="15" x14ac:dyDescent="0.25">
      <c r="A92" s="51" t="s">
        <v>106</v>
      </c>
    </row>
    <row r="93" spans="1:14" s="71" customFormat="1" ht="15" x14ac:dyDescent="0.25">
      <c r="A93" s="70"/>
    </row>
    <row r="94" spans="1:14" s="71" customFormat="1" ht="15" x14ac:dyDescent="0.25">
      <c r="A94" s="70"/>
      <c r="J94" s="74" t="s">
        <v>107</v>
      </c>
      <c r="K94" s="75"/>
      <c r="L94" s="75"/>
      <c r="M94" s="75"/>
      <c r="N94" s="75"/>
    </row>
    <row r="95" spans="1:14" x14ac:dyDescent="0.25">
      <c r="I95" s="73"/>
      <c r="J95" s="73">
        <f>J$89</f>
        <v>190167</v>
      </c>
      <c r="K95" s="73">
        <f t="shared" ref="K95:N95" si="36">K$89</f>
        <v>304267</v>
      </c>
      <c r="L95" s="73">
        <f t="shared" si="36"/>
        <v>395357.68362500001</v>
      </c>
      <c r="M95" s="73">
        <f t="shared" si="36"/>
        <v>413811.28596875002</v>
      </c>
      <c r="N95" s="73">
        <f t="shared" si="36"/>
        <v>376531</v>
      </c>
    </row>
    <row r="96" spans="1:14" x14ac:dyDescent="0.25">
      <c r="H96" s="72" t="s">
        <v>108</v>
      </c>
      <c r="I96" s="76">
        <v>0</v>
      </c>
      <c r="J96" s="15">
        <f t="dataTable" ref="J96:N99" dt2D="0" dtr="0" r1="F40"/>
        <v>190167</v>
      </c>
      <c r="K96" s="15">
        <v>304267</v>
      </c>
      <c r="L96" s="15">
        <v>286107.68362500001</v>
      </c>
      <c r="M96" s="15">
        <v>304561.28596875002</v>
      </c>
      <c r="N96" s="15">
        <v>297257.82116406248</v>
      </c>
    </row>
    <row r="97" spans="1:14" x14ac:dyDescent="0.25">
      <c r="H97" s="53">
        <v>2020</v>
      </c>
      <c r="I97" s="77">
        <v>2020</v>
      </c>
      <c r="J97" s="58">
        <v>190167</v>
      </c>
      <c r="K97" s="58">
        <v>304267</v>
      </c>
      <c r="L97" s="58">
        <v>395357.68362500001</v>
      </c>
      <c r="M97" s="58">
        <v>413811.28596875002</v>
      </c>
      <c r="N97" s="58">
        <v>376531</v>
      </c>
    </row>
    <row r="98" spans="1:14" x14ac:dyDescent="0.25">
      <c r="H98" s="53">
        <v>2021</v>
      </c>
      <c r="I98" s="77">
        <v>2021</v>
      </c>
      <c r="J98" s="58">
        <v>190167</v>
      </c>
      <c r="K98" s="58">
        <v>304267</v>
      </c>
      <c r="L98" s="58">
        <v>286107.68362500001</v>
      </c>
      <c r="M98" s="58">
        <v>413811.28596875002</v>
      </c>
      <c r="N98" s="58">
        <v>376531</v>
      </c>
    </row>
    <row r="99" spans="1:14" x14ac:dyDescent="0.25">
      <c r="H99" s="53">
        <v>2022</v>
      </c>
      <c r="I99" s="77">
        <v>2022</v>
      </c>
      <c r="J99" s="58">
        <v>190167</v>
      </c>
      <c r="K99" s="58">
        <v>304267</v>
      </c>
      <c r="L99" s="58">
        <v>286107.68362500001</v>
      </c>
      <c r="M99" s="58">
        <v>304561.28596875002</v>
      </c>
      <c r="N99" s="58">
        <v>376531</v>
      </c>
    </row>
    <row r="102" spans="1:14" s="50" customFormat="1" ht="15" x14ac:dyDescent="0.25">
      <c r="A102" s="51" t="s">
        <v>44</v>
      </c>
    </row>
    <row r="104" spans="1:14" x14ac:dyDescent="0.25">
      <c r="E104" s="13" t="s">
        <v>45</v>
      </c>
      <c r="F104" s="52" t="s">
        <v>46</v>
      </c>
      <c r="G104" s="13" t="s">
        <v>53</v>
      </c>
    </row>
    <row r="105" spans="1:14" x14ac:dyDescent="0.25">
      <c r="E105" s="13" t="s">
        <v>47</v>
      </c>
      <c r="F105" s="52" t="s">
        <v>48</v>
      </c>
      <c r="G105" s="13" t="s">
        <v>53</v>
      </c>
    </row>
    <row r="107" spans="1:14" x14ac:dyDescent="0.25">
      <c r="E107" s="13" t="s">
        <v>54</v>
      </c>
      <c r="G107" s="13" t="s">
        <v>52</v>
      </c>
      <c r="J107" s="53">
        <f xml:space="preserve"> I107 + 1</f>
        <v>1</v>
      </c>
      <c r="K107" s="53">
        <f t="shared" ref="K107:N107" si="37" xml:space="preserve"> J107 + 1</f>
        <v>2</v>
      </c>
      <c r="L107" s="53">
        <f t="shared" si="37"/>
        <v>3</v>
      </c>
      <c r="M107" s="53">
        <f t="shared" si="37"/>
        <v>4</v>
      </c>
      <c r="N107" s="53">
        <f t="shared" si="37"/>
        <v>5</v>
      </c>
    </row>
    <row r="108" spans="1:14" x14ac:dyDescent="0.25">
      <c r="E108" s="13" t="s">
        <v>55</v>
      </c>
      <c r="G108" s="13" t="s">
        <v>56</v>
      </c>
      <c r="J108" s="53">
        <f xml:space="preserve"> IF( J107 = 1, 1, 0 )</f>
        <v>1</v>
      </c>
      <c r="K108" s="53">
        <f t="shared" ref="K108:N108" si="38" xml:space="preserve"> IF( K107 = 1, 1, 0 )</f>
        <v>0</v>
      </c>
      <c r="L108" s="53">
        <f t="shared" si="38"/>
        <v>0</v>
      </c>
      <c r="M108" s="53">
        <f t="shared" si="38"/>
        <v>0</v>
      </c>
      <c r="N108" s="53">
        <f t="shared" si="38"/>
        <v>0</v>
      </c>
    </row>
    <row r="110" spans="1:14" x14ac:dyDescent="0.25">
      <c r="E110" s="13" t="s">
        <v>51</v>
      </c>
      <c r="F110" s="54">
        <v>2018</v>
      </c>
      <c r="G110" s="13" t="s">
        <v>50</v>
      </c>
    </row>
    <row r="111" spans="1:14" x14ac:dyDescent="0.25">
      <c r="E111" s="13" t="s">
        <v>49</v>
      </c>
      <c r="G111" s="13" t="s">
        <v>50</v>
      </c>
      <c r="J111" s="53">
        <f xml:space="preserve"> IF( J108 = 1, $F$110, I111 + 1 )</f>
        <v>2018</v>
      </c>
      <c r="K111" s="53">
        <f xml:space="preserve"> IF( K108 = 1, $F$110, J111 + 1 )</f>
        <v>2019</v>
      </c>
      <c r="L111" s="53">
        <f xml:space="preserve"> IF( L108 = 1, $F$110, K111 + 1 )</f>
        <v>2020</v>
      </c>
      <c r="M111" s="53">
        <f xml:space="preserve"> IF( M108 = 1, $F$110, L111 + 1 )</f>
        <v>2021</v>
      </c>
      <c r="N111" s="53">
        <f xml:space="preserve"> IF( N108 = 1, $F$110, M111 + 1 )</f>
        <v>2022</v>
      </c>
    </row>
    <row r="114" spans="5:14" x14ac:dyDescent="0.25">
      <c r="E114" s="13" t="s">
        <v>57</v>
      </c>
      <c r="G114" s="13" t="s">
        <v>58</v>
      </c>
      <c r="J114" s="52">
        <v>190167</v>
      </c>
      <c r="K114" s="52">
        <v>304267</v>
      </c>
      <c r="L114" s="52">
        <v>456401</v>
      </c>
      <c r="M114" s="52">
        <v>684602</v>
      </c>
      <c r="N114" s="52">
        <v>376531</v>
      </c>
    </row>
    <row r="116" spans="5:14" x14ac:dyDescent="0.25">
      <c r="E116" s="13" t="s">
        <v>60</v>
      </c>
      <c r="F116" s="56">
        <v>0.05</v>
      </c>
      <c r="G116" s="13" t="s">
        <v>59</v>
      </c>
    </row>
    <row r="117" spans="5:14" x14ac:dyDescent="0.25">
      <c r="E117" s="13" t="s">
        <v>61</v>
      </c>
      <c r="G117" s="13" t="s">
        <v>59</v>
      </c>
      <c r="J117" s="56">
        <v>0.15</v>
      </c>
      <c r="K117" s="56">
        <v>0.15</v>
      </c>
      <c r="L117" s="56">
        <v>0.15</v>
      </c>
      <c r="M117" s="56">
        <v>0.15</v>
      </c>
      <c r="N117" s="56">
        <v>0.15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66" fitToHeight="0" orientation="portrait" horizontalDpi="300" verticalDpi="300" r:id="rId1"/>
  <headerFooter>
    <oddFooter>&amp;L&amp;"Arial,Regular"Financial Modeling Institute
CFM October 2026&amp;C&amp;"Arial,Regular"Page &amp;P of &amp;N&amp;R&amp;"Arial,Regular"&amp;D</oddFooter>
  </headerFooter>
  <rowBreaks count="1" manualBreakCount="1">
    <brk id="82" max="13" man="1"/>
  </rowBreaks>
  <colBreaks count="1" manualBreakCount="1">
    <brk id="4" max="9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K93"/>
  <sheetViews>
    <sheetView showGridLines="0" zoomScaleNormal="100" workbookViewId="0">
      <pane ySplit="7" topLeftCell="A63" activePane="bottomLeft" state="frozen"/>
      <selection pane="bottomLeft" activeCell="F82" sqref="F82"/>
    </sheetView>
  </sheetViews>
  <sheetFormatPr defaultColWidth="9.140625" defaultRowHeight="14.25" x14ac:dyDescent="0.25"/>
  <cols>
    <col min="1" max="1" width="9.140625" style="13"/>
    <col min="2" max="2" width="1.5703125" style="13" customWidth="1"/>
    <col min="3" max="11" width="12.7109375" style="13" customWidth="1"/>
    <col min="12" max="16384" width="9.140625" style="13"/>
  </cols>
  <sheetData>
    <row r="2" spans="2:11" ht="20.25" x14ac:dyDescent="0.25">
      <c r="B2" s="12" t="s">
        <v>40</v>
      </c>
      <c r="C2" s="12"/>
    </row>
    <row r="3" spans="2:11" ht="15.75" x14ac:dyDescent="0.25">
      <c r="B3" s="11" t="s">
        <v>17</v>
      </c>
      <c r="C3" s="11"/>
    </row>
    <row r="4" spans="2:11" ht="3" customHeight="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2:11" ht="12.75" customHeight="1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2:11" s="16" customFormat="1" ht="12.75" x14ac:dyDescent="0.25">
      <c r="F6" s="7">
        <v>2017</v>
      </c>
      <c r="G6" s="7">
        <f>F6+1</f>
        <v>2018</v>
      </c>
      <c r="H6" s="7">
        <f>G6+1</f>
        <v>2019</v>
      </c>
      <c r="I6" s="7">
        <f t="shared" ref="I6:K6" si="0">H6+1</f>
        <v>2020</v>
      </c>
      <c r="J6" s="7">
        <f t="shared" si="0"/>
        <v>2021</v>
      </c>
      <c r="K6" s="7">
        <f t="shared" si="0"/>
        <v>2022</v>
      </c>
    </row>
    <row r="7" spans="2:11" s="16" customFormat="1" ht="12.75" x14ac:dyDescent="0.25"/>
    <row r="8" spans="2:11" s="26" customFormat="1" ht="14.25" customHeight="1" x14ac:dyDescent="0.25">
      <c r="B8" s="35" t="s">
        <v>0</v>
      </c>
      <c r="C8" s="35"/>
      <c r="D8" s="35"/>
      <c r="E8" s="35"/>
      <c r="F8" s="37"/>
      <c r="G8" s="37">
        <v>190167</v>
      </c>
      <c r="H8" s="37">
        <v>304267</v>
      </c>
      <c r="I8" s="37">
        <v>456401</v>
      </c>
      <c r="J8" s="37">
        <v>684602</v>
      </c>
      <c r="K8" s="37">
        <v>376531</v>
      </c>
    </row>
    <row r="9" spans="2:11" s="16" customFormat="1" ht="12.75" x14ac:dyDescent="0.25"/>
    <row r="10" spans="2:11" s="16" customFormat="1" ht="12.75" x14ac:dyDescent="0.25">
      <c r="B10" s="3" t="s">
        <v>1</v>
      </c>
      <c r="C10" s="3"/>
    </row>
    <row r="11" spans="2:11" s="26" customFormat="1" ht="14.25" customHeight="1" x14ac:dyDescent="0.25">
      <c r="C11" s="26" t="s">
        <v>2</v>
      </c>
      <c r="G11" s="38">
        <f>F13</f>
        <v>1897367</v>
      </c>
      <c r="H11" s="38">
        <f t="shared" ref="H11:K11" si="1">G13</f>
        <v>1897367</v>
      </c>
      <c r="I11" s="38">
        <f t="shared" si="1"/>
        <v>1897367</v>
      </c>
      <c r="J11" s="38">
        <f t="shared" si="1"/>
        <v>1897367</v>
      </c>
      <c r="K11" s="38">
        <f t="shared" si="1"/>
        <v>1897367</v>
      </c>
    </row>
    <row r="12" spans="2:11" s="26" customFormat="1" ht="14.25" customHeight="1" x14ac:dyDescent="0.25">
      <c r="C12" s="26" t="s">
        <v>6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</row>
    <row r="13" spans="2:11" s="26" customFormat="1" ht="14.25" customHeight="1" x14ac:dyDescent="0.25">
      <c r="C13" s="26" t="s">
        <v>3</v>
      </c>
      <c r="F13" s="39">
        <v>1897367</v>
      </c>
      <c r="G13" s="40">
        <f>SUM(G11:G12)</f>
        <v>1897367</v>
      </c>
      <c r="H13" s="40">
        <f t="shared" ref="H13:K13" si="2">SUM(H11:H12)</f>
        <v>1897367</v>
      </c>
      <c r="I13" s="40">
        <f t="shared" si="2"/>
        <v>1897367</v>
      </c>
      <c r="J13" s="40">
        <f t="shared" si="2"/>
        <v>1897367</v>
      </c>
      <c r="K13" s="40">
        <f t="shared" si="2"/>
        <v>1897367</v>
      </c>
    </row>
    <row r="14" spans="2:11" s="26" customFormat="1" ht="14.25" customHeight="1" x14ac:dyDescent="0.25"/>
    <row r="15" spans="2:11" s="26" customFormat="1" ht="14.25" customHeight="1" x14ac:dyDescent="0.25">
      <c r="C15" s="26" t="s">
        <v>4</v>
      </c>
      <c r="F15" s="41">
        <v>0.12</v>
      </c>
      <c r="G15" s="42">
        <f>F15</f>
        <v>0.12</v>
      </c>
      <c r="H15" s="42">
        <f t="shared" ref="H15:K15" si="3">G15</f>
        <v>0.12</v>
      </c>
      <c r="I15" s="42">
        <f t="shared" si="3"/>
        <v>0.12</v>
      </c>
      <c r="J15" s="42">
        <f t="shared" si="3"/>
        <v>0.12</v>
      </c>
      <c r="K15" s="42">
        <f t="shared" si="3"/>
        <v>0.12</v>
      </c>
    </row>
    <row r="16" spans="2:11" s="26" customFormat="1" ht="14.25" customHeight="1" x14ac:dyDescent="0.25">
      <c r="C16" s="26" t="s">
        <v>34</v>
      </c>
      <c r="G16" s="27">
        <f>G15*AVERAGE(F13:G13)</f>
        <v>227684.03999999998</v>
      </c>
      <c r="H16" s="27">
        <f>H15*AVERAGE(G13:H13)</f>
        <v>227684.03999999998</v>
      </c>
      <c r="I16" s="27">
        <f>I15*AVERAGE(H13:I13)</f>
        <v>227684.03999999998</v>
      </c>
      <c r="J16" s="27">
        <f>J15*AVERAGE(I13:J13)</f>
        <v>227684.03999999998</v>
      </c>
      <c r="K16" s="27">
        <f>K15*AVERAGE(J13:K13)</f>
        <v>227684.03999999998</v>
      </c>
    </row>
    <row r="17" spans="2:11" s="16" customFormat="1" ht="12.75" x14ac:dyDescent="0.25"/>
    <row r="18" spans="2:11" s="26" customFormat="1" ht="14.25" customHeight="1" x14ac:dyDescent="0.25">
      <c r="C18" s="35" t="s">
        <v>18</v>
      </c>
    </row>
    <row r="19" spans="2:11" s="26" customFormat="1" ht="14.25" customHeight="1" x14ac:dyDescent="0.25">
      <c r="C19" s="26" t="s">
        <v>2</v>
      </c>
      <c r="G19" s="43">
        <f>F22</f>
        <v>0</v>
      </c>
      <c r="H19" s="43">
        <f t="shared" ref="H19" si="4">G22</f>
        <v>37517.039999999979</v>
      </c>
      <c r="I19" s="43">
        <f t="shared" ref="I19" si="5">H22</f>
        <v>0</v>
      </c>
      <c r="J19" s="43">
        <f t="shared" ref="J19" si="6">I22</f>
        <v>0</v>
      </c>
      <c r="K19" s="43">
        <f t="shared" ref="K19" si="7">J22</f>
        <v>0</v>
      </c>
    </row>
    <row r="20" spans="2:11" s="26" customFormat="1" ht="14.25" customHeight="1" x14ac:dyDescent="0.25">
      <c r="C20" s="26" t="s">
        <v>27</v>
      </c>
      <c r="G20" s="43">
        <f>-MIN(G8-G16,0)</f>
        <v>37517.039999999979</v>
      </c>
      <c r="H20" s="43">
        <f>-MIN(H8-H16,0)</f>
        <v>0</v>
      </c>
      <c r="I20" s="43">
        <f>-MIN(I8-I16,0)</f>
        <v>0</v>
      </c>
      <c r="J20" s="43">
        <f>-MIN(J8-J16,0)</f>
        <v>0</v>
      </c>
      <c r="K20" s="43">
        <f>-MIN(K8-K16,0)</f>
        <v>0</v>
      </c>
    </row>
    <row r="21" spans="2:11" s="26" customFormat="1" ht="14.25" customHeight="1" x14ac:dyDescent="0.25">
      <c r="C21" s="26" t="s">
        <v>28</v>
      </c>
      <c r="G21" s="43">
        <f>-MIN(G19,MAX(G8-G16,0))</f>
        <v>0</v>
      </c>
      <c r="H21" s="43">
        <f>-MIN(H19,MAX(H8-H16,0))</f>
        <v>-37517.039999999979</v>
      </c>
      <c r="I21" s="43">
        <f>-MIN(I19,MAX(I8-I16,0))</f>
        <v>0</v>
      </c>
      <c r="J21" s="43">
        <f>-MIN(J19,MAX(J8-J16,0))</f>
        <v>0</v>
      </c>
      <c r="K21" s="43">
        <f>-MIN(K19,MAX(K8-K16,0))</f>
        <v>0</v>
      </c>
    </row>
    <row r="22" spans="2:11" s="26" customFormat="1" ht="14.25" customHeight="1" x14ac:dyDescent="0.25">
      <c r="C22" s="26" t="s">
        <v>3</v>
      </c>
      <c r="F22" s="39">
        <v>0</v>
      </c>
      <c r="G22" s="44">
        <f>SUM(G19:G21)</f>
        <v>37517.039999999979</v>
      </c>
      <c r="H22" s="44">
        <f t="shared" ref="H22:K22" si="8">SUM(H19:H21)</f>
        <v>0</v>
      </c>
      <c r="I22" s="44">
        <f t="shared" si="8"/>
        <v>0</v>
      </c>
      <c r="J22" s="44">
        <f t="shared" si="8"/>
        <v>0</v>
      </c>
      <c r="K22" s="44">
        <f t="shared" si="8"/>
        <v>0</v>
      </c>
    </row>
    <row r="23" spans="2:11" s="26" customFormat="1" ht="14.25" customHeight="1" x14ac:dyDescent="0.25">
      <c r="F23" s="45"/>
      <c r="G23" s="43"/>
      <c r="H23" s="43"/>
      <c r="I23" s="43"/>
      <c r="J23" s="43"/>
      <c r="K23" s="43"/>
    </row>
    <row r="24" spans="2:11" s="26" customFormat="1" ht="14.25" customHeight="1" x14ac:dyDescent="0.25">
      <c r="C24" s="35" t="s">
        <v>35</v>
      </c>
      <c r="G24" s="32">
        <f>G16-SUM(G20:G21)</f>
        <v>190167</v>
      </c>
      <c r="H24" s="32">
        <f t="shared" ref="H24:K24" si="9">H16-SUM(H20:H21)</f>
        <v>265201.07999999996</v>
      </c>
      <c r="I24" s="32">
        <f t="shared" si="9"/>
        <v>227684.03999999998</v>
      </c>
      <c r="J24" s="32">
        <f t="shared" si="9"/>
        <v>227684.03999999998</v>
      </c>
      <c r="K24" s="32">
        <f t="shared" si="9"/>
        <v>227684.03999999998</v>
      </c>
    </row>
    <row r="25" spans="2:11" s="26" customFormat="1" ht="14.25" customHeight="1" x14ac:dyDescent="0.25"/>
    <row r="26" spans="2:11" s="26" customFormat="1" ht="14.25" customHeight="1" x14ac:dyDescent="0.25">
      <c r="G26" s="26" t="s">
        <v>36</v>
      </c>
    </row>
    <row r="27" spans="2:11" s="26" customFormat="1" ht="14.25" customHeight="1" x14ac:dyDescent="0.25">
      <c r="B27" s="35" t="s">
        <v>13</v>
      </c>
      <c r="C27" s="35"/>
    </row>
    <row r="28" spans="2:11" s="26" customFormat="1" ht="14.25" customHeight="1" x14ac:dyDescent="0.25">
      <c r="B28" s="35"/>
      <c r="C28" s="26" t="s">
        <v>37</v>
      </c>
      <c r="E28" s="36">
        <v>2020</v>
      </c>
    </row>
    <row r="29" spans="2:11" s="26" customFormat="1" ht="14.25" customHeight="1" x14ac:dyDescent="0.25">
      <c r="B29" s="35"/>
      <c r="C29" s="35"/>
      <c r="E29" s="46"/>
    </row>
    <row r="30" spans="2:11" s="26" customFormat="1" ht="14.25" customHeight="1" x14ac:dyDescent="0.25">
      <c r="C30" s="26" t="s">
        <v>0</v>
      </c>
      <c r="G30" s="43">
        <f>G8</f>
        <v>190167</v>
      </c>
      <c r="H30" s="43">
        <f t="shared" ref="H30:K30" si="10">H8</f>
        <v>304267</v>
      </c>
      <c r="I30" s="43">
        <f t="shared" si="10"/>
        <v>456401</v>
      </c>
      <c r="J30" s="43">
        <f t="shared" si="10"/>
        <v>684602</v>
      </c>
      <c r="K30" s="43">
        <f t="shared" si="10"/>
        <v>376531</v>
      </c>
    </row>
    <row r="31" spans="2:11" s="26" customFormat="1" ht="14.25" customHeight="1" x14ac:dyDescent="0.25">
      <c r="C31" s="26" t="s">
        <v>33</v>
      </c>
      <c r="G31" s="43">
        <f>-G24</f>
        <v>-190167</v>
      </c>
      <c r="H31" s="43">
        <f t="shared" ref="H31:K31" si="11">-H24</f>
        <v>-265201.07999999996</v>
      </c>
      <c r="I31" s="43">
        <f t="shared" si="11"/>
        <v>-227684.03999999998</v>
      </c>
      <c r="J31" s="43">
        <f t="shared" si="11"/>
        <v>-227684.03999999998</v>
      </c>
      <c r="K31" s="43">
        <f t="shared" si="11"/>
        <v>-227684.03999999998</v>
      </c>
    </row>
    <row r="32" spans="2:11" s="26" customFormat="1" ht="14.25" customHeight="1" x14ac:dyDescent="0.25">
      <c r="C32" s="26" t="s">
        <v>38</v>
      </c>
      <c r="G32" s="44">
        <f>SUM(G30:G31)</f>
        <v>0</v>
      </c>
      <c r="H32" s="44">
        <f t="shared" ref="H32:K32" si="12">SUM(H30:H31)</f>
        <v>39065.920000000042</v>
      </c>
      <c r="I32" s="44">
        <f t="shared" si="12"/>
        <v>228716.96000000002</v>
      </c>
      <c r="J32" s="44">
        <f t="shared" si="12"/>
        <v>456917.96</v>
      </c>
      <c r="K32" s="44">
        <f t="shared" si="12"/>
        <v>148846.96000000002</v>
      </c>
    </row>
    <row r="33" spans="2:11" s="26" customFormat="1" ht="14.25" customHeight="1" x14ac:dyDescent="0.25">
      <c r="B33" s="35"/>
      <c r="C33" s="35"/>
      <c r="E33" s="46"/>
    </row>
    <row r="34" spans="2:11" s="26" customFormat="1" ht="14.25" customHeight="1" x14ac:dyDescent="0.25">
      <c r="C34" s="26" t="s">
        <v>2</v>
      </c>
      <c r="G34" s="38">
        <f>F36</f>
        <v>0</v>
      </c>
      <c r="H34" s="38">
        <f t="shared" ref="H34" si="13">G36</f>
        <v>0</v>
      </c>
      <c r="I34" s="38">
        <f t="shared" ref="I34" si="14">H36</f>
        <v>0</v>
      </c>
      <c r="J34" s="38">
        <f t="shared" ref="J34" si="15">I36</f>
        <v>1000000</v>
      </c>
      <c r="K34" s="38">
        <f t="shared" ref="K34" si="16">J36</f>
        <v>1000000</v>
      </c>
    </row>
    <row r="35" spans="2:11" s="26" customFormat="1" ht="14.25" customHeight="1" x14ac:dyDescent="0.25">
      <c r="C35" s="26" t="s">
        <v>6</v>
      </c>
      <c r="E35" s="45">
        <v>1000000</v>
      </c>
      <c r="G35" s="38">
        <f>IF(G$6=$E$28,$E35,0)</f>
        <v>0</v>
      </c>
      <c r="H35" s="38">
        <f>IF(H$6=$E$28,$E35,0)</f>
        <v>0</v>
      </c>
      <c r="I35" s="38">
        <f>IF(I$6=$E$28,$E35,0)</f>
        <v>1000000</v>
      </c>
      <c r="J35" s="38">
        <f>IF(J$6=$E$28,$E35,0)</f>
        <v>0</v>
      </c>
      <c r="K35" s="38">
        <f>IF(K$6=$E$28,$E35,0)</f>
        <v>0</v>
      </c>
    </row>
    <row r="36" spans="2:11" s="26" customFormat="1" ht="14.25" customHeight="1" x14ac:dyDescent="0.25">
      <c r="C36" s="26" t="s">
        <v>3</v>
      </c>
      <c r="F36" s="39">
        <v>0</v>
      </c>
      <c r="G36" s="40">
        <f>SUM(G34:G35)</f>
        <v>0</v>
      </c>
      <c r="H36" s="40">
        <f t="shared" ref="H36:K36" si="17">SUM(H34:H35)</f>
        <v>0</v>
      </c>
      <c r="I36" s="40">
        <f t="shared" si="17"/>
        <v>1000000</v>
      </c>
      <c r="J36" s="40">
        <f t="shared" si="17"/>
        <v>1000000</v>
      </c>
      <c r="K36" s="40">
        <f t="shared" si="17"/>
        <v>1000000</v>
      </c>
    </row>
    <row r="37" spans="2:11" s="26" customFormat="1" ht="14.25" customHeight="1" x14ac:dyDescent="0.25"/>
    <row r="38" spans="2:11" s="26" customFormat="1" ht="14.25" customHeight="1" x14ac:dyDescent="0.25">
      <c r="C38" s="26" t="s">
        <v>4</v>
      </c>
      <c r="F38" s="41">
        <f>115/1000</f>
        <v>0.115</v>
      </c>
      <c r="G38" s="47">
        <f>F38</f>
        <v>0.115</v>
      </c>
      <c r="H38" s="47">
        <f t="shared" ref="H38" si="18">G38</f>
        <v>0.115</v>
      </c>
      <c r="I38" s="47">
        <f t="shared" ref="I38" si="19">H38</f>
        <v>0.115</v>
      </c>
      <c r="J38" s="47">
        <f t="shared" ref="J38" si="20">I38</f>
        <v>0.115</v>
      </c>
      <c r="K38" s="47">
        <f t="shared" ref="K38" si="21">J38</f>
        <v>0.115</v>
      </c>
    </row>
    <row r="39" spans="2:11" s="26" customFormat="1" ht="14.25" customHeight="1" x14ac:dyDescent="0.25">
      <c r="C39" s="26" t="s">
        <v>34</v>
      </c>
      <c r="G39" s="38">
        <f>G38*G36</f>
        <v>0</v>
      </c>
      <c r="H39" s="38">
        <f>H38*H36</f>
        <v>0</v>
      </c>
      <c r="I39" s="38">
        <f>I38*I36</f>
        <v>115000</v>
      </c>
      <c r="J39" s="38">
        <f>J38*J36</f>
        <v>115000</v>
      </c>
      <c r="K39" s="38">
        <f>K38*K36</f>
        <v>115000</v>
      </c>
    </row>
    <row r="40" spans="2:11" s="26" customFormat="1" ht="14.25" customHeight="1" x14ac:dyDescent="0.25">
      <c r="C40" s="35" t="s">
        <v>35</v>
      </c>
      <c r="D40" s="35"/>
      <c r="E40" s="35"/>
      <c r="F40" s="35"/>
      <c r="G40" s="48">
        <f>MIN(G39,G32)</f>
        <v>0</v>
      </c>
      <c r="H40" s="48">
        <f t="shared" ref="H40:K40" si="22">MIN(H39,H32)</f>
        <v>0</v>
      </c>
      <c r="I40" s="48">
        <f t="shared" si="22"/>
        <v>115000</v>
      </c>
      <c r="J40" s="48">
        <f t="shared" si="22"/>
        <v>115000</v>
      </c>
      <c r="K40" s="48">
        <f t="shared" si="22"/>
        <v>115000</v>
      </c>
    </row>
    <row r="41" spans="2:11" s="16" customFormat="1" ht="12.75" x14ac:dyDescent="0.25">
      <c r="C41" s="3"/>
      <c r="D41" s="3"/>
      <c r="E41" s="3"/>
      <c r="F41" s="3"/>
      <c r="G41" s="33"/>
      <c r="H41" s="33"/>
      <c r="I41" s="33"/>
      <c r="J41" s="33"/>
      <c r="K41" s="33"/>
    </row>
    <row r="42" spans="2:11" s="16" customFormat="1" ht="12.75" x14ac:dyDescent="0.25"/>
    <row r="43" spans="2:11" s="16" customFormat="1" ht="14.25" customHeight="1" x14ac:dyDescent="0.25">
      <c r="B43" s="3" t="s">
        <v>29</v>
      </c>
      <c r="C43" s="3"/>
    </row>
    <row r="44" spans="2:11" s="16" customFormat="1" ht="14.25" customHeight="1" x14ac:dyDescent="0.25">
      <c r="C44" s="16" t="s">
        <v>0</v>
      </c>
      <c r="G44" s="20">
        <f>G8</f>
        <v>190167</v>
      </c>
      <c r="H44" s="20">
        <f>H8</f>
        <v>304267</v>
      </c>
      <c r="I44" s="20">
        <f>I8</f>
        <v>456401</v>
      </c>
      <c r="J44" s="20">
        <f>J8</f>
        <v>684602</v>
      </c>
      <c r="K44" s="20">
        <f>K8</f>
        <v>376531</v>
      </c>
    </row>
    <row r="45" spans="2:11" s="16" customFormat="1" ht="14.25" customHeight="1" x14ac:dyDescent="0.25">
      <c r="C45" s="16" t="s">
        <v>33</v>
      </c>
      <c r="G45" s="20">
        <f>-(G24+G40)</f>
        <v>-190167</v>
      </c>
      <c r="H45" s="20">
        <f t="shared" ref="H45:K45" si="23">-(H24+H40)</f>
        <v>-265201.07999999996</v>
      </c>
      <c r="I45" s="20">
        <f t="shared" si="23"/>
        <v>-342684.04</v>
      </c>
      <c r="J45" s="20">
        <f t="shared" si="23"/>
        <v>-342684.04</v>
      </c>
      <c r="K45" s="20">
        <f t="shared" si="23"/>
        <v>-342684.04</v>
      </c>
    </row>
    <row r="46" spans="2:11" s="16" customFormat="1" ht="14.25" customHeight="1" x14ac:dyDescent="0.25">
      <c r="C46" s="16" t="s">
        <v>9</v>
      </c>
      <c r="G46" s="21">
        <f>SUM(G44:G45)</f>
        <v>0</v>
      </c>
      <c r="H46" s="21">
        <f t="shared" ref="H46:K46" si="24">SUM(H44:H45)</f>
        <v>39065.920000000042</v>
      </c>
      <c r="I46" s="21">
        <f t="shared" si="24"/>
        <v>113716.96000000002</v>
      </c>
      <c r="J46" s="21">
        <f t="shared" si="24"/>
        <v>341917.96</v>
      </c>
      <c r="K46" s="21">
        <f t="shared" si="24"/>
        <v>33846.960000000021</v>
      </c>
    </row>
    <row r="47" spans="2:11" s="16" customFormat="1" ht="14.25" customHeight="1" x14ac:dyDescent="0.25">
      <c r="B47" s="3"/>
      <c r="C47" s="3"/>
    </row>
    <row r="48" spans="2:11" s="16" customFormat="1" ht="14.25" customHeight="1" x14ac:dyDescent="0.25">
      <c r="C48" s="16" t="s">
        <v>30</v>
      </c>
      <c r="G48" s="17">
        <f>F50</f>
        <v>650000</v>
      </c>
      <c r="H48" s="17">
        <f t="shared" ref="H48:K48" si="25">G50</f>
        <v>650000</v>
      </c>
      <c r="I48" s="17">
        <f t="shared" si="25"/>
        <v>650000</v>
      </c>
      <c r="J48" s="17">
        <f t="shared" si="25"/>
        <v>650000</v>
      </c>
      <c r="K48" s="17">
        <f t="shared" si="25"/>
        <v>650000</v>
      </c>
    </row>
    <row r="49" spans="2:11" s="16" customFormat="1" ht="14.25" customHeight="1" x14ac:dyDescent="0.2">
      <c r="C49" s="16" t="s">
        <v>6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</row>
    <row r="50" spans="2:11" s="16" customFormat="1" ht="14.25" customHeight="1" x14ac:dyDescent="0.2">
      <c r="C50" s="16" t="s">
        <v>31</v>
      </c>
      <c r="F50" s="4">
        <v>650000</v>
      </c>
      <c r="G50" s="18">
        <f>SUM(G48:G49)</f>
        <v>650000</v>
      </c>
      <c r="H50" s="18">
        <f t="shared" ref="H50" si="26">SUM(H48:H49)</f>
        <v>650000</v>
      </c>
      <c r="I50" s="18">
        <f t="shared" ref="I50" si="27">SUM(I48:I49)</f>
        <v>650000</v>
      </c>
      <c r="J50" s="18">
        <f t="shared" ref="J50" si="28">SUM(J48:J49)</f>
        <v>650000</v>
      </c>
      <c r="K50" s="18">
        <f t="shared" ref="K50" si="29">SUM(K48:K49)</f>
        <v>650000</v>
      </c>
    </row>
    <row r="51" spans="2:11" s="16" customFormat="1" ht="14.25" customHeight="1" x14ac:dyDescent="0.25"/>
    <row r="52" spans="2:11" s="16" customFormat="1" ht="14.25" customHeight="1" x14ac:dyDescent="0.2">
      <c r="C52" s="16" t="s">
        <v>7</v>
      </c>
      <c r="F52" s="29">
        <v>0.05</v>
      </c>
      <c r="G52" s="30">
        <f>F52*(1+G53)</f>
        <v>5.7499999999999996E-2</v>
      </c>
      <c r="H52" s="30">
        <f t="shared" ref="H52:K52" si="30">G52*(1+H53)</f>
        <v>6.6124999999999989E-2</v>
      </c>
      <c r="I52" s="30">
        <f t="shared" si="30"/>
        <v>7.6043749999999979E-2</v>
      </c>
      <c r="J52" s="30">
        <f t="shared" si="30"/>
        <v>8.7450312499999974E-2</v>
      </c>
      <c r="K52" s="30">
        <f t="shared" si="30"/>
        <v>0.10056785937499996</v>
      </c>
    </row>
    <row r="53" spans="2:11" s="16" customFormat="1" ht="14.25" customHeight="1" x14ac:dyDescent="0.2">
      <c r="C53" s="1" t="s">
        <v>32</v>
      </c>
      <c r="G53" s="6">
        <v>0.15</v>
      </c>
      <c r="H53" s="2">
        <f>G53</f>
        <v>0.15</v>
      </c>
      <c r="I53" s="2">
        <f t="shared" ref="I53:K53" si="31">H53</f>
        <v>0.15</v>
      </c>
      <c r="J53" s="2">
        <f t="shared" si="31"/>
        <v>0.15</v>
      </c>
      <c r="K53" s="2">
        <f t="shared" si="31"/>
        <v>0.15</v>
      </c>
    </row>
    <row r="54" spans="2:11" s="16" customFormat="1" ht="14.25" customHeight="1" x14ac:dyDescent="0.25"/>
    <row r="55" spans="2:11" s="16" customFormat="1" ht="14.25" customHeight="1" x14ac:dyDescent="0.25">
      <c r="C55" s="3" t="s">
        <v>35</v>
      </c>
      <c r="D55" s="3"/>
      <c r="E55" s="3"/>
      <c r="F55" s="3"/>
      <c r="G55" s="34">
        <f t="shared" ref="G55:H55" si="32">MIN(G46,G52*G50)</f>
        <v>0</v>
      </c>
      <c r="H55" s="34">
        <f t="shared" si="32"/>
        <v>39065.920000000042</v>
      </c>
      <c r="I55" s="34">
        <f>MIN(I46,I52*I50)</f>
        <v>49428.437499999985</v>
      </c>
      <c r="J55" s="34">
        <f t="shared" ref="J55:K55" si="33">MIN(J46,J52*J50)</f>
        <v>56842.703124999985</v>
      </c>
      <c r="K55" s="34">
        <f t="shared" si="33"/>
        <v>33846.960000000021</v>
      </c>
    </row>
    <row r="56" spans="2:11" s="16" customFormat="1" ht="12.75" x14ac:dyDescent="0.25"/>
    <row r="57" spans="2:11" s="16" customFormat="1" ht="12.75" x14ac:dyDescent="0.25"/>
    <row r="58" spans="2:11" s="16" customFormat="1" ht="14.25" customHeight="1" x14ac:dyDescent="0.25">
      <c r="B58" s="3" t="s">
        <v>8</v>
      </c>
      <c r="C58" s="3"/>
    </row>
    <row r="59" spans="2:11" ht="14.25" customHeight="1" x14ac:dyDescent="0.25">
      <c r="C59" s="16" t="s">
        <v>9</v>
      </c>
      <c r="D59" s="16"/>
      <c r="E59" s="16"/>
      <c r="F59" s="16"/>
      <c r="G59" s="20">
        <f>G46</f>
        <v>0</v>
      </c>
      <c r="H59" s="20">
        <f t="shared" ref="H59:K59" si="34">H46</f>
        <v>39065.920000000042</v>
      </c>
      <c r="I59" s="20">
        <f t="shared" si="34"/>
        <v>113716.96000000002</v>
      </c>
      <c r="J59" s="20">
        <f t="shared" si="34"/>
        <v>341917.96</v>
      </c>
      <c r="K59" s="20">
        <f t="shared" si="34"/>
        <v>33846.960000000021</v>
      </c>
    </row>
    <row r="60" spans="2:11" s="16" customFormat="1" ht="14.25" customHeight="1" x14ac:dyDescent="0.25">
      <c r="C60" s="16" t="s">
        <v>39</v>
      </c>
      <c r="G60" s="20">
        <f>-G55</f>
        <v>0</v>
      </c>
      <c r="H60" s="20">
        <f>-H55</f>
        <v>-39065.920000000042</v>
      </c>
      <c r="I60" s="20">
        <f>-I55</f>
        <v>-49428.437499999985</v>
      </c>
      <c r="J60" s="20">
        <f>-J55</f>
        <v>-56842.703124999985</v>
      </c>
      <c r="K60" s="20">
        <f>-K55</f>
        <v>-33846.960000000021</v>
      </c>
    </row>
    <row r="61" spans="2:11" s="16" customFormat="1" ht="14.25" customHeight="1" x14ac:dyDescent="0.25">
      <c r="C61" s="3" t="s">
        <v>10</v>
      </c>
      <c r="D61" s="3"/>
      <c r="E61" s="3"/>
      <c r="F61" s="3"/>
      <c r="G61" s="8">
        <f>SUM(G59:G60)</f>
        <v>0</v>
      </c>
      <c r="H61" s="8">
        <f t="shared" ref="H61:K61" si="35">SUM(H59:H60)</f>
        <v>0</v>
      </c>
      <c r="I61" s="8">
        <f t="shared" si="35"/>
        <v>64288.522500000036</v>
      </c>
      <c r="J61" s="8">
        <f t="shared" si="35"/>
        <v>285075.25687500002</v>
      </c>
      <c r="K61" s="8">
        <f t="shared" si="35"/>
        <v>0</v>
      </c>
    </row>
    <row r="62" spans="2:11" s="16" customFormat="1" ht="14.25" customHeight="1" x14ac:dyDescent="0.25"/>
    <row r="63" spans="2:11" s="16" customFormat="1" ht="14.25" customHeight="1" x14ac:dyDescent="0.25">
      <c r="C63" s="16" t="s">
        <v>11</v>
      </c>
      <c r="F63" s="5">
        <v>0.05</v>
      </c>
      <c r="G63" s="19">
        <f>F63</f>
        <v>0.05</v>
      </c>
      <c r="H63" s="19">
        <f t="shared" ref="H63:K63" si="36">G63</f>
        <v>0.05</v>
      </c>
      <c r="I63" s="19">
        <f t="shared" si="36"/>
        <v>0.05</v>
      </c>
      <c r="J63" s="19">
        <f t="shared" si="36"/>
        <v>0.05</v>
      </c>
      <c r="K63" s="19">
        <f t="shared" si="36"/>
        <v>0.05</v>
      </c>
    </row>
    <row r="64" spans="2:11" s="16" customFormat="1" ht="14.25" customHeight="1" x14ac:dyDescent="0.25">
      <c r="C64" s="3" t="s">
        <v>35</v>
      </c>
      <c r="G64" s="34">
        <f>MAX(G61*G63,0)</f>
        <v>0</v>
      </c>
      <c r="H64" s="34">
        <f t="shared" ref="H64:K64" si="37">MAX(H61*H63,0)</f>
        <v>0</v>
      </c>
      <c r="I64" s="34">
        <f t="shared" si="37"/>
        <v>3214.4261250000018</v>
      </c>
      <c r="J64" s="34">
        <f t="shared" si="37"/>
        <v>14253.762843750003</v>
      </c>
      <c r="K64" s="34">
        <f t="shared" si="37"/>
        <v>0</v>
      </c>
    </row>
    <row r="65" spans="2:11" x14ac:dyDescent="0.25"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7" spans="2:11" x14ac:dyDescent="0.25">
      <c r="B67" s="3" t="s">
        <v>24</v>
      </c>
      <c r="C67" s="3"/>
    </row>
    <row r="68" spans="2:11" x14ac:dyDescent="0.25">
      <c r="C68" s="16" t="s">
        <v>1</v>
      </c>
      <c r="G68" s="17">
        <f>G24</f>
        <v>190167</v>
      </c>
      <c r="H68" s="17">
        <f t="shared" ref="H68:K68" si="38">H24</f>
        <v>265201.07999999996</v>
      </c>
      <c r="I68" s="17">
        <f t="shared" si="38"/>
        <v>227684.03999999998</v>
      </c>
      <c r="J68" s="17">
        <f t="shared" si="38"/>
        <v>227684.03999999998</v>
      </c>
      <c r="K68" s="17">
        <f t="shared" si="38"/>
        <v>227684.03999999998</v>
      </c>
    </row>
    <row r="69" spans="2:11" x14ac:dyDescent="0.25">
      <c r="C69" s="16" t="s">
        <v>13</v>
      </c>
      <c r="G69" s="17">
        <f>G40</f>
        <v>0</v>
      </c>
      <c r="H69" s="17">
        <f t="shared" ref="H69:K69" si="39">H40</f>
        <v>0</v>
      </c>
      <c r="I69" s="17">
        <f t="shared" si="39"/>
        <v>115000</v>
      </c>
      <c r="J69" s="17">
        <f t="shared" si="39"/>
        <v>115000</v>
      </c>
      <c r="K69" s="17">
        <f t="shared" si="39"/>
        <v>115000</v>
      </c>
    </row>
    <row r="70" spans="2:11" x14ac:dyDescent="0.25">
      <c r="C70" s="16" t="s">
        <v>5</v>
      </c>
      <c r="G70" s="17">
        <f>G55</f>
        <v>0</v>
      </c>
      <c r="H70" s="17">
        <f>H55</f>
        <v>39065.920000000042</v>
      </c>
      <c r="I70" s="17">
        <f>I55</f>
        <v>49428.437499999985</v>
      </c>
      <c r="J70" s="17">
        <f>J55</f>
        <v>56842.703124999985</v>
      </c>
      <c r="K70" s="17">
        <f>K55</f>
        <v>33846.960000000021</v>
      </c>
    </row>
    <row r="71" spans="2:11" x14ac:dyDescent="0.25">
      <c r="C71" s="16" t="s">
        <v>8</v>
      </c>
      <c r="G71" s="17">
        <f>G64</f>
        <v>0</v>
      </c>
      <c r="H71" s="17">
        <f t="shared" ref="H71:K71" si="40">H64</f>
        <v>0</v>
      </c>
      <c r="I71" s="17">
        <f t="shared" si="40"/>
        <v>3214.4261250000018</v>
      </c>
      <c r="J71" s="17">
        <f t="shared" si="40"/>
        <v>14253.762843750003</v>
      </c>
      <c r="K71" s="17">
        <f t="shared" si="40"/>
        <v>0</v>
      </c>
    </row>
    <row r="72" spans="2:11" ht="15" thickBot="1" x14ac:dyDescent="0.3">
      <c r="C72" s="3" t="s">
        <v>12</v>
      </c>
      <c r="G72" s="28">
        <f>SUM(G68:G71)</f>
        <v>190167</v>
      </c>
      <c r="H72" s="28">
        <f t="shared" ref="H72:K72" si="41">SUM(H68:H71)</f>
        <v>304267</v>
      </c>
      <c r="I72" s="28">
        <f t="shared" si="41"/>
        <v>395326.90362499998</v>
      </c>
      <c r="J72" s="28">
        <f t="shared" si="41"/>
        <v>413780.50596874999</v>
      </c>
      <c r="K72" s="28">
        <f t="shared" si="41"/>
        <v>376531</v>
      </c>
    </row>
    <row r="73" spans="2:11" ht="15" thickTop="1" x14ac:dyDescent="0.25">
      <c r="C73" s="3"/>
      <c r="G73" s="33"/>
      <c r="H73" s="33"/>
      <c r="I73" s="33"/>
      <c r="J73" s="33"/>
      <c r="K73" s="33"/>
    </row>
    <row r="75" spans="2:11" x14ac:dyDescent="0.25">
      <c r="B75" s="10" t="s">
        <v>14</v>
      </c>
      <c r="C75" s="10"/>
      <c r="D75" s="10"/>
      <c r="E75" s="10"/>
      <c r="F75" s="10"/>
      <c r="G75" s="10"/>
      <c r="H75" s="10"/>
      <c r="I75" s="10"/>
      <c r="J75" s="10"/>
      <c r="K75" s="10"/>
    </row>
    <row r="77" spans="2:11" x14ac:dyDescent="0.2">
      <c r="F77" s="25" t="s">
        <v>26</v>
      </c>
      <c r="G77" s="17">
        <f>G72</f>
        <v>190167</v>
      </c>
      <c r="H77" s="17">
        <f t="shared" ref="H77:K77" si="42">H72</f>
        <v>304267</v>
      </c>
      <c r="I77" s="17">
        <f t="shared" si="42"/>
        <v>395326.90362499998</v>
      </c>
      <c r="J77" s="17">
        <f t="shared" si="42"/>
        <v>413780.50596874999</v>
      </c>
      <c r="K77" s="17">
        <f t="shared" si="42"/>
        <v>376531</v>
      </c>
    </row>
    <row r="78" spans="2:11" x14ac:dyDescent="0.25">
      <c r="B78" s="16" t="s">
        <v>25</v>
      </c>
      <c r="C78" s="16"/>
      <c r="F78" s="9">
        <v>0</v>
      </c>
      <c r="G78" s="24">
        <f t="dataTable" ref="G78:K81" dt2D="0" dtr="0" r1="E28"/>
        <v>190167</v>
      </c>
      <c r="H78" s="18">
        <v>304267</v>
      </c>
      <c r="I78" s="18">
        <v>286076.90362499998</v>
      </c>
      <c r="J78" s="18">
        <v>304530.50596874999</v>
      </c>
      <c r="K78" s="18">
        <v>297227.04116406245</v>
      </c>
    </row>
    <row r="79" spans="2:11" x14ac:dyDescent="0.25">
      <c r="B79" s="16" t="s">
        <v>21</v>
      </c>
      <c r="C79" s="16"/>
      <c r="F79" s="9">
        <v>2020</v>
      </c>
      <c r="G79" s="23">
        <v>190167</v>
      </c>
      <c r="H79" s="17">
        <v>304267</v>
      </c>
      <c r="I79" s="17">
        <v>395326.90362499998</v>
      </c>
      <c r="J79" s="17">
        <v>413780.50596874999</v>
      </c>
      <c r="K79" s="17">
        <v>376531</v>
      </c>
    </row>
    <row r="80" spans="2:11" x14ac:dyDescent="0.25">
      <c r="B80" s="16" t="s">
        <v>22</v>
      </c>
      <c r="C80" s="16"/>
      <c r="F80" s="9">
        <v>2021</v>
      </c>
      <c r="G80" s="23">
        <v>190167</v>
      </c>
      <c r="H80" s="17">
        <v>304267</v>
      </c>
      <c r="I80" s="17">
        <v>286076.90362499998</v>
      </c>
      <c r="J80" s="17">
        <v>413780.50596874999</v>
      </c>
      <c r="K80" s="17">
        <v>376531</v>
      </c>
    </row>
    <row r="81" spans="2:11" x14ac:dyDescent="0.25">
      <c r="B81" s="16" t="s">
        <v>23</v>
      </c>
      <c r="C81" s="16"/>
      <c r="F81" s="9">
        <v>2022</v>
      </c>
      <c r="G81" s="23">
        <v>190167</v>
      </c>
      <c r="H81" s="17">
        <v>304267</v>
      </c>
      <c r="I81" s="17">
        <v>286076.90362499998</v>
      </c>
      <c r="J81" s="17">
        <v>304530.50596874999</v>
      </c>
      <c r="K81" s="17">
        <v>376531</v>
      </c>
    </row>
    <row r="82" spans="2:11" x14ac:dyDescent="0.25">
      <c r="B82" s="16"/>
      <c r="C82" s="16"/>
      <c r="F82" s="9"/>
      <c r="G82" s="17"/>
      <c r="H82" s="17"/>
      <c r="I82" s="17"/>
      <c r="J82" s="17"/>
      <c r="K82" s="17"/>
    </row>
    <row r="84" spans="2:11" x14ac:dyDescent="0.25">
      <c r="B84" s="10" t="s">
        <v>19</v>
      </c>
      <c r="C84" s="10"/>
      <c r="D84" s="10"/>
      <c r="E84" s="10"/>
      <c r="F84" s="10"/>
      <c r="G84" s="10"/>
      <c r="H84" s="10"/>
      <c r="I84" s="10"/>
      <c r="J84" s="10"/>
      <c r="K84" s="10"/>
    </row>
    <row r="86" spans="2:11" x14ac:dyDescent="0.25">
      <c r="B86" s="22" t="s">
        <v>15</v>
      </c>
      <c r="C86" s="22"/>
    </row>
    <row r="87" spans="2:11" x14ac:dyDescent="0.25">
      <c r="B87" s="13" t="s">
        <v>20</v>
      </c>
      <c r="G87" s="17">
        <f>G78</f>
        <v>190167</v>
      </c>
      <c r="H87" s="17">
        <f t="shared" ref="H87:K87" si="43">H78</f>
        <v>304267</v>
      </c>
      <c r="I87" s="17">
        <f t="shared" si="43"/>
        <v>286076.90362499998</v>
      </c>
      <c r="J87" s="17">
        <f t="shared" si="43"/>
        <v>304530.50596874999</v>
      </c>
      <c r="K87" s="17">
        <f t="shared" si="43"/>
        <v>297227.04116406245</v>
      </c>
    </row>
    <row r="89" spans="2:11" x14ac:dyDescent="0.25">
      <c r="B89" s="22" t="s">
        <v>16</v>
      </c>
      <c r="C89" s="22"/>
    </row>
    <row r="90" spans="2:11" x14ac:dyDescent="0.25">
      <c r="B90" s="13" t="s">
        <v>21</v>
      </c>
      <c r="G90" s="17">
        <f t="shared" ref="G90:K92" si="44">G79</f>
        <v>190167</v>
      </c>
      <c r="H90" s="17">
        <f t="shared" si="44"/>
        <v>304267</v>
      </c>
      <c r="I90" s="17">
        <f t="shared" si="44"/>
        <v>395326.90362499998</v>
      </c>
      <c r="J90" s="17">
        <f t="shared" si="44"/>
        <v>413780.50596874999</v>
      </c>
      <c r="K90" s="17">
        <f t="shared" si="44"/>
        <v>376531</v>
      </c>
    </row>
    <row r="91" spans="2:11" x14ac:dyDescent="0.25">
      <c r="B91" s="13" t="s">
        <v>22</v>
      </c>
      <c r="G91" s="17">
        <f t="shared" si="44"/>
        <v>190167</v>
      </c>
      <c r="H91" s="17">
        <f t="shared" si="44"/>
        <v>304267</v>
      </c>
      <c r="I91" s="17">
        <f t="shared" si="44"/>
        <v>286076.90362499998</v>
      </c>
      <c r="J91" s="17">
        <f t="shared" si="44"/>
        <v>413780.50596874999</v>
      </c>
      <c r="K91" s="17">
        <f t="shared" si="44"/>
        <v>376531</v>
      </c>
    </row>
    <row r="92" spans="2:11" x14ac:dyDescent="0.25">
      <c r="B92" s="13" t="s">
        <v>23</v>
      </c>
      <c r="G92" s="17">
        <f t="shared" si="44"/>
        <v>190167</v>
      </c>
      <c r="H92" s="17">
        <f t="shared" si="44"/>
        <v>304267</v>
      </c>
      <c r="I92" s="17">
        <f t="shared" si="44"/>
        <v>286076.90362499998</v>
      </c>
      <c r="J92" s="17">
        <f t="shared" si="44"/>
        <v>304530.50596874999</v>
      </c>
      <c r="K92" s="17">
        <f t="shared" si="44"/>
        <v>376531</v>
      </c>
    </row>
    <row r="93" spans="2:11" x14ac:dyDescent="0.25">
      <c r="B93" s="14"/>
      <c r="C93" s="14"/>
      <c r="D93" s="14"/>
      <c r="E93" s="14"/>
      <c r="F93" s="14"/>
      <c r="G93" s="14"/>
      <c r="H93" s="14"/>
      <c r="I93" s="14"/>
      <c r="J93" s="14"/>
      <c r="K93" s="14"/>
    </row>
  </sheetData>
  <printOptions horizontalCentered="1"/>
  <pageMargins left="0.70866141732283472" right="0.70866141732283472" top="0.74803149606299213" bottom="0.74803149606299213" header="0.31496062992125984" footer="0.31496062992125984"/>
  <pageSetup scale="77" orientation="portrait" horizontalDpi="4294967295" verticalDpi="4294967295" r:id="rId1"/>
  <rowBreaks count="1" manualBreakCount="1">
    <brk id="65" min="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Equity</vt:lpstr>
      <vt:lpstr>Equity_Answer</vt:lpstr>
      <vt:lpstr>company</vt:lpstr>
      <vt:lpstr>Equity!Print_Area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2018-10-03T21:23:44Z</dcterms:created>
  <dcterms:modified xsi:type="dcterms:W3CDTF">2026-09-09T13:09:30Z</dcterms:modified>
</cp:coreProperties>
</file>