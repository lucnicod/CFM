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4f703795456207/Modeling/CFM/0. Topics/2. Operating and Non-Operating Costs/2.1 Powerstill/"/>
    </mc:Choice>
  </mc:AlternateContent>
  <xr:revisionPtr revIDLastSave="370" documentId="13_ncr:1_{96E058F3-A173-4FAC-A530-E8D45EE8CB48}" xr6:coauthVersionLast="47" xr6:coauthVersionMax="47" xr10:uidLastSave="{2CE75230-6AA1-4B1E-B40D-78FB7F9C2A75}"/>
  <bookViews>
    <workbookView xWindow="28680" yWindow="-120" windowWidth="29040" windowHeight="16440" activeTab="1" xr2:uid="{4386187E-630E-48BB-BD89-785A6E9C2569}"/>
  </bookViews>
  <sheets>
    <sheet name="Answers" sheetId="7" r:id="rId1"/>
    <sheet name="Calculations" sheetId="6" r:id="rId2"/>
    <sheet name="Drivers" sheetId="2" r:id="rId3"/>
    <sheet name="Time" sheetId="5" r:id="rId4"/>
    <sheet name="DataPull" sheetId="1" r:id="rId5"/>
    <sheet name="Assumptions" sheetId="3" r:id="rId6"/>
    <sheet name="Tmp" sheetId="4" r:id="rId7"/>
  </sheets>
  <definedNames>
    <definedName name="company">Assumptions!$E$88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40869.3787037037</definedName>
    <definedName name="IQ_NTM" hidden="1">6000</definedName>
    <definedName name="IQ_OPENED55" hidden="1">1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RA8" hidden="1">"$A$9:$A$261"</definedName>
    <definedName name="IQRB8" hidden="1">"$B$9:$B$261"</definedName>
    <definedName name="IQRC8" hidden="1">"$C$9:$C$261"</definedName>
    <definedName name="last_actual_date">Assumptions!$F$6</definedName>
    <definedName name="periods">Time!$F$8</definedName>
    <definedName name="_xlnm.Print_Area" localSheetId="0">Answers!$A$1:$N$58</definedName>
    <definedName name="_xlnm.Print_Area" localSheetId="5">Assumptions!$B$1:$K$85</definedName>
    <definedName name="_xlnm.Print_Area" localSheetId="1">Calculations!$A$1:$N$62</definedName>
    <definedName name="_xlnm.Print_Area" localSheetId="3">Time!$A$1:$O$45</definedName>
    <definedName name="_xlnm.Print_Area" localSheetId="6">Tmp!$A$1:$O$45</definedName>
    <definedName name="_xlnm.Print_Titles" localSheetId="0">Answers!$1:$4</definedName>
    <definedName name="_xlnm.Print_Titles" localSheetId="5">Assumptions!$1:$7</definedName>
    <definedName name="_xlnm.Print_Titles" localSheetId="1">Calculations!$1:$4</definedName>
    <definedName name="_xlnm.Print_Titles" localSheetId="3">Time!$1:$4</definedName>
    <definedName name="_xlnm.Print_Titles" localSheetId="6">Tmp!$1:$4</definedName>
    <definedName name="start_date">Assumptions!$G$6</definedName>
    <definedName name="topic">"CFM Topic: " &amp; Assumptions!$E$89</definedName>
  </definedName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" i="6" l="1" a="1"/>
  <c r="J46" i="6" a="1"/>
  <c r="J5" i="7" a="1"/>
  <c r="J46" i="7" a="1"/>
  <c r="J47" i="7" a="1"/>
  <c r="J50" i="7" a="1"/>
  <c r="J51" i="7" a="1"/>
  <c r="J52" i="7" a="1"/>
  <c r="H58" i="7"/>
  <c r="J48" i="7" a="1"/>
  <c r="H57" i="7"/>
  <c r="H56" i="7"/>
  <c r="H55" i="7"/>
  <c r="E46" i="7"/>
  <c r="J62" i="6" a="1"/>
  <c r="J42" i="6" a="1"/>
  <c r="E7" i="7" a="1"/>
  <c r="E5" i="7" a="1"/>
  <c r="J7" i="6" a="1"/>
  <c r="J17" i="6" a="1"/>
  <c r="J53" i="6" a="1"/>
  <c r="J55" i="6" a="1"/>
  <c r="J57" i="6" a="1"/>
  <c r="J3" i="7" a="1"/>
  <c r="A2" i="7" a="1"/>
  <c r="A1" i="7" a="1"/>
  <c r="J3" i="6" a="1"/>
  <c r="J10" i="5" a="1"/>
  <c r="J61" i="6" a="1"/>
  <c r="E46" i="6" a="1"/>
  <c r="E42" i="6" a="1"/>
  <c r="E53" i="6" a="1"/>
  <c r="E7" i="6" a="1"/>
  <c r="E57" i="6" a="1"/>
  <c r="E62" i="6" a="1"/>
  <c r="E55" i="6" a="1"/>
  <c r="E92" i="3"/>
  <c r="E61" i="6" a="1"/>
  <c r="I62" i="3" a="1"/>
  <c r="E39" i="6" a="1"/>
  <c r="E17" i="6" a="1"/>
  <c r="J39" i="6" a="1"/>
  <c r="E34" i="6" a="1"/>
  <c r="J34" i="6" a="1"/>
  <c r="J3" i="5" a="1"/>
  <c r="G7" i="1" a="1"/>
  <c r="F6" i="3"/>
  <c r="G6" i="3"/>
  <c r="H6" i="3"/>
  <c r="I6" i="3"/>
  <c r="J6" i="3"/>
  <c r="K6" i="3"/>
  <c r="F8" i="5"/>
  <c r="M10" i="3" a="1"/>
  <c r="M28" i="3" a="1"/>
  <c r="A2" i="6" a="1"/>
  <c r="A1" i="6" a="1"/>
  <c r="F7" i="5"/>
  <c r="A2" i="5" a="1"/>
  <c r="A1" i="5" a="1"/>
  <c r="A2" i="4" a="1"/>
  <c r="A1" i="4" a="1"/>
  <c r="D76" i="3"/>
  <c r="D77" i="3"/>
  <c r="D78" i="3"/>
  <c r="D79" i="3"/>
  <c r="D80" i="3"/>
  <c r="D81" i="3"/>
  <c r="D82" i="3"/>
  <c r="D83" i="3"/>
  <c r="D84" i="3"/>
  <c r="D63" i="3"/>
  <c r="D64" i="3"/>
  <c r="D65" i="3"/>
  <c r="D66" i="3"/>
  <c r="D67" i="3"/>
  <c r="D68" i="3"/>
  <c r="D69" i="3"/>
  <c r="D70" i="3"/>
  <c r="D71" i="3"/>
  <c r="B2" i="3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B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<sst xmlns="http://schemas.openxmlformats.org/spreadsheetml/2006/main" count="1211" uniqueCount="120">
  <si>
    <t>Historical Financials</t>
  </si>
  <si>
    <t>CATEGORY</t>
  </si>
  <si>
    <t>EXPENSE ITEM</t>
  </si>
  <si>
    <t>DATE</t>
  </si>
  <si>
    <t>AMOUNT</t>
  </si>
  <si>
    <t>Revenue</t>
  </si>
  <si>
    <t>Purchases (Cost of Goods)</t>
  </si>
  <si>
    <t>Insurance</t>
  </si>
  <si>
    <t>General Liability Insurance</t>
  </si>
  <si>
    <t>Owner's Health Insurance</t>
  </si>
  <si>
    <t>Professional Liability Insurance</t>
  </si>
  <si>
    <t>Worker's Compensation</t>
  </si>
  <si>
    <t>Wages</t>
  </si>
  <si>
    <t>Employee Benefits</t>
  </si>
  <si>
    <t>Payroll Tax Expenses</t>
  </si>
  <si>
    <t>Salaries - Office Staff</t>
  </si>
  <si>
    <t>Direct Labor</t>
  </si>
  <si>
    <t>Salaries - Inside Sales</t>
  </si>
  <si>
    <t>Salaries - Warehouse</t>
  </si>
  <si>
    <t>Car/Truck Expense</t>
  </si>
  <si>
    <t>Car Lease</t>
  </si>
  <si>
    <t>Gas</t>
  </si>
  <si>
    <t>Insurance-Auto</t>
  </si>
  <si>
    <t>Registration &amp; License</t>
  </si>
  <si>
    <t>Repairs &amp; Maintenance</t>
  </si>
  <si>
    <t>Rent</t>
  </si>
  <si>
    <t>Supplies</t>
  </si>
  <si>
    <t>Marketing Expense</t>
  </si>
  <si>
    <t>Conferences and Seminars</t>
  </si>
  <si>
    <t>Telephone</t>
  </si>
  <si>
    <t>Sales Commission (outside reps)</t>
  </si>
  <si>
    <t>Travel</t>
  </si>
  <si>
    <t>Maintenance/Janitorial</t>
  </si>
  <si>
    <t>Contributions</t>
  </si>
  <si>
    <t>Other Expense</t>
  </si>
  <si>
    <t>Promotional Expense</t>
  </si>
  <si>
    <t>Advertising Expense</t>
  </si>
  <si>
    <t>Dues and Subscriptions</t>
  </si>
  <si>
    <t>Freight Costs</t>
  </si>
  <si>
    <t>Packaging Materials</t>
  </si>
  <si>
    <t>Meals and Entertainment</t>
  </si>
  <si>
    <t>Office Equipment</t>
  </si>
  <si>
    <t>Postage and Delivery</t>
  </si>
  <si>
    <t>Depreciation Expense</t>
  </si>
  <si>
    <t>Repairs</t>
  </si>
  <si>
    <t>Computer Repairs</t>
  </si>
  <si>
    <t>Business License &amp; Fees</t>
  </si>
  <si>
    <t>Utilities</t>
  </si>
  <si>
    <t>Model Driver Mapping</t>
  </si>
  <si>
    <t>Line Item</t>
  </si>
  <si>
    <t>Method</t>
  </si>
  <si>
    <t>Driver</t>
  </si>
  <si>
    <t>Growth</t>
  </si>
  <si>
    <t>n.a.</t>
  </si>
  <si>
    <t>Margin</t>
  </si>
  <si>
    <t>Total Wages</t>
  </si>
  <si>
    <t>$ / Employee</t>
  </si>
  <si>
    <t>Step</t>
  </si>
  <si>
    <t>Growth in Salaries</t>
  </si>
  <si>
    <t>Professional Fees</t>
  </si>
  <si>
    <t>Accounting Fees</t>
  </si>
  <si>
    <t>Legal Fees</t>
  </si>
  <si>
    <t>Payroll Service Fees</t>
  </si>
  <si>
    <t>Growth in Cost per Sqft</t>
  </si>
  <si>
    <t>Employees</t>
  </si>
  <si>
    <t>Office Staff</t>
  </si>
  <si>
    <t>Other Employees</t>
  </si>
  <si>
    <t>Inside Sales</t>
  </si>
  <si>
    <t>Warehouse</t>
  </si>
  <si>
    <t>Square Footage</t>
  </si>
  <si>
    <t>Model Driver Assumptions</t>
  </si>
  <si>
    <t>Assumptions</t>
  </si>
  <si>
    <t>Growth Rates</t>
  </si>
  <si>
    <t>Average Salaries</t>
  </si>
  <si>
    <t>Cost / Sqft</t>
  </si>
  <si>
    <t>Cost / Employee</t>
  </si>
  <si>
    <t>Margins</t>
  </si>
  <si>
    <t xml:space="preserve">Minimum of 1 Office Staff for each </t>
  </si>
  <si>
    <t>Other Staff (Inside Sales &amp; Warehouse)</t>
  </si>
  <si>
    <t>Step Functions</t>
  </si>
  <si>
    <t>FTE</t>
  </si>
  <si>
    <t>If Revenue &gt;=</t>
  </si>
  <si>
    <t>If Total Employees &gt;=</t>
  </si>
  <si>
    <t>Sqft</t>
  </si>
  <si>
    <t>CFM - April 2019 Exam</t>
  </si>
  <si>
    <t>($ mm, unless otherwise noted)</t>
  </si>
  <si>
    <t>TMP SCHEDULE</t>
  </si>
  <si>
    <t>End of Schedule</t>
  </si>
  <si>
    <t>Model timeline and flags</t>
  </si>
  <si>
    <t>date</t>
  </si>
  <si>
    <t>Model periods</t>
  </si>
  <si>
    <t>years</t>
  </si>
  <si>
    <t>Model period end</t>
  </si>
  <si>
    <t>Last actual date</t>
  </si>
  <si>
    <t>CALCULATION SCHEDULE</t>
  </si>
  <si>
    <t>Model technical inputs</t>
  </si>
  <si>
    <t>Company name</t>
  </si>
  <si>
    <t>Powerstill Inc.</t>
  </si>
  <si>
    <t>Topic</t>
  </si>
  <si>
    <t>Costs</t>
  </si>
  <si>
    <t>Growth calculation</t>
  </si>
  <si>
    <t>Unit</t>
  </si>
  <si>
    <t>USD</t>
  </si>
  <si>
    <t>Margin calculation</t>
  </si>
  <si>
    <t>Step calculation</t>
  </si>
  <si>
    <t>Sq ft</t>
  </si>
  <si>
    <t>Sq ft rented</t>
  </si>
  <si>
    <t>sq ft</t>
  </si>
  <si>
    <t>FINANCIAL STATEMENTS</t>
  </si>
  <si>
    <t>Total Costs</t>
  </si>
  <si>
    <t>Operating Profit</t>
  </si>
  <si>
    <t>Operating Margin</t>
  </si>
  <si>
    <t>a)</t>
  </si>
  <si>
    <t xml:space="preserve">What will be the Company’s Total Car/Truck Expense in 2022? </t>
  </si>
  <si>
    <t>b)</t>
  </si>
  <si>
    <t>How many people will the Company employ at the end of fiscal 2021?</t>
  </si>
  <si>
    <t>c)</t>
  </si>
  <si>
    <t>How much Operating Profit will the Company generate in fiscal 2023?</t>
  </si>
  <si>
    <t>d)</t>
  </si>
  <si>
    <t>What will be the Company's Operating Profit Margin in fiscal 2022?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</si>
</sst>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[$-1009]d/mmm/yy;@"/>
    <numFmt numFmtId="165" formatCode="#,##0.0_%_);\(#,##0.0\)_%;&quot;--&quot;_)_%"/>
    <numFmt numFmtId="166" formatCode="0.0%_);\(0.0%\);&quot;--&quot;_)_%"/>
    <numFmt numFmtId="167" formatCode="#,##0_%_);\(#,##0\)_%;&quot;--&quot;_)_%"/>
    <numFmt numFmtId="168" formatCode="#,##0_);\(#,##0\);&quot;-  &quot;;&quot; &quot;@"/>
    <numFmt numFmtId="169" formatCode="0.00%\ ;\-0.00%\ _);&quot;-  &quot;;&quot; &quot;@&quot; &quot;"/>
    <numFmt numFmtId="170" formatCode="#,##0.0000_);\(#,##0.0000\);&quot;-  &quot;;&quot; &quot;@&quot; &quot;"/>
    <numFmt numFmtId="171" formatCode="dd\ mmm\ yyyy_);\(###0\);&quot;-  &quot;;&quot; &quot;@&quot; &quot;"/>
    <numFmt numFmtId="172" formatCode="dd\ mmm\ yy_);\(###0\);&quot;-  &quot;;&quot; &quot;@&quot; &quot;"/>
    <numFmt numFmtId="173" formatCode="###0_);\(###0\);&quot;-  &quot;;&quot; &quot;@&quot; &quot;"/>
  </numFmts>
  <fonts count="17" x14ac:knownFonts="1"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b/>
      <sz val="14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u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b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</borders>
  <cellStyleXfs count="7">
    <xf numFmtId="168" fontId="0" fillId="0" borderId="0" applyFont="0" applyFill="0" applyBorder="0" applyProtection="0">
      <alignment vertical="top"/>
    </xf>
    <xf numFmtId="0" fontId="2" fillId="0" borderId="0"/>
    <xf numFmtId="169" fontId="12" fillId="0" borderId="0" applyFont="0" applyFill="0" applyBorder="0" applyProtection="0">
      <alignment vertical="top"/>
    </xf>
    <xf numFmtId="170" fontId="12" fillId="0" borderId="0" applyFont="0" applyFill="0" applyBorder="0" applyProtection="0">
      <alignment vertical="top"/>
    </xf>
    <xf numFmtId="171" fontId="12" fillId="0" borderId="0" applyFont="0" applyFill="0" applyBorder="0" applyProtection="0">
      <alignment vertical="top"/>
    </xf>
    <xf numFmtId="172" fontId="12" fillId="0" borderId="0" applyFont="0" applyFill="0" applyBorder="0" applyProtection="0">
      <alignment vertical="top"/>
    </xf>
    <xf numFmtId="173" fontId="12" fillId="0" borderId="0" applyFont="0" applyFill="0" applyBorder="0" applyProtection="0">
      <alignment vertical="top"/>
    </xf>
  </cellStyleXfs>
  <cellXfs count="73">
    <xf numFmtId="168" fontId="0" fillId="0" borderId="0" xfId="0">
      <alignment vertical="top"/>
    </xf>
    <xf numFmtId="0" fontId="3" fillId="0" borderId="0" xfId="1" applyFont="1"/>
    <xf numFmtId="0" fontId="2" fillId="0" borderId="0" xfId="1"/>
    <xf numFmtId="0" fontId="4" fillId="0" borderId="0" xfId="1" applyFont="1"/>
    <xf numFmtId="0" fontId="2" fillId="0" borderId="1" xfId="1" applyBorder="1"/>
    <xf numFmtId="0" fontId="5" fillId="0" borderId="2" xfId="1" applyFont="1" applyBorder="1"/>
    <xf numFmtId="0" fontId="2" fillId="0" borderId="2" xfId="1" applyBorder="1"/>
    <xf numFmtId="0" fontId="6" fillId="0" borderId="3" xfId="1" applyFont="1" applyBorder="1"/>
    <xf numFmtId="0" fontId="7" fillId="0" borderId="0" xfId="1" applyFont="1"/>
    <xf numFmtId="164" fontId="7" fillId="0" borderId="0" xfId="1" applyNumberFormat="1" applyFont="1" applyAlignment="1">
      <alignment horizontal="center"/>
    </xf>
    <xf numFmtId="165" fontId="7" fillId="0" borderId="0" xfId="1" applyNumberFormat="1" applyFont="1"/>
    <xf numFmtId="0" fontId="7" fillId="0" borderId="0" xfId="1" applyFont="1" applyAlignment="1">
      <alignment horizontal="left"/>
    </xf>
    <xf numFmtId="165" fontId="8" fillId="0" borderId="0" xfId="1" applyNumberFormat="1" applyFont="1"/>
    <xf numFmtId="0" fontId="9" fillId="0" borderId="0" xfId="1" applyFont="1" applyAlignment="1">
      <alignment horizontal="left"/>
    </xf>
    <xf numFmtId="0" fontId="9" fillId="0" borderId="0" xfId="1" applyFont="1" applyAlignment="1">
      <alignment horizontal="center"/>
    </xf>
    <xf numFmtId="164" fontId="9" fillId="0" borderId="0" xfId="1" applyNumberFormat="1" applyFont="1" applyAlignment="1">
      <alignment horizontal="center"/>
    </xf>
    <xf numFmtId="0" fontId="10" fillId="0" borderId="0" xfId="1" quotePrefix="1" applyFont="1"/>
    <xf numFmtId="164" fontId="2" fillId="0" borderId="0" xfId="1" applyNumberFormat="1" applyAlignment="1">
      <alignment horizontal="center"/>
    </xf>
    <xf numFmtId="0" fontId="11" fillId="2" borderId="0" xfId="1" applyFont="1" applyFill="1"/>
    <xf numFmtId="0" fontId="6" fillId="0" borderId="0" xfId="1" applyFont="1"/>
    <xf numFmtId="166" fontId="7" fillId="0" borderId="0" xfId="1" applyNumberFormat="1" applyFont="1"/>
    <xf numFmtId="0" fontId="2" fillId="0" borderId="0" xfId="1" applyAlignment="1">
      <alignment horizontal="left" indent="1"/>
    </xf>
    <xf numFmtId="0" fontId="2" fillId="0" borderId="0" xfId="1" applyAlignment="1">
      <alignment horizontal="left"/>
    </xf>
    <xf numFmtId="0" fontId="2" fillId="0" borderId="4" xfId="1" applyBorder="1"/>
    <xf numFmtId="0" fontId="2" fillId="0" borderId="5" xfId="1" applyBorder="1"/>
    <xf numFmtId="0" fontId="2" fillId="0" borderId="0" xfId="1" applyAlignment="1">
      <alignment horizontal="right"/>
    </xf>
    <xf numFmtId="167" fontId="7" fillId="0" borderId="0" xfId="1" applyNumberFormat="1" applyFont="1"/>
    <xf numFmtId="0" fontId="2" fillId="0" borderId="3" xfId="1" applyBorder="1" applyAlignment="1">
      <alignment horizontal="centerContinuous"/>
    </xf>
    <xf numFmtId="167" fontId="7" fillId="0" borderId="0" xfId="1" applyNumberFormat="1" applyFont="1" applyAlignment="1">
      <alignment horizontal="left" indent="1"/>
    </xf>
    <xf numFmtId="171" fontId="2" fillId="0" borderId="0" xfId="4" applyFont="1">
      <alignment vertical="top"/>
    </xf>
    <xf numFmtId="168" fontId="2" fillId="0" borderId="0" xfId="0" applyFont="1">
      <alignment vertical="top"/>
    </xf>
    <xf numFmtId="168" fontId="13" fillId="3" borderId="0" xfId="0" applyFont="1" applyFill="1">
      <alignment vertical="top"/>
    </xf>
    <xf numFmtId="168" fontId="0" fillId="4" borderId="0" xfId="0" applyFill="1">
      <alignment vertical="top"/>
    </xf>
    <xf numFmtId="168" fontId="14" fillId="4" borderId="0" xfId="0" applyFont="1" applyFill="1">
      <alignment vertical="top"/>
    </xf>
    <xf numFmtId="164" fontId="9" fillId="5" borderId="6" xfId="1" applyNumberFormat="1" applyFont="1" applyFill="1" applyBorder="1" applyAlignment="1">
      <alignment horizontal="center"/>
    </xf>
    <xf numFmtId="172" fontId="15" fillId="0" borderId="0" xfId="5" applyFont="1">
      <alignment vertical="top"/>
    </xf>
    <xf numFmtId="168" fontId="15" fillId="0" borderId="0" xfId="0" applyFont="1">
      <alignment vertical="top"/>
    </xf>
    <xf numFmtId="171" fontId="13" fillId="3" borderId="0" xfId="4" applyFont="1" applyFill="1">
      <alignment vertical="top"/>
    </xf>
    <xf numFmtId="171" fontId="0" fillId="0" borderId="0" xfId="4" applyFont="1" applyAlignment="1">
      <alignment horizontal="right" vertical="top"/>
    </xf>
    <xf numFmtId="168" fontId="13" fillId="0" borderId="0" xfId="0" applyFont="1" applyFill="1">
      <alignment vertical="top"/>
    </xf>
    <xf numFmtId="0" fontId="2" fillId="4" borderId="0" xfId="1" applyFill="1"/>
    <xf numFmtId="0" fontId="6" fillId="4" borderId="0" xfId="1" applyFont="1" applyFill="1"/>
    <xf numFmtId="0" fontId="2" fillId="5" borderId="6" xfId="1" applyFill="1" applyBorder="1"/>
    <xf numFmtId="0" fontId="2" fillId="5" borderId="7" xfId="1" applyFill="1" applyBorder="1"/>
    <xf numFmtId="169" fontId="2" fillId="0" borderId="0" xfId="2" applyFont="1">
      <alignment vertical="top"/>
    </xf>
    <xf numFmtId="171" fontId="6" fillId="0" borderId="0" xfId="4" applyFont="1">
      <alignment vertical="top"/>
    </xf>
    <xf numFmtId="170" fontId="2" fillId="0" borderId="0" xfId="3" applyFont="1">
      <alignment vertical="top"/>
    </xf>
    <xf numFmtId="170" fontId="1" fillId="0" borderId="0" xfId="3" applyFont="1">
      <alignment vertical="top"/>
    </xf>
    <xf numFmtId="0" fontId="16" fillId="0" borderId="0" xfId="1" quotePrefix="1" applyFont="1"/>
    <xf numFmtId="168" fontId="0" fillId="0" borderId="0" xfId="0" applyFont="1">
      <alignment vertical="top"/>
    </xf>
    <xf numFmtId="168" fontId="14" fillId="0" borderId="0" xfId="0" applyFont="1" applyFill="1">
      <alignment vertical="top"/>
    </xf>
    <xf numFmtId="168" fontId="0" fillId="0" borderId="0" xfId="0" applyFill="1">
      <alignment vertical="top"/>
    </xf>
    <xf numFmtId="169" fontId="0" fillId="0" borderId="0" xfId="2" applyFont="1">
      <alignment vertical="top"/>
    </xf>
    <xf numFmtId="173" fontId="0" fillId="0" borderId="0" xfId="6" applyFont="1">
      <alignment vertical="top"/>
    </xf>
    <xf numFmtId="173" fontId="0" fillId="0" borderId="0" xfId="6" applyFont="1" applyFill="1">
      <alignment vertical="top"/>
    </xf>
    <xf numFmtId="168" fontId="0" fillId="4" borderId="0" xfId="0" applyFont="1" applyFill="1">
      <alignment vertical="top"/>
    </xf>
    <xf numFmtId="169" fontId="0" fillId="4" borderId="0" xfId="2" applyFont="1" applyFill="1">
      <alignment vertical="top"/>
    </xf>
    <xf numFmtId="0" fontId="13" fillId="3" borderId="0" xfId="0" applyNumberFormat="1" applyFont="1" applyFill="1">
      <alignment vertical="top"/>
    </xf>
    <xf numFmtId="0" fontId="0" fillId="4" borderId="0" xfId="0" applyNumberFormat="1" applyFill="1">
      <alignment vertical="top"/>
    </xf>
    <xf numFmtId="0" fontId="0" fillId="0" borderId="0" xfId="0" applyNumberFormat="1" applyFill="1">
      <alignment vertical="top"/>
    </xf>
    <xf numFmtId="0" fontId="0" fillId="0" borderId="0" xfId="1" applyFont="1" applyAlignment="1">
      <alignment horizontal="left"/>
    </xf>
    <xf numFmtId="0" fontId="0" fillId="0" borderId="0" xfId="1" applyFont="1" applyAlignment="1">
      <alignment horizontal="left" indent="1"/>
    </xf>
    <xf numFmtId="0" fontId="0" fillId="4" borderId="0" xfId="1" applyFont="1" applyFill="1" applyAlignment="1">
      <alignment horizontal="left"/>
    </xf>
    <xf numFmtId="0" fontId="0" fillId="0" borderId="0" xfId="0" applyNumberFormat="1">
      <alignment vertical="top"/>
    </xf>
    <xf numFmtId="0" fontId="2" fillId="4" borderId="7" xfId="1" applyFill="1" applyBorder="1"/>
    <xf numFmtId="168" fontId="0" fillId="0" borderId="0" xfId="0" quotePrefix="1" applyAlignment="1">
      <alignment vertical="top" wrapText="1"/>
    </xf>
    <xf numFmtId="172" fontId="13" fillId="3" borderId="0" xfId="5" applyFont="1" applyFill="1">
      <alignment vertical="top"/>
    </xf>
    <xf numFmtId="168" fontId="0" fillId="0" borderId="8" xfId="0" applyBorder="1">
      <alignment vertical="top"/>
    </xf>
    <xf numFmtId="169" fontId="0" fillId="0" borderId="8" xfId="2" applyFont="1" applyBorder="1">
      <alignment vertical="top"/>
    </xf>
    <xf numFmtId="0" fontId="0" fillId="0" borderId="0" xfId="0" applyNumberFormat="1" applyFont="1">
      <alignment vertical="top"/>
    </xf>
    <xf numFmtId="0" fontId="0" fillId="0" borderId="0" xfId="1" applyFont="1"/>
    <xf numFmtId="0" fontId="0" fillId="0" borderId="8" xfId="1" applyFont="1" applyBorder="1"/>
    <xf numFmtId="172" fontId="6" fillId="0" borderId="0" xfId="5" applyFont="1">
      <alignment vertical="top"/>
    </xf>
  </cellXfs>
  <cellStyles count="7">
    <cellStyle name="DateLong" xfId="4" xr:uid="{18683E8D-8E46-4D28-88DA-47B7F7655367}"/>
    <cellStyle name="DateShort" xfId="5" xr:uid="{A6102926-472E-40DC-B2AA-EA2122B96248}"/>
    <cellStyle name="Factor" xfId="3" xr:uid="{AE145853-E342-45CE-AB67-485598D7BF7E}"/>
    <cellStyle name="Normal" xfId="0" builtinId="0" customBuiltin="1"/>
    <cellStyle name="Normal 4" xfId="1" xr:uid="{61E71F63-E223-4DDB-B2DB-0AC3231D3325}"/>
    <cellStyle name="Percent" xfId="2" builtinId="5" customBuiltin="1"/>
    <cellStyle name="Year" xfId="6" xr:uid="{EC9B0115-AF9A-49C9-A6FE-114376DAF49B}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numFmt numFmtId="165" formatCode="#,##0.0_%_);\(#,##0.0\)_%;&quot;--&quot;_)_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numFmt numFmtId="164" formatCode="[$-1009]d/mmm/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921488-E8BA-4B3C-91E8-F03C7FB8FB90}" name="_01_data" displayName="_01_data" ref="B7:E463" totalsRowShown="0" headerRowDxfId="5" headerRowBorderDxfId="4" headerRowCellStyle="Normal 4">
  <autoFilter ref="B7:E463" xr:uid="{49921488-E8BA-4B3C-91E8-F03C7FB8FB90}">
    <filterColumn colId="0" hiddenButton="1"/>
    <filterColumn colId="1" hiddenButton="1"/>
    <filterColumn colId="2" hiddenButton="1"/>
    <filterColumn colId="3" hiddenButton="1"/>
  </autoFilter>
  <tableColumns count="4">
    <tableColumn id="1" xr3:uid="{30165A1C-E4F1-41E9-9E5C-1CEB31CC6381}" name="CATEGORY" dataDxfId="3" dataCellStyle="Normal 4"/>
    <tableColumn id="2" xr3:uid="{D00DD7A4-BB3B-4904-9306-ED0226411F85}" name="EXPENSE ITEM" dataDxfId="2" dataCellStyle="Normal 4"/>
    <tableColumn id="3" xr3:uid="{44AB52D8-37E3-4BC0-9DA0-BB2D1C76CD3D}" name="DATE" dataDxfId="1" dataCellStyle="Normal 4"/>
    <tableColumn id="4" xr3:uid="{F5850770-8172-4C49-B3F3-BE109184A901}" name="AMOUNT" dataDxfId="0" dataCellStyle="Normal 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71EB21A-BC9F-40D7-B95B-7DCD9278CB7F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72f8f0f-db85-4b85-bc3a-d9044c1d2b6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6D17C-E4C7-4377-940B-3528EE74378A}">
  <sheetPr>
    <tabColor theme="4"/>
    <pageSetUpPr fitToPage="1"/>
  </sheetPr>
  <dimension ref="A1:N58"/>
  <sheetViews>
    <sheetView zoomScale="85" zoomScaleNormal="85" workbookViewId="0">
      <pane xSplit="9" ySplit="3" topLeftCell="J4" activePane="bottomRight" state="frozen"/>
      <selection pane="topRight" activeCell="J1" sqref="J1"/>
      <selection pane="bottomLeft" activeCell="A4" sqref="A4"/>
      <selection pane="bottomRight" activeCell="J5" sqref="J5"/>
    </sheetView>
  </sheetViews>
  <sheetFormatPr defaultColWidth="8" defaultRowHeight="13.8" x14ac:dyDescent="0.25"/>
  <cols>
    <col min="1" max="1" width="1.69921875" customWidth="1"/>
    <col min="2" max="4" width="1.59765625" customWidth="1"/>
    <col min="5" max="5" width="32.19921875" style="69" customWidth="1"/>
    <col min="6" max="8" width="11.5" customWidth="1"/>
    <col min="9" max="9" width="1.59765625" customWidth="1"/>
    <col min="10" max="15" width="11.5" customWidth="1"/>
    <col min="16" max="16383" width="8" customWidth="1"/>
  </cols>
  <sheetData>
    <row r="1" spans="1:14" s="39" customFormat="1" x14ac:dyDescent="0.25">
      <c r="A1" s="31" t="str" cm="1">
        <f t="array" ref="A1">company</f>
        <v>Powerstill Inc.</v>
      </c>
      <c r="B1" s="31"/>
      <c r="C1" s="31"/>
      <c r="D1" s="31"/>
      <c r="E1" s="57"/>
      <c r="F1" s="31"/>
      <c r="G1" s="31"/>
      <c r="H1" s="31"/>
      <c r="I1" s="31"/>
      <c r="J1" s="31"/>
      <c r="K1" s="31"/>
      <c r="L1" s="31"/>
      <c r="M1" s="31"/>
      <c r="N1" s="31"/>
    </row>
    <row r="2" spans="1:14" s="39" customFormat="1" x14ac:dyDescent="0.25">
      <c r="A2" s="31" t="str" cm="1">
        <f t="array" ref="A2">topic</f>
        <v>CFM Topic: Costs</v>
      </c>
      <c r="B2" s="31"/>
      <c r="C2" s="31"/>
      <c r="D2" s="31"/>
      <c r="E2" s="57"/>
      <c r="F2" s="31"/>
      <c r="G2" s="31"/>
      <c r="H2" s="31"/>
      <c r="I2" s="31"/>
      <c r="J2" s="31"/>
      <c r="K2" s="31"/>
      <c r="L2" s="31"/>
      <c r="M2" s="31"/>
      <c r="N2" s="31"/>
    </row>
    <row r="3" spans="1:14" s="39" customFormat="1" x14ac:dyDescent="0.25">
      <c r="A3" s="31" t="s">
        <v>108</v>
      </c>
      <c r="B3" s="31"/>
      <c r="C3" s="31"/>
      <c r="D3" s="31"/>
      <c r="E3" s="57"/>
      <c r="F3" s="31"/>
      <c r="G3" s="31"/>
      <c r="H3" s="31"/>
      <c r="I3" s="31"/>
      <c r="J3" s="66" cm="1">
        <f t="array" ref="J3:N3">EOMONTH( last_actual_date, _xlfn.SEQUENCE( 1, periods, 12, 12 ) )</f>
        <v>43830</v>
      </c>
      <c r="K3" s="66">
        <v>44196</v>
      </c>
      <c r="L3" s="66">
        <v>44561</v>
      </c>
      <c r="M3" s="66">
        <v>44926</v>
      </c>
      <c r="N3" s="66">
        <v>45291</v>
      </c>
    </row>
    <row r="5" spans="1:14" x14ac:dyDescent="0.25">
      <c r="E5" s="69" t="str" cm="1">
        <f t="array" ref="E5" xml:space="preserve"> _xlfn.LET(
    _xlpm.accounts,   _xlfn.CHOOSECOLS(_xlfn.ANCHORARRAY( DataPull!$G$7), 2 ),
    _xlpm.rank,       IFERROR( MATCH( _xlpm.accounts, Drivers!$C$9:$C$56, 0 ), MATCH( _xlpm.accounts, Drivers!$B$9:$B$56, 0 ) ),
    _xlfn.TAKE( _xlfn.SORTBY( _xlpm.accounts, _xlpm.rank, 1 ), 1 ) )</f>
        <v>Revenue</v>
      </c>
      <c r="J5" cm="1">
        <f t="array" aca="1" ref="J5:N43" ca="1" xml:space="preserve"> _xlfn.LET(
       _xlpm.date,_xlfn.ANCHORARRAY( Calculations!$J$3),
       _xlpm.account, $E$5:$E$43,
       _xlpm.growth_data, Calculations!$J$7:$N$13,
       _xlpm.growth_rows, Calculations!$E$7:$E$13,
       _xlpm.margin_data, Calculations!$J$17:$N$49,
       _xlpm.margins_rows, Calculations!$E$17:$E$49,
       _xlpm.step_data, _xlfn.VSTACK(_xlfn.ANCHORARRAY( Calculations!J57),_xlfn.ANCHORARRAY( Calculations!J62) ),
       _xlpm.step_rows, _xlfn.VSTACK( Calculations!$E$57:$E$59, Calculations!$E$62 ),
       _xlpm.calculation_data, _xlfn.VSTACK(
                             _xlfn.HSTACK( _xlpm.growth_rows, _xlpm.growth_data ),
                             _xlfn.HSTACK( _xlpm.margins_rows, _xlpm.margin_data ),
                             _xlfn.HSTACK( _xlpm.step_rows, _xlpm.step_data ) ),
       _xlpm.calculation_table, _xlfn._xlws.FILTER( _xlpm.calculation_data, _xlfn.CHOOSECOLS( _xlpm.calculation_data, 1 ) &lt;&gt; "" ),
       _xlfn.IFNA(
            INDEX( _xlfn.DROP( _xlpm.calculation_table,, 1),
                   MATCH( _xlpm.account, _xlfn.CHOOSECOLS( _xlpm.calculation_table, 1 ), 0 ),
                   MATCH( _xlpm.date,_xlfn.ANCHORARRAY( Time!J10), 0 ) ),
            "" ) )</f>
        <v>839.50995830293823</v>
      </c>
      <c r="K5">
        <f ca="1"/>
        <v>881.48545621808523</v>
      </c>
      <c r="L5">
        <f ca="1"/>
        <v>934.37458359117045</v>
      </c>
      <c r="M5">
        <f ca="1"/>
        <v>999.78080444255238</v>
      </c>
      <c r="N5">
        <f ca="1"/>
        <v>1019.7764205314035</v>
      </c>
    </row>
    <row r="6" spans="1:14" x14ac:dyDescent="0.25">
      <c r="D6" s="2"/>
      <c r="E6" s="70"/>
      <c r="J6" t="str">
        <f ca="1"/>
        <v/>
      </c>
      <c r="K6" t="str">
        <f ca="1"/>
        <v/>
      </c>
      <c r="L6" t="str">
        <f ca="1"/>
        <v/>
      </c>
      <c r="M6" t="str">
        <f ca="1"/>
        <v/>
      </c>
      <c r="N6" t="str">
        <f ca="1"/>
        <v/>
      </c>
    </row>
    <row r="7" spans="1:14" x14ac:dyDescent="0.25">
      <c r="D7" s="2"/>
      <c r="E7" s="69" t="str" cm="1">
        <f t="array" ref="E7:E43" xml:space="preserve"> _xlfn.LET(
    _xlpm.accounts,   _xlfn.DROP( _xlfn.CHOOSECOLS(_xlfn.ANCHORARRAY( DataPull!$G$7), 2 ), 1 ),
    _xlpm.rank,       IFERROR( MATCH( _xlpm.accounts, Drivers!$C$9:$C$56, 0 ), MATCH( _xlpm.accounts, Drivers!$B$9:$B$56, 0 ) ),
    _xlfn.DROP( _xlfn.SORTBY( _xlpm.accounts, _xlpm.rank, 1 ),  1 ) )</f>
        <v>Purchases (Cost of Goods)</v>
      </c>
      <c r="J7">
        <f ca="1"/>
        <v>167.90199166058767</v>
      </c>
      <c r="K7">
        <f ca="1"/>
        <v>176.29709124361705</v>
      </c>
      <c r="L7">
        <f ca="1"/>
        <v>205.5624083900575</v>
      </c>
      <c r="M7">
        <f ca="1"/>
        <v>249.9452011106381</v>
      </c>
      <c r="N7">
        <f ca="1"/>
        <v>254.94410513285086</v>
      </c>
    </row>
    <row r="8" spans="1:14" x14ac:dyDescent="0.25">
      <c r="D8" s="2"/>
      <c r="E8" s="70" t="str">
        <v>General Liability Insurance</v>
      </c>
      <c r="J8">
        <f ca="1"/>
        <v>35.339100012789551</v>
      </c>
      <c r="K8">
        <f ca="1"/>
        <v>37.106055013429035</v>
      </c>
      <c r="L8">
        <f ca="1"/>
        <v>39.332418314234779</v>
      </c>
      <c r="M8">
        <f ca="1"/>
        <v>42.085687596231217</v>
      </c>
      <c r="N8">
        <f ca="1"/>
        <v>42.927401348155847</v>
      </c>
    </row>
    <row r="9" spans="1:14" x14ac:dyDescent="0.25">
      <c r="D9" s="2"/>
      <c r="E9" s="70" t="str">
        <v>Owner's Health Insurance</v>
      </c>
      <c r="J9">
        <f ca="1"/>
        <v>62.272052721012031</v>
      </c>
      <c r="K9">
        <f ca="1"/>
        <v>65.385655357062632</v>
      </c>
      <c r="L9">
        <f ca="1"/>
        <v>69.308794678486407</v>
      </c>
      <c r="M9">
        <f ca="1"/>
        <v>74.160410305980449</v>
      </c>
      <c r="N9">
        <f ca="1"/>
        <v>75.643618512100062</v>
      </c>
    </row>
    <row r="10" spans="1:14" x14ac:dyDescent="0.25">
      <c r="D10" s="2"/>
      <c r="E10" s="70" t="str">
        <v>Professional Liability Insurance</v>
      </c>
      <c r="J10">
        <f ca="1"/>
        <v>4.1975497915146915</v>
      </c>
      <c r="K10">
        <f ca="1"/>
        <v>4.4074272810904267</v>
      </c>
      <c r="L10">
        <f ca="1"/>
        <v>4.6718729179558522</v>
      </c>
      <c r="M10">
        <f ca="1"/>
        <v>4.9989040222127619</v>
      </c>
      <c r="N10">
        <f ca="1"/>
        <v>5.0988821026570177</v>
      </c>
    </row>
    <row r="11" spans="1:14" x14ac:dyDescent="0.25">
      <c r="D11" s="2"/>
      <c r="E11" s="70" t="str">
        <v>Worker's Compensation</v>
      </c>
      <c r="J11">
        <f ca="1"/>
        <v>0.57450953323567922</v>
      </c>
      <c r="K11">
        <f ca="1"/>
        <v>0.5859997239003929</v>
      </c>
      <c r="L11">
        <f ca="1"/>
        <v>0.72916092355109796</v>
      </c>
      <c r="M11">
        <f ca="1"/>
        <v>0.74374414202211991</v>
      </c>
      <c r="N11">
        <f ca="1"/>
        <v>0.75861902486256239</v>
      </c>
    </row>
    <row r="12" spans="1:14" x14ac:dyDescent="0.25">
      <c r="D12" s="2"/>
      <c r="E12" s="70" t="str">
        <v>Employee Benefits</v>
      </c>
      <c r="J12" t="str">
        <f ca="1"/>
        <v/>
      </c>
      <c r="K12" t="str">
        <f ca="1"/>
        <v/>
      </c>
      <c r="L12" t="str">
        <f ca="1"/>
        <v/>
      </c>
      <c r="M12" t="str">
        <f ca="1"/>
        <v/>
      </c>
      <c r="N12" t="str">
        <f ca="1"/>
        <v/>
      </c>
    </row>
    <row r="13" spans="1:14" x14ac:dyDescent="0.25">
      <c r="D13" s="2"/>
      <c r="E13" s="70" t="str">
        <v>Payroll Tax Expenses</v>
      </c>
      <c r="J13">
        <f ca="1"/>
        <v>2.8725476661783964</v>
      </c>
      <c r="K13">
        <f ca="1"/>
        <v>2.9299986195019643</v>
      </c>
      <c r="L13">
        <f ca="1"/>
        <v>3.6458046177554899</v>
      </c>
      <c r="M13">
        <f ca="1"/>
        <v>3.7187207101105999</v>
      </c>
      <c r="N13">
        <f ca="1"/>
        <v>3.7930951243128121</v>
      </c>
    </row>
    <row r="14" spans="1:14" x14ac:dyDescent="0.25">
      <c r="D14" s="2"/>
      <c r="E14" s="70" t="str">
        <v>Salaries - Office Staff</v>
      </c>
      <c r="J14">
        <f ca="1"/>
        <v>14.353131932090047</v>
      </c>
      <c r="K14">
        <f ca="1"/>
        <v>14.640194570731849</v>
      </c>
      <c r="L14">
        <f ca="1"/>
        <v>18.446645159122127</v>
      </c>
      <c r="M14">
        <f ca="1"/>
        <v>18.815578062304567</v>
      </c>
      <c r="N14">
        <f ca="1"/>
        <v>19.191889623550662</v>
      </c>
    </row>
    <row r="15" spans="1:14" x14ac:dyDescent="0.25">
      <c r="D15" s="2"/>
      <c r="E15" s="70" t="str">
        <v>Salaries - Inside Sales</v>
      </c>
      <c r="J15">
        <f ca="1"/>
        <v>30.358891265461519</v>
      </c>
      <c r="K15">
        <f ca="1"/>
        <v>30.966069090770748</v>
      </c>
      <c r="L15">
        <f ca="1"/>
        <v>37.902468567103398</v>
      </c>
      <c r="M15">
        <f ca="1"/>
        <v>38.660517938445466</v>
      </c>
      <c r="N15">
        <f ca="1"/>
        <v>39.43372829721438</v>
      </c>
    </row>
    <row r="16" spans="1:14" x14ac:dyDescent="0.25">
      <c r="D16" s="2"/>
      <c r="E16" s="70" t="str">
        <v>Salaries - Warehouse</v>
      </c>
      <c r="J16">
        <f ca="1"/>
        <v>12.738930126016358</v>
      </c>
      <c r="K16">
        <f ca="1"/>
        <v>12.993708728536685</v>
      </c>
      <c r="L16">
        <f ca="1"/>
        <v>16.566978628884275</v>
      </c>
      <c r="M16">
        <f ca="1"/>
        <v>16.898318201461962</v>
      </c>
      <c r="N16">
        <f ca="1"/>
        <v>17.236284565491196</v>
      </c>
    </row>
    <row r="17" spans="4:14" x14ac:dyDescent="0.25">
      <c r="D17" s="2"/>
      <c r="E17" s="70" t="str">
        <v>Car Lease</v>
      </c>
      <c r="J17">
        <f ca="1"/>
        <v>20.987748957573459</v>
      </c>
      <c r="K17">
        <f ca="1"/>
        <v>22.037136405452131</v>
      </c>
      <c r="L17">
        <f ca="1"/>
        <v>23.359364589779261</v>
      </c>
      <c r="M17">
        <f ca="1"/>
        <v>29.993424133276569</v>
      </c>
      <c r="N17">
        <f ca="1"/>
        <v>30.593292615942104</v>
      </c>
    </row>
    <row r="18" spans="4:14" x14ac:dyDescent="0.25">
      <c r="D18" s="2"/>
      <c r="E18" s="70" t="str">
        <v>Gas</v>
      </c>
      <c r="J18">
        <f ca="1"/>
        <v>5.2469372393933646</v>
      </c>
      <c r="K18">
        <f ca="1"/>
        <v>5.5092841013630327</v>
      </c>
      <c r="L18">
        <f ca="1"/>
        <v>5.8398411474448153</v>
      </c>
      <c r="M18">
        <f ca="1"/>
        <v>7.4983560333191424</v>
      </c>
      <c r="N18">
        <f ca="1"/>
        <v>7.6483231539855261</v>
      </c>
    </row>
    <row r="19" spans="4:14" x14ac:dyDescent="0.25">
      <c r="D19" s="2"/>
      <c r="E19" s="70" t="str">
        <v>Insurance-Auto</v>
      </c>
      <c r="J19">
        <f ca="1"/>
        <v>2.6234686196966823</v>
      </c>
      <c r="K19">
        <f ca="1"/>
        <v>2.7546420506815164</v>
      </c>
      <c r="L19">
        <f ca="1"/>
        <v>2.9199205737224077</v>
      </c>
      <c r="M19">
        <f ca="1"/>
        <v>3.7491780166595712</v>
      </c>
      <c r="N19">
        <f ca="1"/>
        <v>3.824161576992763</v>
      </c>
    </row>
    <row r="20" spans="4:14" x14ac:dyDescent="0.25">
      <c r="D20" s="2"/>
      <c r="E20" s="70" t="str">
        <v>Registration &amp; License</v>
      </c>
      <c r="J20">
        <f ca="1"/>
        <v>3.9876723019389573</v>
      </c>
      <c r="K20">
        <f ca="1"/>
        <v>4.187055917035905</v>
      </c>
      <c r="L20">
        <f ca="1"/>
        <v>4.4382792720580593</v>
      </c>
      <c r="M20">
        <f ca="1"/>
        <v>5.6987505853225482</v>
      </c>
      <c r="N20">
        <f ca="1"/>
        <v>5.8127255970289999</v>
      </c>
    </row>
    <row r="21" spans="4:14" x14ac:dyDescent="0.25">
      <c r="D21" s="2"/>
      <c r="E21" s="70" t="str">
        <v>Repairs &amp; Maintenance</v>
      </c>
      <c r="J21">
        <f ca="1"/>
        <v>5.8765697081205692</v>
      </c>
      <c r="K21">
        <f ca="1"/>
        <v>6.170398193526597</v>
      </c>
      <c r="L21">
        <f ca="1"/>
        <v>6.5406220851381942</v>
      </c>
      <c r="M21">
        <f ca="1"/>
        <v>8.3981587573174394</v>
      </c>
      <c r="N21">
        <f ca="1"/>
        <v>8.5661219324637905</v>
      </c>
    </row>
    <row r="22" spans="4:14" x14ac:dyDescent="0.25">
      <c r="D22" s="2"/>
      <c r="E22" s="70" t="str">
        <v>Rent</v>
      </c>
      <c r="J22">
        <f ca="1"/>
        <v>11.604674262468601</v>
      </c>
      <c r="K22">
        <f ca="1"/>
        <v>11.836767747717975</v>
      </c>
      <c r="L22">
        <f ca="1"/>
        <v>12.073503102672332</v>
      </c>
      <c r="M22">
        <f ca="1"/>
        <v>12.31497316472578</v>
      </c>
      <c r="N22">
        <f ca="1"/>
        <v>12.561272628020296</v>
      </c>
    </row>
    <row r="23" spans="4:14" x14ac:dyDescent="0.25">
      <c r="D23" s="2"/>
      <c r="E23" s="70" t="str">
        <v>Supplies</v>
      </c>
      <c r="J23">
        <f ca="1"/>
        <v>20.148238999270518</v>
      </c>
      <c r="K23">
        <f ca="1"/>
        <v>21.155650949234047</v>
      </c>
      <c r="L23">
        <f ca="1"/>
        <v>22.424990006188093</v>
      </c>
      <c r="M23">
        <f ca="1"/>
        <v>23.994739306621259</v>
      </c>
      <c r="N23">
        <f ca="1"/>
        <v>24.474634092753682</v>
      </c>
    </row>
    <row r="24" spans="4:14" x14ac:dyDescent="0.25">
      <c r="D24" s="2"/>
      <c r="E24" s="70" t="str">
        <v>Marketing Expense</v>
      </c>
      <c r="J24">
        <f ca="1"/>
        <v>14.271669291149951</v>
      </c>
      <c r="K24">
        <f ca="1"/>
        <v>14.98525275570745</v>
      </c>
      <c r="L24">
        <f ca="1"/>
        <v>15.884367921049899</v>
      </c>
      <c r="M24">
        <f ca="1"/>
        <v>16.996273675523391</v>
      </c>
      <c r="N24">
        <f ca="1"/>
        <v>17.33619914903386</v>
      </c>
    </row>
    <row r="25" spans="4:14" x14ac:dyDescent="0.25">
      <c r="D25" s="2"/>
      <c r="E25" s="70" t="str">
        <v>Conferences and Seminars</v>
      </c>
      <c r="J25">
        <f ca="1"/>
        <v>0.83950995830293829</v>
      </c>
      <c r="K25">
        <f ca="1"/>
        <v>0.88148545621808527</v>
      </c>
      <c r="L25">
        <f ca="1"/>
        <v>0.93437458359117043</v>
      </c>
      <c r="M25">
        <f ca="1"/>
        <v>0.99978080444255235</v>
      </c>
      <c r="N25">
        <f ca="1"/>
        <v>1.0197764205314035</v>
      </c>
    </row>
    <row r="26" spans="4:14" x14ac:dyDescent="0.25">
      <c r="D26" s="2"/>
      <c r="E26" s="70" t="str">
        <v>Telephone</v>
      </c>
      <c r="J26">
        <f ca="1"/>
        <v>6.7160796664235063</v>
      </c>
      <c r="K26">
        <f ca="1"/>
        <v>7.0518836497446822</v>
      </c>
      <c r="L26">
        <f ca="1"/>
        <v>7.4749966687293634</v>
      </c>
      <c r="M26">
        <f ca="1"/>
        <v>7.9982464355404188</v>
      </c>
      <c r="N26">
        <f ca="1"/>
        <v>8.1582113642512279</v>
      </c>
    </row>
    <row r="27" spans="4:14" x14ac:dyDescent="0.25">
      <c r="D27" s="2"/>
      <c r="E27" s="70" t="str">
        <v>Sales Commission (outside reps)</v>
      </c>
      <c r="J27">
        <f ca="1"/>
        <v>2.5185298749088147</v>
      </c>
      <c r="K27">
        <f ca="1"/>
        <v>2.6444563686542559</v>
      </c>
      <c r="L27">
        <f ca="1"/>
        <v>2.8031237507735116</v>
      </c>
      <c r="M27">
        <f ca="1"/>
        <v>2.9993424133276574</v>
      </c>
      <c r="N27">
        <f ca="1"/>
        <v>3.0593292615942103</v>
      </c>
    </row>
    <row r="28" spans="4:14" x14ac:dyDescent="0.25">
      <c r="D28" s="2"/>
      <c r="E28" s="70" t="str">
        <v>Travel</v>
      </c>
      <c r="J28">
        <f ca="1"/>
        <v>7.5555896247264434</v>
      </c>
      <c r="K28">
        <f ca="1"/>
        <v>7.9333691059627665</v>
      </c>
      <c r="L28">
        <f ca="1"/>
        <v>8.4093712523205326</v>
      </c>
      <c r="M28">
        <f ca="1"/>
        <v>8.9980272399829708</v>
      </c>
      <c r="N28">
        <f ca="1"/>
        <v>9.1779877847826299</v>
      </c>
    </row>
    <row r="29" spans="4:14" x14ac:dyDescent="0.25">
      <c r="D29" s="2"/>
      <c r="E29" s="70" t="str">
        <v>Maintenance/Janitorial</v>
      </c>
      <c r="J29">
        <f ca="1"/>
        <v>1.1604674262468602</v>
      </c>
      <c r="K29">
        <f ca="1"/>
        <v>1.1836767747717976</v>
      </c>
      <c r="L29">
        <f ca="1"/>
        <v>1.2073503102672332</v>
      </c>
      <c r="M29">
        <f ca="1"/>
        <v>1.231497316472578</v>
      </c>
      <c r="N29">
        <f ca="1"/>
        <v>1.2561272628020297</v>
      </c>
    </row>
    <row r="30" spans="4:14" x14ac:dyDescent="0.25">
      <c r="D30" s="2"/>
      <c r="E30" s="70" t="str">
        <v>Contributions</v>
      </c>
      <c r="J30">
        <f ca="1"/>
        <v>6.7160796664235063</v>
      </c>
      <c r="K30">
        <f ca="1"/>
        <v>7.0518836497446822</v>
      </c>
      <c r="L30">
        <f ca="1"/>
        <v>7.4749966687293634</v>
      </c>
      <c r="M30">
        <f ca="1"/>
        <v>7.9982464355404188</v>
      </c>
      <c r="N30">
        <f ca="1"/>
        <v>8.1582113642512279</v>
      </c>
    </row>
    <row r="31" spans="4:14" x14ac:dyDescent="0.25">
      <c r="D31" s="2"/>
      <c r="E31" s="70" t="str">
        <v>Other Expense</v>
      </c>
      <c r="J31">
        <f ca="1"/>
        <v>2.7125587521396541</v>
      </c>
      <c r="K31">
        <f ca="1"/>
        <v>2.8481866897466372</v>
      </c>
      <c r="L31">
        <f ca="1"/>
        <v>3.0190778911314355</v>
      </c>
      <c r="M31">
        <f ca="1"/>
        <v>3.2304133435106364</v>
      </c>
      <c r="N31">
        <f ca="1"/>
        <v>3.2950216103808492</v>
      </c>
    </row>
    <row r="32" spans="4:14" x14ac:dyDescent="0.25">
      <c r="D32" s="2"/>
      <c r="E32" s="70" t="str">
        <v>Promotional Expense</v>
      </c>
      <c r="J32">
        <f ca="1"/>
        <v>0.83950995830293829</v>
      </c>
      <c r="K32">
        <f ca="1"/>
        <v>0.88148545621808527</v>
      </c>
      <c r="L32">
        <f ca="1"/>
        <v>0.93437458359117043</v>
      </c>
      <c r="M32">
        <f ca="1"/>
        <v>0.99978080444255235</v>
      </c>
      <c r="N32">
        <f ca="1"/>
        <v>1.0197764205314035</v>
      </c>
    </row>
    <row r="33" spans="1:14" x14ac:dyDescent="0.25">
      <c r="D33" s="2"/>
      <c r="E33" s="70" t="str">
        <v>Advertising Expense</v>
      </c>
      <c r="J33">
        <f ca="1"/>
        <v>3.6642461454497424</v>
      </c>
      <c r="K33">
        <f ca="1"/>
        <v>3.84745845272223</v>
      </c>
      <c r="L33">
        <f ca="1"/>
        <v>4.0783059598855642</v>
      </c>
      <c r="M33">
        <f ca="1"/>
        <v>4.3637873770775535</v>
      </c>
      <c r="N33">
        <f ca="1"/>
        <v>4.4510631246191048</v>
      </c>
    </row>
    <row r="34" spans="1:14" x14ac:dyDescent="0.25">
      <c r="D34" s="2"/>
      <c r="E34" s="70" t="str">
        <v>Dues and Subscriptions</v>
      </c>
      <c r="J34">
        <f ca="1"/>
        <v>49.088052006262743</v>
      </c>
      <c r="K34">
        <f ca="1"/>
        <v>51.542454606575888</v>
      </c>
      <c r="L34">
        <f ca="1"/>
        <v>54.63500188297045</v>
      </c>
      <c r="M34">
        <f ca="1"/>
        <v>58.459452014778378</v>
      </c>
      <c r="N34">
        <f ca="1"/>
        <v>59.628641055073949</v>
      </c>
    </row>
    <row r="35" spans="1:14" x14ac:dyDescent="0.25">
      <c r="D35" s="2"/>
      <c r="E35" s="70" t="str">
        <v>Freight Costs</v>
      </c>
      <c r="J35">
        <f ca="1"/>
        <v>1.5950689207755828</v>
      </c>
      <c r="K35">
        <f ca="1"/>
        <v>1.6748223668143623</v>
      </c>
      <c r="L35">
        <f ca="1"/>
        <v>1.775311708823224</v>
      </c>
      <c r="M35">
        <f ca="1"/>
        <v>1.8995835284408495</v>
      </c>
      <c r="N35">
        <f ca="1"/>
        <v>1.9375751990096668</v>
      </c>
    </row>
    <row r="36" spans="1:14" x14ac:dyDescent="0.25">
      <c r="D36" s="2"/>
      <c r="E36" s="70" t="str">
        <v>Packaging Materials</v>
      </c>
      <c r="J36">
        <f ca="1"/>
        <v>8.3950995830293831</v>
      </c>
      <c r="K36">
        <f ca="1"/>
        <v>8.8148545621808534</v>
      </c>
      <c r="L36">
        <f ca="1"/>
        <v>9.3437458359117045</v>
      </c>
      <c r="M36">
        <f ca="1"/>
        <v>9.9978080444255237</v>
      </c>
      <c r="N36">
        <f ca="1"/>
        <v>10.197764205314035</v>
      </c>
    </row>
    <row r="37" spans="1:14" x14ac:dyDescent="0.25">
      <c r="D37" s="2"/>
      <c r="E37" s="70" t="str">
        <v>Meals and Entertainment</v>
      </c>
      <c r="J37">
        <f ca="1"/>
        <v>2.2980381329427169</v>
      </c>
      <c r="K37">
        <f ca="1"/>
        <v>2.3439988956015716</v>
      </c>
      <c r="L37">
        <f ca="1"/>
        <v>2.9166436942043918</v>
      </c>
      <c r="M37">
        <f ca="1"/>
        <v>2.9749765680884797</v>
      </c>
      <c r="N37">
        <f ca="1"/>
        <v>3.0344760994502495</v>
      </c>
    </row>
    <row r="38" spans="1:14" x14ac:dyDescent="0.25">
      <c r="D38" s="2"/>
      <c r="E38" s="70" t="str">
        <v>Office Equipment</v>
      </c>
      <c r="J38">
        <f ca="1"/>
        <v>8.1232719837280207</v>
      </c>
      <c r="K38">
        <f ca="1"/>
        <v>8.2857374234025816</v>
      </c>
      <c r="L38">
        <f ca="1"/>
        <v>8.4514521718706312</v>
      </c>
      <c r="M38">
        <f ca="1"/>
        <v>8.620481215308045</v>
      </c>
      <c r="N38">
        <f ca="1"/>
        <v>8.7928908396142074</v>
      </c>
    </row>
    <row r="39" spans="1:14" x14ac:dyDescent="0.25">
      <c r="D39" s="2"/>
      <c r="E39" s="70" t="str">
        <v>Postage and Delivery</v>
      </c>
      <c r="J39">
        <f ca="1"/>
        <v>8.3950995830293831</v>
      </c>
      <c r="K39">
        <f ca="1"/>
        <v>8.8148545621808534</v>
      </c>
      <c r="L39">
        <f ca="1"/>
        <v>9.3437458359117045</v>
      </c>
      <c r="M39">
        <f ca="1"/>
        <v>9.9978080444255237</v>
      </c>
      <c r="N39">
        <f ca="1"/>
        <v>10.197764205314035</v>
      </c>
    </row>
    <row r="40" spans="1:14" x14ac:dyDescent="0.25">
      <c r="D40" s="2"/>
      <c r="E40" s="70" t="str">
        <v>Depreciation Expense</v>
      </c>
      <c r="J40">
        <f ca="1"/>
        <v>71.358346455749754</v>
      </c>
      <c r="K40">
        <f ca="1"/>
        <v>74.926263778537248</v>
      </c>
      <c r="L40">
        <f ca="1"/>
        <v>79.421839605249488</v>
      </c>
      <c r="M40">
        <f ca="1"/>
        <v>84.98136837761696</v>
      </c>
      <c r="N40">
        <f ca="1"/>
        <v>86.680995745169298</v>
      </c>
    </row>
    <row r="41" spans="1:14" x14ac:dyDescent="0.25">
      <c r="D41" s="2"/>
      <c r="E41" s="70" t="str">
        <v>Computer Repairs</v>
      </c>
      <c r="J41">
        <f ca="1"/>
        <v>26.024808707391085</v>
      </c>
      <c r="K41">
        <f ca="1"/>
        <v>27.326049142760642</v>
      </c>
      <c r="L41">
        <f ca="1"/>
        <v>28.965612091326285</v>
      </c>
      <c r="M41">
        <f ca="1"/>
        <v>30.993204937719124</v>
      </c>
      <c r="N41">
        <f ca="1"/>
        <v>31.613069036473508</v>
      </c>
    </row>
    <row r="42" spans="1:14" x14ac:dyDescent="0.25">
      <c r="D42" s="2"/>
      <c r="E42" s="70" t="str">
        <v>Business License &amp; Fees</v>
      </c>
      <c r="J42">
        <f ca="1"/>
        <v>84.46983245383889</v>
      </c>
      <c r="K42">
        <f ca="1"/>
        <v>88.693324076530843</v>
      </c>
      <c r="L42">
        <f ca="1"/>
        <v>94.014923521122711</v>
      </c>
      <c r="M42">
        <f ca="1"/>
        <v>100.5959681676013</v>
      </c>
      <c r="N42">
        <f ca="1"/>
        <v>102.60788753095333</v>
      </c>
    </row>
    <row r="43" spans="1:14" x14ac:dyDescent="0.25">
      <c r="D43" s="2"/>
      <c r="E43" s="70" t="str">
        <v>Utilities</v>
      </c>
      <c r="J43">
        <f ca="1"/>
        <v>2.1468647385566912</v>
      </c>
      <c r="K43">
        <f ca="1"/>
        <v>2.1898020333278252</v>
      </c>
      <c r="L43">
        <f ca="1"/>
        <v>2.2335980739943815</v>
      </c>
      <c r="M43">
        <f ca="1"/>
        <v>2.2782700354742693</v>
      </c>
      <c r="N43">
        <f ca="1"/>
        <v>2.3238354361837548</v>
      </c>
    </row>
    <row r="44" spans="1:14" x14ac:dyDescent="0.25">
      <c r="D44" s="2"/>
      <c r="E44" s="70"/>
    </row>
    <row r="45" spans="1:14" s="51" customFormat="1" x14ac:dyDescent="0.25">
      <c r="A45" s="50"/>
      <c r="D45" s="2"/>
      <c r="E45" s="70"/>
    </row>
    <row r="46" spans="1:14" x14ac:dyDescent="0.25">
      <c r="D46" s="2"/>
      <c r="E46" s="70" t="str">
        <f>E$5</f>
        <v>Revenue</v>
      </c>
      <c r="F46" s="2"/>
      <c r="G46" s="2"/>
      <c r="H46" s="2"/>
      <c r="I46" s="2"/>
      <c r="J46" s="30" cm="1">
        <f t="array" aca="1" ref="J46:N46" ca="1" xml:space="preserve"> _xlfn.CHOOSEROWS(_xlfn.ANCHORARRAY( J5), 1 )</f>
        <v>839.50995830293823</v>
      </c>
      <c r="K46" s="30">
        <f ca="1"/>
        <v>881.48545621808523</v>
      </c>
      <c r="L46" s="30">
        <f ca="1"/>
        <v>934.37458359117045</v>
      </c>
      <c r="M46" s="30">
        <f ca="1"/>
        <v>999.78080444255238</v>
      </c>
      <c r="N46" s="30">
        <f ca="1"/>
        <v>1019.7764205314035</v>
      </c>
    </row>
    <row r="47" spans="1:14" x14ac:dyDescent="0.25">
      <c r="D47" s="2"/>
      <c r="E47" s="70" t="s">
        <v>109</v>
      </c>
      <c r="J47" cm="1">
        <f t="array" aca="1" ref="J47:N47" ca="1">_xlfn.LET(
     _xlpm.anchor, $J$7,
     _xlpm.block, OFFSET( _xlpm.anchor, 0, 0, COUNTA(_xlfn.ANCHORARRAY( E7) ), periods ),
     _xlfn.BYCOL( _xlpm.block, _xleta.SUM ) )</f>
        <v>709.97273772672679</v>
      </c>
      <c r="K47">
        <f ca="1"/>
        <v>742.88443480105525</v>
      </c>
      <c r="L47">
        <f ca="1"/>
        <v>817.08528698560838</v>
      </c>
      <c r="M47">
        <f ca="1"/>
        <v>908.28897886638879</v>
      </c>
      <c r="N47">
        <f ca="1"/>
        <v>926.45475844371651</v>
      </c>
    </row>
    <row r="48" spans="1:14" x14ac:dyDescent="0.25">
      <c r="D48" s="2"/>
      <c r="E48" s="71" t="s">
        <v>110</v>
      </c>
      <c r="F48" s="67"/>
      <c r="G48" s="67"/>
      <c r="H48" s="67"/>
      <c r="I48" s="67"/>
      <c r="J48" s="67" cm="1">
        <f t="array" aca="1" ref="J48:N48" ca="1" xml:space="preserve"> _xlfn.LET(
      _xlpm.revenue,_xlfn.ANCHORARRAY( J46),
      _xlpm.costs,_xlfn.ANCHORARRAY( J47),
      _xlpm.revenue - _xlpm.costs )</f>
        <v>129.53722057621144</v>
      </c>
      <c r="K48" s="67">
        <f ca="1"/>
        <v>138.60102141702998</v>
      </c>
      <c r="L48" s="67">
        <f ca="1"/>
        <v>117.28929660556207</v>
      </c>
      <c r="M48" s="67">
        <f ca="1"/>
        <v>91.491825576163592</v>
      </c>
      <c r="N48" s="67">
        <f ca="1"/>
        <v>93.321662087686946</v>
      </c>
    </row>
    <row r="49" spans="3:14" x14ac:dyDescent="0.25">
      <c r="D49" s="2"/>
      <c r="E49" s="70"/>
    </row>
    <row r="50" spans="3:14" x14ac:dyDescent="0.25">
      <c r="D50" s="2"/>
      <c r="E50" s="70" t="s">
        <v>110</v>
      </c>
      <c r="J50" cm="1">
        <f t="array" aca="1" ref="J50:N50" ca="1" xml:space="preserve"> _xlfn.LET(
      _xlpm.revenue,_xlfn.ANCHORARRAY( J46),
      _xlpm.costs,_xlfn.ANCHORARRAY( J47),
      _xlpm.revenue - _xlpm.costs )</f>
        <v>129.53722057621144</v>
      </c>
      <c r="K50">
        <f ca="1"/>
        <v>138.60102141702998</v>
      </c>
      <c r="L50">
        <f ca="1"/>
        <v>117.28929660556207</v>
      </c>
      <c r="M50">
        <f ca="1"/>
        <v>91.491825576163592</v>
      </c>
      <c r="N50">
        <f ca="1"/>
        <v>93.321662087686946</v>
      </c>
    </row>
    <row r="51" spans="3:14" x14ac:dyDescent="0.25">
      <c r="D51" s="2"/>
      <c r="E51" s="70" t="s">
        <v>5</v>
      </c>
      <c r="J51" cm="1">
        <f t="array" aca="1" ref="J51:N51" ca="1">_xlfn.ANCHORARRAY(J46)</f>
        <v>839.50995830293823</v>
      </c>
      <c r="K51">
        <f ca="1"/>
        <v>881.48545621808523</v>
      </c>
      <c r="L51">
        <f ca="1"/>
        <v>934.37458359117045</v>
      </c>
      <c r="M51">
        <f ca="1"/>
        <v>999.78080444255238</v>
      </c>
      <c r="N51">
        <f ca="1"/>
        <v>1019.7764205314035</v>
      </c>
    </row>
    <row r="52" spans="3:14" x14ac:dyDescent="0.25">
      <c r="D52" s="2"/>
      <c r="E52" s="71" t="s">
        <v>111</v>
      </c>
      <c r="F52" s="67"/>
      <c r="G52" s="67"/>
      <c r="H52" s="67"/>
      <c r="I52" s="67"/>
      <c r="J52" s="68" cm="1">
        <f t="array" aca="1" ref="J52:N52" ca="1" xml:space="preserve"> _xlfn.LET(
      _xlpm.operating_profit,_xlfn.ANCHORARRAY( J50),
      _xlpm.revenue,_xlfn.ANCHORARRAY( J51),
      _xlpm.operating_profit / _xlpm.revenue )</f>
        <v>0.15430099344868969</v>
      </c>
      <c r="K52" s="68">
        <f ca="1"/>
        <v>0.15723574386772321</v>
      </c>
      <c r="L52" s="68">
        <f ca="1"/>
        <v>0.1255270623423563</v>
      </c>
      <c r="M52" s="68">
        <f ca="1"/>
        <v>9.1511884574716026E-2</v>
      </c>
      <c r="N52" s="68">
        <f ca="1"/>
        <v>9.151188457471611E-2</v>
      </c>
    </row>
    <row r="53" spans="3:14" x14ac:dyDescent="0.25">
      <c r="D53" s="2"/>
      <c r="E53" s="70"/>
    </row>
    <row r="55" spans="3:14" x14ac:dyDescent="0.25">
      <c r="C55" t="s">
        <v>112</v>
      </c>
      <c r="E55" s="70" t="s">
        <v>113</v>
      </c>
      <c r="H55">
        <f ca="1">SUM(M17:M21)</f>
        <v>55.33786752589527</v>
      </c>
    </row>
    <row r="56" spans="3:14" x14ac:dyDescent="0.25">
      <c r="C56" t="s">
        <v>114</v>
      </c>
      <c r="E56" s="70" t="s">
        <v>115</v>
      </c>
      <c r="H56">
        <f>SUM(Calculations!L53:L55)</f>
        <v>24.5</v>
      </c>
    </row>
    <row r="57" spans="3:14" x14ac:dyDescent="0.25">
      <c r="C57" t="s">
        <v>116</v>
      </c>
      <c r="E57" s="70" t="s">
        <v>117</v>
      </c>
      <c r="H57">
        <f ca="1">N48</f>
        <v>93.321662087686946</v>
      </c>
    </row>
    <row r="58" spans="3:14" x14ac:dyDescent="0.25">
      <c r="C58" t="s">
        <v>118</v>
      </c>
      <c r="E58" s="70" t="s">
        <v>119</v>
      </c>
      <c r="H58" s="52">
        <f ca="1">M52</f>
        <v>9.1511884574716026E-2</v>
      </c>
    </row>
  </sheetData>
  <printOptions horizontalCentered="1"/>
  <pageMargins left="0.15748031496062992" right="0.15748031496062992" top="0.39370078740157483" bottom="0.39370078740157483" header="0.15748031496062992" footer="0.15748031496062992"/>
  <pageSetup paperSize="9" scale="70" fitToHeight="0" orientation="portrait" r:id="rId1"/>
  <headerFooter>
    <oddFooter>&amp;LFinancial Modeling Institute
CFM October 2026&amp;CPage &amp;P of &amp;N&amp;R&amp;D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2B0EC-5AD4-417E-9627-12F57C1C7695}">
  <sheetPr>
    <pageSetUpPr fitToPage="1"/>
  </sheetPr>
  <dimension ref="A1:T62"/>
  <sheetViews>
    <sheetView tabSelected="1" zoomScale="80" zoomScaleNormal="80" workbookViewId="0">
      <pane xSplit="9" ySplit="3" topLeftCell="N4" activePane="bottomRight" state="frozen"/>
      <selection pane="topRight" activeCell="J1" sqref="J1"/>
      <selection pane="bottomLeft" activeCell="A4" sqref="A4"/>
      <selection pane="bottomRight" activeCell="P7" sqref="P7"/>
    </sheetView>
  </sheetViews>
  <sheetFormatPr defaultColWidth="8" defaultRowHeight="13.8" x14ac:dyDescent="0.25"/>
  <cols>
    <col min="1" max="1" width="1.69921875" customWidth="1"/>
    <col min="2" max="4" width="1.59765625" customWidth="1"/>
    <col min="5" max="5" width="32.19921875" style="63" customWidth="1"/>
    <col min="6" max="6" width="17.19921875" customWidth="1"/>
    <col min="7" max="7" width="20.19921875" bestFit="1" customWidth="1"/>
    <col min="8" max="8" width="12.59765625" customWidth="1"/>
    <col min="9" max="9" width="1.59765625" customWidth="1"/>
    <col min="10" max="14" width="12" bestFit="1" customWidth="1"/>
    <col min="15" max="15" width="11.5" customWidth="1"/>
    <col min="16" max="16" width="12.3984375" customWidth="1"/>
    <col min="17" max="17" width="11.796875" customWidth="1"/>
    <col min="18" max="18" width="14.19921875" customWidth="1"/>
  </cols>
  <sheetData>
    <row r="1" spans="1:20" s="39" customFormat="1" x14ac:dyDescent="0.25">
      <c r="A1" s="31" t="str" cm="1">
        <f t="array" ref="A1">company</f>
        <v>Powerstill Inc.</v>
      </c>
      <c r="B1" s="31"/>
      <c r="C1" s="31"/>
      <c r="D1" s="31"/>
      <c r="E1" s="57"/>
      <c r="F1" s="31"/>
      <c r="G1" s="31"/>
      <c r="H1" s="31"/>
      <c r="I1" s="31"/>
      <c r="J1" s="31"/>
      <c r="K1" s="31"/>
      <c r="L1" s="31"/>
      <c r="M1" s="31"/>
      <c r="N1" s="31"/>
    </row>
    <row r="2" spans="1:20" s="39" customFormat="1" x14ac:dyDescent="0.25">
      <c r="A2" s="31" t="str" cm="1">
        <f t="array" ref="A2">topic</f>
        <v>CFM Topic: Costs</v>
      </c>
      <c r="B2" s="31"/>
      <c r="C2" s="31"/>
      <c r="D2" s="31"/>
      <c r="E2" s="57"/>
      <c r="F2" s="31"/>
      <c r="G2" s="31"/>
      <c r="H2" s="31"/>
      <c r="I2" s="31"/>
      <c r="J2" s="31"/>
      <c r="K2" s="31"/>
      <c r="L2" s="31"/>
      <c r="M2" s="31"/>
      <c r="N2" s="31"/>
    </row>
    <row r="3" spans="1:20" s="39" customFormat="1" x14ac:dyDescent="0.25">
      <c r="A3" s="31" t="s">
        <v>94</v>
      </c>
      <c r="B3" s="31"/>
      <c r="C3" s="31"/>
      <c r="D3" s="31"/>
      <c r="E3" s="57"/>
      <c r="F3" s="31" t="s">
        <v>50</v>
      </c>
      <c r="G3" s="31" t="s">
        <v>51</v>
      </c>
      <c r="H3" s="31" t="s">
        <v>101</v>
      </c>
      <c r="I3" s="31"/>
      <c r="J3" s="37" cm="1">
        <f t="array" ref="J3:N3">EOMONTH( last_actual_date, _xlfn.SEQUENCE( 1, periods, 12, 12 ))</f>
        <v>43830</v>
      </c>
      <c r="K3" s="37">
        <v>44196</v>
      </c>
      <c r="L3" s="37">
        <v>44561</v>
      </c>
      <c r="M3" s="37">
        <v>44926</v>
      </c>
      <c r="N3" s="37">
        <v>45291</v>
      </c>
    </row>
    <row r="5" spans="1:20" x14ac:dyDescent="0.25">
      <c r="A5" s="33" t="s">
        <v>100</v>
      </c>
      <c r="B5" s="32"/>
      <c r="C5" s="32"/>
      <c r="D5" s="33"/>
      <c r="E5" s="58"/>
      <c r="F5" s="32"/>
      <c r="G5" s="32"/>
      <c r="H5" s="32"/>
      <c r="I5" s="32"/>
      <c r="J5" s="32"/>
      <c r="K5" s="32"/>
      <c r="L5" s="32"/>
      <c r="M5" s="32"/>
      <c r="N5" s="32"/>
    </row>
    <row r="6" spans="1:20" s="51" customFormat="1" x14ac:dyDescent="0.25">
      <c r="A6" s="50"/>
      <c r="D6" s="50"/>
      <c r="E6" s="59"/>
    </row>
    <row r="7" spans="1:20" x14ac:dyDescent="0.25">
      <c r="A7" s="49"/>
      <c r="B7" s="49"/>
      <c r="C7" s="49"/>
      <c r="D7" s="49"/>
      <c r="E7" s="60" t="str" cm="1">
        <f t="array" ref="E7:G13" xml:space="preserve"> _xlfn.LET(
      _xlpm.driver_table, _xlfn.CHOOSECOLS( Drivers!$B$7:$F$64,{1,2,4,5} ),
      _xlpm.filter_cols, _xlfn._xlws.FILTER( _xlpm.driver_table, ( INDEX( _xlpm.driver_table,, 3 ) &lt;&gt; 0 ) *
                                           ISNUMBER( SEARCH( "Growth", IFERROR( INDEX( _xlpm.driver_table,, 3), "" ) ) ) *
                                           ISNUMBER( SEARCH( "n.a.", IFERROR( INDEX( _xlpm.driver_table,, 4), "" ) ) )   ),
      _xlpm.merge_cols, IF( INDEX( _xlpm.filter_cols,,2 ) = 0,
                             INDEX( _xlpm.filter_cols,, 1 ),
                             INDEX( _xlpm.filter_cols,, 2 ) ),
      _xlfn.HSTACK( _xlpm.merge_cols, _xlfn.CHOOSECOLS( _xlpm.filter_cols, {3,4} ) ) )</f>
        <v>Revenue</v>
      </c>
      <c r="F7" s="49" t="str">
        <v>Growth</v>
      </c>
      <c r="G7" s="49" t="str">
        <v>n.a.</v>
      </c>
      <c r="H7" s="49" t="s">
        <v>102</v>
      </c>
      <c r="I7" s="49"/>
      <c r="J7" s="49" cm="1">
        <f t="array" ref="J7:N13" xml:space="preserve"> _xlfn.LET(
      _xlpm.last_actual_data, _xlfn.DROP(_xlfn.ANCHORARRAY( DataPull!$G$7), 1 ),
      _xlpm.last_actual_rows, INDEX( _xlpm.last_actual_data,,2),
      _xlpm.last_actual, _xlfn.IFNA( INDEX( _xlpm.last_actual_data, MATCH( $E$7:$E$13, _xlpm.last_actual_rows, 0 ), 3 ), "" ),
      _xlpm.growth_data, Assumptions!$G$11:$K$25,
      _xlpm.growth_rows, Assumptions!$D$11:$D$25,
      _xlpm.growth_factors, _xlfn.CHOOSEROWS( _xlpm.growth_data, MATCH( _xlfn.CHOOSECOLS($E$7, 1 ), _xlpm.growth_rows, 0 ) ),
      _xlpm.compounded_rates, _xlfn.MAKEARRAY( ROWS( _xlpm.growth_factors ), COLUMNS( _xlpm.growth_factors ),
                          _xlfn.LAMBDA(_xlpm.i,_xlpm.j, INDEX( _xlfn.SCAN( 1, INDEX( _xlpm.growth_factors, _xlpm.i, 0 ), _xlfn.LAMBDA(_xlpm.s,_xlpm.c, _xlpm.s * ( 1 + _xlpm.c ) ) ), _xlpm.j ) ) ),
      _xlpm.last_actual * _xlpm.compounded_rates )</f>
        <v>839.50995830293823</v>
      </c>
      <c r="K7" s="49">
        <v>881.48545621808523</v>
      </c>
      <c r="L7" s="49">
        <v>934.37458359117045</v>
      </c>
      <c r="M7" s="49">
        <v>999.78080444255238</v>
      </c>
      <c r="N7" s="49">
        <v>1019.7764205314035</v>
      </c>
      <c r="P7" s="49" cm="1">
        <f t="array" ref="P7:T13" xml:space="preserve"> _xlfn.LET(
      _xlpm.last_actual_data, _xlfn.DROP(_xlfn.ANCHORARRAY( DataPull!$G$7), 1 ),
      _xlpm.last_actual_rows, INDEX( _xlpm.last_actual_data,,2),
      _xlpm.last_actual, _xlfn.IFNA( INDEX( _xlpm.last_actual_data, MATCH( $E$7:$E$13, _xlpm.last_actual_rows, 0 ), 3 ), "" ),
      _xlpm.compound_rates,
      INDEX(_xlfn.ANCHORARRAY( Assumptions!$M$10),
             _xlfn.XMATCH( INDEX(_xlfn.ANCHORARRAY( E7),,1 ), INDEX(_xlfn.ANCHORARRAY(Assumptions!$M$10),,1) ),
             _xlfn.XMATCH(_xlfn.ANCHORARRAY( Calculations!J3), INDEX(_xlfn.ANCHORARRAY(Assumptions!$M$10),1,0) ) ),
      _xlpm.last_actual * _xlpm.compound_rates )</f>
        <v>839.50995830293823</v>
      </c>
      <c r="Q7">
        <v>881.48545621808523</v>
      </c>
      <c r="R7">
        <v>934.37458359117045</v>
      </c>
      <c r="S7">
        <v>999.78080444255238</v>
      </c>
      <c r="T7">
        <v>1019.7764205314035</v>
      </c>
    </row>
    <row r="8" spans="1:20" x14ac:dyDescent="0.25">
      <c r="A8" s="49"/>
      <c r="B8" s="49"/>
      <c r="C8" s="49"/>
      <c r="D8" s="49"/>
      <c r="E8" s="60" t="str">
        <v>General Liability Insurance</v>
      </c>
      <c r="F8" s="49" t="str">
        <v>Growth</v>
      </c>
      <c r="G8" s="49" t="str">
        <v>n.a.</v>
      </c>
      <c r="H8" s="49" t="s">
        <v>102</v>
      </c>
      <c r="I8" s="49"/>
      <c r="J8" s="49">
        <v>35.339100012789551</v>
      </c>
      <c r="K8" s="49">
        <v>37.106055013429035</v>
      </c>
      <c r="L8" s="49">
        <v>39.332418314234779</v>
      </c>
      <c r="M8" s="49">
        <v>42.085687596231217</v>
      </c>
      <c r="N8" s="49">
        <v>42.927401348155847</v>
      </c>
      <c r="P8">
        <v>32.768983648223035</v>
      </c>
      <c r="Q8">
        <v>33.424363321187499</v>
      </c>
      <c r="R8">
        <v>34.092850587611245</v>
      </c>
      <c r="S8">
        <v>34.604243346425406</v>
      </c>
      <c r="T8">
        <v>35.123306996621785</v>
      </c>
    </row>
    <row r="9" spans="1:20" x14ac:dyDescent="0.25">
      <c r="A9" s="49"/>
      <c r="B9" s="49"/>
      <c r="C9" s="49"/>
      <c r="D9" s="49"/>
      <c r="E9" s="60" t="str">
        <v>Owner's Health Insurance</v>
      </c>
      <c r="F9" s="49" t="str">
        <v>Growth</v>
      </c>
      <c r="G9" s="49" t="str">
        <v>n.a.</v>
      </c>
      <c r="H9" s="49" t="s">
        <v>102</v>
      </c>
      <c r="I9" s="49"/>
      <c r="J9" s="49">
        <v>62.272052721012031</v>
      </c>
      <c r="K9" s="49">
        <v>65.385655357062632</v>
      </c>
      <c r="L9" s="49">
        <v>69.308794678486407</v>
      </c>
      <c r="M9" s="49">
        <v>74.160410305980449</v>
      </c>
      <c r="N9" s="49">
        <v>75.643618512100062</v>
      </c>
      <c r="P9">
        <v>57.74317615948388</v>
      </c>
      <c r="Q9">
        <v>58.898039682673556</v>
      </c>
      <c r="R9">
        <v>60.076000476327017</v>
      </c>
      <c r="S9">
        <v>60.977140483471914</v>
      </c>
      <c r="T9">
        <v>61.891797590723989</v>
      </c>
    </row>
    <row r="10" spans="1:20" x14ac:dyDescent="0.25">
      <c r="A10" s="49"/>
      <c r="B10" s="49"/>
      <c r="C10" s="49"/>
      <c r="D10" s="49"/>
      <c r="E10" s="60" t="str">
        <v>Other Expense</v>
      </c>
      <c r="F10" s="49" t="str">
        <v>Growth</v>
      </c>
      <c r="G10" s="49" t="str">
        <v>n.a.</v>
      </c>
      <c r="H10" s="49" t="s">
        <v>102</v>
      </c>
      <c r="I10" s="49"/>
      <c r="J10" s="49">
        <v>2.7125587521396541</v>
      </c>
      <c r="K10" s="49">
        <v>2.8481866897466372</v>
      </c>
      <c r="L10" s="49">
        <v>3.0190778911314355</v>
      </c>
      <c r="M10" s="49">
        <v>3.2304133435106364</v>
      </c>
      <c r="N10" s="49">
        <v>3.2950216103808492</v>
      </c>
      <c r="P10">
        <v>2.4782923144548654</v>
      </c>
      <c r="Q10">
        <v>2.4906837760271392</v>
      </c>
      <c r="R10">
        <v>2.5031371949072745</v>
      </c>
      <c r="S10">
        <v>2.5156528808818108</v>
      </c>
      <c r="T10">
        <v>2.5282311452862194</v>
      </c>
    </row>
    <row r="11" spans="1:20" x14ac:dyDescent="0.25">
      <c r="A11" s="49"/>
      <c r="B11" s="49"/>
      <c r="C11" s="49"/>
      <c r="D11" s="49"/>
      <c r="E11" s="60" t="str">
        <v>Advertising Expense</v>
      </c>
      <c r="F11" s="49" t="str">
        <v>Growth</v>
      </c>
      <c r="G11" s="49" t="str">
        <v>n.a.</v>
      </c>
      <c r="H11" s="49" t="s">
        <v>102</v>
      </c>
      <c r="I11" s="49"/>
      <c r="J11" s="49">
        <v>3.6642461454497424</v>
      </c>
      <c r="K11" s="49">
        <v>3.84745845272223</v>
      </c>
      <c r="L11" s="49">
        <v>4.0783059598855642</v>
      </c>
      <c r="M11" s="49">
        <v>4.3637873770775535</v>
      </c>
      <c r="N11" s="49">
        <v>4.4510631246191048</v>
      </c>
      <c r="P11">
        <v>3.4144111809872593</v>
      </c>
      <c r="Q11">
        <v>3.4997714605119405</v>
      </c>
      <c r="R11">
        <v>3.5872657470247389</v>
      </c>
      <c r="S11">
        <v>3.6769473907003571</v>
      </c>
      <c r="T11">
        <v>3.7688710754678656</v>
      </c>
    </row>
    <row r="12" spans="1:20" x14ac:dyDescent="0.25">
      <c r="A12" s="49"/>
      <c r="B12" s="49"/>
      <c r="C12" s="49"/>
      <c r="D12" s="49"/>
      <c r="E12" s="60" t="str">
        <v>Dues and Subscriptions</v>
      </c>
      <c r="F12" s="49" t="str">
        <v>Growth</v>
      </c>
      <c r="G12" s="49" t="str">
        <v>n.a.</v>
      </c>
      <c r="H12" s="49" t="s">
        <v>102</v>
      </c>
      <c r="I12" s="49"/>
      <c r="J12" s="49">
        <v>49.088052006262743</v>
      </c>
      <c r="K12" s="49">
        <v>51.542454606575888</v>
      </c>
      <c r="L12" s="49">
        <v>54.63500188297045</v>
      </c>
      <c r="M12" s="49">
        <v>58.459452014778378</v>
      </c>
      <c r="N12" s="49">
        <v>59.628641055073949</v>
      </c>
      <c r="P12">
        <v>45.964266878591474</v>
      </c>
      <c r="Q12">
        <v>47.34319488494922</v>
      </c>
      <c r="R12">
        <v>48.763490731497697</v>
      </c>
      <c r="S12">
        <v>50.226395453442635</v>
      </c>
      <c r="T12">
        <v>51.73318731704591</v>
      </c>
    </row>
    <row r="13" spans="1:20" x14ac:dyDescent="0.25">
      <c r="A13" s="49"/>
      <c r="B13" s="49"/>
      <c r="C13" s="49"/>
      <c r="D13" s="49"/>
      <c r="E13" s="60" t="str">
        <v>Business License &amp; Fees</v>
      </c>
      <c r="F13" s="49" t="str">
        <v>Growth</v>
      </c>
      <c r="G13" s="49" t="str">
        <v>n.a.</v>
      </c>
      <c r="H13" s="49" t="s">
        <v>102</v>
      </c>
      <c r="I13" s="49"/>
      <c r="J13" s="49">
        <v>84.46983245383889</v>
      </c>
      <c r="K13" s="49">
        <v>88.693324076530843</v>
      </c>
      <c r="L13" s="49">
        <v>94.014923521122711</v>
      </c>
      <c r="M13" s="49">
        <v>100.5959681676013</v>
      </c>
      <c r="N13" s="49">
        <v>102.60788753095333</v>
      </c>
      <c r="P13">
        <v>78.32657191174151</v>
      </c>
      <c r="Q13">
        <v>79.893103349976343</v>
      </c>
      <c r="R13">
        <v>81.490965416975854</v>
      </c>
      <c r="S13">
        <v>83.120784725315374</v>
      </c>
      <c r="T13">
        <v>84.783200419821696</v>
      </c>
    </row>
    <row r="14" spans="1:20" x14ac:dyDescent="0.25">
      <c r="A14" s="49"/>
      <c r="B14" s="49"/>
      <c r="C14" s="49"/>
      <c r="D14" s="49"/>
      <c r="E14" s="61"/>
      <c r="F14" s="49"/>
      <c r="G14" s="49"/>
      <c r="H14" s="49"/>
      <c r="I14" s="49"/>
      <c r="J14" s="49"/>
      <c r="K14" s="49"/>
      <c r="L14" s="49"/>
      <c r="M14" s="49"/>
      <c r="N14" s="49"/>
    </row>
    <row r="15" spans="1:20" x14ac:dyDescent="0.25">
      <c r="A15" s="33" t="s">
        <v>103</v>
      </c>
      <c r="B15" s="32"/>
      <c r="C15" s="32"/>
      <c r="D15" s="32"/>
      <c r="E15" s="58"/>
      <c r="F15" s="32"/>
      <c r="G15" s="32"/>
      <c r="H15" s="32"/>
      <c r="I15" s="32"/>
      <c r="J15" s="32"/>
      <c r="K15" s="32"/>
      <c r="L15" s="32"/>
      <c r="M15" s="32"/>
      <c r="N15" s="32"/>
    </row>
    <row r="17" spans="5:14" x14ac:dyDescent="0.25">
      <c r="E17" s="60" t="str" cm="1">
        <f t="array" ref="E17:G32" xml:space="preserve"> _xlfn.LET(
      _xlpm.driver_table, _xlfn.CHOOSECOLS( Drivers!$B$7:$F$64,{1,2,4,5} ),
      _xlpm.filter_cols, _xlfn._xlws.FILTER( _xlpm.driver_table, ( INDEX( _xlpm.driver_table,, 3 ) &lt;&gt; 0 ) *
                                           ISNUMBER( SEARCH( "Margin", IFERROR( INDEX( _xlpm.driver_table,, 3), "" ) ) ) *
                                           ISNUMBER( SEARCH( "Revenue", IFERROR( INDEX( _xlpm.driver_table,, 4), "" ) ) )   ),
      _xlpm.merge_cols, IF( INDEX( _xlpm.filter_cols,,2 ) = 0,
                             INDEX( _xlpm.filter_cols,, 1 ),
                             INDEX( _xlpm.filter_cols,, 2 ) ),
      _xlfn.HSTACK( _xlpm.merge_cols, _xlfn.CHOOSECOLS( _xlpm.filter_cols, {3,4} ) ) )</f>
        <v>Purchases (Cost of Goods)</v>
      </c>
      <c r="F17" t="str">
        <v>Margin</v>
      </c>
      <c r="G17" s="49" t="str">
        <v>Revenue</v>
      </c>
      <c r="H17" s="49" t="s">
        <v>102</v>
      </c>
      <c r="J17" s="49" cm="1">
        <f t="array" ref="J17:N32" xml:space="preserve"> _xlfn.LET(
      _xlpm.current_account, _xlfn.CHOOSECOLS(_xlfn.ANCHORARRAY( $E$17), 1),
      _xlpm.margin_data, Assumptions!$G$29:$K$54,
      _xlpm.margin_rows, Assumptions!$D$29:$D$54,
      _xlpm.margin_columns, Assumptions!$G$6:$K$6,
      _xlpm.margin, INDEX( _xlpm.margin_data, MATCH( _xlpm.current_account, _xlpm.margin_rows, 0 ), MATCH(_xlfn.ANCHORARRAY( J$3), _xlpm.margin_columns, 0 ) ),
      _xlpm.current_driver, _xlfn.CHOOSECOLS(_xlfn.ANCHORARRAY( $E$17), 3),
      _xlpm.driver_data,_xlfn.ANCHORARRAY( $J$7),
      _xlpm.driver_rows, $E$7:$E$13,
      _xlpm.driver_columns,_xlfn.ANCHORARRAY( Time!J$10),
      _xlpm.driver, INDEX( _xlpm.driver_data, MATCH( _xlpm.current_driver, _xlpm.driver_rows, 0 ), MATCH(_xlfn.ANCHORARRAY( J$3), _xlpm.driver_columns, 0 ) ),
      _xlfn.IFNA( _xlpm.driver * _xlpm.margin, 0 ) )</f>
        <v>167.90199166058767</v>
      </c>
      <c r="K17" s="49">
        <v>176.29709124361705</v>
      </c>
      <c r="L17" s="49">
        <v>205.5624083900575</v>
      </c>
      <c r="M17" s="49">
        <v>249.9452011106381</v>
      </c>
      <c r="N17" s="49">
        <v>254.94410513285086</v>
      </c>
    </row>
    <row r="18" spans="5:14" x14ac:dyDescent="0.25">
      <c r="E18" s="60" t="str">
        <v>Professional Liability Insurance</v>
      </c>
      <c r="F18" t="str">
        <v>Margin</v>
      </c>
      <c r="G18" s="49" t="str">
        <v>Revenue</v>
      </c>
      <c r="H18" s="49" t="s">
        <v>102</v>
      </c>
      <c r="J18" s="49">
        <v>4.1975497915146915</v>
      </c>
      <c r="K18" s="49">
        <v>4.4074272810904267</v>
      </c>
      <c r="L18" s="49">
        <v>4.6718729179558522</v>
      </c>
      <c r="M18" s="49">
        <v>4.9989040222127619</v>
      </c>
      <c r="N18" s="49">
        <v>5.0988821026570177</v>
      </c>
    </row>
    <row r="19" spans="5:14" x14ac:dyDescent="0.25">
      <c r="E19" s="60" t="str">
        <v>Car Lease</v>
      </c>
      <c r="F19" t="str">
        <v>Margin</v>
      </c>
      <c r="G19" s="49" t="str">
        <v>Revenue</v>
      </c>
      <c r="H19" s="49" t="s">
        <v>102</v>
      </c>
      <c r="J19" s="49">
        <v>20.987748957573459</v>
      </c>
      <c r="K19" s="49">
        <v>22.037136405452131</v>
      </c>
      <c r="L19" s="49">
        <v>23.359364589779261</v>
      </c>
      <c r="M19" s="49">
        <v>29.993424133276569</v>
      </c>
      <c r="N19" s="49">
        <v>30.593292615942104</v>
      </c>
    </row>
    <row r="20" spans="5:14" x14ac:dyDescent="0.25">
      <c r="E20" s="60" t="str">
        <v>Accounting Fees</v>
      </c>
      <c r="F20" t="str">
        <v>Margin</v>
      </c>
      <c r="G20" s="49" t="str">
        <v>Revenue</v>
      </c>
      <c r="H20" s="49" t="s">
        <v>102</v>
      </c>
      <c r="J20" s="49">
        <v>0</v>
      </c>
      <c r="K20" s="49">
        <v>0</v>
      </c>
      <c r="L20" s="49">
        <v>0</v>
      </c>
      <c r="M20" s="49">
        <v>0</v>
      </c>
      <c r="N20" s="49">
        <v>0</v>
      </c>
    </row>
    <row r="21" spans="5:14" x14ac:dyDescent="0.25">
      <c r="E21" s="60" t="str">
        <v>Legal Fees</v>
      </c>
      <c r="F21" t="str">
        <v>Margin</v>
      </c>
      <c r="G21" s="49" t="str">
        <v>Revenue</v>
      </c>
      <c r="H21" s="49" t="s">
        <v>102</v>
      </c>
      <c r="J21" s="49">
        <v>0</v>
      </c>
      <c r="K21" s="49">
        <v>0</v>
      </c>
      <c r="L21" s="49">
        <v>0</v>
      </c>
      <c r="M21" s="49">
        <v>0</v>
      </c>
      <c r="N21" s="49">
        <v>0</v>
      </c>
    </row>
    <row r="22" spans="5:14" x14ac:dyDescent="0.25">
      <c r="E22" s="60" t="str">
        <v>Supplies</v>
      </c>
      <c r="F22" t="str">
        <v>Margin</v>
      </c>
      <c r="G22" s="49" t="str">
        <v>Revenue</v>
      </c>
      <c r="H22" s="49" t="s">
        <v>102</v>
      </c>
      <c r="J22" s="49">
        <v>20.148238999270518</v>
      </c>
      <c r="K22" s="49">
        <v>21.155650949234047</v>
      </c>
      <c r="L22" s="49">
        <v>22.424990006188093</v>
      </c>
      <c r="M22" s="49">
        <v>23.994739306621259</v>
      </c>
      <c r="N22" s="49">
        <v>24.474634092753682</v>
      </c>
    </row>
    <row r="23" spans="5:14" x14ac:dyDescent="0.25">
      <c r="E23" s="60" t="str">
        <v>Marketing Expense</v>
      </c>
      <c r="F23" t="str">
        <v>Margin</v>
      </c>
      <c r="G23" s="49" t="str">
        <v>Revenue</v>
      </c>
      <c r="H23" s="49" t="s">
        <v>102</v>
      </c>
      <c r="J23" s="49">
        <v>14.271669291149951</v>
      </c>
      <c r="K23" s="49">
        <v>14.98525275570745</v>
      </c>
      <c r="L23" s="49">
        <v>15.884367921049899</v>
      </c>
      <c r="M23" s="49">
        <v>16.996273675523391</v>
      </c>
      <c r="N23" s="49">
        <v>17.33619914903386</v>
      </c>
    </row>
    <row r="24" spans="5:14" x14ac:dyDescent="0.25">
      <c r="E24" s="60" t="str">
        <v>Conferences and Seminars</v>
      </c>
      <c r="F24" t="str">
        <v>Margin</v>
      </c>
      <c r="G24" s="49" t="str">
        <v>Revenue</v>
      </c>
      <c r="H24" s="49" t="s">
        <v>102</v>
      </c>
      <c r="J24" s="49">
        <v>0.83950995830293829</v>
      </c>
      <c r="K24" s="49">
        <v>0.88148545621808527</v>
      </c>
      <c r="L24" s="49">
        <v>0.93437458359117043</v>
      </c>
      <c r="M24" s="49">
        <v>0.99978080444255235</v>
      </c>
      <c r="N24" s="49">
        <v>1.0197764205314035</v>
      </c>
    </row>
    <row r="25" spans="5:14" x14ac:dyDescent="0.25">
      <c r="E25" s="60" t="str">
        <v>Telephone</v>
      </c>
      <c r="F25" t="str">
        <v>Margin</v>
      </c>
      <c r="G25" s="49" t="str">
        <v>Revenue</v>
      </c>
      <c r="H25" s="49" t="s">
        <v>102</v>
      </c>
      <c r="J25" s="49">
        <v>6.7160796664235063</v>
      </c>
      <c r="K25" s="49">
        <v>7.0518836497446822</v>
      </c>
      <c r="L25" s="49">
        <v>7.4749966687293634</v>
      </c>
      <c r="M25" s="49">
        <v>7.9982464355404188</v>
      </c>
      <c r="N25" s="49">
        <v>8.1582113642512279</v>
      </c>
    </row>
    <row r="26" spans="5:14" x14ac:dyDescent="0.25">
      <c r="E26" s="60" t="str">
        <v>Sales Commission (outside reps)</v>
      </c>
      <c r="F26" t="str">
        <v>Margin</v>
      </c>
      <c r="G26" s="49" t="str">
        <v>Revenue</v>
      </c>
      <c r="H26" s="49" t="s">
        <v>102</v>
      </c>
      <c r="J26" s="49">
        <v>2.5185298749088147</v>
      </c>
      <c r="K26" s="49">
        <v>2.6444563686542559</v>
      </c>
      <c r="L26" s="49">
        <v>2.8031237507735116</v>
      </c>
      <c r="M26" s="49">
        <v>2.9993424133276574</v>
      </c>
      <c r="N26" s="49">
        <v>3.0593292615942103</v>
      </c>
    </row>
    <row r="27" spans="5:14" x14ac:dyDescent="0.25">
      <c r="E27" s="60" t="str">
        <v>Travel</v>
      </c>
      <c r="F27" t="str">
        <v>Margin</v>
      </c>
      <c r="G27" s="49" t="str">
        <v>Revenue</v>
      </c>
      <c r="H27" s="49" t="s">
        <v>102</v>
      </c>
      <c r="J27" s="49">
        <v>7.5555896247264434</v>
      </c>
      <c r="K27" s="49">
        <v>7.9333691059627665</v>
      </c>
      <c r="L27" s="49">
        <v>8.4093712523205326</v>
      </c>
      <c r="M27" s="49">
        <v>8.9980272399829708</v>
      </c>
      <c r="N27" s="49">
        <v>9.1779877847826299</v>
      </c>
    </row>
    <row r="28" spans="5:14" x14ac:dyDescent="0.25">
      <c r="E28" s="60" t="str">
        <v>Contributions</v>
      </c>
      <c r="F28" t="str">
        <v>Margin</v>
      </c>
      <c r="G28" s="49" t="str">
        <v>Revenue</v>
      </c>
      <c r="H28" s="49" t="s">
        <v>102</v>
      </c>
      <c r="J28" s="49">
        <v>6.7160796664235063</v>
      </c>
      <c r="K28" s="49">
        <v>7.0518836497446822</v>
      </c>
      <c r="L28" s="49">
        <v>7.4749966687293634</v>
      </c>
      <c r="M28" s="49">
        <v>7.9982464355404188</v>
      </c>
      <c r="N28" s="49">
        <v>8.1582113642512279</v>
      </c>
    </row>
    <row r="29" spans="5:14" x14ac:dyDescent="0.25">
      <c r="E29" s="60" t="str">
        <v>Promotional Expense</v>
      </c>
      <c r="F29" t="str">
        <v>Margin</v>
      </c>
      <c r="G29" s="49" t="str">
        <v>Revenue</v>
      </c>
      <c r="H29" s="49" t="s">
        <v>102</v>
      </c>
      <c r="J29" s="49">
        <v>0.83950995830293829</v>
      </c>
      <c r="K29" s="49">
        <v>0.88148545621808527</v>
      </c>
      <c r="L29" s="49">
        <v>0.93437458359117043</v>
      </c>
      <c r="M29" s="49">
        <v>0.99978080444255235</v>
      </c>
      <c r="N29" s="49">
        <v>1.0197764205314035</v>
      </c>
    </row>
    <row r="30" spans="5:14" x14ac:dyDescent="0.25">
      <c r="E30" s="60" t="str">
        <v>Packaging Materials</v>
      </c>
      <c r="F30" t="str">
        <v>Margin</v>
      </c>
      <c r="G30" s="49" t="str">
        <v>Revenue</v>
      </c>
      <c r="H30" s="49" t="s">
        <v>102</v>
      </c>
      <c r="J30" s="49">
        <v>8.3950995830293831</v>
      </c>
      <c r="K30" s="49">
        <v>8.8148545621808534</v>
      </c>
      <c r="L30" s="49">
        <v>9.3437458359117045</v>
      </c>
      <c r="M30" s="49">
        <v>9.9978080444255237</v>
      </c>
      <c r="N30" s="49">
        <v>10.197764205314035</v>
      </c>
    </row>
    <row r="31" spans="5:14" x14ac:dyDescent="0.25">
      <c r="E31" s="60" t="str">
        <v>Depreciation Expense</v>
      </c>
      <c r="F31" t="str">
        <v>Margin</v>
      </c>
      <c r="G31" s="49" t="str">
        <v>Revenue</v>
      </c>
      <c r="H31" s="49" t="s">
        <v>102</v>
      </c>
      <c r="J31" s="49">
        <v>71.358346455749754</v>
      </c>
      <c r="K31" s="49">
        <v>74.926263778537248</v>
      </c>
      <c r="L31" s="49">
        <v>79.421839605249488</v>
      </c>
      <c r="M31" s="49">
        <v>84.98136837761696</v>
      </c>
      <c r="N31" s="49">
        <v>86.680995745169298</v>
      </c>
    </row>
    <row r="32" spans="5:14" x14ac:dyDescent="0.25">
      <c r="E32" s="60" t="str">
        <v>Computer Repairs</v>
      </c>
      <c r="F32" t="str">
        <v>Margin</v>
      </c>
      <c r="G32" s="49" t="str">
        <v>Revenue</v>
      </c>
      <c r="H32" s="49" t="s">
        <v>102</v>
      </c>
      <c r="J32" s="49">
        <v>26.024808707391085</v>
      </c>
      <c r="K32" s="49">
        <v>27.326049142760642</v>
      </c>
      <c r="L32" s="49">
        <v>28.965612091326285</v>
      </c>
      <c r="M32" s="49">
        <v>30.993204937719124</v>
      </c>
      <c r="N32" s="49">
        <v>31.613069036473508</v>
      </c>
    </row>
    <row r="33" spans="1:16" x14ac:dyDescent="0.25">
      <c r="E33" s="60"/>
      <c r="J33" s="52"/>
      <c r="K33" s="52"/>
      <c r="L33" s="52"/>
      <c r="M33" s="52"/>
      <c r="N33" s="52"/>
    </row>
    <row r="34" spans="1:16" s="51" customFormat="1" x14ac:dyDescent="0.25">
      <c r="A34" s="50"/>
      <c r="E34" s="60" t="str" cm="1">
        <f t="array" ref="E34:G37" xml:space="preserve"> _xlfn.LET(
      _xlpm.driver_table, _xlfn.CHOOSECOLS( Drivers!$B$7:$F$64,{1,2,4,5} ),
      _xlpm.filter_cols, _xlfn._xlws.FILTER( _xlpm.driver_table, ( INDEX( _xlpm.driver_table,, 3 ) &lt;&gt; 0 ) *
                                           ISNUMBER( SEARCH( "Margin", IFERROR( INDEX( _xlpm.driver_table,, 3), "" ) ) ) *
                                           ISNUMBER( SEARCH( "Car Lease", IFERROR( INDEX( _xlpm.driver_table,, 4), "" ) ) )   ),
      _xlpm.merge_cols, IF( INDEX( _xlpm.filter_cols,,2 ) = 0,
                             INDEX( _xlpm.filter_cols,, 1 ),
                             INDEX( _xlpm.filter_cols,, 2 ) ),
      _xlfn.HSTACK( _xlpm.merge_cols, _xlfn.CHOOSECOLS( _xlpm.filter_cols, {3,4} ) ) )</f>
        <v>Gas</v>
      </c>
      <c r="F34" s="51" t="str">
        <v>Margin</v>
      </c>
      <c r="G34" s="49" t="str">
        <v>Car Lease</v>
      </c>
      <c r="H34" s="49" t="s">
        <v>102</v>
      </c>
      <c r="J34" s="53" cm="1">
        <f t="array" ref="J34:N37" xml:space="preserve"> _xlfn.LET(
      _xlpm.current_account, _xlfn.CHOOSECOLS(_xlfn.ANCHORARRAY( E34), 1),
      _xlpm.margin_data, Assumptions!$G$29:$K$54,
      _xlpm.margin_rows, Assumptions!$D$29:$D$54,
      _xlpm.margin_columns, Assumptions!$G$6:$K$6,
      _xlpm.margin, INDEX( _xlpm.margin_data, MATCH( _xlpm.current_account, _xlpm.margin_rows, 0 ), MATCH(_xlfn.ANCHORARRAY( J$3), _xlpm.margin_columns, 0 ) ),
      _xlpm.current_driver, _xlfn.CHOOSECOLS(_xlfn.ANCHORARRAY( E34), 3),
      _xlpm.driver_data,_xlfn.ANCHORARRAY( $J$17),
      _xlpm.driver_rows, $E$17:$E$32,
      _xlpm.driver_columns,_xlfn.ANCHORARRAY( Time!J$10),
      _xlpm.driver, INDEX( _xlpm.driver_data, MATCH( _xlpm.current_driver, _xlpm.driver_rows, 0 ), MATCH(_xlfn.ANCHORARRAY( J$3), _xlpm.driver_columns, 0 ) ),
      _xlfn.IFNA( _xlpm.driver * _xlpm.margin, 0 ) )</f>
        <v>5.2469372393933646</v>
      </c>
      <c r="K34" s="54">
        <v>5.5092841013630327</v>
      </c>
      <c r="L34" s="54">
        <v>5.8398411474448153</v>
      </c>
      <c r="M34" s="54">
        <v>7.4983560333191424</v>
      </c>
      <c r="N34" s="54">
        <v>7.6483231539855261</v>
      </c>
    </row>
    <row r="35" spans="1:16" x14ac:dyDescent="0.25">
      <c r="E35" s="60" t="str">
        <v>Insurance-Auto</v>
      </c>
      <c r="F35" t="str">
        <v>Margin</v>
      </c>
      <c r="G35" s="49" t="str">
        <v>Car Lease</v>
      </c>
      <c r="H35" s="49" t="s">
        <v>102</v>
      </c>
      <c r="J35" s="53">
        <v>2.6234686196966823</v>
      </c>
      <c r="K35" s="53">
        <v>2.7546420506815164</v>
      </c>
      <c r="L35" s="53">
        <v>2.9199205737224077</v>
      </c>
      <c r="M35" s="53">
        <v>3.7491780166595712</v>
      </c>
      <c r="N35" s="53">
        <v>3.824161576992763</v>
      </c>
    </row>
    <row r="36" spans="1:16" x14ac:dyDescent="0.25">
      <c r="E36" s="60" t="str">
        <v>Registration &amp; License</v>
      </c>
      <c r="F36" t="str">
        <v>Margin</v>
      </c>
      <c r="G36" s="49" t="str">
        <v>Car Lease</v>
      </c>
      <c r="H36" s="49" t="s">
        <v>102</v>
      </c>
      <c r="J36" s="53">
        <v>3.9876723019389573</v>
      </c>
      <c r="K36" s="53">
        <v>4.187055917035905</v>
      </c>
      <c r="L36" s="53">
        <v>4.4382792720580593</v>
      </c>
      <c r="M36" s="53">
        <v>5.6987505853225482</v>
      </c>
      <c r="N36" s="53">
        <v>5.8127255970289999</v>
      </c>
    </row>
    <row r="37" spans="1:16" x14ac:dyDescent="0.25">
      <c r="E37" s="60" t="str">
        <v>Repairs &amp; Maintenance</v>
      </c>
      <c r="F37" t="str">
        <v>Margin</v>
      </c>
      <c r="G37" s="49" t="str">
        <v>Car Lease</v>
      </c>
      <c r="H37" s="49" t="s">
        <v>102</v>
      </c>
      <c r="J37" s="53">
        <v>5.8765697081205692</v>
      </c>
      <c r="K37" s="53">
        <v>6.170398193526597</v>
      </c>
      <c r="L37" s="53">
        <v>6.5406220851381942</v>
      </c>
      <c r="M37" s="53">
        <v>8.3981587573174394</v>
      </c>
      <c r="N37" s="53">
        <v>8.5661219324637905</v>
      </c>
    </row>
    <row r="38" spans="1:16" x14ac:dyDescent="0.25">
      <c r="E38" s="60"/>
      <c r="G38" s="49"/>
      <c r="H38" s="49"/>
      <c r="J38" s="52"/>
      <c r="K38" s="52"/>
      <c r="L38" s="52"/>
      <c r="M38" s="52"/>
      <c r="N38" s="52"/>
      <c r="P38" s="65"/>
    </row>
    <row r="39" spans="1:16" x14ac:dyDescent="0.25">
      <c r="E39" s="60" t="str" cm="1">
        <f t="array" ref="E39:G40" xml:space="preserve"> _xlfn.LET(
      _xlpm.driver_table, _xlfn.CHOOSECOLS( Drivers!$B$7:$F$64,{1,2,4,5} ),
      _xlpm.filter_cols, _xlfn._xlws.FILTER( _xlpm.driver_table, ( INDEX( _xlpm.driver_table,, 3 ) &lt;&gt; 0 ) *
                                           ISNUMBER( SEARCH( "Margin", IFERROR( INDEX( _xlpm.driver_table,, 3), "" ) ) ) *
                                           ISNUMBER( SEARCH( "Packaging Material", IFERROR( INDEX( _xlpm.driver_table,, 4), "" ) ) )   ),
      _xlpm.merge_cols, IF( INDEX( _xlpm.filter_cols,,2 ) = 0,
                             INDEX( _xlpm.filter_cols,, 1 ),
                             INDEX( _xlpm.filter_cols,, 2 ) ),
      _xlfn.HSTACK( _xlpm.merge_cols, _xlfn.CHOOSECOLS( _xlpm.filter_cols, {3,4} ) ) )</f>
        <v>Freight Costs</v>
      </c>
      <c r="F39" t="str">
        <v>Margin</v>
      </c>
      <c r="G39" s="49" t="str">
        <v>Packaging Materials</v>
      </c>
      <c r="H39" s="49" t="s">
        <v>102</v>
      </c>
      <c r="J39" s="49" cm="1">
        <f t="array" ref="J39:N40" xml:space="preserve"> _xlfn.LET(
      _xlpm.current_account, _xlfn.CHOOSECOLS(_xlfn.ANCHORARRAY( E39), 1),
      _xlpm.margin_data, Assumptions!$G$29:$K$54,
      _xlpm.margin_rows, Assumptions!$D$29:$D$54,
      _xlpm.margin_columns, Assumptions!$G$6:$K$6,
      _xlpm.margin, INDEX( _xlpm.margin_data, MATCH( _xlpm.current_account, _xlpm.margin_rows, 0 ), MATCH(_xlfn.ANCHORARRAY( J$3), _xlpm.margin_columns, 0 ) ),
      _xlpm.current_driver, _xlfn.CHOOSECOLS(_xlfn.ANCHORARRAY( E39), 3),
      _xlpm.driver_data,_xlfn.ANCHORARRAY( $J$17),
      _xlpm.driver_rows, $E$17:$E$32,
      _xlpm.driver_columns,_xlfn.ANCHORARRAY( Time!J$10),
      _xlpm.driver, INDEX( _xlpm.driver_data, MATCH( _xlpm.current_driver, _xlpm.driver_rows, 0 ), MATCH(_xlfn.ANCHORARRAY( J$3), _xlpm.driver_columns, 0 ) ),
      _xlfn.IFNA( _xlpm.driver * _xlpm.margin, 0 ) )</f>
        <v>1.5950689207755828</v>
      </c>
      <c r="K39" s="49">
        <v>1.6748223668143623</v>
      </c>
      <c r="L39" s="49">
        <v>1.775311708823224</v>
      </c>
      <c r="M39" s="49">
        <v>1.8995835284408495</v>
      </c>
      <c r="N39" s="49">
        <v>1.9375751990096668</v>
      </c>
    </row>
    <row r="40" spans="1:16" x14ac:dyDescent="0.25">
      <c r="E40" s="60" t="str">
        <v>Postage and Delivery</v>
      </c>
      <c r="F40" t="str">
        <v>Margin</v>
      </c>
      <c r="G40" s="49" t="str">
        <v>Packaging Materials</v>
      </c>
      <c r="H40" s="49" t="s">
        <v>102</v>
      </c>
      <c r="J40" s="49">
        <v>8.3950995830293831</v>
      </c>
      <c r="K40" s="49">
        <v>8.8148545621808534</v>
      </c>
      <c r="L40" s="49">
        <v>9.3437458359117045</v>
      </c>
      <c r="M40" s="49">
        <v>9.9978080444255237</v>
      </c>
      <c r="N40" s="49">
        <v>10.197764205314035</v>
      </c>
    </row>
    <row r="41" spans="1:16" x14ac:dyDescent="0.25">
      <c r="E41" s="60"/>
      <c r="G41" s="49"/>
      <c r="H41" s="49"/>
      <c r="J41" s="49"/>
      <c r="K41" s="49"/>
      <c r="L41" s="49"/>
      <c r="M41" s="49"/>
      <c r="N41" s="49"/>
    </row>
    <row r="42" spans="1:16" x14ac:dyDescent="0.25">
      <c r="E42" s="60" t="str" cm="1">
        <f t="array" ref="E42:G44" xml:space="preserve"> _xlfn.LET(
      _xlpm.driver_table, _xlfn.CHOOSECOLS( Drivers!$B$7:$F$64,{1,2,4,5} ),
      _xlpm.filter_cols, _xlfn._xlws.FILTER( _xlpm.driver_table, ( INDEX( _xlpm.driver_table,, 3 ) &lt;&gt; 0 ) *
                                           ISNUMBER( SEARCH( "Margin", IFERROR( INDEX( _xlpm.driver_table,, 3), "" ) ) ) *
                                           ISNUMBER( SEARCH( "Rent", IFERROR( INDEX( _xlpm.driver_table,, 4), "" ) ) )   ),
      _xlpm.merge_cols, IF( INDEX( _xlpm.filter_cols,,2 ) = 0,
                             INDEX( _xlpm.filter_cols,, 1 ),
                             INDEX( _xlpm.filter_cols,, 2 ) ),
      _xlfn.HSTACK( _xlpm.merge_cols, _xlfn.CHOOSECOLS( _xlpm.filter_cols, {3,4} ) ) )</f>
        <v>Maintenance/Janitorial</v>
      </c>
      <c r="F42" t="str">
        <v>Margin</v>
      </c>
      <c r="G42" s="49" t="str">
        <v>Rent</v>
      </c>
      <c r="H42" s="49" t="s">
        <v>102</v>
      </c>
      <c r="J42" s="49" cm="1">
        <f t="array" ref="J42:N44" xml:space="preserve"> _xlfn.LET(
      _xlpm.current_account, _xlfn.CHOOSECOLS(_xlfn.ANCHORARRAY( E42), 1),
      _xlpm.margin_data, Assumptions!$G$29:$K$54,
      _xlpm.margin_rows, Assumptions!$D$29:$D$54,
      _xlpm.margin_columns, Assumptions!$G$6:$K$6,
      _xlpm.margin, INDEX( _xlpm.margin_data, MATCH( _xlpm.current_account, _xlpm.margin_rows, 0 ), MATCH(_xlfn.ANCHORARRAY( J$3), _xlpm.margin_columns, 0 ) ),
      _xlpm.current_driver, _xlfn.CHOOSECOLS(_xlfn.ANCHORARRAY( E42), 3),
      _xlpm.driver_data,_xlfn.ANCHORARRAY( $J$62),
      _xlpm.driver_rows, $E$62,
      _xlpm.driver_columns,_xlfn.ANCHORARRAY( Time!J$10),
      _xlpm.driver, INDEX( _xlpm.driver_data, MATCH( _xlpm.current_driver, _xlpm.driver_rows, 0 ), MATCH(_xlfn.ANCHORARRAY( J$3), _xlpm.driver_columns, 0 ) ),
      _xlfn.IFNA( _xlpm.driver * _xlpm.margin, 0 ) )</f>
        <v>1.1604674262468602</v>
      </c>
      <c r="K42" s="49">
        <v>1.1836767747717976</v>
      </c>
      <c r="L42" s="49">
        <v>1.2073503102672332</v>
      </c>
      <c r="M42" s="49">
        <v>1.231497316472578</v>
      </c>
      <c r="N42" s="49">
        <v>1.2561272628020297</v>
      </c>
    </row>
    <row r="43" spans="1:16" x14ac:dyDescent="0.25">
      <c r="E43" s="60" t="str">
        <v>Office Equipment</v>
      </c>
      <c r="F43" t="str">
        <v>Margin</v>
      </c>
      <c r="G43" s="49" t="str">
        <v>Rent</v>
      </c>
      <c r="H43" s="49" t="s">
        <v>102</v>
      </c>
      <c r="J43" s="49">
        <v>8.1232719837280207</v>
      </c>
      <c r="K43" s="49">
        <v>8.2857374234025816</v>
      </c>
      <c r="L43" s="49">
        <v>8.4514521718706312</v>
      </c>
      <c r="M43" s="49">
        <v>8.620481215308045</v>
      </c>
      <c r="N43" s="49">
        <v>8.7928908396142074</v>
      </c>
    </row>
    <row r="44" spans="1:16" x14ac:dyDescent="0.25">
      <c r="E44" s="60" t="str">
        <v>Utilities</v>
      </c>
      <c r="F44" t="str">
        <v>Margin</v>
      </c>
      <c r="G44" s="49" t="str">
        <v>Rent</v>
      </c>
      <c r="H44" s="49" t="s">
        <v>102</v>
      </c>
      <c r="J44" s="49">
        <v>2.1468647385566912</v>
      </c>
      <c r="K44" s="49">
        <v>2.1898020333278252</v>
      </c>
      <c r="L44" s="49">
        <v>2.2335980739943815</v>
      </c>
      <c r="M44" s="49">
        <v>2.2782700354742693</v>
      </c>
      <c r="N44" s="49">
        <v>2.3238354361837548</v>
      </c>
    </row>
    <row r="45" spans="1:16" x14ac:dyDescent="0.25">
      <c r="E45" s="60"/>
      <c r="G45" s="49"/>
      <c r="H45" s="49"/>
      <c r="J45" s="49"/>
      <c r="K45" s="49"/>
      <c r="L45" s="49"/>
      <c r="M45" s="49"/>
      <c r="N45" s="49"/>
    </row>
    <row r="46" spans="1:16" x14ac:dyDescent="0.25">
      <c r="E46" s="60" t="str" cm="1">
        <f t="array" ref="E46:G49" xml:space="preserve"> _xlfn.LET(
      _xlpm.driver_table, _xlfn.CHOOSECOLS( Drivers!$B$7:$F$64,{1,2,4,5} ),
      _xlpm.filter_cols, _xlfn._xlws.FILTER( _xlpm.driver_table, ( INDEX( _xlpm.driver_table,, 3 ) &lt;&gt; 0 ) *
                                           ISNUMBER( SEARCH( "Margin", IFERROR( INDEX( _xlpm.driver_table,, 3), "" ) ) ) *
                                           ISNUMBER( SEARCH( "Total Wages", IFERROR( INDEX( _xlpm.driver_table,, 4), "" ) ) )   ),
      _xlpm.merge_cols, IF( INDEX( _xlpm.filter_cols,,2 ) = 0,
                             INDEX( _xlpm.filter_cols,, 1 ),
                             INDEX( _xlpm.filter_cols,, 2 ) ),
      _xlfn.HSTACK( _xlpm.merge_cols, _xlfn.CHOOSECOLS( _xlpm.filter_cols, {3,4} ) ) )</f>
        <v>Worker's Compensation</v>
      </c>
      <c r="F46" t="str">
        <v>Margin</v>
      </c>
      <c r="G46" s="49" t="str">
        <v>Total Wages</v>
      </c>
      <c r="H46" s="49" t="s">
        <v>102</v>
      </c>
      <c r="J46" s="49" cm="1">
        <f t="array" aca="1" ref="J46:N49" ca="1" xml:space="preserve"> _xlfn.LET(
      _xlpm.current_account, _xlfn.CHOOSECOLS(_xlfn.ANCHORARRAY( E46), 1),
      _xlpm.margin_data, Assumptions!$G$29:$K$54,
      _xlpm.margin_rows, Assumptions!$D$29:$D$54,
      _xlpm.margin_columns, Assumptions!$G$6:$K$6,
      _xlpm.margin, INDEX( _xlpm.margin_data, MATCH( _xlpm.current_account, _xlpm.margin_rows, 0 ), MATCH(_xlfn.ANCHORARRAY( J$3), _xlpm.margin_columns, 0 ) ),
      _xlpm.anchor, $J$57,
      _xlpm.block, OFFSET( _xlpm.anchor, 0, 0, 3, periods ),
      _xlpm.driver, _xlfn.BYCOL( _xlpm.block, _xleta.SUM ),
      _xlfn.IFNA( _xlpm.driver * _xlpm.margin, 0 ) )</f>
        <v>0.57450953323567922</v>
      </c>
      <c r="K46" s="49">
        <f ca="1"/>
        <v>0.5859997239003929</v>
      </c>
      <c r="L46" s="49">
        <f ca="1"/>
        <v>0.72916092355109796</v>
      </c>
      <c r="M46" s="49">
        <f ca="1"/>
        <v>0.74374414202211991</v>
      </c>
      <c r="N46" s="49">
        <f ca="1"/>
        <v>0.75861902486256239</v>
      </c>
    </row>
    <row r="47" spans="1:16" x14ac:dyDescent="0.25">
      <c r="E47" s="60" t="str">
        <v>Payroll Tax Expenses</v>
      </c>
      <c r="F47" t="str">
        <v>Margin</v>
      </c>
      <c r="G47" s="49" t="str">
        <v>Total Wages</v>
      </c>
      <c r="H47" s="49" t="s">
        <v>102</v>
      </c>
      <c r="J47" s="49">
        <f ca="1"/>
        <v>2.8725476661783964</v>
      </c>
      <c r="K47" s="49">
        <f ca="1"/>
        <v>2.9299986195019643</v>
      </c>
      <c r="L47" s="49">
        <f ca="1"/>
        <v>3.6458046177554899</v>
      </c>
      <c r="M47" s="49">
        <f ca="1"/>
        <v>3.7187207101105999</v>
      </c>
      <c r="N47" s="49">
        <f ca="1"/>
        <v>3.7930951243128121</v>
      </c>
    </row>
    <row r="48" spans="1:16" x14ac:dyDescent="0.25">
      <c r="E48" s="60" t="str">
        <v>Payroll Service Fees</v>
      </c>
      <c r="F48" t="str">
        <v>Margin</v>
      </c>
      <c r="G48" s="49" t="str">
        <v>Total Wages</v>
      </c>
      <c r="H48" s="49" t="s">
        <v>102</v>
      </c>
      <c r="J48" s="49">
        <f ca="1"/>
        <v>0</v>
      </c>
      <c r="K48" s="49">
        <f ca="1"/>
        <v>0</v>
      </c>
      <c r="L48" s="49">
        <f ca="1"/>
        <v>0</v>
      </c>
      <c r="M48" s="49">
        <f ca="1"/>
        <v>0</v>
      </c>
      <c r="N48" s="49">
        <f ca="1"/>
        <v>0</v>
      </c>
    </row>
    <row r="49" spans="1:14" x14ac:dyDescent="0.25">
      <c r="E49" s="60" t="str">
        <v>Meals and Entertainment</v>
      </c>
      <c r="F49" t="str">
        <v>Margin</v>
      </c>
      <c r="G49" s="49" t="str">
        <v>Total Wages</v>
      </c>
      <c r="H49" s="49" t="s">
        <v>102</v>
      </c>
      <c r="J49" s="49">
        <f ca="1"/>
        <v>2.2980381329427169</v>
      </c>
      <c r="K49" s="49">
        <f ca="1"/>
        <v>2.3439988956015716</v>
      </c>
      <c r="L49" s="49">
        <f ca="1"/>
        <v>2.9166436942043918</v>
      </c>
      <c r="M49" s="49">
        <f ca="1"/>
        <v>2.9749765680884797</v>
      </c>
      <c r="N49" s="49">
        <f ca="1"/>
        <v>3.0344760994502495</v>
      </c>
    </row>
    <row r="50" spans="1:14" x14ac:dyDescent="0.25">
      <c r="E50"/>
      <c r="G50" s="49"/>
      <c r="H50" s="49"/>
      <c r="J50" s="52"/>
      <c r="K50" s="52"/>
      <c r="L50" s="52"/>
      <c r="M50" s="52"/>
      <c r="N50" s="52"/>
    </row>
    <row r="51" spans="1:14" x14ac:dyDescent="0.25">
      <c r="A51" s="33" t="s">
        <v>104</v>
      </c>
      <c r="B51" s="32"/>
      <c r="C51" s="32"/>
      <c r="D51" s="32"/>
      <c r="E51" s="62"/>
      <c r="F51" s="32"/>
      <c r="G51" s="55"/>
      <c r="H51" s="55"/>
      <c r="I51" s="32"/>
      <c r="J51" s="56"/>
      <c r="K51" s="56"/>
      <c r="L51" s="56"/>
      <c r="M51" s="56"/>
      <c r="N51" s="56"/>
    </row>
    <row r="53" spans="1:14" x14ac:dyDescent="0.25">
      <c r="E53" s="60" t="str" cm="1">
        <f t="array" ref="E53:G54" xml:space="preserve"> _xlfn.LET(
      _xlpm.driver_table, _xlfn.CHOOSECOLS( Drivers!$B$7:$F$64,{1,2,4,5} ),
      _xlpm.filter_cols, _xlfn._xlws.FILTER( _xlpm.driver_table, ( INDEX( _xlpm.driver_table,, 3 ) &lt;&gt; 0 ) *
                                           ISNUMBER( SEARCH( "Step", IFERROR( INDEX( _xlpm.driver_table,, 3), "" ) ) ) *
                                           ISNUMBER( SEARCH( "Revenue", IFERROR( INDEX( _xlpm.driver_table,, 4), "" ) ) ) ),
      _xlpm.merge_cols, IF( INDEX( _xlpm.filter_cols,,2 ) = 0,
                             INDEX( _xlpm.filter_cols,, 1 ),
                             INDEX( _xlpm.filter_cols,, 2 ) ),
      _xlfn.HSTACK( _xlpm.merge_cols, _xlfn.CHOOSECOLS( _xlpm.filter_cols, {3,4} ) ) )</f>
        <v>Inside Sales</v>
      </c>
      <c r="F53" t="str">
        <v>Step</v>
      </c>
      <c r="G53" s="49" t="str">
        <v>Revenue</v>
      </c>
      <c r="H53" s="49" t="s">
        <v>80</v>
      </c>
      <c r="J53" s="49" cm="1">
        <f t="array" ref="J53:N54" xml:space="preserve"> _xlfn.LET(
      _xlpm.row_index, ROW() - ROW($E$53),
      _xlpm.current_account, INDEX( _xlfn.CHOOSECOLS(_xlfn.ANCHORARRAY( $E$53), 1 ), _xlpm.row_index ),
      _xlpm.current_driver, INDEX( _xlfn.CHOOSECOLS(_xlfn.ANCHORARRAY( $E$53), 3), _xlpm.row_index ),
      _xlpm.driver_data,_xlfn.ANCHORARRAY( $J$7),
      _xlpm.driver_rows, $E$7:$E$14,
      _xlpm.driver_columns,_xlfn.ANCHORARRAY( Time!$J$10),
      _xlpm.driver, INDEX( _xlpm.driver_data, MATCH( _xlpm.current_driver, _xlpm.driver_rows, 0 ), MATCH(_xlfn.ANCHORARRAY( $J$3), _xlpm.driver_columns, 0 ) ),
      _xlpm.step_data, Assumptions!$F$62:$G$71,
      _xlpm.step_rows, Assumptions!$D$62:$D$71,
      _xlpm.step_columns, _xlfn.CHOOSECOLS(Assumptions!$D$61:$G$61, 3, 4 ),
      _xlpm.step, INDEX( _xlpm.step_data, MATCH( _xlpm.driver, _xlpm.step_rows, 1 ), MATCH( _xlpm.current_account, _xlpm.step_columns, 0 ) ),
      _xlpm.step )</f>
        <v>5</v>
      </c>
      <c r="K53">
        <v>5</v>
      </c>
      <c r="L53">
        <v>6</v>
      </c>
      <c r="M53">
        <v>6</v>
      </c>
      <c r="N53">
        <v>6</v>
      </c>
    </row>
    <row r="54" spans="1:14" x14ac:dyDescent="0.25">
      <c r="E54" s="63" t="str">
        <v>Warehouse</v>
      </c>
      <c r="F54" t="str">
        <v>Step</v>
      </c>
      <c r="G54" s="49" t="str">
        <v>Revenue</v>
      </c>
      <c r="H54" s="49" t="s">
        <v>80</v>
      </c>
      <c r="J54">
        <v>12</v>
      </c>
      <c r="K54">
        <v>12</v>
      </c>
      <c r="L54">
        <v>15</v>
      </c>
      <c r="M54">
        <v>15</v>
      </c>
      <c r="N54">
        <v>15</v>
      </c>
    </row>
    <row r="55" spans="1:14" x14ac:dyDescent="0.25">
      <c r="E55" s="60" t="str" cm="1">
        <f t="array" ref="E55:G55" xml:space="preserve"> _xlfn.LET(
      _xlpm.driver_table, _xlfn.CHOOSECOLS( Drivers!$B$7:$F$64,{1,2,4,5} ),
      _xlpm.filter_cols, _xlfn._xlws.FILTER( _xlpm.driver_table, ( INDEX( _xlpm.driver_table,, 3 ) &lt;&gt; 0 ) *
                                           ISNUMBER( SEARCH( "Step", IFERROR( INDEX( _xlpm.driver_table,, 3), "" ) ) ) *
                                           ISNUMBER( SEARCH( "Other Employees", IFERROR( INDEX( _xlpm.driver_table,, 4), "" ) ) ) ),
      _xlpm.merge_cols, IF( INDEX( _xlpm.filter_cols,,2 ) = 0,
                             INDEX( _xlpm.filter_cols,, 1 ),
                             INDEX( _xlpm.filter_cols,, 2 ) ),
      _xlfn.HSTACK( _xlpm.merge_cols, _xlfn.CHOOSECOLS( _xlpm.filter_cols, {3,4} ) ) )</f>
        <v>Office Staff</v>
      </c>
      <c r="F55" t="str">
        <v>Step</v>
      </c>
      <c r="G55" s="49" t="str">
        <v>Other Employees</v>
      </c>
      <c r="H55" s="49" t="s">
        <v>80</v>
      </c>
      <c r="J55" cm="1">
        <f t="array" ref="J55:N55" xml:space="preserve"> _xlfn.LET(
      _xlpm.office_actual, Assumptions!$G$57,
      _xlpm.other_employees, _xlfn.BYCOL(_xlfn.ANCHORARRAY( Calculations!J53), _xleta.SUM ),
      _xlpm.other_employees / _xlpm.office_actual)</f>
        <v>2.8333333333333335</v>
      </c>
      <c r="K55">
        <v>2.8333333333333335</v>
      </c>
      <c r="L55">
        <v>3.5</v>
      </c>
      <c r="M55">
        <v>3.5</v>
      </c>
      <c r="N55">
        <v>3.5</v>
      </c>
    </row>
    <row r="56" spans="1:14" x14ac:dyDescent="0.25">
      <c r="G56" s="49"/>
      <c r="H56" s="49"/>
    </row>
    <row r="57" spans="1:14" x14ac:dyDescent="0.25">
      <c r="E57" s="60" t="str" cm="1">
        <f t="array" ref="E57:G59" xml:space="preserve"> _xlfn.LET(
      _xlpm.driver_table, _xlfn.CHOOSECOLS( Drivers!$B$7:$F$64,{1,2,4,5} ),
      _xlpm.filter_cols, _xlfn._xlws.FILTER( _xlpm.driver_table, ( INDEX( _xlpm.driver_table,, 3 ) &lt;&gt; 0 ) *
                                           ISNUMBER( SEARCH( "Step", IFERROR( INDEX( _xlpm.driver_table,, 3), "" ) ) ) *
                                           ISNUMBER( SEARCH( "Salaries", IFERROR( INDEX( _xlpm.driver_table,, 4), "" ) ) )   ),
      _xlpm.merge_cols, IF( INDEX( _xlpm.filter_cols,,2 ) = 0,
                             INDEX( _xlpm.filter_cols,, 1 ),
                             INDEX( _xlpm.filter_cols,, 2 ) ),
      _xlfn.HSTACK( _xlpm.merge_cols, _xlfn.CHOOSECOLS( _xlpm.filter_cols, {3,4} ) ) )</f>
        <v>Salaries - Office Staff</v>
      </c>
      <c r="F57" t="str">
        <v>Step</v>
      </c>
      <c r="G57" s="49" t="str">
        <v>Growth in Salaries</v>
      </c>
      <c r="H57" s="49" t="s">
        <v>102</v>
      </c>
      <c r="J57" cm="1">
        <f t="array" ref="J57:N59" xml:space="preserve"> _xlfn.LET(
      _xlpm.last_actual_data, _xlfn.DROP(_xlfn.ANCHORARRAY( DataPull!$G$7), 1 ),
      _xlpm.last_actual_rows, INDEX( _xlpm.last_actual_data,,2),
      _xlpm.last_actual, _xlfn.IFNA( INDEX( _xlpm.last_actual_data, MATCH( $E$57:$E$59, _xlpm.last_actual_rows, 0 ), 3 ), "" ),
      _xlpm.current_account, MID( _xlfn.CHOOSECOLS(_xlfn.ANCHORARRAY( $E$57), 1 ), SEARCH( "- ", _xlfn.CHOOSECOLS(_xlfn.ANCHORARRAY( $E$57), 1 )) + 2, 20),
      _xlpm.last_FTE, INDEX( Assumptions!$D$90:$E$92, MATCH( _xlpm.current_account, Assumptions!$D$90:$D$92, 0 ), 2 ),
      _xlpm.number_FTE, INDEX( $J$53:$N$55, MATCH( _xlpm.current_account, $E$53:$E$55, 0 ), MATCH(_xlfn.ANCHORARRAY( $J$3),_xlfn.ANCHORARRAY( Time!$J$10), 0 ) ),
      _xlpm.growth_data, Assumptions!$G$11:$K$25,
      _xlpm.growth_rows, Assumptions!$D$11:$D$25,
      _xlpm.growth_factors, _xlfn.CHOOSEROWS( _xlpm.growth_data, MATCH( _xlfn.CHOOSECOLS($E$57, 1 ), _xlpm.growth_rows, 0 ) ),
      _xlpm.compounded_rates, _xlfn.MAKEARRAY( ROWS( _xlpm.growth_factors ), COLUMNS( _xlpm.growth_factors ),
                          _xlfn.LAMBDA(_xlpm.i,_xlpm.j, INDEX( _xlfn.SCAN( 1, INDEX( _xlpm.growth_factors, _xlpm.i, 0 ), _xlfn.LAMBDA(_xlpm.s,_xlpm.c, _xlpm.s * ( 1 + _xlpm.c ) ) ), _xlpm.j ) ) ),
      _xlpm.last_actual / _xlpm.last_FTE * _xlpm.compounded_rates * _xlpm.number_FTE )</f>
        <v>14.353131932090047</v>
      </c>
      <c r="K57">
        <v>14.640194570731849</v>
      </c>
      <c r="L57">
        <v>18.446645159122127</v>
      </c>
      <c r="M57">
        <v>18.815578062304567</v>
      </c>
      <c r="N57">
        <v>19.191889623550662</v>
      </c>
    </row>
    <row r="58" spans="1:14" x14ac:dyDescent="0.25">
      <c r="E58" s="63" t="str">
        <v>Salaries - Inside Sales</v>
      </c>
      <c r="F58" t="str">
        <v>Step</v>
      </c>
      <c r="G58" t="str">
        <v>Growth in Salaries</v>
      </c>
      <c r="H58" s="49" t="s">
        <v>102</v>
      </c>
      <c r="J58">
        <v>30.358891265461519</v>
      </c>
      <c r="K58">
        <v>30.966069090770748</v>
      </c>
      <c r="L58">
        <v>37.902468567103398</v>
      </c>
      <c r="M58">
        <v>38.660517938445466</v>
      </c>
      <c r="N58">
        <v>39.43372829721438</v>
      </c>
    </row>
    <row r="59" spans="1:14" x14ac:dyDescent="0.25">
      <c r="E59" s="63" t="str">
        <v>Salaries - Warehouse</v>
      </c>
      <c r="F59" t="str">
        <v>Step</v>
      </c>
      <c r="G59" t="str">
        <v>Growth in Salaries</v>
      </c>
      <c r="H59" s="49" t="s">
        <v>102</v>
      </c>
      <c r="J59" s="49">
        <v>12.738930126016358</v>
      </c>
      <c r="K59" s="49">
        <v>12.993708728536685</v>
      </c>
      <c r="L59" s="49">
        <v>16.566978628884275</v>
      </c>
      <c r="M59" s="49">
        <v>16.898318201461962</v>
      </c>
      <c r="N59" s="49">
        <v>17.236284565491196</v>
      </c>
    </row>
    <row r="61" spans="1:14" x14ac:dyDescent="0.25">
      <c r="E61" s="60" t="str" cm="1">
        <f t="array" ref="E61:G61" xml:space="preserve"> _xlfn.LET(
      _xlpm.driver_table, _xlfn.CHOOSECOLS( Drivers!$B$7:$F$64,{1,2,4,5} ),
      _xlpm.filter_cols, _xlfn._xlws.FILTER( _xlpm.driver_table, ( INDEX( _xlpm.driver_table,, 3 ) &lt;&gt; 0 ) *
                                           ISNUMBER( SEARCH( "Step", IFERROR( INDEX( _xlpm.driver_table,, 3), "" ) ) ) *
                                           ISNUMBER( SEARCH( "Square", IFERROR( INDEX( _xlpm.driver_table,, 1), "" ) ) ) ),
      _xlpm.merge_cols, IF( INDEX( _xlpm.filter_cols,,2 ) = 0,
                             INDEX( _xlpm.filter_cols,, 1 ),
                             INDEX( _xlpm.filter_cols,, 2 ) ),
      _xlfn.HSTACK( _xlpm.merge_cols, _xlfn.CHOOSECOLS( _xlpm.filter_cols, {3,4} ) ) )</f>
        <v>Square Footage</v>
      </c>
      <c r="F61" t="str">
        <v>Step</v>
      </c>
      <c r="G61" s="49" t="str">
        <v>Employees</v>
      </c>
      <c r="H61" s="49" t="s">
        <v>105</v>
      </c>
      <c r="J61" cm="1">
        <f t="array" ref="J61:N61">_xlfn.LET(
     _xlpm.employees, _xlfn.BYCOL(_xlfn.ANCHORARRAY( J53), _xleta.SUM ) + _xlfn.BYCOL(_xlfn.ANCHORARRAY( J55), _xleta.SUM ),
     _xlpm.rent_data, _xlfn.CHOOSECOLS( Assumptions!$D$75:$F$84, 1,3 ),
     _xlpm.rent_rows, _xlfn.CHOOSECOLS( _xlpm.rent_data, 1 ),
     _xlpm.rent_columns, _xlfn.CHOOSECOLS( _xlpm.rent_data, 2 ),
     _xlpm.sqft, _xlfn.XLOOKUP( _xlpm.employees, _xlpm.rent_rows, _xlpm.rent_columns, , -1 ),
     _xlpm.sqft )</f>
        <v>1000</v>
      </c>
      <c r="K61">
        <v>1000</v>
      </c>
      <c r="L61">
        <v>1000</v>
      </c>
      <c r="M61">
        <v>1000</v>
      </c>
      <c r="N61">
        <v>1000</v>
      </c>
    </row>
    <row r="62" spans="1:14" x14ac:dyDescent="0.25">
      <c r="E62" s="60" t="str" cm="1">
        <f t="array" ref="E62:G62" xml:space="preserve"> _xlfn.LET(
      _xlpm.driver_table, _xlfn.CHOOSECOLS( Drivers!$B$7:$F$64,{1,2,4,5} ),
      _xlpm.filter_cols, _xlfn._xlws.FILTER( _xlpm.driver_table, ( INDEX( _xlpm.driver_table,, 3 ) &lt;&gt; 0 ) *
                                           ISNUMBER( SEARCH( "Step", IFERROR( INDEX( _xlpm.driver_table,, 3), "" ) ) ) *
                                           ISNUMBER( SEARCH( "Cost", IFERROR( INDEX( _xlpm.driver_table,, 4), "" ) ) ) ),
      _xlpm.merge_cols, IF( INDEX( _xlpm.filter_cols,,2 ) = 0,
                             INDEX( _xlpm.filter_cols,, 1 ),
                             INDEX( _xlpm.filter_cols,, 2 ) ),
      _xlfn.HSTACK( _xlpm.merge_cols, _xlfn.CHOOSECOLS( _xlpm.filter_cols, {3,4} ) ) )</f>
        <v>Rent</v>
      </c>
      <c r="F62" t="str">
        <v>Step</v>
      </c>
      <c r="G62" t="str">
        <v>Growth in Cost per Sqft</v>
      </c>
      <c r="H62" s="49" t="s">
        <v>102</v>
      </c>
      <c r="J62" cm="1">
        <f t="array" ref="J62:N62" xml:space="preserve"> _xlfn.LET(
      _xlpm.sqft,_xlfn.ANCHORARRAY( $J$61),
      _xlpm.growth_data, Assumptions!$G$11:$K$25,
      _xlpm.growth_rows, Assumptions!$D$11:$D$25,
      _xlpm.growth_factors, _xlfn.CHOOSEROWS( _xlpm.growth_data, MATCH( _xlfn.CHOOSECOLS($E$57, 1 ), _xlpm.growth_rows, 0 ) ),
      _xlpm.compounded_rates, _xlfn.MAKEARRAY( ROWS( _xlpm.growth_factors ), COLUMNS( _xlpm.growth_factors ),
                          _xlfn.LAMBDA(_xlpm.i,_xlpm.j, INDEX( _xlfn.SCAN( 1, INDEX( _xlpm.growth_factors, _xlpm.i, 0 ), _xlfn.LAMBDA(_xlpm.s,_xlpm.c, _xlpm.s * ( 1 + _xlpm.c ) ) ), _xlpm.j ) ) ),
      _xlpm.last_FTE, SUM( Assumptions!$E$90:$E$92 ),
      _xlpm.last_sqft, Assumptions!$E$93,
      _xlpm.last_actual_data, _xlfn.DROP(_xlfn.ANCHORARRAY( DataPull!$G$7), 1 ),
      _xlpm.last_actual_rows, INDEX( _xlpm.last_actual_data,,2),
      _xlpm.last_actual, _xlfn.IFNA( INDEX( _xlpm.last_actual_data, MATCH( "Rent", _xlpm.last_actual_rows, 0 ), 3 ), "" ),
      _xlpm.last_actual / _xlpm.last_sqft * _xlpm.compounded_rates * _xlpm.sqft )</f>
        <v>11.604674262468601</v>
      </c>
      <c r="K62">
        <v>11.836767747717975</v>
      </c>
      <c r="L62">
        <v>12.073503102672332</v>
      </c>
      <c r="M62">
        <v>12.31497316472578</v>
      </c>
      <c r="N62">
        <v>12.561272628020296</v>
      </c>
    </row>
  </sheetData>
  <printOptions horizontalCentered="1"/>
  <pageMargins left="0.15748031496062992" right="0.15748031496062992" top="0.39370078740157483" bottom="0.39370078740157483" header="0.15748031496062992" footer="0.15748031496062992"/>
  <pageSetup scale="63" fitToHeight="0" orientation="portrait" r:id="rId1"/>
  <headerFooter>
    <oddFooter>&amp;LFinancial Modeling Institute
CFM October 2026&amp;CPage &amp;P of &amp;N&amp;R&amp;D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D7D04-F9FA-4AB4-A40A-ED4CDE93EFDD}">
  <sheetPr>
    <tabColor rgb="FFFFFF00"/>
  </sheetPr>
  <dimension ref="B2:H64"/>
  <sheetViews>
    <sheetView showGridLines="0" topLeftCell="A47" workbookViewId="0">
      <selection activeCell="F29" sqref="F29"/>
    </sheetView>
  </sheetViews>
  <sheetFormatPr defaultColWidth="9" defaultRowHeight="13.2" x14ac:dyDescent="0.25"/>
  <cols>
    <col min="1" max="1" width="9" style="2"/>
    <col min="2" max="2" width="1.69921875" style="2" customWidth="1"/>
    <col min="3" max="3" width="27.69921875" style="2" customWidth="1"/>
    <col min="4" max="4" width="9" style="2"/>
    <col min="5" max="5" width="22" style="2" customWidth="1"/>
    <col min="6" max="6" width="18" style="2" customWidth="1"/>
    <col min="7" max="16384" width="9" style="2"/>
  </cols>
  <sheetData>
    <row r="2" spans="2:8" ht="22.8" x14ac:dyDescent="0.4">
      <c r="B2" s="1" t="str">
        <f>DataPull!$B$2</f>
        <v>CFM - April 2019 Exam</v>
      </c>
    </row>
    <row r="3" spans="2:8" ht="17.399999999999999" x14ac:dyDescent="0.3">
      <c r="B3" s="3" t="s">
        <v>48</v>
      </c>
    </row>
    <row r="4" spans="2:8" ht="3" customHeight="1" thickBot="1" x14ac:dyDescent="0.3">
      <c r="B4" s="4"/>
      <c r="C4" s="4"/>
      <c r="D4" s="4"/>
      <c r="E4" s="4"/>
      <c r="F4" s="4"/>
    </row>
    <row r="5" spans="2:8" x14ac:dyDescent="0.25">
      <c r="B5" s="5" t="s">
        <v>85</v>
      </c>
      <c r="C5" s="6"/>
      <c r="D5" s="6"/>
      <c r="E5" s="6"/>
      <c r="F5" s="6"/>
    </row>
    <row r="7" spans="2:8" x14ac:dyDescent="0.25">
      <c r="B7" s="13" t="s">
        <v>49</v>
      </c>
      <c r="E7" s="13" t="s">
        <v>50</v>
      </c>
      <c r="F7" s="13" t="s">
        <v>51</v>
      </c>
    </row>
    <row r="8" spans="2:8" x14ac:dyDescent="0.25">
      <c r="F8" s="14"/>
    </row>
    <row r="9" spans="2:8" x14ac:dyDescent="0.25">
      <c r="B9" s="2" t="s">
        <v>5</v>
      </c>
      <c r="E9" s="2" t="s">
        <v>52</v>
      </c>
      <c r="F9" s="2" t="s">
        <v>53</v>
      </c>
      <c r="H9" s="2" t="str">
        <f>B9&amp;C9</f>
        <v>Revenue</v>
      </c>
    </row>
    <row r="10" spans="2:8" x14ac:dyDescent="0.25">
      <c r="H10" s="2" t="str">
        <f t="shared" ref="H10:H64" si="0">B10&amp;C10</f>
        <v/>
      </c>
    </row>
    <row r="11" spans="2:8" x14ac:dyDescent="0.25">
      <c r="B11" s="2" t="s">
        <v>6</v>
      </c>
      <c r="E11" s="2" t="s">
        <v>54</v>
      </c>
      <c r="F11" s="2" t="s">
        <v>5</v>
      </c>
      <c r="H11" s="2" t="str">
        <f t="shared" si="0"/>
        <v>Purchases (Cost of Goods)</v>
      </c>
    </row>
    <row r="12" spans="2:8" x14ac:dyDescent="0.25">
      <c r="B12" s="2" t="s">
        <v>7</v>
      </c>
      <c r="H12" s="2" t="str">
        <f t="shared" si="0"/>
        <v>Insurance</v>
      </c>
    </row>
    <row r="13" spans="2:8" x14ac:dyDescent="0.25">
      <c r="C13" s="2" t="s">
        <v>8</v>
      </c>
      <c r="E13" s="2" t="s">
        <v>52</v>
      </c>
      <c r="F13" s="2" t="s">
        <v>53</v>
      </c>
      <c r="H13" s="2" t="str">
        <f t="shared" si="0"/>
        <v>General Liability Insurance</v>
      </c>
    </row>
    <row r="14" spans="2:8" x14ac:dyDescent="0.25">
      <c r="C14" s="2" t="s">
        <v>9</v>
      </c>
      <c r="E14" s="2" t="s">
        <v>52</v>
      </c>
      <c r="F14" s="2" t="s">
        <v>53</v>
      </c>
      <c r="H14" s="2" t="str">
        <f t="shared" si="0"/>
        <v>Owner's Health Insurance</v>
      </c>
    </row>
    <row r="15" spans="2:8" x14ac:dyDescent="0.25">
      <c r="C15" s="2" t="s">
        <v>10</v>
      </c>
      <c r="E15" s="2" t="s">
        <v>54</v>
      </c>
      <c r="F15" s="2" t="s">
        <v>5</v>
      </c>
      <c r="H15" s="2" t="str">
        <f t="shared" si="0"/>
        <v>Professional Liability Insurance</v>
      </c>
    </row>
    <row r="16" spans="2:8" x14ac:dyDescent="0.25">
      <c r="C16" s="2" t="s">
        <v>11</v>
      </c>
      <c r="E16" s="2" t="s">
        <v>54</v>
      </c>
      <c r="F16" s="2" t="s">
        <v>55</v>
      </c>
      <c r="H16" s="2" t="str">
        <f t="shared" si="0"/>
        <v>Worker's Compensation</v>
      </c>
    </row>
    <row r="17" spans="2:8" x14ac:dyDescent="0.25">
      <c r="B17" s="2" t="s">
        <v>12</v>
      </c>
      <c r="H17" s="2" t="str">
        <f t="shared" si="0"/>
        <v>Wages</v>
      </c>
    </row>
    <row r="18" spans="2:8" x14ac:dyDescent="0.25">
      <c r="C18" s="2" t="s">
        <v>13</v>
      </c>
      <c r="E18" s="2" t="s">
        <v>52</v>
      </c>
      <c r="F18" s="2" t="s">
        <v>56</v>
      </c>
      <c r="H18" s="2" t="str">
        <f t="shared" si="0"/>
        <v>Employee Benefits</v>
      </c>
    </row>
    <row r="19" spans="2:8" x14ac:dyDescent="0.25">
      <c r="C19" s="2" t="s">
        <v>14</v>
      </c>
      <c r="E19" s="2" t="s">
        <v>54</v>
      </c>
      <c r="F19" s="2" t="s">
        <v>55</v>
      </c>
      <c r="H19" s="2" t="str">
        <f t="shared" si="0"/>
        <v>Payroll Tax Expenses</v>
      </c>
    </row>
    <row r="20" spans="2:8" x14ac:dyDescent="0.25">
      <c r="C20" s="2" t="s">
        <v>15</v>
      </c>
      <c r="E20" s="2" t="s">
        <v>57</v>
      </c>
      <c r="F20" s="2" t="s">
        <v>58</v>
      </c>
      <c r="H20" s="2" t="str">
        <f t="shared" si="0"/>
        <v>Salaries - Office Staff</v>
      </c>
    </row>
    <row r="21" spans="2:8" x14ac:dyDescent="0.25">
      <c r="B21" s="2" t="s">
        <v>16</v>
      </c>
      <c r="H21" s="2" t="str">
        <f t="shared" si="0"/>
        <v>Direct Labor</v>
      </c>
    </row>
    <row r="22" spans="2:8" x14ac:dyDescent="0.25">
      <c r="C22" s="2" t="s">
        <v>17</v>
      </c>
      <c r="E22" s="2" t="s">
        <v>57</v>
      </c>
      <c r="F22" s="2" t="s">
        <v>58</v>
      </c>
      <c r="H22" s="2" t="str">
        <f t="shared" si="0"/>
        <v>Salaries - Inside Sales</v>
      </c>
    </row>
    <row r="23" spans="2:8" x14ac:dyDescent="0.25">
      <c r="C23" s="2" t="s">
        <v>18</v>
      </c>
      <c r="E23" s="2" t="s">
        <v>57</v>
      </c>
      <c r="F23" s="2" t="s">
        <v>58</v>
      </c>
      <c r="H23" s="2" t="str">
        <f t="shared" si="0"/>
        <v>Salaries - Warehouse</v>
      </c>
    </row>
    <row r="24" spans="2:8" x14ac:dyDescent="0.25">
      <c r="B24" s="2" t="s">
        <v>19</v>
      </c>
      <c r="H24" s="2" t="str">
        <f t="shared" si="0"/>
        <v>Car/Truck Expense</v>
      </c>
    </row>
    <row r="25" spans="2:8" x14ac:dyDescent="0.25">
      <c r="C25" s="2" t="s">
        <v>20</v>
      </c>
      <c r="E25" s="2" t="s">
        <v>54</v>
      </c>
      <c r="F25" s="2" t="s">
        <v>5</v>
      </c>
      <c r="H25" s="2" t="str">
        <f t="shared" si="0"/>
        <v>Car Lease</v>
      </c>
    </row>
    <row r="26" spans="2:8" x14ac:dyDescent="0.25">
      <c r="C26" s="2" t="s">
        <v>21</v>
      </c>
      <c r="E26" s="2" t="s">
        <v>54</v>
      </c>
      <c r="F26" s="2" t="s">
        <v>20</v>
      </c>
      <c r="H26" s="2" t="str">
        <f t="shared" si="0"/>
        <v>Gas</v>
      </c>
    </row>
    <row r="27" spans="2:8" x14ac:dyDescent="0.25">
      <c r="C27" s="2" t="s">
        <v>22</v>
      </c>
      <c r="E27" s="2" t="s">
        <v>54</v>
      </c>
      <c r="F27" s="2" t="s">
        <v>20</v>
      </c>
      <c r="H27" s="2" t="str">
        <f t="shared" si="0"/>
        <v>Insurance-Auto</v>
      </c>
    </row>
    <row r="28" spans="2:8" x14ac:dyDescent="0.25">
      <c r="C28" s="2" t="s">
        <v>23</v>
      </c>
      <c r="E28" s="2" t="s">
        <v>54</v>
      </c>
      <c r="F28" s="2" t="s">
        <v>20</v>
      </c>
      <c r="H28" s="2" t="str">
        <f t="shared" si="0"/>
        <v>Registration &amp; License</v>
      </c>
    </row>
    <row r="29" spans="2:8" x14ac:dyDescent="0.25">
      <c r="C29" s="2" t="s">
        <v>24</v>
      </c>
      <c r="E29" s="2" t="s">
        <v>54</v>
      </c>
      <c r="F29" s="2" t="s">
        <v>20</v>
      </c>
      <c r="H29" s="2" t="str">
        <f t="shared" si="0"/>
        <v>Repairs &amp; Maintenance</v>
      </c>
    </row>
    <row r="30" spans="2:8" x14ac:dyDescent="0.25">
      <c r="B30" s="2" t="s">
        <v>59</v>
      </c>
      <c r="H30" s="2" t="str">
        <f t="shared" si="0"/>
        <v>Professional Fees</v>
      </c>
    </row>
    <row r="31" spans="2:8" x14ac:dyDescent="0.25">
      <c r="C31" s="2" t="s">
        <v>60</v>
      </c>
      <c r="E31" s="2" t="s">
        <v>54</v>
      </c>
      <c r="F31" s="2" t="s">
        <v>5</v>
      </c>
      <c r="H31" s="2" t="str">
        <f t="shared" si="0"/>
        <v>Accounting Fees</v>
      </c>
    </row>
    <row r="32" spans="2:8" x14ac:dyDescent="0.25">
      <c r="C32" s="2" t="s">
        <v>61</v>
      </c>
      <c r="E32" s="2" t="s">
        <v>54</v>
      </c>
      <c r="F32" s="2" t="s">
        <v>5</v>
      </c>
      <c r="H32" s="2" t="str">
        <f t="shared" si="0"/>
        <v>Legal Fees</v>
      </c>
    </row>
    <row r="33" spans="2:8" x14ac:dyDescent="0.25">
      <c r="C33" s="2" t="s">
        <v>62</v>
      </c>
      <c r="E33" s="2" t="s">
        <v>54</v>
      </c>
      <c r="F33" s="2" t="s">
        <v>55</v>
      </c>
      <c r="H33" s="2" t="str">
        <f t="shared" si="0"/>
        <v>Payroll Service Fees</v>
      </c>
    </row>
    <row r="34" spans="2:8" x14ac:dyDescent="0.25">
      <c r="B34" s="2" t="s">
        <v>25</v>
      </c>
      <c r="E34" s="2" t="s">
        <v>57</v>
      </c>
      <c r="F34" s="2" t="s">
        <v>63</v>
      </c>
      <c r="H34" s="2" t="str">
        <f t="shared" si="0"/>
        <v>Rent</v>
      </c>
    </row>
    <row r="35" spans="2:8" x14ac:dyDescent="0.25">
      <c r="B35" s="2" t="s">
        <v>26</v>
      </c>
      <c r="E35" s="2" t="s">
        <v>54</v>
      </c>
      <c r="F35" s="2" t="s">
        <v>5</v>
      </c>
      <c r="H35" s="2" t="str">
        <f t="shared" si="0"/>
        <v>Supplies</v>
      </c>
    </row>
    <row r="36" spans="2:8" x14ac:dyDescent="0.25">
      <c r="B36" s="2" t="s">
        <v>27</v>
      </c>
      <c r="E36" s="2" t="s">
        <v>54</v>
      </c>
      <c r="F36" s="2" t="s">
        <v>5</v>
      </c>
      <c r="H36" s="2" t="str">
        <f t="shared" si="0"/>
        <v>Marketing Expense</v>
      </c>
    </row>
    <row r="37" spans="2:8" x14ac:dyDescent="0.25">
      <c r="B37" s="2" t="s">
        <v>28</v>
      </c>
      <c r="E37" s="2" t="s">
        <v>54</v>
      </c>
      <c r="F37" s="2" t="s">
        <v>5</v>
      </c>
      <c r="H37" s="2" t="str">
        <f t="shared" si="0"/>
        <v>Conferences and Seminars</v>
      </c>
    </row>
    <row r="38" spans="2:8" x14ac:dyDescent="0.25">
      <c r="B38" s="2" t="s">
        <v>29</v>
      </c>
      <c r="E38" s="2" t="s">
        <v>54</v>
      </c>
      <c r="F38" s="2" t="s">
        <v>5</v>
      </c>
      <c r="H38" s="2" t="str">
        <f t="shared" si="0"/>
        <v>Telephone</v>
      </c>
    </row>
    <row r="39" spans="2:8" x14ac:dyDescent="0.25">
      <c r="B39" s="2" t="s">
        <v>30</v>
      </c>
      <c r="E39" s="2" t="s">
        <v>54</v>
      </c>
      <c r="F39" s="2" t="s">
        <v>5</v>
      </c>
      <c r="H39" s="2" t="str">
        <f t="shared" si="0"/>
        <v>Sales Commission (outside reps)</v>
      </c>
    </row>
    <row r="40" spans="2:8" x14ac:dyDescent="0.25">
      <c r="B40" s="2" t="s">
        <v>31</v>
      </c>
      <c r="E40" s="2" t="s">
        <v>54</v>
      </c>
      <c r="F40" s="2" t="s">
        <v>5</v>
      </c>
      <c r="H40" s="2" t="str">
        <f t="shared" si="0"/>
        <v>Travel</v>
      </c>
    </row>
    <row r="41" spans="2:8" x14ac:dyDescent="0.25">
      <c r="B41" s="2" t="s">
        <v>32</v>
      </c>
      <c r="E41" s="2" t="s">
        <v>54</v>
      </c>
      <c r="F41" s="2" t="s">
        <v>25</v>
      </c>
      <c r="H41" s="2" t="str">
        <f t="shared" si="0"/>
        <v>Maintenance/Janitorial</v>
      </c>
    </row>
    <row r="42" spans="2:8" x14ac:dyDescent="0.25">
      <c r="B42" s="2" t="s">
        <v>33</v>
      </c>
      <c r="E42" s="2" t="s">
        <v>54</v>
      </c>
      <c r="F42" s="2" t="s">
        <v>5</v>
      </c>
      <c r="H42" s="2" t="str">
        <f t="shared" si="0"/>
        <v>Contributions</v>
      </c>
    </row>
    <row r="43" spans="2:8" x14ac:dyDescent="0.25">
      <c r="B43" s="2" t="s">
        <v>34</v>
      </c>
      <c r="E43" s="2" t="s">
        <v>52</v>
      </c>
      <c r="F43" s="2" t="s">
        <v>53</v>
      </c>
      <c r="H43" s="2" t="str">
        <f t="shared" si="0"/>
        <v>Other Expense</v>
      </c>
    </row>
    <row r="44" spans="2:8" x14ac:dyDescent="0.25">
      <c r="B44" s="2" t="s">
        <v>35</v>
      </c>
      <c r="E44" s="2" t="s">
        <v>54</v>
      </c>
      <c r="F44" s="2" t="s">
        <v>5</v>
      </c>
      <c r="H44" s="2" t="str">
        <f t="shared" si="0"/>
        <v>Promotional Expense</v>
      </c>
    </row>
    <row r="45" spans="2:8" x14ac:dyDescent="0.25">
      <c r="B45" s="2" t="s">
        <v>36</v>
      </c>
      <c r="E45" s="2" t="s">
        <v>52</v>
      </c>
      <c r="F45" s="2" t="s">
        <v>53</v>
      </c>
      <c r="H45" s="2" t="str">
        <f t="shared" si="0"/>
        <v>Advertising Expense</v>
      </c>
    </row>
    <row r="46" spans="2:8" x14ac:dyDescent="0.25">
      <c r="B46" s="2" t="s">
        <v>37</v>
      </c>
      <c r="E46" s="2" t="s">
        <v>52</v>
      </c>
      <c r="F46" s="2" t="s">
        <v>53</v>
      </c>
      <c r="H46" s="2" t="str">
        <f t="shared" si="0"/>
        <v>Dues and Subscriptions</v>
      </c>
    </row>
    <row r="47" spans="2:8" x14ac:dyDescent="0.25">
      <c r="B47" s="2" t="s">
        <v>38</v>
      </c>
      <c r="E47" s="2" t="s">
        <v>54</v>
      </c>
      <c r="F47" s="2" t="s">
        <v>39</v>
      </c>
      <c r="H47" s="2" t="str">
        <f t="shared" si="0"/>
        <v>Freight Costs</v>
      </c>
    </row>
    <row r="48" spans="2:8" x14ac:dyDescent="0.25">
      <c r="B48" s="2" t="s">
        <v>39</v>
      </c>
      <c r="E48" s="2" t="s">
        <v>54</v>
      </c>
      <c r="F48" s="2" t="s">
        <v>5</v>
      </c>
      <c r="H48" s="2" t="str">
        <f t="shared" si="0"/>
        <v>Packaging Materials</v>
      </c>
    </row>
    <row r="49" spans="2:8" x14ac:dyDescent="0.25">
      <c r="B49" s="2" t="s">
        <v>40</v>
      </c>
      <c r="E49" s="2" t="s">
        <v>54</v>
      </c>
      <c r="F49" s="2" t="s">
        <v>55</v>
      </c>
      <c r="H49" s="2" t="str">
        <f t="shared" si="0"/>
        <v>Meals and Entertainment</v>
      </c>
    </row>
    <row r="50" spans="2:8" x14ac:dyDescent="0.25">
      <c r="B50" s="2" t="s">
        <v>41</v>
      </c>
      <c r="E50" s="2" t="s">
        <v>54</v>
      </c>
      <c r="F50" s="2" t="s">
        <v>25</v>
      </c>
      <c r="H50" s="2" t="str">
        <f t="shared" si="0"/>
        <v>Office Equipment</v>
      </c>
    </row>
    <row r="51" spans="2:8" x14ac:dyDescent="0.25">
      <c r="B51" s="2" t="s">
        <v>42</v>
      </c>
      <c r="E51" s="2" t="s">
        <v>54</v>
      </c>
      <c r="F51" s="2" t="s">
        <v>39</v>
      </c>
      <c r="H51" s="2" t="str">
        <f t="shared" si="0"/>
        <v>Postage and Delivery</v>
      </c>
    </row>
    <row r="52" spans="2:8" x14ac:dyDescent="0.25">
      <c r="B52" s="2" t="s">
        <v>43</v>
      </c>
      <c r="E52" s="2" t="s">
        <v>54</v>
      </c>
      <c r="F52" s="2" t="s">
        <v>5</v>
      </c>
      <c r="H52" s="2" t="str">
        <f t="shared" si="0"/>
        <v>Depreciation Expense</v>
      </c>
    </row>
    <row r="53" spans="2:8" x14ac:dyDescent="0.25">
      <c r="B53" s="2" t="s">
        <v>44</v>
      </c>
      <c r="H53" s="2" t="str">
        <f t="shared" si="0"/>
        <v>Repairs</v>
      </c>
    </row>
    <row r="54" spans="2:8" x14ac:dyDescent="0.25">
      <c r="C54" s="2" t="s">
        <v>45</v>
      </c>
      <c r="E54" s="2" t="s">
        <v>54</v>
      </c>
      <c r="F54" s="2" t="s">
        <v>5</v>
      </c>
      <c r="H54" s="2" t="str">
        <f t="shared" si="0"/>
        <v>Computer Repairs</v>
      </c>
    </row>
    <row r="55" spans="2:8" x14ac:dyDescent="0.25">
      <c r="B55" s="2" t="s">
        <v>46</v>
      </c>
      <c r="E55" s="2" t="s">
        <v>52</v>
      </c>
      <c r="F55" s="2" t="s">
        <v>53</v>
      </c>
      <c r="H55" s="2" t="str">
        <f t="shared" si="0"/>
        <v>Business License &amp; Fees</v>
      </c>
    </row>
    <row r="56" spans="2:8" x14ac:dyDescent="0.25">
      <c r="B56" s="2" t="s">
        <v>47</v>
      </c>
      <c r="E56" s="2" t="s">
        <v>54</v>
      </c>
      <c r="F56" s="2" t="s">
        <v>25</v>
      </c>
      <c r="H56" s="2" t="str">
        <f t="shared" si="0"/>
        <v>Utilities</v>
      </c>
    </row>
    <row r="57" spans="2:8" x14ac:dyDescent="0.25">
      <c r="H57" s="2" t="str">
        <f t="shared" si="0"/>
        <v/>
      </c>
    </row>
    <row r="58" spans="2:8" x14ac:dyDescent="0.25">
      <c r="H58" s="2" t="str">
        <f t="shared" si="0"/>
        <v/>
      </c>
    </row>
    <row r="59" spans="2:8" x14ac:dyDescent="0.25">
      <c r="B59" s="2" t="s">
        <v>64</v>
      </c>
      <c r="H59" s="2" t="str">
        <f t="shared" si="0"/>
        <v>Employees</v>
      </c>
    </row>
    <row r="60" spans="2:8" x14ac:dyDescent="0.25">
      <c r="C60" s="2" t="s">
        <v>65</v>
      </c>
      <c r="E60" s="2" t="s">
        <v>57</v>
      </c>
      <c r="F60" s="2" t="s">
        <v>66</v>
      </c>
      <c r="H60" s="2" t="str">
        <f t="shared" si="0"/>
        <v>Office Staff</v>
      </c>
    </row>
    <row r="61" spans="2:8" x14ac:dyDescent="0.25">
      <c r="C61" s="2" t="s">
        <v>67</v>
      </c>
      <c r="E61" s="2" t="s">
        <v>57</v>
      </c>
      <c r="F61" s="2" t="s">
        <v>5</v>
      </c>
      <c r="H61" s="2" t="str">
        <f t="shared" si="0"/>
        <v>Inside Sales</v>
      </c>
    </row>
    <row r="62" spans="2:8" x14ac:dyDescent="0.25">
      <c r="C62" s="2" t="s">
        <v>68</v>
      </c>
      <c r="E62" s="2" t="s">
        <v>57</v>
      </c>
      <c r="F62" s="2" t="s">
        <v>5</v>
      </c>
      <c r="H62" s="2" t="str">
        <f t="shared" si="0"/>
        <v>Warehouse</v>
      </c>
    </row>
    <row r="63" spans="2:8" x14ac:dyDescent="0.25">
      <c r="H63" s="2" t="str">
        <f t="shared" si="0"/>
        <v/>
      </c>
    </row>
    <row r="64" spans="2:8" x14ac:dyDescent="0.25">
      <c r="B64" s="2" t="s">
        <v>69</v>
      </c>
      <c r="E64" s="2" t="s">
        <v>57</v>
      </c>
      <c r="F64" s="2" t="s">
        <v>64</v>
      </c>
      <c r="H64" s="2" t="str">
        <f t="shared" si="0"/>
        <v>Square Footage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18E99-AC52-4F66-A321-7F2BDA202861}">
  <sheetPr>
    <pageSetUpPr fitToPage="1"/>
  </sheetPr>
  <dimension ref="A1:N45"/>
  <sheetViews>
    <sheetView zoomScale="85" zoomScaleNormal="85" workbookViewId="0">
      <pane xSplit="9" ySplit="3" topLeftCell="J4" activePane="bottomRight" state="frozen"/>
      <selection pane="topRight" activeCell="J1" sqref="J1"/>
      <selection pane="bottomLeft" activeCell="A4" sqref="A4"/>
      <selection pane="bottomRight" activeCell="J3" sqref="J3"/>
    </sheetView>
  </sheetViews>
  <sheetFormatPr defaultColWidth="8" defaultRowHeight="13.8" x14ac:dyDescent="0.25"/>
  <cols>
    <col min="1" max="1" width="1.69921875" customWidth="1"/>
    <col min="2" max="4" width="1.59765625" customWidth="1"/>
    <col min="5" max="5" width="32.19921875" customWidth="1"/>
    <col min="6" max="8" width="11.5" customWidth="1"/>
    <col min="9" max="9" width="1.59765625" customWidth="1"/>
    <col min="10" max="11" width="11.796875" bestFit="1" customWidth="1"/>
    <col min="12" max="14" width="12" bestFit="1" customWidth="1"/>
    <col min="15" max="15" width="11.5" customWidth="1"/>
    <col min="16" max="16383" width="8" customWidth="1"/>
  </cols>
  <sheetData>
    <row r="1" spans="1:14" s="31" customFormat="1" x14ac:dyDescent="0.25">
      <c r="A1" s="31" t="str" cm="1">
        <f t="array" ref="A1">company</f>
        <v>Powerstill Inc.</v>
      </c>
    </row>
    <row r="2" spans="1:14" s="31" customFormat="1" x14ac:dyDescent="0.25">
      <c r="A2" s="31" t="str" cm="1">
        <f t="array" ref="A2">topic</f>
        <v>CFM Topic: Costs</v>
      </c>
    </row>
    <row r="3" spans="1:14" s="31" customFormat="1" x14ac:dyDescent="0.25">
      <c r="A3" s="31" t="s">
        <v>86</v>
      </c>
      <c r="J3" s="37" cm="1">
        <f t="array" ref="J3:N3">EOMONTH(last_actual_date,_xlfn.SEQUENCE(1,periods,12,12))</f>
        <v>43830</v>
      </c>
      <c r="K3" s="37">
        <v>44196</v>
      </c>
      <c r="L3" s="37">
        <v>44561</v>
      </c>
      <c r="M3" s="37">
        <v>44926</v>
      </c>
      <c r="N3" s="37">
        <v>45291</v>
      </c>
    </row>
    <row r="5" spans="1:14" s="32" customFormat="1" x14ac:dyDescent="0.25">
      <c r="A5" s="33" t="s">
        <v>88</v>
      </c>
    </row>
    <row r="7" spans="1:14" x14ac:dyDescent="0.25">
      <c r="E7" t="s">
        <v>93</v>
      </c>
      <c r="F7" s="35">
        <f>last_actual_date</f>
        <v>43465</v>
      </c>
      <c r="G7" t="s">
        <v>89</v>
      </c>
    </row>
    <row r="8" spans="1:14" x14ac:dyDescent="0.25">
      <c r="E8" t="s">
        <v>90</v>
      </c>
      <c r="F8" s="36">
        <f xml:space="preserve"> COUNT( Assumptions!G6:K6 )</f>
        <v>5</v>
      </c>
      <c r="G8" t="s">
        <v>91</v>
      </c>
    </row>
    <row r="10" spans="1:14" x14ac:dyDescent="0.25">
      <c r="E10" t="s">
        <v>92</v>
      </c>
      <c r="G10" t="s">
        <v>89</v>
      </c>
      <c r="J10" s="38" cm="1">
        <f t="array" ref="J10:N10">EOMONTH(last_actual_date,_xlfn.SEQUENCE(1,periods,12,12))</f>
        <v>43830</v>
      </c>
      <c r="K10" s="38">
        <v>44196</v>
      </c>
      <c r="L10" s="38">
        <v>44561</v>
      </c>
      <c r="M10" s="38">
        <v>44926</v>
      </c>
      <c r="N10" s="38">
        <v>45291</v>
      </c>
    </row>
    <row r="45" spans="1:1" s="32" customFormat="1" x14ac:dyDescent="0.25">
      <c r="A45" s="33" t="s">
        <v>87</v>
      </c>
    </row>
  </sheetData>
  <printOptions horizontalCentered="1"/>
  <pageMargins left="0.15748031496062992" right="0.15748031496062992" top="0.39370078740157483" bottom="0.39370078740157483" header="0.15748031496062992" footer="0.15748031496062992"/>
  <pageSetup scale="87" fitToHeight="0" orientation="landscape" r:id="rId1"/>
  <headerFooter>
    <oddFooter>&amp;LFinancial Modeling Institute
CFM October 2026&amp;CPage &amp;P of &amp;N&amp;R&amp;D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3AB55-E33D-4AF5-826B-3CFA0FD42A6F}">
  <sheetPr>
    <tabColor rgb="FFFFFF00"/>
  </sheetPr>
  <dimension ref="B2:I464"/>
  <sheetViews>
    <sheetView showGridLines="0" topLeftCell="C35" workbookViewId="0">
      <selection activeCell="G10" sqref="G10"/>
    </sheetView>
  </sheetViews>
  <sheetFormatPr defaultColWidth="9" defaultRowHeight="13.2" x14ac:dyDescent="0.25"/>
  <cols>
    <col min="1" max="1" width="9" style="2"/>
    <col min="2" max="2" width="28.796875" style="2" customWidth="1"/>
    <col min="3" max="3" width="27.69921875" style="2" customWidth="1"/>
    <col min="4" max="5" width="12.69921875" style="2" customWidth="1"/>
    <col min="6" max="6" width="9" style="2"/>
    <col min="7" max="8" width="28.09765625" style="2" customWidth="1"/>
    <col min="9" max="9" width="12" style="2" customWidth="1"/>
    <col min="10" max="16384" width="9" style="2"/>
  </cols>
  <sheetData>
    <row r="2" spans="2:9" ht="22.8" x14ac:dyDescent="0.4">
      <c r="B2" s="1" t="s">
        <v>84</v>
      </c>
    </row>
    <row r="3" spans="2:9" ht="17.399999999999999" x14ac:dyDescent="0.3">
      <c r="B3" s="3" t="s">
        <v>0</v>
      </c>
    </row>
    <row r="4" spans="2:9" ht="3" customHeight="1" thickBot="1" x14ac:dyDescent="0.3">
      <c r="B4" s="4"/>
      <c r="C4" s="4"/>
      <c r="D4" s="4"/>
      <c r="E4" s="4"/>
    </row>
    <row r="5" spans="2:9" x14ac:dyDescent="0.25">
      <c r="B5" s="5" t="s">
        <v>85</v>
      </c>
      <c r="C5" s="6"/>
      <c r="D5" s="6"/>
      <c r="E5" s="6"/>
    </row>
    <row r="7" spans="2:9" x14ac:dyDescent="0.25">
      <c r="B7" s="7" t="s">
        <v>1</v>
      </c>
      <c r="C7" s="7" t="s">
        <v>2</v>
      </c>
      <c r="D7" s="7" t="s">
        <v>3</v>
      </c>
      <c r="E7" s="7" t="s">
        <v>4</v>
      </c>
      <c r="G7" s="29" t="str" cm="1">
        <f t="array" ref="G7:I45">_xlfn.CHOOSECOLS( _xlfn.PIVOTBY( _xlfn.CHOOSECOLS( _01_data[], {1,2} ), _01_data[DATE], _01_data[AMOUNT],_xleta.SUM,,0,,,,), {1,2,14})</f>
        <v/>
      </c>
      <c r="H7" s="29" t="str">
        <v/>
      </c>
      <c r="I7" s="29">
        <v>43465</v>
      </c>
    </row>
    <row r="8" spans="2:9" x14ac:dyDescent="0.25">
      <c r="B8" s="8" t="s">
        <v>5</v>
      </c>
      <c r="C8" s="8" t="s">
        <v>5</v>
      </c>
      <c r="D8" s="9">
        <v>39447</v>
      </c>
      <c r="E8" s="10">
        <v>561</v>
      </c>
      <c r="G8" s="2" t="str">
        <v>Advertising Expense</v>
      </c>
      <c r="H8" s="2" t="str">
        <v>Advertising Expense</v>
      </c>
      <c r="I8" s="30">
        <v>3.3311328594997653</v>
      </c>
    </row>
    <row r="9" spans="2:9" x14ac:dyDescent="0.25">
      <c r="B9" s="8" t="s">
        <v>5</v>
      </c>
      <c r="C9" s="8" t="s">
        <v>5</v>
      </c>
      <c r="D9" s="9">
        <v>39813</v>
      </c>
      <c r="E9" s="10">
        <v>585.43701436042795</v>
      </c>
      <c r="G9" s="2" t="str">
        <v>Business License &amp; Fees</v>
      </c>
      <c r="H9" s="2" t="str">
        <v>Business License &amp; Fees</v>
      </c>
      <c r="I9" s="30">
        <v>76.790756776217165</v>
      </c>
    </row>
    <row r="10" spans="2:9" x14ac:dyDescent="0.25">
      <c r="B10" s="8" t="s">
        <v>5</v>
      </c>
      <c r="C10" s="8" t="s">
        <v>5</v>
      </c>
      <c r="D10" s="9">
        <v>40178</v>
      </c>
      <c r="E10" s="10">
        <v>610.1185334293466</v>
      </c>
      <c r="G10" s="2" t="str">
        <v>Car/Truck Expense</v>
      </c>
      <c r="H10" s="2" t="str">
        <v>Car Lease</v>
      </c>
      <c r="I10" s="30">
        <v>32.515963973312836</v>
      </c>
    </row>
    <row r="11" spans="2:9" x14ac:dyDescent="0.25">
      <c r="B11" s="8" t="s">
        <v>5</v>
      </c>
      <c r="C11" s="8" t="s">
        <v>5</v>
      </c>
      <c r="D11" s="9">
        <v>40543</v>
      </c>
      <c r="E11" s="10">
        <v>611.18609863087659</v>
      </c>
      <c r="G11" s="2" t="str">
        <v>Car/Truck Expense</v>
      </c>
      <c r="H11" s="2" t="str">
        <v>Gas</v>
      </c>
      <c r="I11" s="30">
        <v>0.97075995541371374</v>
      </c>
    </row>
    <row r="12" spans="2:9" x14ac:dyDescent="0.25">
      <c r="B12" s="8" t="s">
        <v>5</v>
      </c>
      <c r="C12" s="8" t="s">
        <v>5</v>
      </c>
      <c r="D12" s="9">
        <v>40908</v>
      </c>
      <c r="E12" s="10">
        <v>626.39199000436918</v>
      </c>
      <c r="G12" s="2" t="str">
        <v>Car/Truck Expense</v>
      </c>
      <c r="H12" s="2" t="str">
        <v>Insurance-Auto</v>
      </c>
      <c r="I12" s="30">
        <v>1.3867685262865839</v>
      </c>
    </row>
    <row r="13" spans="2:9" x14ac:dyDescent="0.25">
      <c r="B13" s="8" t="s">
        <v>5</v>
      </c>
      <c r="C13" s="8" t="s">
        <v>5</v>
      </c>
      <c r="D13" s="9">
        <v>41274</v>
      </c>
      <c r="E13" s="10">
        <v>628.0217317762374</v>
      </c>
      <c r="G13" s="2" t="str">
        <v>Car/Truck Expense</v>
      </c>
      <c r="H13" s="2" t="str">
        <v>Registration &amp; License</v>
      </c>
      <c r="I13" s="30">
        <v>7.5342496900139748</v>
      </c>
    </row>
    <row r="14" spans="2:9" x14ac:dyDescent="0.25">
      <c r="B14" s="8" t="s">
        <v>5</v>
      </c>
      <c r="C14" s="8" t="s">
        <v>5</v>
      </c>
      <c r="D14" s="9">
        <v>41639</v>
      </c>
      <c r="E14" s="10">
        <v>656.99086614189662</v>
      </c>
      <c r="G14" s="2" t="str">
        <v>Car/Truck Expense</v>
      </c>
      <c r="H14" s="2" t="str">
        <v>Repairs &amp; Maintenance</v>
      </c>
      <c r="I14" s="30">
        <v>3.1109048962170407</v>
      </c>
    </row>
    <row r="15" spans="2:9" x14ac:dyDescent="0.25">
      <c r="B15" s="8" t="s">
        <v>5</v>
      </c>
      <c r="C15" s="8" t="s">
        <v>5</v>
      </c>
      <c r="D15" s="9">
        <v>42004</v>
      </c>
      <c r="E15" s="10">
        <v>667.68240059236007</v>
      </c>
      <c r="G15" s="2" t="str">
        <v>Conferences and Seminars</v>
      </c>
      <c r="H15" s="2" t="str">
        <v>Conferences and Seminars</v>
      </c>
      <c r="I15" s="30">
        <v>0.81296385127754089</v>
      </c>
    </row>
    <row r="16" spans="2:9" x14ac:dyDescent="0.25">
      <c r="B16" s="8" t="s">
        <v>5</v>
      </c>
      <c r="C16" s="8" t="s">
        <v>5</v>
      </c>
      <c r="D16" s="9">
        <v>42369</v>
      </c>
      <c r="E16" s="10">
        <v>692.38854578799442</v>
      </c>
      <c r="G16" s="2" t="str">
        <v>Contributions</v>
      </c>
      <c r="H16" s="2" t="str">
        <v>Contributions</v>
      </c>
      <c r="I16" s="30">
        <v>4.7928998643590992</v>
      </c>
    </row>
    <row r="17" spans="2:9" x14ac:dyDescent="0.25">
      <c r="B17" s="8" t="s">
        <v>5</v>
      </c>
      <c r="C17" s="8" t="s">
        <v>5</v>
      </c>
      <c r="D17" s="9">
        <v>42735</v>
      </c>
      <c r="E17" s="10">
        <v>715.99860487147816</v>
      </c>
      <c r="G17" s="2" t="str">
        <v>Depreciation Expense</v>
      </c>
      <c r="H17" s="2" t="str">
        <v>Depreciation Expense</v>
      </c>
      <c r="I17" s="30">
        <v>21.872141726280113</v>
      </c>
    </row>
    <row r="18" spans="2:9" x14ac:dyDescent="0.25">
      <c r="B18" s="8" t="s">
        <v>5</v>
      </c>
      <c r="C18" s="8" t="s">
        <v>5</v>
      </c>
      <c r="D18" s="9">
        <v>43100</v>
      </c>
      <c r="E18" s="10">
        <v>738.97710853083549</v>
      </c>
      <c r="G18" s="2" t="str">
        <v>Direct Labor</v>
      </c>
      <c r="H18" s="2" t="str">
        <v>Salaries - Inside Sales</v>
      </c>
      <c r="I18" s="30">
        <v>17.858171332624423</v>
      </c>
    </row>
    <row r="19" spans="2:9" x14ac:dyDescent="0.25">
      <c r="B19" s="8" t="s">
        <v>5</v>
      </c>
      <c r="C19" s="8" t="s">
        <v>5</v>
      </c>
      <c r="D19" s="9">
        <v>43465</v>
      </c>
      <c r="E19" s="10">
        <v>763.1908711844892</v>
      </c>
      <c r="G19" s="2" t="str">
        <v>Direct Labor</v>
      </c>
      <c r="H19" s="2" t="str">
        <v>Salaries - Warehouse</v>
      </c>
      <c r="I19" s="30">
        <v>12.489147182368979</v>
      </c>
    </row>
    <row r="20" spans="2:9" x14ac:dyDescent="0.25">
      <c r="B20" s="8" t="s">
        <v>6</v>
      </c>
      <c r="C20" s="8" t="s">
        <v>6</v>
      </c>
      <c r="D20" s="9">
        <v>39447</v>
      </c>
      <c r="E20" s="10">
        <v>123.42</v>
      </c>
      <c r="G20" s="2" t="str">
        <v>Dues and Subscriptions</v>
      </c>
      <c r="H20" s="2" t="str">
        <v>Dues and Subscriptions</v>
      </c>
      <c r="I20" s="30">
        <v>44.625501823875219</v>
      </c>
    </row>
    <row r="21" spans="2:9" x14ac:dyDescent="0.25">
      <c r="B21" s="8" t="s">
        <v>6</v>
      </c>
      <c r="C21" s="8" t="s">
        <v>6</v>
      </c>
      <c r="D21" s="9">
        <v>39813</v>
      </c>
      <c r="E21" s="10">
        <v>128.79614315929416</v>
      </c>
      <c r="G21" s="2" t="str">
        <v>Freight Costs</v>
      </c>
      <c r="H21" s="2" t="str">
        <v>Freight Costs</v>
      </c>
      <c r="I21" s="30">
        <v>6.5250329222332377</v>
      </c>
    </row>
    <row r="22" spans="2:9" x14ac:dyDescent="0.25">
      <c r="B22" s="8" t="s">
        <v>6</v>
      </c>
      <c r="C22" s="8" t="s">
        <v>6</v>
      </c>
      <c r="D22" s="9">
        <v>40178</v>
      </c>
      <c r="E22" s="10">
        <v>134.22607735445627</v>
      </c>
      <c r="G22" s="2" t="str">
        <v>Insurance</v>
      </c>
      <c r="H22" s="2" t="str">
        <v>General Liability Insurance</v>
      </c>
      <c r="I22" s="30">
        <v>32.126454557081409</v>
      </c>
    </row>
    <row r="23" spans="2:9" x14ac:dyDescent="0.25">
      <c r="B23" s="8" t="s">
        <v>6</v>
      </c>
      <c r="C23" s="8" t="s">
        <v>6</v>
      </c>
      <c r="D23" s="9">
        <v>40543</v>
      </c>
      <c r="E23" s="10">
        <v>134.46094169879285</v>
      </c>
      <c r="G23" s="2" t="str">
        <v>Insurance</v>
      </c>
      <c r="H23" s="2" t="str">
        <v>Owner's Health Insurance</v>
      </c>
      <c r="I23" s="30">
        <v>56.610957019101839</v>
      </c>
    </row>
    <row r="24" spans="2:9" x14ac:dyDescent="0.25">
      <c r="B24" s="8" t="s">
        <v>6</v>
      </c>
      <c r="C24" s="8" t="s">
        <v>6</v>
      </c>
      <c r="D24" s="9">
        <v>40908</v>
      </c>
      <c r="E24" s="10">
        <v>137.80623780096121</v>
      </c>
      <c r="G24" s="2" t="str">
        <v>Insurance</v>
      </c>
      <c r="H24" s="2" t="str">
        <v>Professional Liability Insurance</v>
      </c>
      <c r="I24" s="30">
        <v>2.1826990040572278</v>
      </c>
    </row>
    <row r="25" spans="2:9" x14ac:dyDescent="0.25">
      <c r="B25" s="8" t="s">
        <v>6</v>
      </c>
      <c r="C25" s="8" t="s">
        <v>6</v>
      </c>
      <c r="D25" s="9">
        <v>41274</v>
      </c>
      <c r="E25" s="10">
        <v>138.16478099077224</v>
      </c>
      <c r="G25" s="2" t="str">
        <v>Insurance</v>
      </c>
      <c r="H25" s="2" t="str">
        <v>Worker's Compensation</v>
      </c>
      <c r="I25" s="30">
        <v>1.6084447537602238</v>
      </c>
    </row>
    <row r="26" spans="2:9" x14ac:dyDescent="0.25">
      <c r="B26" s="8" t="s">
        <v>6</v>
      </c>
      <c r="C26" s="8" t="s">
        <v>6</v>
      </c>
      <c r="D26" s="9">
        <v>41639</v>
      </c>
      <c r="E26" s="10">
        <v>144.53799055121726</v>
      </c>
      <c r="G26" s="2" t="str">
        <v>Maintenance/Janitorial</v>
      </c>
      <c r="H26" s="2" t="str">
        <v>Maintenance/Janitorial</v>
      </c>
      <c r="I26" s="30">
        <v>7.4128970083419699</v>
      </c>
    </row>
    <row r="27" spans="2:9" x14ac:dyDescent="0.25">
      <c r="B27" s="8" t="s">
        <v>6</v>
      </c>
      <c r="C27" s="8" t="s">
        <v>6</v>
      </c>
      <c r="D27" s="9">
        <v>42004</v>
      </c>
      <c r="E27" s="10">
        <v>146.89012813031923</v>
      </c>
      <c r="G27" s="2" t="str">
        <v>Marketing Expense</v>
      </c>
      <c r="H27" s="2" t="str">
        <v>Marketing Expense</v>
      </c>
      <c r="I27" s="30">
        <v>39.146353565220053</v>
      </c>
    </row>
    <row r="28" spans="2:9" x14ac:dyDescent="0.25">
      <c r="B28" s="8" t="s">
        <v>6</v>
      </c>
      <c r="C28" s="8" t="s">
        <v>6</v>
      </c>
      <c r="D28" s="9">
        <v>42369</v>
      </c>
      <c r="E28" s="10">
        <v>152.32548007335876</v>
      </c>
      <c r="G28" s="2" t="str">
        <v>Meals and Entertainment</v>
      </c>
      <c r="H28" s="2" t="str">
        <v>Meals and Entertainment</v>
      </c>
      <c r="I28" s="30">
        <v>1.9387305603326124</v>
      </c>
    </row>
    <row r="29" spans="2:9" x14ac:dyDescent="0.25">
      <c r="B29" s="8" t="s">
        <v>6</v>
      </c>
      <c r="C29" s="8" t="s">
        <v>6</v>
      </c>
      <c r="D29" s="9">
        <v>42735</v>
      </c>
      <c r="E29" s="10">
        <v>157.51969307172519</v>
      </c>
      <c r="G29" s="2" t="str">
        <v>Office Equipment</v>
      </c>
      <c r="H29" s="2" t="str">
        <v>Office Equipment</v>
      </c>
      <c r="I29" s="30">
        <v>20.801290232318809</v>
      </c>
    </row>
    <row r="30" spans="2:9" x14ac:dyDescent="0.25">
      <c r="B30" s="8" t="s">
        <v>6</v>
      </c>
      <c r="C30" s="8" t="s">
        <v>6</v>
      </c>
      <c r="D30" s="9">
        <v>43100</v>
      </c>
      <c r="E30" s="10">
        <v>162.57496387678381</v>
      </c>
      <c r="G30" s="2" t="str">
        <v>Other Expense</v>
      </c>
      <c r="H30" s="2" t="str">
        <v>Other Expense</v>
      </c>
      <c r="I30" s="30">
        <v>2.4659625019451399</v>
      </c>
    </row>
    <row r="31" spans="2:9" x14ac:dyDescent="0.25">
      <c r="B31" s="8" t="s">
        <v>6</v>
      </c>
      <c r="C31" s="8" t="s">
        <v>6</v>
      </c>
      <c r="D31" s="9">
        <v>43465</v>
      </c>
      <c r="E31" s="10">
        <v>167.90199166058761</v>
      </c>
      <c r="G31" s="2" t="str">
        <v>Packaging Materials</v>
      </c>
      <c r="H31" s="2" t="str">
        <v>Packaging Materials</v>
      </c>
      <c r="I31" s="30">
        <v>2.6197547552611571</v>
      </c>
    </row>
    <row r="32" spans="2:9" x14ac:dyDescent="0.25">
      <c r="B32" s="8" t="s">
        <v>7</v>
      </c>
      <c r="C32" s="11" t="s">
        <v>8</v>
      </c>
      <c r="D32" s="9">
        <v>39447</v>
      </c>
      <c r="E32" s="10">
        <v>26</v>
      </c>
      <c r="G32" s="2" t="str">
        <v>Postage and Delivery</v>
      </c>
      <c r="H32" s="2" t="str">
        <v>Postage and Delivery</v>
      </c>
      <c r="I32" s="30">
        <v>4.5964808876137129</v>
      </c>
    </row>
    <row r="33" spans="2:9" x14ac:dyDescent="0.25">
      <c r="B33" s="8" t="s">
        <v>7</v>
      </c>
      <c r="C33" s="11" t="s">
        <v>8</v>
      </c>
      <c r="D33" s="9">
        <v>39813</v>
      </c>
      <c r="E33" s="10">
        <v>26.504946656594676</v>
      </c>
      <c r="G33" s="2" t="str">
        <v>Promotional Expense</v>
      </c>
      <c r="H33" s="2" t="str">
        <v>Promotional Expense</v>
      </c>
      <c r="I33" s="30">
        <v>5.2611763278118877</v>
      </c>
    </row>
    <row r="34" spans="2:9" x14ac:dyDescent="0.25">
      <c r="B34" s="8" t="s">
        <v>7</v>
      </c>
      <c r="C34" s="11" t="s">
        <v>8</v>
      </c>
      <c r="D34" s="9">
        <v>40178</v>
      </c>
      <c r="E34" s="10">
        <v>27.019699894958816</v>
      </c>
      <c r="G34" s="2" t="str">
        <v>Purchases (Cost of Goods)</v>
      </c>
      <c r="H34" s="2" t="str">
        <v>Purchases (Cost of Goods)</v>
      </c>
      <c r="I34" s="30">
        <v>167.90199166058761</v>
      </c>
    </row>
    <row r="35" spans="2:9" x14ac:dyDescent="0.25">
      <c r="B35" s="8" t="s">
        <v>7</v>
      </c>
      <c r="C35" s="11" t="s">
        <v>8</v>
      </c>
      <c r="D35" s="9">
        <v>40543</v>
      </c>
      <c r="E35" s="10">
        <v>27.54445016896462</v>
      </c>
      <c r="G35" s="2" t="str">
        <v>Rent</v>
      </c>
      <c r="H35" s="2" t="str">
        <v>Rent</v>
      </c>
      <c r="I35" s="30">
        <v>11.126834734014013</v>
      </c>
    </row>
    <row r="36" spans="2:9" x14ac:dyDescent="0.25">
      <c r="B36" s="8" t="s">
        <v>7</v>
      </c>
      <c r="C36" s="11" t="s">
        <v>8</v>
      </c>
      <c r="D36" s="9">
        <v>40908</v>
      </c>
      <c r="E36" s="10">
        <v>28.079391631293745</v>
      </c>
      <c r="G36" s="2" t="str">
        <v>Repairs</v>
      </c>
      <c r="H36" s="2" t="str">
        <v>Computer Repairs</v>
      </c>
      <c r="I36" s="30">
        <v>24.837539438936595</v>
      </c>
    </row>
    <row r="37" spans="2:9" x14ac:dyDescent="0.25">
      <c r="B37" s="8" t="s">
        <v>7</v>
      </c>
      <c r="C37" s="11" t="s">
        <v>8</v>
      </c>
      <c r="D37" s="9">
        <v>41274</v>
      </c>
      <c r="E37" s="10">
        <v>28.624722205271986</v>
      </c>
      <c r="G37" s="2" t="str">
        <v>Revenue</v>
      </c>
      <c r="H37" s="2" t="str">
        <v>Revenue</v>
      </c>
      <c r="I37" s="30">
        <v>763.1908711844892</v>
      </c>
    </row>
    <row r="38" spans="2:9" x14ac:dyDescent="0.25">
      <c r="B38" s="8" t="s">
        <v>7</v>
      </c>
      <c r="C38" s="11" t="s">
        <v>8</v>
      </c>
      <c r="D38" s="9">
        <v>41639</v>
      </c>
      <c r="E38" s="10">
        <v>29.18064365809904</v>
      </c>
      <c r="G38" s="2" t="str">
        <v>Sales Commission (outside reps)</v>
      </c>
      <c r="H38" s="2" t="str">
        <v>Sales Commission (outside reps)</v>
      </c>
      <c r="I38" s="30">
        <v>3.2978699546556487</v>
      </c>
    </row>
    <row r="39" spans="2:9" x14ac:dyDescent="0.25">
      <c r="B39" s="8" t="s">
        <v>7</v>
      </c>
      <c r="C39" s="11" t="s">
        <v>8</v>
      </c>
      <c r="D39" s="9">
        <v>42004</v>
      </c>
      <c r="E39" s="10">
        <v>29.747361675500489</v>
      </c>
      <c r="G39" s="2" t="str">
        <v>Supplies</v>
      </c>
      <c r="H39" s="2" t="str">
        <v>Supplies</v>
      </c>
      <c r="I39" s="30">
        <v>19.079017627817741</v>
      </c>
    </row>
    <row r="40" spans="2:9" x14ac:dyDescent="0.25">
      <c r="B40" s="8" t="s">
        <v>7</v>
      </c>
      <c r="C40" s="11" t="s">
        <v>8</v>
      </c>
      <c r="D40" s="9">
        <v>42369</v>
      </c>
      <c r="E40" s="10">
        <v>30.325085937829584</v>
      </c>
      <c r="G40" s="2" t="str">
        <v>Telephone</v>
      </c>
      <c r="H40" s="2" t="str">
        <v>Telephone</v>
      </c>
      <c r="I40" s="30">
        <v>7.2339553983788747</v>
      </c>
    </row>
    <row r="41" spans="2:9" x14ac:dyDescent="0.25">
      <c r="B41" s="8" t="s">
        <v>7</v>
      </c>
      <c r="C41" s="11" t="s">
        <v>8</v>
      </c>
      <c r="D41" s="9">
        <v>42735</v>
      </c>
      <c r="E41" s="10">
        <v>30.914030197647016</v>
      </c>
      <c r="G41" s="2" t="str">
        <v>Travel</v>
      </c>
      <c r="H41" s="2" t="str">
        <v>Travel</v>
      </c>
      <c r="I41" s="30">
        <v>4.2011943286906899</v>
      </c>
    </row>
    <row r="42" spans="2:9" x14ac:dyDescent="0.25">
      <c r="B42" s="8" t="s">
        <v>7</v>
      </c>
      <c r="C42" s="11" t="s">
        <v>8</v>
      </c>
      <c r="D42" s="9">
        <v>43100</v>
      </c>
      <c r="E42" s="10">
        <v>31.514412358807348</v>
      </c>
      <c r="G42" s="2" t="str">
        <v>Utilities</v>
      </c>
      <c r="H42" s="2" t="str">
        <v>Utilities</v>
      </c>
      <c r="I42" s="30">
        <v>0.90460006115606961</v>
      </c>
    </row>
    <row r="43" spans="2:9" x14ac:dyDescent="0.25">
      <c r="B43" s="8" t="s">
        <v>7</v>
      </c>
      <c r="C43" s="11" t="s">
        <v>8</v>
      </c>
      <c r="D43" s="9">
        <v>43465</v>
      </c>
      <c r="E43" s="10">
        <v>32.126454557081409</v>
      </c>
      <c r="G43" s="2" t="str">
        <v>Wages</v>
      </c>
      <c r="H43" s="2" t="str">
        <v>Employee Benefits</v>
      </c>
      <c r="I43" s="30">
        <v>6.5485859291069737</v>
      </c>
    </row>
    <row r="44" spans="2:9" x14ac:dyDescent="0.25">
      <c r="B44" s="8" t="s">
        <v>7</v>
      </c>
      <c r="C44" s="11" t="s">
        <v>9</v>
      </c>
      <c r="D44" s="9">
        <v>39447</v>
      </c>
      <c r="E44" s="10">
        <v>50</v>
      </c>
      <c r="G44" s="2" t="str">
        <v>Wages</v>
      </c>
      <c r="H44" s="2" t="str">
        <v>Payroll Tax Expenses</v>
      </c>
      <c r="I44" s="30">
        <v>1.6101653224585599</v>
      </c>
    </row>
    <row r="45" spans="2:9" x14ac:dyDescent="0.25">
      <c r="B45" s="8" t="s">
        <v>7</v>
      </c>
      <c r="C45" s="11" t="s">
        <v>9</v>
      </c>
      <c r="D45" s="9">
        <v>39813</v>
      </c>
      <c r="E45" s="10">
        <v>50.567650579982029</v>
      </c>
      <c r="G45" s="2" t="str">
        <v>Wages</v>
      </c>
      <c r="H45" s="2" t="str">
        <v>Salaries - Office Staff</v>
      </c>
      <c r="I45" s="30">
        <v>14.899444912204199</v>
      </c>
    </row>
    <row r="46" spans="2:9" x14ac:dyDescent="0.25">
      <c r="B46" s="8" t="s">
        <v>7</v>
      </c>
      <c r="C46" s="11" t="s">
        <v>9</v>
      </c>
      <c r="D46" s="9">
        <v>40178</v>
      </c>
      <c r="E46" s="10">
        <v>51.141745703583133</v>
      </c>
      <c r="I46" s="30"/>
    </row>
    <row r="47" spans="2:9" x14ac:dyDescent="0.25">
      <c r="B47" s="8" t="s">
        <v>7</v>
      </c>
      <c r="C47" s="11" t="s">
        <v>9</v>
      </c>
      <c r="D47" s="9">
        <v>40543</v>
      </c>
      <c r="E47" s="10">
        <v>51.72235853578178</v>
      </c>
    </row>
    <row r="48" spans="2:9" x14ac:dyDescent="0.25">
      <c r="B48" s="8" t="s">
        <v>7</v>
      </c>
      <c r="C48" s="11" t="s">
        <v>9</v>
      </c>
      <c r="D48" s="9">
        <v>40908</v>
      </c>
      <c r="E48" s="10">
        <v>52.309563072199275</v>
      </c>
    </row>
    <row r="49" spans="2:5" x14ac:dyDescent="0.25">
      <c r="B49" s="8" t="s">
        <v>7</v>
      </c>
      <c r="C49" s="11" t="s">
        <v>9</v>
      </c>
      <c r="D49" s="9">
        <v>41274</v>
      </c>
      <c r="E49" s="10">
        <v>52.903434148530081</v>
      </c>
    </row>
    <row r="50" spans="2:5" x14ac:dyDescent="0.25">
      <c r="B50" s="8" t="s">
        <v>7</v>
      </c>
      <c r="C50" s="11" t="s">
        <v>9</v>
      </c>
      <c r="D50" s="9">
        <v>41639</v>
      </c>
      <c r="E50" s="10">
        <v>53.504047450079163</v>
      </c>
    </row>
    <row r="51" spans="2:5" x14ac:dyDescent="0.25">
      <c r="B51" s="8" t="s">
        <v>7</v>
      </c>
      <c r="C51" s="11" t="s">
        <v>9</v>
      </c>
      <c r="D51" s="9">
        <v>42004</v>
      </c>
      <c r="E51" s="10">
        <v>54.111479521407631</v>
      </c>
    </row>
    <row r="52" spans="2:5" x14ac:dyDescent="0.25">
      <c r="B52" s="8" t="s">
        <v>7</v>
      </c>
      <c r="C52" s="11" t="s">
        <v>9</v>
      </c>
      <c r="D52" s="9">
        <v>42369</v>
      </c>
      <c r="E52" s="10">
        <v>54.725807776087883</v>
      </c>
    </row>
    <row r="53" spans="2:5" x14ac:dyDescent="0.25">
      <c r="B53" s="8" t="s">
        <v>7</v>
      </c>
      <c r="C53" s="11" t="s">
        <v>9</v>
      </c>
      <c r="D53" s="9">
        <v>42735</v>
      </c>
      <c r="E53" s="10">
        <v>55.347110506569507</v>
      </c>
    </row>
    <row r="54" spans="2:5" x14ac:dyDescent="0.25">
      <c r="B54" s="8" t="s">
        <v>7</v>
      </c>
      <c r="C54" s="11" t="s">
        <v>9</v>
      </c>
      <c r="D54" s="9">
        <v>43100</v>
      </c>
      <c r="E54" s="10">
        <v>55.975466894157179</v>
      </c>
    </row>
    <row r="55" spans="2:5" x14ac:dyDescent="0.25">
      <c r="B55" s="8" t="s">
        <v>7</v>
      </c>
      <c r="C55" s="11" t="s">
        <v>9</v>
      </c>
      <c r="D55" s="9">
        <v>43465</v>
      </c>
      <c r="E55" s="10">
        <v>56.610957019101839</v>
      </c>
    </row>
    <row r="56" spans="2:5" x14ac:dyDescent="0.25">
      <c r="B56" s="8" t="s">
        <v>7</v>
      </c>
      <c r="C56" s="11" t="s">
        <v>10</v>
      </c>
      <c r="D56" s="9">
        <v>39447</v>
      </c>
      <c r="E56" s="10">
        <v>1.604440235737703</v>
      </c>
    </row>
    <row r="57" spans="2:5" x14ac:dyDescent="0.25">
      <c r="B57" s="8" t="s">
        <v>7</v>
      </c>
      <c r="C57" s="11" t="s">
        <v>10</v>
      </c>
      <c r="D57" s="9">
        <v>39813</v>
      </c>
      <c r="E57" s="10">
        <v>1.6743292358823922</v>
      </c>
    </row>
    <row r="58" spans="2:5" x14ac:dyDescent="0.25">
      <c r="B58" s="8" t="s">
        <v>7</v>
      </c>
      <c r="C58" s="11" t="s">
        <v>10</v>
      </c>
      <c r="D58" s="9">
        <v>40178</v>
      </c>
      <c r="E58" s="10">
        <v>1.7449175108793626</v>
      </c>
    </row>
    <row r="59" spans="2:5" x14ac:dyDescent="0.25">
      <c r="B59" s="8" t="s">
        <v>7</v>
      </c>
      <c r="C59" s="11" t="s">
        <v>10</v>
      </c>
      <c r="D59" s="9">
        <v>40543</v>
      </c>
      <c r="E59" s="10">
        <v>1.7479707097449744</v>
      </c>
    </row>
    <row r="60" spans="2:5" x14ac:dyDescent="0.25">
      <c r="B60" s="8" t="s">
        <v>7</v>
      </c>
      <c r="C60" s="11" t="s">
        <v>10</v>
      </c>
      <c r="D60" s="9">
        <v>40908</v>
      </c>
      <c r="E60" s="10">
        <v>1.7914590233633136</v>
      </c>
    </row>
    <row r="61" spans="2:5" x14ac:dyDescent="0.25">
      <c r="B61" s="8" t="s">
        <v>7</v>
      </c>
      <c r="C61" s="11" t="s">
        <v>10</v>
      </c>
      <c r="D61" s="9">
        <v>41274</v>
      </c>
      <c r="E61" s="10">
        <v>1.7961200274143794</v>
      </c>
    </row>
    <row r="62" spans="2:5" x14ac:dyDescent="0.25">
      <c r="B62" s="8" t="s">
        <v>7</v>
      </c>
      <c r="C62" s="11" t="s">
        <v>10</v>
      </c>
      <c r="D62" s="9">
        <v>41639</v>
      </c>
      <c r="E62" s="10">
        <v>1.8789707311055655</v>
      </c>
    </row>
    <row r="63" spans="2:5" x14ac:dyDescent="0.25">
      <c r="B63" s="8" t="s">
        <v>7</v>
      </c>
      <c r="C63" s="11" t="s">
        <v>10</v>
      </c>
      <c r="D63" s="9">
        <v>42004</v>
      </c>
      <c r="E63" s="10">
        <v>1.9095481429667052</v>
      </c>
    </row>
    <row r="64" spans="2:5" x14ac:dyDescent="0.25">
      <c r="B64" s="8" t="s">
        <v>7</v>
      </c>
      <c r="C64" s="11" t="s">
        <v>10</v>
      </c>
      <c r="D64" s="9">
        <v>42369</v>
      </c>
      <c r="E64" s="10">
        <v>1.980206847818494</v>
      </c>
    </row>
    <row r="65" spans="2:5" x14ac:dyDescent="0.25">
      <c r="B65" s="8" t="s">
        <v>7</v>
      </c>
      <c r="C65" s="11" t="s">
        <v>10</v>
      </c>
      <c r="D65" s="9">
        <v>42735</v>
      </c>
      <c r="E65" s="10">
        <v>2.0477307850050996</v>
      </c>
    </row>
    <row r="66" spans="2:5" x14ac:dyDescent="0.25">
      <c r="B66" s="8" t="s">
        <v>7</v>
      </c>
      <c r="C66" s="11" t="s">
        <v>10</v>
      </c>
      <c r="D66" s="9">
        <v>43100</v>
      </c>
      <c r="E66" s="10">
        <v>2.1134484959286626</v>
      </c>
    </row>
    <row r="67" spans="2:5" x14ac:dyDescent="0.25">
      <c r="B67" s="8" t="s">
        <v>7</v>
      </c>
      <c r="C67" s="11" t="s">
        <v>10</v>
      </c>
      <c r="D67" s="9">
        <v>43465</v>
      </c>
      <c r="E67" s="10">
        <v>2.1826990040572278</v>
      </c>
    </row>
    <row r="68" spans="2:5" x14ac:dyDescent="0.25">
      <c r="B68" s="8" t="s">
        <v>7</v>
      </c>
      <c r="C68" s="11" t="s">
        <v>11</v>
      </c>
      <c r="D68" s="9">
        <v>39447</v>
      </c>
      <c r="E68" s="10">
        <v>1.1823221960962893</v>
      </c>
    </row>
    <row r="69" spans="2:5" x14ac:dyDescent="0.25">
      <c r="B69" s="8" t="s">
        <v>7</v>
      </c>
      <c r="C69" s="11" t="s">
        <v>11</v>
      </c>
      <c r="D69" s="9">
        <v>39813</v>
      </c>
      <c r="E69" s="10">
        <v>1.2338238440190306</v>
      </c>
    </row>
    <row r="70" spans="2:5" x14ac:dyDescent="0.25">
      <c r="B70" s="8" t="s">
        <v>7</v>
      </c>
      <c r="C70" s="11" t="s">
        <v>11</v>
      </c>
      <c r="D70" s="9">
        <v>40178</v>
      </c>
      <c r="E70" s="10">
        <v>1.2858407920200221</v>
      </c>
    </row>
    <row r="71" spans="2:5" x14ac:dyDescent="0.25">
      <c r="B71" s="8" t="s">
        <v>7</v>
      </c>
      <c r="C71" s="11" t="s">
        <v>11</v>
      </c>
      <c r="D71" s="9">
        <v>40543</v>
      </c>
      <c r="E71" s="10">
        <v>1.2880907136484516</v>
      </c>
    </row>
    <row r="72" spans="2:5" x14ac:dyDescent="0.25">
      <c r="B72" s="8" t="s">
        <v>7</v>
      </c>
      <c r="C72" s="11" t="s">
        <v>11</v>
      </c>
      <c r="D72" s="9">
        <v>40908</v>
      </c>
      <c r="E72" s="10">
        <v>1.3201375280554202</v>
      </c>
    </row>
    <row r="73" spans="2:5" x14ac:dyDescent="0.25">
      <c r="B73" s="8" t="s">
        <v>7</v>
      </c>
      <c r="C73" s="11" t="s">
        <v>11</v>
      </c>
      <c r="D73" s="9">
        <v>41274</v>
      </c>
      <c r="E73" s="10">
        <v>1.3235722515327555</v>
      </c>
    </row>
    <row r="74" spans="2:5" x14ac:dyDescent="0.25">
      <c r="B74" s="8" t="s">
        <v>7</v>
      </c>
      <c r="C74" s="11" t="s">
        <v>11</v>
      </c>
      <c r="D74" s="9">
        <v>41639</v>
      </c>
      <c r="E74" s="10">
        <v>1.3846254610910704</v>
      </c>
    </row>
    <row r="75" spans="2:5" x14ac:dyDescent="0.25">
      <c r="B75" s="8" t="s">
        <v>7</v>
      </c>
      <c r="C75" s="11" t="s">
        <v>11</v>
      </c>
      <c r="D75" s="9">
        <v>42004</v>
      </c>
      <c r="E75" s="10">
        <v>1.4071581500235322</v>
      </c>
    </row>
    <row r="76" spans="2:5" x14ac:dyDescent="0.25">
      <c r="B76" s="8" t="s">
        <v>7</v>
      </c>
      <c r="C76" s="11" t="s">
        <v>11</v>
      </c>
      <c r="D76" s="9">
        <v>42369</v>
      </c>
      <c r="E76" s="10">
        <v>1.4592269982316894</v>
      </c>
    </row>
    <row r="77" spans="2:5" x14ac:dyDescent="0.25">
      <c r="B77" s="8" t="s">
        <v>7</v>
      </c>
      <c r="C77" s="11" t="s">
        <v>11</v>
      </c>
      <c r="D77" s="9">
        <v>42735</v>
      </c>
      <c r="E77" s="10">
        <v>1.5089858162451433</v>
      </c>
    </row>
    <row r="78" spans="2:5" x14ac:dyDescent="0.25">
      <c r="B78" s="8" t="s">
        <v>7</v>
      </c>
      <c r="C78" s="11" t="s">
        <v>11</v>
      </c>
      <c r="D78" s="9">
        <v>43100</v>
      </c>
      <c r="E78" s="10">
        <v>1.557413614657867</v>
      </c>
    </row>
    <row r="79" spans="2:5" x14ac:dyDescent="0.25">
      <c r="B79" s="8" t="s">
        <v>7</v>
      </c>
      <c r="C79" s="11" t="s">
        <v>11</v>
      </c>
      <c r="D79" s="9">
        <v>43465</v>
      </c>
      <c r="E79" s="10">
        <v>1.6084447537602238</v>
      </c>
    </row>
    <row r="80" spans="2:5" x14ac:dyDescent="0.25">
      <c r="B80" s="8" t="s">
        <v>12</v>
      </c>
      <c r="C80" s="11" t="s">
        <v>13</v>
      </c>
      <c r="D80" s="9">
        <v>39447</v>
      </c>
      <c r="E80" s="10">
        <v>4.8136800962087767</v>
      </c>
    </row>
    <row r="81" spans="2:5" x14ac:dyDescent="0.25">
      <c r="B81" s="8" t="s">
        <v>12</v>
      </c>
      <c r="C81" s="11" t="s">
        <v>13</v>
      </c>
      <c r="D81" s="9">
        <v>39813</v>
      </c>
      <c r="E81" s="10">
        <v>5.0233627515341963</v>
      </c>
    </row>
    <row r="82" spans="2:5" x14ac:dyDescent="0.25">
      <c r="B82" s="8" t="s">
        <v>12</v>
      </c>
      <c r="C82" s="11" t="s">
        <v>13</v>
      </c>
      <c r="D82" s="9">
        <v>40178</v>
      </c>
      <c r="E82" s="10">
        <v>5.2351433880515774</v>
      </c>
    </row>
    <row r="83" spans="2:5" x14ac:dyDescent="0.25">
      <c r="B83" s="8" t="s">
        <v>12</v>
      </c>
      <c r="C83" s="11" t="s">
        <v>13</v>
      </c>
      <c r="D83" s="9">
        <v>40543</v>
      </c>
      <c r="E83" s="10">
        <v>5.2443036685542692</v>
      </c>
    </row>
    <row r="84" spans="2:5" x14ac:dyDescent="0.25">
      <c r="B84" s="8" t="s">
        <v>12</v>
      </c>
      <c r="C84" s="11" t="s">
        <v>13</v>
      </c>
      <c r="D84" s="9">
        <v>40908</v>
      </c>
      <c r="E84" s="10">
        <v>5.3747783506392857</v>
      </c>
    </row>
    <row r="85" spans="2:5" x14ac:dyDescent="0.25">
      <c r="B85" s="8" t="s">
        <v>12</v>
      </c>
      <c r="C85" s="11" t="s">
        <v>13</v>
      </c>
      <c r="D85" s="9">
        <v>41274</v>
      </c>
      <c r="E85" s="10">
        <v>5.3887624068410718</v>
      </c>
    </row>
    <row r="86" spans="2:5" x14ac:dyDescent="0.25">
      <c r="B86" s="8" t="s">
        <v>12</v>
      </c>
      <c r="C86" s="11" t="s">
        <v>13</v>
      </c>
      <c r="D86" s="9">
        <v>41639</v>
      </c>
      <c r="E86" s="10">
        <v>5.6373330761821974</v>
      </c>
    </row>
    <row r="87" spans="2:5" x14ac:dyDescent="0.25">
      <c r="B87" s="8" t="s">
        <v>12</v>
      </c>
      <c r="C87" s="11" t="s">
        <v>13</v>
      </c>
      <c r="D87" s="9">
        <v>42004</v>
      </c>
      <c r="E87" s="10">
        <v>5.7290721609988218</v>
      </c>
    </row>
    <row r="88" spans="2:5" x14ac:dyDescent="0.25">
      <c r="B88" s="8" t="s">
        <v>12</v>
      </c>
      <c r="C88" s="11" t="s">
        <v>13</v>
      </c>
      <c r="D88" s="9">
        <v>42369</v>
      </c>
      <c r="E88" s="10">
        <v>5.9410641028566991</v>
      </c>
    </row>
    <row r="89" spans="2:5" x14ac:dyDescent="0.25">
      <c r="B89" s="8" t="s">
        <v>12</v>
      </c>
      <c r="C89" s="11" t="s">
        <v>13</v>
      </c>
      <c r="D89" s="9">
        <v>42735</v>
      </c>
      <c r="E89" s="10">
        <v>6.1436510395420445</v>
      </c>
    </row>
    <row r="90" spans="2:5" x14ac:dyDescent="0.25">
      <c r="B90" s="8" t="s">
        <v>12</v>
      </c>
      <c r="C90" s="11" t="s">
        <v>13</v>
      </c>
      <c r="D90" s="9">
        <v>43100</v>
      </c>
      <c r="E90" s="10">
        <v>6.3408188928499039</v>
      </c>
    </row>
    <row r="91" spans="2:5" x14ac:dyDescent="0.25">
      <c r="B91" s="8" t="s">
        <v>12</v>
      </c>
      <c r="C91" s="11" t="s">
        <v>13</v>
      </c>
      <c r="D91" s="9">
        <v>43465</v>
      </c>
      <c r="E91" s="10">
        <v>6.5485859291069737</v>
      </c>
    </row>
    <row r="92" spans="2:5" x14ac:dyDescent="0.25">
      <c r="B92" s="8" t="s">
        <v>12</v>
      </c>
      <c r="C92" s="11" t="s">
        <v>14</v>
      </c>
      <c r="D92" s="9">
        <v>39447</v>
      </c>
      <c r="E92" s="10">
        <v>1.183586937429304</v>
      </c>
    </row>
    <row r="93" spans="2:5" x14ac:dyDescent="0.25">
      <c r="B93" s="8" t="s">
        <v>12</v>
      </c>
      <c r="C93" s="11" t="s">
        <v>14</v>
      </c>
      <c r="D93" s="9">
        <v>39813</v>
      </c>
      <c r="E93" s="10">
        <v>1.2351436771561755</v>
      </c>
    </row>
    <row r="94" spans="2:5" x14ac:dyDescent="0.25">
      <c r="B94" s="8" t="s">
        <v>12</v>
      </c>
      <c r="C94" s="11" t="s">
        <v>14</v>
      </c>
      <c r="D94" s="9">
        <v>40178</v>
      </c>
      <c r="E94" s="10">
        <v>1.2872162681827073</v>
      </c>
    </row>
    <row r="95" spans="2:5" x14ac:dyDescent="0.25">
      <c r="B95" s="8" t="s">
        <v>12</v>
      </c>
      <c r="C95" s="11" t="s">
        <v>14</v>
      </c>
      <c r="D95" s="9">
        <v>40543</v>
      </c>
      <c r="E95" s="10">
        <v>1.289468596573768</v>
      </c>
    </row>
    <row r="96" spans="2:5" x14ac:dyDescent="0.25">
      <c r="B96" s="8" t="s">
        <v>12</v>
      </c>
      <c r="C96" s="11" t="s">
        <v>14</v>
      </c>
      <c r="D96" s="9">
        <v>40908</v>
      </c>
      <c r="E96" s="10">
        <v>1.3215496917638476</v>
      </c>
    </row>
    <row r="97" spans="2:5" x14ac:dyDescent="0.25">
      <c r="B97" s="8" t="s">
        <v>12</v>
      </c>
      <c r="C97" s="11" t="s">
        <v>14</v>
      </c>
      <c r="D97" s="9">
        <v>41274</v>
      </c>
      <c r="E97" s="10">
        <v>1.3249880893976553</v>
      </c>
    </row>
    <row r="98" spans="2:5" x14ac:dyDescent="0.25">
      <c r="B98" s="8" t="s">
        <v>12</v>
      </c>
      <c r="C98" s="11" t="s">
        <v>14</v>
      </c>
      <c r="D98" s="9">
        <v>41639</v>
      </c>
      <c r="E98" s="10">
        <v>1.3861066081567082</v>
      </c>
    </row>
    <row r="99" spans="2:5" x14ac:dyDescent="0.25">
      <c r="B99" s="8" t="s">
        <v>12</v>
      </c>
      <c r="C99" s="11" t="s">
        <v>14</v>
      </c>
      <c r="D99" s="9">
        <v>42004</v>
      </c>
      <c r="E99" s="10">
        <v>1.4086634005214924</v>
      </c>
    </row>
    <row r="100" spans="2:5" x14ac:dyDescent="0.25">
      <c r="B100" s="8" t="s">
        <v>12</v>
      </c>
      <c r="C100" s="11" t="s">
        <v>14</v>
      </c>
      <c r="D100" s="9">
        <v>42369</v>
      </c>
      <c r="E100" s="10">
        <v>1.4607879472733365</v>
      </c>
    </row>
    <row r="101" spans="2:5" x14ac:dyDescent="0.25">
      <c r="B101" s="8" t="s">
        <v>12</v>
      </c>
      <c r="C101" s="11" t="s">
        <v>14</v>
      </c>
      <c r="D101" s="9">
        <v>42735</v>
      </c>
      <c r="E101" s="10">
        <v>1.5105999927691394</v>
      </c>
    </row>
    <row r="102" spans="2:5" x14ac:dyDescent="0.25">
      <c r="B102" s="8" t="s">
        <v>12</v>
      </c>
      <c r="C102" s="11" t="s">
        <v>14</v>
      </c>
      <c r="D102" s="9">
        <v>43100</v>
      </c>
      <c r="E102" s="10">
        <v>1.5590795948598468</v>
      </c>
    </row>
    <row r="103" spans="2:5" x14ac:dyDescent="0.25">
      <c r="B103" s="8" t="s">
        <v>12</v>
      </c>
      <c r="C103" s="11" t="s">
        <v>14</v>
      </c>
      <c r="D103" s="9">
        <v>43465</v>
      </c>
      <c r="E103" s="10">
        <v>1.6101653224585599</v>
      </c>
    </row>
    <row r="104" spans="2:5" x14ac:dyDescent="0.25">
      <c r="B104" s="8" t="s">
        <v>12</v>
      </c>
      <c r="C104" s="11" t="s">
        <v>15</v>
      </c>
      <c r="D104" s="9">
        <v>39447</v>
      </c>
      <c r="E104" s="10">
        <v>12</v>
      </c>
    </row>
    <row r="105" spans="2:5" x14ac:dyDescent="0.25">
      <c r="B105" s="8" t="s">
        <v>12</v>
      </c>
      <c r="C105" s="11" t="s">
        <v>15</v>
      </c>
      <c r="D105" s="9">
        <v>39813</v>
      </c>
      <c r="E105" s="10">
        <v>12.238429383858323</v>
      </c>
    </row>
    <row r="106" spans="2:5" x14ac:dyDescent="0.25">
      <c r="B106" s="8" t="s">
        <v>12</v>
      </c>
      <c r="C106" s="11" t="s">
        <v>15</v>
      </c>
      <c r="D106" s="9">
        <v>40178</v>
      </c>
      <c r="E106" s="10">
        <v>12.481596148640568</v>
      </c>
    </row>
    <row r="107" spans="2:5" x14ac:dyDescent="0.25">
      <c r="B107" s="8" t="s">
        <v>12</v>
      </c>
      <c r="C107" s="11" t="s">
        <v>15</v>
      </c>
      <c r="D107" s="9">
        <v>40543</v>
      </c>
      <c r="E107" s="10">
        <v>12.729594421914634</v>
      </c>
    </row>
    <row r="108" spans="2:5" x14ac:dyDescent="0.25">
      <c r="B108" s="8" t="s">
        <v>12</v>
      </c>
      <c r="C108" s="11" t="s">
        <v>15</v>
      </c>
      <c r="D108" s="9">
        <v>40908</v>
      </c>
      <c r="E108" s="10">
        <v>12.982520201479922</v>
      </c>
    </row>
    <row r="109" spans="2:5" x14ac:dyDescent="0.25">
      <c r="B109" s="8" t="s">
        <v>12</v>
      </c>
      <c r="C109" s="11" t="s">
        <v>15</v>
      </c>
      <c r="D109" s="9">
        <v>41274</v>
      </c>
      <c r="E109" s="10">
        <v>13.240471392527178</v>
      </c>
    </row>
    <row r="110" spans="2:5" x14ac:dyDescent="0.25">
      <c r="B110" s="8" t="s">
        <v>12</v>
      </c>
      <c r="C110" s="11" t="s">
        <v>15</v>
      </c>
      <c r="D110" s="9">
        <v>41639</v>
      </c>
      <c r="E110" s="10">
        <v>13.503547845536678</v>
      </c>
    </row>
    <row r="111" spans="2:5" x14ac:dyDescent="0.25">
      <c r="B111" s="8" t="s">
        <v>12</v>
      </c>
      <c r="C111" s="11" t="s">
        <v>15</v>
      </c>
      <c r="D111" s="9">
        <v>42004</v>
      </c>
      <c r="E111" s="10">
        <v>13.771851394929403</v>
      </c>
    </row>
    <row r="112" spans="2:5" x14ac:dyDescent="0.25">
      <c r="B112" s="8" t="s">
        <v>12</v>
      </c>
      <c r="C112" s="11" t="s">
        <v>15</v>
      </c>
      <c r="D112" s="9">
        <v>42369</v>
      </c>
      <c r="E112" s="10">
        <v>14.045485898486186</v>
      </c>
    </row>
    <row r="113" spans="2:5" x14ac:dyDescent="0.25">
      <c r="B113" s="8" t="s">
        <v>12</v>
      </c>
      <c r="C113" s="11" t="s">
        <v>15</v>
      </c>
      <c r="D113" s="9">
        <v>42735</v>
      </c>
      <c r="E113" s="10">
        <v>14.324557277550088</v>
      </c>
    </row>
    <row r="114" spans="2:5" x14ac:dyDescent="0.25">
      <c r="B114" s="8" t="s">
        <v>12</v>
      </c>
      <c r="C114" s="11" t="s">
        <v>15</v>
      </c>
      <c r="D114" s="9">
        <v>43100</v>
      </c>
      <c r="E114" s="10">
        <v>14.609173558027548</v>
      </c>
    </row>
    <row r="115" spans="2:5" x14ac:dyDescent="0.25">
      <c r="B115" s="8" t="s">
        <v>12</v>
      </c>
      <c r="C115" s="11" t="s">
        <v>15</v>
      </c>
      <c r="D115" s="9">
        <v>43465</v>
      </c>
      <c r="E115" s="10">
        <v>14.899444912204199</v>
      </c>
    </row>
    <row r="116" spans="2:5" x14ac:dyDescent="0.25">
      <c r="B116" s="8" t="s">
        <v>16</v>
      </c>
      <c r="C116" s="11" t="s">
        <v>17</v>
      </c>
      <c r="D116" s="9">
        <v>39447</v>
      </c>
      <c r="E116" s="10">
        <v>16</v>
      </c>
    </row>
    <row r="117" spans="2:5" x14ac:dyDescent="0.25">
      <c r="B117" s="8" t="s">
        <v>16</v>
      </c>
      <c r="C117" s="11" t="s">
        <v>17</v>
      </c>
      <c r="D117" s="9">
        <v>39813</v>
      </c>
      <c r="E117" s="10">
        <v>16.160615295766888</v>
      </c>
    </row>
    <row r="118" spans="2:5" x14ac:dyDescent="0.25">
      <c r="B118" s="8" t="s">
        <v>16</v>
      </c>
      <c r="C118" s="11" t="s">
        <v>17</v>
      </c>
      <c r="D118" s="9">
        <v>40178</v>
      </c>
      <c r="E118" s="10">
        <v>16.322842921110919</v>
      </c>
    </row>
    <row r="119" spans="2:5" x14ac:dyDescent="0.25">
      <c r="B119" s="8" t="s">
        <v>16</v>
      </c>
      <c r="C119" s="11" t="s">
        <v>17</v>
      </c>
      <c r="D119" s="9">
        <v>40543</v>
      </c>
      <c r="E119" s="10">
        <v>16.486699061331588</v>
      </c>
    </row>
    <row r="120" spans="2:5" x14ac:dyDescent="0.25">
      <c r="B120" s="8" t="s">
        <v>16</v>
      </c>
      <c r="C120" s="11" t="s">
        <v>17</v>
      </c>
      <c r="D120" s="9">
        <v>40908</v>
      </c>
      <c r="E120" s="10">
        <v>16.652200064203804</v>
      </c>
    </row>
    <row r="121" spans="2:5" x14ac:dyDescent="0.25">
      <c r="B121" s="8" t="s">
        <v>16</v>
      </c>
      <c r="C121" s="11" t="s">
        <v>17</v>
      </c>
      <c r="D121" s="9">
        <v>41274</v>
      </c>
      <c r="E121" s="10">
        <v>16.819362441608895</v>
      </c>
    </row>
    <row r="122" spans="2:5" x14ac:dyDescent="0.25">
      <c r="B122" s="8" t="s">
        <v>16</v>
      </c>
      <c r="C122" s="11" t="s">
        <v>17</v>
      </c>
      <c r="D122" s="9">
        <v>41639</v>
      </c>
      <c r="E122" s="10">
        <v>16.98820287118199</v>
      </c>
    </row>
    <row r="123" spans="2:5" x14ac:dyDescent="0.25">
      <c r="B123" s="8" t="s">
        <v>16</v>
      </c>
      <c r="C123" s="11" t="s">
        <v>17</v>
      </c>
      <c r="D123" s="9">
        <v>42004</v>
      </c>
      <c r="E123" s="10">
        <v>17.158738197975914</v>
      </c>
    </row>
    <row r="124" spans="2:5" x14ac:dyDescent="0.25">
      <c r="B124" s="8" t="s">
        <v>16</v>
      </c>
      <c r="C124" s="11" t="s">
        <v>17</v>
      </c>
      <c r="D124" s="9">
        <v>42369</v>
      </c>
      <c r="E124" s="10">
        <v>17.33098543614182</v>
      </c>
    </row>
    <row r="125" spans="2:5" x14ac:dyDescent="0.25">
      <c r="B125" s="8" t="s">
        <v>16</v>
      </c>
      <c r="C125" s="11" t="s">
        <v>17</v>
      </c>
      <c r="D125" s="9">
        <v>42735</v>
      </c>
      <c r="E125" s="10">
        <v>17.504961770626668</v>
      </c>
    </row>
    <row r="126" spans="2:5" x14ac:dyDescent="0.25">
      <c r="B126" s="8" t="s">
        <v>16</v>
      </c>
      <c r="C126" s="11" t="s">
        <v>17</v>
      </c>
      <c r="D126" s="9">
        <v>43100</v>
      </c>
      <c r="E126" s="10">
        <v>17.680684558887748</v>
      </c>
    </row>
    <row r="127" spans="2:5" x14ac:dyDescent="0.25">
      <c r="B127" s="8" t="s">
        <v>16</v>
      </c>
      <c r="C127" s="11" t="s">
        <v>17</v>
      </c>
      <c r="D127" s="9">
        <v>43465</v>
      </c>
      <c r="E127" s="10">
        <v>17.858171332624423</v>
      </c>
    </row>
    <row r="128" spans="2:5" x14ac:dyDescent="0.25">
      <c r="B128" s="8" t="s">
        <v>16</v>
      </c>
      <c r="C128" s="11" t="s">
        <v>18</v>
      </c>
      <c r="D128" s="9">
        <v>39447</v>
      </c>
      <c r="E128" s="10">
        <v>12</v>
      </c>
    </row>
    <row r="129" spans="2:5" x14ac:dyDescent="0.25">
      <c r="B129" s="8" t="s">
        <v>16</v>
      </c>
      <c r="C129" s="11" t="s">
        <v>18</v>
      </c>
      <c r="D129" s="9">
        <v>39813</v>
      </c>
      <c r="E129" s="10">
        <v>12.043664768506762</v>
      </c>
    </row>
    <row r="130" spans="2:5" x14ac:dyDescent="0.25">
      <c r="B130" s="8" t="s">
        <v>16</v>
      </c>
      <c r="C130" s="11" t="s">
        <v>18</v>
      </c>
      <c r="D130" s="9">
        <v>40178</v>
      </c>
      <c r="E130" s="10">
        <v>12.087488421347585</v>
      </c>
    </row>
    <row r="131" spans="2:5" x14ac:dyDescent="0.25">
      <c r="B131" s="8" t="s">
        <v>16</v>
      </c>
      <c r="C131" s="11" t="s">
        <v>18</v>
      </c>
      <c r="D131" s="9">
        <v>40543</v>
      </c>
      <c r="E131" s="10">
        <v>12.131471536659776</v>
      </c>
    </row>
    <row r="132" spans="2:5" x14ac:dyDescent="0.25">
      <c r="B132" s="8" t="s">
        <v>16</v>
      </c>
      <c r="C132" s="11" t="s">
        <v>18</v>
      </c>
      <c r="D132" s="9">
        <v>40908</v>
      </c>
      <c r="E132" s="10">
        <v>12.175614694684326</v>
      </c>
    </row>
    <row r="133" spans="2:5" x14ac:dyDescent="0.25">
      <c r="B133" s="8" t="s">
        <v>16</v>
      </c>
      <c r="C133" s="11" t="s">
        <v>18</v>
      </c>
      <c r="D133" s="9">
        <v>41274</v>
      </c>
      <c r="E133" s="10">
        <v>12.219918477773568</v>
      </c>
    </row>
    <row r="134" spans="2:5" x14ac:dyDescent="0.25">
      <c r="B134" s="8" t="s">
        <v>16</v>
      </c>
      <c r="C134" s="11" t="s">
        <v>18</v>
      </c>
      <c r="D134" s="9">
        <v>41639</v>
      </c>
      <c r="E134" s="10">
        <v>12.264383470398858</v>
      </c>
    </row>
    <row r="135" spans="2:5" x14ac:dyDescent="0.25">
      <c r="B135" s="8" t="s">
        <v>16</v>
      </c>
      <c r="C135" s="11" t="s">
        <v>18</v>
      </c>
      <c r="D135" s="9">
        <v>42004</v>
      </c>
      <c r="E135" s="10">
        <v>12.309010259158285</v>
      </c>
    </row>
    <row r="136" spans="2:5" x14ac:dyDescent="0.25">
      <c r="B136" s="8" t="s">
        <v>16</v>
      </c>
      <c r="C136" s="11" t="s">
        <v>18</v>
      </c>
      <c r="D136" s="9">
        <v>42369</v>
      </c>
      <c r="E136" s="10">
        <v>12.35379943278441</v>
      </c>
    </row>
    <row r="137" spans="2:5" x14ac:dyDescent="0.25">
      <c r="B137" s="8" t="s">
        <v>16</v>
      </c>
      <c r="C137" s="11" t="s">
        <v>18</v>
      </c>
      <c r="D137" s="9">
        <v>42735</v>
      </c>
      <c r="E137" s="10">
        <v>12.398751582152034</v>
      </c>
    </row>
    <row r="138" spans="2:5" x14ac:dyDescent="0.25">
      <c r="B138" s="8" t="s">
        <v>16</v>
      </c>
      <c r="C138" s="11" t="s">
        <v>18</v>
      </c>
      <c r="D138" s="9">
        <v>43100</v>
      </c>
      <c r="E138" s="10">
        <v>12.443867300285993</v>
      </c>
    </row>
    <row r="139" spans="2:5" x14ac:dyDescent="0.25">
      <c r="B139" s="8" t="s">
        <v>16</v>
      </c>
      <c r="C139" s="11" t="s">
        <v>18</v>
      </c>
      <c r="D139" s="9">
        <v>43465</v>
      </c>
      <c r="E139" s="10">
        <v>12.489147182368979</v>
      </c>
    </row>
    <row r="140" spans="2:5" x14ac:dyDescent="0.25">
      <c r="B140" s="8" t="s">
        <v>19</v>
      </c>
      <c r="C140" s="11" t="s">
        <v>20</v>
      </c>
      <c r="D140" s="9">
        <v>39447</v>
      </c>
      <c r="E140" s="10">
        <v>28</v>
      </c>
    </row>
    <row r="141" spans="2:5" x14ac:dyDescent="0.25">
      <c r="B141" s="8" t="s">
        <v>19</v>
      </c>
      <c r="C141" s="11" t="s">
        <v>20</v>
      </c>
      <c r="D141" s="9">
        <v>39813</v>
      </c>
      <c r="E141" s="10">
        <v>28.383211973739254</v>
      </c>
    </row>
    <row r="142" spans="2:5" x14ac:dyDescent="0.25">
      <c r="B142" s="8" t="s">
        <v>19</v>
      </c>
      <c r="C142" s="11" t="s">
        <v>20</v>
      </c>
      <c r="D142" s="9">
        <v>40178</v>
      </c>
      <c r="E142" s="10">
        <v>28.771668640936262</v>
      </c>
    </row>
    <row r="143" spans="2:5" x14ac:dyDescent="0.25">
      <c r="B143" s="8" t="s">
        <v>19</v>
      </c>
      <c r="C143" s="11" t="s">
        <v>20</v>
      </c>
      <c r="D143" s="9">
        <v>40543</v>
      </c>
      <c r="E143" s="10">
        <v>29.165441781210014</v>
      </c>
    </row>
    <row r="144" spans="2:5" x14ac:dyDescent="0.25">
      <c r="B144" s="8" t="s">
        <v>19</v>
      </c>
      <c r="C144" s="11" t="s">
        <v>20</v>
      </c>
      <c r="D144" s="9">
        <v>40908</v>
      </c>
      <c r="E144" s="10">
        <v>29.564604156565544</v>
      </c>
    </row>
    <row r="145" spans="2:5" x14ac:dyDescent="0.25">
      <c r="B145" s="8" t="s">
        <v>19</v>
      </c>
      <c r="C145" s="11" t="s">
        <v>20</v>
      </c>
      <c r="D145" s="9">
        <v>41274</v>
      </c>
      <c r="E145" s="10">
        <v>29.969229524839019</v>
      </c>
    </row>
    <row r="146" spans="2:5" x14ac:dyDescent="0.25">
      <c r="B146" s="8" t="s">
        <v>19</v>
      </c>
      <c r="C146" s="11" t="s">
        <v>20</v>
      </c>
      <c r="D146" s="9">
        <v>41639</v>
      </c>
      <c r="E146" s="10">
        <v>30.379392653326814</v>
      </c>
    </row>
    <row r="147" spans="2:5" x14ac:dyDescent="0.25">
      <c r="B147" s="8" t="s">
        <v>19</v>
      </c>
      <c r="C147" s="11" t="s">
        <v>20</v>
      </c>
      <c r="D147" s="9">
        <v>42004</v>
      </c>
      <c r="E147" s="10">
        <v>30.795169332601141</v>
      </c>
    </row>
    <row r="148" spans="2:5" x14ac:dyDescent="0.25">
      <c r="B148" s="8" t="s">
        <v>19</v>
      </c>
      <c r="C148" s="11" t="s">
        <v>20</v>
      </c>
      <c r="D148" s="9">
        <v>42369</v>
      </c>
      <c r="E148" s="10">
        <v>31.216636390514736</v>
      </c>
    </row>
    <row r="149" spans="2:5" x14ac:dyDescent="0.25">
      <c r="B149" s="8" t="s">
        <v>19</v>
      </c>
      <c r="C149" s="11" t="s">
        <v>20</v>
      </c>
      <c r="D149" s="9">
        <v>42735</v>
      </c>
      <c r="E149" s="10">
        <v>31.643871706397228</v>
      </c>
    </row>
    <row r="150" spans="2:5" x14ac:dyDescent="0.25">
      <c r="B150" s="8" t="s">
        <v>19</v>
      </c>
      <c r="C150" s="11" t="s">
        <v>20</v>
      </c>
      <c r="D150" s="9">
        <v>43100</v>
      </c>
      <c r="E150" s="10">
        <v>32.07695422544581</v>
      </c>
    </row>
    <row r="151" spans="2:5" x14ac:dyDescent="0.25">
      <c r="B151" s="8" t="s">
        <v>19</v>
      </c>
      <c r="C151" s="11" t="s">
        <v>20</v>
      </c>
      <c r="D151" s="9">
        <v>43465</v>
      </c>
      <c r="E151" s="10">
        <v>32.515963973312836</v>
      </c>
    </row>
    <row r="152" spans="2:5" x14ac:dyDescent="0.25">
      <c r="B152" s="8" t="s">
        <v>19</v>
      </c>
      <c r="C152" s="11" t="s">
        <v>21</v>
      </c>
      <c r="D152" s="9">
        <v>39447</v>
      </c>
      <c r="E152" s="10">
        <v>0.71357815659124402</v>
      </c>
    </row>
    <row r="153" spans="2:5" x14ac:dyDescent="0.25">
      <c r="B153" s="8" t="s">
        <v>19</v>
      </c>
      <c r="C153" s="11" t="s">
        <v>21</v>
      </c>
      <c r="D153" s="9">
        <v>39813</v>
      </c>
      <c r="E153" s="10">
        <v>0.74466143584241684</v>
      </c>
    </row>
    <row r="154" spans="2:5" x14ac:dyDescent="0.25">
      <c r="B154" s="8" t="s">
        <v>19</v>
      </c>
      <c r="C154" s="11" t="s">
        <v>21</v>
      </c>
      <c r="D154" s="9">
        <v>40178</v>
      </c>
      <c r="E154" s="10">
        <v>0.77605571904931636</v>
      </c>
    </row>
    <row r="155" spans="2:5" x14ac:dyDescent="0.25">
      <c r="B155" s="8" t="s">
        <v>19</v>
      </c>
      <c r="C155" s="11" t="s">
        <v>21</v>
      </c>
      <c r="D155" s="9">
        <v>40543</v>
      </c>
      <c r="E155" s="10">
        <v>0.77741363564209487</v>
      </c>
    </row>
    <row r="156" spans="2:5" x14ac:dyDescent="0.25">
      <c r="B156" s="8" t="s">
        <v>19</v>
      </c>
      <c r="C156" s="11" t="s">
        <v>21</v>
      </c>
      <c r="D156" s="9">
        <v>40908</v>
      </c>
      <c r="E156" s="10">
        <v>0.79675515424391929</v>
      </c>
    </row>
    <row r="157" spans="2:5" x14ac:dyDescent="0.25">
      <c r="B157" s="8" t="s">
        <v>19</v>
      </c>
      <c r="C157" s="11" t="s">
        <v>21</v>
      </c>
      <c r="D157" s="9">
        <v>41274</v>
      </c>
      <c r="E157" s="10">
        <v>0.79882814556172588</v>
      </c>
    </row>
    <row r="158" spans="2:5" x14ac:dyDescent="0.25">
      <c r="B158" s="8" t="s">
        <v>19</v>
      </c>
      <c r="C158" s="11" t="s">
        <v>21</v>
      </c>
      <c r="D158" s="9">
        <v>41639</v>
      </c>
      <c r="E158" s="10">
        <v>0.83567616962356395</v>
      </c>
    </row>
    <row r="159" spans="2:5" x14ac:dyDescent="0.25">
      <c r="B159" s="8" t="s">
        <v>19</v>
      </c>
      <c r="C159" s="11" t="s">
        <v>21</v>
      </c>
      <c r="D159" s="9">
        <v>42004</v>
      </c>
      <c r="E159" s="10">
        <v>0.84927553761695695</v>
      </c>
    </row>
    <row r="160" spans="2:5" x14ac:dyDescent="0.25">
      <c r="B160" s="8" t="s">
        <v>19</v>
      </c>
      <c r="C160" s="11" t="s">
        <v>21</v>
      </c>
      <c r="D160" s="9">
        <v>42369</v>
      </c>
      <c r="E160" s="10">
        <v>0.88070114464935689</v>
      </c>
    </row>
    <row r="161" spans="2:5" x14ac:dyDescent="0.25">
      <c r="B161" s="8" t="s">
        <v>19</v>
      </c>
      <c r="C161" s="11" t="s">
        <v>21</v>
      </c>
      <c r="D161" s="9">
        <v>42735</v>
      </c>
      <c r="E161" s="10">
        <v>0.91073255719445978</v>
      </c>
    </row>
    <row r="162" spans="2:5" x14ac:dyDescent="0.25">
      <c r="B162" s="8" t="s">
        <v>19</v>
      </c>
      <c r="C162" s="11" t="s">
        <v>21</v>
      </c>
      <c r="D162" s="9">
        <v>43100</v>
      </c>
      <c r="E162" s="10">
        <v>0.93996064682452996</v>
      </c>
    </row>
    <row r="163" spans="2:5" x14ac:dyDescent="0.25">
      <c r="B163" s="8" t="s">
        <v>19</v>
      </c>
      <c r="C163" s="11" t="s">
        <v>21</v>
      </c>
      <c r="D163" s="9">
        <v>43465</v>
      </c>
      <c r="E163" s="10">
        <v>0.97075995541371374</v>
      </c>
    </row>
    <row r="164" spans="2:5" x14ac:dyDescent="0.25">
      <c r="B164" s="8" t="s">
        <v>19</v>
      </c>
      <c r="C164" s="11" t="s">
        <v>22</v>
      </c>
      <c r="D164" s="9">
        <v>39447</v>
      </c>
      <c r="E164" s="10">
        <v>1.0193742779435186</v>
      </c>
    </row>
    <row r="165" spans="2:5" x14ac:dyDescent="0.25">
      <c r="B165" s="8" t="s">
        <v>19</v>
      </c>
      <c r="C165" s="11" t="s">
        <v>22</v>
      </c>
      <c r="D165" s="9">
        <v>39813</v>
      </c>
      <c r="E165" s="10">
        <v>1.0637779568539583</v>
      </c>
    </row>
    <row r="166" spans="2:5" x14ac:dyDescent="0.25">
      <c r="B166" s="8" t="s">
        <v>19</v>
      </c>
      <c r="C166" s="11" t="s">
        <v>22</v>
      </c>
      <c r="D166" s="9">
        <v>40178</v>
      </c>
      <c r="E166" s="10">
        <v>1.1086259170668427</v>
      </c>
    </row>
    <row r="167" spans="2:5" x14ac:dyDescent="0.25">
      <c r="B167" s="8" t="s">
        <v>19</v>
      </c>
      <c r="C167" s="11" t="s">
        <v>22</v>
      </c>
      <c r="D167" s="9">
        <v>40543</v>
      </c>
      <c r="E167" s="10">
        <v>1.1105657539767664</v>
      </c>
    </row>
    <row r="168" spans="2:5" x14ac:dyDescent="0.25">
      <c r="B168" s="8" t="s">
        <v>19</v>
      </c>
      <c r="C168" s="11" t="s">
        <v>22</v>
      </c>
      <c r="D168" s="9">
        <v>40908</v>
      </c>
      <c r="E168" s="10">
        <v>1.1381958690201561</v>
      </c>
    </row>
    <row r="169" spans="2:5" x14ac:dyDescent="0.25">
      <c r="B169" s="8" t="s">
        <v>19</v>
      </c>
      <c r="C169" s="11" t="s">
        <v>22</v>
      </c>
      <c r="D169" s="9">
        <v>41274</v>
      </c>
      <c r="E169" s="10">
        <v>1.14115721811451</v>
      </c>
    </row>
    <row r="170" spans="2:5" x14ac:dyDescent="0.25">
      <c r="B170" s="8" t="s">
        <v>19</v>
      </c>
      <c r="C170" s="11" t="s">
        <v>22</v>
      </c>
      <c r="D170" s="9">
        <v>41639</v>
      </c>
      <c r="E170" s="10">
        <v>1.1937960602297375</v>
      </c>
    </row>
    <row r="171" spans="2:5" x14ac:dyDescent="0.25">
      <c r="B171" s="8" t="s">
        <v>19</v>
      </c>
      <c r="C171" s="11" t="s">
        <v>22</v>
      </c>
      <c r="D171" s="9">
        <v>42004</v>
      </c>
      <c r="E171" s="10">
        <v>1.2132232887690413</v>
      </c>
    </row>
    <row r="172" spans="2:5" x14ac:dyDescent="0.25">
      <c r="B172" s="8" t="s">
        <v>19</v>
      </c>
      <c r="C172" s="11" t="s">
        <v>22</v>
      </c>
      <c r="D172" s="9">
        <v>42369</v>
      </c>
      <c r="E172" s="10">
        <v>1.2581159962905519</v>
      </c>
    </row>
    <row r="173" spans="2:5" x14ac:dyDescent="0.25">
      <c r="B173" s="8" t="s">
        <v>19</v>
      </c>
      <c r="C173" s="11" t="s">
        <v>22</v>
      </c>
      <c r="D173" s="9">
        <v>42735</v>
      </c>
      <c r="E173" s="10">
        <v>1.3010170425123524</v>
      </c>
    </row>
    <row r="174" spans="2:5" x14ac:dyDescent="0.25">
      <c r="B174" s="8" t="s">
        <v>19</v>
      </c>
      <c r="C174" s="11" t="s">
        <v>22</v>
      </c>
      <c r="D174" s="9">
        <v>43100</v>
      </c>
      <c r="E174" s="10">
        <v>1.3427705105622274</v>
      </c>
    </row>
    <row r="175" spans="2:5" x14ac:dyDescent="0.25">
      <c r="B175" s="8" t="s">
        <v>19</v>
      </c>
      <c r="C175" s="11" t="s">
        <v>22</v>
      </c>
      <c r="D175" s="9">
        <v>43465</v>
      </c>
      <c r="E175" s="10">
        <v>1.3867685262865839</v>
      </c>
    </row>
    <row r="176" spans="2:5" x14ac:dyDescent="0.25">
      <c r="B176" s="8" t="s">
        <v>19</v>
      </c>
      <c r="C176" s="11" t="s">
        <v>23</v>
      </c>
      <c r="D176" s="9">
        <v>39447</v>
      </c>
      <c r="E176" s="10">
        <v>5.5382136182235584</v>
      </c>
    </row>
    <row r="177" spans="2:5" x14ac:dyDescent="0.25">
      <c r="B177" s="8" t="s">
        <v>19</v>
      </c>
      <c r="C177" s="11" t="s">
        <v>23</v>
      </c>
      <c r="D177" s="9">
        <v>39813</v>
      </c>
      <c r="E177" s="10">
        <v>5.7794567656739098</v>
      </c>
    </row>
    <row r="178" spans="2:5" x14ac:dyDescent="0.25">
      <c r="B178" s="8" t="s">
        <v>19</v>
      </c>
      <c r="C178" s="11" t="s">
        <v>23</v>
      </c>
      <c r="D178" s="9">
        <v>40178</v>
      </c>
      <c r="E178" s="10">
        <v>6.023113673028508</v>
      </c>
    </row>
    <row r="179" spans="2:5" x14ac:dyDescent="0.25">
      <c r="B179" s="8" t="s">
        <v>19</v>
      </c>
      <c r="C179" s="11" t="s">
        <v>23</v>
      </c>
      <c r="D179" s="9">
        <v>40543</v>
      </c>
      <c r="E179" s="10">
        <v>6.0336527178368051</v>
      </c>
    </row>
    <row r="180" spans="2:5" x14ac:dyDescent="0.25">
      <c r="B180" s="8" t="s">
        <v>19</v>
      </c>
      <c r="C180" s="11" t="s">
        <v>23</v>
      </c>
      <c r="D180" s="9">
        <v>40908</v>
      </c>
      <c r="E180" s="10">
        <v>6.1837658634373485</v>
      </c>
    </row>
    <row r="181" spans="2:5" x14ac:dyDescent="0.25">
      <c r="B181" s="8" t="s">
        <v>19</v>
      </c>
      <c r="C181" s="11" t="s">
        <v>23</v>
      </c>
      <c r="D181" s="9">
        <v>41274</v>
      </c>
      <c r="E181" s="10">
        <v>6.199854737011588</v>
      </c>
    </row>
    <row r="182" spans="2:5" x14ac:dyDescent="0.25">
      <c r="B182" s="8" t="s">
        <v>19</v>
      </c>
      <c r="C182" s="11" t="s">
        <v>23</v>
      </c>
      <c r="D182" s="9">
        <v>41639</v>
      </c>
      <c r="E182" s="10">
        <v>6.4858391477995418</v>
      </c>
    </row>
    <row r="183" spans="2:5" x14ac:dyDescent="0.25">
      <c r="B183" s="8" t="s">
        <v>19</v>
      </c>
      <c r="C183" s="11" t="s">
        <v>23</v>
      </c>
      <c r="D183" s="9">
        <v>42004</v>
      </c>
      <c r="E183" s="10">
        <v>6.5913863878944845</v>
      </c>
    </row>
    <row r="184" spans="2:5" x14ac:dyDescent="0.25">
      <c r="B184" s="8" t="s">
        <v>19</v>
      </c>
      <c r="C184" s="11" t="s">
        <v>23</v>
      </c>
      <c r="D184" s="9">
        <v>42369</v>
      </c>
      <c r="E184" s="10">
        <v>6.8352864053209927</v>
      </c>
    </row>
    <row r="185" spans="2:5" x14ac:dyDescent="0.25">
      <c r="B185" s="8" t="s">
        <v>19</v>
      </c>
      <c r="C185" s="11" t="s">
        <v>23</v>
      </c>
      <c r="D185" s="9">
        <v>42735</v>
      </c>
      <c r="E185" s="10">
        <v>7.0683658184104976</v>
      </c>
    </row>
    <row r="186" spans="2:5" x14ac:dyDescent="0.25">
      <c r="B186" s="8" t="s">
        <v>19</v>
      </c>
      <c r="C186" s="11" t="s">
        <v>23</v>
      </c>
      <c r="D186" s="9">
        <v>43100</v>
      </c>
      <c r="E186" s="10">
        <v>7.2952104920159391</v>
      </c>
    </row>
    <row r="187" spans="2:5" x14ac:dyDescent="0.25">
      <c r="B187" s="8" t="s">
        <v>19</v>
      </c>
      <c r="C187" s="11" t="s">
        <v>23</v>
      </c>
      <c r="D187" s="9">
        <v>43465</v>
      </c>
      <c r="E187" s="10">
        <v>7.5342496900139748</v>
      </c>
    </row>
    <row r="188" spans="2:5" x14ac:dyDescent="0.25">
      <c r="B188" s="8" t="s">
        <v>19</v>
      </c>
      <c r="C188" s="11" t="s">
        <v>24</v>
      </c>
      <c r="D188" s="9">
        <v>39447</v>
      </c>
      <c r="E188" s="10">
        <v>2.2867381053302474</v>
      </c>
    </row>
    <row r="189" spans="2:5" x14ac:dyDescent="0.25">
      <c r="B189" s="8" t="s">
        <v>19</v>
      </c>
      <c r="C189" s="11" t="s">
        <v>24</v>
      </c>
      <c r="D189" s="9">
        <v>39813</v>
      </c>
      <c r="E189" s="10">
        <v>2.3863478235450302</v>
      </c>
    </row>
    <row r="190" spans="2:5" x14ac:dyDescent="0.25">
      <c r="B190" s="8" t="s">
        <v>19</v>
      </c>
      <c r="C190" s="11" t="s">
        <v>24</v>
      </c>
      <c r="D190" s="9">
        <v>40178</v>
      </c>
      <c r="E190" s="10">
        <v>2.4869541874529291</v>
      </c>
    </row>
    <row r="191" spans="2:5" x14ac:dyDescent="0.25">
      <c r="B191" s="8" t="s">
        <v>19</v>
      </c>
      <c r="C191" s="11" t="s">
        <v>24</v>
      </c>
      <c r="D191" s="9">
        <v>40543</v>
      </c>
      <c r="E191" s="10">
        <v>2.4913057775175695</v>
      </c>
    </row>
    <row r="192" spans="2:5" x14ac:dyDescent="0.25">
      <c r="B192" s="8" t="s">
        <v>19</v>
      </c>
      <c r="C192" s="11" t="s">
        <v>24</v>
      </c>
      <c r="D192" s="9">
        <v>40908</v>
      </c>
      <c r="E192" s="10">
        <v>2.5532877583184215</v>
      </c>
    </row>
    <row r="193" spans="2:5" x14ac:dyDescent="0.25">
      <c r="B193" s="8" t="s">
        <v>19</v>
      </c>
      <c r="C193" s="11" t="s">
        <v>24</v>
      </c>
      <c r="D193" s="9">
        <v>41274</v>
      </c>
      <c r="E193" s="10">
        <v>2.5599308824032336</v>
      </c>
    </row>
    <row r="194" spans="2:5" x14ac:dyDescent="0.25">
      <c r="B194" s="8" t="s">
        <v>19</v>
      </c>
      <c r="C194" s="11" t="s">
        <v>24</v>
      </c>
      <c r="D194" s="9">
        <v>41639</v>
      </c>
      <c r="E194" s="10">
        <v>2.6780143466320836</v>
      </c>
    </row>
    <row r="195" spans="2:5" x14ac:dyDescent="0.25">
      <c r="B195" s="8" t="s">
        <v>19</v>
      </c>
      <c r="C195" s="11" t="s">
        <v>24</v>
      </c>
      <c r="D195" s="9">
        <v>42004</v>
      </c>
      <c r="E195" s="10">
        <v>2.7215949869749103</v>
      </c>
    </row>
    <row r="196" spans="2:5" x14ac:dyDescent="0.25">
      <c r="B196" s="8" t="s">
        <v>19</v>
      </c>
      <c r="C196" s="11" t="s">
        <v>24</v>
      </c>
      <c r="D196" s="9">
        <v>42369</v>
      </c>
      <c r="E196" s="10">
        <v>2.8223017314574039</v>
      </c>
    </row>
    <row r="197" spans="2:5" x14ac:dyDescent="0.25">
      <c r="B197" s="8" t="s">
        <v>19</v>
      </c>
      <c r="C197" s="11" t="s">
        <v>24</v>
      </c>
      <c r="D197" s="9">
        <v>42735</v>
      </c>
      <c r="E197" s="10">
        <v>2.9185406294525924</v>
      </c>
    </row>
    <row r="198" spans="2:5" x14ac:dyDescent="0.25">
      <c r="B198" s="8" t="s">
        <v>19</v>
      </c>
      <c r="C198" s="11" t="s">
        <v>24</v>
      </c>
      <c r="D198" s="9">
        <v>43100</v>
      </c>
      <c r="E198" s="10">
        <v>3.0122051925922055</v>
      </c>
    </row>
    <row r="199" spans="2:5" x14ac:dyDescent="0.25">
      <c r="B199" s="8" t="s">
        <v>19</v>
      </c>
      <c r="C199" s="11" t="s">
        <v>24</v>
      </c>
      <c r="D199" s="9">
        <v>43465</v>
      </c>
      <c r="E199" s="10">
        <v>3.1109048962170407</v>
      </c>
    </row>
    <row r="200" spans="2:5" x14ac:dyDescent="0.25">
      <c r="B200" s="8" t="s">
        <v>25</v>
      </c>
      <c r="C200" s="8" t="s">
        <v>25</v>
      </c>
      <c r="D200" s="9">
        <v>39447</v>
      </c>
      <c r="E200" s="10">
        <v>10</v>
      </c>
    </row>
    <row r="201" spans="2:5" x14ac:dyDescent="0.25">
      <c r="B201" s="8" t="s">
        <v>25</v>
      </c>
      <c r="C201" s="8" t="s">
        <v>25</v>
      </c>
      <c r="D201" s="9">
        <v>39813</v>
      </c>
      <c r="E201" s="10">
        <v>10.097540492246409</v>
      </c>
    </row>
    <row r="202" spans="2:5" x14ac:dyDescent="0.25">
      <c r="B202" s="8" t="s">
        <v>25</v>
      </c>
      <c r="C202" s="8" t="s">
        <v>25</v>
      </c>
      <c r="D202" s="9">
        <v>40178</v>
      </c>
      <c r="E202" s="10">
        <v>10.196032399255586</v>
      </c>
    </row>
    <row r="203" spans="2:5" x14ac:dyDescent="0.25">
      <c r="B203" s="8" t="s">
        <v>25</v>
      </c>
      <c r="C203" s="8" t="s">
        <v>25</v>
      </c>
      <c r="D203" s="9">
        <v>40543</v>
      </c>
      <c r="E203" s="10">
        <v>10.295485001173958</v>
      </c>
    </row>
    <row r="204" spans="2:5" x14ac:dyDescent="0.25">
      <c r="B204" s="8" t="s">
        <v>25</v>
      </c>
      <c r="C204" s="8" t="s">
        <v>25</v>
      </c>
      <c r="D204" s="9">
        <v>40908</v>
      </c>
      <c r="E204" s="10">
        <v>10.395907668666961</v>
      </c>
    </row>
    <row r="205" spans="2:5" x14ac:dyDescent="0.25">
      <c r="B205" s="8" t="s">
        <v>25</v>
      </c>
      <c r="C205" s="8" t="s">
        <v>25</v>
      </c>
      <c r="D205" s="9">
        <v>41274</v>
      </c>
      <c r="E205" s="10">
        <v>10.497309863801959</v>
      </c>
    </row>
    <row r="206" spans="2:5" x14ac:dyDescent="0.25">
      <c r="B206" s="8" t="s">
        <v>25</v>
      </c>
      <c r="C206" s="8" t="s">
        <v>25</v>
      </c>
      <c r="D206" s="9">
        <v>41639</v>
      </c>
      <c r="E206" s="10">
        <v>10.599701140939791</v>
      </c>
    </row>
    <row r="207" spans="2:5" x14ac:dyDescent="0.25">
      <c r="B207" s="8" t="s">
        <v>25</v>
      </c>
      <c r="C207" s="8" t="s">
        <v>25</v>
      </c>
      <c r="D207" s="9">
        <v>42004</v>
      </c>
      <c r="E207" s="10">
        <v>10.703091147635</v>
      </c>
    </row>
    <row r="208" spans="2:5" x14ac:dyDescent="0.25">
      <c r="B208" s="8" t="s">
        <v>25</v>
      </c>
      <c r="C208" s="8" t="s">
        <v>25</v>
      </c>
      <c r="D208" s="9">
        <v>42369</v>
      </c>
      <c r="E208" s="10">
        <v>10.80748962554485</v>
      </c>
    </row>
    <row r="209" spans="2:5" x14ac:dyDescent="0.25">
      <c r="B209" s="8" t="s">
        <v>25</v>
      </c>
      <c r="C209" s="8" t="s">
        <v>25</v>
      </c>
      <c r="D209" s="9">
        <v>42735</v>
      </c>
      <c r="E209" s="10">
        <v>10.91290641134721</v>
      </c>
    </row>
    <row r="210" spans="2:5" x14ac:dyDescent="0.25">
      <c r="B210" s="8" t="s">
        <v>25</v>
      </c>
      <c r="C210" s="8" t="s">
        <v>25</v>
      </c>
      <c r="D210" s="9">
        <v>43100</v>
      </c>
      <c r="E210" s="10">
        <v>11.019351437667389</v>
      </c>
    </row>
    <row r="211" spans="2:5" x14ac:dyDescent="0.25">
      <c r="B211" s="8" t="s">
        <v>25</v>
      </c>
      <c r="C211" s="8" t="s">
        <v>25</v>
      </c>
      <c r="D211" s="9">
        <v>43465</v>
      </c>
      <c r="E211" s="10">
        <v>11.126834734014013</v>
      </c>
    </row>
    <row r="212" spans="2:5" x14ac:dyDescent="0.25">
      <c r="B212" s="8" t="s">
        <v>26</v>
      </c>
      <c r="C212" s="8" t="s">
        <v>26</v>
      </c>
      <c r="D212" s="9">
        <v>39447</v>
      </c>
      <c r="E212" s="10">
        <v>14.024445644369342</v>
      </c>
    </row>
    <row r="213" spans="2:5" x14ac:dyDescent="0.25">
      <c r="B213" s="8" t="s">
        <v>26</v>
      </c>
      <c r="C213" s="8" t="s">
        <v>26</v>
      </c>
      <c r="D213" s="9">
        <v>39813</v>
      </c>
      <c r="E213" s="10">
        <v>14.635346855792683</v>
      </c>
    </row>
    <row r="214" spans="2:5" x14ac:dyDescent="0.25">
      <c r="B214" s="8" t="s">
        <v>26</v>
      </c>
      <c r="C214" s="8" t="s">
        <v>26</v>
      </c>
      <c r="D214" s="9">
        <v>40178</v>
      </c>
      <c r="E214" s="10">
        <v>15.252360443319448</v>
      </c>
    </row>
    <row r="215" spans="2:5" x14ac:dyDescent="0.25">
      <c r="B215" s="8" t="s">
        <v>26</v>
      </c>
      <c r="C215" s="8" t="s">
        <v>26</v>
      </c>
      <c r="D215" s="9">
        <v>40543</v>
      </c>
      <c r="E215" s="10">
        <v>15.27904851843652</v>
      </c>
    </row>
    <row r="216" spans="2:5" x14ac:dyDescent="0.25">
      <c r="B216" s="8" t="s">
        <v>26</v>
      </c>
      <c r="C216" s="8" t="s">
        <v>26</v>
      </c>
      <c r="D216" s="9">
        <v>40908</v>
      </c>
      <c r="E216" s="10">
        <v>15.659180776977932</v>
      </c>
    </row>
    <row r="217" spans="2:5" x14ac:dyDescent="0.25">
      <c r="B217" s="8" t="s">
        <v>26</v>
      </c>
      <c r="C217" s="8" t="s">
        <v>26</v>
      </c>
      <c r="D217" s="9">
        <v>41274</v>
      </c>
      <c r="E217" s="10">
        <v>15.699922710835194</v>
      </c>
    </row>
    <row r="218" spans="2:5" x14ac:dyDescent="0.25">
      <c r="B218" s="8" t="s">
        <v>26</v>
      </c>
      <c r="C218" s="8" t="s">
        <v>26</v>
      </c>
      <c r="D218" s="9">
        <v>41639</v>
      </c>
      <c r="E218" s="10">
        <v>16.424122443946814</v>
      </c>
    </row>
    <row r="219" spans="2:5" x14ac:dyDescent="0.25">
      <c r="B219" s="8" t="s">
        <v>26</v>
      </c>
      <c r="C219" s="8" t="s">
        <v>26</v>
      </c>
      <c r="D219" s="9">
        <v>42004</v>
      </c>
      <c r="E219" s="10">
        <v>16.691400240302301</v>
      </c>
    </row>
    <row r="220" spans="2:5" x14ac:dyDescent="0.25">
      <c r="B220" s="8" t="s">
        <v>26</v>
      </c>
      <c r="C220" s="8" t="s">
        <v>26</v>
      </c>
      <c r="D220" s="9">
        <v>42369</v>
      </c>
      <c r="E220" s="10">
        <v>17.309029456662497</v>
      </c>
    </row>
    <row r="221" spans="2:5" x14ac:dyDescent="0.25">
      <c r="B221" s="8" t="s">
        <v>26</v>
      </c>
      <c r="C221" s="8" t="s">
        <v>26</v>
      </c>
      <c r="D221" s="9">
        <v>42735</v>
      </c>
      <c r="E221" s="10">
        <v>17.899257603323221</v>
      </c>
    </row>
    <row r="222" spans="2:5" x14ac:dyDescent="0.25">
      <c r="B222" s="8" t="s">
        <v>26</v>
      </c>
      <c r="C222" s="8" t="s">
        <v>26</v>
      </c>
      <c r="D222" s="9">
        <v>43100</v>
      </c>
      <c r="E222" s="10">
        <v>18.473697488456196</v>
      </c>
    </row>
    <row r="223" spans="2:5" x14ac:dyDescent="0.25">
      <c r="B223" s="8" t="s">
        <v>26</v>
      </c>
      <c r="C223" s="8" t="s">
        <v>26</v>
      </c>
      <c r="D223" s="9">
        <v>43465</v>
      </c>
      <c r="E223" s="10">
        <v>19.079017627817741</v>
      </c>
    </row>
    <row r="224" spans="2:5" x14ac:dyDescent="0.25">
      <c r="B224" s="8" t="s">
        <v>27</v>
      </c>
      <c r="C224" s="8" t="s">
        <v>27</v>
      </c>
      <c r="D224" s="9">
        <v>39447</v>
      </c>
      <c r="E224" s="10">
        <v>26</v>
      </c>
    </row>
    <row r="225" spans="2:5" x14ac:dyDescent="0.25">
      <c r="B225" s="8" t="s">
        <v>27</v>
      </c>
      <c r="C225" s="8" t="s">
        <v>27</v>
      </c>
      <c r="D225" s="9">
        <v>39813</v>
      </c>
      <c r="E225" s="10">
        <v>26.985441432680972</v>
      </c>
    </row>
    <row r="226" spans="2:5" x14ac:dyDescent="0.25">
      <c r="B226" s="8" t="s">
        <v>27</v>
      </c>
      <c r="C226" s="8" t="s">
        <v>27</v>
      </c>
      <c r="D226" s="9">
        <v>40178</v>
      </c>
      <c r="E226" s="10">
        <v>28.008232666025187</v>
      </c>
    </row>
    <row r="227" spans="2:5" x14ac:dyDescent="0.25">
      <c r="B227" s="8" t="s">
        <v>27</v>
      </c>
      <c r="C227" s="8" t="s">
        <v>27</v>
      </c>
      <c r="D227" s="9">
        <v>40543</v>
      </c>
      <c r="E227" s="10">
        <v>29.069789316997102</v>
      </c>
    </row>
    <row r="228" spans="2:5" x14ac:dyDescent="0.25">
      <c r="B228" s="8" t="s">
        <v>27</v>
      </c>
      <c r="C228" s="8" t="s">
        <v>27</v>
      </c>
      <c r="D228" s="9">
        <v>40908</v>
      </c>
      <c r="E228" s="10">
        <v>30.171580656700009</v>
      </c>
    </row>
    <row r="229" spans="2:5" x14ac:dyDescent="0.25">
      <c r="B229" s="8" t="s">
        <v>27</v>
      </c>
      <c r="C229" s="8" t="s">
        <v>27</v>
      </c>
      <c r="D229" s="9">
        <v>41274</v>
      </c>
      <c r="E229" s="10">
        <v>31.315131643953389</v>
      </c>
    </row>
    <row r="230" spans="2:5" x14ac:dyDescent="0.25">
      <c r="B230" s="8" t="s">
        <v>27</v>
      </c>
      <c r="C230" s="8" t="s">
        <v>27</v>
      </c>
      <c r="D230" s="9">
        <v>41639</v>
      </c>
      <c r="E230" s="10">
        <v>32.502025035946104</v>
      </c>
    </row>
    <row r="231" spans="2:5" x14ac:dyDescent="0.25">
      <c r="B231" s="8" t="s">
        <v>27</v>
      </c>
      <c r="C231" s="8" t="s">
        <v>27</v>
      </c>
      <c r="D231" s="9">
        <v>42004</v>
      </c>
      <c r="E231" s="10">
        <v>33.733903578886704</v>
      </c>
    </row>
    <row r="232" spans="2:5" x14ac:dyDescent="0.25">
      <c r="B232" s="8" t="s">
        <v>27</v>
      </c>
      <c r="C232" s="8" t="s">
        <v>27</v>
      </c>
      <c r="D232" s="9">
        <v>42369</v>
      </c>
      <c r="E232" s="10">
        <v>35.012472281682854</v>
      </c>
    </row>
    <row r="233" spans="2:5" x14ac:dyDescent="0.25">
      <c r="B233" s="8" t="s">
        <v>27</v>
      </c>
      <c r="C233" s="8" t="s">
        <v>27</v>
      </c>
      <c r="D233" s="9">
        <v>42735</v>
      </c>
      <c r="E233" s="10">
        <v>36.339500775796864</v>
      </c>
    </row>
    <row r="234" spans="2:5" x14ac:dyDescent="0.25">
      <c r="B234" s="8" t="s">
        <v>27</v>
      </c>
      <c r="C234" s="8" t="s">
        <v>27</v>
      </c>
      <c r="D234" s="9">
        <v>43100</v>
      </c>
      <c r="E234" s="10">
        <v>37.716825764543501</v>
      </c>
    </row>
    <row r="235" spans="2:5" x14ac:dyDescent="0.25">
      <c r="B235" s="8" t="s">
        <v>27</v>
      </c>
      <c r="C235" s="8" t="s">
        <v>27</v>
      </c>
      <c r="D235" s="9">
        <v>43465</v>
      </c>
      <c r="E235" s="10">
        <v>39.146353565220053</v>
      </c>
    </row>
    <row r="236" spans="2:5" x14ac:dyDescent="0.25">
      <c r="B236" s="8" t="s">
        <v>28</v>
      </c>
      <c r="C236" s="8" t="s">
        <v>28</v>
      </c>
      <c r="D236" s="9">
        <v>39447</v>
      </c>
      <c r="E236" s="10">
        <v>0.59758670836676209</v>
      </c>
    </row>
    <row r="237" spans="2:5" x14ac:dyDescent="0.25">
      <c r="B237" s="8" t="s">
        <v>28</v>
      </c>
      <c r="C237" s="8" t="s">
        <v>28</v>
      </c>
      <c r="D237" s="9">
        <v>39813</v>
      </c>
      <c r="E237" s="10">
        <v>0.62361743024547767</v>
      </c>
    </row>
    <row r="238" spans="2:5" x14ac:dyDescent="0.25">
      <c r="B238" s="8" t="s">
        <v>28</v>
      </c>
      <c r="C238" s="8" t="s">
        <v>28</v>
      </c>
      <c r="D238" s="9">
        <v>40178</v>
      </c>
      <c r="E238" s="10">
        <v>0.64990860268377815</v>
      </c>
    </row>
    <row r="239" spans="2:5" x14ac:dyDescent="0.25">
      <c r="B239" s="8" t="s">
        <v>28</v>
      </c>
      <c r="C239" s="8" t="s">
        <v>28</v>
      </c>
      <c r="D239" s="9">
        <v>40543</v>
      </c>
      <c r="E239" s="10">
        <v>0.65104579123056816</v>
      </c>
    </row>
    <row r="240" spans="2:5" x14ac:dyDescent="0.25">
      <c r="B240" s="8" t="s">
        <v>28</v>
      </c>
      <c r="C240" s="8" t="s">
        <v>28</v>
      </c>
      <c r="D240" s="9">
        <v>40908</v>
      </c>
      <c r="E240" s="10">
        <v>0.66724336444566268</v>
      </c>
    </row>
    <row r="241" spans="2:5" x14ac:dyDescent="0.25">
      <c r="B241" s="8" t="s">
        <v>28</v>
      </c>
      <c r="C241" s="8" t="s">
        <v>28</v>
      </c>
      <c r="D241" s="9">
        <v>41274</v>
      </c>
      <c r="E241" s="10">
        <v>0.6689793930034853</v>
      </c>
    </row>
    <row r="242" spans="2:5" x14ac:dyDescent="0.25">
      <c r="B242" s="8" t="s">
        <v>28</v>
      </c>
      <c r="C242" s="8" t="s">
        <v>28</v>
      </c>
      <c r="D242" s="9">
        <v>41639</v>
      </c>
      <c r="E242" s="10">
        <v>0.69983780592649558</v>
      </c>
    </row>
    <row r="243" spans="2:5" x14ac:dyDescent="0.25">
      <c r="B243" s="8" t="s">
        <v>28</v>
      </c>
      <c r="C243" s="8" t="s">
        <v>28</v>
      </c>
      <c r="D243" s="9">
        <v>42004</v>
      </c>
      <c r="E243" s="10">
        <v>0.7112266096335228</v>
      </c>
    </row>
    <row r="244" spans="2:5" x14ac:dyDescent="0.25">
      <c r="B244" s="8" t="s">
        <v>28</v>
      </c>
      <c r="C244" s="8" t="s">
        <v>28</v>
      </c>
      <c r="D244" s="9">
        <v>42369</v>
      </c>
      <c r="E244" s="10">
        <v>0.73754401423938809</v>
      </c>
    </row>
    <row r="245" spans="2:5" x14ac:dyDescent="0.25">
      <c r="B245" s="8" t="s">
        <v>28</v>
      </c>
      <c r="C245" s="8" t="s">
        <v>28</v>
      </c>
      <c r="D245" s="9">
        <v>42735</v>
      </c>
      <c r="E245" s="10">
        <v>0.76269384934107054</v>
      </c>
    </row>
    <row r="246" spans="2:5" x14ac:dyDescent="0.25">
      <c r="B246" s="8" t="s">
        <v>28</v>
      </c>
      <c r="C246" s="8" t="s">
        <v>28</v>
      </c>
      <c r="D246" s="9">
        <v>43100</v>
      </c>
      <c r="E246" s="10">
        <v>0.78717094090076567</v>
      </c>
    </row>
    <row r="247" spans="2:5" x14ac:dyDescent="0.25">
      <c r="B247" s="8" t="s">
        <v>28</v>
      </c>
      <c r="C247" s="8" t="s">
        <v>28</v>
      </c>
      <c r="D247" s="9">
        <v>43465</v>
      </c>
      <c r="E247" s="10">
        <v>0.81296385127754089</v>
      </c>
    </row>
    <row r="248" spans="2:5" x14ac:dyDescent="0.25">
      <c r="B248" s="8" t="s">
        <v>29</v>
      </c>
      <c r="C248" s="8" t="s">
        <v>29</v>
      </c>
      <c r="D248" s="9">
        <v>39447</v>
      </c>
      <c r="E248" s="10">
        <v>5.3174757871409764</v>
      </c>
    </row>
    <row r="249" spans="2:5" x14ac:dyDescent="0.25">
      <c r="B249" s="8" t="s">
        <v>29</v>
      </c>
      <c r="C249" s="8" t="s">
        <v>29</v>
      </c>
      <c r="D249" s="9">
        <v>39813</v>
      </c>
      <c r="E249" s="10">
        <v>5.5491036519744732</v>
      </c>
    </row>
    <row r="250" spans="2:5" x14ac:dyDescent="0.25">
      <c r="B250" s="8" t="s">
        <v>29</v>
      </c>
      <c r="C250" s="8" t="s">
        <v>29</v>
      </c>
      <c r="D250" s="9">
        <v>40178</v>
      </c>
      <c r="E250" s="10">
        <v>5.7830490709385254</v>
      </c>
    </row>
    <row r="251" spans="2:5" x14ac:dyDescent="0.25">
      <c r="B251" s="8" t="s">
        <v>29</v>
      </c>
      <c r="C251" s="8" t="s">
        <v>29</v>
      </c>
      <c r="D251" s="9">
        <v>40543</v>
      </c>
      <c r="E251" s="10">
        <v>5.7931680586574732</v>
      </c>
    </row>
    <row r="252" spans="2:5" x14ac:dyDescent="0.25">
      <c r="B252" s="8" t="s">
        <v>29</v>
      </c>
      <c r="C252" s="8" t="s">
        <v>29</v>
      </c>
      <c r="D252" s="9">
        <v>40908</v>
      </c>
      <c r="E252" s="10">
        <v>5.9372981107081735</v>
      </c>
    </row>
    <row r="253" spans="2:5" x14ac:dyDescent="0.25">
      <c r="B253" s="8" t="s">
        <v>29</v>
      </c>
      <c r="C253" s="8" t="s">
        <v>29</v>
      </c>
      <c r="D253" s="9">
        <v>41274</v>
      </c>
      <c r="E253" s="10">
        <v>5.952745726414415</v>
      </c>
    </row>
    <row r="254" spans="2:5" x14ac:dyDescent="0.25">
      <c r="B254" s="8" t="s">
        <v>29</v>
      </c>
      <c r="C254" s="8" t="s">
        <v>29</v>
      </c>
      <c r="D254" s="9">
        <v>41639</v>
      </c>
      <c r="E254" s="10">
        <v>6.2273315919470829</v>
      </c>
    </row>
    <row r="255" spans="2:5" x14ac:dyDescent="0.25">
      <c r="B255" s="8" t="s">
        <v>29</v>
      </c>
      <c r="C255" s="8" t="s">
        <v>29</v>
      </c>
      <c r="D255" s="9">
        <v>42004</v>
      </c>
      <c r="E255" s="10">
        <v>6.3286720118538975</v>
      </c>
    </row>
    <row r="256" spans="2:5" x14ac:dyDescent="0.25">
      <c r="B256" s="8" t="s">
        <v>29</v>
      </c>
      <c r="C256" s="8" t="s">
        <v>29</v>
      </c>
      <c r="D256" s="9">
        <v>42369</v>
      </c>
      <c r="E256" s="10">
        <v>6.5628508511968118</v>
      </c>
    </row>
    <row r="257" spans="2:5" x14ac:dyDescent="0.25">
      <c r="B257" s="8" t="s">
        <v>29</v>
      </c>
      <c r="C257" s="8" t="s">
        <v>29</v>
      </c>
      <c r="D257" s="9">
        <v>42735</v>
      </c>
      <c r="E257" s="10">
        <v>6.7866403654738034</v>
      </c>
    </row>
    <row r="258" spans="2:5" x14ac:dyDescent="0.25">
      <c r="B258" s="8" t="s">
        <v>29</v>
      </c>
      <c r="C258" s="8" t="s">
        <v>29</v>
      </c>
      <c r="D258" s="9">
        <v>43100</v>
      </c>
      <c r="E258" s="10">
        <v>7.0044436396865724</v>
      </c>
    </row>
    <row r="259" spans="2:5" x14ac:dyDescent="0.25">
      <c r="B259" s="8" t="s">
        <v>29</v>
      </c>
      <c r="C259" s="8" t="s">
        <v>29</v>
      </c>
      <c r="D259" s="9">
        <v>43465</v>
      </c>
      <c r="E259" s="10">
        <v>7.2339553983788747</v>
      </c>
    </row>
    <row r="260" spans="2:5" x14ac:dyDescent="0.25">
      <c r="B260" s="8" t="s">
        <v>30</v>
      </c>
      <c r="C260" s="8" t="s">
        <v>30</v>
      </c>
      <c r="D260" s="9">
        <v>39447</v>
      </c>
      <c r="E260" s="10">
        <v>2.4241708259565717</v>
      </c>
    </row>
    <row r="261" spans="2:5" x14ac:dyDescent="0.25">
      <c r="B261" s="8" t="s">
        <v>30</v>
      </c>
      <c r="C261" s="8" t="s">
        <v>30</v>
      </c>
      <c r="D261" s="9">
        <v>39813</v>
      </c>
      <c r="E261" s="10">
        <v>2.5297670778033297</v>
      </c>
    </row>
    <row r="262" spans="2:5" x14ac:dyDescent="0.25">
      <c r="B262" s="8" t="s">
        <v>30</v>
      </c>
      <c r="C262" s="8" t="s">
        <v>30</v>
      </c>
      <c r="D262" s="9">
        <v>40178</v>
      </c>
      <c r="E262" s="10">
        <v>2.636419873644976</v>
      </c>
    </row>
    <row r="263" spans="2:5" x14ac:dyDescent="0.25">
      <c r="B263" s="8" t="s">
        <v>30</v>
      </c>
      <c r="C263" s="8" t="s">
        <v>30</v>
      </c>
      <c r="D263" s="9">
        <v>40543</v>
      </c>
      <c r="E263" s="10">
        <v>2.6410329938167325</v>
      </c>
    </row>
    <row r="264" spans="2:5" x14ac:dyDescent="0.25">
      <c r="B264" s="8" t="s">
        <v>30</v>
      </c>
      <c r="C264" s="8" t="s">
        <v>30</v>
      </c>
      <c r="D264" s="9">
        <v>40908</v>
      </c>
      <c r="E264" s="10">
        <v>2.706740085171965</v>
      </c>
    </row>
    <row r="265" spans="2:5" x14ac:dyDescent="0.25">
      <c r="B265" s="8" t="s">
        <v>30</v>
      </c>
      <c r="C265" s="8" t="s">
        <v>30</v>
      </c>
      <c r="D265" s="9">
        <v>41274</v>
      </c>
      <c r="E265" s="10">
        <v>2.713782460318499</v>
      </c>
    </row>
    <row r="266" spans="2:5" x14ac:dyDescent="0.25">
      <c r="B266" s="8" t="s">
        <v>30</v>
      </c>
      <c r="C266" s="8" t="s">
        <v>30</v>
      </c>
      <c r="D266" s="9">
        <v>41639</v>
      </c>
      <c r="E266" s="10">
        <v>2.8389627283799022</v>
      </c>
    </row>
    <row r="267" spans="2:5" x14ac:dyDescent="0.25">
      <c r="B267" s="8" t="s">
        <v>30</v>
      </c>
      <c r="C267" s="8" t="s">
        <v>30</v>
      </c>
      <c r="D267" s="9">
        <v>42004</v>
      </c>
      <c r="E267" s="10">
        <v>2.8851625606428666</v>
      </c>
    </row>
    <row r="268" spans="2:5" x14ac:dyDescent="0.25">
      <c r="B268" s="8" t="s">
        <v>30</v>
      </c>
      <c r="C268" s="8" t="s">
        <v>30</v>
      </c>
      <c r="D268" s="9">
        <v>42369</v>
      </c>
      <c r="E268" s="10">
        <v>2.9919217699211269</v>
      </c>
    </row>
    <row r="269" spans="2:5" x14ac:dyDescent="0.25">
      <c r="B269" s="8" t="s">
        <v>30</v>
      </c>
      <c r="C269" s="8" t="s">
        <v>30</v>
      </c>
      <c r="D269" s="9">
        <v>42735</v>
      </c>
      <c r="E269" s="10">
        <v>3.0939446156061399</v>
      </c>
    </row>
    <row r="270" spans="2:5" x14ac:dyDescent="0.25">
      <c r="B270" s="8" t="s">
        <v>30</v>
      </c>
      <c r="C270" s="8" t="s">
        <v>30</v>
      </c>
      <c r="D270" s="9">
        <v>43100</v>
      </c>
      <c r="E270" s="10">
        <v>3.1932384091803829</v>
      </c>
    </row>
    <row r="271" spans="2:5" x14ac:dyDescent="0.25">
      <c r="B271" s="8" t="s">
        <v>30</v>
      </c>
      <c r="C271" s="8" t="s">
        <v>30</v>
      </c>
      <c r="D271" s="9">
        <v>43465</v>
      </c>
      <c r="E271" s="10">
        <v>3.2978699546556487</v>
      </c>
    </row>
    <row r="272" spans="2:5" x14ac:dyDescent="0.25">
      <c r="B272" s="8" t="s">
        <v>31</v>
      </c>
      <c r="C272" s="8" t="s">
        <v>31</v>
      </c>
      <c r="D272" s="9">
        <v>39447</v>
      </c>
      <c r="E272" s="10">
        <v>3.0881789960846389</v>
      </c>
    </row>
    <row r="273" spans="2:5" x14ac:dyDescent="0.25">
      <c r="B273" s="8" t="s">
        <v>31</v>
      </c>
      <c r="C273" s="8" t="s">
        <v>31</v>
      </c>
      <c r="D273" s="9">
        <v>39813</v>
      </c>
      <c r="E273" s="10">
        <v>3.2226992714409533</v>
      </c>
    </row>
    <row r="274" spans="2:5" x14ac:dyDescent="0.25">
      <c r="B274" s="8" t="s">
        <v>31</v>
      </c>
      <c r="C274" s="8" t="s">
        <v>31</v>
      </c>
      <c r="D274" s="9">
        <v>40178</v>
      </c>
      <c r="E274" s="10">
        <v>3.3585654903003062</v>
      </c>
    </row>
    <row r="275" spans="2:5" x14ac:dyDescent="0.25">
      <c r="B275" s="8" t="s">
        <v>31</v>
      </c>
      <c r="C275" s="8" t="s">
        <v>31</v>
      </c>
      <c r="D275" s="9">
        <v>40543</v>
      </c>
      <c r="E275" s="10">
        <v>3.3644421969532754</v>
      </c>
    </row>
    <row r="276" spans="2:5" x14ac:dyDescent="0.25">
      <c r="B276" s="8" t="s">
        <v>31</v>
      </c>
      <c r="C276" s="8" t="s">
        <v>31</v>
      </c>
      <c r="D276" s="9">
        <v>40908</v>
      </c>
      <c r="E276" s="10">
        <v>3.448147213631287</v>
      </c>
    </row>
    <row r="277" spans="2:5" x14ac:dyDescent="0.25">
      <c r="B277" s="8" t="s">
        <v>31</v>
      </c>
      <c r="C277" s="8" t="s">
        <v>31</v>
      </c>
      <c r="D277" s="9">
        <v>41274</v>
      </c>
      <c r="E277" s="10">
        <v>3.4571185760357883</v>
      </c>
    </row>
    <row r="278" spans="2:5" x14ac:dyDescent="0.25">
      <c r="B278" s="8" t="s">
        <v>31</v>
      </c>
      <c r="C278" s="8" t="s">
        <v>31</v>
      </c>
      <c r="D278" s="9">
        <v>41639</v>
      </c>
      <c r="E278" s="10">
        <v>3.6165871540799639</v>
      </c>
    </row>
    <row r="279" spans="2:5" x14ac:dyDescent="0.25">
      <c r="B279" s="8" t="s">
        <v>31</v>
      </c>
      <c r="C279" s="8" t="s">
        <v>31</v>
      </c>
      <c r="D279" s="9">
        <v>42004</v>
      </c>
      <c r="E279" s="10">
        <v>3.6754416498479436</v>
      </c>
    </row>
    <row r="280" spans="2:5" x14ac:dyDescent="0.25">
      <c r="B280" s="8" t="s">
        <v>31</v>
      </c>
      <c r="C280" s="8" t="s">
        <v>31</v>
      </c>
      <c r="D280" s="9">
        <v>42369</v>
      </c>
      <c r="E280" s="10">
        <v>3.8114434300036928</v>
      </c>
    </row>
    <row r="281" spans="2:5" x14ac:dyDescent="0.25">
      <c r="B281" s="8" t="s">
        <v>31</v>
      </c>
      <c r="C281" s="8" t="s">
        <v>31</v>
      </c>
      <c r="D281" s="9">
        <v>42735</v>
      </c>
      <c r="E281" s="10">
        <v>3.9414115022994713</v>
      </c>
    </row>
    <row r="282" spans="2:5" x14ac:dyDescent="0.25">
      <c r="B282" s="8" t="s">
        <v>31</v>
      </c>
      <c r="C282" s="8" t="s">
        <v>31</v>
      </c>
      <c r="D282" s="9">
        <v>43100</v>
      </c>
      <c r="E282" s="10">
        <v>4.0679030038365145</v>
      </c>
    </row>
    <row r="283" spans="2:5" x14ac:dyDescent="0.25">
      <c r="B283" s="8" t="s">
        <v>31</v>
      </c>
      <c r="C283" s="8" t="s">
        <v>31</v>
      </c>
      <c r="D283" s="9">
        <v>43465</v>
      </c>
      <c r="E283" s="10">
        <v>4.2011943286906899</v>
      </c>
    </row>
    <row r="284" spans="2:5" x14ac:dyDescent="0.25">
      <c r="B284" s="8" t="s">
        <v>32</v>
      </c>
      <c r="C284" s="8" t="s">
        <v>32</v>
      </c>
      <c r="D284" s="9">
        <v>39447</v>
      </c>
      <c r="E284" s="10">
        <v>5.4490106979733008</v>
      </c>
    </row>
    <row r="285" spans="2:5" x14ac:dyDescent="0.25">
      <c r="B285" s="8" t="s">
        <v>32</v>
      </c>
      <c r="C285" s="8" t="s">
        <v>32</v>
      </c>
      <c r="D285" s="9">
        <v>39813</v>
      </c>
      <c r="E285" s="10">
        <v>5.6863681893752602</v>
      </c>
    </row>
    <row r="286" spans="2:5" x14ac:dyDescent="0.25">
      <c r="B286" s="8" t="s">
        <v>32</v>
      </c>
      <c r="C286" s="8" t="s">
        <v>32</v>
      </c>
      <c r="D286" s="9">
        <v>40178</v>
      </c>
      <c r="E286" s="10">
        <v>5.9261005627242263</v>
      </c>
    </row>
    <row r="287" spans="2:5" x14ac:dyDescent="0.25">
      <c r="B287" s="8" t="s">
        <v>32</v>
      </c>
      <c r="C287" s="8" t="s">
        <v>32</v>
      </c>
      <c r="D287" s="9">
        <v>40543</v>
      </c>
      <c r="E287" s="10">
        <v>5.9364698572053687</v>
      </c>
    </row>
    <row r="288" spans="2:5" x14ac:dyDescent="0.25">
      <c r="B288" s="8" t="s">
        <v>32</v>
      </c>
      <c r="C288" s="8" t="s">
        <v>32</v>
      </c>
      <c r="D288" s="9">
        <v>40908</v>
      </c>
      <c r="E288" s="10">
        <v>6.0841651598192383</v>
      </c>
    </row>
    <row r="289" spans="2:5" x14ac:dyDescent="0.25">
      <c r="B289" s="8" t="s">
        <v>32</v>
      </c>
      <c r="C289" s="8" t="s">
        <v>32</v>
      </c>
      <c r="D289" s="9">
        <v>41274</v>
      </c>
      <c r="E289" s="10">
        <v>6.0999948930631671</v>
      </c>
    </row>
    <row r="290" spans="2:5" x14ac:dyDescent="0.25">
      <c r="B290" s="8" t="s">
        <v>32</v>
      </c>
      <c r="C290" s="8" t="s">
        <v>32</v>
      </c>
      <c r="D290" s="9">
        <v>41639</v>
      </c>
      <c r="E290" s="10">
        <v>6.3813730090515861</v>
      </c>
    </row>
    <row r="291" spans="2:5" x14ac:dyDescent="0.25">
      <c r="B291" s="8" t="s">
        <v>32</v>
      </c>
      <c r="C291" s="8" t="s">
        <v>32</v>
      </c>
      <c r="D291" s="9">
        <v>42004</v>
      </c>
      <c r="E291" s="10">
        <v>6.4852202204568004</v>
      </c>
    </row>
    <row r="292" spans="2:5" x14ac:dyDescent="0.25">
      <c r="B292" s="8" t="s">
        <v>32</v>
      </c>
      <c r="C292" s="8" t="s">
        <v>32</v>
      </c>
      <c r="D292" s="9">
        <v>42369</v>
      </c>
      <c r="E292" s="10">
        <v>6.7251917881514407</v>
      </c>
    </row>
    <row r="293" spans="2:5" x14ac:dyDescent="0.25">
      <c r="B293" s="8" t="s">
        <v>32</v>
      </c>
      <c r="C293" s="8" t="s">
        <v>32</v>
      </c>
      <c r="D293" s="9">
        <v>42735</v>
      </c>
      <c r="E293" s="10">
        <v>6.9545170368603264</v>
      </c>
    </row>
    <row r="294" spans="2:5" x14ac:dyDescent="0.25">
      <c r="B294" s="8" t="s">
        <v>32</v>
      </c>
      <c r="C294" s="8" t="s">
        <v>32</v>
      </c>
      <c r="D294" s="9">
        <v>43100</v>
      </c>
      <c r="E294" s="10">
        <v>7.1777079678108731</v>
      </c>
    </row>
    <row r="295" spans="2:5" x14ac:dyDescent="0.25">
      <c r="B295" s="8" t="s">
        <v>32</v>
      </c>
      <c r="C295" s="8" t="s">
        <v>32</v>
      </c>
      <c r="D295" s="9">
        <v>43465</v>
      </c>
      <c r="E295" s="10">
        <v>7.4128970083419699</v>
      </c>
    </row>
    <row r="296" spans="2:5" x14ac:dyDescent="0.25">
      <c r="B296" s="8" t="s">
        <v>33</v>
      </c>
      <c r="C296" s="8" t="s">
        <v>33</v>
      </c>
      <c r="D296" s="9">
        <v>39447</v>
      </c>
      <c r="E296" s="10">
        <v>3.5231249814772432</v>
      </c>
    </row>
    <row r="297" spans="2:5" x14ac:dyDescent="0.25">
      <c r="B297" s="8" t="s">
        <v>33</v>
      </c>
      <c r="C297" s="8" t="s">
        <v>33</v>
      </c>
      <c r="D297" s="9">
        <v>39813</v>
      </c>
      <c r="E297" s="10">
        <v>3.6765913910422019</v>
      </c>
    </row>
    <row r="298" spans="2:5" x14ac:dyDescent="0.25">
      <c r="B298" s="8" t="s">
        <v>33</v>
      </c>
      <c r="C298" s="8" t="s">
        <v>33</v>
      </c>
      <c r="D298" s="9">
        <v>40178</v>
      </c>
      <c r="E298" s="10">
        <v>3.8315933097810864</v>
      </c>
    </row>
    <row r="299" spans="2:5" x14ac:dyDescent="0.25">
      <c r="B299" s="8" t="s">
        <v>33</v>
      </c>
      <c r="C299" s="8" t="s">
        <v>33</v>
      </c>
      <c r="D299" s="9">
        <v>40543</v>
      </c>
      <c r="E299" s="10">
        <v>3.8382977048450186</v>
      </c>
    </row>
    <row r="300" spans="2:5" x14ac:dyDescent="0.25">
      <c r="B300" s="8" t="s">
        <v>33</v>
      </c>
      <c r="C300" s="8" t="s">
        <v>33</v>
      </c>
      <c r="D300" s="9">
        <v>40908</v>
      </c>
      <c r="E300" s="10">
        <v>3.9337919218924005</v>
      </c>
    </row>
    <row r="301" spans="2:5" x14ac:dyDescent="0.25">
      <c r="B301" s="8" t="s">
        <v>33</v>
      </c>
      <c r="C301" s="8" t="s">
        <v>33</v>
      </c>
      <c r="D301" s="9">
        <v>41274</v>
      </c>
      <c r="E301" s="10">
        <v>3.9440268308938728</v>
      </c>
    </row>
    <row r="302" spans="2:5" x14ac:dyDescent="0.25">
      <c r="B302" s="8" t="s">
        <v>33</v>
      </c>
      <c r="C302" s="8" t="s">
        <v>33</v>
      </c>
      <c r="D302" s="9">
        <v>41639</v>
      </c>
      <c r="E302" s="10">
        <v>4.1259553174810826</v>
      </c>
    </row>
    <row r="303" spans="2:5" x14ac:dyDescent="0.25">
      <c r="B303" s="8" t="s">
        <v>33</v>
      </c>
      <c r="C303" s="8" t="s">
        <v>33</v>
      </c>
      <c r="D303" s="9">
        <v>42004</v>
      </c>
      <c r="E303" s="10">
        <v>4.1930990110867024</v>
      </c>
    </row>
    <row r="304" spans="2:5" x14ac:dyDescent="0.25">
      <c r="B304" s="8" t="s">
        <v>33</v>
      </c>
      <c r="C304" s="8" t="s">
        <v>33</v>
      </c>
      <c r="D304" s="9">
        <v>42369</v>
      </c>
      <c r="E304" s="10">
        <v>4.3482555838759058</v>
      </c>
    </row>
    <row r="305" spans="2:5" x14ac:dyDescent="0.25">
      <c r="B305" s="8" t="s">
        <v>33</v>
      </c>
      <c r="C305" s="8" t="s">
        <v>33</v>
      </c>
      <c r="D305" s="9">
        <v>42735</v>
      </c>
      <c r="E305" s="10">
        <v>4.4965286479956479</v>
      </c>
    </row>
    <row r="306" spans="2:5" x14ac:dyDescent="0.25">
      <c r="B306" s="8" t="s">
        <v>33</v>
      </c>
      <c r="C306" s="8" t="s">
        <v>33</v>
      </c>
      <c r="D306" s="9">
        <v>43100</v>
      </c>
      <c r="E306" s="10">
        <v>4.6408354934132019</v>
      </c>
    </row>
    <row r="307" spans="2:5" x14ac:dyDescent="0.25">
      <c r="B307" s="8" t="s">
        <v>33</v>
      </c>
      <c r="C307" s="8" t="s">
        <v>33</v>
      </c>
      <c r="D307" s="9">
        <v>43465</v>
      </c>
      <c r="E307" s="10">
        <v>4.7928998643590992</v>
      </c>
    </row>
    <row r="308" spans="2:5" x14ac:dyDescent="0.25">
      <c r="B308" s="8" t="s">
        <v>34</v>
      </c>
      <c r="C308" s="8" t="s">
        <v>34</v>
      </c>
      <c r="D308" s="9">
        <v>39447</v>
      </c>
      <c r="E308" s="10">
        <v>1.8126592125560259</v>
      </c>
    </row>
    <row r="309" spans="2:5" x14ac:dyDescent="0.25">
      <c r="B309" s="8" t="s">
        <v>34</v>
      </c>
      <c r="C309" s="8" t="s">
        <v>34</v>
      </c>
      <c r="D309" s="9">
        <v>39813</v>
      </c>
      <c r="E309" s="10">
        <v>1.8916181772758005</v>
      </c>
    </row>
    <row r="310" spans="2:5" x14ac:dyDescent="0.25">
      <c r="B310" s="8" t="s">
        <v>34</v>
      </c>
      <c r="C310" s="8" t="s">
        <v>34</v>
      </c>
      <c r="D310" s="9">
        <v>40178</v>
      </c>
      <c r="E310" s="10">
        <v>1.971367166438283</v>
      </c>
    </row>
    <row r="311" spans="2:5" x14ac:dyDescent="0.25">
      <c r="B311" s="8" t="s">
        <v>34</v>
      </c>
      <c r="C311" s="8" t="s">
        <v>34</v>
      </c>
      <c r="D311" s="9">
        <v>40543</v>
      </c>
      <c r="E311" s="10">
        <v>1.9748165994107563</v>
      </c>
    </row>
    <row r="312" spans="2:5" x14ac:dyDescent="0.25">
      <c r="B312" s="8" t="s">
        <v>34</v>
      </c>
      <c r="C312" s="8" t="s">
        <v>34</v>
      </c>
      <c r="D312" s="9">
        <v>40908</v>
      </c>
      <c r="E312" s="10">
        <v>2.023948683338185</v>
      </c>
    </row>
    <row r="313" spans="2:5" x14ac:dyDescent="0.25">
      <c r="B313" s="8" t="s">
        <v>34</v>
      </c>
      <c r="C313" s="8" t="s">
        <v>34</v>
      </c>
      <c r="D313" s="9">
        <v>41274</v>
      </c>
      <c r="E313" s="10">
        <v>2.0292145771650376</v>
      </c>
    </row>
    <row r="314" spans="2:5" x14ac:dyDescent="0.25">
      <c r="B314" s="8" t="s">
        <v>34</v>
      </c>
      <c r="C314" s="8" t="s">
        <v>34</v>
      </c>
      <c r="D314" s="9">
        <v>41639</v>
      </c>
      <c r="E314" s="10">
        <v>2.1228173726867587</v>
      </c>
    </row>
    <row r="315" spans="2:5" x14ac:dyDescent="0.25">
      <c r="B315" s="8" t="s">
        <v>34</v>
      </c>
      <c r="C315" s="8" t="s">
        <v>34</v>
      </c>
      <c r="D315" s="9">
        <v>42004</v>
      </c>
      <c r="E315" s="10">
        <v>2.1573630204906675</v>
      </c>
    </row>
    <row r="316" spans="2:5" x14ac:dyDescent="0.25">
      <c r="B316" s="8" t="s">
        <v>34</v>
      </c>
      <c r="C316" s="8" t="s">
        <v>34</v>
      </c>
      <c r="D316" s="9">
        <v>42369</v>
      </c>
      <c r="E316" s="10">
        <v>2.2371915796628836</v>
      </c>
    </row>
    <row r="317" spans="2:5" x14ac:dyDescent="0.25">
      <c r="B317" s="8" t="s">
        <v>34</v>
      </c>
      <c r="C317" s="8" t="s">
        <v>34</v>
      </c>
      <c r="D317" s="9">
        <v>42735</v>
      </c>
      <c r="E317" s="10">
        <v>2.3134785513325253</v>
      </c>
    </row>
    <row r="318" spans="2:5" x14ac:dyDescent="0.25">
      <c r="B318" s="8" t="s">
        <v>34</v>
      </c>
      <c r="C318" s="8" t="s">
        <v>34</v>
      </c>
      <c r="D318" s="9">
        <v>43100</v>
      </c>
      <c r="E318" s="10">
        <v>2.387724890635353</v>
      </c>
    </row>
    <row r="319" spans="2:5" x14ac:dyDescent="0.25">
      <c r="B319" s="8" t="s">
        <v>34</v>
      </c>
      <c r="C319" s="8" t="s">
        <v>34</v>
      </c>
      <c r="D319" s="9">
        <v>43465</v>
      </c>
      <c r="E319" s="10">
        <v>2.4659625019451399</v>
      </c>
    </row>
    <row r="320" spans="2:5" x14ac:dyDescent="0.25">
      <c r="B320" s="8" t="s">
        <v>35</v>
      </c>
      <c r="C320" s="8" t="s">
        <v>35</v>
      </c>
      <c r="D320" s="9">
        <v>39447</v>
      </c>
      <c r="E320" s="10">
        <v>3.8673417507230456</v>
      </c>
    </row>
    <row r="321" spans="2:5" x14ac:dyDescent="0.25">
      <c r="B321" s="8" t="s">
        <v>35</v>
      </c>
      <c r="C321" s="8" t="s">
        <v>35</v>
      </c>
      <c r="D321" s="9">
        <v>39813</v>
      </c>
      <c r="E321" s="10">
        <v>4.0358021533952408</v>
      </c>
    </row>
    <row r="322" spans="2:5" x14ac:dyDescent="0.25">
      <c r="B322" s="8" t="s">
        <v>35</v>
      </c>
      <c r="C322" s="8" t="s">
        <v>35</v>
      </c>
      <c r="D322" s="9">
        <v>40178</v>
      </c>
      <c r="E322" s="10">
        <v>4.2059480877383715</v>
      </c>
    </row>
    <row r="323" spans="2:5" x14ac:dyDescent="0.25">
      <c r="B323" s="8" t="s">
        <v>35</v>
      </c>
      <c r="C323" s="8" t="s">
        <v>35</v>
      </c>
      <c r="D323" s="9">
        <v>40543</v>
      </c>
      <c r="E323" s="10">
        <v>4.2133075163934448</v>
      </c>
    </row>
    <row r="324" spans="2:5" x14ac:dyDescent="0.25">
      <c r="B324" s="8" t="s">
        <v>35</v>
      </c>
      <c r="C324" s="8" t="s">
        <v>35</v>
      </c>
      <c r="D324" s="9">
        <v>40908</v>
      </c>
      <c r="E324" s="10">
        <v>4.31813172061032</v>
      </c>
    </row>
    <row r="325" spans="2:5" x14ac:dyDescent="0.25">
      <c r="B325" s="8" t="s">
        <v>35</v>
      </c>
      <c r="C325" s="8" t="s">
        <v>35</v>
      </c>
      <c r="D325" s="9">
        <v>41274</v>
      </c>
      <c r="E325" s="10">
        <v>4.3293666018888288</v>
      </c>
    </row>
    <row r="326" spans="2:5" x14ac:dyDescent="0.25">
      <c r="B326" s="8" t="s">
        <v>35</v>
      </c>
      <c r="C326" s="8" t="s">
        <v>35</v>
      </c>
      <c r="D326" s="9">
        <v>41639</v>
      </c>
      <c r="E326" s="10">
        <v>4.5290698867633736</v>
      </c>
    </row>
    <row r="327" spans="2:5" x14ac:dyDescent="0.25">
      <c r="B327" s="8" t="s">
        <v>35</v>
      </c>
      <c r="C327" s="8" t="s">
        <v>35</v>
      </c>
      <c r="D327" s="9">
        <v>42004</v>
      </c>
      <c r="E327" s="10">
        <v>4.6027736613793646</v>
      </c>
    </row>
    <row r="328" spans="2:5" x14ac:dyDescent="0.25">
      <c r="B328" s="8" t="s">
        <v>35</v>
      </c>
      <c r="C328" s="8" t="s">
        <v>35</v>
      </c>
      <c r="D328" s="9">
        <v>42369</v>
      </c>
      <c r="E328" s="10">
        <v>4.7730893598009372</v>
      </c>
    </row>
    <row r="329" spans="2:5" x14ac:dyDescent="0.25">
      <c r="B329" s="8" t="s">
        <v>35</v>
      </c>
      <c r="C329" s="8" t="s">
        <v>35</v>
      </c>
      <c r="D329" s="9">
        <v>42735</v>
      </c>
      <c r="E329" s="10">
        <v>4.9358490161834592</v>
      </c>
    </row>
    <row r="330" spans="2:5" x14ac:dyDescent="0.25">
      <c r="B330" s="8" t="s">
        <v>35</v>
      </c>
      <c r="C330" s="8" t="s">
        <v>35</v>
      </c>
      <c r="D330" s="9">
        <v>43100</v>
      </c>
      <c r="E330" s="10">
        <v>5.0942549458999915</v>
      </c>
    </row>
    <row r="331" spans="2:5" x14ac:dyDescent="0.25">
      <c r="B331" s="8" t="s">
        <v>35</v>
      </c>
      <c r="C331" s="8" t="s">
        <v>35</v>
      </c>
      <c r="D331" s="9">
        <v>43465</v>
      </c>
      <c r="E331" s="10">
        <v>5.2611763278118877</v>
      </c>
    </row>
    <row r="332" spans="2:5" x14ac:dyDescent="0.25">
      <c r="B332" s="8" t="s">
        <v>36</v>
      </c>
      <c r="C332" s="8" t="s">
        <v>36</v>
      </c>
      <c r="D332" s="9">
        <v>39447</v>
      </c>
      <c r="E332" s="10">
        <v>2.4486214454832287</v>
      </c>
    </row>
    <row r="333" spans="2:5" x14ac:dyDescent="0.25">
      <c r="B333" s="8" t="s">
        <v>36</v>
      </c>
      <c r="C333" s="8" t="s">
        <v>36</v>
      </c>
      <c r="D333" s="9">
        <v>39813</v>
      </c>
      <c r="E333" s="10">
        <v>2.5552827599690136</v>
      </c>
    </row>
    <row r="334" spans="2:5" x14ac:dyDescent="0.25">
      <c r="B334" s="8" t="s">
        <v>36</v>
      </c>
      <c r="C334" s="8" t="s">
        <v>36</v>
      </c>
      <c r="D334" s="9">
        <v>40178</v>
      </c>
      <c r="E334" s="10">
        <v>2.6630112749409522</v>
      </c>
    </row>
    <row r="335" spans="2:5" x14ac:dyDescent="0.25">
      <c r="B335" s="8" t="s">
        <v>36</v>
      </c>
      <c r="C335" s="8" t="s">
        <v>36</v>
      </c>
      <c r="D335" s="9">
        <v>40543</v>
      </c>
      <c r="E335" s="10">
        <v>2.6676709238659395</v>
      </c>
    </row>
    <row r="336" spans="2:5" x14ac:dyDescent="0.25">
      <c r="B336" s="8" t="s">
        <v>36</v>
      </c>
      <c r="C336" s="8" t="s">
        <v>36</v>
      </c>
      <c r="D336" s="9">
        <v>40908</v>
      </c>
      <c r="E336" s="10">
        <v>2.7340407486695444</v>
      </c>
    </row>
    <row r="337" spans="2:5" x14ac:dyDescent="0.25">
      <c r="B337" s="8" t="s">
        <v>36</v>
      </c>
      <c r="C337" s="8" t="s">
        <v>36</v>
      </c>
      <c r="D337" s="9">
        <v>41274</v>
      </c>
      <c r="E337" s="10">
        <v>2.7411541544684686</v>
      </c>
    </row>
    <row r="338" spans="2:5" x14ac:dyDescent="0.25">
      <c r="B338" s="8" t="s">
        <v>36</v>
      </c>
      <c r="C338" s="8" t="s">
        <v>36</v>
      </c>
      <c r="D338" s="9">
        <v>41639</v>
      </c>
      <c r="E338" s="10">
        <v>2.8675970130510682</v>
      </c>
    </row>
    <row r="339" spans="2:5" x14ac:dyDescent="0.25">
      <c r="B339" s="8" t="s">
        <v>36</v>
      </c>
      <c r="C339" s="8" t="s">
        <v>36</v>
      </c>
      <c r="D339" s="9">
        <v>42004</v>
      </c>
      <c r="E339" s="10">
        <v>2.9142628250662685</v>
      </c>
    </row>
    <row r="340" spans="2:5" x14ac:dyDescent="0.25">
      <c r="B340" s="8" t="s">
        <v>36</v>
      </c>
      <c r="C340" s="8" t="s">
        <v>36</v>
      </c>
      <c r="D340" s="9">
        <v>42369</v>
      </c>
      <c r="E340" s="10">
        <v>3.0220988267797315</v>
      </c>
    </row>
    <row r="341" spans="2:5" x14ac:dyDescent="0.25">
      <c r="B341" s="8" t="s">
        <v>36</v>
      </c>
      <c r="C341" s="8" t="s">
        <v>36</v>
      </c>
      <c r="D341" s="9">
        <v>42735</v>
      </c>
      <c r="E341" s="10">
        <v>3.1251506930915753</v>
      </c>
    </row>
    <row r="342" spans="2:5" x14ac:dyDescent="0.25">
      <c r="B342" s="8" t="s">
        <v>36</v>
      </c>
      <c r="C342" s="8" t="s">
        <v>36</v>
      </c>
      <c r="D342" s="9">
        <v>43100</v>
      </c>
      <c r="E342" s="10">
        <v>3.2254459815860805</v>
      </c>
    </row>
    <row r="343" spans="2:5" x14ac:dyDescent="0.25">
      <c r="B343" s="8" t="s">
        <v>36</v>
      </c>
      <c r="C343" s="8" t="s">
        <v>36</v>
      </c>
      <c r="D343" s="9">
        <v>43465</v>
      </c>
      <c r="E343" s="10">
        <v>3.3311328594997653</v>
      </c>
    </row>
    <row r="344" spans="2:5" x14ac:dyDescent="0.25">
      <c r="B344" s="8" t="s">
        <v>37</v>
      </c>
      <c r="C344" s="8" t="s">
        <v>37</v>
      </c>
      <c r="D344" s="9">
        <v>39447</v>
      </c>
      <c r="E344" s="10">
        <v>42</v>
      </c>
    </row>
    <row r="345" spans="2:5" x14ac:dyDescent="0.25">
      <c r="B345" s="8" t="s">
        <v>37</v>
      </c>
      <c r="C345" s="8" t="s">
        <v>37</v>
      </c>
      <c r="D345" s="9">
        <v>39813</v>
      </c>
      <c r="E345" s="10">
        <v>42.232158045833941</v>
      </c>
    </row>
    <row r="346" spans="2:5" x14ac:dyDescent="0.25">
      <c r="B346" s="8" t="s">
        <v>37</v>
      </c>
      <c r="C346" s="8" t="s">
        <v>37</v>
      </c>
      <c r="D346" s="9">
        <v>40178</v>
      </c>
      <c r="E346" s="10">
        <v>42.465599362102303</v>
      </c>
    </row>
    <row r="347" spans="2:5" x14ac:dyDescent="0.25">
      <c r="B347" s="8" t="s">
        <v>37</v>
      </c>
      <c r="C347" s="8" t="s">
        <v>37</v>
      </c>
      <c r="D347" s="9">
        <v>40543</v>
      </c>
      <c r="E347" s="10">
        <v>42.700331042175463</v>
      </c>
    </row>
    <row r="348" spans="2:5" x14ac:dyDescent="0.25">
      <c r="B348" s="8" t="s">
        <v>37</v>
      </c>
      <c r="C348" s="8" t="s">
        <v>37</v>
      </c>
      <c r="D348" s="9">
        <v>40908</v>
      </c>
      <c r="E348" s="10">
        <v>42.936360218632942</v>
      </c>
    </row>
    <row r="349" spans="2:5" x14ac:dyDescent="0.25">
      <c r="B349" s="8" t="s">
        <v>37</v>
      </c>
      <c r="C349" s="8" t="s">
        <v>37</v>
      </c>
      <c r="D349" s="9">
        <v>41274</v>
      </c>
      <c r="E349" s="10">
        <v>43.173694063480085</v>
      </c>
    </row>
    <row r="350" spans="2:5" x14ac:dyDescent="0.25">
      <c r="B350" s="8" t="s">
        <v>37</v>
      </c>
      <c r="C350" s="8" t="s">
        <v>37</v>
      </c>
      <c r="D350" s="9">
        <v>41639</v>
      </c>
      <c r="E350" s="10">
        <v>43.41233978836604</v>
      </c>
    </row>
    <row r="351" spans="2:5" x14ac:dyDescent="0.25">
      <c r="B351" s="8" t="s">
        <v>37</v>
      </c>
      <c r="C351" s="8" t="s">
        <v>37</v>
      </c>
      <c r="D351" s="9">
        <v>42004</v>
      </c>
      <c r="E351" s="10">
        <v>43.652304644802854</v>
      </c>
    </row>
    <row r="352" spans="2:5" x14ac:dyDescent="0.25">
      <c r="B352" s="8" t="s">
        <v>37</v>
      </c>
      <c r="C352" s="8" t="s">
        <v>37</v>
      </c>
      <c r="D352" s="9">
        <v>42369</v>
      </c>
      <c r="E352" s="10">
        <v>43.893595924385842</v>
      </c>
    </row>
    <row r="353" spans="2:5" x14ac:dyDescent="0.25">
      <c r="B353" s="8" t="s">
        <v>37</v>
      </c>
      <c r="C353" s="8" t="s">
        <v>37</v>
      </c>
      <c r="D353" s="9">
        <v>42735</v>
      </c>
      <c r="E353" s="10">
        <v>44.136220959015134</v>
      </c>
    </row>
    <row r="354" spans="2:5" x14ac:dyDescent="0.25">
      <c r="B354" s="8" t="s">
        <v>37</v>
      </c>
      <c r="C354" s="8" t="s">
        <v>37</v>
      </c>
      <c r="D354" s="9">
        <v>43100</v>
      </c>
      <c r="E354" s="10">
        <v>44.380187121118468</v>
      </c>
    </row>
    <row r="355" spans="2:5" x14ac:dyDescent="0.25">
      <c r="B355" s="8" t="s">
        <v>37</v>
      </c>
      <c r="C355" s="8" t="s">
        <v>37</v>
      </c>
      <c r="D355" s="9">
        <v>43465</v>
      </c>
      <c r="E355" s="10">
        <v>44.625501823875219</v>
      </c>
    </row>
    <row r="356" spans="2:5" x14ac:dyDescent="0.25">
      <c r="B356" s="8" t="s">
        <v>38</v>
      </c>
      <c r="C356" s="8" t="s">
        <v>38</v>
      </c>
      <c r="D356" s="9">
        <v>39447</v>
      </c>
      <c r="E356" s="10">
        <v>4.7963669477487354</v>
      </c>
    </row>
    <row r="357" spans="2:5" x14ac:dyDescent="0.25">
      <c r="B357" s="8" t="s">
        <v>38</v>
      </c>
      <c r="C357" s="8" t="s">
        <v>38</v>
      </c>
      <c r="D357" s="9">
        <v>39813</v>
      </c>
      <c r="E357" s="10">
        <v>5.0052954468218509</v>
      </c>
    </row>
    <row r="358" spans="2:5" x14ac:dyDescent="0.25">
      <c r="B358" s="8" t="s">
        <v>38</v>
      </c>
      <c r="C358" s="8" t="s">
        <v>38</v>
      </c>
      <c r="D358" s="9">
        <v>40178</v>
      </c>
      <c r="E358" s="10">
        <v>5.2163143813715678</v>
      </c>
    </row>
    <row r="359" spans="2:5" x14ac:dyDescent="0.25">
      <c r="B359" s="8" t="s">
        <v>38</v>
      </c>
      <c r="C359" s="8" t="s">
        <v>38</v>
      </c>
      <c r="D359" s="9">
        <v>40543</v>
      </c>
      <c r="E359" s="10">
        <v>5.225441715502023</v>
      </c>
    </row>
    <row r="360" spans="2:5" x14ac:dyDescent="0.25">
      <c r="B360" s="8" t="s">
        <v>38</v>
      </c>
      <c r="C360" s="8" t="s">
        <v>38</v>
      </c>
      <c r="D360" s="9">
        <v>40908</v>
      </c>
      <c r="E360" s="10">
        <v>5.3554471251185607</v>
      </c>
    </row>
    <row r="361" spans="2:5" x14ac:dyDescent="0.25">
      <c r="B361" s="8" t="s">
        <v>38</v>
      </c>
      <c r="C361" s="8" t="s">
        <v>38</v>
      </c>
      <c r="D361" s="9">
        <v>41274</v>
      </c>
      <c r="E361" s="10">
        <v>5.3693808854892451</v>
      </c>
    </row>
    <row r="362" spans="2:5" x14ac:dyDescent="0.25">
      <c r="B362" s="8" t="s">
        <v>38</v>
      </c>
      <c r="C362" s="8" t="s">
        <v>38</v>
      </c>
      <c r="D362" s="9">
        <v>41639</v>
      </c>
      <c r="E362" s="10">
        <v>5.6170575317928817</v>
      </c>
    </row>
    <row r="363" spans="2:5" x14ac:dyDescent="0.25">
      <c r="B363" s="8" t="s">
        <v>38</v>
      </c>
      <c r="C363" s="8" t="s">
        <v>38</v>
      </c>
      <c r="D363" s="9">
        <v>42004</v>
      </c>
      <c r="E363" s="10">
        <v>5.7084666627356979</v>
      </c>
    </row>
    <row r="364" spans="2:5" x14ac:dyDescent="0.25">
      <c r="B364" s="8" t="s">
        <v>38</v>
      </c>
      <c r="C364" s="8" t="s">
        <v>38</v>
      </c>
      <c r="D364" s="9">
        <v>42369</v>
      </c>
      <c r="E364" s="10">
        <v>5.9196961426334189</v>
      </c>
    </row>
    <row r="365" spans="2:5" x14ac:dyDescent="0.25">
      <c r="B365" s="8" t="s">
        <v>38</v>
      </c>
      <c r="C365" s="8" t="s">
        <v>38</v>
      </c>
      <c r="D365" s="9">
        <v>42735</v>
      </c>
      <c r="E365" s="10">
        <v>6.1215544439211484</v>
      </c>
    </row>
    <row r="366" spans="2:5" x14ac:dyDescent="0.25">
      <c r="B366" s="8" t="s">
        <v>38</v>
      </c>
      <c r="C366" s="8" t="s">
        <v>38</v>
      </c>
      <c r="D366" s="9">
        <v>43100</v>
      </c>
      <c r="E366" s="10">
        <v>6.3180131524068255</v>
      </c>
    </row>
    <row r="367" spans="2:5" x14ac:dyDescent="0.25">
      <c r="B367" s="8" t="s">
        <v>38</v>
      </c>
      <c r="C367" s="8" t="s">
        <v>38</v>
      </c>
      <c r="D367" s="9">
        <v>43465</v>
      </c>
      <c r="E367" s="10">
        <v>6.5250329222332377</v>
      </c>
    </row>
    <row r="368" spans="2:5" x14ac:dyDescent="0.25">
      <c r="B368" s="8" t="s">
        <v>39</v>
      </c>
      <c r="C368" s="8" t="s">
        <v>39</v>
      </c>
      <c r="D368" s="9">
        <v>39447</v>
      </c>
      <c r="E368" s="10">
        <v>1.9257075434098541</v>
      </c>
    </row>
    <row r="369" spans="2:5" x14ac:dyDescent="0.25">
      <c r="B369" s="8" t="s">
        <v>39</v>
      </c>
      <c r="C369" s="8" t="s">
        <v>39</v>
      </c>
      <c r="D369" s="9">
        <v>39813</v>
      </c>
      <c r="E369" s="10">
        <v>2.0095908640734743</v>
      </c>
    </row>
    <row r="370" spans="2:5" x14ac:dyDescent="0.25">
      <c r="B370" s="8" t="s">
        <v>39</v>
      </c>
      <c r="C370" s="8" t="s">
        <v>39</v>
      </c>
      <c r="D370" s="9">
        <v>40178</v>
      </c>
      <c r="E370" s="10">
        <v>2.0943134798557042</v>
      </c>
    </row>
    <row r="371" spans="2:5" x14ac:dyDescent="0.25">
      <c r="B371" s="8" t="s">
        <v>39</v>
      </c>
      <c r="C371" s="8" t="s">
        <v>39</v>
      </c>
      <c r="D371" s="9">
        <v>40543</v>
      </c>
      <c r="E371" s="10">
        <v>2.0979780402151835</v>
      </c>
    </row>
    <row r="372" spans="2:5" x14ac:dyDescent="0.25">
      <c r="B372" s="8" t="s">
        <v>39</v>
      </c>
      <c r="C372" s="8" t="s">
        <v>39</v>
      </c>
      <c r="D372" s="9">
        <v>40908</v>
      </c>
      <c r="E372" s="10">
        <v>2.1501742964044985</v>
      </c>
    </row>
    <row r="373" spans="2:5" x14ac:dyDescent="0.25">
      <c r="B373" s="8" t="s">
        <v>39</v>
      </c>
      <c r="C373" s="8" t="s">
        <v>39</v>
      </c>
      <c r="D373" s="9">
        <v>41274</v>
      </c>
      <c r="E373" s="10">
        <v>2.1557686030424605</v>
      </c>
    </row>
    <row r="374" spans="2:5" x14ac:dyDescent="0.25">
      <c r="B374" s="8" t="s">
        <v>39</v>
      </c>
      <c r="C374" s="8" t="s">
        <v>39</v>
      </c>
      <c r="D374" s="9">
        <v>41639</v>
      </c>
      <c r="E374" s="10">
        <v>2.2552090318731266</v>
      </c>
    </row>
    <row r="375" spans="2:5" x14ac:dyDescent="0.25">
      <c r="B375" s="8" t="s">
        <v>39</v>
      </c>
      <c r="C375" s="8" t="s">
        <v>39</v>
      </c>
      <c r="D375" s="9">
        <v>42004</v>
      </c>
      <c r="E375" s="10">
        <v>2.2919091540511722</v>
      </c>
    </row>
    <row r="376" spans="2:5" x14ac:dyDescent="0.25">
      <c r="B376" s="8" t="s">
        <v>39</v>
      </c>
      <c r="C376" s="8" t="s">
        <v>39</v>
      </c>
      <c r="D376" s="9">
        <v>42369</v>
      </c>
      <c r="E376" s="10">
        <v>2.3767163023075222</v>
      </c>
    </row>
    <row r="377" spans="2:5" x14ac:dyDescent="0.25">
      <c r="B377" s="8" t="s">
        <v>39</v>
      </c>
      <c r="C377" s="8" t="s">
        <v>39</v>
      </c>
      <c r="D377" s="9">
        <v>42735</v>
      </c>
      <c r="E377" s="10">
        <v>2.4577609883635239</v>
      </c>
    </row>
    <row r="378" spans="2:5" x14ac:dyDescent="0.25">
      <c r="B378" s="8" t="s">
        <v>39</v>
      </c>
      <c r="C378" s="8" t="s">
        <v>39</v>
      </c>
      <c r="D378" s="9">
        <v>43100</v>
      </c>
      <c r="E378" s="10">
        <v>2.5366377759447989</v>
      </c>
    </row>
    <row r="379" spans="2:5" x14ac:dyDescent="0.25">
      <c r="B379" s="8" t="s">
        <v>39</v>
      </c>
      <c r="C379" s="8" t="s">
        <v>39</v>
      </c>
      <c r="D379" s="9">
        <v>43465</v>
      </c>
      <c r="E379" s="10">
        <v>2.6197547552611571</v>
      </c>
    </row>
    <row r="380" spans="2:5" x14ac:dyDescent="0.25">
      <c r="B380" s="8" t="s">
        <v>40</v>
      </c>
      <c r="C380" s="8" t="s">
        <v>40</v>
      </c>
      <c r="D380" s="9">
        <v>39447</v>
      </c>
      <c r="E380" s="10">
        <v>1.4251059406129596</v>
      </c>
    </row>
    <row r="381" spans="2:5" x14ac:dyDescent="0.25">
      <c r="B381" s="8" t="s">
        <v>40</v>
      </c>
      <c r="C381" s="8" t="s">
        <v>40</v>
      </c>
      <c r="D381" s="9">
        <v>39813</v>
      </c>
      <c r="E381" s="10">
        <v>1.4871831854184676</v>
      </c>
    </row>
    <row r="382" spans="2:5" x14ac:dyDescent="0.25">
      <c r="B382" s="8" t="s">
        <v>40</v>
      </c>
      <c r="C382" s="8" t="s">
        <v>40</v>
      </c>
      <c r="D382" s="9">
        <v>40178</v>
      </c>
      <c r="E382" s="10">
        <v>1.5498815445066458</v>
      </c>
    </row>
    <row r="383" spans="2:5" x14ac:dyDescent="0.25">
      <c r="B383" s="8" t="s">
        <v>40</v>
      </c>
      <c r="C383" s="8" t="s">
        <v>40</v>
      </c>
      <c r="D383" s="9">
        <v>40543</v>
      </c>
      <c r="E383" s="10">
        <v>1.5525934758982538</v>
      </c>
    </row>
    <row r="384" spans="2:5" x14ac:dyDescent="0.25">
      <c r="B384" s="8" t="s">
        <v>40</v>
      </c>
      <c r="C384" s="8" t="s">
        <v>40</v>
      </c>
      <c r="D384" s="9">
        <v>40908</v>
      </c>
      <c r="E384" s="10">
        <v>1.5912209378032087</v>
      </c>
    </row>
    <row r="385" spans="2:5" x14ac:dyDescent="0.25">
      <c r="B385" s="8" t="s">
        <v>40</v>
      </c>
      <c r="C385" s="8" t="s">
        <v>40</v>
      </c>
      <c r="D385" s="9">
        <v>41274</v>
      </c>
      <c r="E385" s="10">
        <v>1.5953609639721116</v>
      </c>
    </row>
    <row r="386" spans="2:5" x14ac:dyDescent="0.25">
      <c r="B386" s="8" t="s">
        <v>40</v>
      </c>
      <c r="C386" s="8" t="s">
        <v>40</v>
      </c>
      <c r="D386" s="9">
        <v>41639</v>
      </c>
      <c r="E386" s="10">
        <v>1.6689511341662577</v>
      </c>
    </row>
    <row r="387" spans="2:5" x14ac:dyDescent="0.25">
      <c r="B387" s="8" t="s">
        <v>40</v>
      </c>
      <c r="C387" s="8" t="s">
        <v>40</v>
      </c>
      <c r="D387" s="9">
        <v>42004</v>
      </c>
      <c r="E387" s="10">
        <v>1.6961107941655866</v>
      </c>
    </row>
    <row r="388" spans="2:5" x14ac:dyDescent="0.25">
      <c r="B388" s="8" t="s">
        <v>40</v>
      </c>
      <c r="C388" s="8" t="s">
        <v>40</v>
      </c>
      <c r="D388" s="9">
        <v>42369</v>
      </c>
      <c r="E388" s="10">
        <v>1.7588717108998912</v>
      </c>
    </row>
    <row r="389" spans="2:5" x14ac:dyDescent="0.25">
      <c r="B389" s="8" t="s">
        <v>40</v>
      </c>
      <c r="C389" s="8" t="s">
        <v>40</v>
      </c>
      <c r="D389" s="9">
        <v>42735</v>
      </c>
      <c r="E389" s="10">
        <v>1.8188482446932881</v>
      </c>
    </row>
    <row r="390" spans="2:5" x14ac:dyDescent="0.25">
      <c r="B390" s="8" t="s">
        <v>40</v>
      </c>
      <c r="C390" s="8" t="s">
        <v>40</v>
      </c>
      <c r="D390" s="9">
        <v>43100</v>
      </c>
      <c r="E390" s="10">
        <v>1.8772204408988973</v>
      </c>
    </row>
    <row r="391" spans="2:5" x14ac:dyDescent="0.25">
      <c r="B391" s="8" t="s">
        <v>40</v>
      </c>
      <c r="C391" s="8" t="s">
        <v>40</v>
      </c>
      <c r="D391" s="9">
        <v>43465</v>
      </c>
      <c r="E391" s="10">
        <v>1.9387305603326124</v>
      </c>
    </row>
    <row r="392" spans="2:5" x14ac:dyDescent="0.25">
      <c r="B392" s="8" t="s">
        <v>41</v>
      </c>
      <c r="C392" s="8" t="s">
        <v>41</v>
      </c>
      <c r="D392" s="9">
        <v>39447</v>
      </c>
      <c r="E392" s="10">
        <v>17</v>
      </c>
    </row>
    <row r="393" spans="2:5" x14ac:dyDescent="0.25">
      <c r="B393" s="8" t="s">
        <v>41</v>
      </c>
      <c r="C393" s="8" t="s">
        <v>41</v>
      </c>
      <c r="D393" s="9">
        <v>39813</v>
      </c>
      <c r="E393" s="10">
        <v>17.314753655497785</v>
      </c>
    </row>
    <row r="394" spans="2:5" x14ac:dyDescent="0.25">
      <c r="B394" s="8" t="s">
        <v>41</v>
      </c>
      <c r="C394" s="8" t="s">
        <v>41</v>
      </c>
      <c r="D394" s="9">
        <v>40178</v>
      </c>
      <c r="E394" s="10">
        <v>17.635334950033759</v>
      </c>
    </row>
    <row r="395" spans="2:5" x14ac:dyDescent="0.25">
      <c r="B395" s="8" t="s">
        <v>41</v>
      </c>
      <c r="C395" s="8" t="s">
        <v>41</v>
      </c>
      <c r="D395" s="9">
        <v>40543</v>
      </c>
      <c r="E395" s="10">
        <v>17.961851781883816</v>
      </c>
    </row>
    <row r="396" spans="2:5" x14ac:dyDescent="0.25">
      <c r="B396" s="8" t="s">
        <v>41</v>
      </c>
      <c r="C396" s="8" t="s">
        <v>41</v>
      </c>
      <c r="D396" s="9">
        <v>40908</v>
      </c>
      <c r="E396" s="10">
        <v>18.294414047051895</v>
      </c>
    </row>
    <row r="397" spans="2:5" x14ac:dyDescent="0.25">
      <c r="B397" s="8" t="s">
        <v>41</v>
      </c>
      <c r="C397" s="8" t="s">
        <v>41</v>
      </c>
      <c r="D397" s="9">
        <v>41274</v>
      </c>
      <c r="E397" s="10">
        <v>18.633133676257753</v>
      </c>
    </row>
    <row r="398" spans="2:5" x14ac:dyDescent="0.25">
      <c r="B398" s="8" t="s">
        <v>41</v>
      </c>
      <c r="C398" s="8" t="s">
        <v>41</v>
      </c>
      <c r="D398" s="9">
        <v>41639</v>
      </c>
      <c r="E398" s="10">
        <v>18.978124672609578</v>
      </c>
    </row>
    <row r="399" spans="2:5" x14ac:dyDescent="0.25">
      <c r="B399" s="8" t="s">
        <v>41</v>
      </c>
      <c r="C399" s="8" t="s">
        <v>41</v>
      </c>
      <c r="D399" s="9">
        <v>42004</v>
      </c>
      <c r="E399" s="10">
        <v>19.329503149974084</v>
      </c>
    </row>
    <row r="400" spans="2:5" x14ac:dyDescent="0.25">
      <c r="B400" s="8" t="s">
        <v>41</v>
      </c>
      <c r="C400" s="8" t="s">
        <v>41</v>
      </c>
      <c r="D400" s="9">
        <v>42369</v>
      </c>
      <c r="E400" s="10">
        <v>19.687387372057042</v>
      </c>
    </row>
    <row r="401" spans="2:5" x14ac:dyDescent="0.25">
      <c r="B401" s="8" t="s">
        <v>41</v>
      </c>
      <c r="C401" s="8" t="s">
        <v>41</v>
      </c>
      <c r="D401" s="9">
        <v>42735</v>
      </c>
      <c r="E401" s="10">
        <v>20.051897792207388</v>
      </c>
    </row>
    <row r="402" spans="2:5" x14ac:dyDescent="0.25">
      <c r="B402" s="8" t="s">
        <v>41</v>
      </c>
      <c r="C402" s="8" t="s">
        <v>41</v>
      </c>
      <c r="D402" s="9">
        <v>43100</v>
      </c>
      <c r="E402" s="10">
        <v>20.423157093958284</v>
      </c>
    </row>
    <row r="403" spans="2:5" x14ac:dyDescent="0.25">
      <c r="B403" s="8" t="s">
        <v>41</v>
      </c>
      <c r="C403" s="8" t="s">
        <v>41</v>
      </c>
      <c r="D403" s="9">
        <v>43465</v>
      </c>
      <c r="E403" s="10">
        <v>20.801290232318809</v>
      </c>
    </row>
    <row r="404" spans="2:5" x14ac:dyDescent="0.25">
      <c r="B404" s="8" t="s">
        <v>42</v>
      </c>
      <c r="C404" s="8" t="s">
        <v>42</v>
      </c>
      <c r="D404" s="9">
        <v>39447</v>
      </c>
      <c r="E404" s="10">
        <v>3.3787429531870692</v>
      </c>
    </row>
    <row r="405" spans="2:5" x14ac:dyDescent="0.25">
      <c r="B405" s="8" t="s">
        <v>42</v>
      </c>
      <c r="C405" s="8" t="s">
        <v>42</v>
      </c>
      <c r="D405" s="9">
        <v>39813</v>
      </c>
      <c r="E405" s="10">
        <v>3.5259201190823046</v>
      </c>
    </row>
    <row r="406" spans="2:5" x14ac:dyDescent="0.25">
      <c r="B406" s="8" t="s">
        <v>42</v>
      </c>
      <c r="C406" s="8" t="s">
        <v>42</v>
      </c>
      <c r="D406" s="9">
        <v>40178</v>
      </c>
      <c r="E406" s="10">
        <v>3.6745698670824138</v>
      </c>
    </row>
    <row r="407" spans="2:5" x14ac:dyDescent="0.25">
      <c r="B407" s="8" t="s">
        <v>42</v>
      </c>
      <c r="C407" s="8" t="s">
        <v>42</v>
      </c>
      <c r="D407" s="9">
        <v>40543</v>
      </c>
      <c r="E407" s="10">
        <v>3.6809995077272215</v>
      </c>
    </row>
    <row r="408" spans="2:5" x14ac:dyDescent="0.25">
      <c r="B408" s="8" t="s">
        <v>42</v>
      </c>
      <c r="C408" s="8" t="s">
        <v>42</v>
      </c>
      <c r="D408" s="9">
        <v>40908</v>
      </c>
      <c r="E408" s="10">
        <v>3.7725802534047905</v>
      </c>
    </row>
    <row r="409" spans="2:5" x14ac:dyDescent="0.25">
      <c r="B409" s="8" t="s">
        <v>42</v>
      </c>
      <c r="C409" s="8" t="s">
        <v>42</v>
      </c>
      <c r="D409" s="9">
        <v>41274</v>
      </c>
      <c r="E409" s="10">
        <v>3.7823957231502705</v>
      </c>
    </row>
    <row r="410" spans="2:5" x14ac:dyDescent="0.25">
      <c r="B410" s="8" t="s">
        <v>42</v>
      </c>
      <c r="C410" s="8" t="s">
        <v>42</v>
      </c>
      <c r="D410" s="9">
        <v>41639</v>
      </c>
      <c r="E410" s="10">
        <v>3.9568685548755833</v>
      </c>
    </row>
    <row r="411" spans="2:5" x14ac:dyDescent="0.25">
      <c r="B411" s="8" t="s">
        <v>42</v>
      </c>
      <c r="C411" s="8" t="s">
        <v>42</v>
      </c>
      <c r="D411" s="9">
        <v>42004</v>
      </c>
      <c r="E411" s="10">
        <v>4.0212606166995766</v>
      </c>
    </row>
    <row r="412" spans="2:5" x14ac:dyDescent="0.25">
      <c r="B412" s="8" t="s">
        <v>42</v>
      </c>
      <c r="C412" s="8" t="s">
        <v>42</v>
      </c>
      <c r="D412" s="9">
        <v>42369</v>
      </c>
      <c r="E412" s="10">
        <v>4.1700586808353446</v>
      </c>
    </row>
    <row r="413" spans="2:5" x14ac:dyDescent="0.25">
      <c r="B413" s="8" t="s">
        <v>42</v>
      </c>
      <c r="C413" s="8" t="s">
        <v>42</v>
      </c>
      <c r="D413" s="9">
        <v>42735</v>
      </c>
      <c r="E413" s="10">
        <v>4.3122553310183234</v>
      </c>
    </row>
    <row r="414" spans="2:5" x14ac:dyDescent="0.25">
      <c r="B414" s="8" t="s">
        <v>42</v>
      </c>
      <c r="C414" s="8" t="s">
        <v>42</v>
      </c>
      <c r="D414" s="9">
        <v>43100</v>
      </c>
      <c r="E414" s="10">
        <v>4.4506483030572488</v>
      </c>
    </row>
    <row r="415" spans="2:5" x14ac:dyDescent="0.25">
      <c r="B415" s="8" t="s">
        <v>42</v>
      </c>
      <c r="C415" s="8" t="s">
        <v>42</v>
      </c>
      <c r="D415" s="9">
        <v>43465</v>
      </c>
      <c r="E415" s="10">
        <v>4.5964808876137129</v>
      </c>
    </row>
    <row r="416" spans="2:5" x14ac:dyDescent="0.25">
      <c r="B416" s="8" t="s">
        <v>43</v>
      </c>
      <c r="C416" s="8" t="s">
        <v>43</v>
      </c>
      <c r="D416" s="9">
        <v>39447</v>
      </c>
      <c r="E416" s="10">
        <v>16</v>
      </c>
    </row>
    <row r="417" spans="2:5" x14ac:dyDescent="0.25">
      <c r="B417" s="8" t="s">
        <v>43</v>
      </c>
      <c r="C417" s="8" t="s">
        <v>43</v>
      </c>
      <c r="D417" s="9">
        <v>39813</v>
      </c>
      <c r="E417" s="10">
        <v>16.461250759757807</v>
      </c>
    </row>
    <row r="418" spans="2:5" x14ac:dyDescent="0.25">
      <c r="B418" s="8" t="s">
        <v>43</v>
      </c>
      <c r="C418" s="8" t="s">
        <v>43</v>
      </c>
      <c r="D418" s="9">
        <v>40178</v>
      </c>
      <c r="E418" s="10">
        <v>16.935798535976684</v>
      </c>
    </row>
    <row r="419" spans="2:5" x14ac:dyDescent="0.25">
      <c r="B419" s="8" t="s">
        <v>43</v>
      </c>
      <c r="C419" s="8" t="s">
        <v>43</v>
      </c>
      <c r="D419" s="9">
        <v>40543</v>
      </c>
      <c r="E419" s="10">
        <v>17.424026657340708</v>
      </c>
    </row>
    <row r="420" spans="2:5" x14ac:dyDescent="0.25">
      <c r="B420" s="8" t="s">
        <v>43</v>
      </c>
      <c r="C420" s="8" t="s">
        <v>43</v>
      </c>
      <c r="D420" s="9">
        <v>40908</v>
      </c>
      <c r="E420" s="10">
        <v>17.926329503199376</v>
      </c>
    </row>
    <row r="421" spans="2:5" x14ac:dyDescent="0.25">
      <c r="B421" s="8" t="s">
        <v>43</v>
      </c>
      <c r="C421" s="8" t="s">
        <v>43</v>
      </c>
      <c r="D421" s="9">
        <v>41274</v>
      </c>
      <c r="E421" s="10">
        <v>18.443112822138094</v>
      </c>
    </row>
    <row r="422" spans="2:5" x14ac:dyDescent="0.25">
      <c r="B422" s="8" t="s">
        <v>43</v>
      </c>
      <c r="C422" s="8" t="s">
        <v>43</v>
      </c>
      <c r="D422" s="9">
        <v>41639</v>
      </c>
      <c r="E422" s="10">
        <v>18.974794059732478</v>
      </c>
    </row>
    <row r="423" spans="2:5" x14ac:dyDescent="0.25">
      <c r="B423" s="8" t="s">
        <v>43</v>
      </c>
      <c r="C423" s="8" t="s">
        <v>43</v>
      </c>
      <c r="D423" s="9">
        <v>42004</v>
      </c>
      <c r="E423" s="10">
        <v>19.521802695751198</v>
      </c>
    </row>
    <row r="424" spans="2:5" x14ac:dyDescent="0.25">
      <c r="B424" s="8" t="s">
        <v>43</v>
      </c>
      <c r="C424" s="8" t="s">
        <v>43</v>
      </c>
      <c r="D424" s="9">
        <v>42369</v>
      </c>
      <c r="E424" s="10">
        <v>20.084580591079774</v>
      </c>
    </row>
    <row r="425" spans="2:5" x14ac:dyDescent="0.25">
      <c r="B425" s="8" t="s">
        <v>43</v>
      </c>
      <c r="C425" s="8" t="s">
        <v>43</v>
      </c>
      <c r="D425" s="9">
        <v>42735</v>
      </c>
      <c r="E425" s="10">
        <v>20.663582344645551</v>
      </c>
    </row>
    <row r="426" spans="2:5" x14ac:dyDescent="0.25">
      <c r="B426" s="8" t="s">
        <v>43</v>
      </c>
      <c r="C426" s="8" t="s">
        <v>43</v>
      </c>
      <c r="D426" s="9">
        <v>43100</v>
      </c>
      <c r="E426" s="10">
        <v>21.259275660632159</v>
      </c>
    </row>
    <row r="427" spans="2:5" x14ac:dyDescent="0.25">
      <c r="B427" s="8" t="s">
        <v>43</v>
      </c>
      <c r="C427" s="8" t="s">
        <v>43</v>
      </c>
      <c r="D427" s="9">
        <v>43465</v>
      </c>
      <c r="E427" s="10">
        <v>21.872141726280113</v>
      </c>
    </row>
    <row r="428" spans="2:5" x14ac:dyDescent="0.25">
      <c r="B428" s="8" t="s">
        <v>44</v>
      </c>
      <c r="C428" s="11" t="s">
        <v>45</v>
      </c>
      <c r="D428" s="9">
        <v>39447</v>
      </c>
      <c r="E428" s="10">
        <v>24</v>
      </c>
    </row>
    <row r="429" spans="2:5" x14ac:dyDescent="0.25">
      <c r="B429" s="8" t="s">
        <v>44</v>
      </c>
      <c r="C429" s="11" t="s">
        <v>45</v>
      </c>
      <c r="D429" s="9">
        <v>39813</v>
      </c>
      <c r="E429" s="10">
        <v>24.074958338705368</v>
      </c>
    </row>
    <row r="430" spans="2:5" x14ac:dyDescent="0.25">
      <c r="B430" s="8" t="s">
        <v>44</v>
      </c>
      <c r="C430" s="11" t="s">
        <v>45</v>
      </c>
      <c r="D430" s="9">
        <v>40178</v>
      </c>
      <c r="E430" s="10">
        <v>24.150150792099964</v>
      </c>
    </row>
    <row r="431" spans="2:5" x14ac:dyDescent="0.25">
      <c r="B431" s="8" t="s">
        <v>44</v>
      </c>
      <c r="C431" s="11" t="s">
        <v>45</v>
      </c>
      <c r="D431" s="9">
        <v>40543</v>
      </c>
      <c r="E431" s="10">
        <v>24.225578091385795</v>
      </c>
    </row>
    <row r="432" spans="2:5" x14ac:dyDescent="0.25">
      <c r="B432" s="8" t="s">
        <v>44</v>
      </c>
      <c r="C432" s="11" t="s">
        <v>45</v>
      </c>
      <c r="D432" s="9">
        <v>40908</v>
      </c>
      <c r="E432" s="10">
        <v>24.301240970048607</v>
      </c>
    </row>
    <row r="433" spans="2:5" x14ac:dyDescent="0.25">
      <c r="B433" s="8" t="s">
        <v>44</v>
      </c>
      <c r="C433" s="11" t="s">
        <v>45</v>
      </c>
      <c r="D433" s="9">
        <v>41274</v>
      </c>
      <c r="E433" s="10">
        <v>24.377140163865011</v>
      </c>
    </row>
    <row r="434" spans="2:5" x14ac:dyDescent="0.25">
      <c r="B434" s="8" t="s">
        <v>44</v>
      </c>
      <c r="C434" s="11" t="s">
        <v>45</v>
      </c>
      <c r="D434" s="9">
        <v>41639</v>
      </c>
      <c r="E434" s="10">
        <v>24.453276410909645</v>
      </c>
    </row>
    <row r="435" spans="2:5" x14ac:dyDescent="0.25">
      <c r="B435" s="8" t="s">
        <v>44</v>
      </c>
      <c r="C435" s="11" t="s">
        <v>45</v>
      </c>
      <c r="D435" s="9">
        <v>42004</v>
      </c>
      <c r="E435" s="10">
        <v>24.52965045156235</v>
      </c>
    </row>
    <row r="436" spans="2:5" x14ac:dyDescent="0.25">
      <c r="B436" s="8" t="s">
        <v>44</v>
      </c>
      <c r="C436" s="11" t="s">
        <v>45</v>
      </c>
      <c r="D436" s="9">
        <v>42369</v>
      </c>
      <c r="E436" s="10">
        <v>24.606263028515372</v>
      </c>
    </row>
    <row r="437" spans="2:5" x14ac:dyDescent="0.25">
      <c r="B437" s="8" t="s">
        <v>44</v>
      </c>
      <c r="C437" s="11" t="s">
        <v>45</v>
      </c>
      <c r="D437" s="9">
        <v>42735</v>
      </c>
      <c r="E437" s="10">
        <v>24.683114886780572</v>
      </c>
    </row>
    <row r="438" spans="2:5" x14ac:dyDescent="0.25">
      <c r="B438" s="8" t="s">
        <v>44</v>
      </c>
      <c r="C438" s="11" t="s">
        <v>45</v>
      </c>
      <c r="D438" s="9">
        <v>43100</v>
      </c>
      <c r="E438" s="10">
        <v>24.760206773696691</v>
      </c>
    </row>
    <row r="439" spans="2:5" x14ac:dyDescent="0.25">
      <c r="B439" s="8" t="s">
        <v>44</v>
      </c>
      <c r="C439" s="11" t="s">
        <v>45</v>
      </c>
      <c r="D439" s="9">
        <v>43465</v>
      </c>
      <c r="E439" s="10">
        <v>24.837539438936595</v>
      </c>
    </row>
    <row r="440" spans="2:5" x14ac:dyDescent="0.25">
      <c r="B440" s="8" t="s">
        <v>46</v>
      </c>
      <c r="C440" s="8" t="s">
        <v>46</v>
      </c>
      <c r="D440" s="9">
        <v>39447</v>
      </c>
      <c r="E440" s="10">
        <v>45</v>
      </c>
    </row>
    <row r="441" spans="2:5" x14ac:dyDescent="0.25">
      <c r="B441" s="8" t="s">
        <v>46</v>
      </c>
      <c r="C441" s="8" t="s">
        <v>46</v>
      </c>
      <c r="D441" s="9">
        <v>39813</v>
      </c>
      <c r="E441" s="10">
        <v>47.240250250339265</v>
      </c>
    </row>
    <row r="442" spans="2:5" x14ac:dyDescent="0.25">
      <c r="B442" s="8" t="s">
        <v>46</v>
      </c>
      <c r="C442" s="8" t="s">
        <v>46</v>
      </c>
      <c r="D442" s="9">
        <v>40178</v>
      </c>
      <c r="E442" s="10">
        <v>49.592027638103978</v>
      </c>
    </row>
    <row r="443" spans="2:5" x14ac:dyDescent="0.25">
      <c r="B443" s="8" t="s">
        <v>46</v>
      </c>
      <c r="C443" s="8" t="s">
        <v>46</v>
      </c>
      <c r="D443" s="9">
        <v>40543</v>
      </c>
      <c r="E443" s="10">
        <v>52.060884356572743</v>
      </c>
    </row>
    <row r="444" spans="2:5" x14ac:dyDescent="0.25">
      <c r="B444" s="8" t="s">
        <v>46</v>
      </c>
      <c r="C444" s="8" t="s">
        <v>46</v>
      </c>
      <c r="D444" s="9">
        <v>40908</v>
      </c>
      <c r="E444" s="10">
        <v>54.652649005743761</v>
      </c>
    </row>
    <row r="445" spans="2:5" x14ac:dyDescent="0.25">
      <c r="B445" s="8" t="s">
        <v>46</v>
      </c>
      <c r="C445" s="8" t="s">
        <v>46</v>
      </c>
      <c r="D445" s="9">
        <v>41274</v>
      </c>
      <c r="E445" s="10">
        <v>57.373440352784243</v>
      </c>
    </row>
    <row r="446" spans="2:5" x14ac:dyDescent="0.25">
      <c r="B446" s="8" t="s">
        <v>46</v>
      </c>
      <c r="C446" s="8" t="s">
        <v>46</v>
      </c>
      <c r="D446" s="9">
        <v>41639</v>
      </c>
      <c r="E446" s="10">
        <v>60.229681777520909</v>
      </c>
    </row>
    <row r="447" spans="2:5" x14ac:dyDescent="0.25">
      <c r="B447" s="8" t="s">
        <v>46</v>
      </c>
      <c r="C447" s="8" t="s">
        <v>46</v>
      </c>
      <c r="D447" s="9">
        <v>42004</v>
      </c>
      <c r="E447" s="10">
        <v>63.228116437075258</v>
      </c>
    </row>
    <row r="448" spans="2:5" x14ac:dyDescent="0.25">
      <c r="B448" s="8" t="s">
        <v>46</v>
      </c>
      <c r="C448" s="8" t="s">
        <v>46</v>
      </c>
      <c r="D448" s="9">
        <v>42369</v>
      </c>
      <c r="E448" s="10">
        <v>66.375823185445</v>
      </c>
    </row>
    <row r="449" spans="2:5" x14ac:dyDescent="0.25">
      <c r="B449" s="8" t="s">
        <v>46</v>
      </c>
      <c r="C449" s="8" t="s">
        <v>46</v>
      </c>
      <c r="D449" s="9">
        <v>42735</v>
      </c>
      <c r="E449" s="10">
        <v>69.680233285615401</v>
      </c>
    </row>
    <row r="450" spans="2:5" x14ac:dyDescent="0.25">
      <c r="B450" s="8" t="s">
        <v>46</v>
      </c>
      <c r="C450" s="8" t="s">
        <v>46</v>
      </c>
      <c r="D450" s="9">
        <v>43100</v>
      </c>
      <c r="E450" s="10">
        <v>73.149147953655373</v>
      </c>
    </row>
    <row r="451" spans="2:5" x14ac:dyDescent="0.25">
      <c r="B451" s="8" t="s">
        <v>46</v>
      </c>
      <c r="C451" s="8" t="s">
        <v>46</v>
      </c>
      <c r="D451" s="9">
        <v>43465</v>
      </c>
      <c r="E451" s="10">
        <v>76.790756776217165</v>
      </c>
    </row>
    <row r="452" spans="2:5" x14ac:dyDescent="0.25">
      <c r="B452" s="8" t="s">
        <v>47</v>
      </c>
      <c r="C452" s="8" t="s">
        <v>47</v>
      </c>
      <c r="D452" s="9">
        <v>39447</v>
      </c>
      <c r="E452" s="10">
        <v>0.66494589161022566</v>
      </c>
    </row>
    <row r="453" spans="2:5" x14ac:dyDescent="0.25">
      <c r="B453" s="8" t="s">
        <v>47</v>
      </c>
      <c r="C453" s="8" t="s">
        <v>47</v>
      </c>
      <c r="D453" s="9">
        <v>39813</v>
      </c>
      <c r="E453" s="10">
        <v>0.69391076202410562</v>
      </c>
    </row>
    <row r="454" spans="2:5" x14ac:dyDescent="0.25">
      <c r="B454" s="8" t="s">
        <v>47</v>
      </c>
      <c r="C454" s="8" t="s">
        <v>47</v>
      </c>
      <c r="D454" s="9">
        <v>40178</v>
      </c>
      <c r="E454" s="10">
        <v>0.72316544064010724</v>
      </c>
    </row>
    <row r="455" spans="2:5" x14ac:dyDescent="0.25">
      <c r="B455" s="8" t="s">
        <v>47</v>
      </c>
      <c r="C455" s="8" t="s">
        <v>47</v>
      </c>
      <c r="D455" s="9">
        <v>40543</v>
      </c>
      <c r="E455" s="10">
        <v>0.72443081157555</v>
      </c>
    </row>
    <row r="456" spans="2:5" x14ac:dyDescent="0.25">
      <c r="B456" s="8" t="s">
        <v>47</v>
      </c>
      <c r="C456" s="8" t="s">
        <v>47</v>
      </c>
      <c r="D456" s="9">
        <v>40908</v>
      </c>
      <c r="E456" s="10">
        <v>0.74245415381632585</v>
      </c>
    </row>
    <row r="457" spans="2:5" x14ac:dyDescent="0.25">
      <c r="B457" s="8" t="s">
        <v>47</v>
      </c>
      <c r="C457" s="8" t="s">
        <v>47</v>
      </c>
      <c r="D457" s="9">
        <v>41274</v>
      </c>
      <c r="E457" s="10">
        <v>0.74438586521666339</v>
      </c>
    </row>
    <row r="458" spans="2:5" x14ac:dyDescent="0.25">
      <c r="B458" s="8" t="s">
        <v>47</v>
      </c>
      <c r="C458" s="8" t="s">
        <v>47</v>
      </c>
      <c r="D458" s="9">
        <v>41639</v>
      </c>
      <c r="E458" s="10">
        <v>0.77872259762299079</v>
      </c>
    </row>
    <row r="459" spans="2:5" x14ac:dyDescent="0.25">
      <c r="B459" s="8" t="s">
        <v>47</v>
      </c>
      <c r="C459" s="8" t="s">
        <v>47</v>
      </c>
      <c r="D459" s="9">
        <v>42004</v>
      </c>
      <c r="E459" s="10">
        <v>0.79139513221807978</v>
      </c>
    </row>
    <row r="460" spans="2:5" x14ac:dyDescent="0.25">
      <c r="B460" s="8" t="s">
        <v>47</v>
      </c>
      <c r="C460" s="8" t="s">
        <v>47</v>
      </c>
      <c r="D460" s="9">
        <v>42369</v>
      </c>
      <c r="E460" s="10">
        <v>0.82067899985687254</v>
      </c>
    </row>
    <row r="461" spans="2:5" x14ac:dyDescent="0.25">
      <c r="B461" s="8" t="s">
        <v>47</v>
      </c>
      <c r="C461" s="8" t="s">
        <v>47</v>
      </c>
      <c r="D461" s="9">
        <v>42735</v>
      </c>
      <c r="E461" s="10">
        <v>0.84866369110150219</v>
      </c>
    </row>
    <row r="462" spans="2:5" x14ac:dyDescent="0.25">
      <c r="B462" s="8" t="s">
        <v>47</v>
      </c>
      <c r="C462" s="8" t="s">
        <v>47</v>
      </c>
      <c r="D462" s="9">
        <v>43100</v>
      </c>
      <c r="E462" s="10">
        <v>0.87589980804203726</v>
      </c>
    </row>
    <row r="463" spans="2:5" x14ac:dyDescent="0.25">
      <c r="B463" s="8" t="s">
        <v>47</v>
      </c>
      <c r="C463" s="8" t="s">
        <v>47</v>
      </c>
      <c r="D463" s="9">
        <v>43465</v>
      </c>
      <c r="E463" s="10">
        <v>0.90460006115606961</v>
      </c>
    </row>
    <row r="464" spans="2:5" x14ac:dyDescent="0.25">
      <c r="E464" s="1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D4368-2B87-4A3F-A9E6-4A077654F748}">
  <sheetPr>
    <tabColor rgb="FFFFFF00"/>
  </sheetPr>
  <dimension ref="A2:S93"/>
  <sheetViews>
    <sheetView showGridLines="0" topLeftCell="G2" zoomScaleNormal="100" workbookViewId="0">
      <selection activeCell="M5" sqref="M5"/>
    </sheetView>
  </sheetViews>
  <sheetFormatPr defaultColWidth="9" defaultRowHeight="13.2" x14ac:dyDescent="0.25"/>
  <cols>
    <col min="1" max="1" width="9" style="2"/>
    <col min="2" max="3" width="1.69921875" style="2" customWidth="1"/>
    <col min="4" max="4" width="27.69921875" style="2" customWidth="1"/>
    <col min="5" max="5" width="9" style="2"/>
    <col min="6" max="11" width="12.69921875" style="2" customWidth="1"/>
    <col min="12" max="12" width="9" style="2"/>
    <col min="13" max="13" width="20.59765625" style="2" bestFit="1" customWidth="1"/>
    <col min="14" max="19" width="10.796875" style="2" bestFit="1" customWidth="1"/>
    <col min="20" max="16384" width="9" style="2"/>
  </cols>
  <sheetData>
    <row r="2" spans="2:19" ht="22.8" x14ac:dyDescent="0.4">
      <c r="B2" s="1" t="str">
        <f>DataPull!$B$2</f>
        <v>CFM - April 2019 Exam</v>
      </c>
    </row>
    <row r="3" spans="2:19" ht="17.399999999999999" x14ac:dyDescent="0.3">
      <c r="B3" s="3" t="s">
        <v>70</v>
      </c>
    </row>
    <row r="4" spans="2:19" ht="3" customHeight="1" thickBot="1" x14ac:dyDescent="0.3">
      <c r="B4" s="4"/>
      <c r="C4" s="4"/>
      <c r="D4" s="4"/>
      <c r="E4" s="4"/>
      <c r="F4" s="4"/>
      <c r="G4" s="4"/>
      <c r="H4" s="4"/>
      <c r="I4" s="4"/>
      <c r="J4" s="4"/>
      <c r="K4" s="4"/>
    </row>
    <row r="5" spans="2:19" x14ac:dyDescent="0.25">
      <c r="B5" s="5" t="s">
        <v>85</v>
      </c>
      <c r="C5" s="6"/>
      <c r="D5" s="6"/>
      <c r="E5" s="6"/>
      <c r="F5" s="6"/>
      <c r="G5" s="6"/>
      <c r="H5" s="6"/>
      <c r="I5" s="6"/>
      <c r="J5" s="6"/>
      <c r="K5" s="6"/>
    </row>
    <row r="6" spans="2:19" x14ac:dyDescent="0.25">
      <c r="F6" s="34">
        <f>MAX(DataPull!D8:D463)</f>
        <v>43465</v>
      </c>
      <c r="G6" s="15">
        <f>EOMONTH(F6,12)</f>
        <v>43830</v>
      </c>
      <c r="H6" s="15">
        <f>EOMONTH(G6,12)</f>
        <v>44196</v>
      </c>
      <c r="I6" s="15">
        <f>EOMONTH(H6,12)</f>
        <v>44561</v>
      </c>
      <c r="J6" s="15">
        <f>EOMONTH(I6,12)</f>
        <v>44926</v>
      </c>
      <c r="K6" s="15">
        <f>EOMONTH(J6,12)</f>
        <v>45291</v>
      </c>
      <c r="M6" s="16"/>
    </row>
    <row r="7" spans="2:19" x14ac:dyDescent="0.25">
      <c r="F7" s="17"/>
      <c r="G7" s="17"/>
      <c r="H7" s="17"/>
      <c r="I7" s="17"/>
      <c r="J7" s="17"/>
      <c r="K7" s="17"/>
    </row>
    <row r="8" spans="2:19" x14ac:dyDescent="0.25">
      <c r="B8" s="18" t="s">
        <v>71</v>
      </c>
      <c r="C8" s="18"/>
      <c r="D8" s="18"/>
      <c r="E8" s="18"/>
      <c r="F8" s="18"/>
      <c r="G8" s="18"/>
      <c r="H8" s="18"/>
      <c r="I8" s="18"/>
      <c r="J8" s="18"/>
      <c r="K8" s="18"/>
      <c r="M8" s="16"/>
    </row>
    <row r="10" spans="2:19" x14ac:dyDescent="0.25">
      <c r="C10" s="19" t="s">
        <v>72</v>
      </c>
      <c r="M10" s="19" t="str" cm="1">
        <f t="array" ref="M10:R25" xml:space="preserve"> _xlfn.LET(
      _xlpm.growth_factors, $G$11:$K$25,
      _xlpm.growth_rows, $D$11:$D$25,
      _xlpm.growth_columns, $G$6:$K$6,
      _xlpm.title, "Compounded growth",
      _xlpm.compounded_rates, _xlfn.LAMBDA(_xlpm.i,_xlpm.j, INDEX( _xlfn.SCAN( 1, INDEX( _xlpm.growth_factors, _xlpm.i, 0 ), _xlfn.LAMBDA(_xlpm.s,_xlpm.c, _xlpm.s * ( 1 + _xlpm.c ) ) ), _xlpm.j ) ),
      _xlfn.VSTACK( _xlfn.HSTACK( _xlpm.title, _xlpm.growth_columns ),
              _xlfn.HSTACK( _xlpm.growth_rows, _xlfn.MAKEARRAY( ROWS( _xlpm.growth_rows ), COLUMNS( _xlpm.growth_columns ), _xlpm.compounded_rates ) ) ) )</f>
        <v>Compounded growth</v>
      </c>
      <c r="N10" s="72">
        <v>43830</v>
      </c>
      <c r="O10" s="72">
        <v>44196</v>
      </c>
      <c r="P10" s="72">
        <v>44561</v>
      </c>
      <c r="Q10" s="72">
        <v>44926</v>
      </c>
      <c r="R10" s="72">
        <v>45291</v>
      </c>
    </row>
    <row r="11" spans="2:19" x14ac:dyDescent="0.25">
      <c r="D11" s="2" t="s">
        <v>5</v>
      </c>
      <c r="G11" s="20">
        <v>0.1</v>
      </c>
      <c r="H11" s="20">
        <v>0.05</v>
      </c>
      <c r="I11" s="20">
        <v>0.06</v>
      </c>
      <c r="J11" s="20">
        <v>7.0000000000000007E-2</v>
      </c>
      <c r="K11" s="20">
        <v>0.02</v>
      </c>
      <c r="M11" s="2" t="str">
        <v>Revenue</v>
      </c>
      <c r="N11" s="47">
        <v>1.1000000000000001</v>
      </c>
      <c r="O11" s="47">
        <v>1.1550000000000002</v>
      </c>
      <c r="P11" s="47">
        <v>1.2243000000000004</v>
      </c>
      <c r="Q11" s="47">
        <v>1.3100010000000004</v>
      </c>
      <c r="R11" s="47">
        <v>1.3362010200000005</v>
      </c>
      <c r="S11" s="45"/>
    </row>
    <row r="12" spans="2:19" x14ac:dyDescent="0.25">
      <c r="D12" s="2" t="s">
        <v>8</v>
      </c>
      <c r="G12" s="20">
        <v>0.02</v>
      </c>
      <c r="H12" s="20">
        <v>0.02</v>
      </c>
      <c r="I12" s="20">
        <v>0.02</v>
      </c>
      <c r="J12" s="20">
        <v>1.4999999999999999E-2</v>
      </c>
      <c r="K12" s="20">
        <v>1.4999999999999999E-2</v>
      </c>
      <c r="M12" s="2" t="str">
        <v>General Liability Insurance</v>
      </c>
      <c r="N12" s="46">
        <v>1.02</v>
      </c>
      <c r="O12" s="46">
        <v>1.0404</v>
      </c>
      <c r="P12" s="46">
        <v>1.0612079999999999</v>
      </c>
      <c r="Q12" s="46">
        <v>1.0771261199999997</v>
      </c>
      <c r="R12" s="46">
        <v>1.0932830117999996</v>
      </c>
      <c r="S12" s="46"/>
    </row>
    <row r="13" spans="2:19" x14ac:dyDescent="0.25">
      <c r="D13" s="2" t="s">
        <v>9</v>
      </c>
      <c r="G13" s="20">
        <v>0.02</v>
      </c>
      <c r="H13" s="20">
        <v>0.02</v>
      </c>
      <c r="I13" s="20">
        <v>0.02</v>
      </c>
      <c r="J13" s="20">
        <v>1.4999999999999999E-2</v>
      </c>
      <c r="K13" s="20">
        <v>1.4999999999999999E-2</v>
      </c>
      <c r="M13" s="2" t="str">
        <v>Owner's Health Insurance</v>
      </c>
      <c r="N13" s="46">
        <v>1.02</v>
      </c>
      <c r="O13" s="46">
        <v>1.0404</v>
      </c>
      <c r="P13" s="46">
        <v>1.0612079999999999</v>
      </c>
      <c r="Q13" s="46">
        <v>1.0771261199999997</v>
      </c>
      <c r="R13" s="46">
        <v>1.0932830117999996</v>
      </c>
      <c r="S13" s="46"/>
    </row>
    <row r="14" spans="2:19" x14ac:dyDescent="0.25">
      <c r="D14" s="2" t="s">
        <v>34</v>
      </c>
      <c r="G14" s="20">
        <v>5.0000000000000001E-3</v>
      </c>
      <c r="H14" s="20">
        <v>5.0000000000000001E-3</v>
      </c>
      <c r="I14" s="20">
        <v>5.0000000000000001E-3</v>
      </c>
      <c r="J14" s="20">
        <v>5.0000000000000001E-3</v>
      </c>
      <c r="K14" s="20">
        <v>5.0000000000000001E-3</v>
      </c>
      <c r="M14" s="2" t="str">
        <v>Other Expense</v>
      </c>
      <c r="N14" s="46">
        <v>1.0049999999999999</v>
      </c>
      <c r="O14" s="46">
        <v>1.0100249999999997</v>
      </c>
      <c r="P14" s="46">
        <v>1.0150751249999996</v>
      </c>
      <c r="Q14" s="46">
        <v>1.0201505006249996</v>
      </c>
      <c r="R14" s="46">
        <v>1.0252512531281244</v>
      </c>
      <c r="S14" s="46"/>
    </row>
    <row r="15" spans="2:19" x14ac:dyDescent="0.25">
      <c r="D15" s="2" t="s">
        <v>36</v>
      </c>
      <c r="G15" s="20">
        <v>2.5000000000000001E-2</v>
      </c>
      <c r="H15" s="20">
        <v>2.5000000000000001E-2</v>
      </c>
      <c r="I15" s="20">
        <v>2.5000000000000001E-2</v>
      </c>
      <c r="J15" s="20">
        <v>2.5000000000000001E-2</v>
      </c>
      <c r="K15" s="20">
        <v>2.5000000000000001E-2</v>
      </c>
      <c r="M15" s="2" t="str">
        <v>Advertising Expense</v>
      </c>
      <c r="N15" s="46">
        <v>1.0249999999999999</v>
      </c>
      <c r="O15" s="46">
        <v>1.0506249999999999</v>
      </c>
      <c r="P15" s="46">
        <v>1.0768906249999999</v>
      </c>
      <c r="Q15" s="46">
        <v>1.1038128906249998</v>
      </c>
      <c r="R15" s="46">
        <v>1.1314082128906247</v>
      </c>
      <c r="S15" s="46"/>
    </row>
    <row r="16" spans="2:19" x14ac:dyDescent="0.25">
      <c r="D16" s="2" t="s">
        <v>37</v>
      </c>
      <c r="G16" s="20">
        <v>0.03</v>
      </c>
      <c r="H16" s="20">
        <v>0.03</v>
      </c>
      <c r="I16" s="20">
        <v>0.03</v>
      </c>
      <c r="J16" s="20">
        <v>0.03</v>
      </c>
      <c r="K16" s="20">
        <v>0.03</v>
      </c>
      <c r="M16" s="2" t="str">
        <v>Dues and Subscriptions</v>
      </c>
      <c r="N16" s="46">
        <v>1.03</v>
      </c>
      <c r="O16" s="46">
        <v>1.0609</v>
      </c>
      <c r="P16" s="46">
        <v>1.092727</v>
      </c>
      <c r="Q16" s="46">
        <v>1.1255088100000001</v>
      </c>
      <c r="R16" s="46">
        <v>1.1592740743000001</v>
      </c>
      <c r="S16" s="46"/>
    </row>
    <row r="17" spans="2:19" x14ac:dyDescent="0.25">
      <c r="D17" s="2" t="s">
        <v>46</v>
      </c>
      <c r="G17" s="20">
        <v>0.02</v>
      </c>
      <c r="H17" s="20">
        <v>0.02</v>
      </c>
      <c r="I17" s="20">
        <v>0.02</v>
      </c>
      <c r="J17" s="20">
        <v>0.02</v>
      </c>
      <c r="K17" s="20">
        <v>0.02</v>
      </c>
      <c r="M17" s="2" t="str">
        <v>Business License &amp; Fees</v>
      </c>
      <c r="N17" s="46">
        <v>1.02</v>
      </c>
      <c r="O17" s="46">
        <v>1.0404</v>
      </c>
      <c r="P17" s="46">
        <v>1.0612079999999999</v>
      </c>
      <c r="Q17" s="46">
        <v>1.08243216</v>
      </c>
      <c r="R17" s="46">
        <v>1.1040808032</v>
      </c>
      <c r="S17" s="46"/>
    </row>
    <row r="18" spans="2:19" x14ac:dyDescent="0.25">
      <c r="D18" s="2" t="s">
        <v>73</v>
      </c>
      <c r="G18" s="20"/>
      <c r="H18" s="20"/>
      <c r="I18" s="20"/>
      <c r="J18" s="20"/>
      <c r="K18" s="20"/>
      <c r="M18" s="2" t="str">
        <v>Average Salaries</v>
      </c>
      <c r="N18" s="46">
        <v>1</v>
      </c>
      <c r="O18" s="46">
        <v>1</v>
      </c>
      <c r="P18" s="46">
        <v>1</v>
      </c>
      <c r="Q18" s="46">
        <v>1</v>
      </c>
      <c r="R18" s="46">
        <v>1</v>
      </c>
      <c r="S18" s="46"/>
    </row>
    <row r="19" spans="2:19" x14ac:dyDescent="0.25">
      <c r="D19" s="21" t="s">
        <v>15</v>
      </c>
      <c r="G19" s="20">
        <v>0.02</v>
      </c>
      <c r="H19" s="20">
        <v>0.02</v>
      </c>
      <c r="I19" s="20">
        <v>0.02</v>
      </c>
      <c r="J19" s="20">
        <v>0.02</v>
      </c>
      <c r="K19" s="20">
        <v>0.02</v>
      </c>
      <c r="M19" s="2" t="str">
        <v>Salaries - Office Staff</v>
      </c>
      <c r="N19" s="46">
        <v>1.02</v>
      </c>
      <c r="O19" s="46">
        <v>1.0404</v>
      </c>
      <c r="P19" s="46">
        <v>1.0612079999999999</v>
      </c>
      <c r="Q19" s="46">
        <v>1.08243216</v>
      </c>
      <c r="R19" s="46">
        <v>1.1040808032</v>
      </c>
      <c r="S19" s="46"/>
    </row>
    <row r="20" spans="2:19" x14ac:dyDescent="0.25">
      <c r="D20" s="21" t="s">
        <v>17</v>
      </c>
      <c r="G20" s="20">
        <v>0.05</v>
      </c>
      <c r="H20" s="20">
        <v>0.05</v>
      </c>
      <c r="I20" s="20">
        <v>0.05</v>
      </c>
      <c r="J20" s="20">
        <v>0.03</v>
      </c>
      <c r="K20" s="20">
        <v>0.03</v>
      </c>
      <c r="M20" s="2" t="str">
        <v>Salaries - Inside Sales</v>
      </c>
      <c r="N20" s="46">
        <v>1.05</v>
      </c>
      <c r="O20" s="46">
        <v>1.1025</v>
      </c>
      <c r="P20" s="46">
        <v>1.1576250000000001</v>
      </c>
      <c r="Q20" s="46">
        <v>1.1923537500000001</v>
      </c>
      <c r="R20" s="46">
        <v>1.2281243625000002</v>
      </c>
      <c r="S20" s="46"/>
    </row>
    <row r="21" spans="2:19" x14ac:dyDescent="0.25">
      <c r="D21" s="21" t="s">
        <v>18</v>
      </c>
      <c r="G21" s="20">
        <v>0.01</v>
      </c>
      <c r="H21" s="20">
        <v>0.01</v>
      </c>
      <c r="I21" s="20">
        <v>0.01</v>
      </c>
      <c r="J21" s="20">
        <v>0.01</v>
      </c>
      <c r="K21" s="20">
        <v>0.01</v>
      </c>
      <c r="M21" s="2" t="str">
        <v>Salaries - Warehouse</v>
      </c>
      <c r="N21" s="46">
        <v>1.01</v>
      </c>
      <c r="O21" s="46">
        <v>1.0201</v>
      </c>
      <c r="P21" s="46">
        <v>1.0303009999999999</v>
      </c>
      <c r="Q21" s="46">
        <v>1.04060401</v>
      </c>
      <c r="R21" s="46">
        <v>1.0510100500999999</v>
      </c>
      <c r="S21" s="46"/>
    </row>
    <row r="22" spans="2:19" x14ac:dyDescent="0.25">
      <c r="D22" s="22" t="s">
        <v>74</v>
      </c>
      <c r="G22" s="20"/>
      <c r="H22" s="20"/>
      <c r="I22" s="20"/>
      <c r="J22" s="20"/>
      <c r="K22" s="20"/>
      <c r="M22" s="2" t="str">
        <v>Cost / Sqft</v>
      </c>
      <c r="N22" s="46">
        <v>1</v>
      </c>
      <c r="O22" s="46">
        <v>1</v>
      </c>
      <c r="P22" s="46">
        <v>1</v>
      </c>
      <c r="Q22" s="46">
        <v>1</v>
      </c>
      <c r="R22" s="46">
        <v>1</v>
      </c>
      <c r="S22" s="46"/>
    </row>
    <row r="23" spans="2:19" x14ac:dyDescent="0.25">
      <c r="D23" s="21" t="s">
        <v>25</v>
      </c>
      <c r="G23" s="20">
        <v>0.02</v>
      </c>
      <c r="H23" s="20">
        <v>0.02</v>
      </c>
      <c r="I23" s="20">
        <v>0.02</v>
      </c>
      <c r="J23" s="20">
        <v>0.1</v>
      </c>
      <c r="K23" s="20">
        <v>0.02</v>
      </c>
      <c r="M23" s="2" t="str">
        <v>Rent</v>
      </c>
      <c r="N23" s="46">
        <v>1.02</v>
      </c>
      <c r="O23" s="46">
        <v>1.0404</v>
      </c>
      <c r="P23" s="46">
        <v>1.0612079999999999</v>
      </c>
      <c r="Q23" s="46">
        <v>1.1673287999999999</v>
      </c>
      <c r="R23" s="46">
        <v>1.190675376</v>
      </c>
      <c r="S23" s="46"/>
    </row>
    <row r="24" spans="2:19" x14ac:dyDescent="0.25">
      <c r="D24" s="22" t="s">
        <v>75</v>
      </c>
      <c r="G24" s="20"/>
      <c r="H24" s="20"/>
      <c r="I24" s="20"/>
      <c r="J24" s="20"/>
      <c r="K24" s="20"/>
      <c r="M24" s="2" t="str">
        <v>Cost / Employee</v>
      </c>
      <c r="N24" s="46">
        <v>1</v>
      </c>
      <c r="O24" s="46">
        <v>1</v>
      </c>
      <c r="P24" s="46">
        <v>1</v>
      </c>
      <c r="Q24" s="46">
        <v>1</v>
      </c>
      <c r="R24" s="46">
        <v>1</v>
      </c>
      <c r="S24" s="46"/>
    </row>
    <row r="25" spans="2:19" x14ac:dyDescent="0.25">
      <c r="D25" s="21" t="s">
        <v>13</v>
      </c>
      <c r="G25" s="20">
        <v>0.03</v>
      </c>
      <c r="H25" s="20">
        <v>0.03</v>
      </c>
      <c r="I25" s="20">
        <v>0.03</v>
      </c>
      <c r="J25" s="20">
        <v>0.03</v>
      </c>
      <c r="K25" s="20">
        <v>0.03</v>
      </c>
      <c r="M25" s="2" t="str">
        <v>Employee Benefits</v>
      </c>
      <c r="N25" s="46">
        <v>1.03</v>
      </c>
      <c r="O25" s="46">
        <v>1.0609</v>
      </c>
      <c r="P25" s="46">
        <v>1.092727</v>
      </c>
      <c r="Q25" s="46">
        <v>1.1255088100000001</v>
      </c>
      <c r="R25" s="46">
        <v>1.1592740743000001</v>
      </c>
      <c r="S25" s="46"/>
    </row>
    <row r="26" spans="2:19" x14ac:dyDescent="0.25">
      <c r="B26" s="23"/>
      <c r="C26" s="23"/>
      <c r="D26" s="23"/>
      <c r="E26" s="23"/>
      <c r="F26" s="23"/>
      <c r="G26" s="23"/>
      <c r="H26" s="23"/>
      <c r="I26" s="23"/>
      <c r="J26" s="23"/>
      <c r="K26" s="23"/>
      <c r="N26" s="46"/>
      <c r="O26" s="46"/>
      <c r="P26" s="46"/>
      <c r="Q26" s="46"/>
      <c r="R26" s="46"/>
      <c r="S26" s="46"/>
    </row>
    <row r="27" spans="2:19" x14ac:dyDescent="0.25">
      <c r="B27" s="24"/>
      <c r="C27" s="24"/>
      <c r="D27" s="24"/>
      <c r="E27" s="24"/>
      <c r="F27" s="24"/>
      <c r="G27" s="24"/>
      <c r="H27" s="24"/>
      <c r="I27" s="24"/>
      <c r="J27" s="24"/>
      <c r="K27" s="24"/>
    </row>
    <row r="28" spans="2:19" x14ac:dyDescent="0.25">
      <c r="C28" s="19" t="s">
        <v>76</v>
      </c>
      <c r="M28" s="48" t="str" cm="1">
        <f t="array" ref="M28:R54" xml:space="preserve"> _xlfn.LET(
      _xlpm.margin_factors, $G$29:$K$54,
      _xlpm.margins_rows, $D$29:$D$54,
      _xlpm.margin_columns, $G$6:$K$6,
      _xlpm.title, "Margins",
      _xlfn.VSTACK( _xlfn.HSTACK( _xlpm.title, _xlpm.margin_columns ), _xlfn.HSTACK( _xlpm.margins_rows, _xlpm.margin_factors ) ) )</f>
        <v>Margins</v>
      </c>
      <c r="N28" s="45">
        <v>43830</v>
      </c>
      <c r="O28" s="45">
        <v>44196</v>
      </c>
      <c r="P28" s="45">
        <v>44561</v>
      </c>
      <c r="Q28" s="45">
        <v>44926</v>
      </c>
      <c r="R28" s="45">
        <v>45291</v>
      </c>
    </row>
    <row r="29" spans="2:19" x14ac:dyDescent="0.25">
      <c r="D29" s="2" t="s">
        <v>6</v>
      </c>
      <c r="G29" s="20">
        <v>0.2</v>
      </c>
      <c r="H29" s="20">
        <v>0.2</v>
      </c>
      <c r="I29" s="20">
        <v>0.22</v>
      </c>
      <c r="J29" s="20">
        <v>0.25</v>
      </c>
      <c r="K29" s="20">
        <v>0.25</v>
      </c>
      <c r="M29" s="2" t="str">
        <v>Purchases (Cost of Goods)</v>
      </c>
      <c r="N29" s="44">
        <v>0.2</v>
      </c>
      <c r="O29" s="44">
        <v>0.2</v>
      </c>
      <c r="P29" s="44">
        <v>0.22</v>
      </c>
      <c r="Q29" s="44">
        <v>0.25</v>
      </c>
      <c r="R29" s="44">
        <v>0.25</v>
      </c>
    </row>
    <row r="30" spans="2:19" x14ac:dyDescent="0.25">
      <c r="D30" s="2" t="s">
        <v>10</v>
      </c>
      <c r="G30" s="20">
        <v>5.0000000000000001E-3</v>
      </c>
      <c r="H30" s="20">
        <v>5.0000000000000001E-3</v>
      </c>
      <c r="I30" s="20">
        <v>5.0000000000000001E-3</v>
      </c>
      <c r="J30" s="20">
        <v>5.0000000000000001E-3</v>
      </c>
      <c r="K30" s="20">
        <v>5.0000000000000001E-3</v>
      </c>
      <c r="M30" s="2" t="str">
        <v>Professional Liability Insurance</v>
      </c>
      <c r="N30" s="44">
        <v>5.0000000000000001E-3</v>
      </c>
      <c r="O30" s="44">
        <v>5.0000000000000001E-3</v>
      </c>
      <c r="P30" s="44">
        <v>5.0000000000000001E-3</v>
      </c>
      <c r="Q30" s="44">
        <v>5.0000000000000001E-3</v>
      </c>
      <c r="R30" s="44">
        <v>5.0000000000000001E-3</v>
      </c>
    </row>
    <row r="31" spans="2:19" x14ac:dyDescent="0.25">
      <c r="D31" s="2" t="s">
        <v>11</v>
      </c>
      <c r="G31" s="20">
        <v>0.01</v>
      </c>
      <c r="H31" s="20">
        <v>0.01</v>
      </c>
      <c r="I31" s="20">
        <v>0.01</v>
      </c>
      <c r="J31" s="20">
        <v>0.01</v>
      </c>
      <c r="K31" s="20">
        <v>0.01</v>
      </c>
      <c r="M31" s="2" t="str">
        <v>Worker's Compensation</v>
      </c>
      <c r="N31" s="44">
        <v>0.01</v>
      </c>
      <c r="O31" s="44">
        <v>0.01</v>
      </c>
      <c r="P31" s="44">
        <v>0.01</v>
      </c>
      <c r="Q31" s="44">
        <v>0.01</v>
      </c>
      <c r="R31" s="44">
        <v>0.01</v>
      </c>
    </row>
    <row r="32" spans="2:19" x14ac:dyDescent="0.25">
      <c r="D32" s="2" t="s">
        <v>14</v>
      </c>
      <c r="G32" s="20">
        <v>0.05</v>
      </c>
      <c r="H32" s="20">
        <v>0.05</v>
      </c>
      <c r="I32" s="20">
        <v>0.05</v>
      </c>
      <c r="J32" s="20">
        <v>0.05</v>
      </c>
      <c r="K32" s="20">
        <v>0.05</v>
      </c>
      <c r="M32" s="2" t="str">
        <v>Payroll Tax Expenses</v>
      </c>
      <c r="N32" s="44">
        <v>0.05</v>
      </c>
      <c r="O32" s="44">
        <v>0.05</v>
      </c>
      <c r="P32" s="44">
        <v>0.05</v>
      </c>
      <c r="Q32" s="44">
        <v>0.05</v>
      </c>
      <c r="R32" s="44">
        <v>0.05</v>
      </c>
    </row>
    <row r="33" spans="4:18" x14ac:dyDescent="0.25">
      <c r="D33" s="2" t="s">
        <v>20</v>
      </c>
      <c r="G33" s="20">
        <v>2.5000000000000001E-2</v>
      </c>
      <c r="H33" s="20">
        <v>2.5000000000000001E-2</v>
      </c>
      <c r="I33" s="20">
        <v>2.5000000000000001E-2</v>
      </c>
      <c r="J33" s="20">
        <v>0.03</v>
      </c>
      <c r="K33" s="20">
        <v>0.03</v>
      </c>
      <c r="M33" s="2" t="str">
        <v>Car Lease</v>
      </c>
      <c r="N33" s="44">
        <v>2.5000000000000001E-2</v>
      </c>
      <c r="O33" s="44">
        <v>2.5000000000000001E-2</v>
      </c>
      <c r="P33" s="44">
        <v>2.5000000000000001E-2</v>
      </c>
      <c r="Q33" s="44">
        <v>0.03</v>
      </c>
      <c r="R33" s="44">
        <v>0.03</v>
      </c>
    </row>
    <row r="34" spans="4:18" x14ac:dyDescent="0.25">
      <c r="D34" s="2" t="s">
        <v>21</v>
      </c>
      <c r="G34" s="20">
        <v>0.25</v>
      </c>
      <c r="H34" s="20">
        <v>0.25</v>
      </c>
      <c r="I34" s="20">
        <v>0.25</v>
      </c>
      <c r="J34" s="20">
        <v>0.25</v>
      </c>
      <c r="K34" s="20">
        <v>0.25</v>
      </c>
      <c r="M34" s="2" t="str">
        <v>Gas</v>
      </c>
      <c r="N34" s="44">
        <v>0.25</v>
      </c>
      <c r="O34" s="44">
        <v>0.25</v>
      </c>
      <c r="P34" s="44">
        <v>0.25</v>
      </c>
      <c r="Q34" s="44">
        <v>0.25</v>
      </c>
      <c r="R34" s="44">
        <v>0.25</v>
      </c>
    </row>
    <row r="35" spans="4:18" x14ac:dyDescent="0.25">
      <c r="D35" s="2" t="s">
        <v>22</v>
      </c>
      <c r="G35" s="20">
        <v>0.125</v>
      </c>
      <c r="H35" s="20">
        <v>0.125</v>
      </c>
      <c r="I35" s="20">
        <v>0.125</v>
      </c>
      <c r="J35" s="20">
        <v>0.125</v>
      </c>
      <c r="K35" s="20">
        <v>0.125</v>
      </c>
      <c r="M35" s="2" t="str">
        <v>Insurance-Auto</v>
      </c>
      <c r="N35" s="44">
        <v>0.125</v>
      </c>
      <c r="O35" s="44">
        <v>0.125</v>
      </c>
      <c r="P35" s="44">
        <v>0.125</v>
      </c>
      <c r="Q35" s="44">
        <v>0.125</v>
      </c>
      <c r="R35" s="44">
        <v>0.125</v>
      </c>
    </row>
    <row r="36" spans="4:18" x14ac:dyDescent="0.25">
      <c r="D36" s="2" t="s">
        <v>23</v>
      </c>
      <c r="G36" s="20">
        <v>0.19</v>
      </c>
      <c r="H36" s="20">
        <v>0.19</v>
      </c>
      <c r="I36" s="20">
        <v>0.19</v>
      </c>
      <c r="J36" s="20">
        <v>0.19</v>
      </c>
      <c r="K36" s="20">
        <v>0.19</v>
      </c>
      <c r="M36" s="2" t="str">
        <v>Registration &amp; License</v>
      </c>
      <c r="N36" s="44">
        <v>0.19</v>
      </c>
      <c r="O36" s="44">
        <v>0.19</v>
      </c>
      <c r="P36" s="44">
        <v>0.19</v>
      </c>
      <c r="Q36" s="44">
        <v>0.19</v>
      </c>
      <c r="R36" s="44">
        <v>0.19</v>
      </c>
    </row>
    <row r="37" spans="4:18" x14ac:dyDescent="0.25">
      <c r="D37" s="2" t="s">
        <v>24</v>
      </c>
      <c r="G37" s="20">
        <v>0.28000000000000003</v>
      </c>
      <c r="H37" s="20">
        <v>0.28000000000000003</v>
      </c>
      <c r="I37" s="20">
        <v>0.28000000000000003</v>
      </c>
      <c r="J37" s="20">
        <v>0.28000000000000003</v>
      </c>
      <c r="K37" s="20">
        <v>0.28000000000000003</v>
      </c>
      <c r="M37" s="2" t="str">
        <v>Repairs &amp; Maintenance</v>
      </c>
      <c r="N37" s="44">
        <v>0.28000000000000003</v>
      </c>
      <c r="O37" s="44">
        <v>0.28000000000000003</v>
      </c>
      <c r="P37" s="44">
        <v>0.28000000000000003</v>
      </c>
      <c r="Q37" s="44">
        <v>0.28000000000000003</v>
      </c>
      <c r="R37" s="44">
        <v>0.28000000000000003</v>
      </c>
    </row>
    <row r="38" spans="4:18" x14ac:dyDescent="0.25">
      <c r="D38" s="2" t="s">
        <v>26</v>
      </c>
      <c r="G38" s="20">
        <v>2.4E-2</v>
      </c>
      <c r="H38" s="20">
        <v>2.4E-2</v>
      </c>
      <c r="I38" s="20">
        <v>2.4E-2</v>
      </c>
      <c r="J38" s="20">
        <v>2.4E-2</v>
      </c>
      <c r="K38" s="20">
        <v>2.4E-2</v>
      </c>
      <c r="M38" s="2" t="str">
        <v>Supplies</v>
      </c>
      <c r="N38" s="44">
        <v>2.4E-2</v>
      </c>
      <c r="O38" s="44">
        <v>2.4E-2</v>
      </c>
      <c r="P38" s="44">
        <v>2.4E-2</v>
      </c>
      <c r="Q38" s="44">
        <v>2.4E-2</v>
      </c>
      <c r="R38" s="44">
        <v>2.4E-2</v>
      </c>
    </row>
    <row r="39" spans="4:18" x14ac:dyDescent="0.25">
      <c r="D39" s="2" t="s">
        <v>27</v>
      </c>
      <c r="G39" s="20">
        <v>1.7000000000000001E-2</v>
      </c>
      <c r="H39" s="20">
        <v>1.7000000000000001E-2</v>
      </c>
      <c r="I39" s="20">
        <v>1.7000000000000001E-2</v>
      </c>
      <c r="J39" s="20">
        <v>1.7000000000000001E-2</v>
      </c>
      <c r="K39" s="20">
        <v>1.7000000000000001E-2</v>
      </c>
      <c r="M39" s="2" t="str">
        <v>Marketing Expense</v>
      </c>
      <c r="N39" s="44">
        <v>1.7000000000000001E-2</v>
      </c>
      <c r="O39" s="44">
        <v>1.7000000000000001E-2</v>
      </c>
      <c r="P39" s="44">
        <v>1.7000000000000001E-2</v>
      </c>
      <c r="Q39" s="44">
        <v>1.7000000000000001E-2</v>
      </c>
      <c r="R39" s="44">
        <v>1.7000000000000001E-2</v>
      </c>
    </row>
    <row r="40" spans="4:18" x14ac:dyDescent="0.25">
      <c r="D40" s="2" t="s">
        <v>28</v>
      </c>
      <c r="G40" s="20">
        <v>1E-3</v>
      </c>
      <c r="H40" s="20">
        <v>1E-3</v>
      </c>
      <c r="I40" s="20">
        <v>1E-3</v>
      </c>
      <c r="J40" s="20">
        <v>1E-3</v>
      </c>
      <c r="K40" s="20">
        <v>1E-3</v>
      </c>
      <c r="M40" s="2" t="str">
        <v>Conferences and Seminars</v>
      </c>
      <c r="N40" s="44">
        <v>1E-3</v>
      </c>
      <c r="O40" s="44">
        <v>1E-3</v>
      </c>
      <c r="P40" s="44">
        <v>1E-3</v>
      </c>
      <c r="Q40" s="44">
        <v>1E-3</v>
      </c>
      <c r="R40" s="44">
        <v>1E-3</v>
      </c>
    </row>
    <row r="41" spans="4:18" x14ac:dyDescent="0.25">
      <c r="D41" s="2" t="s">
        <v>29</v>
      </c>
      <c r="G41" s="20">
        <v>8.0000000000000002E-3</v>
      </c>
      <c r="H41" s="20">
        <v>8.0000000000000002E-3</v>
      </c>
      <c r="I41" s="20">
        <v>8.0000000000000002E-3</v>
      </c>
      <c r="J41" s="20">
        <v>8.0000000000000002E-3</v>
      </c>
      <c r="K41" s="20">
        <v>8.0000000000000002E-3</v>
      </c>
      <c r="M41" s="2" t="str">
        <v>Telephone</v>
      </c>
      <c r="N41" s="44">
        <v>8.0000000000000002E-3</v>
      </c>
      <c r="O41" s="44">
        <v>8.0000000000000002E-3</v>
      </c>
      <c r="P41" s="44">
        <v>8.0000000000000002E-3</v>
      </c>
      <c r="Q41" s="44">
        <v>8.0000000000000002E-3</v>
      </c>
      <c r="R41" s="44">
        <v>8.0000000000000002E-3</v>
      </c>
    </row>
    <row r="42" spans="4:18" x14ac:dyDescent="0.25">
      <c r="D42" s="2" t="s">
        <v>30</v>
      </c>
      <c r="G42" s="20">
        <v>3.0000000000000001E-3</v>
      </c>
      <c r="H42" s="20">
        <v>3.0000000000000001E-3</v>
      </c>
      <c r="I42" s="20">
        <v>3.0000000000000001E-3</v>
      </c>
      <c r="J42" s="20">
        <v>3.0000000000000001E-3</v>
      </c>
      <c r="K42" s="20">
        <v>3.0000000000000001E-3</v>
      </c>
      <c r="M42" s="2" t="str">
        <v>Sales Commission (outside reps)</v>
      </c>
      <c r="N42" s="44">
        <v>3.0000000000000001E-3</v>
      </c>
      <c r="O42" s="44">
        <v>3.0000000000000001E-3</v>
      </c>
      <c r="P42" s="44">
        <v>3.0000000000000001E-3</v>
      </c>
      <c r="Q42" s="44">
        <v>3.0000000000000001E-3</v>
      </c>
      <c r="R42" s="44">
        <v>3.0000000000000001E-3</v>
      </c>
    </row>
    <row r="43" spans="4:18" x14ac:dyDescent="0.25">
      <c r="D43" s="2" t="s">
        <v>31</v>
      </c>
      <c r="G43" s="20">
        <v>8.9999999999999993E-3</v>
      </c>
      <c r="H43" s="20">
        <v>8.9999999999999993E-3</v>
      </c>
      <c r="I43" s="20">
        <v>8.9999999999999993E-3</v>
      </c>
      <c r="J43" s="20">
        <v>8.9999999999999993E-3</v>
      </c>
      <c r="K43" s="20">
        <v>8.9999999999999993E-3</v>
      </c>
      <c r="M43" s="2" t="str">
        <v>Travel</v>
      </c>
      <c r="N43" s="44">
        <v>8.9999999999999993E-3</v>
      </c>
      <c r="O43" s="44">
        <v>8.9999999999999993E-3</v>
      </c>
      <c r="P43" s="44">
        <v>8.9999999999999993E-3</v>
      </c>
      <c r="Q43" s="44">
        <v>8.9999999999999993E-3</v>
      </c>
      <c r="R43" s="44">
        <v>8.9999999999999993E-3</v>
      </c>
    </row>
    <row r="44" spans="4:18" x14ac:dyDescent="0.25">
      <c r="D44" s="2" t="s">
        <v>32</v>
      </c>
      <c r="G44" s="20">
        <v>0.1</v>
      </c>
      <c r="H44" s="20">
        <v>0.1</v>
      </c>
      <c r="I44" s="20">
        <v>0.1</v>
      </c>
      <c r="J44" s="20">
        <v>0.1</v>
      </c>
      <c r="K44" s="20">
        <v>0.1</v>
      </c>
      <c r="M44" s="2" t="str">
        <v>Maintenance/Janitorial</v>
      </c>
      <c r="N44" s="44">
        <v>0.1</v>
      </c>
      <c r="O44" s="44">
        <v>0.1</v>
      </c>
      <c r="P44" s="44">
        <v>0.1</v>
      </c>
      <c r="Q44" s="44">
        <v>0.1</v>
      </c>
      <c r="R44" s="44">
        <v>0.1</v>
      </c>
    </row>
    <row r="45" spans="4:18" x14ac:dyDescent="0.25">
      <c r="D45" s="2" t="s">
        <v>33</v>
      </c>
      <c r="G45" s="20">
        <v>8.0000000000000002E-3</v>
      </c>
      <c r="H45" s="20">
        <v>8.0000000000000002E-3</v>
      </c>
      <c r="I45" s="20">
        <v>8.0000000000000002E-3</v>
      </c>
      <c r="J45" s="20">
        <v>8.0000000000000002E-3</v>
      </c>
      <c r="K45" s="20">
        <v>8.0000000000000002E-3</v>
      </c>
      <c r="M45" s="2" t="str">
        <v>Contributions</v>
      </c>
      <c r="N45" s="44">
        <v>8.0000000000000002E-3</v>
      </c>
      <c r="O45" s="44">
        <v>8.0000000000000002E-3</v>
      </c>
      <c r="P45" s="44">
        <v>8.0000000000000002E-3</v>
      </c>
      <c r="Q45" s="44">
        <v>8.0000000000000002E-3</v>
      </c>
      <c r="R45" s="44">
        <v>8.0000000000000002E-3</v>
      </c>
    </row>
    <row r="46" spans="4:18" x14ac:dyDescent="0.25">
      <c r="D46" s="2" t="s">
        <v>35</v>
      </c>
      <c r="G46" s="20">
        <v>1E-3</v>
      </c>
      <c r="H46" s="20">
        <v>1E-3</v>
      </c>
      <c r="I46" s="20">
        <v>1E-3</v>
      </c>
      <c r="J46" s="20">
        <v>1E-3</v>
      </c>
      <c r="K46" s="20">
        <v>1E-3</v>
      </c>
      <c r="M46" s="2" t="str">
        <v>Promotional Expense</v>
      </c>
      <c r="N46" s="44">
        <v>1E-3</v>
      </c>
      <c r="O46" s="44">
        <v>1E-3</v>
      </c>
      <c r="P46" s="44">
        <v>1E-3</v>
      </c>
      <c r="Q46" s="44">
        <v>1E-3</v>
      </c>
      <c r="R46" s="44">
        <v>1E-3</v>
      </c>
    </row>
    <row r="47" spans="4:18" x14ac:dyDescent="0.25">
      <c r="D47" s="2" t="s">
        <v>38</v>
      </c>
      <c r="G47" s="20">
        <v>0.19</v>
      </c>
      <c r="H47" s="20">
        <v>0.19</v>
      </c>
      <c r="I47" s="20">
        <v>0.19</v>
      </c>
      <c r="J47" s="20">
        <v>0.19</v>
      </c>
      <c r="K47" s="20">
        <v>0.19</v>
      </c>
      <c r="M47" s="2" t="str">
        <v>Freight Costs</v>
      </c>
      <c r="N47" s="44">
        <v>0.19</v>
      </c>
      <c r="O47" s="44">
        <v>0.19</v>
      </c>
      <c r="P47" s="44">
        <v>0.19</v>
      </c>
      <c r="Q47" s="44">
        <v>0.19</v>
      </c>
      <c r="R47" s="44">
        <v>0.19</v>
      </c>
    </row>
    <row r="48" spans="4:18" x14ac:dyDescent="0.25">
      <c r="D48" s="2" t="s">
        <v>39</v>
      </c>
      <c r="G48" s="20">
        <v>0.01</v>
      </c>
      <c r="H48" s="20">
        <v>0.01</v>
      </c>
      <c r="I48" s="20">
        <v>0.01</v>
      </c>
      <c r="J48" s="20">
        <v>0.01</v>
      </c>
      <c r="K48" s="20">
        <v>0.01</v>
      </c>
      <c r="M48" s="2" t="str">
        <v>Packaging Materials</v>
      </c>
      <c r="N48" s="44">
        <v>0.01</v>
      </c>
      <c r="O48" s="44">
        <v>0.01</v>
      </c>
      <c r="P48" s="44">
        <v>0.01</v>
      </c>
      <c r="Q48" s="44">
        <v>0.01</v>
      </c>
      <c r="R48" s="44">
        <v>0.01</v>
      </c>
    </row>
    <row r="49" spans="2:18" x14ac:dyDescent="0.25">
      <c r="D49" s="2" t="s">
        <v>40</v>
      </c>
      <c r="G49" s="20">
        <v>0.04</v>
      </c>
      <c r="H49" s="20">
        <v>0.04</v>
      </c>
      <c r="I49" s="20">
        <v>0.04</v>
      </c>
      <c r="J49" s="20">
        <v>0.04</v>
      </c>
      <c r="K49" s="20">
        <v>0.04</v>
      </c>
      <c r="M49" s="2" t="str">
        <v>Meals and Entertainment</v>
      </c>
      <c r="N49" s="44">
        <v>0.04</v>
      </c>
      <c r="O49" s="44">
        <v>0.04</v>
      </c>
      <c r="P49" s="44">
        <v>0.04</v>
      </c>
      <c r="Q49" s="44">
        <v>0.04</v>
      </c>
      <c r="R49" s="44">
        <v>0.04</v>
      </c>
    </row>
    <row r="50" spans="2:18" x14ac:dyDescent="0.25">
      <c r="D50" s="2" t="s">
        <v>41</v>
      </c>
      <c r="G50" s="20">
        <v>0.7</v>
      </c>
      <c r="H50" s="20">
        <v>0.7</v>
      </c>
      <c r="I50" s="20">
        <v>0.7</v>
      </c>
      <c r="J50" s="20">
        <v>0.7</v>
      </c>
      <c r="K50" s="20">
        <v>0.7</v>
      </c>
      <c r="M50" s="2" t="str">
        <v>Office Equipment</v>
      </c>
      <c r="N50" s="44">
        <v>0.7</v>
      </c>
      <c r="O50" s="44">
        <v>0.7</v>
      </c>
      <c r="P50" s="44">
        <v>0.7</v>
      </c>
      <c r="Q50" s="44">
        <v>0.7</v>
      </c>
      <c r="R50" s="44">
        <v>0.7</v>
      </c>
    </row>
    <row r="51" spans="2:18" x14ac:dyDescent="0.25">
      <c r="D51" s="2" t="s">
        <v>42</v>
      </c>
      <c r="G51" s="20">
        <v>1</v>
      </c>
      <c r="H51" s="20">
        <v>1</v>
      </c>
      <c r="I51" s="20">
        <v>1</v>
      </c>
      <c r="J51" s="20">
        <v>1</v>
      </c>
      <c r="K51" s="20">
        <v>1</v>
      </c>
      <c r="M51" s="2" t="str">
        <v>Postage and Delivery</v>
      </c>
      <c r="N51" s="44">
        <v>1</v>
      </c>
      <c r="O51" s="44">
        <v>1</v>
      </c>
      <c r="P51" s="44">
        <v>1</v>
      </c>
      <c r="Q51" s="44">
        <v>1</v>
      </c>
      <c r="R51" s="44">
        <v>1</v>
      </c>
    </row>
    <row r="52" spans="2:18" x14ac:dyDescent="0.25">
      <c r="D52" s="2" t="s">
        <v>43</v>
      </c>
      <c r="G52" s="20">
        <v>8.5000000000000006E-2</v>
      </c>
      <c r="H52" s="20">
        <v>8.5000000000000006E-2</v>
      </c>
      <c r="I52" s="20">
        <v>8.5000000000000006E-2</v>
      </c>
      <c r="J52" s="20">
        <v>8.5000000000000006E-2</v>
      </c>
      <c r="K52" s="20">
        <v>8.5000000000000006E-2</v>
      </c>
      <c r="M52" s="2" t="str">
        <v>Depreciation Expense</v>
      </c>
      <c r="N52" s="44">
        <v>8.5000000000000006E-2</v>
      </c>
      <c r="O52" s="44">
        <v>8.5000000000000006E-2</v>
      </c>
      <c r="P52" s="44">
        <v>8.5000000000000006E-2</v>
      </c>
      <c r="Q52" s="44">
        <v>8.5000000000000006E-2</v>
      </c>
      <c r="R52" s="44">
        <v>8.5000000000000006E-2</v>
      </c>
    </row>
    <row r="53" spans="2:18" x14ac:dyDescent="0.25">
      <c r="D53" s="2" t="s">
        <v>45</v>
      </c>
      <c r="G53" s="20">
        <v>3.1E-2</v>
      </c>
      <c r="H53" s="20">
        <v>3.1E-2</v>
      </c>
      <c r="I53" s="20">
        <v>3.1E-2</v>
      </c>
      <c r="J53" s="20">
        <v>3.1E-2</v>
      </c>
      <c r="K53" s="20">
        <v>3.1E-2</v>
      </c>
      <c r="M53" s="2" t="str">
        <v>Computer Repairs</v>
      </c>
      <c r="N53" s="44">
        <v>3.1E-2</v>
      </c>
      <c r="O53" s="44">
        <v>3.1E-2</v>
      </c>
      <c r="P53" s="44">
        <v>3.1E-2</v>
      </c>
      <c r="Q53" s="44">
        <v>3.1E-2</v>
      </c>
      <c r="R53" s="44">
        <v>3.1E-2</v>
      </c>
    </row>
    <row r="54" spans="2:18" x14ac:dyDescent="0.25">
      <c r="D54" s="2" t="s">
        <v>47</v>
      </c>
      <c r="G54" s="20">
        <v>0.185</v>
      </c>
      <c r="H54" s="20">
        <v>0.185</v>
      </c>
      <c r="I54" s="20">
        <v>0.185</v>
      </c>
      <c r="J54" s="20">
        <v>0.185</v>
      </c>
      <c r="K54" s="20">
        <v>0.185</v>
      </c>
      <c r="M54" s="2" t="str">
        <v>Utilities</v>
      </c>
      <c r="N54" s="44">
        <v>0.185</v>
      </c>
      <c r="O54" s="44">
        <v>0.185</v>
      </c>
      <c r="P54" s="44">
        <v>0.185</v>
      </c>
      <c r="Q54" s="44">
        <v>0.185</v>
      </c>
      <c r="R54" s="44">
        <v>0.185</v>
      </c>
    </row>
    <row r="55" spans="2:18" x14ac:dyDescent="0.25"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2:18" x14ac:dyDescent="0.25">
      <c r="B56" s="24"/>
      <c r="C56" s="24"/>
      <c r="D56" s="24"/>
      <c r="E56" s="24"/>
      <c r="F56" s="24"/>
      <c r="G56" s="24"/>
      <c r="H56" s="24"/>
      <c r="I56" s="24"/>
      <c r="J56" s="24"/>
      <c r="K56" s="24"/>
    </row>
    <row r="57" spans="2:18" x14ac:dyDescent="0.25">
      <c r="C57" s="2" t="s">
        <v>65</v>
      </c>
      <c r="F57" s="25" t="s">
        <v>77</v>
      </c>
      <c r="G57" s="26">
        <v>6</v>
      </c>
      <c r="H57" s="2" t="s">
        <v>78</v>
      </c>
    </row>
    <row r="58" spans="2:18" x14ac:dyDescent="0.25"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2:18" x14ac:dyDescent="0.25">
      <c r="B59" s="24"/>
      <c r="C59" s="24"/>
      <c r="D59" s="24"/>
      <c r="E59" s="24"/>
      <c r="F59" s="24"/>
      <c r="G59" s="24"/>
      <c r="H59" s="24"/>
      <c r="I59" s="24"/>
      <c r="J59" s="24"/>
      <c r="K59" s="24"/>
    </row>
    <row r="60" spans="2:18" x14ac:dyDescent="0.25">
      <c r="C60" s="19" t="s">
        <v>79</v>
      </c>
      <c r="F60" s="27" t="s">
        <v>80</v>
      </c>
      <c r="G60" s="27"/>
    </row>
    <row r="61" spans="2:18" x14ac:dyDescent="0.25">
      <c r="D61" s="2" t="s">
        <v>81</v>
      </c>
      <c r="F61" s="14" t="s">
        <v>67</v>
      </c>
      <c r="G61" s="14" t="s">
        <v>68</v>
      </c>
    </row>
    <row r="62" spans="2:18" x14ac:dyDescent="0.25">
      <c r="D62" s="28">
        <v>0</v>
      </c>
      <c r="F62" s="26">
        <v>0</v>
      </c>
      <c r="G62" s="26">
        <v>2</v>
      </c>
      <c r="I62" s="2" t="str" cm="1">
        <f t="array" ref="I62:K72" xml:space="preserve"> _xlfn.LET(
      _xlpm.step_data, $F$62:$G$71,
      _xlpm.step_rows, $D$62:$D$71,
      _xlpm.step_columns, _xlfn.CHOOSECOLS( $D$61:$G$61, {1,3,4} ),
      _xlpm.step_table, _xlfn.VSTACK( _xlpm.step_columns, _xlfn.HSTACK( _xlpm.step_rows, _xlpm.step_data ) ),
      _xlpm.step_table )</f>
        <v>If Revenue &gt;=</v>
      </c>
      <c r="J62" s="2" t="str">
        <v>Inside Sales</v>
      </c>
      <c r="K62" s="2" t="str">
        <v>Warehouse</v>
      </c>
    </row>
    <row r="63" spans="2:18" x14ac:dyDescent="0.25">
      <c r="D63" s="28">
        <f t="shared" ref="D63:D71" si="0">D62+150</f>
        <v>150</v>
      </c>
      <c r="F63" s="26">
        <v>1</v>
      </c>
      <c r="G63" s="26">
        <v>5</v>
      </c>
      <c r="I63" s="2">
        <v>0</v>
      </c>
      <c r="J63" s="2">
        <v>0</v>
      </c>
      <c r="K63" s="2">
        <v>2</v>
      </c>
    </row>
    <row r="64" spans="2:18" x14ac:dyDescent="0.25">
      <c r="D64" s="28">
        <f t="shared" si="0"/>
        <v>300</v>
      </c>
      <c r="F64" s="26">
        <v>2</v>
      </c>
      <c r="G64" s="26">
        <v>5</v>
      </c>
      <c r="I64" s="2">
        <v>150</v>
      </c>
      <c r="J64" s="2">
        <v>1</v>
      </c>
      <c r="K64" s="2">
        <v>5</v>
      </c>
    </row>
    <row r="65" spans="2:11" x14ac:dyDescent="0.25">
      <c r="D65" s="28">
        <f t="shared" si="0"/>
        <v>450</v>
      </c>
      <c r="F65" s="26">
        <v>3</v>
      </c>
      <c r="G65" s="26">
        <v>5</v>
      </c>
      <c r="I65" s="2">
        <v>300</v>
      </c>
      <c r="J65" s="2">
        <v>2</v>
      </c>
      <c r="K65" s="2">
        <v>5</v>
      </c>
    </row>
    <row r="66" spans="2:11" x14ac:dyDescent="0.25">
      <c r="D66" s="28">
        <f t="shared" si="0"/>
        <v>600</v>
      </c>
      <c r="F66" s="26">
        <v>4</v>
      </c>
      <c r="G66" s="26">
        <v>10</v>
      </c>
      <c r="I66" s="2">
        <v>450</v>
      </c>
      <c r="J66" s="2">
        <v>3</v>
      </c>
      <c r="K66" s="2">
        <v>5</v>
      </c>
    </row>
    <row r="67" spans="2:11" x14ac:dyDescent="0.25">
      <c r="D67" s="28">
        <f t="shared" si="0"/>
        <v>750</v>
      </c>
      <c r="F67" s="26">
        <v>5</v>
      </c>
      <c r="G67" s="26">
        <v>12</v>
      </c>
      <c r="I67" s="2">
        <v>600</v>
      </c>
      <c r="J67" s="2">
        <v>4</v>
      </c>
      <c r="K67" s="2">
        <v>10</v>
      </c>
    </row>
    <row r="68" spans="2:11" x14ac:dyDescent="0.25">
      <c r="D68" s="28">
        <f t="shared" si="0"/>
        <v>900</v>
      </c>
      <c r="F68" s="26">
        <v>6</v>
      </c>
      <c r="G68" s="26">
        <v>15</v>
      </c>
      <c r="I68" s="2">
        <v>750</v>
      </c>
      <c r="J68" s="2">
        <v>5</v>
      </c>
      <c r="K68" s="2">
        <v>12</v>
      </c>
    </row>
    <row r="69" spans="2:11" x14ac:dyDescent="0.25">
      <c r="D69" s="28">
        <f t="shared" si="0"/>
        <v>1050</v>
      </c>
      <c r="F69" s="26">
        <v>7</v>
      </c>
      <c r="G69" s="26">
        <v>17</v>
      </c>
      <c r="I69" s="2">
        <v>900</v>
      </c>
      <c r="J69" s="2">
        <v>6</v>
      </c>
      <c r="K69" s="2">
        <v>15</v>
      </c>
    </row>
    <row r="70" spans="2:11" x14ac:dyDescent="0.25">
      <c r="D70" s="28">
        <f t="shared" si="0"/>
        <v>1200</v>
      </c>
      <c r="F70" s="26">
        <v>8</v>
      </c>
      <c r="G70" s="26">
        <v>20</v>
      </c>
      <c r="I70" s="2">
        <v>1050</v>
      </c>
      <c r="J70" s="2">
        <v>7</v>
      </c>
      <c r="K70" s="2">
        <v>17</v>
      </c>
    </row>
    <row r="71" spans="2:11" x14ac:dyDescent="0.25">
      <c r="D71" s="28">
        <f t="shared" si="0"/>
        <v>1350</v>
      </c>
      <c r="F71" s="26">
        <v>9</v>
      </c>
      <c r="G71" s="26">
        <v>25</v>
      </c>
      <c r="I71" s="2">
        <v>1200</v>
      </c>
      <c r="J71" s="2">
        <v>8</v>
      </c>
      <c r="K71" s="2">
        <v>20</v>
      </c>
    </row>
    <row r="72" spans="2:11" x14ac:dyDescent="0.25">
      <c r="B72" s="23"/>
      <c r="C72" s="23"/>
      <c r="D72" s="23"/>
      <c r="E72" s="23"/>
      <c r="F72" s="23"/>
      <c r="G72" s="23"/>
      <c r="H72" s="23"/>
      <c r="I72" s="23">
        <v>1350</v>
      </c>
      <c r="J72" s="23">
        <v>9</v>
      </c>
      <c r="K72" s="23">
        <v>25</v>
      </c>
    </row>
    <row r="73" spans="2:11" x14ac:dyDescent="0.25">
      <c r="B73" s="24"/>
      <c r="C73" s="24"/>
      <c r="D73" s="24"/>
      <c r="E73" s="24"/>
      <c r="F73" s="24"/>
      <c r="G73" s="24"/>
      <c r="H73" s="24"/>
      <c r="I73" s="24"/>
      <c r="J73" s="24"/>
      <c r="K73" s="24"/>
    </row>
    <row r="74" spans="2:11" x14ac:dyDescent="0.25">
      <c r="D74" s="2" t="s">
        <v>82</v>
      </c>
      <c r="F74" s="14" t="s">
        <v>83</v>
      </c>
    </row>
    <row r="75" spans="2:11" x14ac:dyDescent="0.25">
      <c r="D75" s="28">
        <v>0</v>
      </c>
      <c r="F75" s="26">
        <v>500</v>
      </c>
    </row>
    <row r="76" spans="2:11" x14ac:dyDescent="0.25">
      <c r="D76" s="28">
        <f>D75+10</f>
        <v>10</v>
      </c>
      <c r="F76" s="26">
        <v>1000</v>
      </c>
    </row>
    <row r="77" spans="2:11" x14ac:dyDescent="0.25">
      <c r="D77" s="28">
        <f t="shared" ref="D77:D84" si="1">D76+10</f>
        <v>20</v>
      </c>
      <c r="F77" s="26">
        <v>1000</v>
      </c>
    </row>
    <row r="78" spans="2:11" x14ac:dyDescent="0.25">
      <c r="D78" s="28">
        <f t="shared" si="1"/>
        <v>30</v>
      </c>
      <c r="F78" s="26">
        <v>3000</v>
      </c>
    </row>
    <row r="79" spans="2:11" x14ac:dyDescent="0.25">
      <c r="D79" s="28">
        <f t="shared" si="1"/>
        <v>40</v>
      </c>
      <c r="F79" s="26">
        <v>3000</v>
      </c>
    </row>
    <row r="80" spans="2:11" x14ac:dyDescent="0.25">
      <c r="D80" s="28">
        <f t="shared" si="1"/>
        <v>50</v>
      </c>
      <c r="F80" s="26">
        <v>3000</v>
      </c>
    </row>
    <row r="81" spans="1:6" x14ac:dyDescent="0.25">
      <c r="D81" s="28">
        <f t="shared" si="1"/>
        <v>60</v>
      </c>
      <c r="F81" s="26">
        <v>4500</v>
      </c>
    </row>
    <row r="82" spans="1:6" x14ac:dyDescent="0.25">
      <c r="D82" s="28">
        <f t="shared" si="1"/>
        <v>70</v>
      </c>
      <c r="F82" s="26">
        <v>5000</v>
      </c>
    </row>
    <row r="83" spans="1:6" x14ac:dyDescent="0.25">
      <c r="D83" s="28">
        <f t="shared" si="1"/>
        <v>80</v>
      </c>
      <c r="F83" s="26">
        <v>5000</v>
      </c>
    </row>
    <row r="84" spans="1:6" x14ac:dyDescent="0.25">
      <c r="D84" s="28">
        <f t="shared" si="1"/>
        <v>90</v>
      </c>
      <c r="F84" s="26">
        <v>10000</v>
      </c>
    </row>
    <row r="86" spans="1:6" s="40" customFormat="1" x14ac:dyDescent="0.25">
      <c r="A86" s="41" t="s">
        <v>95</v>
      </c>
    </row>
    <row r="88" spans="1:6" x14ac:dyDescent="0.25">
      <c r="D88" s="2" t="s">
        <v>96</v>
      </c>
      <c r="E88" s="43" t="s">
        <v>97</v>
      </c>
    </row>
    <row r="89" spans="1:6" x14ac:dyDescent="0.25">
      <c r="D89" s="2" t="s">
        <v>98</v>
      </c>
      <c r="E89" s="42" t="s">
        <v>99</v>
      </c>
    </row>
    <row r="90" spans="1:6" x14ac:dyDescent="0.25">
      <c r="D90" s="2" t="s">
        <v>67</v>
      </c>
      <c r="E90" s="42">
        <v>3</v>
      </c>
      <c r="F90" s="2" t="s">
        <v>80</v>
      </c>
    </row>
    <row r="91" spans="1:6" x14ac:dyDescent="0.25">
      <c r="D91" s="2" t="s">
        <v>68</v>
      </c>
      <c r="E91" s="43">
        <v>12</v>
      </c>
      <c r="F91" s="2" t="s">
        <v>80</v>
      </c>
    </row>
    <row r="92" spans="1:6" x14ac:dyDescent="0.25">
      <c r="D92" s="2" t="s">
        <v>65</v>
      </c>
      <c r="E92" s="64">
        <f xml:space="preserve"> ROUND( SUM( $E$90:$E$91 ) / $G$57, 0 )</f>
        <v>3</v>
      </c>
      <c r="F92" s="2" t="s">
        <v>80</v>
      </c>
    </row>
    <row r="93" spans="1:6" x14ac:dyDescent="0.25">
      <c r="D93" s="2" t="s">
        <v>106</v>
      </c>
      <c r="E93" s="42">
        <v>978</v>
      </c>
      <c r="F93" s="2" t="s">
        <v>107</v>
      </c>
    </row>
  </sheetData>
  <pageMargins left="0.70866141732283472" right="0.70866141732283472" top="0.74803149606299213" bottom="0.74803149606299213" header="0.31496062992125984" footer="0.31496062992125984"/>
  <pageSetup scale="78" orientation="landscape" r:id="rId1"/>
  <rowBreaks count="2" manualBreakCount="2">
    <brk id="27" min="1" max="10" man="1"/>
    <brk id="56" min="1" max="1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E6119-DC5E-4A76-8E40-E7049447D880}">
  <sheetPr>
    <pageSetUpPr fitToPage="1"/>
  </sheetPr>
  <dimension ref="A1:A45"/>
  <sheetViews>
    <sheetView zoomScale="85" zoomScaleNormal="85" workbookViewId="0">
      <pane xSplit="9" ySplit="3" topLeftCell="J4" activePane="bottomRight" state="frozen"/>
      <selection pane="topRight" activeCell="J1" sqref="J1"/>
      <selection pane="bottomLeft" activeCell="A4" sqref="A4"/>
      <selection pane="bottomRight" activeCell="G32" sqref="G32"/>
    </sheetView>
  </sheetViews>
  <sheetFormatPr defaultColWidth="8" defaultRowHeight="13.8" x14ac:dyDescent="0.25"/>
  <cols>
    <col min="1" max="1" width="1.69921875" customWidth="1"/>
    <col min="2" max="4" width="1.59765625" customWidth="1"/>
    <col min="5" max="5" width="32.19921875" customWidth="1"/>
    <col min="6" max="8" width="11.5" customWidth="1"/>
    <col min="9" max="9" width="1.59765625" customWidth="1"/>
    <col min="10" max="15" width="11.5" customWidth="1"/>
    <col min="16" max="16383" width="8" customWidth="1"/>
  </cols>
  <sheetData>
    <row r="1" spans="1:1" s="31" customFormat="1" x14ac:dyDescent="0.25">
      <c r="A1" s="31" t="str" cm="1">
        <f t="array" ref="A1">company</f>
        <v>Powerstill Inc.</v>
      </c>
    </row>
    <row r="2" spans="1:1" s="31" customFormat="1" x14ac:dyDescent="0.25">
      <c r="A2" s="31" t="str" cm="1">
        <f t="array" ref="A2">topic</f>
        <v>CFM Topic: Costs</v>
      </c>
    </row>
    <row r="3" spans="1:1" s="31" customFormat="1" x14ac:dyDescent="0.25">
      <c r="A3" s="31" t="s">
        <v>86</v>
      </c>
    </row>
    <row r="45" spans="1:1" s="32" customFormat="1" x14ac:dyDescent="0.25">
      <c r="A45" s="33" t="s">
        <v>87</v>
      </c>
    </row>
  </sheetData>
  <printOptions horizontalCentered="1"/>
  <pageMargins left="0.15748031496062992" right="0.15748031496062992" top="0.39370078740157483" bottom="0.39370078740157483" header="0.15748031496062992" footer="0.15748031496062992"/>
  <pageSetup scale="87" fitToHeight="0" orientation="landscape" r:id="rId1"/>
  <headerFooter>
    <oddFooter>&amp;LFinancial Modeling Institute
CFM October 2026&amp;CPage &amp;P of &amp;N&amp;R&amp;D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HeadingPairs>
  <TitlesOfParts>
    <vt:vector size="21" baseType="lpstr">
      <vt:lpstr>Answers</vt:lpstr>
      <vt:lpstr>Calculations</vt:lpstr>
      <vt:lpstr>Drivers</vt:lpstr>
      <vt:lpstr>Time</vt:lpstr>
      <vt:lpstr>DataPull</vt:lpstr>
      <vt:lpstr>Assumptions</vt:lpstr>
      <vt:lpstr>Tmp</vt:lpstr>
      <vt:lpstr>company</vt:lpstr>
      <vt:lpstr>last_actual_date</vt:lpstr>
      <vt:lpstr>periods</vt:lpstr>
      <vt:lpstr>Answers!Print_Area</vt:lpstr>
      <vt:lpstr>Assumptions!Print_Area</vt:lpstr>
      <vt:lpstr>Calculations!Print_Area</vt:lpstr>
      <vt:lpstr>Time!Print_Area</vt:lpstr>
      <vt:lpstr>Tmp!Print_Area</vt:lpstr>
      <vt:lpstr>Answers!Print_Titles</vt:lpstr>
      <vt:lpstr>Assumptions!Print_Titles</vt:lpstr>
      <vt:lpstr>Calculations!Print_Titles</vt:lpstr>
      <vt:lpstr>Time!Print_Titles</vt:lpstr>
      <vt:lpstr>Tmp!Print_Titles</vt:lpstr>
      <vt:lpstr>start_date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 Stephenson</dc:creator>
  <cp:lastModifiedBy>Luc Nicod</cp:lastModifiedBy>
  <cp:lastPrinted>2026-06-24T12:13:59Z</cp:lastPrinted>
  <dcterms:created xsi:type="dcterms:W3CDTF">2020-02-18T20:42:35Z</dcterms:created>
  <dcterms:modified xsi:type="dcterms:W3CDTF">2026-08-12T21:00:22Z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5a5f50-0881-436f-9c49-8a41d790817e_Enabled">
    <vt:lpwstr>true</vt:lpwstr>
  </property>
  <property fmtid="{D5CDD505-2E9C-101B-9397-08002B2CF9AE}" pid="3" name="MSIP_Label_da5a5f50-0881-436f-9c49-8a41d790817e_SetDate">
    <vt:lpwstr>2026-06-12T08:56:38Z</vt:lpwstr>
  </property>
  <property fmtid="{D5CDD505-2E9C-101B-9397-08002B2CF9AE}" pid="4" name="MSIP_Label_da5a5f50-0881-436f-9c49-8a41d790817e_Method">
    <vt:lpwstr>Privileged</vt:lpwstr>
  </property>
  <property fmtid="{D5CDD505-2E9C-101B-9397-08002B2CF9AE}" pid="5" name="MSIP_Label_da5a5f50-0881-436f-9c49-8a41d790817e_Name">
    <vt:lpwstr>L1</vt:lpwstr>
  </property>
  <property fmtid="{D5CDD505-2E9C-101B-9397-08002B2CF9AE}" pid="6" name="MSIP_Label_da5a5f50-0881-436f-9c49-8a41d790817e_SiteId">
    <vt:lpwstr>02e3c4d5-27fd-43fe-8203-97710d02fae4</vt:lpwstr>
  </property>
  <property fmtid="{D5CDD505-2E9C-101B-9397-08002B2CF9AE}" pid="7" name="MSIP_Label_da5a5f50-0881-436f-9c49-8a41d790817e_ActionId">
    <vt:lpwstr>40545b10-9c82-413d-a6e1-6de49b0eae34</vt:lpwstr>
  </property>
  <property fmtid="{D5CDD505-2E9C-101B-9397-08002B2CF9AE}" pid="8" name="MSIP_Label_da5a5f50-0881-436f-9c49-8a41d790817e_ContentBits">
    <vt:lpwstr>0</vt:lpwstr>
  </property>
  <property fmtid="{D5CDD505-2E9C-101B-9397-08002B2CF9AE}" pid="9" name="MSIP_Label_da5a5f50-0881-436f-9c49-8a41d790817e_Tag">
    <vt:lpwstr>10, 0, 1, 1</vt:lpwstr>
  </property>
</Properties>
</file>