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0" documentId="13_ncr:1_{8078D56C-3A76-4C00-AEAB-A0F437F67064}" xr6:coauthVersionLast="47" xr6:coauthVersionMax="47" xr10:uidLastSave="{00000000-0000-0000-0000-000000000000}"/>
  <bookViews>
    <workbookView xWindow="-120" yWindow="-120" windowWidth="29040" windowHeight="15720" tabRatio="845" xr2:uid="{00000000-000D-0000-FFFF-FFFF00000000}"/>
  </bookViews>
  <sheets>
    <sheet name="CaseData" sheetId="43" r:id="rId1"/>
    <sheet name="CaseSolution" sheetId="41" r:id="rId2"/>
  </sheets>
  <definedNames>
    <definedName name="_xlnm._FilterDatabase" localSheetId="0" hidden="1">CaseData!$M$215:$O$215</definedName>
    <definedName name="_xlnm._FilterDatabase" localSheetId="1" hidden="1">CaseSolution!$M$215:$O$215</definedName>
    <definedName name="_xlnm.Print_Area" localSheetId="0">CaseData!$B$139:$O$176,CaseData!$B$179:$O$224,CaseData!$B$227:$O$270,CaseData!$B$274:$O$311,CaseData!$B$314:$O$355,CaseData!$B$358:$O$380,CaseData!$B$383:$O$427,CaseData!$B$430:$O$457,CaseData!$B$460:$O$508,CaseData!$B$511:$O$562,CaseData!#REF!,CaseData!$B$564:$O$600,CaseData!$B$603:$O$638,CaseData!$B$641:$O$666,CaseData!$B$669:$O$703</definedName>
    <definedName name="_xlnm.Print_Area" localSheetId="1">CaseSolution!$B$139:$O$176,CaseSolution!$B$179:$O$224,CaseSolution!$B$227:$O$270,CaseSolution!$B$274:$O$311,CaseSolution!$B$314:$O$355,CaseSolution!$B$358:$O$380,CaseSolution!$B$383:$O$427,CaseSolution!$B$430:$O$457,CaseSolution!$B$460:$O$508,CaseSolution!$B$511:$O$562,CaseSolution!#REF!,CaseSolution!$B$564:$O$600,CaseSolution!$B$603:$O$638,CaseSolution!$B$641:$O$666,CaseSolution!$B$669:$O$703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3" i="43" l="1"/>
  <c r="N453" i="43"/>
  <c r="M453" i="43"/>
  <c r="L453" i="43"/>
  <c r="K453" i="43"/>
  <c r="J453" i="43"/>
  <c r="O300" i="43"/>
  <c r="N300" i="43"/>
  <c r="M300" i="43"/>
  <c r="L300" i="43"/>
  <c r="K300" i="43"/>
  <c r="O291" i="43"/>
  <c r="N291" i="43"/>
  <c r="M291" i="43"/>
  <c r="L291" i="43"/>
  <c r="K291" i="43"/>
  <c r="K329" i="43" s="1"/>
  <c r="L329" i="43" s="1"/>
  <c r="M329" i="43" s="1"/>
  <c r="N329" i="43" s="1"/>
  <c r="O329" i="43" s="1"/>
  <c r="O147" i="43"/>
  <c r="N147" i="43"/>
  <c r="M147" i="43"/>
  <c r="L147" i="43"/>
  <c r="K147" i="43"/>
  <c r="J590" i="43"/>
  <c r="O571" i="43"/>
  <c r="N571" i="43"/>
  <c r="M571" i="43"/>
  <c r="L571" i="43"/>
  <c r="K571" i="43"/>
  <c r="K549" i="43"/>
  <c r="O501" i="43"/>
  <c r="N501" i="43"/>
  <c r="M501" i="43"/>
  <c r="L501" i="43"/>
  <c r="K501" i="43"/>
  <c r="K218" i="43"/>
  <c r="K111" i="43"/>
  <c r="N546" i="43" l="1"/>
  <c r="M546" i="43"/>
  <c r="L546" i="43"/>
  <c r="K546" i="43"/>
  <c r="M343" i="43"/>
  <c r="N343" i="43" s="1"/>
  <c r="O343" i="43" s="1"/>
  <c r="L343" i="43"/>
  <c r="O538" i="43"/>
  <c r="K539" i="43"/>
  <c r="L537" i="43"/>
  <c r="L538" i="43"/>
  <c r="L539" i="43"/>
  <c r="M537" i="43"/>
  <c r="M538" i="43"/>
  <c r="M539" i="43"/>
  <c r="N537" i="43"/>
  <c r="N538" i="43"/>
  <c r="K538" i="43"/>
  <c r="O298" i="43"/>
  <c r="N298" i="43"/>
  <c r="M298" i="43"/>
  <c r="L298" i="43"/>
  <c r="K298" i="43"/>
  <c r="K493" i="43"/>
  <c r="E374" i="43"/>
  <c r="E373" i="43"/>
  <c r="E372" i="43"/>
  <c r="K372" i="43" s="1"/>
  <c r="K378" i="43" s="1"/>
  <c r="K249" i="43" s="1"/>
  <c r="O129" i="43"/>
  <c r="O165" i="43" s="1"/>
  <c r="N129" i="43"/>
  <c r="N165" i="43" s="1"/>
  <c r="M129" i="43"/>
  <c r="M165" i="43" s="1"/>
  <c r="L129" i="43"/>
  <c r="L165" i="43" s="1"/>
  <c r="K129" i="43"/>
  <c r="K165" i="43" s="1"/>
  <c r="K166" i="43" s="1"/>
  <c r="K697" i="43"/>
  <c r="K692" i="43"/>
  <c r="L692" i="43"/>
  <c r="M692" i="43"/>
  <c r="N692" i="43"/>
  <c r="O692" i="43"/>
  <c r="K687" i="43"/>
  <c r="L687" i="43"/>
  <c r="M687" i="43"/>
  <c r="N687" i="43"/>
  <c r="O687" i="43"/>
  <c r="K682" i="43"/>
  <c r="L682" i="43"/>
  <c r="M682" i="43"/>
  <c r="N682" i="43"/>
  <c r="O682" i="43"/>
  <c r="K677" i="43"/>
  <c r="L677" i="43"/>
  <c r="M677" i="43"/>
  <c r="N677" i="43"/>
  <c r="O677" i="43"/>
  <c r="J635" i="43"/>
  <c r="K632" i="43"/>
  <c r="O634" i="43"/>
  <c r="N634" i="43"/>
  <c r="M634" i="43"/>
  <c r="L634" i="43"/>
  <c r="K634" i="43"/>
  <c r="J630" i="43"/>
  <c r="K630" i="43"/>
  <c r="K629" i="43"/>
  <c r="L629" i="43"/>
  <c r="M629" i="43"/>
  <c r="N629" i="43"/>
  <c r="O629" i="43"/>
  <c r="J625" i="43"/>
  <c r="K622" i="43"/>
  <c r="K616" i="43"/>
  <c r="L616" i="43"/>
  <c r="M616" i="43"/>
  <c r="N616" i="43"/>
  <c r="O616" i="43"/>
  <c r="K614" i="43"/>
  <c r="J614" i="43"/>
  <c r="K612" i="43"/>
  <c r="O613" i="43"/>
  <c r="N613" i="43"/>
  <c r="N302" i="43"/>
  <c r="M613" i="43"/>
  <c r="L613" i="43"/>
  <c r="K613" i="43"/>
  <c r="O598" i="43"/>
  <c r="O337" i="43"/>
  <c r="K560" i="43"/>
  <c r="J558" i="43"/>
  <c r="H557" i="43"/>
  <c r="H556" i="43"/>
  <c r="H555" i="43"/>
  <c r="H554" i="43"/>
  <c r="L549" i="43"/>
  <c r="M549" i="43" s="1"/>
  <c r="N549" i="43" s="1"/>
  <c r="O549" i="43" s="1"/>
  <c r="J547" i="43"/>
  <c r="H545" i="43"/>
  <c r="L541" i="43"/>
  <c r="M541" i="43"/>
  <c r="K541" i="43"/>
  <c r="J539" i="43"/>
  <c r="H537" i="43"/>
  <c r="K530" i="43"/>
  <c r="L530" i="43"/>
  <c r="M530" i="43"/>
  <c r="N530" i="43"/>
  <c r="O530" i="43"/>
  <c r="H529" i="43"/>
  <c r="J526" i="43"/>
  <c r="H526" i="43"/>
  <c r="H523" i="43"/>
  <c r="M518" i="43"/>
  <c r="J502" i="43"/>
  <c r="J589" i="43"/>
  <c r="H501" i="43"/>
  <c r="O498" i="43"/>
  <c r="N498" i="43"/>
  <c r="M498" i="43"/>
  <c r="M554" i="43"/>
  <c r="L498" i="43"/>
  <c r="K498" i="43"/>
  <c r="J491" i="43"/>
  <c r="K479" i="43"/>
  <c r="L479" i="43"/>
  <c r="M479" i="43"/>
  <c r="N479" i="43"/>
  <c r="O479" i="43"/>
  <c r="M476" i="43"/>
  <c r="O475" i="43"/>
  <c r="N475" i="43"/>
  <c r="M475" i="43"/>
  <c r="L475" i="43"/>
  <c r="L476" i="43"/>
  <c r="K475" i="43"/>
  <c r="J473" i="43"/>
  <c r="K471" i="43"/>
  <c r="K480" i="43"/>
  <c r="O467" i="43"/>
  <c r="N467" i="43"/>
  <c r="M467" i="43"/>
  <c r="L467" i="43"/>
  <c r="K467" i="43"/>
  <c r="J452" i="43"/>
  <c r="J451" i="43"/>
  <c r="J450" i="43"/>
  <c r="O447" i="43"/>
  <c r="N447" i="43"/>
  <c r="M447" i="43"/>
  <c r="L447" i="43"/>
  <c r="K447" i="43"/>
  <c r="O446" i="43"/>
  <c r="N446" i="43"/>
  <c r="M446" i="43"/>
  <c r="L446" i="43"/>
  <c r="K446" i="43"/>
  <c r="O445" i="43"/>
  <c r="N445" i="43"/>
  <c r="M445" i="43"/>
  <c r="L445" i="43"/>
  <c r="K445" i="43"/>
  <c r="K421" i="43"/>
  <c r="F419" i="43"/>
  <c r="K402" i="43"/>
  <c r="K398" i="43"/>
  <c r="E389" i="43"/>
  <c r="D411" i="43"/>
  <c r="J378" i="43"/>
  <c r="J249" i="43"/>
  <c r="J283" i="43"/>
  <c r="I378" i="43"/>
  <c r="I249" i="43"/>
  <c r="H378" i="43"/>
  <c r="F367" i="43"/>
  <c r="F366" i="43"/>
  <c r="K369" i="43"/>
  <c r="L369" i="43"/>
  <c r="M369" i="43"/>
  <c r="N369" i="43"/>
  <c r="O369" i="43"/>
  <c r="J350" i="43"/>
  <c r="J344" i="43"/>
  <c r="K343" i="43"/>
  <c r="J339" i="43"/>
  <c r="J346" i="43"/>
  <c r="L338" i="43"/>
  <c r="M338" i="43"/>
  <c r="N338" i="43"/>
  <c r="O338" i="43"/>
  <c r="K338" i="43"/>
  <c r="K330" i="43"/>
  <c r="L330" i="43"/>
  <c r="M330" i="43"/>
  <c r="N330" i="43"/>
  <c r="O330" i="43"/>
  <c r="J327" i="43"/>
  <c r="J331" i="43"/>
  <c r="M326" i="43"/>
  <c r="N326" i="43"/>
  <c r="O326" i="43"/>
  <c r="K326" i="43"/>
  <c r="L326" i="43"/>
  <c r="J309" i="43"/>
  <c r="K308" i="43"/>
  <c r="O302" i="43"/>
  <c r="L302" i="43"/>
  <c r="K302" i="43"/>
  <c r="J293" i="43"/>
  <c r="I293" i="43"/>
  <c r="H293" i="43"/>
  <c r="L292" i="43"/>
  <c r="M292" i="43"/>
  <c r="N292" i="43"/>
  <c r="O292" i="43"/>
  <c r="K292" i="43"/>
  <c r="J286" i="43"/>
  <c r="I286" i="43"/>
  <c r="H286" i="43"/>
  <c r="J285" i="43"/>
  <c r="I285" i="43"/>
  <c r="H285" i="43"/>
  <c r="J284" i="43"/>
  <c r="I284" i="43"/>
  <c r="H284" i="43"/>
  <c r="I283" i="43"/>
  <c r="J260" i="43"/>
  <c r="I260" i="43"/>
  <c r="H260" i="43"/>
  <c r="J254" i="43"/>
  <c r="I254" i="43"/>
  <c r="H254" i="43"/>
  <c r="H249" i="43"/>
  <c r="H283" i="43"/>
  <c r="N246" i="43"/>
  <c r="K243" i="43"/>
  <c r="J221" i="43"/>
  <c r="I221" i="43"/>
  <c r="H221" i="43"/>
  <c r="K220" i="43"/>
  <c r="K219" i="43"/>
  <c r="K217" i="43"/>
  <c r="K216" i="43"/>
  <c r="K215" i="43"/>
  <c r="K221" i="43"/>
  <c r="J194" i="43"/>
  <c r="I194" i="43"/>
  <c r="H194" i="43"/>
  <c r="K193" i="43"/>
  <c r="F193" i="43"/>
  <c r="F194" i="43"/>
  <c r="F197" i="43"/>
  <c r="F198" i="43"/>
  <c r="F199" i="43"/>
  <c r="F200" i="43"/>
  <c r="F201" i="43"/>
  <c r="F202" i="43"/>
  <c r="F203" i="43"/>
  <c r="F205" i="43"/>
  <c r="K192" i="43"/>
  <c r="J167" i="43"/>
  <c r="J174" i="43"/>
  <c r="J239" i="43"/>
  <c r="I167" i="43"/>
  <c r="I174" i="43"/>
  <c r="I239" i="43"/>
  <c r="H167" i="43"/>
  <c r="H235" i="43"/>
  <c r="J165" i="43"/>
  <c r="I165" i="43"/>
  <c r="J161" i="43"/>
  <c r="I161" i="43"/>
  <c r="H161" i="43"/>
  <c r="K160" i="43"/>
  <c r="K159" i="43"/>
  <c r="L159" i="43"/>
  <c r="M159" i="43"/>
  <c r="N159" i="43"/>
  <c r="O159" i="43"/>
  <c r="F154" i="43"/>
  <c r="F155" i="43"/>
  <c r="J153" i="43"/>
  <c r="I153" i="43"/>
  <c r="J152" i="43"/>
  <c r="J155" i="43"/>
  <c r="I152" i="43"/>
  <c r="I155" i="43"/>
  <c r="H152" i="43"/>
  <c r="H155" i="43"/>
  <c r="K127" i="43"/>
  <c r="C127" i="43"/>
  <c r="O123" i="43"/>
  <c r="O150" i="43"/>
  <c r="O152" i="43"/>
  <c r="N123" i="43"/>
  <c r="N150" i="43" s="1"/>
  <c r="N152" i="43" s="1"/>
  <c r="M123" i="43"/>
  <c r="M150" i="43"/>
  <c r="M152" i="43" s="1"/>
  <c r="L123" i="43"/>
  <c r="L150" i="43"/>
  <c r="L152" i="43" s="1"/>
  <c r="K123" i="43"/>
  <c r="K150" i="43" s="1"/>
  <c r="K152" i="43" s="1"/>
  <c r="O111" i="43"/>
  <c r="N111" i="43"/>
  <c r="M111" i="43"/>
  <c r="L111" i="43"/>
  <c r="C109" i="43"/>
  <c r="C115" i="43"/>
  <c r="C133" i="43"/>
  <c r="C108" i="43"/>
  <c r="C107" i="43"/>
  <c r="O139" i="43"/>
  <c r="O603" i="43" s="1"/>
  <c r="O105" i="43"/>
  <c r="O153" i="43" s="1"/>
  <c r="O188" i="43" s="1"/>
  <c r="N105" i="43"/>
  <c r="M105" i="43"/>
  <c r="L105" i="43"/>
  <c r="K105" i="43"/>
  <c r="K153" i="43" s="1"/>
  <c r="K154" i="43" s="1"/>
  <c r="L154" i="43" s="1"/>
  <c r="E103" i="43"/>
  <c r="M127" i="43"/>
  <c r="C103" i="43"/>
  <c r="E102" i="43"/>
  <c r="O126" i="43"/>
  <c r="C102" i="43"/>
  <c r="L97" i="43"/>
  <c r="L647" i="43"/>
  <c r="L675" i="43"/>
  <c r="K97" i="43"/>
  <c r="K647" i="43"/>
  <c r="K675" i="43"/>
  <c r="B92" i="43"/>
  <c r="B140" i="43"/>
  <c r="L70" i="43"/>
  <c r="O246" i="43"/>
  <c r="K70" i="43"/>
  <c r="J70" i="43"/>
  <c r="M246" i="43"/>
  <c r="I70" i="43"/>
  <c r="L246" i="43"/>
  <c r="H70" i="43"/>
  <c r="K246" i="43"/>
  <c r="I60" i="43"/>
  <c r="H60" i="43"/>
  <c r="J57" i="43"/>
  <c r="J60" i="43"/>
  <c r="H56" i="43"/>
  <c r="H66" i="43"/>
  <c r="B46" i="43"/>
  <c r="K30" i="43"/>
  <c r="K27" i="43"/>
  <c r="K26" i="43"/>
  <c r="O22" i="43"/>
  <c r="O23" i="43"/>
  <c r="K22" i="43"/>
  <c r="K23" i="43"/>
  <c r="O21" i="43"/>
  <c r="E21" i="43"/>
  <c r="N17" i="43"/>
  <c r="O17" i="43"/>
  <c r="P17" i="43"/>
  <c r="Q17" i="43"/>
  <c r="R17" i="43"/>
  <c r="K13" i="43"/>
  <c r="C544" i="43"/>
  <c r="D580" i="43"/>
  <c r="D592" i="43"/>
  <c r="K12" i="43"/>
  <c r="C536" i="43"/>
  <c r="K11" i="43"/>
  <c r="C522" i="43"/>
  <c r="D590" i="43"/>
  <c r="O9" i="43"/>
  <c r="O8" i="43"/>
  <c r="L549" i="41"/>
  <c r="M549" i="41"/>
  <c r="N549" i="41"/>
  <c r="O549" i="41"/>
  <c r="K549" i="41"/>
  <c r="K343" i="41"/>
  <c r="L343" i="41"/>
  <c r="M343" i="41"/>
  <c r="N343" i="41"/>
  <c r="O343" i="41"/>
  <c r="L291" i="41"/>
  <c r="K291" i="41"/>
  <c r="K218" i="41"/>
  <c r="K215" i="41"/>
  <c r="O129" i="41"/>
  <c r="O165" i="41"/>
  <c r="N129" i="41"/>
  <c r="N165" i="41"/>
  <c r="M129" i="41"/>
  <c r="M165" i="41"/>
  <c r="L129" i="41"/>
  <c r="L165" i="41"/>
  <c r="K129" i="41"/>
  <c r="K165" i="41"/>
  <c r="O111" i="41"/>
  <c r="O147" i="41"/>
  <c r="N111" i="41"/>
  <c r="N147" i="41"/>
  <c r="M111" i="41"/>
  <c r="M147" i="41"/>
  <c r="L111" i="41"/>
  <c r="L147" i="41"/>
  <c r="K111" i="41"/>
  <c r="K147" i="41"/>
  <c r="K697" i="41"/>
  <c r="K692" i="41"/>
  <c r="L692" i="41"/>
  <c r="M692" i="41"/>
  <c r="N692" i="41"/>
  <c r="O692" i="41"/>
  <c r="K687" i="41"/>
  <c r="L687" i="41"/>
  <c r="M687" i="41"/>
  <c r="N687" i="41"/>
  <c r="O687" i="41"/>
  <c r="K682" i="41"/>
  <c r="L682" i="41"/>
  <c r="M682" i="41"/>
  <c r="N682" i="41"/>
  <c r="O682" i="41"/>
  <c r="K677" i="41"/>
  <c r="L677" i="41"/>
  <c r="M677" i="41"/>
  <c r="N677" i="41"/>
  <c r="O677" i="41"/>
  <c r="J635" i="41"/>
  <c r="K632" i="41"/>
  <c r="O634" i="41"/>
  <c r="N634" i="41"/>
  <c r="M634" i="41"/>
  <c r="L634" i="41"/>
  <c r="K634" i="41"/>
  <c r="J630" i="41"/>
  <c r="K630" i="41"/>
  <c r="K629" i="41"/>
  <c r="L629" i="41"/>
  <c r="M629" i="41"/>
  <c r="N629" i="41"/>
  <c r="O629" i="41"/>
  <c r="J625" i="41"/>
  <c r="K622" i="41"/>
  <c r="K616" i="41"/>
  <c r="L616" i="41"/>
  <c r="M616" i="41"/>
  <c r="N616" i="41"/>
  <c r="O616" i="41"/>
  <c r="J614" i="41"/>
  <c r="K612" i="41"/>
  <c r="K614" i="41"/>
  <c r="O613" i="41"/>
  <c r="N613" i="41"/>
  <c r="M613" i="41"/>
  <c r="L613" i="41"/>
  <c r="K613" i="41"/>
  <c r="O598" i="41"/>
  <c r="O337" i="41"/>
  <c r="K560" i="41"/>
  <c r="J558" i="41"/>
  <c r="J593" i="41"/>
  <c r="H557" i="41"/>
  <c r="H556" i="41"/>
  <c r="H555" i="41"/>
  <c r="H554" i="41"/>
  <c r="K553" i="41"/>
  <c r="J547" i="41"/>
  <c r="K545" i="41"/>
  <c r="H545" i="41"/>
  <c r="K541" i="41"/>
  <c r="L541" i="41"/>
  <c r="M541" i="41"/>
  <c r="J539" i="41"/>
  <c r="H537" i="41"/>
  <c r="K530" i="41"/>
  <c r="L530" i="41"/>
  <c r="M530" i="41"/>
  <c r="N530" i="41"/>
  <c r="O530" i="41"/>
  <c r="H529" i="41"/>
  <c r="J526" i="41"/>
  <c r="J590" i="41"/>
  <c r="H526" i="41"/>
  <c r="K523" i="41"/>
  <c r="H523" i="41"/>
  <c r="M518" i="41"/>
  <c r="M571" i="41"/>
  <c r="J502" i="41"/>
  <c r="H501" i="41"/>
  <c r="O501" i="41"/>
  <c r="O298" i="41"/>
  <c r="O498" i="41"/>
  <c r="N498" i="41"/>
  <c r="M498" i="41"/>
  <c r="L498" i="41"/>
  <c r="K498" i="41"/>
  <c r="K501" i="41"/>
  <c r="K298" i="41"/>
  <c r="J491" i="41"/>
  <c r="K489" i="41"/>
  <c r="K480" i="41"/>
  <c r="L479" i="41"/>
  <c r="M479" i="41"/>
  <c r="N479" i="41"/>
  <c r="O479" i="41"/>
  <c r="K479" i="41"/>
  <c r="D476" i="41"/>
  <c r="O475" i="41"/>
  <c r="N475" i="41"/>
  <c r="N476" i="41"/>
  <c r="M475" i="41"/>
  <c r="M476" i="41"/>
  <c r="L475" i="41"/>
  <c r="K475" i="41"/>
  <c r="K476" i="41"/>
  <c r="J473" i="41"/>
  <c r="K471" i="41"/>
  <c r="O467" i="41"/>
  <c r="O518" i="41"/>
  <c r="O571" i="41"/>
  <c r="N467" i="41"/>
  <c r="N518" i="41"/>
  <c r="N571" i="41"/>
  <c r="M467" i="41"/>
  <c r="L467" i="41"/>
  <c r="L518" i="41"/>
  <c r="L571" i="41"/>
  <c r="K467" i="41"/>
  <c r="K518" i="41"/>
  <c r="K571" i="41"/>
  <c r="J452" i="41"/>
  <c r="J451" i="41"/>
  <c r="J450" i="41"/>
  <c r="J453" i="41"/>
  <c r="O447" i="41"/>
  <c r="N447" i="41"/>
  <c r="M447" i="41"/>
  <c r="L447" i="41"/>
  <c r="K447" i="41"/>
  <c r="O446" i="41"/>
  <c r="N446" i="41"/>
  <c r="M446" i="41"/>
  <c r="L446" i="41"/>
  <c r="K446" i="41"/>
  <c r="O445" i="41"/>
  <c r="N445" i="41"/>
  <c r="M445" i="41"/>
  <c r="L445" i="41"/>
  <c r="K445" i="41"/>
  <c r="K421" i="41"/>
  <c r="F419" i="41"/>
  <c r="D414" i="41"/>
  <c r="D411" i="41"/>
  <c r="K402" i="41"/>
  <c r="K398" i="41"/>
  <c r="E389" i="41"/>
  <c r="J378" i="41"/>
  <c r="J249" i="41"/>
  <c r="J283" i="41"/>
  <c r="I378" i="41"/>
  <c r="H378" i="41"/>
  <c r="F367" i="41"/>
  <c r="F366" i="41"/>
  <c r="K369" i="41"/>
  <c r="L369" i="41"/>
  <c r="M369" i="41"/>
  <c r="N369" i="41"/>
  <c r="O369" i="41"/>
  <c r="J350" i="41"/>
  <c r="J344" i="41"/>
  <c r="J339" i="41"/>
  <c r="L338" i="41"/>
  <c r="M338" i="41"/>
  <c r="N338" i="41"/>
  <c r="O338" i="41"/>
  <c r="K338" i="41"/>
  <c r="K330" i="41"/>
  <c r="L330" i="41"/>
  <c r="M330" i="41"/>
  <c r="N330" i="41"/>
  <c r="O330" i="41"/>
  <c r="J327" i="41"/>
  <c r="J331" i="41"/>
  <c r="K326" i="41"/>
  <c r="L326" i="41"/>
  <c r="M326" i="41"/>
  <c r="N326" i="41"/>
  <c r="O326" i="41"/>
  <c r="J309" i="41"/>
  <c r="K308" i="41"/>
  <c r="O302" i="41"/>
  <c r="N302" i="41"/>
  <c r="M302" i="41"/>
  <c r="L302" i="41"/>
  <c r="K302" i="41"/>
  <c r="J293" i="41"/>
  <c r="I293" i="41"/>
  <c r="H293" i="41"/>
  <c r="K292" i="41"/>
  <c r="L292" i="41"/>
  <c r="M292" i="41"/>
  <c r="N292" i="41"/>
  <c r="O292" i="41"/>
  <c r="J286" i="41"/>
  <c r="I286" i="41"/>
  <c r="H286" i="41"/>
  <c r="J285" i="41"/>
  <c r="I285" i="41"/>
  <c r="H285" i="41"/>
  <c r="J284" i="41"/>
  <c r="I284" i="41"/>
  <c r="H284" i="41"/>
  <c r="J260" i="41"/>
  <c r="I260" i="41"/>
  <c r="H260" i="41"/>
  <c r="J254" i="41"/>
  <c r="I254" i="41"/>
  <c r="H254" i="41"/>
  <c r="I249" i="41"/>
  <c r="I283" i="41"/>
  <c r="H249" i="41"/>
  <c r="H283" i="41"/>
  <c r="K243" i="41"/>
  <c r="J221" i="41"/>
  <c r="I221" i="41"/>
  <c r="H221" i="41"/>
  <c r="K220" i="41"/>
  <c r="K219" i="41"/>
  <c r="K217" i="41"/>
  <c r="K216" i="41"/>
  <c r="J194" i="41"/>
  <c r="I194" i="41"/>
  <c r="H194" i="41"/>
  <c r="F194" i="41"/>
  <c r="F197" i="41"/>
  <c r="F198" i="41"/>
  <c r="F199" i="41"/>
  <c r="F200" i="41"/>
  <c r="F201" i="41"/>
  <c r="F202" i="41"/>
  <c r="F203" i="41"/>
  <c r="F205" i="41"/>
  <c r="K193" i="41"/>
  <c r="K194" i="41"/>
  <c r="F193" i="41"/>
  <c r="K192" i="41"/>
  <c r="I174" i="41"/>
  <c r="I239" i="41"/>
  <c r="J167" i="41"/>
  <c r="J173" i="41"/>
  <c r="I167" i="41"/>
  <c r="H167" i="41"/>
  <c r="H235" i="41"/>
  <c r="J165" i="41"/>
  <c r="I165" i="41"/>
  <c r="L161" i="41"/>
  <c r="J161" i="41"/>
  <c r="I161" i="41"/>
  <c r="I169" i="41"/>
  <c r="H161" i="41"/>
  <c r="M160" i="41"/>
  <c r="N160" i="41"/>
  <c r="L160" i="41"/>
  <c r="K160" i="41"/>
  <c r="K159" i="41"/>
  <c r="L159" i="41"/>
  <c r="M159" i="41"/>
  <c r="N159" i="41"/>
  <c r="O159" i="41"/>
  <c r="H155" i="41"/>
  <c r="F154" i="41"/>
  <c r="F155" i="41"/>
  <c r="J153" i="41"/>
  <c r="I153" i="41"/>
  <c r="J152" i="41"/>
  <c r="J155" i="41"/>
  <c r="I152" i="41"/>
  <c r="I155" i="41"/>
  <c r="H152" i="41"/>
  <c r="O139" i="41"/>
  <c r="O227" i="41"/>
  <c r="C131" i="41"/>
  <c r="L127" i="41"/>
  <c r="O123" i="41"/>
  <c r="O150" i="41"/>
  <c r="N123" i="41"/>
  <c r="N150" i="41"/>
  <c r="M123" i="41"/>
  <c r="M150" i="41"/>
  <c r="L123" i="41"/>
  <c r="L150" i="41"/>
  <c r="K123" i="41"/>
  <c r="K150" i="41"/>
  <c r="C109" i="41"/>
  <c r="C108" i="41"/>
  <c r="C114" i="41"/>
  <c r="C132" i="41"/>
  <c r="C107" i="41"/>
  <c r="C113" i="41"/>
  <c r="C125" i="41"/>
  <c r="O105" i="41"/>
  <c r="O153" i="41"/>
  <c r="O188" i="41"/>
  <c r="N105" i="41"/>
  <c r="N153" i="41"/>
  <c r="N188" i="41"/>
  <c r="M105" i="41"/>
  <c r="L105" i="41"/>
  <c r="K105" i="41"/>
  <c r="K153" i="41"/>
  <c r="K154" i="41"/>
  <c r="E103" i="41"/>
  <c r="N127" i="41"/>
  <c r="C103" i="41"/>
  <c r="E102" i="41"/>
  <c r="M126" i="41"/>
  <c r="K97" i="41"/>
  <c r="K647" i="41"/>
  <c r="K675" i="41"/>
  <c r="B92" i="41"/>
  <c r="C642" i="41"/>
  <c r="C670" i="41"/>
  <c r="L70" i="41"/>
  <c r="O246" i="41"/>
  <c r="K70" i="41"/>
  <c r="N246" i="41"/>
  <c r="J70" i="41"/>
  <c r="M246" i="41"/>
  <c r="I70" i="41"/>
  <c r="L246" i="41"/>
  <c r="H70" i="41"/>
  <c r="K246" i="41"/>
  <c r="H66" i="41"/>
  <c r="I66" i="41"/>
  <c r="J66" i="41"/>
  <c r="K66" i="41"/>
  <c r="L66" i="41"/>
  <c r="I60" i="41"/>
  <c r="H60" i="41"/>
  <c r="H56" i="41"/>
  <c r="I56" i="41"/>
  <c r="J56" i="41"/>
  <c r="K56" i="41"/>
  <c r="L56" i="41"/>
  <c r="E14" i="41"/>
  <c r="B46" i="41"/>
  <c r="K30" i="41"/>
  <c r="K27" i="41"/>
  <c r="K26" i="41"/>
  <c r="O23" i="41"/>
  <c r="K22" i="41"/>
  <c r="K23" i="41"/>
  <c r="O21" i="41"/>
  <c r="O22" i="41"/>
  <c r="E21" i="41"/>
  <c r="N17" i="41"/>
  <c r="O17" i="41"/>
  <c r="P17" i="41"/>
  <c r="Q17" i="41"/>
  <c r="R17" i="41"/>
  <c r="K13" i="41"/>
  <c r="C544" i="41"/>
  <c r="K12" i="41"/>
  <c r="C536" i="41"/>
  <c r="D556" i="41"/>
  <c r="K11" i="41"/>
  <c r="C522" i="41"/>
  <c r="D590" i="41"/>
  <c r="O9" i="41"/>
  <c r="O8" i="41"/>
  <c r="K633" i="41"/>
  <c r="L630" i="41"/>
  <c r="D51" i="41"/>
  <c r="L612" i="41"/>
  <c r="L614" i="41"/>
  <c r="K348" i="41"/>
  <c r="J352" i="41"/>
  <c r="J354" i="41"/>
  <c r="K635" i="41"/>
  <c r="J346" i="41"/>
  <c r="L127" i="43"/>
  <c r="H187" i="43"/>
  <c r="H199" i="43"/>
  <c r="O554" i="43"/>
  <c r="J169" i="41"/>
  <c r="K164" i="41"/>
  <c r="L164" i="41"/>
  <c r="M164" i="41"/>
  <c r="N164" i="41"/>
  <c r="O164" i="41"/>
  <c r="J174" i="41"/>
  <c r="J239" i="41"/>
  <c r="J235" i="41"/>
  <c r="L501" i="41"/>
  <c r="L298" i="41"/>
  <c r="C126" i="43"/>
  <c r="N127" i="43"/>
  <c r="I187" i="43"/>
  <c r="O476" i="43"/>
  <c r="K126" i="41"/>
  <c r="J187" i="41"/>
  <c r="J201" i="41"/>
  <c r="L633" i="41"/>
  <c r="M501" i="41"/>
  <c r="M298" i="41"/>
  <c r="O127" i="43"/>
  <c r="C127" i="41"/>
  <c r="L126" i="41"/>
  <c r="N501" i="41"/>
  <c r="N298" i="41"/>
  <c r="C115" i="41"/>
  <c r="C133" i="41"/>
  <c r="N126" i="41"/>
  <c r="I235" i="43"/>
  <c r="K523" i="43"/>
  <c r="O126" i="41"/>
  <c r="L126" i="43"/>
  <c r="K476" i="43"/>
  <c r="K500" i="43"/>
  <c r="B565" i="43"/>
  <c r="B512" i="43"/>
  <c r="B359" i="43"/>
  <c r="B461" i="43"/>
  <c r="B604" i="43"/>
  <c r="B431" i="43"/>
  <c r="B384" i="43"/>
  <c r="B315" i="43"/>
  <c r="B228" i="43"/>
  <c r="B180" i="43"/>
  <c r="B275" i="43"/>
  <c r="I66" i="43"/>
  <c r="J66" i="43"/>
  <c r="K66" i="43"/>
  <c r="L66" i="43"/>
  <c r="H76" i="43"/>
  <c r="K518" i="43"/>
  <c r="O518" i="43"/>
  <c r="D476" i="43"/>
  <c r="C642" i="43"/>
  <c r="C670" i="43"/>
  <c r="C113" i="43"/>
  <c r="K161" i="43"/>
  <c r="H197" i="43"/>
  <c r="J235" i="43"/>
  <c r="D579" i="43"/>
  <c r="D591" i="43"/>
  <c r="D556" i="43"/>
  <c r="I56" i="43"/>
  <c r="L655" i="43"/>
  <c r="L422" i="43"/>
  <c r="L423" i="43" s="1"/>
  <c r="L293" i="43"/>
  <c r="L484" i="43"/>
  <c r="C114" i="43"/>
  <c r="C132" i="43"/>
  <c r="N126" i="43"/>
  <c r="M153" i="43"/>
  <c r="M188" i="43" s="1"/>
  <c r="L160" i="43"/>
  <c r="K164" i="43"/>
  <c r="L164" i="43"/>
  <c r="M164" i="43"/>
  <c r="N164" i="43"/>
  <c r="O164" i="43"/>
  <c r="H169" i="43"/>
  <c r="H173" i="43"/>
  <c r="H174" i="43"/>
  <c r="H239" i="43"/>
  <c r="J187" i="43"/>
  <c r="H198" i="43"/>
  <c r="H202" i="43"/>
  <c r="K489" i="43"/>
  <c r="J597" i="43"/>
  <c r="K633" i="43"/>
  <c r="L630" i="43"/>
  <c r="M630" i="43"/>
  <c r="N630" i="43"/>
  <c r="J169" i="43"/>
  <c r="J173" i="43"/>
  <c r="H200" i="43"/>
  <c r="K655" i="43"/>
  <c r="K422" i="43"/>
  <c r="K423" i="43" s="1"/>
  <c r="K424" i="43" s="1"/>
  <c r="K425" i="43" s="1"/>
  <c r="K293" i="43"/>
  <c r="K484" i="43" s="1"/>
  <c r="M97" i="43"/>
  <c r="M126" i="43"/>
  <c r="L153" i="43"/>
  <c r="L188" i="43" s="1"/>
  <c r="L217" i="43" s="1"/>
  <c r="H210" i="43"/>
  <c r="K126" i="43"/>
  <c r="K145" i="43"/>
  <c r="I169" i="43"/>
  <c r="I173" i="43"/>
  <c r="K194" i="43"/>
  <c r="I198" i="43"/>
  <c r="H201" i="43"/>
  <c r="H211" i="43"/>
  <c r="D557" i="43"/>
  <c r="J352" i="43"/>
  <c r="J354" i="43"/>
  <c r="M302" i="43"/>
  <c r="L612" i="43"/>
  <c r="L614" i="43"/>
  <c r="K348" i="43"/>
  <c r="N518" i="43"/>
  <c r="N476" i="43"/>
  <c r="L554" i="43"/>
  <c r="K502" i="43"/>
  <c r="K589" i="43" s="1"/>
  <c r="N541" i="43"/>
  <c r="J593" i="43"/>
  <c r="K553" i="43"/>
  <c r="J591" i="43"/>
  <c r="J594" i="43"/>
  <c r="K537" i="43"/>
  <c r="J592" i="43"/>
  <c r="K545" i="43"/>
  <c r="D414" i="43"/>
  <c r="L518" i="43"/>
  <c r="K635" i="43"/>
  <c r="N554" i="43"/>
  <c r="K554" i="43"/>
  <c r="L560" i="43"/>
  <c r="L697" i="43"/>
  <c r="L152" i="41"/>
  <c r="N152" i="41"/>
  <c r="K152" i="41"/>
  <c r="O152" i="41"/>
  <c r="K166" i="41"/>
  <c r="K167" i="41"/>
  <c r="O358" i="41"/>
  <c r="O669" i="41"/>
  <c r="M152" i="41"/>
  <c r="O160" i="41"/>
  <c r="O161" i="41"/>
  <c r="N161" i="41"/>
  <c r="K155" i="41"/>
  <c r="J175" i="41"/>
  <c r="J240" i="41"/>
  <c r="J238" i="41"/>
  <c r="L554" i="41"/>
  <c r="J200" i="41"/>
  <c r="D580" i="41"/>
  <c r="D592" i="41"/>
  <c r="D557" i="41"/>
  <c r="D579" i="41"/>
  <c r="D591" i="41"/>
  <c r="J57" i="41"/>
  <c r="H76" i="41"/>
  <c r="C126" i="41"/>
  <c r="M161" i="41"/>
  <c r="J199" i="41"/>
  <c r="J202" i="41"/>
  <c r="O127" i="41"/>
  <c r="K127" i="41"/>
  <c r="M127" i="41"/>
  <c r="H173" i="41"/>
  <c r="J591" i="41"/>
  <c r="K537" i="41"/>
  <c r="L655" i="41"/>
  <c r="L422" i="41"/>
  <c r="L423" i="41"/>
  <c r="L293" i="41"/>
  <c r="L484" i="41"/>
  <c r="C102" i="41"/>
  <c r="O641" i="41"/>
  <c r="O603" i="41"/>
  <c r="O564" i="41"/>
  <c r="O383" i="41"/>
  <c r="O511" i="41"/>
  <c r="O430" i="41"/>
  <c r="O314" i="41"/>
  <c r="O274" i="41"/>
  <c r="O460" i="41"/>
  <c r="K145" i="41"/>
  <c r="I235" i="41"/>
  <c r="I187" i="41"/>
  <c r="I173" i="41"/>
  <c r="J198" i="41"/>
  <c r="L97" i="41"/>
  <c r="B140" i="41"/>
  <c r="M153" i="41"/>
  <c r="M188" i="41"/>
  <c r="H169" i="41"/>
  <c r="H174" i="41"/>
  <c r="H239" i="41"/>
  <c r="O179" i="41"/>
  <c r="H187" i="41"/>
  <c r="J197" i="41"/>
  <c r="J210" i="41"/>
  <c r="J211" i="41"/>
  <c r="K221" i="41"/>
  <c r="K655" i="41"/>
  <c r="K422" i="41"/>
  <c r="K293" i="41"/>
  <c r="K484" i="41"/>
  <c r="N541" i="41"/>
  <c r="J597" i="41"/>
  <c r="O476" i="41"/>
  <c r="J589" i="41"/>
  <c r="K500" i="41"/>
  <c r="L560" i="41"/>
  <c r="K637" i="41"/>
  <c r="K264" i="41"/>
  <c r="L632" i="41"/>
  <c r="L635" i="41"/>
  <c r="L153" i="41"/>
  <c r="L188" i="41"/>
  <c r="L215" i="41"/>
  <c r="K161" i="41"/>
  <c r="L476" i="41"/>
  <c r="L697" i="41"/>
  <c r="J592" i="41"/>
  <c r="O554" i="41"/>
  <c r="M630" i="41"/>
  <c r="I202" i="43"/>
  <c r="I211" i="43"/>
  <c r="I201" i="43"/>
  <c r="M215" i="41"/>
  <c r="N215" i="41"/>
  <c r="O215" i="41"/>
  <c r="I200" i="43"/>
  <c r="I210" i="43"/>
  <c r="I212" i="43"/>
  <c r="I223" i="43"/>
  <c r="I242" i="43"/>
  <c r="I244" i="43"/>
  <c r="L348" i="41"/>
  <c r="M612" i="41"/>
  <c r="M614" i="41"/>
  <c r="L166" i="41"/>
  <c r="I199" i="43"/>
  <c r="I197" i="43"/>
  <c r="J212" i="41"/>
  <c r="J223" i="41"/>
  <c r="J242" i="41"/>
  <c r="H212" i="43"/>
  <c r="H223" i="43"/>
  <c r="H242" i="43"/>
  <c r="H244" i="43"/>
  <c r="K637" i="43"/>
  <c r="K264" i="43"/>
  <c r="L632" i="43"/>
  <c r="L635" i="43"/>
  <c r="I175" i="43"/>
  <c r="I240" i="43"/>
  <c r="I238" i="43"/>
  <c r="L633" i="43"/>
  <c r="L348" i="43"/>
  <c r="M612" i="43"/>
  <c r="M614" i="43"/>
  <c r="J238" i="43"/>
  <c r="J175" i="43"/>
  <c r="J240" i="43"/>
  <c r="J201" i="43"/>
  <c r="J210" i="43"/>
  <c r="J202" i="43"/>
  <c r="J199" i="43"/>
  <c r="J197" i="43"/>
  <c r="J203" i="43"/>
  <c r="J205" i="43"/>
  <c r="J211" i="43"/>
  <c r="J212" i="43"/>
  <c r="J223" i="43"/>
  <c r="J242" i="43"/>
  <c r="J198" i="43"/>
  <c r="J200" i="43"/>
  <c r="J56" i="43"/>
  <c r="K56" i="43"/>
  <c r="L56" i="43"/>
  <c r="E14" i="43"/>
  <c r="D51" i="43"/>
  <c r="H203" i="43"/>
  <c r="H205" i="43"/>
  <c r="M560" i="43"/>
  <c r="L500" i="43"/>
  <c r="L502" i="43" s="1"/>
  <c r="M647" i="43"/>
  <c r="M675" i="43"/>
  <c r="N97" i="43"/>
  <c r="M160" i="43"/>
  <c r="L161" i="43"/>
  <c r="I76" i="43"/>
  <c r="J76" i="43"/>
  <c r="K76" i="43"/>
  <c r="L76" i="43"/>
  <c r="H85" i="43"/>
  <c r="I85" i="43"/>
  <c r="J85" i="43"/>
  <c r="K85" i="43"/>
  <c r="L85" i="43"/>
  <c r="M697" i="43"/>
  <c r="N633" i="43"/>
  <c r="O630" i="43"/>
  <c r="O633" i="43"/>
  <c r="O541" i="43"/>
  <c r="M633" i="43"/>
  <c r="K569" i="43"/>
  <c r="K516" i="43"/>
  <c r="K436" i="43"/>
  <c r="K389" i="43"/>
  <c r="K364" i="43"/>
  <c r="K320" i="43"/>
  <c r="K609" i="43"/>
  <c r="K233" i="43"/>
  <c r="K280" i="43"/>
  <c r="K185" i="43"/>
  <c r="K465" i="43"/>
  <c r="J145" i="43"/>
  <c r="L145" i="43"/>
  <c r="K419" i="43"/>
  <c r="I203" i="43"/>
  <c r="I205" i="43"/>
  <c r="H175" i="43"/>
  <c r="H240" i="43"/>
  <c r="H247" i="43"/>
  <c r="H238" i="43"/>
  <c r="C131" i="43"/>
  <c r="C125" i="43"/>
  <c r="L193" i="41"/>
  <c r="L243" i="41"/>
  <c r="M243" i="41"/>
  <c r="N243" i="41"/>
  <c r="O243" i="41"/>
  <c r="L218" i="41"/>
  <c r="M218" i="41"/>
  <c r="L217" i="41"/>
  <c r="M217" i="41"/>
  <c r="J442" i="41"/>
  <c r="J244" i="41"/>
  <c r="M697" i="41"/>
  <c r="K502" i="41"/>
  <c r="B565" i="41"/>
  <c r="B512" i="41"/>
  <c r="B431" i="41"/>
  <c r="B461" i="41"/>
  <c r="B604" i="41"/>
  <c r="B359" i="41"/>
  <c r="B228" i="41"/>
  <c r="B315" i="41"/>
  <c r="B180" i="41"/>
  <c r="B384" i="41"/>
  <c r="B275" i="41"/>
  <c r="H238" i="41"/>
  <c r="H175" i="41"/>
  <c r="H240" i="41"/>
  <c r="J441" i="41"/>
  <c r="J247" i="41"/>
  <c r="M554" i="41"/>
  <c r="N630" i="41"/>
  <c r="M633" i="41"/>
  <c r="L220" i="41"/>
  <c r="L216" i="41"/>
  <c r="J594" i="41"/>
  <c r="O541" i="41"/>
  <c r="L219" i="41"/>
  <c r="J203" i="41"/>
  <c r="J205" i="41"/>
  <c r="K465" i="41"/>
  <c r="K419" i="41"/>
  <c r="K609" i="41"/>
  <c r="K436" i="41"/>
  <c r="K569" i="41"/>
  <c r="K389" i="41"/>
  <c r="K516" i="41"/>
  <c r="K320" i="41"/>
  <c r="K364" i="41"/>
  <c r="K185" i="41"/>
  <c r="L145" i="41"/>
  <c r="K233" i="41"/>
  <c r="J145" i="41"/>
  <c r="K280" i="41"/>
  <c r="M166" i="41"/>
  <c r="L167" i="41"/>
  <c r="H85" i="41"/>
  <c r="I85" i="41"/>
  <c r="J85" i="41"/>
  <c r="K85" i="41"/>
  <c r="L85" i="41"/>
  <c r="I76" i="41"/>
  <c r="J76" i="41"/>
  <c r="K76" i="41"/>
  <c r="L76" i="41"/>
  <c r="I211" i="41"/>
  <c r="I210" i="41"/>
  <c r="I200" i="41"/>
  <c r="I201" i="41"/>
  <c r="I199" i="41"/>
  <c r="I202" i="41"/>
  <c r="I197" i="41"/>
  <c r="I198" i="41"/>
  <c r="K174" i="41"/>
  <c r="K239" i="41"/>
  <c r="K173" i="41"/>
  <c r="K169" i="41"/>
  <c r="K187" i="41"/>
  <c r="K235" i="41"/>
  <c r="M560" i="41"/>
  <c r="L647" i="41"/>
  <c r="L675" i="41"/>
  <c r="M97" i="41"/>
  <c r="M193" i="41"/>
  <c r="K554" i="41"/>
  <c r="L637" i="41"/>
  <c r="L264" i="41"/>
  <c r="M632" i="41"/>
  <c r="M635" i="41"/>
  <c r="N554" i="41"/>
  <c r="K423" i="41"/>
  <c r="K424" i="41"/>
  <c r="K425" i="41"/>
  <c r="K394" i="41"/>
  <c r="H201" i="41"/>
  <c r="H197" i="41"/>
  <c r="H211" i="41"/>
  <c r="H200" i="41"/>
  <c r="H210" i="41"/>
  <c r="H199" i="41"/>
  <c r="H202" i="41"/>
  <c r="H198" i="41"/>
  <c r="I238" i="41"/>
  <c r="I175" i="41"/>
  <c r="I240" i="41"/>
  <c r="L192" i="41"/>
  <c r="L194" i="41"/>
  <c r="J60" i="41"/>
  <c r="M291" i="41"/>
  <c r="K57" i="41"/>
  <c r="L154" i="41"/>
  <c r="I212" i="41"/>
  <c r="I223" i="41"/>
  <c r="I242" i="41"/>
  <c r="I244" i="41"/>
  <c r="K546" i="41"/>
  <c r="K538" i="41"/>
  <c r="M348" i="41"/>
  <c r="N612" i="41"/>
  <c r="N614" i="41"/>
  <c r="I247" i="43"/>
  <c r="K524" i="43"/>
  <c r="H268" i="43"/>
  <c r="H250" i="43"/>
  <c r="L609" i="43"/>
  <c r="L569" i="43"/>
  <c r="L516" i="43"/>
  <c r="L320" i="43"/>
  <c r="L465" i="43"/>
  <c r="L364" i="43"/>
  <c r="L280" i="43"/>
  <c r="M145" i="43"/>
  <c r="L436" i="43"/>
  <c r="L438" i="43"/>
  <c r="L389" i="43"/>
  <c r="L185" i="43"/>
  <c r="L419" i="43"/>
  <c r="L233" i="43"/>
  <c r="D372" i="43"/>
  <c r="N647" i="43"/>
  <c r="N675" i="43"/>
  <c r="O97" i="43"/>
  <c r="O647" i="43"/>
  <c r="O675" i="43"/>
  <c r="N560" i="43"/>
  <c r="J441" i="43"/>
  <c r="N612" i="43"/>
  <c r="N614" i="43"/>
  <c r="M348" i="43"/>
  <c r="N697" i="43"/>
  <c r="M161" i="43"/>
  <c r="N160" i="43"/>
  <c r="L637" i="43"/>
  <c r="L264" i="43"/>
  <c r="M632" i="43"/>
  <c r="M635" i="43"/>
  <c r="J609" i="43"/>
  <c r="J569" i="43"/>
  <c r="J465" i="43"/>
  <c r="J436" i="43"/>
  <c r="K438" i="43"/>
  <c r="J364" i="43"/>
  <c r="J320" i="43"/>
  <c r="J516" i="43"/>
  <c r="I145" i="43"/>
  <c r="J280" i="43"/>
  <c r="J185" i="43"/>
  <c r="J233" i="43"/>
  <c r="J244" i="43"/>
  <c r="J247" i="43"/>
  <c r="J442" i="43"/>
  <c r="I250" i="43"/>
  <c r="I268" i="43"/>
  <c r="L221" i="41"/>
  <c r="M647" i="41"/>
  <c r="M675" i="41"/>
  <c r="N97" i="41"/>
  <c r="K202" i="41"/>
  <c r="K198" i="41"/>
  <c r="K201" i="41"/>
  <c r="K199" i="41"/>
  <c r="K197" i="41"/>
  <c r="K211" i="41"/>
  <c r="K200" i="41"/>
  <c r="K210" i="41"/>
  <c r="N166" i="41"/>
  <c r="M167" i="41"/>
  <c r="N697" i="41"/>
  <c r="N217" i="41"/>
  <c r="L609" i="41"/>
  <c r="L569" i="41"/>
  <c r="L436" i="41"/>
  <c r="L438" i="41"/>
  <c r="L389" i="41"/>
  <c r="L364" i="41"/>
  <c r="L516" i="41"/>
  <c r="L320" i="41"/>
  <c r="M145" i="41"/>
  <c r="L419" i="41"/>
  <c r="L233" i="41"/>
  <c r="L465" i="41"/>
  <c r="L280" i="41"/>
  <c r="L185" i="41"/>
  <c r="K524" i="41"/>
  <c r="M219" i="41"/>
  <c r="K60" i="41"/>
  <c r="N291" i="41"/>
  <c r="L57" i="41"/>
  <c r="L60" i="41"/>
  <c r="O291" i="41"/>
  <c r="M192" i="41"/>
  <c r="M194" i="41"/>
  <c r="H212" i="41"/>
  <c r="H223" i="41"/>
  <c r="H242" i="41"/>
  <c r="H244" i="41"/>
  <c r="H247" i="41"/>
  <c r="K426" i="41"/>
  <c r="L421" i="41"/>
  <c r="M637" i="41"/>
  <c r="M264" i="41"/>
  <c r="N632" i="41"/>
  <c r="N193" i="41"/>
  <c r="K175" i="41"/>
  <c r="K240" i="41"/>
  <c r="K238" i="41"/>
  <c r="I203" i="41"/>
  <c r="I205" i="41"/>
  <c r="M220" i="41"/>
  <c r="N218" i="41"/>
  <c r="K589" i="41"/>
  <c r="L500" i="41"/>
  <c r="L502" i="41"/>
  <c r="M154" i="41"/>
  <c r="L155" i="41"/>
  <c r="N633" i="41"/>
  <c r="O630" i="41"/>
  <c r="O633" i="41"/>
  <c r="M216" i="41"/>
  <c r="M221" i="41"/>
  <c r="M655" i="41"/>
  <c r="M422" i="41"/>
  <c r="M423" i="41"/>
  <c r="M293" i="41"/>
  <c r="M484" i="41"/>
  <c r="I247" i="41"/>
  <c r="H203" i="41"/>
  <c r="H205" i="41"/>
  <c r="N560" i="41"/>
  <c r="L235" i="41"/>
  <c r="L174" i="41"/>
  <c r="L239" i="41"/>
  <c r="L169" i="41"/>
  <c r="L173" i="41"/>
  <c r="L187" i="41"/>
  <c r="L201" i="41"/>
  <c r="J465" i="41"/>
  <c r="J280" i="41"/>
  <c r="I145" i="41"/>
  <c r="J609" i="41"/>
  <c r="J569" i="41"/>
  <c r="J185" i="41"/>
  <c r="J233" i="41"/>
  <c r="J320" i="41"/>
  <c r="J516" i="41"/>
  <c r="J436" i="41"/>
  <c r="J364" i="41"/>
  <c r="D372" i="41"/>
  <c r="J468" i="41"/>
  <c r="J268" i="41"/>
  <c r="J250" i="41"/>
  <c r="N348" i="41"/>
  <c r="O612" i="41"/>
  <c r="O614" i="41"/>
  <c r="O348" i="41"/>
  <c r="L538" i="41"/>
  <c r="L546" i="41"/>
  <c r="L300" i="41"/>
  <c r="K300" i="41"/>
  <c r="O612" i="43"/>
  <c r="O614" i="43"/>
  <c r="O348" i="43"/>
  <c r="N348" i="43"/>
  <c r="O697" i="43"/>
  <c r="J468" i="43"/>
  <c r="J268" i="43"/>
  <c r="J250" i="43"/>
  <c r="K299" i="43"/>
  <c r="K555" i="43"/>
  <c r="J598" i="43"/>
  <c r="K656" i="43" s="1"/>
  <c r="I436" i="43"/>
  <c r="J438" i="43"/>
  <c r="H145" i="43"/>
  <c r="I233" i="43"/>
  <c r="I280" i="43"/>
  <c r="I185" i="43"/>
  <c r="I364" i="43"/>
  <c r="M609" i="43"/>
  <c r="M569" i="43"/>
  <c r="M465" i="43"/>
  <c r="M419" i="43"/>
  <c r="M364" i="43"/>
  <c r="M516" i="43"/>
  <c r="M320" i="43"/>
  <c r="M280" i="43"/>
  <c r="N145" i="43"/>
  <c r="M233" i="43"/>
  <c r="M185" i="43"/>
  <c r="M436" i="43"/>
  <c r="M438" i="43"/>
  <c r="M389" i="43"/>
  <c r="I256" i="43"/>
  <c r="I262" i="43"/>
  <c r="I269" i="43"/>
  <c r="O560" i="43"/>
  <c r="D373" i="43"/>
  <c r="M637" i="43"/>
  <c r="M264" i="43"/>
  <c r="N632" i="43"/>
  <c r="N635" i="43"/>
  <c r="H269" i="43"/>
  <c r="H256" i="43"/>
  <c r="H262" i="43"/>
  <c r="K556" i="43"/>
  <c r="O160" i="43"/>
  <c r="O161" i="43"/>
  <c r="N161" i="43"/>
  <c r="L557" i="43"/>
  <c r="L301" i="43" s="1"/>
  <c r="L485" i="43" s="1"/>
  <c r="L524" i="43"/>
  <c r="K557" i="43"/>
  <c r="K547" i="43"/>
  <c r="K592" i="43" s="1"/>
  <c r="K212" i="41"/>
  <c r="K223" i="41"/>
  <c r="K242" i="41"/>
  <c r="K442" i="41"/>
  <c r="H268" i="41"/>
  <c r="H250" i="41"/>
  <c r="J438" i="41"/>
  <c r="L424" i="41"/>
  <c r="L425" i="41"/>
  <c r="L394" i="41"/>
  <c r="O697" i="41"/>
  <c r="K438" i="41"/>
  <c r="L211" i="41"/>
  <c r="L197" i="41"/>
  <c r="L200" i="41"/>
  <c r="L199" i="41"/>
  <c r="I268" i="41"/>
  <c r="I250" i="41"/>
  <c r="N216" i="41"/>
  <c r="N220" i="41"/>
  <c r="K441" i="41"/>
  <c r="K556" i="41"/>
  <c r="K539" i="41"/>
  <c r="M609" i="41"/>
  <c r="M569" i="41"/>
  <c r="M516" i="41"/>
  <c r="M419" i="41"/>
  <c r="M233" i="41"/>
  <c r="M185" i="41"/>
  <c r="M436" i="41"/>
  <c r="M438" i="41"/>
  <c r="M364" i="41"/>
  <c r="M280" i="41"/>
  <c r="M389" i="41"/>
  <c r="N145" i="41"/>
  <c r="M320" i="41"/>
  <c r="M465" i="41"/>
  <c r="M235" i="41"/>
  <c r="M187" i="41"/>
  <c r="M198" i="41"/>
  <c r="M174" i="41"/>
  <c r="M239" i="41"/>
  <c r="M169" i="41"/>
  <c r="M173" i="41"/>
  <c r="E372" i="41"/>
  <c r="K372" i="41"/>
  <c r="D373" i="41"/>
  <c r="I364" i="41"/>
  <c r="I233" i="41"/>
  <c r="I185" i="41"/>
  <c r="I280" i="41"/>
  <c r="I436" i="41"/>
  <c r="H145" i="41"/>
  <c r="L238" i="41"/>
  <c r="L175" i="41"/>
  <c r="L240" i="41"/>
  <c r="L198" i="41"/>
  <c r="L202" i="41"/>
  <c r="N635" i="41"/>
  <c r="N192" i="41"/>
  <c r="K557" i="41"/>
  <c r="K547" i="41"/>
  <c r="O217" i="41"/>
  <c r="O166" i="41"/>
  <c r="O167" i="41"/>
  <c r="N167" i="41"/>
  <c r="K203" i="41"/>
  <c r="K205" i="41"/>
  <c r="O655" i="41"/>
  <c r="O293" i="41"/>
  <c r="O484" i="41"/>
  <c r="O422" i="41"/>
  <c r="O423" i="41"/>
  <c r="J269" i="41"/>
  <c r="J256" i="41"/>
  <c r="J262" i="41"/>
  <c r="L589" i="41"/>
  <c r="M500" i="41"/>
  <c r="M502" i="41"/>
  <c r="N655" i="41"/>
  <c r="N422" i="41"/>
  <c r="N423" i="41"/>
  <c r="N293" i="41"/>
  <c r="N484" i="41"/>
  <c r="J519" i="41"/>
  <c r="K493" i="41"/>
  <c r="O560" i="41"/>
  <c r="N154" i="41"/>
  <c r="M155" i="41"/>
  <c r="O218" i="41"/>
  <c r="O193" i="41"/>
  <c r="L210" i="41"/>
  <c r="N219" i="41"/>
  <c r="K555" i="41"/>
  <c r="K299" i="41"/>
  <c r="J598" i="41"/>
  <c r="L524" i="41"/>
  <c r="L557" i="41"/>
  <c r="N647" i="41"/>
  <c r="N675" i="41"/>
  <c r="O97" i="41"/>
  <c r="O647" i="41"/>
  <c r="O675" i="41"/>
  <c r="K244" i="41"/>
  <c r="K247" i="41"/>
  <c r="M546" i="41"/>
  <c r="M538" i="41"/>
  <c r="J446" i="43"/>
  <c r="J445" i="43"/>
  <c r="J447" i="43"/>
  <c r="L556" i="43"/>
  <c r="K591" i="43"/>
  <c r="K542" i="43"/>
  <c r="K579" i="43"/>
  <c r="D374" i="43"/>
  <c r="J269" i="43"/>
  <c r="J256" i="43"/>
  <c r="J262" i="43"/>
  <c r="L299" i="43"/>
  <c r="L555" i="43"/>
  <c r="M524" i="43"/>
  <c r="M557" i="43"/>
  <c r="M301" i="43" s="1"/>
  <c r="M485" i="43" s="1"/>
  <c r="H282" i="43"/>
  <c r="H287" i="43"/>
  <c r="H265" i="43"/>
  <c r="N637" i="43"/>
  <c r="N264" i="43"/>
  <c r="O632" i="43"/>
  <c r="O635" i="43"/>
  <c r="O637" i="43"/>
  <c r="O264" i="43"/>
  <c r="I282" i="43"/>
  <c r="I287" i="43"/>
  <c r="I265" i="43"/>
  <c r="N609" i="43"/>
  <c r="N465" i="43"/>
  <c r="N419" i="43"/>
  <c r="N516" i="43"/>
  <c r="N436" i="43"/>
  <c r="N438" i="43"/>
  <c r="N389" i="43"/>
  <c r="N364" i="43"/>
  <c r="O145" i="43"/>
  <c r="N233" i="43"/>
  <c r="N185" i="43"/>
  <c r="N320" i="43"/>
  <c r="N280" i="43"/>
  <c r="N569" i="43"/>
  <c r="H280" i="43"/>
  <c r="H364" i="43"/>
  <c r="H185" i="43"/>
  <c r="H233" i="43"/>
  <c r="J519" i="43"/>
  <c r="M210" i="41"/>
  <c r="M201" i="41"/>
  <c r="K378" i="41"/>
  <c r="K249" i="41"/>
  <c r="K656" i="41"/>
  <c r="J599" i="41"/>
  <c r="O219" i="41"/>
  <c r="J282" i="41"/>
  <c r="J287" i="41"/>
  <c r="J265" i="41"/>
  <c r="J270" i="41"/>
  <c r="O192" i="41"/>
  <c r="L441" i="41"/>
  <c r="L450" i="41"/>
  <c r="K650" i="41"/>
  <c r="K268" i="41"/>
  <c r="J446" i="41"/>
  <c r="J445" i="41"/>
  <c r="J447" i="41"/>
  <c r="K504" i="41"/>
  <c r="K505" i="41"/>
  <c r="K506" i="41"/>
  <c r="K577" i="41"/>
  <c r="K494" i="41"/>
  <c r="N221" i="41"/>
  <c r="H364" i="41"/>
  <c r="H233" i="41"/>
  <c r="H280" i="41"/>
  <c r="H185" i="41"/>
  <c r="M372" i="41"/>
  <c r="K591" i="41"/>
  <c r="K542" i="41"/>
  <c r="K579" i="41"/>
  <c r="L537" i="41"/>
  <c r="L539" i="41"/>
  <c r="K450" i="41"/>
  <c r="O216" i="41"/>
  <c r="L556" i="41"/>
  <c r="J572" i="41"/>
  <c r="K528" i="41"/>
  <c r="M589" i="41"/>
  <c r="N500" i="41"/>
  <c r="N502" i="41"/>
  <c r="N187" i="41"/>
  <c r="N198" i="41"/>
  <c r="N174" i="41"/>
  <c r="N239" i="41"/>
  <c r="N169" i="41"/>
  <c r="N235" i="41"/>
  <c r="N173" i="41"/>
  <c r="K592" i="41"/>
  <c r="K550" i="41"/>
  <c r="K580" i="41"/>
  <c r="L545" i="41"/>
  <c r="L547" i="41"/>
  <c r="O632" i="41"/>
  <c r="O635" i="41"/>
  <c r="O637" i="41"/>
  <c r="O264" i="41"/>
  <c r="N637" i="41"/>
  <c r="N264" i="41"/>
  <c r="K452" i="41"/>
  <c r="K336" i="41"/>
  <c r="K451" i="41"/>
  <c r="K325" i="41"/>
  <c r="M197" i="41"/>
  <c r="M199" i="41"/>
  <c r="M211" i="41"/>
  <c r="M212" i="41"/>
  <c r="M223" i="41"/>
  <c r="M242" i="41"/>
  <c r="M200" i="41"/>
  <c r="N609" i="41"/>
  <c r="N569" i="41"/>
  <c r="N465" i="41"/>
  <c r="N419" i="41"/>
  <c r="N516" i="41"/>
  <c r="N546" i="41"/>
  <c r="N436" i="41"/>
  <c r="N438" i="41"/>
  <c r="N364" i="41"/>
  <c r="N280" i="41"/>
  <c r="N320" i="41"/>
  <c r="N185" i="41"/>
  <c r="O145" i="41"/>
  <c r="N389" i="41"/>
  <c r="N233" i="41"/>
  <c r="M557" i="41"/>
  <c r="M524" i="41"/>
  <c r="M202" i="41"/>
  <c r="I256" i="41"/>
  <c r="I262" i="41"/>
  <c r="I269" i="41"/>
  <c r="L203" i="41"/>
  <c r="L205" i="41"/>
  <c r="L426" i="41"/>
  <c r="M421" i="41"/>
  <c r="H256" i="41"/>
  <c r="H262" i="41"/>
  <c r="H269" i="41"/>
  <c r="N194" i="41"/>
  <c r="O154" i="41"/>
  <c r="O155" i="41"/>
  <c r="N155" i="41"/>
  <c r="L555" i="41"/>
  <c r="L299" i="41"/>
  <c r="K598" i="41"/>
  <c r="K301" i="41"/>
  <c r="K485" i="41"/>
  <c r="K558" i="41"/>
  <c r="O194" i="41"/>
  <c r="O173" i="41"/>
  <c r="O169" i="41"/>
  <c r="O235" i="41"/>
  <c r="O187" i="41"/>
  <c r="O211" i="41"/>
  <c r="D374" i="41"/>
  <c r="E373" i="41"/>
  <c r="L373" i="41"/>
  <c r="M238" i="41"/>
  <c r="M175" i="41"/>
  <c r="M240" i="41"/>
  <c r="O220" i="41"/>
  <c r="N202" i="41"/>
  <c r="L212" i="41"/>
  <c r="L223" i="41"/>
  <c r="L242" i="41"/>
  <c r="L372" i="41"/>
  <c r="M300" i="41"/>
  <c r="L378" i="41"/>
  <c r="K504" i="43"/>
  <c r="K505" i="43"/>
  <c r="K494" i="43"/>
  <c r="M299" i="43"/>
  <c r="M555" i="43"/>
  <c r="J270" i="43"/>
  <c r="J282" i="43"/>
  <c r="J287" i="43"/>
  <c r="J265" i="43"/>
  <c r="D375" i="43"/>
  <c r="L591" i="43"/>
  <c r="L542" i="43"/>
  <c r="L579" i="43"/>
  <c r="O609" i="43"/>
  <c r="O516" i="43"/>
  <c r="O436" i="43"/>
  <c r="O438" i="43"/>
  <c r="O389" i="43"/>
  <c r="O364" i="43"/>
  <c r="O320" i="43"/>
  <c r="O465" i="43"/>
  <c r="O419" i="43"/>
  <c r="O233" i="43"/>
  <c r="O569" i="43"/>
  <c r="O185" i="43"/>
  <c r="O280" i="43"/>
  <c r="M556" i="43"/>
  <c r="J572" i="43"/>
  <c r="K528" i="43"/>
  <c r="K453" i="41"/>
  <c r="K324" i="41"/>
  <c r="L324" i="41"/>
  <c r="L301" i="41"/>
  <c r="L485" i="41"/>
  <c r="K393" i="41"/>
  <c r="K283" i="41"/>
  <c r="K329" i="41"/>
  <c r="K250" i="41"/>
  <c r="K269" i="41"/>
  <c r="M373" i="41"/>
  <c r="O199" i="41"/>
  <c r="O197" i="41"/>
  <c r="O201" i="41"/>
  <c r="M441" i="41"/>
  <c r="M450" i="41"/>
  <c r="M299" i="41"/>
  <c r="M555" i="41"/>
  <c r="L598" i="41"/>
  <c r="O609" i="41"/>
  <c r="O569" i="41"/>
  <c r="O465" i="41"/>
  <c r="O419" i="41"/>
  <c r="O436" i="41"/>
  <c r="O438" i="41"/>
  <c r="O389" i="41"/>
  <c r="O320" i="41"/>
  <c r="O233" i="41"/>
  <c r="O516" i="41"/>
  <c r="O538" i="41"/>
  <c r="O280" i="41"/>
  <c r="O185" i="41"/>
  <c r="O364" i="41"/>
  <c r="N372" i="41"/>
  <c r="N373" i="41"/>
  <c r="N589" i="41"/>
  <c r="O500" i="41"/>
  <c r="O502" i="41"/>
  <c r="M537" i="41"/>
  <c r="M539" i="41"/>
  <c r="L591" i="41"/>
  <c r="L542" i="41"/>
  <c r="L579" i="41"/>
  <c r="H282" i="41"/>
  <c r="H287" i="41"/>
  <c r="H265" i="41"/>
  <c r="I282" i="41"/>
  <c r="I287" i="41"/>
  <c r="I265" i="41"/>
  <c r="O200" i="41"/>
  <c r="O221" i="41"/>
  <c r="O202" i="41"/>
  <c r="E374" i="41"/>
  <c r="M374" i="41"/>
  <c r="D375" i="41"/>
  <c r="O238" i="41"/>
  <c r="M424" i="41"/>
  <c r="M425" i="41"/>
  <c r="M394" i="41"/>
  <c r="M203" i="41"/>
  <c r="M205" i="41"/>
  <c r="N238" i="41"/>
  <c r="N175" i="41"/>
  <c r="N240" i="41"/>
  <c r="N197" i="41"/>
  <c r="N200" i="41"/>
  <c r="N199" i="41"/>
  <c r="N211" i="41"/>
  <c r="O198" i="41"/>
  <c r="N210" i="41"/>
  <c r="L442" i="41"/>
  <c r="L244" i="41"/>
  <c r="L247" i="41"/>
  <c r="M442" i="41"/>
  <c r="M244" i="41"/>
  <c r="M247" i="41"/>
  <c r="K593" i="41"/>
  <c r="L553" i="41"/>
  <c r="L558" i="41"/>
  <c r="K561" i="41"/>
  <c r="K581" i="41"/>
  <c r="L249" i="41"/>
  <c r="O174" i="41"/>
  <c r="O239" i="41"/>
  <c r="L656" i="41"/>
  <c r="K337" i="41"/>
  <c r="M556" i="41"/>
  <c r="L592" i="41"/>
  <c r="M545" i="41"/>
  <c r="M547" i="41"/>
  <c r="L550" i="41"/>
  <c r="L580" i="41"/>
  <c r="K529" i="41"/>
  <c r="O210" i="41"/>
  <c r="O212" i="41"/>
  <c r="N201" i="41"/>
  <c r="K529" i="43"/>
  <c r="D376" i="43"/>
  <c r="M591" i="43"/>
  <c r="N539" i="43"/>
  <c r="M542" i="43"/>
  <c r="M579" i="43"/>
  <c r="N556" i="43"/>
  <c r="O524" i="43"/>
  <c r="O203" i="41"/>
  <c r="O205" i="41"/>
  <c r="N212" i="41"/>
  <c r="N223" i="41"/>
  <c r="N242" i="41"/>
  <c r="N442" i="41"/>
  <c r="M426" i="41"/>
  <c r="N421" i="41"/>
  <c r="N424" i="41"/>
  <c r="N425" i="41"/>
  <c r="N394" i="41"/>
  <c r="M324" i="41"/>
  <c r="M378" i="41"/>
  <c r="M249" i="41"/>
  <c r="M650" i="41"/>
  <c r="M268" i="41"/>
  <c r="L393" i="41"/>
  <c r="L283" i="41"/>
  <c r="L329" i="41"/>
  <c r="O589" i="41"/>
  <c r="N374" i="41"/>
  <c r="N378" i="41"/>
  <c r="M592" i="41"/>
  <c r="N545" i="41"/>
  <c r="M550" i="41"/>
  <c r="M580" i="41"/>
  <c r="N441" i="41"/>
  <c r="N450" i="41"/>
  <c r="O524" i="41"/>
  <c r="L593" i="41"/>
  <c r="M553" i="41"/>
  <c r="M558" i="41"/>
  <c r="L561" i="41"/>
  <c r="L581" i="41"/>
  <c r="M451" i="41"/>
  <c r="M325" i="41"/>
  <c r="M452" i="41"/>
  <c r="M336" i="41"/>
  <c r="O175" i="41"/>
  <c r="O240" i="41"/>
  <c r="O441" i="41"/>
  <c r="O450" i="41"/>
  <c r="O223" i="41"/>
  <c r="O242" i="41"/>
  <c r="N537" i="41"/>
  <c r="M591" i="41"/>
  <c r="M542" i="41"/>
  <c r="M579" i="41"/>
  <c r="O374" i="41"/>
  <c r="O372" i="41"/>
  <c r="O373" i="41"/>
  <c r="M656" i="41"/>
  <c r="L337" i="41"/>
  <c r="L452" i="41"/>
  <c r="L336" i="41"/>
  <c r="L451" i="41"/>
  <c r="K455" i="41"/>
  <c r="K286" i="41"/>
  <c r="L650" i="41"/>
  <c r="L268" i="41"/>
  <c r="L250" i="41"/>
  <c r="N203" i="41"/>
  <c r="N205" i="41"/>
  <c r="D376" i="41"/>
  <c r="E376" i="41"/>
  <c r="E375" i="41"/>
  <c r="N375" i="41"/>
  <c r="M301" i="41"/>
  <c r="M485" i="41"/>
  <c r="N244" i="41"/>
  <c r="N247" i="41"/>
  <c r="O299" i="43"/>
  <c r="O555" i="43"/>
  <c r="N591" i="43"/>
  <c r="O537" i="43"/>
  <c r="O539" i="43"/>
  <c r="N542" i="43"/>
  <c r="N579" i="43"/>
  <c r="O556" i="43"/>
  <c r="O324" i="41"/>
  <c r="N324" i="41"/>
  <c r="L453" i="41"/>
  <c r="M453" i="41"/>
  <c r="N538" i="41"/>
  <c r="M283" i="41"/>
  <c r="M329" i="41"/>
  <c r="M393" i="41"/>
  <c r="M250" i="41"/>
  <c r="M269" i="41"/>
  <c r="N249" i="41"/>
  <c r="N250" i="41"/>
  <c r="N283" i="41"/>
  <c r="N650" i="41"/>
  <c r="N268" i="41"/>
  <c r="O299" i="41"/>
  <c r="O555" i="41"/>
  <c r="N426" i="41"/>
  <c r="O421" i="41"/>
  <c r="N557" i="41"/>
  <c r="N451" i="41"/>
  <c r="N325" i="41"/>
  <c r="N452" i="41"/>
  <c r="N336" i="41"/>
  <c r="O375" i="41"/>
  <c r="O244" i="41"/>
  <c r="O247" i="41"/>
  <c r="O442" i="41"/>
  <c r="L269" i="41"/>
  <c r="L325" i="41"/>
  <c r="O376" i="41"/>
  <c r="M593" i="41"/>
  <c r="N553" i="41"/>
  <c r="M561" i="41"/>
  <c r="M581" i="41"/>
  <c r="O556" i="41"/>
  <c r="O378" i="41"/>
  <c r="O591" i="43"/>
  <c r="O542" i="43"/>
  <c r="O579" i="43"/>
  <c r="N453" i="41"/>
  <c r="N300" i="41"/>
  <c r="N556" i="41"/>
  <c r="N539" i="41"/>
  <c r="N393" i="41"/>
  <c r="N329" i="41"/>
  <c r="O249" i="41"/>
  <c r="O283" i="41"/>
  <c r="O393" i="41"/>
  <c r="N455" i="41"/>
  <c r="N286" i="41"/>
  <c r="O650" i="41"/>
  <c r="O250" i="41"/>
  <c r="O268" i="41"/>
  <c r="M455" i="41"/>
  <c r="M286" i="41"/>
  <c r="L455" i="41"/>
  <c r="L286" i="41"/>
  <c r="O424" i="41"/>
  <c r="O425" i="41"/>
  <c r="O394" i="41"/>
  <c r="N547" i="41"/>
  <c r="O452" i="41"/>
  <c r="O336" i="41"/>
  <c r="O451" i="41"/>
  <c r="O453" i="41"/>
  <c r="N269" i="41"/>
  <c r="O329" i="41"/>
  <c r="O537" i="41"/>
  <c r="O539" i="41"/>
  <c r="N591" i="41"/>
  <c r="N542" i="41"/>
  <c r="N579" i="41"/>
  <c r="O426" i="41"/>
  <c r="O269" i="41"/>
  <c r="O325" i="41"/>
  <c r="O455" i="41"/>
  <c r="O286" i="41"/>
  <c r="N592" i="41"/>
  <c r="O545" i="41"/>
  <c r="N550" i="41"/>
  <c r="N580" i="41"/>
  <c r="O546" i="41"/>
  <c r="O591" i="41"/>
  <c r="O542" i="41"/>
  <c r="O579" i="41"/>
  <c r="O300" i="41"/>
  <c r="O557" i="41"/>
  <c r="O301" i="41"/>
  <c r="N598" i="41"/>
  <c r="O547" i="41"/>
  <c r="O592" i="41"/>
  <c r="O550" i="41"/>
  <c r="O580" i="41"/>
  <c r="N337" i="41"/>
  <c r="O656" i="41"/>
  <c r="O485" i="41"/>
  <c r="K426" i="43" l="1"/>
  <c r="L421" i="43" s="1"/>
  <c r="K394" i="43"/>
  <c r="K558" i="43"/>
  <c r="L589" i="43"/>
  <c r="M500" i="43"/>
  <c r="M502" i="43" s="1"/>
  <c r="K506" i="43"/>
  <c r="K577" i="43" s="1"/>
  <c r="M589" i="43"/>
  <c r="N500" i="43"/>
  <c r="N502" i="43" s="1"/>
  <c r="K167" i="43"/>
  <c r="L166" i="43"/>
  <c r="M293" i="43"/>
  <c r="M484" i="43" s="1"/>
  <c r="M422" i="43"/>
  <c r="O179" i="43"/>
  <c r="O564" i="43"/>
  <c r="K155" i="43"/>
  <c r="O383" i="43"/>
  <c r="O314" i="43"/>
  <c r="O430" i="43"/>
  <c r="L243" i="43"/>
  <c r="M243" i="43" s="1"/>
  <c r="O511" i="43"/>
  <c r="M217" i="43"/>
  <c r="L167" i="43"/>
  <c r="M166" i="43"/>
  <c r="N153" i="43"/>
  <c r="K57" i="43"/>
  <c r="K173" i="43"/>
  <c r="K174" i="43"/>
  <c r="K239" i="43" s="1"/>
  <c r="K169" i="43"/>
  <c r="M154" i="43"/>
  <c r="L155" i="43"/>
  <c r="L219" i="43"/>
  <c r="L216" i="43"/>
  <c r="L215" i="43"/>
  <c r="L220" i="43"/>
  <c r="L192" i="43"/>
  <c r="L193" i="43"/>
  <c r="L218" i="43"/>
  <c r="O460" i="43"/>
  <c r="O641" i="43"/>
  <c r="M655" i="43"/>
  <c r="L372" i="43"/>
  <c r="O227" i="43"/>
  <c r="O669" i="43"/>
  <c r="O358" i="43"/>
  <c r="L373" i="43"/>
  <c r="M374" i="43"/>
  <c r="N374" i="43" s="1"/>
  <c r="O374" i="43" s="1"/>
  <c r="O274" i="43"/>
  <c r="M372" i="43"/>
  <c r="N372" i="43" s="1"/>
  <c r="K393" i="43"/>
  <c r="K283" i="43"/>
  <c r="J599" i="43"/>
  <c r="K550" i="43"/>
  <c r="K580" i="43" s="1"/>
  <c r="L545" i="43"/>
  <c r="L547" i="43" s="1"/>
  <c r="K593" i="43"/>
  <c r="K561" i="43"/>
  <c r="K581" i="43" s="1"/>
  <c r="L553" i="43"/>
  <c r="L558" i="43" s="1"/>
  <c r="K598" i="43"/>
  <c r="L598" i="43"/>
  <c r="K301" i="43"/>
  <c r="K485" i="43" s="1"/>
  <c r="L424" i="43" l="1"/>
  <c r="L425" i="43" s="1"/>
  <c r="L394" i="43" s="1"/>
  <c r="N589" i="43"/>
  <c r="O500" i="43"/>
  <c r="O502" i="43" s="1"/>
  <c r="O589" i="43" s="1"/>
  <c r="L378" i="43"/>
  <c r="L249" i="43" s="1"/>
  <c r="M423" i="43"/>
  <c r="K187" i="43"/>
  <c r="K235" i="43"/>
  <c r="M219" i="43"/>
  <c r="N188" i="43"/>
  <c r="N217" i="43" s="1"/>
  <c r="N243" i="43"/>
  <c r="O243" i="43" s="1"/>
  <c r="M373" i="43"/>
  <c r="N373" i="43" s="1"/>
  <c r="M192" i="43"/>
  <c r="M218" i="43"/>
  <c r="N166" i="43"/>
  <c r="M167" i="43"/>
  <c r="L194" i="43"/>
  <c r="M193" i="43"/>
  <c r="M155" i="43"/>
  <c r="N154" i="43"/>
  <c r="M220" i="43"/>
  <c r="L187" i="43"/>
  <c r="L199" i="43" s="1"/>
  <c r="L174" i="43"/>
  <c r="L239" i="43" s="1"/>
  <c r="L235" i="43"/>
  <c r="L169" i="43"/>
  <c r="L173" i="43"/>
  <c r="M215" i="43"/>
  <c r="L221" i="43"/>
  <c r="K238" i="43"/>
  <c r="K240" i="43" s="1"/>
  <c r="K175" i="43"/>
  <c r="M216" i="43"/>
  <c r="K60" i="43"/>
  <c r="L57" i="43"/>
  <c r="L60" i="43" s="1"/>
  <c r="O372" i="43"/>
  <c r="L592" i="43"/>
  <c r="M545" i="43"/>
  <c r="M547" i="43" s="1"/>
  <c r="L550" i="43"/>
  <c r="L580" i="43" s="1"/>
  <c r="K337" i="43"/>
  <c r="L656" i="43"/>
  <c r="M553" i="43"/>
  <c r="M558" i="43" s="1"/>
  <c r="L561" i="43"/>
  <c r="L581" i="43" s="1"/>
  <c r="L593" i="43"/>
  <c r="M656" i="43"/>
  <c r="L337" i="43"/>
  <c r="L426" i="43" l="1"/>
  <c r="M421" i="43" s="1"/>
  <c r="M426" i="43" s="1"/>
  <c r="N421" i="43" s="1"/>
  <c r="M424" i="43"/>
  <c r="M425" i="43" s="1"/>
  <c r="M394" i="43" s="1"/>
  <c r="K197" i="43"/>
  <c r="K199" i="43"/>
  <c r="K200" i="43"/>
  <c r="K202" i="43"/>
  <c r="K211" i="43"/>
  <c r="K201" i="43"/>
  <c r="K210" i="43"/>
  <c r="K198" i="43"/>
  <c r="L283" i="43"/>
  <c r="L393" i="43"/>
  <c r="O373" i="43"/>
  <c r="L211" i="43"/>
  <c r="K441" i="43"/>
  <c r="K450" i="43" s="1"/>
  <c r="K324" i="43" s="1"/>
  <c r="L210" i="43"/>
  <c r="M169" i="43"/>
  <c r="M173" i="43"/>
  <c r="M187" i="43"/>
  <c r="M199" i="43" s="1"/>
  <c r="M235" i="43"/>
  <c r="M174" i="43"/>
  <c r="M239" i="43" s="1"/>
  <c r="L197" i="43"/>
  <c r="L202" i="43"/>
  <c r="N167" i="43"/>
  <c r="O166" i="43"/>
  <c r="O167" i="43" s="1"/>
  <c r="M210" i="43"/>
  <c r="N192" i="43"/>
  <c r="M200" i="43"/>
  <c r="N218" i="43"/>
  <c r="E376" i="43"/>
  <c r="O376" i="43" s="1"/>
  <c r="E375" i="43"/>
  <c r="M221" i="43"/>
  <c r="M197" i="43"/>
  <c r="N215" i="43"/>
  <c r="O154" i="43"/>
  <c r="O155" i="43" s="1"/>
  <c r="N155" i="43"/>
  <c r="L200" i="43"/>
  <c r="N220" i="43"/>
  <c r="M202" i="43"/>
  <c r="L198" i="43"/>
  <c r="L175" i="43"/>
  <c r="L238" i="43"/>
  <c r="L240" i="43" s="1"/>
  <c r="O217" i="43"/>
  <c r="M378" i="43"/>
  <c r="M249" i="43" s="1"/>
  <c r="M393" i="43" s="1"/>
  <c r="N216" i="43"/>
  <c r="M198" i="43"/>
  <c r="M194" i="43"/>
  <c r="N193" i="43"/>
  <c r="M211" i="43"/>
  <c r="M201" i="43"/>
  <c r="N219" i="43"/>
  <c r="L201" i="43"/>
  <c r="M550" i="43"/>
  <c r="M580" i="43" s="1"/>
  <c r="M592" i="43"/>
  <c r="N545" i="43"/>
  <c r="N557" i="43" s="1"/>
  <c r="N547" i="43"/>
  <c r="M561" i="43"/>
  <c r="M581" i="43" s="1"/>
  <c r="M593" i="43"/>
  <c r="N553" i="43"/>
  <c r="M212" i="43" l="1"/>
  <c r="K212" i="43"/>
  <c r="K223" i="43" s="1"/>
  <c r="K242" i="43" s="1"/>
  <c r="M283" i="43"/>
  <c r="K203" i="43"/>
  <c r="K205" i="43" s="1"/>
  <c r="O293" i="43"/>
  <c r="O484" i="43" s="1"/>
  <c r="O655" i="43"/>
  <c r="O422" i="43"/>
  <c r="O423" i="43" s="1"/>
  <c r="L203" i="43"/>
  <c r="L205" i="43" s="1"/>
  <c r="O218" i="43"/>
  <c r="O200" i="43" s="1"/>
  <c r="L441" i="43"/>
  <c r="L450" i="43" s="1"/>
  <c r="L324" i="43" s="1"/>
  <c r="N221" i="43"/>
  <c r="O215" i="43"/>
  <c r="O219" i="43"/>
  <c r="O193" i="43"/>
  <c r="N194" i="43"/>
  <c r="M203" i="43"/>
  <c r="M205" i="43" s="1"/>
  <c r="O192" i="43"/>
  <c r="L212" i="43"/>
  <c r="L223" i="43" s="1"/>
  <c r="L242" i="43" s="1"/>
  <c r="M223" i="43"/>
  <c r="M242" i="43" s="1"/>
  <c r="M175" i="43"/>
  <c r="M238" i="43"/>
  <c r="M240" i="43" s="1"/>
  <c r="N422" i="43"/>
  <c r="N655" i="43"/>
  <c r="N293" i="43"/>
  <c r="N484" i="43" s="1"/>
  <c r="O173" i="43"/>
  <c r="O187" i="43"/>
  <c r="O199" i="43" s="1"/>
  <c r="O169" i="43"/>
  <c r="O235" i="43"/>
  <c r="O174" i="43"/>
  <c r="O239" i="43" s="1"/>
  <c r="N198" i="43"/>
  <c r="O216" i="43"/>
  <c r="O198" i="43" s="1"/>
  <c r="O220" i="43"/>
  <c r="N375" i="43"/>
  <c r="N378" i="43" s="1"/>
  <c r="N249" i="43" s="1"/>
  <c r="N235" i="43"/>
  <c r="N187" i="43"/>
  <c r="N199" i="43" s="1"/>
  <c r="N173" i="43"/>
  <c r="N169" i="43"/>
  <c r="N174" i="43"/>
  <c r="N239" i="43" s="1"/>
  <c r="O545" i="43"/>
  <c r="N550" i="43"/>
  <c r="N580" i="43" s="1"/>
  <c r="N592" i="43"/>
  <c r="N200" i="43" l="1"/>
  <c r="N203" i="43" s="1"/>
  <c r="N205" i="43" s="1"/>
  <c r="N201" i="43"/>
  <c r="N197" i="43"/>
  <c r="K442" i="43"/>
  <c r="K244" i="43"/>
  <c r="K247" i="43" s="1"/>
  <c r="N202" i="43"/>
  <c r="N210" i="43"/>
  <c r="N238" i="43"/>
  <c r="N240" i="43" s="1"/>
  <c r="N175" i="43"/>
  <c r="N423" i="43"/>
  <c r="N424" i="43" s="1"/>
  <c r="N425" i="43" s="1"/>
  <c r="N394" i="43" s="1"/>
  <c r="O194" i="43"/>
  <c r="O211" i="43"/>
  <c r="N283" i="43"/>
  <c r="N393" i="43"/>
  <c r="M442" i="43"/>
  <c r="M244" i="43"/>
  <c r="M247" i="43" s="1"/>
  <c r="O375" i="43"/>
  <c r="O378" i="43" s="1"/>
  <c r="O249" i="43" s="1"/>
  <c r="L244" i="43"/>
  <c r="L247" i="43" s="1"/>
  <c r="L442" i="43"/>
  <c r="O201" i="43"/>
  <c r="O238" i="43"/>
  <c r="O240" i="43" s="1"/>
  <c r="O175" i="43"/>
  <c r="O202" i="43"/>
  <c r="O210" i="43"/>
  <c r="O197" i="43"/>
  <c r="O221" i="43"/>
  <c r="M441" i="43"/>
  <c r="M450" i="43" s="1"/>
  <c r="M324" i="43" s="1"/>
  <c r="N211" i="43"/>
  <c r="N212" i="43" s="1"/>
  <c r="N223" i="43" s="1"/>
  <c r="N242" i="43" s="1"/>
  <c r="O546" i="43"/>
  <c r="K268" i="43" l="1"/>
  <c r="K650" i="43"/>
  <c r="K250" i="43"/>
  <c r="K269" i="43" s="1"/>
  <c r="K451" i="43"/>
  <c r="K452" i="43"/>
  <c r="K336" i="43" s="1"/>
  <c r="N442" i="43"/>
  <c r="N244" i="43"/>
  <c r="N247" i="43" s="1"/>
  <c r="L451" i="43"/>
  <c r="L452" i="43"/>
  <c r="L336" i="43" s="1"/>
  <c r="O203" i="43"/>
  <c r="O205" i="43" s="1"/>
  <c r="L650" i="43"/>
  <c r="L268" i="43"/>
  <c r="L250" i="43"/>
  <c r="L269" i="43" s="1"/>
  <c r="O283" i="43"/>
  <c r="O393" i="43"/>
  <c r="O212" i="43"/>
  <c r="O223" i="43" s="1"/>
  <c r="O242" i="43" s="1"/>
  <c r="N426" i="43"/>
  <c r="O421" i="43" s="1"/>
  <c r="M268" i="43"/>
  <c r="M650" i="43"/>
  <c r="M250" i="43"/>
  <c r="M269" i="43" s="1"/>
  <c r="M451" i="43"/>
  <c r="M325" i="43" s="1"/>
  <c r="M452" i="43"/>
  <c r="M336" i="43" s="1"/>
  <c r="O441" i="43"/>
  <c r="O450" i="43" s="1"/>
  <c r="O324" i="43" s="1"/>
  <c r="N441" i="43"/>
  <c r="N450" i="43" s="1"/>
  <c r="N324" i="43" s="1"/>
  <c r="O557" i="43"/>
  <c r="O301" i="43" s="1"/>
  <c r="O485" i="43" s="1"/>
  <c r="N598" i="43"/>
  <c r="O547" i="43"/>
  <c r="K325" i="43" l="1"/>
  <c r="K455" i="43"/>
  <c r="K286" i="43" s="1"/>
  <c r="O244" i="43"/>
  <c r="O247" i="43" s="1"/>
  <c r="O442" i="43"/>
  <c r="N268" i="43"/>
  <c r="N650" i="43"/>
  <c r="N250" i="43"/>
  <c r="N269" i="43" s="1"/>
  <c r="O424" i="43"/>
  <c r="O425" i="43" s="1"/>
  <c r="O394" i="43" s="1"/>
  <c r="L325" i="43"/>
  <c r="N451" i="43"/>
  <c r="N325" i="43" s="1"/>
  <c r="N452" i="43"/>
  <c r="N336" i="43" s="1"/>
  <c r="O592" i="43"/>
  <c r="O550" i="43"/>
  <c r="O580" i="43" s="1"/>
  <c r="N337" i="43"/>
  <c r="O656" i="43"/>
  <c r="O426" i="43" l="1"/>
  <c r="N455" i="43"/>
  <c r="N286" i="43" s="1"/>
  <c r="M455" i="43"/>
  <c r="M286" i="43" s="1"/>
  <c r="L455" i="43"/>
  <c r="L286" i="43" s="1"/>
  <c r="O452" i="43"/>
  <c r="O336" i="43" s="1"/>
  <c r="O451" i="43"/>
  <c r="O650" i="43"/>
  <c r="O268" i="43"/>
  <c r="O250" i="43"/>
  <c r="O269" i="43" s="1"/>
  <c r="O325" i="43" l="1"/>
  <c r="O455" i="43"/>
  <c r="O286" i="43" s="1"/>
  <c r="K252" i="43"/>
  <c r="L252" i="43"/>
  <c r="M252" i="43"/>
  <c r="N252" i="43"/>
  <c r="O252" i="43"/>
  <c r="K253" i="43"/>
  <c r="L253" i="43"/>
  <c r="M253" i="43"/>
  <c r="N253" i="43"/>
  <c r="O253" i="43"/>
  <c r="K254" i="43"/>
  <c r="L254" i="43"/>
  <c r="M254" i="43"/>
  <c r="N254" i="43"/>
  <c r="O254" i="43"/>
  <c r="K256" i="43"/>
  <c r="L256" i="43"/>
  <c r="M256" i="43"/>
  <c r="N256" i="43"/>
  <c r="O256" i="43"/>
  <c r="K258" i="43"/>
  <c r="L258" i="43"/>
  <c r="M258" i="43"/>
  <c r="N258" i="43"/>
  <c r="O258" i="43"/>
  <c r="K259" i="43"/>
  <c r="L259" i="43"/>
  <c r="M259" i="43"/>
  <c r="N259" i="43"/>
  <c r="O259" i="43"/>
  <c r="K260" i="43"/>
  <c r="L260" i="43"/>
  <c r="M260" i="43"/>
  <c r="N260" i="43"/>
  <c r="O260" i="43"/>
  <c r="K262" i="43"/>
  <c r="L262" i="43"/>
  <c r="M262" i="43"/>
  <c r="N262" i="43"/>
  <c r="O262" i="43"/>
  <c r="K265" i="43"/>
  <c r="L265" i="43"/>
  <c r="M265" i="43"/>
  <c r="N265" i="43"/>
  <c r="O265" i="43"/>
  <c r="K270" i="43"/>
  <c r="L270" i="43"/>
  <c r="M270" i="43"/>
  <c r="N270" i="43"/>
  <c r="O270" i="43"/>
  <c r="K282" i="43"/>
  <c r="L282" i="43"/>
  <c r="M282" i="43"/>
  <c r="N282" i="43"/>
  <c r="O282" i="43"/>
  <c r="K284" i="43"/>
  <c r="L284" i="43"/>
  <c r="M284" i="43"/>
  <c r="N284" i="43"/>
  <c r="O284" i="43"/>
  <c r="K285" i="43"/>
  <c r="L285" i="43"/>
  <c r="M285" i="43"/>
  <c r="N285" i="43"/>
  <c r="O285" i="43"/>
  <c r="K287" i="43"/>
  <c r="L287" i="43"/>
  <c r="M287" i="43"/>
  <c r="N287" i="43"/>
  <c r="O287" i="43"/>
  <c r="K297" i="43"/>
  <c r="L297" i="43"/>
  <c r="M297" i="43"/>
  <c r="N297" i="43"/>
  <c r="O297" i="43"/>
  <c r="N299" i="43"/>
  <c r="N301" i="43"/>
  <c r="K303" i="43"/>
  <c r="L303" i="43"/>
  <c r="M303" i="43"/>
  <c r="N303" i="43"/>
  <c r="O303" i="43"/>
  <c r="K304" i="43"/>
  <c r="L304" i="43"/>
  <c r="M304" i="43"/>
  <c r="N304" i="43"/>
  <c r="O304" i="43"/>
  <c r="K307" i="43"/>
  <c r="L307" i="43"/>
  <c r="M307" i="43"/>
  <c r="N307" i="43"/>
  <c r="O307" i="43"/>
  <c r="L308" i="43"/>
  <c r="M308" i="43"/>
  <c r="N308" i="43"/>
  <c r="O308" i="43"/>
  <c r="K309" i="43"/>
  <c r="L309" i="43"/>
  <c r="M309" i="43"/>
  <c r="N309" i="43"/>
  <c r="O309" i="43"/>
  <c r="K323" i="43"/>
  <c r="L323" i="43"/>
  <c r="M323" i="43"/>
  <c r="N323" i="43"/>
  <c r="O323" i="43"/>
  <c r="K327" i="43"/>
  <c r="L327" i="43"/>
  <c r="M327" i="43"/>
  <c r="N327" i="43"/>
  <c r="O327" i="43"/>
  <c r="K331" i="43"/>
  <c r="L331" i="43"/>
  <c r="M331" i="43"/>
  <c r="N331" i="43"/>
  <c r="O331" i="43"/>
  <c r="K335" i="43"/>
  <c r="L335" i="43"/>
  <c r="M335" i="43"/>
  <c r="N335" i="43"/>
  <c r="O335" i="43"/>
  <c r="M337" i="43"/>
  <c r="K339" i="43"/>
  <c r="L339" i="43"/>
  <c r="M339" i="43"/>
  <c r="N339" i="43"/>
  <c r="O339" i="43"/>
  <c r="K341" i="43"/>
  <c r="L341" i="43"/>
  <c r="M341" i="43"/>
  <c r="N341" i="43"/>
  <c r="O341" i="43"/>
  <c r="K342" i="43"/>
  <c r="L342" i="43"/>
  <c r="M342" i="43"/>
  <c r="N342" i="43"/>
  <c r="O342" i="43"/>
  <c r="K344" i="43"/>
  <c r="L344" i="43"/>
  <c r="M344" i="43"/>
  <c r="N344" i="43"/>
  <c r="O344" i="43"/>
  <c r="K346" i="43"/>
  <c r="L346" i="43"/>
  <c r="M346" i="43"/>
  <c r="N346" i="43"/>
  <c r="O346" i="43"/>
  <c r="K349" i="43"/>
  <c r="L349" i="43"/>
  <c r="M349" i="43"/>
  <c r="N349" i="43"/>
  <c r="O349" i="43"/>
  <c r="K350" i="43"/>
  <c r="L350" i="43"/>
  <c r="M350" i="43"/>
  <c r="N350" i="43"/>
  <c r="O350" i="43"/>
  <c r="K352" i="43"/>
  <c r="L352" i="43"/>
  <c r="M352" i="43"/>
  <c r="N352" i="43"/>
  <c r="O352" i="43"/>
  <c r="K354" i="43"/>
  <c r="L354" i="43"/>
  <c r="M354" i="43"/>
  <c r="N354" i="43"/>
  <c r="O354" i="43"/>
  <c r="K391" i="43"/>
  <c r="L391" i="43"/>
  <c r="M391" i="43"/>
  <c r="N391" i="43"/>
  <c r="O391" i="43"/>
  <c r="K395" i="43"/>
  <c r="L395" i="43"/>
  <c r="M395" i="43"/>
  <c r="N395" i="43"/>
  <c r="O395" i="43"/>
  <c r="L398" i="43"/>
  <c r="M398" i="43"/>
  <c r="N398" i="43"/>
  <c r="O398" i="43"/>
  <c r="K399" i="43"/>
  <c r="L399" i="43"/>
  <c r="M399" i="43"/>
  <c r="N399" i="43"/>
  <c r="O399" i="43"/>
  <c r="K400" i="43"/>
  <c r="L400" i="43"/>
  <c r="M400" i="43"/>
  <c r="N400" i="43"/>
  <c r="O400" i="43"/>
  <c r="L402" i="43"/>
  <c r="M402" i="43"/>
  <c r="N402" i="43"/>
  <c r="O402" i="43"/>
  <c r="K403" i="43"/>
  <c r="L403" i="43"/>
  <c r="M403" i="43"/>
  <c r="N403" i="43"/>
  <c r="O403" i="43"/>
  <c r="K404" i="43"/>
  <c r="L404" i="43"/>
  <c r="M404" i="43"/>
  <c r="N404" i="43"/>
  <c r="O404" i="43"/>
  <c r="K406" i="43"/>
  <c r="L406" i="43"/>
  <c r="M406" i="43"/>
  <c r="N406" i="43"/>
  <c r="O406" i="43"/>
  <c r="K407" i="43"/>
  <c r="L407" i="43"/>
  <c r="M407" i="43"/>
  <c r="N407" i="43"/>
  <c r="O407" i="43"/>
  <c r="K409" i="43"/>
  <c r="L409" i="43"/>
  <c r="M409" i="43"/>
  <c r="N409" i="43"/>
  <c r="O409" i="43"/>
  <c r="K411" i="43"/>
  <c r="L411" i="43"/>
  <c r="M411" i="43"/>
  <c r="N411" i="43"/>
  <c r="O411" i="43"/>
  <c r="K414" i="43"/>
  <c r="L414" i="43"/>
  <c r="M414" i="43"/>
  <c r="N414" i="43"/>
  <c r="O414" i="43"/>
  <c r="K415" i="43"/>
  <c r="L415" i="43"/>
  <c r="M415" i="43"/>
  <c r="N415" i="43"/>
  <c r="O415" i="43"/>
  <c r="K416" i="43"/>
  <c r="L416" i="43"/>
  <c r="M416" i="43"/>
  <c r="N416" i="43"/>
  <c r="O416" i="43"/>
  <c r="K468" i="43"/>
  <c r="L468" i="43"/>
  <c r="M468" i="43"/>
  <c r="N468" i="43"/>
  <c r="O468" i="43"/>
  <c r="L471" i="43"/>
  <c r="M471" i="43"/>
  <c r="N471" i="43"/>
  <c r="O471" i="43"/>
  <c r="K472" i="43"/>
  <c r="L472" i="43"/>
  <c r="M472" i="43"/>
  <c r="N472" i="43"/>
  <c r="O472" i="43"/>
  <c r="K473" i="43"/>
  <c r="L473" i="43"/>
  <c r="M473" i="43"/>
  <c r="N473" i="43"/>
  <c r="O473" i="43"/>
  <c r="K477" i="43"/>
  <c r="L477" i="43"/>
  <c r="M477" i="43"/>
  <c r="N477" i="43"/>
  <c r="O477" i="43"/>
  <c r="L480" i="43"/>
  <c r="M480" i="43"/>
  <c r="N480" i="43"/>
  <c r="O480" i="43"/>
  <c r="K483" i="43"/>
  <c r="L483" i="43"/>
  <c r="M483" i="43"/>
  <c r="N483" i="43"/>
  <c r="O483" i="43"/>
  <c r="N485" i="43"/>
  <c r="K486" i="43"/>
  <c r="L486" i="43"/>
  <c r="M486" i="43"/>
  <c r="N486" i="43"/>
  <c r="O486" i="43"/>
  <c r="K487" i="43"/>
  <c r="L487" i="43"/>
  <c r="M487" i="43"/>
  <c r="N487" i="43"/>
  <c r="O487" i="43"/>
  <c r="L489" i="43"/>
  <c r="M489" i="43"/>
  <c r="N489" i="43"/>
  <c r="O489" i="43"/>
  <c r="K490" i="43"/>
  <c r="L490" i="43"/>
  <c r="M490" i="43"/>
  <c r="N490" i="43"/>
  <c r="O490" i="43"/>
  <c r="K491" i="43"/>
  <c r="L491" i="43"/>
  <c r="M491" i="43"/>
  <c r="N491" i="43"/>
  <c r="O491" i="43"/>
  <c r="L493" i="43"/>
  <c r="M493" i="43"/>
  <c r="N493" i="43"/>
  <c r="O493" i="43"/>
  <c r="L494" i="43"/>
  <c r="M494" i="43"/>
  <c r="N494" i="43"/>
  <c r="O494" i="43"/>
  <c r="K495" i="43"/>
  <c r="L495" i="43"/>
  <c r="M495" i="43"/>
  <c r="N495" i="43"/>
  <c r="O495" i="43"/>
  <c r="L504" i="43"/>
  <c r="M504" i="43"/>
  <c r="N504" i="43"/>
  <c r="O504" i="43"/>
  <c r="L505" i="43"/>
  <c r="M505" i="43"/>
  <c r="N505" i="43"/>
  <c r="O505" i="43"/>
  <c r="L506" i="43"/>
  <c r="M506" i="43"/>
  <c r="N506" i="43"/>
  <c r="O506" i="43"/>
  <c r="K519" i="43"/>
  <c r="L519" i="43"/>
  <c r="M519" i="43"/>
  <c r="N519" i="43"/>
  <c r="O519" i="43"/>
  <c r="L523" i="43"/>
  <c r="M523" i="43"/>
  <c r="N523" i="43"/>
  <c r="O523" i="43"/>
  <c r="N524" i="43"/>
  <c r="K525" i="43"/>
  <c r="L525" i="43"/>
  <c r="M525" i="43"/>
  <c r="N525" i="43"/>
  <c r="O525" i="43"/>
  <c r="K526" i="43"/>
  <c r="L526" i="43"/>
  <c r="M526" i="43"/>
  <c r="N526" i="43"/>
  <c r="O526" i="43"/>
  <c r="L528" i="43"/>
  <c r="M528" i="43"/>
  <c r="N528" i="43"/>
  <c r="O528" i="43"/>
  <c r="L529" i="43"/>
  <c r="M529" i="43"/>
  <c r="N529" i="43"/>
  <c r="O529" i="43"/>
  <c r="K532" i="43"/>
  <c r="L532" i="43"/>
  <c r="M532" i="43"/>
  <c r="N532" i="43"/>
  <c r="O532" i="43"/>
  <c r="K533" i="43"/>
  <c r="L533" i="43"/>
  <c r="M533" i="43"/>
  <c r="N533" i="43"/>
  <c r="O533" i="43"/>
  <c r="K534" i="43"/>
  <c r="L534" i="43"/>
  <c r="M534" i="43"/>
  <c r="N534" i="43"/>
  <c r="O534" i="43"/>
  <c r="O553" i="43"/>
  <c r="N555" i="43"/>
  <c r="N558" i="43"/>
  <c r="O558" i="43"/>
  <c r="N561" i="43"/>
  <c r="O561" i="43"/>
  <c r="K572" i="43"/>
  <c r="L572" i="43"/>
  <c r="M572" i="43"/>
  <c r="N572" i="43"/>
  <c r="O572" i="43"/>
  <c r="K575" i="43"/>
  <c r="L575" i="43"/>
  <c r="M575" i="43"/>
  <c r="N575" i="43"/>
  <c r="O575" i="43"/>
  <c r="K576" i="43"/>
  <c r="L576" i="43"/>
  <c r="M576" i="43"/>
  <c r="N576" i="43"/>
  <c r="O576" i="43"/>
  <c r="L577" i="43"/>
  <c r="M577" i="43"/>
  <c r="N577" i="43"/>
  <c r="O577" i="43"/>
  <c r="K578" i="43"/>
  <c r="L578" i="43"/>
  <c r="M578" i="43"/>
  <c r="N578" i="43"/>
  <c r="O578" i="43"/>
  <c r="N581" i="43"/>
  <c r="O581" i="43"/>
  <c r="K582" i="43"/>
  <c r="L582" i="43"/>
  <c r="M582" i="43"/>
  <c r="N582" i="43"/>
  <c r="O582" i="43"/>
  <c r="K585" i="43"/>
  <c r="L585" i="43"/>
  <c r="M585" i="43"/>
  <c r="N585" i="43"/>
  <c r="O585" i="43"/>
  <c r="K586" i="43"/>
  <c r="L586" i="43"/>
  <c r="M586" i="43"/>
  <c r="N586" i="43"/>
  <c r="O586" i="43"/>
  <c r="K590" i="43"/>
  <c r="L590" i="43"/>
  <c r="M590" i="43"/>
  <c r="N590" i="43"/>
  <c r="O590" i="43"/>
  <c r="N593" i="43"/>
  <c r="O593" i="43"/>
  <c r="K594" i="43"/>
  <c r="L594" i="43"/>
  <c r="M594" i="43"/>
  <c r="N594" i="43"/>
  <c r="O594" i="43"/>
  <c r="K597" i="43"/>
  <c r="L597" i="43"/>
  <c r="M597" i="43"/>
  <c r="N597" i="43"/>
  <c r="O597" i="43"/>
  <c r="M598" i="43"/>
  <c r="K599" i="43"/>
  <c r="L599" i="43"/>
  <c r="M599" i="43"/>
  <c r="N599" i="43"/>
  <c r="O599" i="43"/>
  <c r="K617" i="43"/>
  <c r="L617" i="43"/>
  <c r="M617" i="43"/>
  <c r="N617" i="43"/>
  <c r="O617" i="43"/>
  <c r="K618" i="43"/>
  <c r="L618" i="43"/>
  <c r="M618" i="43"/>
  <c r="N618" i="43"/>
  <c r="O618" i="43"/>
  <c r="L622" i="43"/>
  <c r="M622" i="43"/>
  <c r="N622" i="43"/>
  <c r="O622" i="43"/>
  <c r="K623" i="43"/>
  <c r="L623" i="43"/>
  <c r="M623" i="43"/>
  <c r="N623" i="43"/>
  <c r="O623" i="43"/>
  <c r="K624" i="43"/>
  <c r="L624" i="43"/>
  <c r="M624" i="43"/>
  <c r="N624" i="43"/>
  <c r="O624" i="43"/>
  <c r="K625" i="43"/>
  <c r="L625" i="43"/>
  <c r="M625" i="43"/>
  <c r="N625" i="43"/>
  <c r="O625" i="43"/>
  <c r="K651" i="43"/>
  <c r="L651" i="43"/>
  <c r="M651" i="43"/>
  <c r="N651" i="43"/>
  <c r="O651" i="43"/>
  <c r="K652" i="43"/>
  <c r="L652" i="43"/>
  <c r="M652" i="43"/>
  <c r="N652" i="43"/>
  <c r="O652" i="43"/>
  <c r="N656" i="43"/>
  <c r="K659" i="43"/>
  <c r="L659" i="43"/>
  <c r="M659" i="43"/>
  <c r="N659" i="43"/>
  <c r="O659" i="43"/>
  <c r="K660" i="43"/>
  <c r="L660" i="43"/>
  <c r="M660" i="43"/>
  <c r="N660" i="43"/>
  <c r="O660" i="43"/>
  <c r="K661" i="43"/>
  <c r="L661" i="43"/>
  <c r="M661" i="43"/>
  <c r="N661" i="43"/>
  <c r="O661" i="43"/>
  <c r="K662" i="43"/>
  <c r="L662" i="43"/>
  <c r="M662" i="43"/>
  <c r="N662" i="43"/>
  <c r="O662" i="43"/>
  <c r="K663" i="43"/>
  <c r="L663" i="43"/>
  <c r="M663" i="43"/>
  <c r="N663" i="43"/>
  <c r="O663" i="43"/>
  <c r="K665" i="43"/>
  <c r="L665" i="43"/>
  <c r="M665" i="43"/>
  <c r="N665" i="43"/>
  <c r="O665" i="43"/>
  <c r="K679" i="43"/>
  <c r="L679" i="43"/>
  <c r="M679" i="43"/>
  <c r="N679" i="43"/>
  <c r="O679" i="43"/>
  <c r="K680" i="43"/>
  <c r="L680" i="43"/>
  <c r="M680" i="43"/>
  <c r="N680" i="43"/>
  <c r="O680" i="43"/>
  <c r="K684" i="43"/>
  <c r="L684" i="43"/>
  <c r="M684" i="43"/>
  <c r="N684" i="43"/>
  <c r="O684" i="43"/>
  <c r="K685" i="43"/>
  <c r="L685" i="43"/>
  <c r="M685" i="43"/>
  <c r="N685" i="43"/>
  <c r="O685" i="43"/>
  <c r="K689" i="43"/>
  <c r="L689" i="43"/>
  <c r="M689" i="43"/>
  <c r="N689" i="43"/>
  <c r="O689" i="43"/>
  <c r="K690" i="43"/>
  <c r="L690" i="43"/>
  <c r="M690" i="43"/>
  <c r="N690" i="43"/>
  <c r="O690" i="43"/>
  <c r="K694" i="43"/>
  <c r="L694" i="43"/>
  <c r="M694" i="43"/>
  <c r="N694" i="43"/>
  <c r="O694" i="43"/>
  <c r="K695" i="43"/>
  <c r="L695" i="43"/>
  <c r="M695" i="43"/>
  <c r="N695" i="43"/>
  <c r="O695" i="43"/>
  <c r="K699" i="43"/>
  <c r="L699" i="43"/>
  <c r="M699" i="43"/>
  <c r="N699" i="43"/>
  <c r="O699" i="43"/>
  <c r="K700" i="43"/>
  <c r="L700" i="43"/>
  <c r="M700" i="43"/>
  <c r="N700" i="43"/>
  <c r="O700" i="43"/>
  <c r="K252" i="41"/>
  <c r="L252" i="41"/>
  <c r="M252" i="41"/>
  <c r="N252" i="41"/>
  <c r="O252" i="41"/>
  <c r="K253" i="41"/>
  <c r="L253" i="41"/>
  <c r="M253" i="41"/>
  <c r="N253" i="41"/>
  <c r="O253" i="41"/>
  <c r="K254" i="41"/>
  <c r="L254" i="41"/>
  <c r="M254" i="41"/>
  <c r="N254" i="41"/>
  <c r="O254" i="41"/>
  <c r="K256" i="41"/>
  <c r="L256" i="41"/>
  <c r="M256" i="41"/>
  <c r="N256" i="41"/>
  <c r="O256" i="41"/>
  <c r="K258" i="41"/>
  <c r="L258" i="41"/>
  <c r="M258" i="41"/>
  <c r="N258" i="41"/>
  <c r="O258" i="41"/>
  <c r="K259" i="41"/>
  <c r="L259" i="41"/>
  <c r="M259" i="41"/>
  <c r="N259" i="41"/>
  <c r="O259" i="41"/>
  <c r="K260" i="41"/>
  <c r="L260" i="41"/>
  <c r="M260" i="41"/>
  <c r="N260" i="41"/>
  <c r="O260" i="41"/>
  <c r="K262" i="41"/>
  <c r="L262" i="41"/>
  <c r="M262" i="41"/>
  <c r="N262" i="41"/>
  <c r="O262" i="41"/>
  <c r="K265" i="41"/>
  <c r="L265" i="41"/>
  <c r="M265" i="41"/>
  <c r="N265" i="41"/>
  <c r="O265" i="41"/>
  <c r="K270" i="41"/>
  <c r="L270" i="41"/>
  <c r="M270" i="41"/>
  <c r="N270" i="41"/>
  <c r="O270" i="41"/>
  <c r="K282" i="41"/>
  <c r="L282" i="41"/>
  <c r="M282" i="41"/>
  <c r="N282" i="41"/>
  <c r="O282" i="41"/>
  <c r="K284" i="41"/>
  <c r="L284" i="41"/>
  <c r="M284" i="41"/>
  <c r="N284" i="41"/>
  <c r="O284" i="41"/>
  <c r="K285" i="41"/>
  <c r="L285" i="41"/>
  <c r="M285" i="41"/>
  <c r="N285" i="41"/>
  <c r="O285" i="41"/>
  <c r="K287" i="41"/>
  <c r="L287" i="41"/>
  <c r="M287" i="41"/>
  <c r="N287" i="41"/>
  <c r="O287" i="41"/>
  <c r="K297" i="41"/>
  <c r="L297" i="41"/>
  <c r="M297" i="41"/>
  <c r="N297" i="41"/>
  <c r="O297" i="41"/>
  <c r="N299" i="41"/>
  <c r="N301" i="41"/>
  <c r="K303" i="41"/>
  <c r="L303" i="41"/>
  <c r="M303" i="41"/>
  <c r="N303" i="41"/>
  <c r="O303" i="41"/>
  <c r="K304" i="41"/>
  <c r="L304" i="41"/>
  <c r="M304" i="41"/>
  <c r="N304" i="41"/>
  <c r="O304" i="41"/>
  <c r="K307" i="41"/>
  <c r="L307" i="41"/>
  <c r="M307" i="41"/>
  <c r="N307" i="41"/>
  <c r="O307" i="41"/>
  <c r="L308" i="41"/>
  <c r="M308" i="41"/>
  <c r="N308" i="41"/>
  <c r="O308" i="41"/>
  <c r="K309" i="41"/>
  <c r="L309" i="41"/>
  <c r="M309" i="41"/>
  <c r="N309" i="41"/>
  <c r="O309" i="41"/>
  <c r="K323" i="41"/>
  <c r="L323" i="41"/>
  <c r="M323" i="41"/>
  <c r="N323" i="41"/>
  <c r="O323" i="41"/>
  <c r="K327" i="41"/>
  <c r="L327" i="41"/>
  <c r="M327" i="41"/>
  <c r="N327" i="41"/>
  <c r="O327" i="41"/>
  <c r="K331" i="41"/>
  <c r="L331" i="41"/>
  <c r="M331" i="41"/>
  <c r="N331" i="41"/>
  <c r="O331" i="41"/>
  <c r="K335" i="41"/>
  <c r="L335" i="41"/>
  <c r="M335" i="41"/>
  <c r="N335" i="41"/>
  <c r="O335" i="41"/>
  <c r="M337" i="41"/>
  <c r="K339" i="41"/>
  <c r="L339" i="41"/>
  <c r="M339" i="41"/>
  <c r="N339" i="41"/>
  <c r="O339" i="41"/>
  <c r="K341" i="41"/>
  <c r="L341" i="41"/>
  <c r="M341" i="41"/>
  <c r="N341" i="41"/>
  <c r="O341" i="41"/>
  <c r="K342" i="41"/>
  <c r="L342" i="41"/>
  <c r="M342" i="41"/>
  <c r="N342" i="41"/>
  <c r="O342" i="41"/>
  <c r="K344" i="41"/>
  <c r="L344" i="41"/>
  <c r="M344" i="41"/>
  <c r="N344" i="41"/>
  <c r="O344" i="41"/>
  <c r="K346" i="41"/>
  <c r="L346" i="41"/>
  <c r="M346" i="41"/>
  <c r="N346" i="41"/>
  <c r="O346" i="41"/>
  <c r="K349" i="41"/>
  <c r="L349" i="41"/>
  <c r="M349" i="41"/>
  <c r="N349" i="41"/>
  <c r="O349" i="41"/>
  <c r="K350" i="41"/>
  <c r="L350" i="41"/>
  <c r="M350" i="41"/>
  <c r="N350" i="41"/>
  <c r="O350" i="41"/>
  <c r="K352" i="41"/>
  <c r="L352" i="41"/>
  <c r="M352" i="41"/>
  <c r="N352" i="41"/>
  <c r="O352" i="41"/>
  <c r="K354" i="41"/>
  <c r="L354" i="41"/>
  <c r="M354" i="41"/>
  <c r="N354" i="41"/>
  <c r="O354" i="41"/>
  <c r="K391" i="41"/>
  <c r="L391" i="41"/>
  <c r="M391" i="41"/>
  <c r="N391" i="41"/>
  <c r="O391" i="41"/>
  <c r="K395" i="41"/>
  <c r="L395" i="41"/>
  <c r="M395" i="41"/>
  <c r="N395" i="41"/>
  <c r="O395" i="41"/>
  <c r="L398" i="41"/>
  <c r="M398" i="41"/>
  <c r="N398" i="41"/>
  <c r="O398" i="41"/>
  <c r="K399" i="41"/>
  <c r="L399" i="41"/>
  <c r="M399" i="41"/>
  <c r="N399" i="41"/>
  <c r="O399" i="41"/>
  <c r="K400" i="41"/>
  <c r="L400" i="41"/>
  <c r="M400" i="41"/>
  <c r="N400" i="41"/>
  <c r="O400" i="41"/>
  <c r="L402" i="41"/>
  <c r="M402" i="41"/>
  <c r="N402" i="41"/>
  <c r="O402" i="41"/>
  <c r="K403" i="41"/>
  <c r="L403" i="41"/>
  <c r="M403" i="41"/>
  <c r="N403" i="41"/>
  <c r="O403" i="41"/>
  <c r="K404" i="41"/>
  <c r="L404" i="41"/>
  <c r="M404" i="41"/>
  <c r="N404" i="41"/>
  <c r="O404" i="41"/>
  <c r="K406" i="41"/>
  <c r="L406" i="41"/>
  <c r="M406" i="41"/>
  <c r="N406" i="41"/>
  <c r="O406" i="41"/>
  <c r="K407" i="41"/>
  <c r="L407" i="41"/>
  <c r="M407" i="41"/>
  <c r="N407" i="41"/>
  <c r="O407" i="41"/>
  <c r="K409" i="41"/>
  <c r="L409" i="41"/>
  <c r="M409" i="41"/>
  <c r="N409" i="41"/>
  <c r="O409" i="41"/>
  <c r="K411" i="41"/>
  <c r="L411" i="41"/>
  <c r="M411" i="41"/>
  <c r="N411" i="41"/>
  <c r="O411" i="41"/>
  <c r="K414" i="41"/>
  <c r="L414" i="41"/>
  <c r="M414" i="41"/>
  <c r="N414" i="41"/>
  <c r="O414" i="41"/>
  <c r="K415" i="41"/>
  <c r="L415" i="41"/>
  <c r="M415" i="41"/>
  <c r="N415" i="41"/>
  <c r="O415" i="41"/>
  <c r="K416" i="41"/>
  <c r="L416" i="41"/>
  <c r="M416" i="41"/>
  <c r="N416" i="41"/>
  <c r="O416" i="41"/>
  <c r="K468" i="41"/>
  <c r="L468" i="41"/>
  <c r="M468" i="41"/>
  <c r="N468" i="41"/>
  <c r="O468" i="41"/>
  <c r="L471" i="41"/>
  <c r="M471" i="41"/>
  <c r="N471" i="41"/>
  <c r="O471" i="41"/>
  <c r="K472" i="41"/>
  <c r="L472" i="41"/>
  <c r="M472" i="41"/>
  <c r="N472" i="41"/>
  <c r="O472" i="41"/>
  <c r="K473" i="41"/>
  <c r="L473" i="41"/>
  <c r="M473" i="41"/>
  <c r="N473" i="41"/>
  <c r="O473" i="41"/>
  <c r="K477" i="41"/>
  <c r="L477" i="41"/>
  <c r="M477" i="41"/>
  <c r="N477" i="41"/>
  <c r="O477" i="41"/>
  <c r="L480" i="41"/>
  <c r="M480" i="41"/>
  <c r="N480" i="41"/>
  <c r="O480" i="41"/>
  <c r="K483" i="41"/>
  <c r="L483" i="41"/>
  <c r="M483" i="41"/>
  <c r="N483" i="41"/>
  <c r="O483" i="41"/>
  <c r="N485" i="41"/>
  <c r="K486" i="41"/>
  <c r="L486" i="41"/>
  <c r="M486" i="41"/>
  <c r="N486" i="41"/>
  <c r="O486" i="41"/>
  <c r="K487" i="41"/>
  <c r="L487" i="41"/>
  <c r="M487" i="41"/>
  <c r="N487" i="41"/>
  <c r="O487" i="41"/>
  <c r="L489" i="41"/>
  <c r="M489" i="41"/>
  <c r="N489" i="41"/>
  <c r="O489" i="41"/>
  <c r="K490" i="41"/>
  <c r="L490" i="41"/>
  <c r="M490" i="41"/>
  <c r="N490" i="41"/>
  <c r="O490" i="41"/>
  <c r="K491" i="41"/>
  <c r="L491" i="41"/>
  <c r="M491" i="41"/>
  <c r="N491" i="41"/>
  <c r="O491" i="41"/>
  <c r="L493" i="41"/>
  <c r="M493" i="41"/>
  <c r="N493" i="41"/>
  <c r="O493" i="41"/>
  <c r="L494" i="41"/>
  <c r="M494" i="41"/>
  <c r="N494" i="41"/>
  <c r="O494" i="41"/>
  <c r="K495" i="41"/>
  <c r="L495" i="41"/>
  <c r="M495" i="41"/>
  <c r="N495" i="41"/>
  <c r="O495" i="41"/>
  <c r="L504" i="41"/>
  <c r="M504" i="41"/>
  <c r="N504" i="41"/>
  <c r="O504" i="41"/>
  <c r="L505" i="41"/>
  <c r="M505" i="41"/>
  <c r="N505" i="41"/>
  <c r="O505" i="41"/>
  <c r="L506" i="41"/>
  <c r="M506" i="41"/>
  <c r="N506" i="41"/>
  <c r="O506" i="41"/>
  <c r="K519" i="41"/>
  <c r="L519" i="41"/>
  <c r="M519" i="41"/>
  <c r="N519" i="41"/>
  <c r="O519" i="41"/>
  <c r="L523" i="41"/>
  <c r="M523" i="41"/>
  <c r="N523" i="41"/>
  <c r="O523" i="41"/>
  <c r="N524" i="41"/>
  <c r="K525" i="41"/>
  <c r="L525" i="41"/>
  <c r="M525" i="41"/>
  <c r="N525" i="41"/>
  <c r="O525" i="41"/>
  <c r="K526" i="41"/>
  <c r="L526" i="41"/>
  <c r="M526" i="41"/>
  <c r="N526" i="41"/>
  <c r="O526" i="41"/>
  <c r="L528" i="41"/>
  <c r="M528" i="41"/>
  <c r="N528" i="41"/>
  <c r="O528" i="41"/>
  <c r="L529" i="41"/>
  <c r="M529" i="41"/>
  <c r="N529" i="41"/>
  <c r="O529" i="41"/>
  <c r="K532" i="41"/>
  <c r="L532" i="41"/>
  <c r="M532" i="41"/>
  <c r="N532" i="41"/>
  <c r="O532" i="41"/>
  <c r="K533" i="41"/>
  <c r="L533" i="41"/>
  <c r="M533" i="41"/>
  <c r="N533" i="41"/>
  <c r="O533" i="41"/>
  <c r="K534" i="41"/>
  <c r="L534" i="41"/>
  <c r="M534" i="41"/>
  <c r="N534" i="41"/>
  <c r="O534" i="41"/>
  <c r="O553" i="41"/>
  <c r="N555" i="41"/>
  <c r="N558" i="41"/>
  <c r="O558" i="41"/>
  <c r="N561" i="41"/>
  <c r="O561" i="41"/>
  <c r="K572" i="41"/>
  <c r="L572" i="41"/>
  <c r="M572" i="41"/>
  <c r="N572" i="41"/>
  <c r="O572" i="41"/>
  <c r="K575" i="41"/>
  <c r="L575" i="41"/>
  <c r="M575" i="41"/>
  <c r="N575" i="41"/>
  <c r="O575" i="41"/>
  <c r="K576" i="41"/>
  <c r="L576" i="41"/>
  <c r="M576" i="41"/>
  <c r="N576" i="41"/>
  <c r="O576" i="41"/>
  <c r="L577" i="41"/>
  <c r="M577" i="41"/>
  <c r="N577" i="41"/>
  <c r="O577" i="41"/>
  <c r="K578" i="41"/>
  <c r="L578" i="41"/>
  <c r="M578" i="41"/>
  <c r="N578" i="41"/>
  <c r="O578" i="41"/>
  <c r="N581" i="41"/>
  <c r="O581" i="41"/>
  <c r="K582" i="41"/>
  <c r="L582" i="41"/>
  <c r="M582" i="41"/>
  <c r="N582" i="41"/>
  <c r="O582" i="41"/>
  <c r="K585" i="41"/>
  <c r="L585" i="41"/>
  <c r="M585" i="41"/>
  <c r="N585" i="41"/>
  <c r="O585" i="41"/>
  <c r="K586" i="41"/>
  <c r="L586" i="41"/>
  <c r="M586" i="41"/>
  <c r="N586" i="41"/>
  <c r="O586" i="41"/>
  <c r="K590" i="41"/>
  <c r="L590" i="41"/>
  <c r="M590" i="41"/>
  <c r="N590" i="41"/>
  <c r="O590" i="41"/>
  <c r="N593" i="41"/>
  <c r="O593" i="41"/>
  <c r="K594" i="41"/>
  <c r="L594" i="41"/>
  <c r="M594" i="41"/>
  <c r="N594" i="41"/>
  <c r="O594" i="41"/>
  <c r="K597" i="41"/>
  <c r="L597" i="41"/>
  <c r="M597" i="41"/>
  <c r="N597" i="41"/>
  <c r="O597" i="41"/>
  <c r="M598" i="41"/>
  <c r="K599" i="41"/>
  <c r="L599" i="41"/>
  <c r="M599" i="41"/>
  <c r="N599" i="41"/>
  <c r="O599" i="41"/>
  <c r="K617" i="41"/>
  <c r="L617" i="41"/>
  <c r="M617" i="41"/>
  <c r="N617" i="41"/>
  <c r="O617" i="41"/>
  <c r="K618" i="41"/>
  <c r="L618" i="41"/>
  <c r="M618" i="41"/>
  <c r="N618" i="41"/>
  <c r="O618" i="41"/>
  <c r="L622" i="41"/>
  <c r="M622" i="41"/>
  <c r="N622" i="41"/>
  <c r="O622" i="41"/>
  <c r="K623" i="41"/>
  <c r="L623" i="41"/>
  <c r="M623" i="41"/>
  <c r="N623" i="41"/>
  <c r="O623" i="41"/>
  <c r="K624" i="41"/>
  <c r="L624" i="41"/>
  <c r="M624" i="41"/>
  <c r="N624" i="41"/>
  <c r="O624" i="41"/>
  <c r="K625" i="41"/>
  <c r="L625" i="41"/>
  <c r="M625" i="41"/>
  <c r="N625" i="41"/>
  <c r="O625" i="41"/>
  <c r="K651" i="41"/>
  <c r="L651" i="41"/>
  <c r="M651" i="41"/>
  <c r="N651" i="41"/>
  <c r="O651" i="41"/>
  <c r="K652" i="41"/>
  <c r="L652" i="41"/>
  <c r="M652" i="41"/>
  <c r="N652" i="41"/>
  <c r="O652" i="41"/>
  <c r="N656" i="41"/>
  <c r="K659" i="41"/>
  <c r="L659" i="41"/>
  <c r="M659" i="41"/>
  <c r="N659" i="41"/>
  <c r="O659" i="41"/>
  <c r="K660" i="41"/>
  <c r="L660" i="41"/>
  <c r="M660" i="41"/>
  <c r="N660" i="41"/>
  <c r="O660" i="41"/>
  <c r="K661" i="41"/>
  <c r="L661" i="41"/>
  <c r="M661" i="41"/>
  <c r="N661" i="41"/>
  <c r="O661" i="41"/>
  <c r="K662" i="41"/>
  <c r="L662" i="41"/>
  <c r="M662" i="41"/>
  <c r="N662" i="41"/>
  <c r="O662" i="41"/>
  <c r="K663" i="41"/>
  <c r="L663" i="41"/>
  <c r="M663" i="41"/>
  <c r="N663" i="41"/>
  <c r="O663" i="41"/>
  <c r="K665" i="41"/>
  <c r="L665" i="41"/>
  <c r="M665" i="41"/>
  <c r="N665" i="41"/>
  <c r="O665" i="41"/>
  <c r="K679" i="41"/>
  <c r="L679" i="41"/>
  <c r="M679" i="41"/>
  <c r="N679" i="41"/>
  <c r="O679" i="41"/>
  <c r="K680" i="41"/>
  <c r="L680" i="41"/>
  <c r="M680" i="41"/>
  <c r="N680" i="41"/>
  <c r="O680" i="41"/>
  <c r="K684" i="41"/>
  <c r="L684" i="41"/>
  <c r="M684" i="41"/>
  <c r="N684" i="41"/>
  <c r="O684" i="41"/>
  <c r="K685" i="41"/>
  <c r="L685" i="41"/>
  <c r="M685" i="41"/>
  <c r="N685" i="41"/>
  <c r="O685" i="41"/>
  <c r="K689" i="41"/>
  <c r="L689" i="41"/>
  <c r="M689" i="41"/>
  <c r="N689" i="41"/>
  <c r="O689" i="41"/>
  <c r="K690" i="41"/>
  <c r="L690" i="41"/>
  <c r="M690" i="41"/>
  <c r="N690" i="41"/>
  <c r="O690" i="41"/>
  <c r="K694" i="41"/>
  <c r="L694" i="41"/>
  <c r="M694" i="41"/>
  <c r="N694" i="41"/>
  <c r="O694" i="41"/>
  <c r="K695" i="41"/>
  <c r="L695" i="41"/>
  <c r="M695" i="41"/>
  <c r="N695" i="41"/>
  <c r="O695" i="41"/>
  <c r="K699" i="41"/>
  <c r="L699" i="41"/>
  <c r="M699" i="41"/>
  <c r="N699" i="41"/>
  <c r="O699" i="41"/>
  <c r="K700" i="41"/>
  <c r="L700" i="41"/>
  <c r="M700" i="41"/>
  <c r="N700" i="41"/>
  <c r="O700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3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FMI:</t>
        </r>
        <r>
          <rPr>
            <sz val="9"/>
            <color indexed="81"/>
            <rFont val="Tahoma"/>
            <family val="2"/>
          </rPr>
          <t xml:space="preserve">
Ending cash balance was incorrectly linked to beginning cash on CFS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Wrong order of choices in CHOOSE function</t>
        </r>
      </text>
    </comment>
    <comment ref="K1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Missing Best Case scenario</t>
        </r>
      </text>
    </comment>
    <comment ref="K14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Base Case instead of Modeled Case</t>
        </r>
      </text>
    </comment>
    <comment ref="K16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Hardcoded - won't run for Best and Worst scenarios</t>
        </r>
      </text>
    </comment>
    <comment ref="M21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wrong years</t>
        </r>
      </text>
    </comment>
    <comment ref="K21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wrong row</t>
        </r>
      </text>
    </comment>
    <comment ref="K24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be gross less sales discounts</t>
        </r>
      </text>
    </comment>
    <comment ref="K29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Wrong sign for Cash Flow</t>
        </r>
      </text>
    </comment>
    <comment ref="K29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ending balance</t>
        </r>
      </text>
    </comment>
    <comment ref="K30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ending balance</t>
        </r>
      </text>
    </comment>
    <comment ref="K30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Wrong sign for Cash Flow</t>
        </r>
      </text>
    </comment>
    <comment ref="K324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day receivable</t>
        </r>
      </text>
    </comment>
    <comment ref="K32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adding capex, but deducting</t>
        </r>
      </text>
    </comment>
    <comment ref="K34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be last year plus deferred, not just deferred from I/S
</t>
        </r>
      </text>
    </comment>
    <comment ref="L343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Tried plugging balance sheet</t>
        </r>
      </text>
    </comment>
    <comment ref="K37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adding up new depreciation</t>
        </r>
      </text>
    </comment>
    <comment ref="J453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deduct A/P instead of adding</t>
        </r>
      </text>
    </comment>
    <comment ref="K501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be % of Issue Amt. not End Balance of 2018</t>
        </r>
      </text>
    </comment>
    <comment ref="K53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Have to use YEAR(date) not Right(date, 4)</t>
        </r>
      </text>
    </comment>
    <comment ref="K54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Linking to wrong maturity date</t>
        </r>
      </text>
    </comment>
    <comment ref="K54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Linking to rate for 2022 notes</t>
        </r>
      </text>
    </comment>
    <comment ref="K571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inflation instead of LIBOR</t>
        </r>
      </text>
    </comment>
    <comment ref="K575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be negative not positive</t>
        </r>
      </text>
    </comment>
    <comment ref="J590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Mislinked by one year</t>
        </r>
      </text>
    </comment>
    <comment ref="K624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Wrong flow of dividends</t>
        </r>
      </text>
    </comment>
    <comment ref="K684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Linked to Total Debt instead of Net Debt</t>
        </r>
      </text>
    </comment>
  </commentList>
</comments>
</file>

<file path=xl/sharedStrings.xml><?xml version="1.0" encoding="utf-8"?>
<sst xmlns="http://schemas.openxmlformats.org/spreadsheetml/2006/main" count="1108" uniqueCount="353">
  <si>
    <t>Pricing Case</t>
  </si>
  <si>
    <t>Pricing</t>
  </si>
  <si>
    <t>Terminal Year</t>
  </si>
  <si>
    <t>Exchange Rate</t>
  </si>
  <si>
    <t>Total</t>
  </si>
  <si>
    <t>Strategic</t>
  </si>
  <si>
    <t>Projected</t>
  </si>
  <si>
    <t>Net Revenue</t>
  </si>
  <si>
    <t>Cost of Sales</t>
  </si>
  <si>
    <t>EBITDA</t>
  </si>
  <si>
    <t>Depreciation &amp; Amortization</t>
  </si>
  <si>
    <t>EBIT</t>
  </si>
  <si>
    <t>Net Income</t>
  </si>
  <si>
    <t>Capacity</t>
  </si>
  <si>
    <t>Operating Activities</t>
  </si>
  <si>
    <t>Other</t>
  </si>
  <si>
    <t>Operating Cash Flow</t>
  </si>
  <si>
    <t>ASSETS</t>
  </si>
  <si>
    <t>Cash</t>
  </si>
  <si>
    <t>Accounts Receivable</t>
  </si>
  <si>
    <t>Inventory</t>
  </si>
  <si>
    <t>Total Current Assets</t>
  </si>
  <si>
    <t>Net PP&amp;E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</si>
  <si>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</si>
  <si>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</si>
  <si>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</si>
  <si>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</si>
  <si>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</si>
  <si>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</si>
  <si>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Shareholder's Equity</t>
  </si>
  <si>
    <t>Total Liabilities and Equity</t>
  </si>
  <si>
    <t>Check</t>
  </si>
  <si>
    <t>Days In</t>
  </si>
  <si>
    <t>Inventories</t>
  </si>
  <si>
    <t>Account Balances</t>
  </si>
  <si>
    <t>Net Working Capital</t>
  </si>
  <si>
    <t>A</t>
  </si>
  <si>
    <t>B</t>
  </si>
  <si>
    <t>Chemicals</t>
  </si>
  <si>
    <t>(US$ / C$)</t>
  </si>
  <si>
    <t>Variable Costs</t>
  </si>
  <si>
    <t>Total Variable Costs</t>
  </si>
  <si>
    <t>Fixed Costs</t>
  </si>
  <si>
    <t>S,G &amp; A</t>
  </si>
  <si>
    <t>Income Statement</t>
  </si>
  <si>
    <t>Margins</t>
  </si>
  <si>
    <t>EBITDA Margin</t>
  </si>
  <si>
    <t>EBIT Margin</t>
  </si>
  <si>
    <t>Depreciation to Existing Assets</t>
  </si>
  <si>
    <t>Total Depreciation</t>
  </si>
  <si>
    <t>Operating Days</t>
  </si>
  <si>
    <t>(Days)</t>
  </si>
  <si>
    <t>Revenue</t>
  </si>
  <si>
    <t>Gross Revenue</t>
  </si>
  <si>
    <t>Total Costs</t>
  </si>
  <si>
    <t>Depreciation</t>
  </si>
  <si>
    <t>Maintenance</t>
  </si>
  <si>
    <t>Environmental</t>
  </si>
  <si>
    <t>Cash Flow Statement</t>
  </si>
  <si>
    <t>Costs of Production</t>
  </si>
  <si>
    <t>Income Tax Schedule</t>
  </si>
  <si>
    <t>Working Capital Schedule</t>
  </si>
  <si>
    <t>Total Fixed Costs</t>
  </si>
  <si>
    <t>Freight &amp; Warehousing</t>
  </si>
  <si>
    <t>Implied Operating Rate</t>
  </si>
  <si>
    <t>Energy</t>
  </si>
  <si>
    <t>Supplies</t>
  </si>
  <si>
    <t>Operating Labour</t>
  </si>
  <si>
    <t>Salaries &amp; Benefits</t>
  </si>
  <si>
    <t>CAPEX</t>
  </si>
  <si>
    <t>Change in the Cash Position</t>
  </si>
  <si>
    <t>Beginning Cash</t>
  </si>
  <si>
    <t>Ending Cash</t>
  </si>
  <si>
    <t>Economic and Pricing Scenarios</t>
  </si>
  <si>
    <t>Capex used in the model is maintenance Capex only</t>
  </si>
  <si>
    <t>Base Case</t>
  </si>
  <si>
    <t>Best Case</t>
  </si>
  <si>
    <t>Worst Case</t>
  </si>
  <si>
    <t>(days)</t>
  </si>
  <si>
    <t xml:space="preserve">Gross Sales Price </t>
  </si>
  <si>
    <t>Raw Material</t>
  </si>
  <si>
    <t>Debt and Interest Schedule</t>
  </si>
  <si>
    <t>Net Sales Price</t>
  </si>
  <si>
    <t>Amount Outstanding - Beginning</t>
  </si>
  <si>
    <t>Additions / (Repayments)</t>
  </si>
  <si>
    <t>Amount Outstanding - Ending</t>
  </si>
  <si>
    <t>Annual Interest Expense</t>
  </si>
  <si>
    <t>Annual Interest Income</t>
  </si>
  <si>
    <t>Change in Cash</t>
  </si>
  <si>
    <t>Financing Activities</t>
  </si>
  <si>
    <t>Interest Expense</t>
  </si>
  <si>
    <t>EBT</t>
  </si>
  <si>
    <t>(US$/unit)</t>
  </si>
  <si>
    <t>(CDN$/unit)</t>
  </si>
  <si>
    <t>Units per day</t>
  </si>
  <si>
    <t>(Units)</t>
  </si>
  <si>
    <t>(000's units)</t>
  </si>
  <si>
    <t>COSTS PER UNIT</t>
  </si>
  <si>
    <t>FX Rate - US$ / C$</t>
  </si>
  <si>
    <t>Sales Price - US$/Unit</t>
  </si>
  <si>
    <t>Avg. of Last 5 Years</t>
  </si>
  <si>
    <t>The product pricing cases used in the model are as follows:</t>
  </si>
  <si>
    <t>-</t>
  </si>
  <si>
    <t>- Operating Days per Year:</t>
  </si>
  <si>
    <t>- Tax rate assumed in the model:</t>
  </si>
  <si>
    <t>GENERAL</t>
  </si>
  <si>
    <t>PRODUCT PRICING</t>
  </si>
  <si>
    <t>OPERATIONS</t>
  </si>
  <si>
    <t>TAXES</t>
  </si>
  <si>
    <t>COSTS</t>
  </si>
  <si>
    <t>Cost Item</t>
  </si>
  <si>
    <t>Raw Materials</t>
  </si>
  <si>
    <t>Increases</t>
  </si>
  <si>
    <t>Inflation on a unit basis</t>
  </si>
  <si>
    <t>Salaries</t>
  </si>
  <si>
    <t>SG&amp;A</t>
  </si>
  <si>
    <t>Inflation on a total $ basis</t>
  </si>
  <si>
    <t>DEPRECIATION</t>
  </si>
  <si>
    <t>Straight Line</t>
  </si>
  <si>
    <t>WORKING CAPITAL DAYS</t>
  </si>
  <si>
    <t>CAPITAL EXPENDITURES (CAPEX)</t>
  </si>
  <si>
    <t xml:space="preserve">If productivity enhancing (strategic) capex is added, corresponding changes to the model's capacity and/or cost structure </t>
  </si>
  <si>
    <t>will need to be incorporated</t>
  </si>
  <si>
    <t>ECONOMIC SCENARIOS</t>
  </si>
  <si>
    <t>- Depreciation Methodology Used:</t>
  </si>
  <si>
    <t>Current Income Taxes</t>
  </si>
  <si>
    <t>Total Income Taxes</t>
  </si>
  <si>
    <t>Tax Rate</t>
  </si>
  <si>
    <t>Taxes as Appearing on Income Statement</t>
  </si>
  <si>
    <t>Total Income Taxes (Same as Accounting Taxes Above)</t>
  </si>
  <si>
    <t>Cost Inflation</t>
  </si>
  <si>
    <t>SCENARIO SWITCH:</t>
  </si>
  <si>
    <t>Revenue Schedule</t>
  </si>
  <si>
    <t xml:space="preserve">Earnings Before Taxes (as is on I/S)   </t>
  </si>
  <si>
    <t>Plus: New Capex</t>
  </si>
  <si>
    <t>1/2 of New Capex</t>
  </si>
  <si>
    <t>C</t>
  </si>
  <si>
    <t>D</t>
  </si>
  <si>
    <t>E</t>
  </si>
  <si>
    <t>Investing Activities</t>
  </si>
  <si>
    <t>Investing Cash Flow</t>
  </si>
  <si>
    <t>Financing Cash Flow</t>
  </si>
  <si>
    <t>Balance Sheet</t>
  </si>
  <si>
    <t>(C$ MM)</t>
  </si>
  <si>
    <t>Days per Year</t>
  </si>
  <si>
    <t>Inputs and Assumptions</t>
  </si>
  <si>
    <t>- Factory Capacity (Units per day):</t>
  </si>
  <si>
    <t>SALES SCENARIOS</t>
  </si>
  <si>
    <t>Sales Volume Growth</t>
  </si>
  <si>
    <t>(%)</t>
  </si>
  <si>
    <t>Sales Volume</t>
  </si>
  <si>
    <t>Annual Sales Volume</t>
  </si>
  <si>
    <t>Earnings per Share</t>
  </si>
  <si>
    <t>(MM's)</t>
  </si>
  <si>
    <t>Change in Working Capital</t>
  </si>
  <si>
    <t>Shareholders' Equity Schedule</t>
  </si>
  <si>
    <t>Common Shares</t>
  </si>
  <si>
    <t>Dividend Payout Rate</t>
  </si>
  <si>
    <t>Common Dividend</t>
  </si>
  <si>
    <t>Retained Earnings</t>
  </si>
  <si>
    <t>EQUITY</t>
  </si>
  <si>
    <t>Common Dividend Payout Rate</t>
  </si>
  <si>
    <t>Common Stock Issuance / (Buy-back)</t>
  </si>
  <si>
    <t>Common Shares Issuance/ (Buy-Back)</t>
  </si>
  <si>
    <t>Common Dividends</t>
  </si>
  <si>
    <t>Shares Outstanding</t>
  </si>
  <si>
    <t>Cost of Equity</t>
  </si>
  <si>
    <t>New Issuance / (Buy-Back)</t>
  </si>
  <si>
    <t>Fully Diluted Shares O/S (MM) - Beginning</t>
  </si>
  <si>
    <t>Fully Diluted Shares O/S (MM) - Ending</t>
  </si>
  <si>
    <t>Stock Option Grants</t>
  </si>
  <si>
    <t>Stock Option Grants (MM)</t>
  </si>
  <si>
    <t>Return on Equity</t>
  </si>
  <si>
    <t>Changes in working capital</t>
  </si>
  <si>
    <t>Dividends</t>
  </si>
  <si>
    <t>and sales volume growth</t>
  </si>
  <si>
    <t>Insurance</t>
  </si>
  <si>
    <t>Revolver</t>
  </si>
  <si>
    <t>Revolver Issuance / (Repayment)</t>
  </si>
  <si>
    <t>Term Debt Issuance / (Repayment)</t>
  </si>
  <si>
    <t>Depreciation Schedule</t>
  </si>
  <si>
    <t>Average Diluted Shares O/S</t>
  </si>
  <si>
    <t>FCF After Mandatory Debt Repayment and Dividend</t>
  </si>
  <si>
    <t>Revolver Outstanding - Beginning</t>
  </si>
  <si>
    <t>Revolver Outstanding - Ending</t>
  </si>
  <si>
    <t>Average Fully Diluted Shares O/S</t>
  </si>
  <si>
    <t xml:space="preserve"> </t>
  </si>
  <si>
    <t>Income Statement Items</t>
  </si>
  <si>
    <t>First year of forecast period in Model:</t>
  </si>
  <si>
    <t>Total Debt / EBITDA</t>
  </si>
  <si>
    <t>Management Forecast</t>
  </si>
  <si>
    <t>LIBOR</t>
  </si>
  <si>
    <t>LIBOR Forecast</t>
  </si>
  <si>
    <t>Spread to LIBOR</t>
  </si>
  <si>
    <t>Repayment Schedule</t>
  </si>
  <si>
    <t>Interest Rate (LIBOR + Spread)</t>
  </si>
  <si>
    <t xml:space="preserve">Cost of Equity </t>
  </si>
  <si>
    <t>Cost Adjustment 1 / (Benefit)</t>
  </si>
  <si>
    <t>Cost Adjustment 2 / (Benefit)</t>
  </si>
  <si>
    <t>Cost Adjustment 3 / (Benefit)</t>
  </si>
  <si>
    <t>Total Adjustments</t>
  </si>
  <si>
    <t>COST ADJUSTMENTS (PRE-EBITDA)</t>
  </si>
  <si>
    <t>Cost Adjustments</t>
  </si>
  <si>
    <t>The model is a 5-year cash flow model</t>
  </si>
  <si>
    <t>Three scenarios have been used for Inflation, FX, Product Pricing</t>
  </si>
  <si>
    <t>- Years remaining for depreciation of existing assets:</t>
  </si>
  <si>
    <t>- Years used for depreciation of new assets:</t>
  </si>
  <si>
    <t>Years Remaining on Existing Assets:</t>
  </si>
  <si>
    <t>Depreciation Years on New Assets:</t>
  </si>
  <si>
    <t>MM</t>
  </si>
  <si>
    <t>per Unit</t>
  </si>
  <si>
    <t>PIK Amount</t>
  </si>
  <si>
    <t>PIK Interest Percentage</t>
  </si>
  <si>
    <t>Cash Interest Percentage</t>
  </si>
  <si>
    <t>Interest Rate</t>
  </si>
  <si>
    <t>PIK Interest Expense</t>
  </si>
  <si>
    <t>Cash Interest Expense</t>
  </si>
  <si>
    <t>Total Interest Expense</t>
  </si>
  <si>
    <t>Cash Interest</t>
  </si>
  <si>
    <t>PIK Interest</t>
  </si>
  <si>
    <t>Mezzanine Issuance / (Repayment)</t>
  </si>
  <si>
    <t>Deferred Income Taxes</t>
  </si>
  <si>
    <t>Increase (Decrease) in Deferred Income Taxes</t>
  </si>
  <si>
    <t>Minimum Cash Balance Required</t>
  </si>
  <si>
    <t>Cash Available for (Required from) Revolver</t>
  </si>
  <si>
    <t>Long Term Debt</t>
  </si>
  <si>
    <t>Bank Indebtedness</t>
  </si>
  <si>
    <t>Current Portion of Long Term Debt</t>
  </si>
  <si>
    <t>Debt and Interest Schedule (cont'd)</t>
  </si>
  <si>
    <t>Cash Balances</t>
  </si>
  <si>
    <t>Refinancing Debt</t>
  </si>
  <si>
    <t>Maturity</t>
  </si>
  <si>
    <t>N/A</t>
  </si>
  <si>
    <t>Bank Revolver</t>
  </si>
  <si>
    <t>Pricing Grid</t>
  </si>
  <si>
    <t>INTEREST RATES &amp; MATURTIES</t>
  </si>
  <si>
    <t>SENIOR TERM LOAN</t>
  </si>
  <si>
    <t>Out. Amt.</t>
  </si>
  <si>
    <t>Issue Amt.</t>
  </si>
  <si>
    <t>Operating Labor</t>
  </si>
  <si>
    <t>See Sched.</t>
  </si>
  <si>
    <t>Int. Rate</t>
  </si>
  <si>
    <t>Debt Instrument ($MM)</t>
  </si>
  <si>
    <t>CHANGE IN EQUITY</t>
  </si>
  <si>
    <t>Senior Notes Issuance / (Repayment)</t>
  </si>
  <si>
    <t>Refinancing Debt Issuance / (Repayment)</t>
  </si>
  <si>
    <t>Additions from Senior Term Loan</t>
  </si>
  <si>
    <t>Additions from Mezzanine Debt</t>
  </si>
  <si>
    <t>Refi w/ LTD?</t>
  </si>
  <si>
    <t>Long Term Debt Issuance / (Repayments)</t>
  </si>
  <si>
    <t>Assumed Stock Price</t>
  </si>
  <si>
    <t>Interest Income on Cash Balance</t>
  </si>
  <si>
    <t>Senior Secured Term Loan</t>
  </si>
  <si>
    <t>Mezzanine - Cash Interest</t>
  </si>
  <si>
    <t>Mezzanine - PIK Interest</t>
  </si>
  <si>
    <t>Total Non-Cash Interest Expense</t>
  </si>
  <si>
    <t>Total Net Cash Interest Expense</t>
  </si>
  <si>
    <t>Cash Interest Expense Summary:</t>
  </si>
  <si>
    <t>Non-Cash Interest Expense Summary:</t>
  </si>
  <si>
    <t>Long Term Debt Summary:</t>
  </si>
  <si>
    <t>Total Long Term Debt</t>
  </si>
  <si>
    <t>Balance Sheet Amounts:</t>
  </si>
  <si>
    <t>Debt and Interest Summary</t>
  </si>
  <si>
    <t>If Total Debt / EBITDA &gt;=</t>
  </si>
  <si>
    <t xml:space="preserve">Refi w / </t>
  </si>
  <si>
    <t>LTD?</t>
  </si>
  <si>
    <t>Debt/EBITDA</t>
  </si>
  <si>
    <t>PIK Int. %</t>
  </si>
  <si>
    <t>($ Millions)</t>
  </si>
  <si>
    <t>Deduct Tax Depreciation</t>
  </si>
  <si>
    <t>($ MM)</t>
  </si>
  <si>
    <t>Tax Depreciation Schedule</t>
  </si>
  <si>
    <t>Blended Tax Dep'n Rate</t>
  </si>
  <si>
    <t>Less: Tax Dep'n Available and Used</t>
  </si>
  <si>
    <t>($/unit)</t>
  </si>
  <si>
    <t>COSTS IN $ MILLIONS</t>
  </si>
  <si>
    <t>($ / share)</t>
  </si>
  <si>
    <t>($ millions)</t>
  </si>
  <si>
    <t>Values Required to Calculate Credit Statistics</t>
  </si>
  <si>
    <t>Income Statement Values</t>
  </si>
  <si>
    <t>Current Taxes</t>
  </si>
  <si>
    <t>Cash Flow Statement Values</t>
  </si>
  <si>
    <t>Capital Expenditures</t>
  </si>
  <si>
    <t>Mandatory Debt Repayments</t>
  </si>
  <si>
    <t>Balance Sheet Values</t>
  </si>
  <si>
    <t>Bank Debt - Revolver</t>
  </si>
  <si>
    <t>Total Debt</t>
  </si>
  <si>
    <t>Net Debt</t>
  </si>
  <si>
    <t>Shareholders' Equity</t>
  </si>
  <si>
    <t>Credit Statistics and Covenants</t>
  </si>
  <si>
    <t>CREDIT RATIOS</t>
  </si>
  <si>
    <t>Covenant</t>
  </si>
  <si>
    <t>EBITDA Cushion</t>
  </si>
  <si>
    <t>Net Debt / EBITDA</t>
  </si>
  <si>
    <t>Interest Coverage</t>
  </si>
  <si>
    <t>EBITDA / Interest</t>
  </si>
  <si>
    <t>Fixed Charge Coverage</t>
  </si>
  <si>
    <t>EBITDA / (Interest + Mand Debt Rpmt + Current Tax)</t>
  </si>
  <si>
    <t>Total Debt/ Capital</t>
  </si>
  <si>
    <t>Total Debt/ (Total Debt + Shareholders' Equity)</t>
  </si>
  <si>
    <t>Total Debt Cushion</t>
  </si>
  <si>
    <t>COVENANTS</t>
  </si>
  <si>
    <t>Mezz. PIK Interest Percentage</t>
  </si>
  <si>
    <t>Other Long Term Debt</t>
  </si>
  <si>
    <t>if prev. yr Debt/EBITDA is</t>
  </si>
  <si>
    <t>Windsol Manufacturing</t>
  </si>
  <si>
    <t>Wrong sign for Cash Flow</t>
  </si>
  <si>
    <t>Linked to day receivable</t>
  </si>
  <si>
    <t>Not adding capex, but deducting</t>
  </si>
  <si>
    <t>Linked to wrong row</t>
  </si>
  <si>
    <t>Linked to wrong years</t>
  </si>
  <si>
    <t>Should be negative not positive</t>
  </si>
  <si>
    <t>Mislinked by one year</t>
  </si>
  <si>
    <t>Have to use YEAR(date) not Right(date, 4)</t>
  </si>
  <si>
    <t>Linking to wrong maturity date</t>
  </si>
  <si>
    <t>Linking to rate for 2022 notes</t>
  </si>
  <si>
    <t>Linked to inflation instead of LIBOR</t>
  </si>
  <si>
    <t>Wrong flow of dividends</t>
  </si>
  <si>
    <t>Wrong order of choices in CHOOSE function</t>
  </si>
  <si>
    <t>Missing Best Case scenario</t>
  </si>
  <si>
    <t>Linked to Total Debt instead of Net Debt</t>
  </si>
  <si>
    <t>Hardcoded - won't run for Best and Worst scenarios</t>
  </si>
  <si>
    <t>Linked to Base Case instead of Modeled Case</t>
  </si>
  <si>
    <t>Should deduct A/P instead of adding</t>
  </si>
  <si>
    <t>Sched. Repayment % of Issue Amt.</t>
  </si>
  <si>
    <t>Should be % of Issue Amt. not End Balance of 2018</t>
  </si>
  <si>
    <t>Tried plugging balance sheet</t>
  </si>
  <si>
    <t>Should be last year plus deferred, not just deferred from I/S</t>
  </si>
  <si>
    <t>Difference</t>
  </si>
  <si>
    <t>Missing 2023 Notes</t>
  </si>
  <si>
    <t>Linked to ending balance instead of change</t>
  </si>
  <si>
    <t>Add Back GAAP Depreciation</t>
  </si>
  <si>
    <t>Earnings Before NOL after Tax Dep'n</t>
  </si>
  <si>
    <t>Net Operating Loss Schedule</t>
  </si>
  <si>
    <t>Existing NOL (Initial Balance)</t>
  </si>
  <si>
    <t>Existing NOL Used</t>
  </si>
  <si>
    <t>Earnings after use of Existing NOL</t>
  </si>
  <si>
    <t>Newly Created NOL - Beginning</t>
  </si>
  <si>
    <t>Newly Created NOL Used (Added)</t>
  </si>
  <si>
    <t>Newly Created NOL - Ending</t>
  </si>
  <si>
    <t>Remaining Existing NOL</t>
  </si>
  <si>
    <t>Total NOL Available</t>
  </si>
  <si>
    <t>EBT After NOL</t>
  </si>
  <si>
    <t xml:space="preserve">Tax Basis Beginning </t>
  </si>
  <si>
    <t>Tax Basis After New Capex (1/2 Year)</t>
  </si>
  <si>
    <t>Tax Basis Ending (C + D - E)</t>
  </si>
  <si>
    <t>- Blended Tax Dep'n Rate assumed in the model:</t>
  </si>
  <si>
    <t>- Opening NOL balance ($MM):</t>
  </si>
  <si>
    <t>- Opening Tax Basis balance ($MM):</t>
  </si>
  <si>
    <t>Should be gross less sales discounts</t>
  </si>
  <si>
    <t>All Cases</t>
  </si>
  <si>
    <t>Only adding up new depreciation</t>
  </si>
  <si>
    <t>Interest Expense / (Income)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</si>
</sst>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164" formatCode="_-* #,##0.00_-;\-* #,##0.00_-;_-* &quot;-&quot;??_-;_-@_-"/>
    <numFmt numFmtId="165" formatCode="&quot;$&quot;#,##0_);\(&quot;$&quot;#,##0\)"/>
    <numFmt numFmtId="166" formatCode="&quot;$&quot;#,##0_);[Red]\(&quot;$&quot;#,##0\)"/>
    <numFmt numFmtId="167" formatCode="&quot;$&quot;#,##0.00_);\(&quot;$&quot;#,##0.00\)"/>
    <numFmt numFmtId="168" formatCode="&quot;$&quot;#,##0.00_);[Red]\(&quot;$&quot;#,##0.00\)"/>
    <numFmt numFmtId="169" formatCode="_(* #,##0.00_);_(* \(#,##0.00\);_(* &quot;-&quot;??_);_(@_)"/>
    <numFmt numFmtId="170" formatCode="_(* #,##0.0_);_(* \(#,##0.0\);_(* &quot;-&quot;??_);_(@_)"/>
    <numFmt numFmtId="171" formatCode="_(* #,##0_);_(* \(#,##0\);_(* &quot;-&quot;??_);_(@_)"/>
    <numFmt numFmtId="172" formatCode="0.0%"/>
    <numFmt numFmtId="173" formatCode="0.0000"/>
    <numFmt numFmtId="174" formatCode="#,##0.0_);\(#,##0.0\)"/>
    <numFmt numFmtId="175" formatCode="&quot;$&quot;#,##0.0_);\(&quot;$&quot;#,##0.0\)"/>
    <numFmt numFmtId="176" formatCode="#,##0.000_);\(#,##0.000\)"/>
    <numFmt numFmtId="177" formatCode="0.0_);\(0.0\)"/>
    <numFmt numFmtId="178" formatCode="0.00_);\(0.00\)"/>
    <numFmt numFmtId="179" formatCode="0.000_);\(0.000\)"/>
    <numFmt numFmtId="180" formatCode="0\A"/>
    <numFmt numFmtId="181" formatCode="&quot;- EBITDA margin of &quot;0.0%"/>
    <numFmt numFmtId="182" formatCode="&quot;- Opening UCC pool of &quot;&quot;$&quot;#,###.0&quot; million as of January 1, 1999&quot;"/>
    <numFmt numFmtId="183" formatCode="0%;\(0%\)"/>
    <numFmt numFmtId="184" formatCode="_-* #,##0_-;\-* #,##0_-;_-* &quot;-&quot;??_-;_-@_-"/>
    <numFmt numFmtId="185" formatCode="0_);\(0\)"/>
    <numFmt numFmtId="186" formatCode="0.0%\ ;\(0.0%\)"/>
    <numFmt numFmtId="187" formatCode="\+0%;\(0%\)"/>
    <numFmt numFmtId="188" formatCode="&quot;$&quot;#,##0.0"/>
    <numFmt numFmtId="189" formatCode="0\ &quot;years&quot;"/>
    <numFmt numFmtId="190" formatCode="#,##0.0000_);\(#,##0.0000\)"/>
    <numFmt numFmtId="191" formatCode="&quot;$&quot;#,##0.000_);\(&quot;$&quot;#,##0.000\)"/>
    <numFmt numFmtId="192" formatCode="0\F"/>
    <numFmt numFmtId="193" formatCode="\&gt;\ 0.0\ \x\ "/>
    <numFmt numFmtId="194" formatCode="0.0\ \x\ "/>
    <numFmt numFmtId="195" formatCode="&quot;$&quot;#,##0.000000_);\(&quot;$&quot;#,##0.000000\)"/>
    <numFmt numFmtId="196" formatCode="0.0%;\(0.0%\)"/>
    <numFmt numFmtId="197" formatCode="0.0"/>
    <numFmt numFmtId="198" formatCode="&quot;LIBOR - &quot;0.0%"/>
    <numFmt numFmtId="199" formatCode="[=0]&quot;No&quot;;[=1]&quot;Yes&quot;;General"/>
    <numFmt numFmtId="200" formatCode="&quot;$&quot;#,##0.00"/>
    <numFmt numFmtId="201" formatCode="0.000%"/>
    <numFmt numFmtId="202" formatCode="\ \ \&gt;\ 0.0\ \x\ "/>
    <numFmt numFmtId="203" formatCode="\ \ \ 0.0%\ ;\(0.0%\)"/>
    <numFmt numFmtId="204" formatCode="\ \ &quot;$&quot;#,##0.0_);\(&quot;$&quot;#,##0.0\)"/>
    <numFmt numFmtId="205" formatCode="[=0]\ \ \ \ \ &quot;No&quot;;[=1]\ \ \ \ &quot;Yes&quot;;General"/>
    <numFmt numFmtId="206" formatCode="\&lt;\ 0.0\ \x\ "/>
    <numFmt numFmtId="207" formatCode="\&lt;\ 0.0%\ "/>
    <numFmt numFmtId="208" formatCode="\&lt;\ 0.0%\ ;\(0.0%\)"/>
    <numFmt numFmtId="209" formatCode="&quot;Min.&quot;\ &quot;$&quot;0.0"/>
    <numFmt numFmtId="210" formatCode="0.0\x"/>
  </numFmts>
  <fonts count="61">
    <font>
      <sz val="10"/>
      <name val="Arial"/>
      <family val="2"/>
    </font>
    <font>
      <sz val="10"/>
      <name val="Book Antiqua"/>
      <family val="1"/>
    </font>
    <font>
      <sz val="10"/>
      <name val="Aldine401 BT"/>
    </font>
    <font>
      <sz val="10"/>
      <name val="Arial"/>
      <family val="2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Times New Roman"/>
      <family val="1"/>
    </font>
    <font>
      <b/>
      <sz val="18"/>
      <color indexed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4"/>
      <color indexed="8"/>
      <name val="Times New Roman"/>
      <family val="1"/>
    </font>
    <font>
      <sz val="10"/>
      <color indexed="9"/>
      <name val="Times New Roman"/>
      <family val="1"/>
    </font>
    <font>
      <b/>
      <sz val="10"/>
      <color indexed="9"/>
      <name val="Times New Roman"/>
      <family val="1"/>
    </font>
    <font>
      <i/>
      <sz val="10"/>
      <name val="Times New Roman"/>
      <family val="1"/>
    </font>
    <font>
      <sz val="10"/>
      <color indexed="12"/>
      <name val="Times New Roman"/>
      <family val="1"/>
    </font>
    <font>
      <sz val="10"/>
      <color indexed="10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9"/>
      <color indexed="12"/>
      <name val="Times New Roman"/>
      <family val="1"/>
    </font>
    <font>
      <sz val="10"/>
      <color indexed="8"/>
      <name val="Times New Roman"/>
      <family val="1"/>
    </font>
    <font>
      <b/>
      <sz val="9"/>
      <color indexed="12"/>
      <name val="Times New Roman"/>
      <family val="1"/>
    </font>
    <font>
      <b/>
      <sz val="9"/>
      <name val="Times New Roman"/>
      <family val="1"/>
    </font>
    <font>
      <b/>
      <sz val="16"/>
      <color indexed="8"/>
      <name val="Times New Roman"/>
      <family val="1"/>
    </font>
    <font>
      <b/>
      <sz val="9"/>
      <color indexed="8"/>
      <name val="Times New Roman"/>
      <family val="1"/>
    </font>
    <font>
      <sz val="12"/>
      <color indexed="8"/>
      <name val="Times New Roman"/>
      <family val="1"/>
    </font>
    <font>
      <i/>
      <sz val="10"/>
      <color indexed="12"/>
      <name val="Times New Roman"/>
      <family val="1"/>
    </font>
    <font>
      <b/>
      <sz val="10"/>
      <color indexed="10"/>
      <name val="Times New Roman"/>
      <family val="1"/>
    </font>
    <font>
      <b/>
      <i/>
      <sz val="14"/>
      <color indexed="10"/>
      <name val="Times New Roman"/>
      <family val="1"/>
    </font>
    <font>
      <b/>
      <i/>
      <sz val="10"/>
      <color indexed="8"/>
      <name val="Times New Roman"/>
      <family val="1"/>
    </font>
    <font>
      <b/>
      <i/>
      <sz val="9"/>
      <color indexed="10"/>
      <name val="Times New Roman"/>
      <family val="1"/>
    </font>
    <font>
      <b/>
      <sz val="18"/>
      <color indexed="8"/>
      <name val="Times New Roman"/>
      <family val="1"/>
    </font>
    <font>
      <b/>
      <u/>
      <sz val="9"/>
      <name val="Times New Roman"/>
      <family val="1"/>
    </font>
    <font>
      <sz val="16"/>
      <name val="Times New Roman"/>
      <family val="1"/>
    </font>
    <font>
      <sz val="8"/>
      <color indexed="12"/>
      <name val="Times New Roman"/>
      <family val="1"/>
    </font>
    <font>
      <u/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color indexed="9"/>
      <name val="Times New Roman"/>
      <family val="1"/>
    </font>
    <font>
      <b/>
      <i/>
      <sz val="12"/>
      <name val="Times New Roman"/>
      <family val="1"/>
    </font>
    <font>
      <sz val="9"/>
      <color indexed="81"/>
      <name val="Tahoma"/>
      <family val="2"/>
    </font>
    <font>
      <b/>
      <sz val="11"/>
      <name val="Times New Roman"/>
      <family val="1"/>
    </font>
    <font>
      <sz val="10"/>
      <color indexed="61"/>
      <name val="Times New Roman"/>
      <family val="1"/>
    </font>
    <font>
      <b/>
      <sz val="10"/>
      <color indexed="61"/>
      <name val="Times New Roman"/>
      <family val="1"/>
    </font>
    <font>
      <vertAlign val="superscript"/>
      <sz val="7"/>
      <name val="Times New Roman"/>
      <family val="1"/>
    </font>
    <font>
      <sz val="10"/>
      <color indexed="12"/>
      <name val="Times New Roman"/>
      <family val="1"/>
    </font>
    <font>
      <b/>
      <sz val="10"/>
      <color indexed="10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rgb="FF0000FF"/>
      <name val="Times New Roman"/>
      <family val="1"/>
    </font>
    <font>
      <sz val="10"/>
      <color rgb="FF800000"/>
      <name val="Times New Roman"/>
      <family val="1"/>
    </font>
    <font>
      <b/>
      <sz val="18"/>
      <color rgb="FF0000FF"/>
      <name val="Times New Roman"/>
      <family val="1"/>
    </font>
    <font>
      <b/>
      <sz val="9"/>
      <color indexed="81"/>
      <name val="Tahoma"/>
      <family val="2"/>
    </font>
    <font>
      <i/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66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4">
    <xf numFmtId="0" fontId="0" fillId="0" borderId="0"/>
    <xf numFmtId="0" fontId="1" fillId="0" borderId="0" applyNumberFormat="0" applyFont="0" applyFill="0" applyBorder="0" applyProtection="0">
      <alignment horizontal="centerContinuous"/>
    </xf>
    <xf numFmtId="0" fontId="1" fillId="0" borderId="1" applyNumberFormat="0" applyFont="0" applyFill="0" applyAlignment="0" applyProtection="0"/>
    <xf numFmtId="0" fontId="1" fillId="0" borderId="0" applyNumberFormat="0" applyFont="0" applyFill="0" applyBorder="0" applyProtection="0">
      <alignment horizontal="center"/>
    </xf>
    <xf numFmtId="169" fontId="2" fillId="0" borderId="0" applyFont="0" applyFill="0" applyBorder="0" applyAlignment="0" applyProtection="0"/>
    <xf numFmtId="164" fontId="54" fillId="0" borderId="0" applyFont="0" applyFill="0" applyBorder="0" applyAlignment="0" applyProtection="0"/>
    <xf numFmtId="168" fontId="4" fillId="0" borderId="2">
      <protection locked="0"/>
    </xf>
    <xf numFmtId="0" fontId="1" fillId="0" borderId="3" applyNumberFormat="0" applyFont="0" applyFill="0" applyAlignment="0" applyProtection="0"/>
    <xf numFmtId="0" fontId="55" fillId="0" borderId="0"/>
    <xf numFmtId="0" fontId="3" fillId="0" borderId="0"/>
    <xf numFmtId="0" fontId="6" fillId="0" borderId="0"/>
    <xf numFmtId="0" fontId="5" fillId="0" borderId="0" applyNumberFormat="0" applyFill="0" applyBorder="0" applyAlignment="0" applyProtection="0"/>
    <xf numFmtId="184" fontId="2" fillId="0" borderId="0" applyNumberFormat="0" applyFill="0" applyBorder="0" applyAlignment="0" applyProtection="0"/>
    <xf numFmtId="0" fontId="1" fillId="0" borderId="4" applyNumberFormat="0" applyFont="0" applyFill="0" applyAlignment="0" applyProtection="0"/>
  </cellStyleXfs>
  <cellXfs count="569">
    <xf numFmtId="0" fontId="0" fillId="0" borderId="0" xfId="0"/>
    <xf numFmtId="172" fontId="18" fillId="0" borderId="0" xfId="0" applyNumberFormat="1" applyFont="1"/>
    <xf numFmtId="37" fontId="26" fillId="0" borderId="0" xfId="0" applyNumberFormat="1" applyFont="1"/>
    <xf numFmtId="172" fontId="6" fillId="0" borderId="0" xfId="0" applyNumberFormat="1" applyFont="1"/>
    <xf numFmtId="0" fontId="40" fillId="0" borderId="0" xfId="10" applyFont="1"/>
    <xf numFmtId="0" fontId="6" fillId="0" borderId="0" xfId="10"/>
    <xf numFmtId="0" fontId="6" fillId="0" borderId="0" xfId="10" applyAlignment="1">
      <alignment horizontal="center"/>
    </xf>
    <xf numFmtId="0" fontId="13" fillId="0" borderId="1" xfId="10" applyFont="1" applyBorder="1" applyAlignment="1">
      <alignment horizontal="centerContinuous"/>
    </xf>
    <xf numFmtId="0" fontId="13" fillId="0" borderId="0" xfId="10" applyFont="1"/>
    <xf numFmtId="0" fontId="13" fillId="0" borderId="0" xfId="10" applyFont="1" applyAlignment="1">
      <alignment horizontal="center"/>
    </xf>
    <xf numFmtId="0" fontId="22" fillId="0" borderId="0" xfId="10" quotePrefix="1" applyFont="1" applyAlignment="1">
      <alignment horizontal="right"/>
    </xf>
    <xf numFmtId="0" fontId="22" fillId="0" borderId="0" xfId="10" applyFont="1" applyAlignment="1">
      <alignment horizontal="right"/>
    </xf>
    <xf numFmtId="0" fontId="23" fillId="0" borderId="0" xfId="10" applyFont="1" applyAlignment="1">
      <alignment horizontal="center"/>
    </xf>
    <xf numFmtId="0" fontId="6" fillId="0" borderId="0" xfId="10" quotePrefix="1" applyAlignment="1">
      <alignment horizontal="left"/>
    </xf>
    <xf numFmtId="0" fontId="6" fillId="0" borderId="6" xfId="10" applyBorder="1"/>
    <xf numFmtId="0" fontId="6" fillId="0" borderId="6" xfId="10" applyBorder="1" applyAlignment="1">
      <alignment horizontal="center"/>
    </xf>
    <xf numFmtId="37" fontId="24" fillId="0" borderId="0" xfId="0" applyNumberFormat="1" applyFont="1"/>
    <xf numFmtId="0" fontId="24" fillId="0" borderId="0" xfId="10" applyFont="1" applyAlignment="1">
      <alignment horizontal="center"/>
    </xf>
    <xf numFmtId="0" fontId="6" fillId="0" borderId="0" xfId="10" applyAlignment="1">
      <alignment horizontal="left"/>
    </xf>
    <xf numFmtId="0" fontId="6" fillId="0" borderId="1" xfId="10" applyBorder="1"/>
    <xf numFmtId="0" fontId="6" fillId="0" borderId="1" xfId="10" applyBorder="1" applyAlignment="1">
      <alignment horizontal="center"/>
    </xf>
    <xf numFmtId="178" fontId="26" fillId="0" borderId="0" xfId="4" applyNumberFormat="1" applyFont="1" applyAlignment="1">
      <alignment horizontal="right"/>
    </xf>
    <xf numFmtId="0" fontId="13" fillId="0" borderId="0" xfId="10" applyFont="1" applyAlignment="1">
      <alignment horizontal="left"/>
    </xf>
    <xf numFmtId="178" fontId="26" fillId="0" borderId="0" xfId="10" applyNumberFormat="1" applyFont="1"/>
    <xf numFmtId="183" fontId="26" fillId="0" borderId="0" xfId="10" applyNumberFormat="1" applyFont="1"/>
    <xf numFmtId="185" fontId="25" fillId="0" borderId="0" xfId="0" applyNumberFormat="1" applyFont="1"/>
    <xf numFmtId="178" fontId="13" fillId="0" borderId="0" xfId="0" applyNumberFormat="1" applyFont="1"/>
    <xf numFmtId="0" fontId="13" fillId="0" borderId="0" xfId="10" quotePrefix="1" applyFont="1" applyAlignment="1">
      <alignment horizontal="left"/>
    </xf>
    <xf numFmtId="178" fontId="26" fillId="0" borderId="14" xfId="10" applyNumberFormat="1" applyFont="1" applyBorder="1"/>
    <xf numFmtId="178" fontId="26" fillId="0" borderId="15" xfId="10" applyNumberFormat="1" applyFont="1" applyBorder="1"/>
    <xf numFmtId="178" fontId="26" fillId="0" borderId="16" xfId="4" applyNumberFormat="1" applyFont="1" applyBorder="1" applyAlignment="1">
      <alignment horizontal="right"/>
    </xf>
    <xf numFmtId="178" fontId="26" fillId="0" borderId="6" xfId="4" applyNumberFormat="1" applyFont="1" applyBorder="1" applyAlignment="1">
      <alignment horizontal="right"/>
    </xf>
    <xf numFmtId="178" fontId="26" fillId="0" borderId="17" xfId="10" applyNumberFormat="1" applyFont="1" applyBorder="1"/>
    <xf numFmtId="0" fontId="6" fillId="0" borderId="0" xfId="10" applyAlignment="1">
      <alignment vertical="center"/>
    </xf>
    <xf numFmtId="0" fontId="23" fillId="0" borderId="0" xfId="10" applyFont="1" applyAlignment="1">
      <alignment horizontal="center" vertical="center"/>
    </xf>
    <xf numFmtId="0" fontId="13" fillId="0" borderId="0" xfId="10" applyFont="1" applyAlignment="1">
      <alignment horizontal="left" vertical="center"/>
    </xf>
    <xf numFmtId="0" fontId="46" fillId="0" borderId="0" xfId="10" quotePrefix="1" applyFont="1" applyAlignment="1">
      <alignment horizontal="left"/>
    </xf>
    <xf numFmtId="0" fontId="48" fillId="0" borderId="0" xfId="10" applyFont="1" applyAlignment="1">
      <alignment horizontal="left"/>
    </xf>
    <xf numFmtId="0" fontId="6" fillId="0" borderId="7" xfId="10" applyBorder="1"/>
    <xf numFmtId="0" fontId="6" fillId="0" borderId="8" xfId="10" applyBorder="1"/>
    <xf numFmtId="0" fontId="6" fillId="0" borderId="8" xfId="10" applyBorder="1" applyAlignment="1">
      <alignment horizontal="center"/>
    </xf>
    <xf numFmtId="0" fontId="6" fillId="0" borderId="9" xfId="10" applyBorder="1" applyAlignment="1">
      <alignment horizontal="center"/>
    </xf>
    <xf numFmtId="0" fontId="13" fillId="0" borderId="10" xfId="10" applyFont="1" applyBorder="1" applyAlignment="1">
      <alignment vertical="center"/>
    </xf>
    <xf numFmtId="0" fontId="23" fillId="0" borderId="11" xfId="10" applyFont="1" applyBorder="1" applyAlignment="1">
      <alignment horizontal="center" vertical="center"/>
    </xf>
    <xf numFmtId="0" fontId="13" fillId="0" borderId="12" xfId="10" applyFont="1" applyBorder="1"/>
    <xf numFmtId="0" fontId="13" fillId="0" borderId="1" xfId="10" applyFont="1" applyBorder="1"/>
    <xf numFmtId="0" fontId="13" fillId="0" borderId="1" xfId="10" applyFont="1" applyBorder="1" applyAlignment="1">
      <alignment horizontal="center"/>
    </xf>
    <xf numFmtId="0" fontId="13" fillId="0" borderId="13" xfId="10" applyFont="1" applyBorder="1" applyAlignment="1">
      <alignment horizontal="center"/>
    </xf>
    <xf numFmtId="172" fontId="13" fillId="0" borderId="18" xfId="0" applyNumberFormat="1" applyFont="1" applyBorder="1" applyAlignment="1">
      <alignment vertical="center"/>
    </xf>
    <xf numFmtId="172" fontId="13" fillId="0" borderId="19" xfId="0" applyNumberFormat="1" applyFont="1" applyBorder="1" applyAlignment="1">
      <alignment vertical="center"/>
    </xf>
    <xf numFmtId="172" fontId="26" fillId="0" borderId="14" xfId="0" applyNumberFormat="1" applyFont="1" applyBorder="1"/>
    <xf numFmtId="172" fontId="26" fillId="0" borderId="17" xfId="0" applyNumberFormat="1" applyFont="1" applyBorder="1"/>
    <xf numFmtId="172" fontId="26" fillId="0" borderId="15" xfId="0" applyNumberFormat="1" applyFont="1" applyBorder="1"/>
    <xf numFmtId="172" fontId="26" fillId="0" borderId="0" xfId="0" applyNumberFormat="1" applyFont="1"/>
    <xf numFmtId="172" fontId="26" fillId="0" borderId="16" xfId="0" applyNumberFormat="1" applyFont="1" applyBorder="1"/>
    <xf numFmtId="172" fontId="26" fillId="0" borderId="6" xfId="0" applyNumberFormat="1" applyFont="1" applyBorder="1"/>
    <xf numFmtId="177" fontId="25" fillId="0" borderId="18" xfId="0" applyNumberFormat="1" applyFont="1" applyBorder="1" applyAlignment="1">
      <alignment vertical="center"/>
    </xf>
    <xf numFmtId="177" fontId="25" fillId="0" borderId="19" xfId="0" applyNumberFormat="1" applyFont="1" applyBorder="1" applyAlignment="1">
      <alignment vertical="center"/>
    </xf>
    <xf numFmtId="197" fontId="13" fillId="0" borderId="0" xfId="10" quotePrefix="1" applyNumberFormat="1" applyFont="1" applyAlignment="1">
      <alignment horizontal="right"/>
    </xf>
    <xf numFmtId="172" fontId="26" fillId="0" borderId="18" xfId="0" applyNumberFormat="1" applyFont="1" applyBorder="1"/>
    <xf numFmtId="172" fontId="26" fillId="0" borderId="19" xfId="0" applyNumberFormat="1" applyFont="1" applyBorder="1"/>
    <xf numFmtId="172" fontId="26" fillId="0" borderId="20" xfId="0" applyNumberFormat="1" applyFont="1" applyBorder="1"/>
    <xf numFmtId="177" fontId="25" fillId="0" borderId="20" xfId="0" applyNumberFormat="1" applyFont="1" applyBorder="1" applyAlignment="1">
      <alignment vertical="center"/>
    </xf>
    <xf numFmtId="172" fontId="13" fillId="0" borderId="20" xfId="0" applyNumberFormat="1" applyFont="1" applyBorder="1" applyAlignment="1">
      <alignment vertical="center"/>
    </xf>
    <xf numFmtId="172" fontId="26" fillId="0" borderId="21" xfId="0" applyNumberFormat="1" applyFont="1" applyBorder="1"/>
    <xf numFmtId="172" fontId="26" fillId="0" borderId="22" xfId="0" applyNumberFormat="1" applyFont="1" applyBorder="1"/>
    <xf numFmtId="172" fontId="26" fillId="0" borderId="23" xfId="0" applyNumberFormat="1" applyFont="1" applyBorder="1"/>
    <xf numFmtId="178" fontId="26" fillId="0" borderId="21" xfId="10" applyNumberFormat="1" applyFont="1" applyBorder="1"/>
    <xf numFmtId="178" fontId="26" fillId="0" borderId="22" xfId="10" applyNumberFormat="1" applyFont="1" applyBorder="1"/>
    <xf numFmtId="178" fontId="26" fillId="0" borderId="23" xfId="4" applyNumberFormat="1" applyFont="1" applyBorder="1" applyAlignment="1">
      <alignment horizontal="right"/>
    </xf>
    <xf numFmtId="0" fontId="6" fillId="0" borderId="0" xfId="0" applyFont="1" applyAlignment="1">
      <alignment horizontal="left" indent="1"/>
    </xf>
    <xf numFmtId="0" fontId="20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44" fillId="0" borderId="0" xfId="0" applyFont="1" applyAlignment="1">
      <alignment horizontal="right" vertical="center"/>
    </xf>
    <xf numFmtId="0" fontId="6" fillId="0" borderId="0" xfId="0" applyFont="1"/>
    <xf numFmtId="0" fontId="9" fillId="0" borderId="0" xfId="0" applyFont="1" applyAlignment="1">
      <alignment horizontal="centerContinuous"/>
    </xf>
    <xf numFmtId="0" fontId="35" fillId="0" borderId="5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17" fillId="0" borderId="0" xfId="0" quotePrefix="1" applyFont="1"/>
    <xf numFmtId="0" fontId="21" fillId="0" borderId="0" xfId="0" applyFont="1" applyAlignment="1">
      <alignment horizontal="centerContinuous"/>
    </xf>
    <xf numFmtId="0" fontId="21" fillId="0" borderId="1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36" fillId="0" borderId="0" xfId="0" applyFont="1"/>
    <xf numFmtId="0" fontId="13" fillId="0" borderId="18" xfId="0" applyFont="1" applyBorder="1"/>
    <xf numFmtId="0" fontId="6" fillId="0" borderId="19" xfId="0" applyFont="1" applyBorder="1"/>
    <xf numFmtId="0" fontId="22" fillId="0" borderId="0" xfId="0" quotePrefix="1" applyFont="1" applyAlignment="1">
      <alignment horizontal="right"/>
    </xf>
    <xf numFmtId="0" fontId="22" fillId="0" borderId="0" xfId="0" applyFont="1" applyAlignment="1">
      <alignment horizontal="right"/>
    </xf>
    <xf numFmtId="0" fontId="13" fillId="0" borderId="0" xfId="0" quotePrefix="1" applyFont="1" applyAlignment="1">
      <alignment horizontal="left"/>
    </xf>
    <xf numFmtId="37" fontId="31" fillId="0" borderId="0" xfId="0" applyNumberFormat="1" applyFont="1"/>
    <xf numFmtId="37" fontId="27" fillId="0" borderId="0" xfId="0" applyNumberFormat="1" applyFont="1"/>
    <xf numFmtId="175" fontId="25" fillId="0" borderId="0" xfId="0" applyNumberFormat="1" applyFont="1"/>
    <xf numFmtId="37" fontId="18" fillId="0" borderId="0" xfId="0" applyNumberFormat="1" applyFont="1"/>
    <xf numFmtId="174" fontId="27" fillId="0" borderId="0" xfId="0" applyNumberFormat="1" applyFont="1"/>
    <xf numFmtId="174" fontId="27" fillId="0" borderId="1" xfId="0" applyNumberFormat="1" applyFont="1" applyBorder="1"/>
    <xf numFmtId="0" fontId="13" fillId="0" borderId="0" xfId="0" applyFont="1"/>
    <xf numFmtId="37" fontId="28" fillId="0" borderId="0" xfId="0" applyNumberFormat="1" applyFont="1"/>
    <xf numFmtId="37" fontId="23" fillId="0" borderId="0" xfId="0" applyNumberFormat="1" applyFont="1"/>
    <xf numFmtId="37" fontId="25" fillId="0" borderId="0" xfId="0" applyNumberFormat="1" applyFont="1"/>
    <xf numFmtId="174" fontId="25" fillId="0" borderId="0" xfId="0" applyNumberFormat="1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72" fontId="49" fillId="0" borderId="0" xfId="0" applyNumberFormat="1" applyFont="1"/>
    <xf numFmtId="0" fontId="13" fillId="0" borderId="7" xfId="0" applyFont="1" applyBorder="1"/>
    <xf numFmtId="37" fontId="26" fillId="0" borderId="8" xfId="0" applyNumberFormat="1" applyFont="1" applyBorder="1"/>
    <xf numFmtId="37" fontId="18" fillId="0" borderId="8" xfId="0" applyNumberFormat="1" applyFont="1" applyBorder="1"/>
    <xf numFmtId="37" fontId="18" fillId="0" borderId="9" xfId="0" applyNumberFormat="1" applyFont="1" applyBorder="1"/>
    <xf numFmtId="0" fontId="6" fillId="0" borderId="10" xfId="0" applyFont="1" applyBorder="1" applyAlignment="1">
      <alignment horizontal="left"/>
    </xf>
    <xf numFmtId="174" fontId="27" fillId="0" borderId="11" xfId="0" applyNumberFormat="1" applyFont="1" applyBorder="1"/>
    <xf numFmtId="0" fontId="6" fillId="0" borderId="10" xfId="0" applyFont="1" applyBorder="1"/>
    <xf numFmtId="174" fontId="27" fillId="0" borderId="13" xfId="0" applyNumberFormat="1" applyFont="1" applyBorder="1"/>
    <xf numFmtId="0" fontId="13" fillId="0" borderId="12" xfId="0" applyFont="1" applyBorder="1"/>
    <xf numFmtId="37" fontId="28" fillId="0" borderId="1" xfId="0" applyNumberFormat="1" applyFont="1" applyBorder="1"/>
    <xf numFmtId="37" fontId="23" fillId="0" borderId="1" xfId="0" applyNumberFormat="1" applyFont="1" applyBorder="1"/>
    <xf numFmtId="37" fontId="25" fillId="0" borderId="1" xfId="0" applyNumberFormat="1" applyFont="1" applyBorder="1"/>
    <xf numFmtId="174" fontId="25" fillId="0" borderId="1" xfId="0" applyNumberFormat="1" applyFont="1" applyBorder="1"/>
    <xf numFmtId="174" fontId="25" fillId="0" borderId="13" xfId="0" applyNumberFormat="1" applyFont="1" applyBorder="1"/>
    <xf numFmtId="37" fontId="36" fillId="0" borderId="0" xfId="0" applyNumberFormat="1" applyFont="1"/>
    <xf numFmtId="0" fontId="24" fillId="0" borderId="0" xfId="0" applyFont="1"/>
    <xf numFmtId="37" fontId="6" fillId="0" borderId="0" xfId="0" quotePrefix="1" applyNumberFormat="1" applyFont="1" applyAlignment="1">
      <alignment horizontal="right"/>
    </xf>
    <xf numFmtId="174" fontId="6" fillId="0" borderId="0" xfId="0" quotePrefix="1" applyNumberFormat="1" applyFont="1" applyAlignment="1">
      <alignment horizontal="right"/>
    </xf>
    <xf numFmtId="37" fontId="13" fillId="0" borderId="0" xfId="0" applyNumberFormat="1" applyFont="1"/>
    <xf numFmtId="0" fontId="34" fillId="0" borderId="0" xfId="0" applyFont="1"/>
    <xf numFmtId="0" fontId="6" fillId="0" borderId="1" xfId="0" applyFont="1" applyBorder="1"/>
    <xf numFmtId="37" fontId="26" fillId="0" borderId="1" xfId="0" applyNumberFormat="1" applyFont="1" applyBorder="1"/>
    <xf numFmtId="37" fontId="18" fillId="0" borderId="1" xfId="0" applyNumberFormat="1" applyFont="1" applyBorder="1"/>
    <xf numFmtId="0" fontId="9" fillId="0" borderId="5" xfId="0" applyFont="1" applyBorder="1" applyAlignment="1">
      <alignment horizontal="centerContinuous"/>
    </xf>
    <xf numFmtId="0" fontId="17" fillId="0" borderId="0" xfId="0" quotePrefix="1" applyFont="1" applyAlignment="1">
      <alignment horizontal="left"/>
    </xf>
    <xf numFmtId="0" fontId="6" fillId="0" borderId="0" xfId="0" applyFont="1" applyAlignment="1">
      <alignment horizontal="right"/>
    </xf>
    <xf numFmtId="180" fontId="22" fillId="0" borderId="0" xfId="0" applyNumberFormat="1" applyFont="1" applyAlignment="1">
      <alignment horizontal="right"/>
    </xf>
    <xf numFmtId="180" fontId="22" fillId="0" borderId="0" xfId="0" quotePrefix="1" applyNumberFormat="1" applyFont="1" applyAlignment="1">
      <alignment horizontal="right"/>
    </xf>
    <xf numFmtId="37" fontId="6" fillId="0" borderId="0" xfId="4" applyNumberFormat="1" applyFont="1"/>
    <xf numFmtId="174" fontId="6" fillId="0" borderId="0" xfId="4" applyNumberFormat="1" applyFont="1"/>
    <xf numFmtId="37" fontId="18" fillId="0" borderId="0" xfId="4" applyNumberFormat="1" applyFont="1"/>
    <xf numFmtId="37" fontId="13" fillId="0" borderId="0" xfId="4" applyNumberFormat="1" applyFont="1"/>
    <xf numFmtId="165" fontId="13" fillId="0" borderId="0" xfId="4" applyNumberFormat="1" applyFont="1"/>
    <xf numFmtId="175" fontId="13" fillId="0" borderId="24" xfId="4" applyNumberFormat="1" applyFont="1" applyBorder="1"/>
    <xf numFmtId="175" fontId="13" fillId="0" borderId="0" xfId="4" applyNumberFormat="1" applyFont="1"/>
    <xf numFmtId="0" fontId="13" fillId="0" borderId="0" xfId="0" applyFont="1" applyAlignment="1">
      <alignment horizontal="left"/>
    </xf>
    <xf numFmtId="174" fontId="18" fillId="0" borderId="0" xfId="4" applyNumberFormat="1" applyFont="1"/>
    <xf numFmtId="174" fontId="6" fillId="0" borderId="0" xfId="0" applyNumberFormat="1" applyFont="1"/>
    <xf numFmtId="0" fontId="17" fillId="0" borderId="0" xfId="0" applyFont="1"/>
    <xf numFmtId="37" fontId="13" fillId="0" borderId="1" xfId="4" applyNumberFormat="1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  <xf numFmtId="0" fontId="44" fillId="0" borderId="0" xfId="9" quotePrefix="1" applyFont="1" applyAlignment="1">
      <alignment horizontal="right" vertical="center"/>
    </xf>
    <xf numFmtId="0" fontId="2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5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37" fillId="0" borderId="5" xfId="0" applyFont="1" applyBorder="1" applyAlignment="1">
      <alignment horizontal="centerContinuous"/>
    </xf>
    <xf numFmtId="0" fontId="13" fillId="0" borderId="0" xfId="0" applyFont="1" applyAlignment="1">
      <alignment horizontal="centerContinuous"/>
    </xf>
    <xf numFmtId="0" fontId="22" fillId="0" borderId="0" xfId="0" applyFont="1"/>
    <xf numFmtId="0" fontId="15" fillId="0" borderId="0" xfId="0" applyFont="1"/>
    <xf numFmtId="0" fontId="6" fillId="0" borderId="25" xfId="0" applyFont="1" applyBorder="1"/>
    <xf numFmtId="0" fontId="6" fillId="0" borderId="26" xfId="0" applyFont="1" applyBorder="1"/>
    <xf numFmtId="0" fontId="43" fillId="0" borderId="26" xfId="0" quotePrefix="1" applyFont="1" applyBorder="1" applyAlignment="1">
      <alignment horizontal="left"/>
    </xf>
    <xf numFmtId="169" fontId="18" fillId="0" borderId="26" xfId="4" applyFont="1" applyBorder="1"/>
    <xf numFmtId="0" fontId="43" fillId="0" borderId="0" xfId="0" applyFont="1"/>
    <xf numFmtId="0" fontId="43" fillId="0" borderId="0" xfId="0" quotePrefix="1" applyFont="1" applyAlignment="1">
      <alignment horizontal="left"/>
    </xf>
    <xf numFmtId="170" fontId="18" fillId="0" borderId="0" xfId="4" applyNumberFormat="1" applyFont="1"/>
    <xf numFmtId="171" fontId="15" fillId="0" borderId="0" xfId="4" applyNumberFormat="1" applyFont="1"/>
    <xf numFmtId="171" fontId="6" fillId="0" borderId="0" xfId="4" applyNumberFormat="1" applyFont="1"/>
    <xf numFmtId="170" fontId="6" fillId="0" borderId="0" xfId="4" applyNumberFormat="1" applyFont="1"/>
    <xf numFmtId="172" fontId="33" fillId="0" borderId="0" xfId="0" applyNumberFormat="1" applyFont="1"/>
    <xf numFmtId="172" fontId="17" fillId="0" borderId="0" xfId="0" applyNumberFormat="1" applyFont="1"/>
    <xf numFmtId="170" fontId="18" fillId="0" borderId="1" xfId="4" applyNumberFormat="1" applyFont="1" applyBorder="1"/>
    <xf numFmtId="170" fontId="6" fillId="0" borderId="1" xfId="4" applyNumberFormat="1" applyFont="1" applyBorder="1"/>
    <xf numFmtId="0" fontId="44" fillId="0" borderId="0" xfId="0" quotePrefix="1" applyFont="1" applyAlignment="1">
      <alignment horizontal="left"/>
    </xf>
    <xf numFmtId="170" fontId="13" fillId="0" borderId="0" xfId="4" applyNumberFormat="1" applyFont="1"/>
    <xf numFmtId="0" fontId="6" fillId="0" borderId="6" xfId="0" applyFont="1" applyBorder="1"/>
    <xf numFmtId="0" fontId="13" fillId="0" borderId="6" xfId="0" quotePrefix="1" applyFont="1" applyBorder="1" applyAlignment="1">
      <alignment horizontal="left"/>
    </xf>
    <xf numFmtId="0" fontId="44" fillId="0" borderId="6" xfId="0" quotePrefix="1" applyFont="1" applyBorder="1" applyAlignment="1">
      <alignment horizontal="left"/>
    </xf>
    <xf numFmtId="171" fontId="16" fillId="0" borderId="6" xfId="4" applyNumberFormat="1" applyFont="1" applyBorder="1"/>
    <xf numFmtId="171" fontId="13" fillId="0" borderId="6" xfId="4" applyNumberFormat="1" applyFont="1" applyBorder="1"/>
    <xf numFmtId="171" fontId="16" fillId="0" borderId="0" xfId="4" applyNumberFormat="1" applyFont="1"/>
    <xf numFmtId="171" fontId="13" fillId="0" borderId="0" xfId="4" applyNumberFormat="1" applyFont="1"/>
    <xf numFmtId="173" fontId="6" fillId="0" borderId="0" xfId="4" applyNumberFormat="1" applyFont="1"/>
    <xf numFmtId="0" fontId="44" fillId="0" borderId="0" xfId="0" applyFont="1"/>
    <xf numFmtId="186" fontId="6" fillId="0" borderId="0" xfId="0" applyNumberFormat="1" applyFont="1"/>
    <xf numFmtId="0" fontId="43" fillId="0" borderId="6" xfId="0" applyFont="1" applyBorder="1"/>
    <xf numFmtId="0" fontId="18" fillId="0" borderId="0" xfId="0" applyFont="1" applyAlignment="1">
      <alignment horizontal="center"/>
    </xf>
    <xf numFmtId="177" fontId="6" fillId="0" borderId="0" xfId="4" applyNumberFormat="1" applyFont="1"/>
    <xf numFmtId="175" fontId="13" fillId="0" borderId="8" xfId="4" applyNumberFormat="1" applyFont="1" applyBorder="1"/>
    <xf numFmtId="0" fontId="24" fillId="0" borderId="1" xfId="0" applyFont="1" applyBorder="1"/>
    <xf numFmtId="9" fontId="6" fillId="0" borderId="0" xfId="0" applyNumberFormat="1" applyFont="1"/>
    <xf numFmtId="185" fontId="6" fillId="0" borderId="0" xfId="4" applyNumberFormat="1" applyFont="1"/>
    <xf numFmtId="0" fontId="22" fillId="0" borderId="26" xfId="0" applyFont="1" applyBorder="1"/>
    <xf numFmtId="0" fontId="21" fillId="0" borderId="0" xfId="0" applyFont="1"/>
    <xf numFmtId="0" fontId="21" fillId="0" borderId="0" xfId="0" applyFont="1" applyAlignment="1">
      <alignment horizontal="left"/>
    </xf>
    <xf numFmtId="174" fontId="18" fillId="0" borderId="1" xfId="4" applyNumberFormat="1" applyFont="1" applyBorder="1"/>
    <xf numFmtId="174" fontId="6" fillId="0" borderId="1" xfId="4" applyNumberFormat="1" applyFont="1" applyBorder="1"/>
    <xf numFmtId="0" fontId="29" fillId="0" borderId="0" xfId="0" applyFont="1"/>
    <xf numFmtId="174" fontId="13" fillId="0" borderId="0" xfId="4" applyNumberFormat="1" applyFont="1"/>
    <xf numFmtId="39" fontId="18" fillId="0" borderId="0" xfId="4" applyNumberFormat="1" applyFont="1"/>
    <xf numFmtId="39" fontId="6" fillId="0" borderId="0" xfId="4" applyNumberFormat="1" applyFont="1"/>
    <xf numFmtId="0" fontId="13" fillId="0" borderId="6" xfId="0" applyFont="1" applyBorder="1"/>
    <xf numFmtId="0" fontId="29" fillId="0" borderId="6" xfId="0" applyFont="1" applyBorder="1"/>
    <xf numFmtId="37" fontId="13" fillId="0" borderId="6" xfId="4" applyNumberFormat="1" applyFont="1" applyBorder="1"/>
    <xf numFmtId="0" fontId="18" fillId="0" borderId="0" xfId="0" applyFont="1"/>
    <xf numFmtId="0" fontId="13" fillId="0" borderId="1" xfId="0" quotePrefix="1" applyFont="1" applyBorder="1" applyAlignment="1">
      <alignment horizontal="left"/>
    </xf>
    <xf numFmtId="0" fontId="13" fillId="0" borderId="1" xfId="0" applyFont="1" applyBorder="1"/>
    <xf numFmtId="0" fontId="29" fillId="0" borderId="1" xfId="0" applyFont="1" applyBorder="1"/>
    <xf numFmtId="165" fontId="18" fillId="0" borderId="0" xfId="0" applyNumberFormat="1" applyFont="1"/>
    <xf numFmtId="0" fontId="43" fillId="0" borderId="26" xfId="0" applyFont="1" applyBorder="1"/>
    <xf numFmtId="174" fontId="24" fillId="0" borderId="26" xfId="4" applyNumberFormat="1" applyFont="1" applyBorder="1" applyAlignment="1">
      <alignment horizontal="right"/>
    </xf>
    <xf numFmtId="174" fontId="24" fillId="0" borderId="27" xfId="4" applyNumberFormat="1" applyFont="1" applyBorder="1" applyAlignment="1">
      <alignment horizontal="right"/>
    </xf>
    <xf numFmtId="174" fontId="6" fillId="0" borderId="0" xfId="4" applyNumberFormat="1" applyFont="1" applyAlignment="1">
      <alignment horizontal="right"/>
    </xf>
    <xf numFmtId="174" fontId="6" fillId="0" borderId="1" xfId="4" applyNumberFormat="1" applyFont="1" applyBorder="1" applyAlignment="1">
      <alignment horizontal="right"/>
    </xf>
    <xf numFmtId="174" fontId="13" fillId="0" borderId="0" xfId="4" applyNumberFormat="1" applyFont="1" applyAlignment="1">
      <alignment horizontal="right"/>
    </xf>
    <xf numFmtId="37" fontId="22" fillId="0" borderId="0" xfId="0" applyNumberFormat="1" applyFont="1"/>
    <xf numFmtId="37" fontId="6" fillId="0" borderId="0" xfId="0" applyNumberFormat="1" applyFont="1"/>
    <xf numFmtId="174" fontId="18" fillId="0" borderId="1" xfId="4" applyNumberFormat="1" applyFont="1" applyBorder="1" applyAlignment="1">
      <alignment horizontal="right"/>
    </xf>
    <xf numFmtId="37" fontId="13" fillId="0" borderId="0" xfId="4" applyNumberFormat="1" applyFont="1" applyAlignment="1">
      <alignment horizontal="right"/>
    </xf>
    <xf numFmtId="39" fontId="13" fillId="0" borderId="0" xfId="4" applyNumberFormat="1" applyFont="1"/>
    <xf numFmtId="166" fontId="13" fillId="0" borderId="0" xfId="0" quotePrefix="1" applyNumberFormat="1" applyFont="1" applyAlignment="1">
      <alignment horizontal="left"/>
    </xf>
    <xf numFmtId="175" fontId="13" fillId="0" borderId="24" xfId="0" applyNumberFormat="1" applyFont="1" applyBorder="1"/>
    <xf numFmtId="166" fontId="13" fillId="0" borderId="0" xfId="0" applyNumberFormat="1" applyFont="1" applyAlignment="1">
      <alignment horizontal="left"/>
    </xf>
    <xf numFmtId="175" fontId="13" fillId="0" borderId="0" xfId="0" applyNumberFormat="1" applyFont="1"/>
    <xf numFmtId="166" fontId="6" fillId="0" borderId="0" xfId="0" applyNumberFormat="1" applyFont="1" applyAlignment="1">
      <alignment horizontal="left"/>
    </xf>
    <xf numFmtId="167" fontId="13" fillId="0" borderId="0" xfId="0" applyNumberFormat="1" applyFont="1"/>
    <xf numFmtId="169" fontId="6" fillId="0" borderId="0" xfId="4" applyFont="1"/>
    <xf numFmtId="0" fontId="6" fillId="0" borderId="8" xfId="0" applyFont="1" applyBorder="1"/>
    <xf numFmtId="0" fontId="24" fillId="0" borderId="8" xfId="0" applyFont="1" applyBorder="1"/>
    <xf numFmtId="171" fontId="6" fillId="0" borderId="8" xfId="4" applyNumberFormat="1" applyFont="1" applyBorder="1"/>
    <xf numFmtId="171" fontId="6" fillId="0" borderId="9" xfId="4" applyNumberFormat="1" applyFont="1" applyBorder="1"/>
    <xf numFmtId="196" fontId="17" fillId="0" borderId="0" xfId="0" applyNumberFormat="1" applyFont="1"/>
    <xf numFmtId="196" fontId="17" fillId="0" borderId="11" xfId="0" applyNumberFormat="1" applyFont="1" applyBorder="1"/>
    <xf numFmtId="0" fontId="24" fillId="0" borderId="0" xfId="0" quotePrefix="1" applyFont="1"/>
    <xf numFmtId="0" fontId="6" fillId="0" borderId="12" xfId="0" applyFont="1" applyBorder="1"/>
    <xf numFmtId="0" fontId="24" fillId="0" borderId="1" xfId="0" quotePrefix="1" applyFont="1" applyBorder="1"/>
    <xf numFmtId="183" fontId="17" fillId="0" borderId="1" xfId="0" applyNumberFormat="1" applyFont="1" applyBorder="1"/>
    <xf numFmtId="196" fontId="17" fillId="0" borderId="1" xfId="0" applyNumberFormat="1" applyFont="1" applyBorder="1"/>
    <xf numFmtId="196" fontId="17" fillId="0" borderId="13" xfId="0" applyNumberFormat="1" applyFont="1" applyBorder="1"/>
    <xf numFmtId="0" fontId="51" fillId="0" borderId="8" xfId="0" quotePrefix="1" applyFont="1" applyBorder="1"/>
    <xf numFmtId="183" fontId="17" fillId="0" borderId="0" xfId="0" applyNumberFormat="1" applyFont="1"/>
    <xf numFmtId="174" fontId="13" fillId="0" borderId="8" xfId="4" applyNumberFormat="1" applyFont="1" applyBorder="1"/>
    <xf numFmtId="191" fontId="13" fillId="0" borderId="0" xfId="4" applyNumberFormat="1" applyFont="1"/>
    <xf numFmtId="165" fontId="34" fillId="0" borderId="0" xfId="4" applyNumberFormat="1" applyFont="1"/>
    <xf numFmtId="0" fontId="6" fillId="0" borderId="7" xfId="0" applyFont="1" applyBorder="1"/>
    <xf numFmtId="0" fontId="13" fillId="0" borderId="8" xfId="0" quotePrefix="1" applyFont="1" applyBorder="1" applyAlignment="1">
      <alignment horizontal="left"/>
    </xf>
    <xf numFmtId="37" fontId="13" fillId="0" borderId="8" xfId="4" applyNumberFormat="1" applyFont="1" applyBorder="1"/>
    <xf numFmtId="37" fontId="6" fillId="0" borderId="8" xfId="4" applyNumberFormat="1" applyFont="1" applyBorder="1"/>
    <xf numFmtId="174" fontId="6" fillId="0" borderId="8" xfId="4" applyNumberFormat="1" applyFont="1" applyBorder="1"/>
    <xf numFmtId="174" fontId="6" fillId="0" borderId="9" xfId="4" applyNumberFormat="1" applyFont="1" applyBorder="1"/>
    <xf numFmtId="174" fontId="42" fillId="0" borderId="0" xfId="4" applyNumberFormat="1" applyFont="1"/>
    <xf numFmtId="174" fontId="42" fillId="0" borderId="11" xfId="4" applyNumberFormat="1" applyFont="1" applyBorder="1"/>
    <xf numFmtId="0" fontId="6" fillId="0" borderId="12" xfId="0" applyFont="1" applyBorder="1" applyAlignment="1">
      <alignment horizontal="left"/>
    </xf>
    <xf numFmtId="37" fontId="6" fillId="0" borderId="1" xfId="4" applyNumberFormat="1" applyFont="1" applyBorder="1"/>
    <xf numFmtId="174" fontId="6" fillId="0" borderId="13" xfId="4" applyNumberFormat="1" applyFont="1" applyBorder="1"/>
    <xf numFmtId="0" fontId="17" fillId="0" borderId="0" xfId="0" applyFont="1" applyAlignment="1">
      <alignment horizontal="left"/>
    </xf>
    <xf numFmtId="176" fontId="6" fillId="0" borderId="0" xfId="4" applyNumberFormat="1" applyFont="1"/>
    <xf numFmtId="176" fontId="41" fillId="0" borderId="0" xfId="4" applyNumberFormat="1" applyFont="1"/>
    <xf numFmtId="179" fontId="17" fillId="0" borderId="0" xfId="4" applyNumberFormat="1" applyFont="1"/>
    <xf numFmtId="0" fontId="17" fillId="0" borderId="1" xfId="0" quotePrefix="1" applyFont="1" applyBorder="1" applyAlignment="1">
      <alignment horizontal="left"/>
    </xf>
    <xf numFmtId="179" fontId="6" fillId="0" borderId="1" xfId="0" applyNumberFormat="1" applyFont="1" applyBorder="1"/>
    <xf numFmtId="179" fontId="6" fillId="0" borderId="0" xfId="0" applyNumberFormat="1" applyFont="1"/>
    <xf numFmtId="0" fontId="38" fillId="0" borderId="0" xfId="0" applyFont="1" applyAlignment="1">
      <alignment horizontal="centerContinuous"/>
    </xf>
    <xf numFmtId="0" fontId="30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29" fillId="0" borderId="0" xfId="0" applyFont="1" applyAlignment="1">
      <alignment horizontal="centerContinuous"/>
    </xf>
    <xf numFmtId="0" fontId="6" fillId="0" borderId="5" xfId="0" applyFont="1" applyBorder="1"/>
    <xf numFmtId="0" fontId="24" fillId="0" borderId="5" xfId="0" applyFont="1" applyBorder="1"/>
    <xf numFmtId="0" fontId="13" fillId="0" borderId="1" xfId="0" applyFont="1" applyBorder="1" applyAlignment="1">
      <alignment horizontal="centerContinuous"/>
    </xf>
    <xf numFmtId="0" fontId="39" fillId="0" borderId="0" xfId="0" applyFont="1" applyAlignment="1">
      <alignment horizontal="right"/>
    </xf>
    <xf numFmtId="0" fontId="22" fillId="0" borderId="8" xfId="0" quotePrefix="1" applyFont="1" applyBorder="1" applyAlignment="1">
      <alignment horizontal="right"/>
    </xf>
    <xf numFmtId="0" fontId="27" fillId="0" borderId="0" xfId="0" applyFont="1"/>
    <xf numFmtId="0" fontId="27" fillId="0" borderId="7" xfId="0" applyFont="1" applyBorder="1" applyAlignment="1">
      <alignment horizontal="left" vertical="center"/>
    </xf>
    <xf numFmtId="0" fontId="27" fillId="0" borderId="8" xfId="0" quotePrefix="1" applyFont="1" applyBorder="1" applyAlignment="1">
      <alignment horizontal="left" vertical="center"/>
    </xf>
    <xf numFmtId="0" fontId="27" fillId="0" borderId="8" xfId="0" applyFont="1" applyBorder="1" applyAlignment="1">
      <alignment vertical="center"/>
    </xf>
    <xf numFmtId="185" fontId="49" fillId="0" borderId="9" xfId="0" applyNumberFormat="1" applyFont="1" applyBorder="1" applyAlignment="1">
      <alignment vertical="center"/>
    </xf>
    <xf numFmtId="190" fontId="19" fillId="0" borderId="0" xfId="0" applyNumberFormat="1" applyFont="1"/>
    <xf numFmtId="0" fontId="32" fillId="0" borderId="0" xfId="0" applyFont="1"/>
    <xf numFmtId="0" fontId="27" fillId="0" borderId="12" xfId="0" applyFont="1" applyBorder="1" applyAlignment="1">
      <alignment horizontal="left" vertical="center"/>
    </xf>
    <xf numFmtId="0" fontId="27" fillId="0" borderId="1" xfId="0" quotePrefix="1" applyFont="1" applyBorder="1" applyAlignment="1">
      <alignment horizontal="left" vertical="center"/>
    </xf>
    <xf numFmtId="0" fontId="27" fillId="0" borderId="1" xfId="0" applyFont="1" applyBorder="1" applyAlignment="1">
      <alignment vertical="center"/>
    </xf>
    <xf numFmtId="185" fontId="49" fillId="0" borderId="13" xfId="0" applyNumberFormat="1" applyFont="1" applyBorder="1" applyAlignment="1">
      <alignment vertical="center"/>
    </xf>
    <xf numFmtId="195" fontId="6" fillId="0" borderId="0" xfId="0" applyNumberFormat="1" applyFont="1"/>
    <xf numFmtId="175" fontId="18" fillId="0" borderId="0" xfId="0" applyNumberFormat="1" applyFont="1"/>
    <xf numFmtId="175" fontId="6" fillId="0" borderId="0" xfId="0" applyNumberFormat="1" applyFont="1"/>
    <xf numFmtId="0" fontId="36" fillId="0" borderId="0" xfId="0" applyFont="1" applyAlignment="1">
      <alignment horizontal="right"/>
    </xf>
    <xf numFmtId="185" fontId="6" fillId="0" borderId="0" xfId="0" applyNumberFormat="1" applyFont="1"/>
    <xf numFmtId="175" fontId="6" fillId="0" borderId="28" xfId="0" applyNumberFormat="1" applyFont="1" applyBorder="1"/>
    <xf numFmtId="175" fontId="6" fillId="0" borderId="10" xfId="0" applyNumberFormat="1" applyFont="1" applyBorder="1"/>
    <xf numFmtId="175" fontId="6" fillId="0" borderId="29" xfId="0" applyNumberFormat="1" applyFont="1" applyBorder="1"/>
    <xf numFmtId="175" fontId="6" fillId="0" borderId="30" xfId="0" applyNumberFormat="1" applyFont="1" applyBorder="1"/>
    <xf numFmtId="0" fontId="25" fillId="0" borderId="0" xfId="0" applyFont="1" applyAlignment="1">
      <alignment vertical="center"/>
    </xf>
    <xf numFmtId="175" fontId="13" fillId="0" borderId="24" xfId="0" applyNumberFormat="1" applyFont="1" applyBorder="1" applyAlignment="1">
      <alignment vertical="center"/>
    </xf>
    <xf numFmtId="175" fontId="23" fillId="0" borderId="0" xfId="0" applyNumberFormat="1" applyFont="1"/>
    <xf numFmtId="185" fontId="6" fillId="0" borderId="26" xfId="0" applyNumberFormat="1" applyFont="1" applyBorder="1"/>
    <xf numFmtId="185" fontId="6" fillId="0" borderId="27" xfId="0" applyNumberFormat="1" applyFont="1" applyBorder="1"/>
    <xf numFmtId="4" fontId="6" fillId="0" borderId="0" xfId="4" applyNumberFormat="1" applyFont="1"/>
    <xf numFmtId="169" fontId="27" fillId="0" borderId="0" xfId="4" applyFont="1"/>
    <xf numFmtId="185" fontId="18" fillId="0" borderId="0" xfId="4" applyNumberFormat="1" applyFont="1"/>
    <xf numFmtId="4" fontId="6" fillId="0" borderId="0" xfId="4" applyNumberFormat="1" applyFont="1" applyAlignment="1">
      <alignment horizontal="left"/>
    </xf>
    <xf numFmtId="177" fontId="6" fillId="0" borderId="1" xfId="4" applyNumberFormat="1" applyFont="1" applyBorder="1"/>
    <xf numFmtId="4" fontId="13" fillId="0" borderId="0" xfId="4" applyNumberFormat="1" applyFont="1"/>
    <xf numFmtId="0" fontId="6" fillId="0" borderId="14" xfId="0" applyFont="1" applyBorder="1"/>
    <xf numFmtId="0" fontId="6" fillId="0" borderId="17" xfId="0" applyFont="1" applyBorder="1"/>
    <xf numFmtId="0" fontId="24" fillId="0" borderId="17" xfId="0" applyFont="1" applyBorder="1"/>
    <xf numFmtId="0" fontId="6" fillId="0" borderId="16" xfId="0" applyFont="1" applyBorder="1"/>
    <xf numFmtId="0" fontId="24" fillId="0" borderId="6" xfId="0" applyFont="1" applyBorder="1"/>
    <xf numFmtId="194" fontId="6" fillId="0" borderId="6" xfId="0" applyNumberFormat="1" applyFont="1" applyBorder="1" applyAlignment="1">
      <alignment vertical="center"/>
    </xf>
    <xf numFmtId="194" fontId="6" fillId="0" borderId="23" xfId="0" applyNumberFormat="1" applyFont="1" applyBorder="1" applyAlignment="1">
      <alignment vertical="center"/>
    </xf>
    <xf numFmtId="174" fontId="6" fillId="0" borderId="1" xfId="0" applyNumberFormat="1" applyFont="1" applyBorder="1"/>
    <xf numFmtId="165" fontId="6" fillId="0" borderId="0" xfId="0" applyNumberFormat="1" applyFont="1"/>
    <xf numFmtId="186" fontId="6" fillId="0" borderId="1" xfId="0" applyNumberFormat="1" applyFont="1" applyBorder="1"/>
    <xf numFmtId="175" fontId="13" fillId="0" borderId="19" xfId="0" applyNumberFormat="1" applyFont="1" applyBorder="1"/>
    <xf numFmtId="165" fontId="13" fillId="0" borderId="0" xfId="0" applyNumberFormat="1" applyFont="1"/>
    <xf numFmtId="167" fontId="6" fillId="0" borderId="0" xfId="0" applyNumberFormat="1" applyFont="1"/>
    <xf numFmtId="174" fontId="13" fillId="0" borderId="0" xfId="0" applyNumberFormat="1" applyFont="1"/>
    <xf numFmtId="174" fontId="13" fillId="0" borderId="19" xfId="0" applyNumberFormat="1" applyFont="1" applyBorder="1"/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horizontal="centerContinuous"/>
    </xf>
    <xf numFmtId="0" fontId="14" fillId="0" borderId="5" xfId="0" applyFont="1" applyBorder="1"/>
    <xf numFmtId="0" fontId="13" fillId="2" borderId="18" xfId="0" applyFont="1" applyFill="1" applyBorder="1" applyAlignment="1">
      <alignment vertical="center"/>
    </xf>
    <xf numFmtId="0" fontId="6" fillId="2" borderId="19" xfId="0" applyFont="1" applyFill="1" applyBorder="1"/>
    <xf numFmtId="0" fontId="6" fillId="2" borderId="20" xfId="0" applyFont="1" applyFill="1" applyBorder="1"/>
    <xf numFmtId="0" fontId="6" fillId="2" borderId="19" xfId="0" quotePrefix="1" applyFont="1" applyFill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/>
    <xf numFmtId="167" fontId="18" fillId="0" borderId="11" xfId="0" applyNumberFormat="1" applyFont="1" applyBorder="1" applyAlignment="1">
      <alignment horizontal="right"/>
    </xf>
    <xf numFmtId="10" fontId="6" fillId="0" borderId="0" xfId="0" applyNumberFormat="1" applyFont="1"/>
    <xf numFmtId="172" fontId="18" fillId="0" borderId="11" xfId="0" quotePrefix="1" applyNumberFormat="1" applyFont="1" applyBorder="1" applyAlignment="1">
      <alignment horizontal="right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3" xfId="0" applyFont="1" applyBorder="1"/>
    <xf numFmtId="172" fontId="18" fillId="0" borderId="11" xfId="0" applyNumberFormat="1" applyFont="1" applyBorder="1" applyAlignment="1">
      <alignment horizontal="right"/>
    </xf>
    <xf numFmtId="39" fontId="18" fillId="0" borderId="13" xfId="0" applyNumberFormat="1" applyFont="1" applyBorder="1" applyAlignment="1">
      <alignment horizontal="right"/>
    </xf>
    <xf numFmtId="0" fontId="6" fillId="2" borderId="19" xfId="0" quotePrefix="1" applyFont="1" applyFill="1" applyBorder="1" applyAlignment="1">
      <alignment horizontal="left" vertical="center"/>
    </xf>
    <xf numFmtId="0" fontId="6" fillId="2" borderId="19" xfId="0" applyFont="1" applyFill="1" applyBorder="1" applyAlignment="1">
      <alignment vertical="center"/>
    </xf>
    <xf numFmtId="0" fontId="6" fillId="2" borderId="20" xfId="0" applyFont="1" applyFill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0" xfId="0" applyFont="1" applyAlignment="1">
      <alignment horizontal="centerContinuous" vertical="center"/>
    </xf>
    <xf numFmtId="0" fontId="42" fillId="0" borderId="11" xfId="0" applyFont="1" applyBorder="1" applyAlignment="1">
      <alignment horizontal="centerContinuous" vertical="center"/>
    </xf>
    <xf numFmtId="0" fontId="6" fillId="0" borderId="10" xfId="0" quotePrefix="1" applyFont="1" applyBorder="1" applyAlignment="1">
      <alignment horizontal="left"/>
    </xf>
    <xf numFmtId="37" fontId="18" fillId="0" borderId="11" xfId="0" applyNumberFormat="1" applyFont="1" applyBorder="1" applyAlignment="1">
      <alignment horizontal="right"/>
    </xf>
    <xf numFmtId="0" fontId="11" fillId="0" borderId="0" xfId="0" applyFont="1" applyAlignment="1">
      <alignment vertical="center"/>
    </xf>
    <xf numFmtId="0" fontId="6" fillId="0" borderId="11" xfId="0" applyFont="1" applyBorder="1" applyAlignment="1">
      <alignment horizontal="centerContinuous"/>
    </xf>
    <xf numFmtId="0" fontId="6" fillId="0" borderId="12" xfId="0" quotePrefix="1" applyFont="1" applyBorder="1" applyAlignment="1">
      <alignment horizontal="left"/>
    </xf>
    <xf numFmtId="37" fontId="18" fillId="0" borderId="13" xfId="0" applyNumberFormat="1" applyFont="1" applyBorder="1" applyAlignment="1">
      <alignment horizontal="right"/>
    </xf>
    <xf numFmtId="187" fontId="18" fillId="0" borderId="0" xfId="0" quotePrefix="1" applyNumberFormat="1" applyFont="1" applyAlignment="1">
      <alignment horizontal="centerContinuous"/>
    </xf>
    <xf numFmtId="182" fontId="6" fillId="0" borderId="10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 vertical="center"/>
    </xf>
    <xf numFmtId="188" fontId="18" fillId="0" borderId="0" xfId="0" applyNumberFormat="1" applyFont="1"/>
    <xf numFmtId="0" fontId="22" fillId="0" borderId="0" xfId="0" applyFont="1" applyAlignment="1">
      <alignment horizontal="center"/>
    </xf>
    <xf numFmtId="188" fontId="18" fillId="0" borderId="1" xfId="0" applyNumberFormat="1" applyFont="1" applyBorder="1"/>
    <xf numFmtId="0" fontId="22" fillId="0" borderId="10" xfId="0" applyFont="1" applyBorder="1"/>
    <xf numFmtId="194" fontId="6" fillId="0" borderId="10" xfId="0" applyNumberFormat="1" applyFont="1" applyBorder="1"/>
    <xf numFmtId="186" fontId="18" fillId="0" borderId="0" xfId="0" quotePrefix="1" applyNumberFormat="1" applyFont="1" applyAlignment="1">
      <alignment horizontal="center"/>
    </xf>
    <xf numFmtId="0" fontId="13" fillId="2" borderId="18" xfId="0" applyFont="1" applyFill="1" applyBorder="1" applyAlignment="1">
      <alignment horizontal="left" vertical="center"/>
    </xf>
    <xf numFmtId="0" fontId="6" fillId="0" borderId="7" xfId="0" quotePrefix="1" applyFont="1" applyBorder="1" applyAlignment="1">
      <alignment horizontal="left"/>
    </xf>
    <xf numFmtId="172" fontId="18" fillId="0" borderId="9" xfId="0" quotePrefix="1" applyNumberFormat="1" applyFont="1" applyBorder="1" applyAlignment="1">
      <alignment horizontal="right"/>
    </xf>
    <xf numFmtId="175" fontId="18" fillId="0" borderId="11" xfId="0" applyNumberFormat="1" applyFont="1" applyBorder="1" applyAlignment="1">
      <alignment horizontal="right"/>
    </xf>
    <xf numFmtId="194" fontId="6" fillId="0" borderId="12" xfId="0" applyNumberFormat="1" applyFont="1" applyBorder="1"/>
    <xf numFmtId="186" fontId="18" fillId="0" borderId="1" xfId="0" quotePrefix="1" applyNumberFormat="1" applyFont="1" applyBorder="1" applyAlignment="1">
      <alignment horizontal="center"/>
    </xf>
    <xf numFmtId="0" fontId="18" fillId="0" borderId="9" xfId="0" applyFont="1" applyBorder="1" applyAlignment="1">
      <alignment horizontal="right"/>
    </xf>
    <xf numFmtId="182" fontId="6" fillId="0" borderId="10" xfId="0" quotePrefix="1" applyNumberFormat="1" applyFont="1" applyBorder="1" applyAlignment="1">
      <alignment horizontal="left"/>
    </xf>
    <xf numFmtId="189" fontId="18" fillId="0" borderId="11" xfId="0" applyNumberFormat="1" applyFont="1" applyBorder="1" applyAlignment="1">
      <alignment horizontal="right"/>
    </xf>
    <xf numFmtId="186" fontId="18" fillId="0" borderId="0" xfId="0" quotePrefix="1" applyNumberFormat="1" applyFont="1" applyAlignment="1">
      <alignment horizontal="right"/>
    </xf>
    <xf numFmtId="181" fontId="6" fillId="0" borderId="1" xfId="0" applyNumberFormat="1" applyFont="1" applyBorder="1" applyAlignment="1">
      <alignment horizontal="left"/>
    </xf>
    <xf numFmtId="181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45" fillId="0" borderId="0" xfId="0" applyFont="1"/>
    <xf numFmtId="0" fontId="17" fillId="2" borderId="18" xfId="0" applyFont="1" applyFill="1" applyBorder="1"/>
    <xf numFmtId="0" fontId="13" fillId="2" borderId="19" xfId="0" applyFont="1" applyFill="1" applyBorder="1"/>
    <xf numFmtId="0" fontId="13" fillId="2" borderId="20" xfId="0" applyFont="1" applyFill="1" applyBorder="1"/>
    <xf numFmtId="0" fontId="12" fillId="0" borderId="0" xfId="0" applyFont="1"/>
    <xf numFmtId="0" fontId="11" fillId="0" borderId="0" xfId="0" applyFont="1"/>
    <xf numFmtId="177" fontId="18" fillId="0" borderId="0" xfId="0" applyNumberFormat="1" applyFont="1"/>
    <xf numFmtId="177" fontId="6" fillId="0" borderId="0" xfId="0" applyNumberFormat="1" applyFont="1"/>
    <xf numFmtId="177" fontId="6" fillId="0" borderId="11" xfId="0" applyNumberFormat="1" applyFont="1" applyBorder="1"/>
    <xf numFmtId="177" fontId="18" fillId="0" borderId="11" xfId="0" applyNumberFormat="1" applyFont="1" applyBorder="1"/>
    <xf numFmtId="177" fontId="18" fillId="0" borderId="1" xfId="0" applyNumberFormat="1" applyFont="1" applyBorder="1"/>
    <xf numFmtId="177" fontId="18" fillId="0" borderId="13" xfId="0" applyNumberFormat="1" applyFont="1" applyBorder="1"/>
    <xf numFmtId="0" fontId="13" fillId="0" borderId="10" xfId="0" applyFont="1" applyBorder="1"/>
    <xf numFmtId="175" fontId="13" fillId="0" borderId="11" xfId="0" applyNumberFormat="1" applyFont="1" applyBorder="1"/>
    <xf numFmtId="185" fontId="6" fillId="0" borderId="1" xfId="0" applyNumberFormat="1" applyFont="1" applyBorder="1"/>
    <xf numFmtId="185" fontId="19" fillId="0" borderId="1" xfId="0" applyNumberFormat="1" applyFont="1" applyBorder="1"/>
    <xf numFmtId="185" fontId="6" fillId="0" borderId="13" xfId="0" applyNumberFormat="1" applyFont="1" applyBorder="1"/>
    <xf numFmtId="185" fontId="19" fillId="0" borderId="0" xfId="0" applyNumberFormat="1" applyFont="1"/>
    <xf numFmtId="175" fontId="18" fillId="0" borderId="11" xfId="0" applyNumberFormat="1" applyFont="1" applyBorder="1"/>
    <xf numFmtId="4" fontId="13" fillId="0" borderId="0" xfId="0" applyNumberFormat="1" applyFont="1"/>
    <xf numFmtId="4" fontId="6" fillId="0" borderId="0" xfId="0" applyNumberFormat="1" applyFont="1"/>
    <xf numFmtId="192" fontId="6" fillId="0" borderId="0" xfId="0" applyNumberFormat="1" applyFont="1"/>
    <xf numFmtId="0" fontId="43" fillId="0" borderId="17" xfId="0" applyFont="1" applyBorder="1"/>
    <xf numFmtId="0" fontId="22" fillId="0" borderId="17" xfId="0" applyFont="1" applyBorder="1"/>
    <xf numFmtId="174" fontId="6" fillId="0" borderId="17" xfId="0" applyNumberFormat="1" applyFont="1" applyBorder="1"/>
    <xf numFmtId="174" fontId="6" fillId="0" borderId="21" xfId="0" applyNumberFormat="1" applyFont="1" applyBorder="1"/>
    <xf numFmtId="0" fontId="22" fillId="0" borderId="6" xfId="0" applyFont="1" applyBorder="1"/>
    <xf numFmtId="172" fontId="6" fillId="0" borderId="6" xfId="0" applyNumberFormat="1" applyFont="1" applyBorder="1" applyAlignment="1">
      <alignment horizontal="right"/>
    </xf>
    <xf numFmtId="172" fontId="6" fillId="0" borderId="23" xfId="0" applyNumberFormat="1" applyFont="1" applyBorder="1" applyAlignment="1">
      <alignment horizontal="right"/>
    </xf>
    <xf numFmtId="177" fontId="6" fillId="0" borderId="10" xfId="0" applyNumberFormat="1" applyFont="1" applyBorder="1"/>
    <xf numFmtId="0" fontId="13" fillId="2" borderId="19" xfId="0" applyFont="1" applyFill="1" applyBorder="1" applyAlignment="1">
      <alignment vertical="center"/>
    </xf>
    <xf numFmtId="0" fontId="13" fillId="2" borderId="20" xfId="0" applyFont="1" applyFill="1" applyBorder="1" applyAlignment="1">
      <alignment vertical="center"/>
    </xf>
    <xf numFmtId="186" fontId="18" fillId="0" borderId="11" xfId="0" quotePrefix="1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22" fillId="0" borderId="7" xfId="0" applyFont="1" applyBorder="1"/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right"/>
    </xf>
    <xf numFmtId="194" fontId="6" fillId="0" borderId="0" xfId="0" applyNumberFormat="1" applyFont="1"/>
    <xf numFmtId="194" fontId="6" fillId="0" borderId="1" xfId="0" applyNumberFormat="1" applyFont="1" applyBorder="1"/>
    <xf numFmtId="188" fontId="6" fillId="0" borderId="0" xfId="0" applyNumberFormat="1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22" fillId="0" borderId="8" xfId="0" applyFont="1" applyBorder="1" applyAlignment="1">
      <alignment horizontal="right"/>
    </xf>
    <xf numFmtId="177" fontId="6" fillId="0" borderId="7" xfId="0" applyNumberFormat="1" applyFont="1" applyBorder="1"/>
    <xf numFmtId="177" fontId="6" fillId="0" borderId="8" xfId="0" applyNumberFormat="1" applyFont="1" applyBorder="1"/>
    <xf numFmtId="0" fontId="22" fillId="0" borderId="8" xfId="0" applyFont="1" applyBorder="1"/>
    <xf numFmtId="0" fontId="22" fillId="0" borderId="9" xfId="0" applyFont="1" applyBorder="1"/>
    <xf numFmtId="172" fontId="18" fillId="0" borderId="0" xfId="0" quotePrefix="1" applyNumberFormat="1" applyFont="1" applyAlignment="1">
      <alignment horizontal="right"/>
    </xf>
    <xf numFmtId="198" fontId="18" fillId="0" borderId="0" xfId="0" applyNumberFormat="1" applyFont="1" applyAlignment="1">
      <alignment horizontal="right"/>
    </xf>
    <xf numFmtId="172" fontId="6" fillId="0" borderId="0" xfId="0" applyNumberFormat="1" applyFont="1" applyAlignment="1">
      <alignment horizontal="right"/>
    </xf>
    <xf numFmtId="172" fontId="18" fillId="0" borderId="1" xfId="0" quotePrefix="1" applyNumberFormat="1" applyFont="1" applyBorder="1" applyAlignment="1">
      <alignment horizontal="right"/>
    </xf>
    <xf numFmtId="199" fontId="6" fillId="0" borderId="11" xfId="0" applyNumberFormat="1" applyFont="1" applyBorder="1" applyAlignment="1">
      <alignment horizontal="right"/>
    </xf>
    <xf numFmtId="199" fontId="6" fillId="0" borderId="13" xfId="0" applyNumberFormat="1" applyFont="1" applyBorder="1" applyAlignment="1">
      <alignment horizontal="right"/>
    </xf>
    <xf numFmtId="199" fontId="52" fillId="0" borderId="11" xfId="0" applyNumberFormat="1" applyFont="1" applyBorder="1"/>
    <xf numFmtId="172" fontId="6" fillId="0" borderId="17" xfId="0" applyNumberFormat="1" applyFont="1" applyBorder="1"/>
    <xf numFmtId="172" fontId="6" fillId="0" borderId="21" xfId="0" applyNumberFormat="1" applyFont="1" applyBorder="1"/>
    <xf numFmtId="169" fontId="6" fillId="0" borderId="0" xfId="0" applyNumberFormat="1" applyFont="1"/>
    <xf numFmtId="9" fontId="18" fillId="0" borderId="0" xfId="0" applyNumberFormat="1" applyFont="1"/>
    <xf numFmtId="193" fontId="18" fillId="0" borderId="11" xfId="0" applyNumberFormat="1" applyFont="1" applyBorder="1" applyAlignment="1">
      <alignment vertic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177" fontId="49" fillId="0" borderId="0" xfId="0" applyNumberFormat="1" applyFont="1"/>
    <xf numFmtId="0" fontId="53" fillId="0" borderId="0" xfId="0" applyFont="1"/>
    <xf numFmtId="176" fontId="13" fillId="0" borderId="0" xfId="4" applyNumberFormat="1" applyFont="1"/>
    <xf numFmtId="0" fontId="0" fillId="0" borderId="1" xfId="0" applyBorder="1"/>
    <xf numFmtId="200" fontId="6" fillId="0" borderId="0" xfId="0" applyNumberFormat="1" applyFont="1"/>
    <xf numFmtId="201" fontId="6" fillId="0" borderId="0" xfId="0" applyNumberFormat="1" applyFont="1"/>
    <xf numFmtId="0" fontId="13" fillId="0" borderId="7" xfId="0" applyFont="1" applyBorder="1" applyAlignment="1">
      <alignment horizontal="centerContinuous"/>
    </xf>
    <xf numFmtId="0" fontId="13" fillId="0" borderId="10" xfId="0" applyFont="1" applyBorder="1" applyAlignment="1">
      <alignment horizontal="centerContinuous"/>
    </xf>
    <xf numFmtId="0" fontId="18" fillId="0" borderId="0" xfId="0" applyFont="1" applyAlignment="1">
      <alignment horizontal="left"/>
    </xf>
    <xf numFmtId="14" fontId="52" fillId="0" borderId="0" xfId="0" applyNumberFormat="1" applyFont="1" applyAlignment="1">
      <alignment horizontal="center"/>
    </xf>
    <xf numFmtId="0" fontId="13" fillId="0" borderId="14" xfId="10" applyFont="1" applyBorder="1"/>
    <xf numFmtId="0" fontId="6" fillId="0" borderId="17" xfId="10" applyBorder="1"/>
    <xf numFmtId="0" fontId="13" fillId="0" borderId="16" xfId="10" applyFont="1" applyBorder="1"/>
    <xf numFmtId="177" fontId="26" fillId="0" borderId="14" xfId="4" applyNumberFormat="1" applyFont="1" applyBorder="1"/>
    <xf numFmtId="177" fontId="26" fillId="0" borderId="17" xfId="4" applyNumberFormat="1" applyFont="1" applyBorder="1"/>
    <xf numFmtId="177" fontId="26" fillId="0" borderId="21" xfId="0" applyNumberFormat="1" applyFont="1" applyBorder="1"/>
    <xf numFmtId="15" fontId="24" fillId="0" borderId="0" xfId="10" applyNumberFormat="1" applyFont="1" applyAlignment="1">
      <alignment horizontal="center"/>
    </xf>
    <xf numFmtId="177" fontId="24" fillId="0" borderId="15" xfId="4" applyNumberFormat="1" applyFont="1" applyBorder="1"/>
    <xf numFmtId="177" fontId="24" fillId="0" borderId="0" xfId="4" applyNumberFormat="1" applyFont="1"/>
    <xf numFmtId="177" fontId="24" fillId="0" borderId="22" xfId="4" applyNumberFormat="1" applyFont="1" applyBorder="1"/>
    <xf numFmtId="177" fontId="24" fillId="0" borderId="16" xfId="4" applyNumberFormat="1" applyFont="1" applyBorder="1"/>
    <xf numFmtId="177" fontId="24" fillId="0" borderId="6" xfId="4" applyNumberFormat="1" applyFont="1" applyBorder="1"/>
    <xf numFmtId="177" fontId="24" fillId="0" borderId="23" xfId="4" applyNumberFormat="1" applyFont="1" applyBorder="1"/>
    <xf numFmtId="0" fontId="6" fillId="0" borderId="9" xfId="0" applyFont="1" applyBorder="1" applyAlignment="1">
      <alignment horizontal="centerContinuous"/>
    </xf>
    <xf numFmtId="0" fontId="6" fillId="0" borderId="11" xfId="0" applyFont="1" applyBorder="1" applyAlignment="1">
      <alignment horizontal="center"/>
    </xf>
    <xf numFmtId="0" fontId="6" fillId="0" borderId="0" xfId="0" applyFont="1" applyProtection="1">
      <protection locked="0"/>
    </xf>
    <xf numFmtId="0" fontId="1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24" fillId="0" borderId="0" xfId="0" applyFont="1" applyProtection="1">
      <protection locked="0"/>
    </xf>
    <xf numFmtId="0" fontId="6" fillId="0" borderId="1" xfId="0" applyFont="1" applyBorder="1" applyProtection="1">
      <protection locked="0"/>
    </xf>
    <xf numFmtId="0" fontId="24" fillId="0" borderId="1" xfId="0" applyFont="1" applyBorder="1" applyProtection="1">
      <protection locked="0"/>
    </xf>
    <xf numFmtId="0" fontId="13" fillId="0" borderId="18" xfId="0" applyFont="1" applyBorder="1" applyAlignment="1">
      <alignment vertical="center"/>
    </xf>
    <xf numFmtId="206" fontId="57" fillId="0" borderId="0" xfId="0" applyNumberFormat="1" applyFont="1" applyAlignment="1">
      <alignment vertical="center"/>
    </xf>
    <xf numFmtId="194" fontId="6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175" fontId="17" fillId="0" borderId="0" xfId="0" applyNumberFormat="1" applyFont="1" applyAlignment="1">
      <alignment vertical="center"/>
    </xf>
    <xf numFmtId="0" fontId="57" fillId="0" borderId="0" xfId="0" applyFont="1"/>
    <xf numFmtId="186" fontId="6" fillId="0" borderId="0" xfId="0" applyNumberFormat="1" applyFont="1" applyAlignment="1">
      <alignment horizontal="right" vertical="center"/>
    </xf>
    <xf numFmtId="1" fontId="22" fillId="0" borderId="0" xfId="0" quotePrefix="1" applyNumberFormat="1" applyFont="1" applyAlignment="1">
      <alignment horizontal="right"/>
    </xf>
    <xf numFmtId="170" fontId="6" fillId="0" borderId="0" xfId="0" applyNumberFormat="1" applyFont="1"/>
    <xf numFmtId="192" fontId="22" fillId="0" borderId="0" xfId="0" quotePrefix="1" applyNumberFormat="1" applyFont="1" applyAlignment="1">
      <alignment horizontal="right"/>
    </xf>
    <xf numFmtId="170" fontId="6" fillId="0" borderId="0" xfId="0" applyNumberFormat="1" applyFont="1" applyProtection="1">
      <protection locked="0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06" fontId="56" fillId="0" borderId="11" xfId="0" applyNumberFormat="1" applyFont="1" applyBorder="1" applyAlignment="1">
      <alignment vertical="center"/>
    </xf>
    <xf numFmtId="193" fontId="56" fillId="0" borderId="11" xfId="0" applyNumberFormat="1" applyFont="1" applyBorder="1" applyAlignment="1">
      <alignment vertical="center"/>
    </xf>
    <xf numFmtId="207" fontId="56" fillId="3" borderId="13" xfId="0" applyNumberFormat="1" applyFont="1" applyFill="1" applyBorder="1" applyAlignment="1">
      <alignment horizontal="right" vertical="center"/>
    </xf>
    <xf numFmtId="206" fontId="6" fillId="0" borderId="19" xfId="0" applyNumberFormat="1" applyFont="1" applyBorder="1" applyAlignment="1">
      <alignment vertical="center"/>
    </xf>
    <xf numFmtId="206" fontId="6" fillId="0" borderId="20" xfId="0" applyNumberFormat="1" applyFont="1" applyBorder="1" applyAlignment="1">
      <alignment vertical="center"/>
    </xf>
    <xf numFmtId="193" fontId="6" fillId="0" borderId="19" xfId="0" applyNumberFormat="1" applyFont="1" applyBorder="1" applyAlignment="1">
      <alignment vertical="center"/>
    </xf>
    <xf numFmtId="193" fontId="6" fillId="0" borderId="20" xfId="0" applyNumberFormat="1" applyFont="1" applyBorder="1" applyAlignment="1">
      <alignment vertical="center"/>
    </xf>
    <xf numFmtId="207" fontId="6" fillId="3" borderId="19" xfId="0" applyNumberFormat="1" applyFont="1" applyFill="1" applyBorder="1" applyAlignment="1">
      <alignment horizontal="right" vertical="center"/>
    </xf>
    <xf numFmtId="207" fontId="6" fillId="3" borderId="20" xfId="0" applyNumberFormat="1" applyFont="1" applyFill="1" applyBorder="1" applyAlignment="1">
      <alignment horizontal="right" vertical="center"/>
    </xf>
    <xf numFmtId="0" fontId="6" fillId="0" borderId="1" xfId="0" applyFont="1" applyBorder="1" applyAlignment="1" applyProtection="1">
      <alignment vertical="center"/>
      <protection locked="0"/>
    </xf>
    <xf numFmtId="0" fontId="24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208" fontId="50" fillId="0" borderId="1" xfId="0" applyNumberFormat="1" applyFont="1" applyBorder="1" applyAlignment="1" applyProtection="1">
      <alignment vertical="center"/>
      <protection locked="0"/>
    </xf>
    <xf numFmtId="194" fontId="6" fillId="0" borderId="1" xfId="0" applyNumberFormat="1" applyFont="1" applyBorder="1" applyAlignment="1" applyProtection="1">
      <alignment horizontal="right" vertical="center"/>
      <protection locked="0"/>
    </xf>
    <xf numFmtId="0" fontId="17" fillId="0" borderId="31" xfId="0" quotePrefix="1" applyFont="1" applyBorder="1"/>
    <xf numFmtId="0" fontId="6" fillId="0" borderId="10" xfId="0" applyFont="1" applyBorder="1" applyAlignment="1">
      <alignment horizontal="left" indent="1"/>
    </xf>
    <xf numFmtId="0" fontId="58" fillId="0" borderId="0" xfId="0" applyFont="1" applyAlignment="1">
      <alignment horizontal="centerContinuous"/>
    </xf>
    <xf numFmtId="209" fontId="18" fillId="0" borderId="0" xfId="4" quotePrefix="1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horizontal="centerContinuous" vertical="center"/>
    </xf>
    <xf numFmtId="182" fontId="6" fillId="0" borderId="12" xfId="0" quotePrefix="1" applyNumberFormat="1" applyFont="1" applyBorder="1" applyAlignment="1">
      <alignment horizontal="left"/>
    </xf>
    <xf numFmtId="189" fontId="18" fillId="0" borderId="13" xfId="0" applyNumberFormat="1" applyFont="1" applyBorder="1" applyAlignment="1">
      <alignment horizontal="right"/>
    </xf>
    <xf numFmtId="175" fontId="18" fillId="0" borderId="13" xfId="0" applyNumberFormat="1" applyFont="1" applyBorder="1" applyAlignment="1">
      <alignment horizontal="right"/>
    </xf>
    <xf numFmtId="174" fontId="6" fillId="4" borderId="0" xfId="4" applyNumberFormat="1" applyFont="1" applyFill="1"/>
    <xf numFmtId="174" fontId="13" fillId="4" borderId="0" xfId="4" applyNumberFormat="1" applyFont="1" applyFill="1" applyAlignment="1">
      <alignment horizontal="right"/>
    </xf>
    <xf numFmtId="175" fontId="13" fillId="4" borderId="24" xfId="0" applyNumberFormat="1" applyFont="1" applyFill="1" applyBorder="1" applyAlignment="1">
      <alignment vertical="center"/>
    </xf>
    <xf numFmtId="174" fontId="6" fillId="4" borderId="0" xfId="0" applyNumberFormat="1" applyFont="1" applyFill="1"/>
    <xf numFmtId="174" fontId="6" fillId="4" borderId="1" xfId="0" applyNumberFormat="1" applyFont="1" applyFill="1" applyBorder="1"/>
    <xf numFmtId="172" fontId="6" fillId="4" borderId="17" xfId="0" applyNumberFormat="1" applyFont="1" applyFill="1" applyBorder="1"/>
    <xf numFmtId="172" fontId="6" fillId="4" borderId="21" xfId="0" applyNumberFormat="1" applyFont="1" applyFill="1" applyBorder="1"/>
    <xf numFmtId="210" fontId="6" fillId="0" borderId="0" xfId="0" applyNumberFormat="1" applyFont="1"/>
    <xf numFmtId="178" fontId="13" fillId="4" borderId="18" xfId="0" applyNumberFormat="1" applyFont="1" applyFill="1" applyBorder="1" applyAlignment="1">
      <alignment vertical="center"/>
    </xf>
    <xf numFmtId="178" fontId="13" fillId="4" borderId="19" xfId="0" applyNumberFormat="1" applyFont="1" applyFill="1" applyBorder="1" applyAlignment="1">
      <alignment vertical="center"/>
    </xf>
    <xf numFmtId="178" fontId="13" fillId="4" borderId="20" xfId="0" applyNumberFormat="1" applyFont="1" applyFill="1" applyBorder="1" applyAlignment="1">
      <alignment vertical="center"/>
    </xf>
    <xf numFmtId="0" fontId="34" fillId="0" borderId="0" xfId="10" applyFont="1" applyAlignment="1">
      <alignment vertical="center"/>
    </xf>
    <xf numFmtId="172" fontId="13" fillId="4" borderId="18" xfId="0" applyNumberFormat="1" applyFont="1" applyFill="1" applyBorder="1" applyAlignment="1">
      <alignment vertical="center"/>
    </xf>
    <xf numFmtId="172" fontId="13" fillId="4" borderId="19" xfId="0" applyNumberFormat="1" applyFont="1" applyFill="1" applyBorder="1" applyAlignment="1">
      <alignment vertical="center"/>
    </xf>
    <xf numFmtId="172" fontId="13" fillId="4" borderId="20" xfId="0" applyNumberFormat="1" applyFont="1" applyFill="1" applyBorder="1" applyAlignment="1">
      <alignment vertical="center"/>
    </xf>
    <xf numFmtId="0" fontId="19" fillId="0" borderId="0" xfId="0" applyFont="1"/>
    <xf numFmtId="194" fontId="6" fillId="4" borderId="0" xfId="0" applyNumberFormat="1" applyFont="1" applyFill="1" applyAlignment="1">
      <alignment vertical="center"/>
    </xf>
    <xf numFmtId="177" fontId="13" fillId="4" borderId="0" xfId="0" applyNumberFormat="1" applyFont="1" applyFill="1"/>
    <xf numFmtId="174" fontId="6" fillId="4" borderId="1" xfId="4" applyNumberFormat="1" applyFont="1" applyFill="1" applyBorder="1"/>
    <xf numFmtId="174" fontId="6" fillId="5" borderId="0" xfId="4" applyNumberFormat="1" applyFont="1" applyFill="1"/>
    <xf numFmtId="187" fontId="6" fillId="0" borderId="21" xfId="0" quotePrefix="1" applyNumberFormat="1" applyFont="1" applyBorder="1" applyAlignment="1">
      <alignment horizontal="center"/>
    </xf>
    <xf numFmtId="187" fontId="6" fillId="0" borderId="23" xfId="0" quotePrefix="1" applyNumberFormat="1" applyFont="1" applyBorder="1" applyAlignment="1">
      <alignment horizontal="center"/>
    </xf>
    <xf numFmtId="172" fontId="13" fillId="0" borderId="20" xfId="0" applyNumberFormat="1" applyFont="1" applyBorder="1"/>
    <xf numFmtId="172" fontId="6" fillId="0" borderId="4" xfId="0" applyNumberFormat="1" applyFont="1" applyBorder="1"/>
    <xf numFmtId="204" fontId="13" fillId="0" borderId="13" xfId="0" applyNumberFormat="1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2" fontId="6" fillId="0" borderId="11" xfId="0" applyNumberFormat="1" applyFont="1" applyBorder="1" applyAlignment="1">
      <alignment horizontal="left"/>
    </xf>
    <xf numFmtId="203" fontId="6" fillId="0" borderId="13" xfId="0" applyNumberFormat="1" applyFont="1" applyBorder="1" applyAlignment="1">
      <alignment horizontal="left"/>
    </xf>
    <xf numFmtId="14" fontId="6" fillId="0" borderId="13" xfId="0" applyNumberFormat="1" applyFont="1" applyBorder="1" applyAlignment="1">
      <alignment horizontal="left"/>
    </xf>
    <xf numFmtId="205" fontId="6" fillId="0" borderId="11" xfId="0" applyNumberFormat="1" applyFont="1" applyBorder="1" applyAlignment="1">
      <alignment horizontal="left"/>
    </xf>
    <xf numFmtId="205" fontId="6" fillId="0" borderId="13" xfId="0" applyNumberFormat="1" applyFont="1" applyBorder="1" applyAlignment="1">
      <alignment horizontal="left"/>
    </xf>
    <xf numFmtId="169" fontId="6" fillId="4" borderId="26" xfId="4" applyFont="1" applyFill="1" applyBorder="1"/>
    <xf numFmtId="169" fontId="6" fillId="4" borderId="27" xfId="4" applyFont="1" applyFill="1" applyBorder="1"/>
    <xf numFmtId="172" fontId="60" fillId="4" borderId="0" xfId="0" applyNumberFormat="1" applyFont="1" applyFill="1"/>
    <xf numFmtId="186" fontId="6" fillId="4" borderId="0" xfId="0" applyNumberFormat="1" applyFont="1" applyFill="1"/>
    <xf numFmtId="0" fontId="6" fillId="0" borderId="0" xfId="8" applyFont="1"/>
    <xf numFmtId="0" fontId="13" fillId="0" borderId="0" xfId="8" applyFont="1"/>
    <xf numFmtId="0" fontId="6" fillId="0" borderId="0" xfId="8" quotePrefix="1" applyFont="1" applyAlignment="1">
      <alignment horizontal="left"/>
    </xf>
    <xf numFmtId="0" fontId="6" fillId="0" borderId="0" xfId="8" applyFont="1" applyAlignment="1">
      <alignment horizontal="left"/>
    </xf>
    <xf numFmtId="0" fontId="13" fillId="0" borderId="0" xfId="8" quotePrefix="1" applyFont="1" applyAlignment="1">
      <alignment horizontal="left"/>
    </xf>
    <xf numFmtId="37" fontId="36" fillId="0" borderId="0" xfId="8" applyNumberFormat="1" applyFont="1"/>
    <xf numFmtId="37" fontId="27" fillId="0" borderId="0" xfId="8" applyNumberFormat="1" applyFont="1"/>
    <xf numFmtId="37" fontId="27" fillId="0" borderId="0" xfId="8" quotePrefix="1" applyNumberFormat="1" applyFont="1" applyAlignment="1">
      <alignment horizontal="left"/>
    </xf>
    <xf numFmtId="37" fontId="25" fillId="0" borderId="0" xfId="8" applyNumberFormat="1" applyFont="1"/>
    <xf numFmtId="0" fontId="17" fillId="0" borderId="1" xfId="0" applyFont="1" applyBorder="1"/>
    <xf numFmtId="172" fontId="13" fillId="6" borderId="18" xfId="0" applyNumberFormat="1" applyFont="1" applyFill="1" applyBorder="1" applyAlignment="1">
      <alignment vertical="center"/>
    </xf>
    <xf numFmtId="172" fontId="13" fillId="6" borderId="19" xfId="0" applyNumberFormat="1" applyFont="1" applyFill="1" applyBorder="1" applyAlignment="1">
      <alignment vertical="center"/>
    </xf>
    <xf numFmtId="172" fontId="13" fillId="6" borderId="20" xfId="0" applyNumberFormat="1" applyFont="1" applyFill="1" applyBorder="1" applyAlignment="1">
      <alignment vertical="center"/>
    </xf>
    <xf numFmtId="180" fontId="22" fillId="6" borderId="0" xfId="0" quotePrefix="1" applyNumberFormat="1" applyFont="1" applyFill="1" applyAlignment="1">
      <alignment horizontal="right"/>
    </xf>
    <xf numFmtId="172" fontId="60" fillId="6" borderId="0" xfId="0" applyNumberFormat="1" applyFont="1" applyFill="1"/>
    <xf numFmtId="174" fontId="6" fillId="6" borderId="0" xfId="4" applyNumberFormat="1" applyFont="1" applyFill="1"/>
    <xf numFmtId="174" fontId="13" fillId="6" borderId="0" xfId="4" applyNumberFormat="1" applyFont="1" applyFill="1" applyAlignment="1">
      <alignment horizontal="right"/>
    </xf>
    <xf numFmtId="175" fontId="6" fillId="6" borderId="28" xfId="0" applyNumberFormat="1" applyFont="1" applyFill="1" applyBorder="1"/>
    <xf numFmtId="175" fontId="6" fillId="6" borderId="29" xfId="0" applyNumberFormat="1" applyFont="1" applyFill="1" applyBorder="1"/>
    <xf numFmtId="175" fontId="6" fillId="6" borderId="30" xfId="0" applyNumberFormat="1" applyFont="1" applyFill="1" applyBorder="1"/>
    <xf numFmtId="174" fontId="6" fillId="6" borderId="1" xfId="4" applyNumberFormat="1" applyFont="1" applyFill="1" applyBorder="1"/>
    <xf numFmtId="174" fontId="6" fillId="5" borderId="1" xfId="4" applyNumberFormat="1" applyFont="1" applyFill="1" applyBorder="1"/>
    <xf numFmtId="174" fontId="6" fillId="6" borderId="1" xfId="0" applyNumberFormat="1" applyFont="1" applyFill="1" applyBorder="1"/>
    <xf numFmtId="0" fontId="6" fillId="7" borderId="0" xfId="0" applyFont="1" applyFill="1"/>
    <xf numFmtId="0" fontId="35" fillId="0" borderId="0" xfId="0" applyFont="1" applyFill="1" applyAlignment="1">
      <alignment horizontal="centerContinuous"/>
    </xf>
    <xf numFmtId="175" fontId="13" fillId="6" borderId="0" xfId="0" applyNumberFormat="1" applyFont="1" applyFill="1"/>
    <xf numFmtId="175" fontId="13" fillId="6" borderId="24" xfId="0" applyNumberFormat="1" applyFont="1" applyFill="1" applyBorder="1"/>
    <xf numFmtId="175" fontId="13" fillId="6" borderId="24" xfId="0" applyNumberFormat="1" applyFont="1" applyFill="1" applyBorder="1" applyAlignment="1">
      <alignment vertical="center"/>
    </xf>
    <xf numFmtId="178" fontId="13" fillId="6" borderId="18" xfId="0" applyNumberFormat="1" applyFont="1" applyFill="1" applyBorder="1" applyAlignment="1">
      <alignment vertical="center"/>
    </xf>
    <xf numFmtId="178" fontId="13" fillId="6" borderId="19" xfId="0" applyNumberFormat="1" applyFont="1" applyFill="1" applyBorder="1" applyAlignment="1">
      <alignment vertical="center"/>
    </xf>
    <xf numFmtId="178" fontId="13" fillId="6" borderId="20" xfId="0" applyNumberFormat="1" applyFont="1" applyFill="1" applyBorder="1" applyAlignment="1">
      <alignment vertical="center"/>
    </xf>
    <xf numFmtId="186" fontId="6" fillId="6" borderId="0" xfId="0" applyNumberFormat="1" applyFont="1" applyFill="1"/>
    <xf numFmtId="172" fontId="6" fillId="6" borderId="17" xfId="0" applyNumberFormat="1" applyFont="1" applyFill="1" applyBorder="1"/>
    <xf numFmtId="174" fontId="6" fillId="6" borderId="0" xfId="0" applyNumberFormat="1" applyFont="1" applyFill="1"/>
    <xf numFmtId="169" fontId="6" fillId="6" borderId="26" xfId="4" applyFont="1" applyFill="1" applyBorder="1"/>
    <xf numFmtId="177" fontId="13" fillId="6" borderId="0" xfId="0" applyNumberFormat="1" applyFont="1" applyFill="1"/>
  </cellXfs>
  <cellStyles count="14">
    <cellStyle name="Across" xfId="1" xr:uid="{00000000-0005-0000-0000-000000000000}"/>
    <cellStyle name="Bottom" xfId="2" xr:uid="{00000000-0005-0000-0000-000001000000}"/>
    <cellStyle name="Center" xfId="3" xr:uid="{00000000-0005-0000-0000-000002000000}"/>
    <cellStyle name="Comma" xfId="4" builtinId="3"/>
    <cellStyle name="Comma 2" xfId="5" xr:uid="{00000000-0005-0000-0000-000004000000}"/>
    <cellStyle name="Currency [2]" xfId="6" xr:uid="{00000000-0005-0000-0000-000005000000}"/>
    <cellStyle name="Double" xfId="7" xr:uid="{00000000-0005-0000-0000-000006000000}"/>
    <cellStyle name="Normal" xfId="0" builtinId="0"/>
    <cellStyle name="Normal 2" xfId="8" xr:uid="{00000000-0005-0000-0000-000008000000}"/>
    <cellStyle name="Normal_DrydenNewDCF3" xfId="9" xr:uid="{00000000-0005-0000-0000-000009000000}"/>
    <cellStyle name="Normal_TrainingDCF1" xfId="10" xr:uid="{00000000-0005-0000-0000-00000A000000}"/>
    <cellStyle name="Numbers" xfId="11" xr:uid="{00000000-0005-0000-0000-00000B000000}"/>
    <cellStyle name="Numbers - Bold - Italic" xfId="12" xr:uid="{00000000-0005-0000-0000-00000C000000}"/>
    <cellStyle name="Outline" xfId="13" xr:uid="{00000000-0005-0000-0000-00000D000000}"/>
  </cellStyles>
  <dxfs count="10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5" fmlaLink="$F$97" fmlaRange="$C$107:$D$109" noThreeD="1" sel="1" val="0"/>
</file>

<file path=xl/ctrlProps/ctrlProp2.xml><?xml version="1.0" encoding="utf-8"?>
<formControlPr xmlns="http://schemas.microsoft.com/office/spreadsheetml/2009/9/main" objectType="Drop" dropStyle="combo" dx="25" fmlaLink="$F$97" fmlaRange="$C$107:$D$109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361950</xdr:colOff>
          <xdr:row>95</xdr:row>
          <xdr:rowOff>57150</xdr:rowOff>
        </xdr:from>
        <xdr:to>
          <xdr:col>5</xdr:col>
          <xdr:colOff>628650</xdr:colOff>
          <xdr:row>97</xdr:row>
          <xdr:rowOff>28575</xdr:rowOff>
        </xdr:to>
        <xdr:sp macro="" textlink="">
          <xdr:nvSpPr>
            <xdr:cNvPr id="29697" name="Drop Dow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0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361950</xdr:colOff>
          <xdr:row>95</xdr:row>
          <xdr:rowOff>57150</xdr:rowOff>
        </xdr:from>
        <xdr:to>
          <xdr:col>5</xdr:col>
          <xdr:colOff>628650</xdr:colOff>
          <xdr:row>97</xdr:row>
          <xdr:rowOff>28575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1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B90D9-AC62-4A90-B29E-340D18E137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d0044ed-846b-4cf8-94db-5f5eba5431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autoPageBreaks="0"/>
  </sheetPr>
  <dimension ref="A2:IN702"/>
  <sheetViews>
    <sheetView showGridLines="0" tabSelected="1" topLeftCell="A312" zoomScaleNormal="100" zoomScaleSheetLayoutView="90" workbookViewId="0">
      <selection activeCell="J453" sqref="J453:O453"/>
    </sheetView>
  </sheetViews>
  <sheetFormatPr defaultColWidth="9.28515625" defaultRowHeight="12.75"/>
  <cols>
    <col min="1" max="1" width="7.7109375" style="74" customWidth="1"/>
    <col min="2" max="2" width="1.7109375" style="74" customWidth="1"/>
    <col min="3" max="3" width="2.28515625" style="74" customWidth="1"/>
    <col min="4" max="4" width="11.28515625" style="74" customWidth="1"/>
    <col min="5" max="5" width="12.7109375" style="74" customWidth="1"/>
    <col min="6" max="6" width="10.28515625" style="117" customWidth="1"/>
    <col min="7" max="7" width="1.7109375" style="74" customWidth="1"/>
    <col min="8" max="15" width="9.7109375" style="74" customWidth="1"/>
    <col min="16" max="16" width="14.5703125" style="74" customWidth="1"/>
    <col min="17" max="17" width="14.140625" style="74" customWidth="1"/>
    <col min="18" max="16384" width="9.28515625" style="74"/>
  </cols>
  <sheetData>
    <row r="2" spans="2:37" ht="22.5">
      <c r="B2" s="489" t="s">
        <v>305</v>
      </c>
      <c r="C2" s="143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100"/>
    </row>
    <row r="3" spans="2:37" ht="18.75">
      <c r="B3" s="315" t="s">
        <v>145</v>
      </c>
      <c r="C3" s="315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100"/>
    </row>
    <row r="4" spans="2:37" ht="6" customHeight="1" thickBot="1">
      <c r="B4" s="316"/>
      <c r="C4" s="316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</row>
    <row r="5" spans="2:37" ht="12.75" customHeight="1">
      <c r="F5" s="74"/>
      <c r="P5"/>
      <c r="R5" s="100"/>
    </row>
    <row r="6" spans="2:37" ht="14.65" customHeight="1">
      <c r="C6" s="317" t="s">
        <v>105</v>
      </c>
      <c r="D6" s="318"/>
      <c r="E6" s="318"/>
      <c r="F6" s="318"/>
      <c r="G6" s="318"/>
      <c r="H6" s="318"/>
      <c r="I6" s="319"/>
      <c r="K6" s="317" t="s">
        <v>235</v>
      </c>
      <c r="L6" s="320"/>
      <c r="M6" s="318"/>
      <c r="N6" s="318"/>
      <c r="O6" s="318"/>
      <c r="P6" s="318"/>
      <c r="Q6" s="318"/>
      <c r="R6" s="319"/>
    </row>
    <row r="7" spans="2:37" ht="14.65" customHeight="1">
      <c r="C7" s="321" t="s">
        <v>102</v>
      </c>
      <c r="D7" s="100" t="s">
        <v>188</v>
      </c>
      <c r="F7" s="74"/>
      <c r="H7" s="435">
        <v>2019</v>
      </c>
      <c r="I7" s="322"/>
      <c r="K7" s="400" t="s">
        <v>242</v>
      </c>
      <c r="L7" s="222"/>
      <c r="M7" s="222"/>
      <c r="N7" s="408" t="s">
        <v>238</v>
      </c>
      <c r="O7" s="408" t="s">
        <v>237</v>
      </c>
      <c r="P7" s="401" t="s">
        <v>231</v>
      </c>
      <c r="Q7" s="408" t="s">
        <v>241</v>
      </c>
      <c r="R7" s="402" t="s">
        <v>248</v>
      </c>
      <c r="S7" s="324"/>
    </row>
    <row r="8" spans="2:37" ht="14.65" customHeight="1">
      <c r="C8" s="321" t="s">
        <v>102</v>
      </c>
      <c r="D8" s="100" t="s">
        <v>203</v>
      </c>
      <c r="F8" s="74"/>
      <c r="I8" s="322"/>
      <c r="K8" s="106" t="s">
        <v>229</v>
      </c>
      <c r="N8" s="490">
        <v>10</v>
      </c>
      <c r="O8" s="405">
        <f>J323</f>
        <v>73.2</v>
      </c>
      <c r="P8" s="399" t="s">
        <v>232</v>
      </c>
      <c r="Q8" s="414">
        <v>5.0000000000000001E-3</v>
      </c>
      <c r="R8" s="417" t="s">
        <v>232</v>
      </c>
    </row>
    <row r="9" spans="2:37" ht="14.65" customHeight="1">
      <c r="C9" s="321" t="s">
        <v>102</v>
      </c>
      <c r="D9" s="100" t="s">
        <v>204</v>
      </c>
      <c r="F9" s="74"/>
      <c r="I9" s="322"/>
      <c r="K9" s="344" t="s">
        <v>233</v>
      </c>
      <c r="N9" s="127" t="s">
        <v>232</v>
      </c>
      <c r="O9" s="405">
        <f>J335</f>
        <v>10</v>
      </c>
      <c r="P9" s="399" t="s">
        <v>232</v>
      </c>
      <c r="Q9" s="415" t="s">
        <v>234</v>
      </c>
      <c r="R9" s="417" t="s">
        <v>232</v>
      </c>
    </row>
    <row r="10" spans="2:37" ht="14.65" customHeight="1">
      <c r="C10" s="326"/>
      <c r="D10" s="327" t="s">
        <v>175</v>
      </c>
      <c r="E10" s="122"/>
      <c r="F10" s="122"/>
      <c r="G10" s="122"/>
      <c r="H10" s="122"/>
      <c r="I10" s="328"/>
      <c r="K10" s="344" t="s">
        <v>252</v>
      </c>
      <c r="N10" s="346">
        <v>300</v>
      </c>
      <c r="O10" s="346">
        <v>150</v>
      </c>
      <c r="P10" s="399" t="s">
        <v>240</v>
      </c>
      <c r="Q10" s="415" t="s">
        <v>234</v>
      </c>
      <c r="R10" s="419">
        <v>0</v>
      </c>
    </row>
    <row r="11" spans="2:37" ht="14.65" customHeight="1">
      <c r="F11" s="74"/>
      <c r="K11" s="108" t="str">
        <f>"Mezzanine Notes due "&amp;YEAR(P11)</f>
        <v>Mezzanine Notes due 2022</v>
      </c>
      <c r="N11" s="346">
        <v>100</v>
      </c>
      <c r="O11" s="346">
        <v>100</v>
      </c>
      <c r="P11" s="436">
        <v>44742</v>
      </c>
      <c r="Q11" s="413">
        <v>7.0000000000000007E-2</v>
      </c>
      <c r="R11" s="419">
        <v>0</v>
      </c>
    </row>
    <row r="12" spans="2:37" s="314" customFormat="1" ht="14.65" customHeight="1">
      <c r="C12" s="317" t="s">
        <v>106</v>
      </c>
      <c r="D12" s="331"/>
      <c r="E12" s="332"/>
      <c r="F12" s="332"/>
      <c r="G12" s="332"/>
      <c r="H12" s="332"/>
      <c r="I12" s="333"/>
      <c r="J12" s="74"/>
      <c r="K12" s="108" t="str">
        <f>"Senior Notes due "&amp;YEAR(P12)</f>
        <v>Senior Notes due 2022</v>
      </c>
      <c r="L12" s="74"/>
      <c r="M12" s="74"/>
      <c r="N12" s="346">
        <v>300</v>
      </c>
      <c r="O12" s="346">
        <v>300</v>
      </c>
      <c r="P12" s="436">
        <v>44742</v>
      </c>
      <c r="Q12" s="413">
        <v>5.7000000000000002E-2</v>
      </c>
      <c r="R12" s="419">
        <v>0</v>
      </c>
    </row>
    <row r="13" spans="2:37" ht="14.65" customHeight="1">
      <c r="C13" s="321" t="s">
        <v>102</v>
      </c>
      <c r="D13" s="99" t="s">
        <v>101</v>
      </c>
      <c r="F13" s="74"/>
      <c r="I13" s="322"/>
      <c r="K13" s="108" t="str">
        <f>"Senior Notes due "&amp;YEAR(P13)</f>
        <v>Senior Notes due 2023</v>
      </c>
      <c r="N13" s="346">
        <v>200</v>
      </c>
      <c r="O13" s="346">
        <v>200</v>
      </c>
      <c r="P13" s="436">
        <v>45107</v>
      </c>
      <c r="Q13" s="413">
        <v>4.8000000000000001E-2</v>
      </c>
      <c r="R13" s="419">
        <v>1</v>
      </c>
    </row>
    <row r="14" spans="2:37" ht="14.65" customHeight="1">
      <c r="C14" s="108"/>
      <c r="D14" s="491" t="s">
        <v>0</v>
      </c>
      <c r="E14" s="335" t="str">
        <f>H56&amp;" - "&amp;L56</f>
        <v>2019 - 2023</v>
      </c>
      <c r="F14" s="72"/>
      <c r="G14" s="493" t="s">
        <v>2</v>
      </c>
      <c r="I14" s="336"/>
      <c r="K14" s="229" t="s">
        <v>230</v>
      </c>
      <c r="L14" s="122"/>
      <c r="M14" s="122"/>
      <c r="N14" s="407" t="s">
        <v>232</v>
      </c>
      <c r="O14" s="348">
        <v>0</v>
      </c>
      <c r="P14" s="406" t="s">
        <v>232</v>
      </c>
      <c r="Q14" s="416">
        <v>0.05</v>
      </c>
      <c r="R14" s="418" t="s">
        <v>232</v>
      </c>
    </row>
    <row r="15" spans="2:37" s="339" customFormat="1" ht="14.65" customHeight="1">
      <c r="C15" s="492"/>
      <c r="D15" s="199" t="s">
        <v>75</v>
      </c>
      <c r="E15" s="72" t="s">
        <v>190</v>
      </c>
      <c r="F15" s="494"/>
      <c r="G15" s="100" t="s">
        <v>100</v>
      </c>
      <c r="I15" s="340"/>
      <c r="K15" s="74"/>
      <c r="L15" s="74"/>
      <c r="M15" s="74"/>
      <c r="N15" s="74"/>
      <c r="O15" s="74"/>
      <c r="P15" s="74"/>
      <c r="Q15" s="74"/>
      <c r="R15" s="100"/>
    </row>
    <row r="16" spans="2:37" ht="14.65" customHeight="1">
      <c r="C16" s="108"/>
      <c r="D16" s="199" t="s">
        <v>76</v>
      </c>
      <c r="E16" s="343">
        <v>0.05</v>
      </c>
      <c r="F16" s="72"/>
      <c r="G16" s="100" t="s">
        <v>100</v>
      </c>
      <c r="I16" s="340"/>
      <c r="K16" s="317" t="s">
        <v>236</v>
      </c>
      <c r="L16" s="396"/>
      <c r="M16" s="396"/>
      <c r="N16" s="396"/>
      <c r="O16" s="396"/>
      <c r="P16" s="396"/>
      <c r="Q16" s="396"/>
      <c r="R16" s="397"/>
      <c r="T16" s="339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</row>
    <row r="17" spans="3:37" ht="14.65" customHeight="1">
      <c r="C17" s="108"/>
      <c r="D17" s="435" t="s">
        <v>77</v>
      </c>
      <c r="E17" s="343">
        <v>-0.05</v>
      </c>
      <c r="F17" s="72"/>
      <c r="G17" s="100" t="s">
        <v>100</v>
      </c>
      <c r="I17" s="340"/>
      <c r="K17" s="409"/>
      <c r="L17" s="410"/>
      <c r="M17" s="222"/>
      <c r="N17" s="411">
        <f>H7</f>
        <v>2019</v>
      </c>
      <c r="O17" s="411">
        <f>N17+1</f>
        <v>2020</v>
      </c>
      <c r="P17" s="411">
        <f>O17+1</f>
        <v>2021</v>
      </c>
      <c r="Q17" s="411">
        <f>P17+1</f>
        <v>2022</v>
      </c>
      <c r="R17" s="412">
        <f>Q17+1</f>
        <v>2023</v>
      </c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</row>
    <row r="18" spans="3:37" ht="14.65" customHeight="1">
      <c r="C18" s="229"/>
      <c r="D18" s="122"/>
      <c r="E18" s="122"/>
      <c r="F18" s="122"/>
      <c r="G18" s="122"/>
      <c r="H18" s="122"/>
      <c r="I18" s="328"/>
      <c r="K18" s="106" t="s">
        <v>324</v>
      </c>
      <c r="N18" s="361">
        <v>0.15</v>
      </c>
      <c r="O18" s="361">
        <v>0.13</v>
      </c>
      <c r="P18" s="361">
        <v>0.12</v>
      </c>
      <c r="Q18" s="361">
        <v>0.1</v>
      </c>
      <c r="R18" s="398">
        <v>0</v>
      </c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</row>
    <row r="19" spans="3:37" ht="14.65" customHeight="1">
      <c r="F19" s="74"/>
      <c r="K19" s="349" t="s">
        <v>263</v>
      </c>
      <c r="L19" s="152"/>
      <c r="M19" s="152"/>
      <c r="O19" s="347" t="s">
        <v>193</v>
      </c>
      <c r="R19" s="322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</row>
    <row r="20" spans="3:37" ht="14.65" customHeight="1">
      <c r="C20" s="317" t="s">
        <v>109</v>
      </c>
      <c r="D20" s="320"/>
      <c r="E20" s="318"/>
      <c r="F20" s="318"/>
      <c r="G20" s="318"/>
      <c r="H20" s="318"/>
      <c r="I20" s="319"/>
      <c r="K20" s="350">
        <v>0</v>
      </c>
      <c r="L20" s="403"/>
      <c r="M20" s="403"/>
      <c r="O20" s="351">
        <v>0.02</v>
      </c>
      <c r="R20" s="322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</row>
    <row r="21" spans="3:37" ht="14.65" customHeight="1">
      <c r="C21" s="334" t="s">
        <v>110</v>
      </c>
      <c r="D21" s="99"/>
      <c r="E21" s="152">
        <f>H7</f>
        <v>2019</v>
      </c>
      <c r="F21" s="74"/>
      <c r="G21" s="152" t="s">
        <v>112</v>
      </c>
      <c r="I21" s="322"/>
      <c r="K21" s="350">
        <v>1</v>
      </c>
      <c r="L21" s="403"/>
      <c r="M21" s="403"/>
      <c r="O21" s="351">
        <f>O20+0.5%</f>
        <v>2.5000000000000001E-2</v>
      </c>
      <c r="R21" s="322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</row>
    <row r="22" spans="3:37" ht="14.65" customHeight="1">
      <c r="C22" s="345" t="s">
        <v>111</v>
      </c>
      <c r="D22" s="99"/>
      <c r="E22" s="346">
        <v>270</v>
      </c>
      <c r="F22" s="74" t="s">
        <v>210</v>
      </c>
      <c r="G22" s="74" t="s">
        <v>113</v>
      </c>
      <c r="I22" s="322"/>
      <c r="K22" s="350">
        <f>K21+1</f>
        <v>2</v>
      </c>
      <c r="L22" s="403"/>
      <c r="M22" s="403"/>
      <c r="O22" s="351">
        <f>O21+0.5%</f>
        <v>3.0000000000000002E-2</v>
      </c>
      <c r="R22" s="322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</row>
    <row r="23" spans="3:37" ht="14.65" customHeight="1">
      <c r="C23" s="345" t="s">
        <v>38</v>
      </c>
      <c r="D23" s="99"/>
      <c r="E23" s="346">
        <v>42</v>
      </c>
      <c r="F23" s="74" t="s">
        <v>210</v>
      </c>
      <c r="G23" s="74" t="s">
        <v>113</v>
      </c>
      <c r="I23" s="322"/>
      <c r="K23" s="356">
        <f>K22+1</f>
        <v>3</v>
      </c>
      <c r="L23" s="404"/>
      <c r="M23" s="404"/>
      <c r="N23" s="122"/>
      <c r="O23" s="357">
        <f>O22+0.5%</f>
        <v>3.5000000000000003E-2</v>
      </c>
      <c r="P23" s="122"/>
      <c r="Q23" s="122"/>
      <c r="R23" s="328"/>
      <c r="T23" s="339"/>
      <c r="U23" s="339"/>
      <c r="V23" s="339"/>
      <c r="W23" s="339"/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39"/>
      <c r="AI23" s="339"/>
      <c r="AJ23" s="339"/>
      <c r="AK23" s="339"/>
    </row>
    <row r="24" spans="3:37" ht="14.65" customHeight="1">
      <c r="C24" s="345" t="s">
        <v>65</v>
      </c>
      <c r="D24" s="100"/>
      <c r="E24" s="346">
        <v>70</v>
      </c>
      <c r="F24" s="74" t="s">
        <v>209</v>
      </c>
      <c r="G24" s="74" t="s">
        <v>116</v>
      </c>
      <c r="I24" s="322"/>
      <c r="R24" s="100"/>
      <c r="T24" s="339"/>
      <c r="U24" s="339"/>
      <c r="V24" s="339"/>
      <c r="W24" s="339"/>
      <c r="X24" s="339"/>
      <c r="Y24" s="339"/>
      <c r="Z24" s="339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</row>
    <row r="25" spans="3:37" ht="14.65" customHeight="1">
      <c r="C25" s="345" t="s">
        <v>66</v>
      </c>
      <c r="D25" s="100"/>
      <c r="E25" s="346">
        <v>23</v>
      </c>
      <c r="F25" s="74" t="s">
        <v>209</v>
      </c>
      <c r="G25" s="74" t="s">
        <v>116</v>
      </c>
      <c r="I25" s="322"/>
      <c r="K25" s="317" t="s">
        <v>160</v>
      </c>
      <c r="L25" s="318"/>
      <c r="M25" s="318"/>
      <c r="N25" s="319"/>
      <c r="P25" s="317" t="s">
        <v>301</v>
      </c>
      <c r="Q25" s="396"/>
      <c r="R25" s="397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</row>
    <row r="26" spans="3:37" ht="14.65" customHeight="1">
      <c r="C26" s="345" t="s">
        <v>239</v>
      </c>
      <c r="D26" s="100"/>
      <c r="E26" s="346">
        <v>65</v>
      </c>
      <c r="F26" s="74" t="s">
        <v>209</v>
      </c>
      <c r="G26" s="74" t="s">
        <v>116</v>
      </c>
      <c r="I26" s="322"/>
      <c r="K26" s="108" t="str">
        <f ca="1">"Stock Price - "&amp;TEXT(TODAY()-1,"mm/dd/yy")</f>
        <v>Stock Price - 10/05/26</v>
      </c>
      <c r="N26" s="323">
        <v>22</v>
      </c>
      <c r="P26" s="395" t="s">
        <v>302</v>
      </c>
      <c r="R26" s="398">
        <v>0.4</v>
      </c>
    </row>
    <row r="27" spans="3:37" ht="14.65" customHeight="1">
      <c r="C27" s="345" t="s">
        <v>114</v>
      </c>
      <c r="D27" s="100"/>
      <c r="E27" s="346">
        <v>15</v>
      </c>
      <c r="F27" s="74" t="s">
        <v>209</v>
      </c>
      <c r="G27" s="74" t="s">
        <v>116</v>
      </c>
      <c r="I27" s="322"/>
      <c r="K27" s="108" t="str">
        <f>"Ending Stock Price - "&amp;H7-1</f>
        <v>Ending Stock Price - 2018</v>
      </c>
      <c r="N27" s="323">
        <v>20.5</v>
      </c>
      <c r="P27" s="488" t="s">
        <v>304</v>
      </c>
      <c r="R27" s="424">
        <v>2.5</v>
      </c>
    </row>
    <row r="28" spans="3:37" ht="14.65" customHeight="1">
      <c r="C28" s="345" t="s">
        <v>176</v>
      </c>
      <c r="D28" s="100"/>
      <c r="E28" s="346">
        <v>7</v>
      </c>
      <c r="F28" s="74" t="s">
        <v>209</v>
      </c>
      <c r="G28" s="74" t="s">
        <v>116</v>
      </c>
      <c r="I28" s="322"/>
      <c r="K28" s="108" t="s">
        <v>161</v>
      </c>
      <c r="N28" s="325">
        <v>0.1</v>
      </c>
      <c r="P28" s="108"/>
      <c r="R28" s="322"/>
    </row>
    <row r="29" spans="3:37" ht="14.65" customHeight="1">
      <c r="C29" s="345" t="s">
        <v>15</v>
      </c>
      <c r="D29" s="100"/>
      <c r="E29" s="346">
        <v>5</v>
      </c>
      <c r="F29" s="74" t="s">
        <v>209</v>
      </c>
      <c r="G29" s="74" t="s">
        <v>116</v>
      </c>
      <c r="I29" s="322"/>
      <c r="K29" s="106" t="s">
        <v>196</v>
      </c>
      <c r="N29" s="329">
        <v>0.12</v>
      </c>
      <c r="P29" s="471" t="s">
        <v>189</v>
      </c>
      <c r="R29" s="473">
        <v>3.5</v>
      </c>
    </row>
    <row r="30" spans="3:37" ht="14.65" customHeight="1">
      <c r="C30" s="345" t="s">
        <v>115</v>
      </c>
      <c r="D30" s="100"/>
      <c r="E30" s="346">
        <v>10.4</v>
      </c>
      <c r="F30" s="74" t="s">
        <v>209</v>
      </c>
      <c r="G30" s="74" t="s">
        <v>116</v>
      </c>
      <c r="I30" s="322"/>
      <c r="K30" s="229" t="str">
        <f>"Fully Diluted Shares O/S (MM) - Dec. 31, "&amp;H7-1</f>
        <v>Fully Diluted Shares O/S (MM) - Dec. 31, 2018</v>
      </c>
      <c r="L30" s="122"/>
      <c r="M30" s="122"/>
      <c r="N30" s="330">
        <v>122.6</v>
      </c>
      <c r="P30" s="471" t="s">
        <v>293</v>
      </c>
      <c r="R30" s="473">
        <v>3.5</v>
      </c>
    </row>
    <row r="31" spans="3:37" ht="14.65" customHeight="1">
      <c r="C31" s="229"/>
      <c r="D31" s="122"/>
      <c r="E31" s="122"/>
      <c r="F31" s="122"/>
      <c r="G31" s="122"/>
      <c r="H31" s="122"/>
      <c r="I31" s="328"/>
      <c r="P31" s="471" t="s">
        <v>294</v>
      </c>
      <c r="R31" s="474">
        <v>4</v>
      </c>
    </row>
    <row r="32" spans="3:37" ht="14.65" customHeight="1">
      <c r="F32" s="74"/>
      <c r="P32" s="471" t="s">
        <v>296</v>
      </c>
      <c r="R32" s="474">
        <v>1.5</v>
      </c>
    </row>
    <row r="33" spans="2:18" ht="14.65" customHeight="1">
      <c r="C33" s="317" t="s">
        <v>117</v>
      </c>
      <c r="D33" s="318"/>
      <c r="E33" s="318"/>
      <c r="F33" s="318"/>
      <c r="G33" s="318"/>
      <c r="H33" s="318"/>
      <c r="I33" s="319"/>
      <c r="K33" s="317" t="s">
        <v>107</v>
      </c>
      <c r="L33" s="332"/>
      <c r="M33" s="332"/>
      <c r="N33" s="333"/>
      <c r="P33" s="472" t="s">
        <v>298</v>
      </c>
      <c r="Q33" s="122"/>
      <c r="R33" s="475">
        <v>0.5</v>
      </c>
    </row>
    <row r="34" spans="2:18" ht="14.65" customHeight="1">
      <c r="C34" s="353" t="s">
        <v>124</v>
      </c>
      <c r="D34" s="222"/>
      <c r="E34" s="222"/>
      <c r="F34" s="222"/>
      <c r="G34" s="222"/>
      <c r="I34" s="358" t="s">
        <v>118</v>
      </c>
      <c r="K34" s="337" t="s">
        <v>103</v>
      </c>
      <c r="N34" s="338">
        <v>350</v>
      </c>
    </row>
    <row r="35" spans="2:18" ht="14.65" customHeight="1">
      <c r="C35" s="359" t="s">
        <v>205</v>
      </c>
      <c r="F35" s="74"/>
      <c r="I35" s="360">
        <v>20</v>
      </c>
      <c r="K35" s="341" t="s">
        <v>146</v>
      </c>
      <c r="L35" s="313"/>
      <c r="M35" s="313"/>
      <c r="N35" s="342">
        <v>15000</v>
      </c>
    </row>
    <row r="36" spans="2:18" ht="14.65" customHeight="1">
      <c r="C36" s="495" t="s">
        <v>206</v>
      </c>
      <c r="D36" s="122"/>
      <c r="E36" s="122"/>
      <c r="F36" s="122"/>
      <c r="G36" s="122"/>
      <c r="H36" s="122"/>
      <c r="I36" s="496">
        <v>25</v>
      </c>
    </row>
    <row r="37" spans="2:18" ht="14.65" customHeight="1">
      <c r="F37" s="74"/>
    </row>
    <row r="38" spans="2:18" ht="14.65" customHeight="1">
      <c r="C38" s="352" t="s">
        <v>108</v>
      </c>
      <c r="D38" s="318"/>
      <c r="E38" s="318"/>
      <c r="F38" s="318"/>
      <c r="G38" s="318"/>
      <c r="H38" s="318"/>
      <c r="I38" s="319"/>
    </row>
    <row r="39" spans="2:18" ht="14.65" customHeight="1">
      <c r="C39" s="353" t="s">
        <v>104</v>
      </c>
      <c r="F39" s="74"/>
      <c r="I39" s="354">
        <v>0.28000000000000003</v>
      </c>
    </row>
    <row r="40" spans="2:18" ht="14.65" customHeight="1">
      <c r="C40" s="337" t="s">
        <v>346</v>
      </c>
      <c r="F40" s="74"/>
      <c r="I40" s="325">
        <v>0.18</v>
      </c>
    </row>
    <row r="41" spans="2:18" ht="14.65" customHeight="1">
      <c r="C41" s="337" t="s">
        <v>347</v>
      </c>
      <c r="F41" s="74"/>
      <c r="I41" s="355">
        <v>0</v>
      </c>
    </row>
    <row r="42" spans="2:18" ht="14.65" customHeight="1">
      <c r="C42" s="341" t="s">
        <v>348</v>
      </c>
      <c r="D42" s="122"/>
      <c r="E42" s="122"/>
      <c r="F42" s="122"/>
      <c r="G42" s="122"/>
      <c r="H42" s="122"/>
      <c r="I42" s="497">
        <v>665</v>
      </c>
    </row>
    <row r="43" spans="2:18" ht="9" customHeight="1">
      <c r="B43" s="122"/>
      <c r="C43" s="122"/>
      <c r="D43" s="362"/>
      <c r="E43" s="81"/>
      <c r="F43" s="81"/>
      <c r="G43" s="81"/>
      <c r="H43" s="81"/>
      <c r="I43" s="81"/>
      <c r="J43" s="81"/>
      <c r="K43" s="122"/>
      <c r="L43" s="122"/>
      <c r="M43" s="122"/>
      <c r="N43" s="122"/>
      <c r="O43" s="122"/>
      <c r="P43" s="122"/>
      <c r="Q43" s="122"/>
      <c r="R43" s="122"/>
    </row>
    <row r="44" spans="2:18" ht="12.75" customHeight="1">
      <c r="D44" s="363"/>
      <c r="E44" s="72"/>
      <c r="F44" s="72"/>
      <c r="G44" s="72"/>
      <c r="H44" s="72"/>
      <c r="J44" s="282"/>
      <c r="K44" s="282"/>
      <c r="L44" s="282"/>
    </row>
    <row r="45" spans="2:18" ht="12.75" customHeight="1">
      <c r="D45" s="363"/>
      <c r="E45" s="72"/>
      <c r="F45" s="72"/>
      <c r="G45" s="72"/>
      <c r="H45" s="72"/>
      <c r="R45" s="100"/>
    </row>
    <row r="46" spans="2:18" ht="22.5">
      <c r="B46" s="71" t="str">
        <f>B2</f>
        <v>Windsol Manufacturing</v>
      </c>
      <c r="C46" s="143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100"/>
    </row>
    <row r="47" spans="2:18" ht="18.75">
      <c r="B47" s="315" t="s">
        <v>145</v>
      </c>
      <c r="C47" s="315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100"/>
    </row>
    <row r="48" spans="2:18" ht="6" customHeight="1" thickBot="1">
      <c r="B48" s="316"/>
      <c r="C48" s="316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100"/>
    </row>
    <row r="49" spans="3:24" ht="6" customHeight="1">
      <c r="D49" s="363"/>
      <c r="E49" s="72"/>
      <c r="F49" s="72"/>
      <c r="G49" s="72"/>
      <c r="H49" s="72"/>
      <c r="R49" s="100"/>
    </row>
    <row r="50" spans="3:24" ht="15.6" customHeight="1">
      <c r="C50" s="137" t="s">
        <v>120</v>
      </c>
      <c r="F50" s="74"/>
      <c r="R50" s="100"/>
    </row>
    <row r="51" spans="3:24" ht="14.1" customHeight="1">
      <c r="C51" s="364" t="s">
        <v>102</v>
      </c>
      <c r="D51" s="100" t="str">
        <f>CONCATENATE("Capex has been assumed at $",H60," million in ",H56,", $",I60," million in ",I56," and grown at inflation thereafter")</f>
        <v>Capex has been assumed at $120 million in 2019, $130 million in 2020 and grown at inflation thereafter</v>
      </c>
      <c r="F51" s="74"/>
      <c r="R51" s="100"/>
    </row>
    <row r="52" spans="3:24" ht="14.1" customHeight="1">
      <c r="C52" s="364" t="s">
        <v>102</v>
      </c>
      <c r="D52" s="100" t="s">
        <v>74</v>
      </c>
      <c r="F52" s="74"/>
      <c r="R52" s="100"/>
    </row>
    <row r="53" spans="3:24" ht="14.1" customHeight="1">
      <c r="C53" s="364" t="s">
        <v>102</v>
      </c>
      <c r="D53" s="100" t="s">
        <v>121</v>
      </c>
      <c r="F53" s="74"/>
      <c r="R53" s="100"/>
    </row>
    <row r="54" spans="3:24" ht="14.1" customHeight="1">
      <c r="C54" s="364"/>
      <c r="D54" s="100" t="s">
        <v>122</v>
      </c>
      <c r="F54" s="74"/>
      <c r="R54" s="100"/>
    </row>
    <row r="55" spans="3:24" ht="6" customHeight="1">
      <c r="C55" s="365"/>
      <c r="F55" s="74"/>
      <c r="R55" s="100"/>
    </row>
    <row r="56" spans="3:24" s="371" customFormat="1" ht="15.75">
      <c r="C56" s="366"/>
      <c r="D56" s="367" t="s">
        <v>277</v>
      </c>
      <c r="E56" s="318"/>
      <c r="F56" s="318"/>
      <c r="G56" s="318"/>
      <c r="H56" s="368">
        <f>H7</f>
        <v>2019</v>
      </c>
      <c r="I56" s="368">
        <f>H56+1</f>
        <v>2020</v>
      </c>
      <c r="J56" s="368">
        <f>I56+1</f>
        <v>2021</v>
      </c>
      <c r="K56" s="368">
        <f>J56+1</f>
        <v>2022</v>
      </c>
      <c r="L56" s="369">
        <f>K56+1</f>
        <v>2023</v>
      </c>
      <c r="M56" s="74"/>
      <c r="N56"/>
      <c r="O56"/>
      <c r="P56"/>
      <c r="Q56"/>
      <c r="R56"/>
      <c r="S56" s="425"/>
    </row>
    <row r="57" spans="3:24" ht="12.75" customHeight="1">
      <c r="D57" s="337" t="s">
        <v>56</v>
      </c>
      <c r="F57" s="74"/>
      <c r="H57" s="372">
        <v>120</v>
      </c>
      <c r="I57" s="372">
        <v>130</v>
      </c>
      <c r="J57" s="373">
        <f>I57*(1+M$105)</f>
        <v>131.94999999999999</v>
      </c>
      <c r="K57" s="373">
        <f t="shared" ref="K57:L57" si="0">J57*(1+N$105)</f>
        <v>134.589</v>
      </c>
      <c r="L57" s="374">
        <f t="shared" si="0"/>
        <v>137.28077999999999</v>
      </c>
      <c r="M57" s="373"/>
      <c r="N57"/>
      <c r="O57"/>
      <c r="P57"/>
      <c r="Q57"/>
      <c r="R57"/>
      <c r="S57" s="100"/>
    </row>
    <row r="58" spans="3:24" ht="12.75" customHeight="1">
      <c r="D58" s="106" t="s">
        <v>57</v>
      </c>
      <c r="F58" s="74"/>
      <c r="H58" s="372">
        <v>0</v>
      </c>
      <c r="I58" s="372">
        <v>0</v>
      </c>
      <c r="J58" s="372">
        <v>0</v>
      </c>
      <c r="K58" s="372">
        <v>0</v>
      </c>
      <c r="L58" s="375">
        <v>0</v>
      </c>
      <c r="M58" s="372"/>
      <c r="N58"/>
      <c r="O58"/>
      <c r="P58"/>
      <c r="Q58"/>
      <c r="R58"/>
      <c r="S58" s="100"/>
    </row>
    <row r="59" spans="3:24" ht="12.75" customHeight="1">
      <c r="D59" s="108" t="s">
        <v>5</v>
      </c>
      <c r="F59" s="74"/>
      <c r="H59" s="376">
        <v>0</v>
      </c>
      <c r="I59" s="376">
        <v>0</v>
      </c>
      <c r="J59" s="376">
        <v>0</v>
      </c>
      <c r="K59" s="376">
        <v>0</v>
      </c>
      <c r="L59" s="377">
        <v>0</v>
      </c>
      <c r="M59" s="372"/>
      <c r="N59"/>
      <c r="O59"/>
      <c r="P59"/>
      <c r="Q59"/>
      <c r="R59"/>
      <c r="S59" s="100"/>
    </row>
    <row r="60" spans="3:24" ht="12.75" customHeight="1">
      <c r="D60" s="378" t="s">
        <v>4</v>
      </c>
      <c r="F60" s="74"/>
      <c r="H60" s="218">
        <f>SUM(H57:H59)</f>
        <v>120</v>
      </c>
      <c r="I60" s="218">
        <f>SUM(I57:I59)</f>
        <v>130</v>
      </c>
      <c r="J60" s="218">
        <f>SUM(J57:J59)</f>
        <v>131.94999999999999</v>
      </c>
      <c r="K60" s="218">
        <f>SUM(K57:K59)</f>
        <v>134.589</v>
      </c>
      <c r="L60" s="379">
        <f>SUM(L57:L59)</f>
        <v>137.28077999999999</v>
      </c>
      <c r="M60" s="218"/>
      <c r="N60"/>
      <c r="O60"/>
      <c r="P60"/>
      <c r="Q60"/>
      <c r="R60"/>
      <c r="S60" s="100"/>
    </row>
    <row r="61" spans="3:24" ht="12.75" customHeight="1">
      <c r="D61" s="229"/>
      <c r="E61" s="380"/>
      <c r="F61" s="380"/>
      <c r="G61" s="380"/>
      <c r="H61" s="380"/>
      <c r="I61" s="380"/>
      <c r="J61" s="381"/>
      <c r="K61" s="380"/>
      <c r="L61" s="382"/>
      <c r="M61" s="282"/>
      <c r="N61"/>
      <c r="O61"/>
      <c r="P61"/>
      <c r="Q61"/>
      <c r="R61"/>
      <c r="S61" s="100"/>
    </row>
    <row r="62" spans="3:24" ht="12.75" customHeight="1">
      <c r="F62" s="74"/>
      <c r="H62" s="282"/>
      <c r="I62" s="383"/>
      <c r="J62" s="282"/>
      <c r="K62" s="282"/>
      <c r="L62" s="282"/>
      <c r="R62" s="426"/>
      <c r="S62"/>
      <c r="V62" s="282"/>
      <c r="W62" s="282"/>
      <c r="X62" s="282"/>
    </row>
    <row r="63" spans="3:24" ht="12.75" customHeight="1">
      <c r="F63" s="74"/>
      <c r="H63" s="282"/>
      <c r="I63" s="383"/>
      <c r="J63" s="282"/>
      <c r="K63" s="282"/>
      <c r="L63" s="282"/>
      <c r="R63" s="426"/>
      <c r="S63"/>
      <c r="V63" s="282"/>
      <c r="W63" s="282"/>
      <c r="X63" s="282"/>
    </row>
    <row r="64" spans="3:24" ht="12.75" customHeight="1">
      <c r="C64" s="137" t="s">
        <v>201</v>
      </c>
      <c r="F64" s="74"/>
      <c r="R64" s="426"/>
      <c r="S64"/>
    </row>
    <row r="65" spans="3:19" ht="12.75" customHeight="1">
      <c r="C65" s="137"/>
      <c r="F65" s="74"/>
      <c r="M65"/>
      <c r="N65"/>
      <c r="O65"/>
      <c r="P65"/>
      <c r="Q65"/>
      <c r="R65" s="426"/>
      <c r="S65"/>
    </row>
    <row r="66" spans="3:19" ht="12.75" customHeight="1">
      <c r="C66" s="137"/>
      <c r="D66" s="367" t="s">
        <v>277</v>
      </c>
      <c r="E66" s="318"/>
      <c r="F66" s="318"/>
      <c r="G66" s="318"/>
      <c r="H66" s="368">
        <f>H56</f>
        <v>2019</v>
      </c>
      <c r="I66" s="368">
        <f>H66+1</f>
        <v>2020</v>
      </c>
      <c r="J66" s="368">
        <f>I66+1</f>
        <v>2021</v>
      </c>
      <c r="K66" s="368">
        <f>J66+1</f>
        <v>2022</v>
      </c>
      <c r="L66" s="369">
        <f>K66+1</f>
        <v>2023</v>
      </c>
      <c r="M66" s="282"/>
      <c r="N66"/>
      <c r="O66"/>
      <c r="P66"/>
      <c r="Q66"/>
      <c r="R66"/>
      <c r="S66" s="100"/>
    </row>
    <row r="67" spans="3:19" ht="12.75" customHeight="1">
      <c r="D67" s="106" t="s">
        <v>197</v>
      </c>
      <c r="F67" s="74"/>
      <c r="H67" s="372">
        <v>0</v>
      </c>
      <c r="I67" s="372">
        <v>0</v>
      </c>
      <c r="J67" s="372">
        <v>0</v>
      </c>
      <c r="K67" s="372">
        <v>0</v>
      </c>
      <c r="L67" s="375">
        <v>0</v>
      </c>
      <c r="M67" s="372"/>
      <c r="N67"/>
      <c r="O67"/>
      <c r="P67"/>
      <c r="Q67"/>
      <c r="R67"/>
      <c r="S67" s="100"/>
    </row>
    <row r="68" spans="3:19" ht="12.75" customHeight="1">
      <c r="D68" s="106" t="s">
        <v>198</v>
      </c>
      <c r="F68" s="74"/>
      <c r="H68" s="372">
        <v>0</v>
      </c>
      <c r="I68" s="372">
        <v>0</v>
      </c>
      <c r="J68" s="372">
        <v>0</v>
      </c>
      <c r="K68" s="372">
        <v>0</v>
      </c>
      <c r="L68" s="375">
        <v>0</v>
      </c>
      <c r="M68" s="372"/>
      <c r="N68"/>
      <c r="O68"/>
      <c r="P68"/>
      <c r="Q68"/>
      <c r="R68"/>
      <c r="S68" s="100"/>
    </row>
    <row r="69" spans="3:19" ht="12.75" customHeight="1">
      <c r="D69" s="106" t="s">
        <v>199</v>
      </c>
      <c r="F69" s="74"/>
      <c r="H69" s="376">
        <v>0</v>
      </c>
      <c r="I69" s="376">
        <v>0</v>
      </c>
      <c r="J69" s="376">
        <v>0</v>
      </c>
      <c r="K69" s="376">
        <v>0</v>
      </c>
      <c r="L69" s="377">
        <v>0</v>
      </c>
      <c r="M69" s="372"/>
      <c r="N69"/>
      <c r="O69"/>
      <c r="P69"/>
      <c r="Q69"/>
      <c r="R69"/>
      <c r="S69" s="100"/>
    </row>
    <row r="70" spans="3:19" ht="12.75" customHeight="1">
      <c r="D70" s="378" t="s">
        <v>200</v>
      </c>
      <c r="F70" s="74"/>
      <c r="H70" s="218">
        <f>SUM(H67:H69)</f>
        <v>0</v>
      </c>
      <c r="I70" s="218">
        <f>SUM(I67:I69)</f>
        <v>0</v>
      </c>
      <c r="J70" s="218">
        <f>SUM(J67:J69)</f>
        <v>0</v>
      </c>
      <c r="K70" s="218">
        <f>SUM(K67:K69)</f>
        <v>0</v>
      </c>
      <c r="L70" s="379">
        <f>SUM(L67:L69)</f>
        <v>0</v>
      </c>
      <c r="M70" s="282"/>
      <c r="N70" s="282"/>
      <c r="O70" s="282"/>
      <c r="P70" s="282"/>
      <c r="Q70" s="282"/>
      <c r="R70" s="218"/>
      <c r="S70" s="100"/>
    </row>
    <row r="71" spans="3:19" ht="12.75" customHeight="1">
      <c r="D71" s="229"/>
      <c r="E71" s="380"/>
      <c r="F71" s="380"/>
      <c r="G71" s="380"/>
      <c r="H71" s="380"/>
      <c r="I71" s="380"/>
      <c r="J71" s="381"/>
      <c r="K71" s="380"/>
      <c r="L71" s="382"/>
      <c r="M71" s="282"/>
      <c r="N71" s="282"/>
      <c r="O71" s="282"/>
      <c r="P71" s="282"/>
      <c r="Q71" s="282"/>
      <c r="R71" s="282"/>
      <c r="S71" s="100"/>
    </row>
    <row r="72" spans="3:19" ht="12.75" customHeight="1">
      <c r="F72" s="74"/>
      <c r="H72" s="282"/>
      <c r="I72" s="383"/>
      <c r="J72" s="282"/>
      <c r="K72" s="282"/>
      <c r="L72" s="282"/>
      <c r="M72" s="282"/>
      <c r="N72" s="282"/>
      <c r="O72" s="282"/>
      <c r="P72" s="282"/>
      <c r="Q72" s="282"/>
      <c r="R72" s="100"/>
    </row>
    <row r="73" spans="3:19" ht="12.75" customHeight="1">
      <c r="F73" s="74"/>
      <c r="R73" s="100"/>
    </row>
    <row r="74" spans="3:19" ht="12.75" customHeight="1">
      <c r="C74" s="137" t="s">
        <v>119</v>
      </c>
      <c r="F74" s="74"/>
      <c r="R74" s="100"/>
    </row>
    <row r="75" spans="3:19" ht="12.75" customHeight="1">
      <c r="F75" s="74"/>
      <c r="H75" s="282"/>
      <c r="I75" s="383"/>
      <c r="J75" s="282"/>
      <c r="K75" s="282"/>
      <c r="L75" s="282"/>
      <c r="M75" s="282"/>
      <c r="N75" s="282"/>
      <c r="O75" s="282"/>
      <c r="P75" s="282"/>
      <c r="Q75" s="282"/>
      <c r="R75" s="100"/>
    </row>
    <row r="76" spans="3:19" s="371" customFormat="1" ht="12.75" customHeight="1">
      <c r="C76" s="366"/>
      <c r="D76" s="367" t="s">
        <v>51</v>
      </c>
      <c r="E76" s="318"/>
      <c r="F76" s="318"/>
      <c r="G76" s="318"/>
      <c r="H76" s="368">
        <f>H66</f>
        <v>2019</v>
      </c>
      <c r="I76" s="368">
        <f>H76+1</f>
        <v>2020</v>
      </c>
      <c r="J76" s="368">
        <f>I76+1</f>
        <v>2021</v>
      </c>
      <c r="K76" s="368">
        <f>J76+1</f>
        <v>2022</v>
      </c>
      <c r="L76" s="369">
        <f>K76+1</f>
        <v>2023</v>
      </c>
      <c r="M76" s="282"/>
      <c r="N76" s="282"/>
      <c r="O76" s="282"/>
      <c r="P76" s="282"/>
      <c r="Q76" s="282"/>
      <c r="R76" s="370"/>
      <c r="S76" s="425"/>
    </row>
    <row r="77" spans="3:19" ht="12.75" customHeight="1">
      <c r="D77" s="106" t="s">
        <v>19</v>
      </c>
      <c r="F77" s="74"/>
      <c r="H77" s="372">
        <v>29</v>
      </c>
      <c r="I77" s="372">
        <v>28</v>
      </c>
      <c r="J77" s="372">
        <v>27</v>
      </c>
      <c r="K77" s="372">
        <v>27</v>
      </c>
      <c r="L77" s="375">
        <v>27</v>
      </c>
      <c r="M77" s="372"/>
      <c r="N77" s="372"/>
      <c r="O77" s="372"/>
      <c r="P77" s="372"/>
      <c r="Q77" s="372"/>
      <c r="R77" s="372"/>
      <c r="S77" s="100"/>
    </row>
    <row r="78" spans="3:19" ht="12.75" customHeight="1">
      <c r="D78" s="106" t="s">
        <v>33</v>
      </c>
      <c r="F78" s="74"/>
      <c r="H78" s="372">
        <v>54</v>
      </c>
      <c r="I78" s="372">
        <v>53</v>
      </c>
      <c r="J78" s="372">
        <v>52</v>
      </c>
      <c r="K78" s="372">
        <v>52</v>
      </c>
      <c r="L78" s="375">
        <v>51</v>
      </c>
      <c r="M78" s="372"/>
      <c r="N78" s="372"/>
      <c r="O78" s="372"/>
      <c r="P78" s="372"/>
      <c r="Q78" s="372"/>
      <c r="R78" s="372"/>
      <c r="S78" s="100"/>
    </row>
    <row r="79" spans="3:19" ht="12.75" customHeight="1">
      <c r="D79" s="106" t="s">
        <v>25</v>
      </c>
      <c r="F79" s="74"/>
      <c r="H79" s="372">
        <v>38</v>
      </c>
      <c r="I79" s="372">
        <v>39</v>
      </c>
      <c r="J79" s="372">
        <v>40</v>
      </c>
      <c r="K79" s="372">
        <v>40</v>
      </c>
      <c r="L79" s="375">
        <v>40</v>
      </c>
      <c r="M79" s="372"/>
      <c r="N79" s="372"/>
      <c r="O79" s="372"/>
      <c r="P79" s="372"/>
      <c r="Q79" s="372"/>
      <c r="R79" s="372"/>
      <c r="S79" s="100"/>
    </row>
    <row r="80" spans="3:19" ht="12.75" customHeight="1">
      <c r="D80" s="229"/>
      <c r="E80" s="122"/>
      <c r="F80" s="122"/>
      <c r="G80" s="122"/>
      <c r="H80" s="122"/>
      <c r="I80" s="380"/>
      <c r="J80" s="381"/>
      <c r="K80" s="380"/>
      <c r="L80" s="382"/>
      <c r="M80" s="282"/>
      <c r="N80" s="282"/>
      <c r="O80" s="282"/>
      <c r="P80" s="282"/>
      <c r="Q80" s="282"/>
      <c r="R80" s="282"/>
      <c r="S80" s="100"/>
    </row>
    <row r="81" spans="2:19" ht="12.75" customHeight="1">
      <c r="F81" s="74"/>
      <c r="H81" s="282"/>
      <c r="I81" s="383"/>
      <c r="J81" s="282"/>
      <c r="K81" s="282"/>
      <c r="L81" s="282"/>
      <c r="M81" s="282"/>
      <c r="N81" s="282"/>
      <c r="O81" s="282"/>
      <c r="P81" s="282"/>
      <c r="Q81" s="282"/>
      <c r="R81" s="100"/>
    </row>
    <row r="82" spans="2:19" ht="12.75" customHeight="1">
      <c r="F82" s="74"/>
      <c r="H82" s="282"/>
      <c r="I82" s="383"/>
      <c r="J82" s="282"/>
      <c r="K82" s="282"/>
      <c r="L82" s="282"/>
      <c r="M82" s="282"/>
      <c r="N82" s="282"/>
      <c r="O82" s="282"/>
      <c r="P82" s="282"/>
      <c r="Q82" s="282"/>
      <c r="R82" s="100"/>
    </row>
    <row r="83" spans="2:19" ht="12.75" customHeight="1">
      <c r="C83" s="137" t="s">
        <v>243</v>
      </c>
      <c r="F83" s="74"/>
      <c r="R83" s="100"/>
    </row>
    <row r="84" spans="2:19" ht="12.75" customHeight="1">
      <c r="F84" s="74"/>
      <c r="H84" s="282"/>
      <c r="I84" s="383"/>
      <c r="J84" s="282"/>
      <c r="K84" s="282"/>
      <c r="L84" s="282"/>
      <c r="M84" s="282"/>
      <c r="N84" s="282"/>
      <c r="O84" s="282"/>
      <c r="P84" s="282"/>
      <c r="Q84" s="282"/>
      <c r="R84" s="100"/>
    </row>
    <row r="85" spans="2:19" s="371" customFormat="1" ht="12.75" customHeight="1">
      <c r="C85" s="366"/>
      <c r="D85" s="367" t="s">
        <v>277</v>
      </c>
      <c r="E85" s="318"/>
      <c r="F85" s="318"/>
      <c r="G85" s="318"/>
      <c r="H85" s="368">
        <f>H76</f>
        <v>2019</v>
      </c>
      <c r="I85" s="368">
        <f>H85+1</f>
        <v>2020</v>
      </c>
      <c r="J85" s="368">
        <f>I85+1</f>
        <v>2021</v>
      </c>
      <c r="K85" s="368">
        <f>J85+1</f>
        <v>2022</v>
      </c>
      <c r="L85" s="369">
        <f>K85+1</f>
        <v>2023</v>
      </c>
      <c r="M85" s="282"/>
      <c r="N85" s="282"/>
      <c r="O85" s="282"/>
      <c r="P85" s="282"/>
      <c r="Q85" s="282"/>
      <c r="R85" s="370"/>
      <c r="S85" s="425"/>
    </row>
    <row r="86" spans="2:19" ht="12.75" customHeight="1">
      <c r="D86" s="106" t="s">
        <v>162</v>
      </c>
      <c r="F86" s="74"/>
      <c r="H86" s="279">
        <v>0</v>
      </c>
      <c r="I86" s="279">
        <v>0</v>
      </c>
      <c r="J86" s="279">
        <v>0</v>
      </c>
      <c r="K86" s="279">
        <v>0</v>
      </c>
      <c r="L86" s="384">
        <v>0</v>
      </c>
      <c r="M86" s="372"/>
      <c r="N86" s="372"/>
      <c r="O86" s="372"/>
      <c r="P86" s="372"/>
      <c r="Q86" s="372"/>
      <c r="R86" s="372"/>
      <c r="S86" s="100"/>
    </row>
    <row r="87" spans="2:19" ht="12.75" customHeight="1">
      <c r="D87" s="106" t="s">
        <v>171</v>
      </c>
      <c r="F87" s="74"/>
      <c r="H87" s="372">
        <v>0.5</v>
      </c>
      <c r="I87" s="372">
        <v>0.5</v>
      </c>
      <c r="J87" s="372">
        <v>0</v>
      </c>
      <c r="K87" s="372">
        <v>0</v>
      </c>
      <c r="L87" s="375">
        <v>0</v>
      </c>
      <c r="M87" s="372"/>
      <c r="N87" s="372"/>
      <c r="O87" s="372"/>
      <c r="P87" s="372"/>
      <c r="Q87" s="372"/>
      <c r="R87" s="372"/>
      <c r="S87" s="100"/>
    </row>
    <row r="88" spans="2:19" ht="12.75" customHeight="1">
      <c r="D88" s="229"/>
      <c r="E88" s="122"/>
      <c r="F88" s="122"/>
      <c r="G88" s="122"/>
      <c r="H88" s="122"/>
      <c r="I88" s="380"/>
      <c r="J88" s="381"/>
      <c r="K88" s="380"/>
      <c r="L88" s="382"/>
      <c r="M88" s="282"/>
      <c r="N88" s="282"/>
      <c r="O88" s="282"/>
      <c r="P88" s="282"/>
      <c r="Q88" s="282"/>
      <c r="R88" s="282"/>
      <c r="S88" s="100"/>
    </row>
    <row r="89" spans="2:19" ht="12.75" customHeight="1"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00"/>
    </row>
    <row r="90" spans="2:19" ht="12.75" customHeight="1">
      <c r="F90" s="74"/>
      <c r="R90" s="100"/>
    </row>
    <row r="92" spans="2:19" s="4" customFormat="1" ht="22.5" customHeight="1">
      <c r="B92" s="71" t="str">
        <f>$B$2</f>
        <v>Windsol Manufacturing</v>
      </c>
      <c r="C92" s="72"/>
      <c r="D92" s="72"/>
      <c r="E92" s="72"/>
      <c r="F92" s="144"/>
      <c r="G92" s="72"/>
      <c r="H92" s="72"/>
      <c r="I92" s="72"/>
      <c r="J92" s="72"/>
      <c r="K92" s="72"/>
      <c r="L92" s="72"/>
      <c r="M92" s="72"/>
      <c r="N92" s="72"/>
      <c r="O92" s="72"/>
    </row>
    <row r="93" spans="2:19" s="5" customFormat="1" ht="19.5">
      <c r="B93" s="75" t="s">
        <v>73</v>
      </c>
      <c r="C93" s="148"/>
      <c r="D93" s="148"/>
      <c r="E93" s="148"/>
      <c r="F93" s="149"/>
      <c r="G93" s="148"/>
      <c r="H93" s="148"/>
      <c r="I93" s="148"/>
      <c r="J93" s="148"/>
      <c r="K93" s="148"/>
      <c r="L93" s="148"/>
      <c r="M93" s="148"/>
      <c r="N93" s="148"/>
      <c r="O93" s="148"/>
    </row>
    <row r="94" spans="2:19" s="5" customFormat="1" ht="6" customHeight="1" thickBot="1">
      <c r="B94" s="125"/>
      <c r="C94" s="76"/>
      <c r="D94" s="76"/>
      <c r="E94" s="76"/>
      <c r="F94" s="150"/>
      <c r="G94" s="76"/>
      <c r="H94" s="76"/>
      <c r="I94" s="76"/>
      <c r="J94" s="76"/>
      <c r="K94" s="76"/>
      <c r="L94" s="76"/>
      <c r="M94" s="76"/>
      <c r="N94" s="76"/>
      <c r="O94" s="76"/>
    </row>
    <row r="95" spans="2:19" s="5" customFormat="1" ht="12.75" customHeight="1">
      <c r="B95" s="148"/>
      <c r="C95" s="148"/>
      <c r="D95" s="148"/>
      <c r="E95" s="148"/>
      <c r="F95" s="149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2:19" s="5" customFormat="1" ht="6" customHeight="1">
      <c r="B96" s="38"/>
      <c r="C96" s="39"/>
      <c r="D96" s="40"/>
      <c r="E96" s="39"/>
      <c r="F96" s="41"/>
      <c r="K96" s="7"/>
      <c r="L96" s="7"/>
      <c r="M96" s="7"/>
      <c r="N96" s="7"/>
      <c r="O96" s="7"/>
    </row>
    <row r="97" spans="1:16" s="5" customFormat="1" ht="16.149999999999999" customHeight="1">
      <c r="B97" s="42" t="s">
        <v>131</v>
      </c>
      <c r="C97" s="8"/>
      <c r="F97" s="43">
        <v>1</v>
      </c>
      <c r="K97" s="10">
        <f>H7</f>
        <v>2019</v>
      </c>
      <c r="L97" s="10">
        <f>K97+1</f>
        <v>2020</v>
      </c>
      <c r="M97" s="10">
        <f>L97+1</f>
        <v>2021</v>
      </c>
      <c r="N97" s="10">
        <f>M97+1</f>
        <v>2022</v>
      </c>
      <c r="O97" s="10">
        <f>N97+1</f>
        <v>2023</v>
      </c>
    </row>
    <row r="98" spans="1:16" s="5" customFormat="1" ht="6" customHeight="1">
      <c r="B98" s="44"/>
      <c r="C98" s="45"/>
      <c r="D98" s="46"/>
      <c r="E98" s="19"/>
      <c r="F98" s="47"/>
      <c r="K98" s="10"/>
      <c r="L98" s="10"/>
      <c r="M98" s="11"/>
      <c r="N98" s="11"/>
      <c r="O98" s="10"/>
    </row>
    <row r="99" spans="1:16" s="5" customFormat="1">
      <c r="B99" s="8"/>
      <c r="C99" s="8"/>
      <c r="D99" s="9"/>
      <c r="E99" s="9"/>
      <c r="F99" s="8"/>
      <c r="K99" s="10"/>
      <c r="L99" s="10"/>
      <c r="M99" s="11"/>
      <c r="N99" s="11"/>
      <c r="O99" s="10"/>
    </row>
    <row r="100" spans="1:16" s="5" customFormat="1" ht="15.75">
      <c r="A100" s="36"/>
      <c r="B100" s="37" t="s">
        <v>123</v>
      </c>
      <c r="D100" s="6"/>
      <c r="E100" s="6"/>
    </row>
    <row r="101" spans="1:16" s="5" customFormat="1" ht="6" customHeight="1">
      <c r="B101" s="8"/>
      <c r="C101" s="8"/>
      <c r="D101" s="58"/>
      <c r="E101" s="58"/>
      <c r="F101" s="58"/>
      <c r="K101" s="58"/>
      <c r="L101" s="58"/>
      <c r="M101" s="58"/>
      <c r="N101" s="58"/>
      <c r="O101" s="58"/>
    </row>
    <row r="102" spans="1:16" s="5" customFormat="1">
      <c r="B102" s="437"/>
      <c r="C102" s="438" t="str">
        <f>C108</f>
        <v>Best Case</v>
      </c>
      <c r="D102" s="438"/>
      <c r="E102" s="518">
        <f>E16</f>
        <v>0.05</v>
      </c>
      <c r="F102" s="58"/>
      <c r="K102" s="58"/>
      <c r="L102" s="58"/>
      <c r="M102" s="58"/>
      <c r="N102" s="58"/>
      <c r="O102" s="58"/>
    </row>
    <row r="103" spans="1:16" s="5" customFormat="1">
      <c r="B103" s="439"/>
      <c r="C103" s="14" t="str">
        <f>C109</f>
        <v>Worst Case</v>
      </c>
      <c r="D103" s="14"/>
      <c r="E103" s="519">
        <f>E17</f>
        <v>-0.05</v>
      </c>
      <c r="F103" s="58"/>
      <c r="K103" s="58"/>
      <c r="L103" s="58"/>
      <c r="M103" s="58"/>
      <c r="N103" s="58"/>
      <c r="O103" s="58"/>
    </row>
    <row r="104" spans="1:16" s="5" customFormat="1" ht="12.75" customHeight="1">
      <c r="D104" s="6"/>
      <c r="E104" s="6"/>
    </row>
    <row r="105" spans="1:16" s="5" customFormat="1" ht="16.149999999999999" customHeight="1">
      <c r="B105" s="35" t="s">
        <v>130</v>
      </c>
      <c r="D105" s="12"/>
      <c r="E105" s="12"/>
      <c r="K105" s="48">
        <f>CHOOSE($F$97,K107,K108,K109)</f>
        <v>1.4999999999999999E-2</v>
      </c>
      <c r="L105" s="49">
        <f>CHOOSE($F$97,L107,L108,L109)</f>
        <v>1.4999999999999999E-2</v>
      </c>
      <c r="M105" s="49">
        <f>CHOOSE($F$97,M107,M108,M109)</f>
        <v>1.4999999999999999E-2</v>
      </c>
      <c r="N105" s="49">
        <f>CHOOSE($F$97,N107,N108,N109)</f>
        <v>0.02</v>
      </c>
      <c r="O105" s="63">
        <f>CHOOSE($F$97,O107,O108,O109)</f>
        <v>0.02</v>
      </c>
    </row>
    <row r="106" spans="1:16" s="5" customFormat="1" ht="4.1500000000000004" customHeight="1">
      <c r="B106" s="27"/>
      <c r="D106" s="12"/>
      <c r="E106" s="12"/>
      <c r="K106" s="1"/>
      <c r="L106" s="3"/>
      <c r="M106" s="3"/>
      <c r="N106" s="3"/>
      <c r="O106" s="3"/>
    </row>
    <row r="107" spans="1:16" s="5" customFormat="1">
      <c r="B107" s="27"/>
      <c r="C107" s="5" t="str">
        <f>D15</f>
        <v>Base Case</v>
      </c>
      <c r="D107" s="12"/>
      <c r="E107" s="12"/>
      <c r="K107" s="50">
        <v>1.4999999999999999E-2</v>
      </c>
      <c r="L107" s="51">
        <v>1.4999999999999999E-2</v>
      </c>
      <c r="M107" s="51">
        <v>1.4999999999999999E-2</v>
      </c>
      <c r="N107" s="51">
        <v>0.02</v>
      </c>
      <c r="O107" s="64">
        <v>0.02</v>
      </c>
    </row>
    <row r="108" spans="1:16" s="5" customFormat="1">
      <c r="B108" s="27"/>
      <c r="C108" s="5" t="str">
        <f>D16</f>
        <v>Best Case</v>
      </c>
      <c r="D108" s="12"/>
      <c r="E108" s="12"/>
      <c r="K108" s="52">
        <v>1.2E-2</v>
      </c>
      <c r="L108" s="53">
        <v>1.2E-2</v>
      </c>
      <c r="M108" s="53">
        <v>1.2E-2</v>
      </c>
      <c r="N108" s="53">
        <v>1.4999999999999999E-2</v>
      </c>
      <c r="O108" s="65">
        <v>1.4999999999999999E-2</v>
      </c>
    </row>
    <row r="109" spans="1:16" s="5" customFormat="1">
      <c r="B109" s="27"/>
      <c r="C109" s="5" t="str">
        <f>D17</f>
        <v>Worst Case</v>
      </c>
      <c r="D109" s="12"/>
      <c r="E109" s="12"/>
      <c r="K109" s="54">
        <v>0.02</v>
      </c>
      <c r="L109" s="55">
        <v>0.02</v>
      </c>
      <c r="M109" s="55">
        <v>0.02</v>
      </c>
      <c r="N109" s="55">
        <v>2.5000000000000001E-2</v>
      </c>
      <c r="O109" s="66">
        <v>2.5000000000000001E-2</v>
      </c>
    </row>
    <row r="110" spans="1:16" s="5" customFormat="1">
      <c r="D110" s="6"/>
      <c r="E110" s="6"/>
    </row>
    <row r="111" spans="1:16" s="33" customFormat="1" ht="16.149999999999999" customHeight="1">
      <c r="B111" s="35" t="s">
        <v>98</v>
      </c>
      <c r="K111" s="561">
        <f>CHOOSE($F97,K113,K114,K115)</f>
        <v>0.98</v>
      </c>
      <c r="L111" s="562">
        <f>CHOOSE($F97,L115,L114,L113)</f>
        <v>1</v>
      </c>
      <c r="M111" s="562">
        <f>CHOOSE($F97,M115,M114,M113)</f>
        <v>1</v>
      </c>
      <c r="N111" s="562">
        <f>CHOOSE($F97,N115,N114,N113)</f>
        <v>0.98</v>
      </c>
      <c r="O111" s="563">
        <f>CHOOSE($F97,O115,O114,O113)</f>
        <v>0.97</v>
      </c>
      <c r="P111" s="5"/>
    </row>
    <row r="112" spans="1:16" s="5" customFormat="1" ht="4.1500000000000004" customHeight="1">
      <c r="B112" s="27"/>
      <c r="D112" s="12"/>
      <c r="E112" s="12"/>
      <c r="K112" s="26"/>
      <c r="L112" s="26"/>
      <c r="M112" s="26"/>
      <c r="N112" s="26"/>
      <c r="O112" s="26"/>
    </row>
    <row r="113" spans="1:15" s="5" customFormat="1">
      <c r="C113" s="18" t="str">
        <f>C107</f>
        <v>Base Case</v>
      </c>
      <c r="D113" s="17"/>
      <c r="E113" s="17"/>
      <c r="K113" s="28">
        <v>0.98</v>
      </c>
      <c r="L113" s="32">
        <v>0.98</v>
      </c>
      <c r="M113" s="32">
        <v>0.96</v>
      </c>
      <c r="N113" s="32">
        <v>0.96</v>
      </c>
      <c r="O113" s="67">
        <v>0.95</v>
      </c>
    </row>
    <row r="114" spans="1:15" s="5" customFormat="1">
      <c r="C114" s="18" t="str">
        <f>C108</f>
        <v>Best Case</v>
      </c>
      <c r="D114" s="17"/>
      <c r="E114" s="17"/>
      <c r="K114" s="29">
        <v>0.96</v>
      </c>
      <c r="L114" s="23">
        <v>0.95</v>
      </c>
      <c r="M114" s="23">
        <v>0.95</v>
      </c>
      <c r="N114" s="23">
        <v>0.94</v>
      </c>
      <c r="O114" s="68">
        <v>0.94</v>
      </c>
    </row>
    <row r="115" spans="1:15" s="5" customFormat="1">
      <c r="C115" s="18" t="str">
        <f>C109</f>
        <v>Worst Case</v>
      </c>
      <c r="D115" s="17"/>
      <c r="E115" s="17"/>
      <c r="K115" s="30">
        <v>0.99</v>
      </c>
      <c r="L115" s="31">
        <v>1</v>
      </c>
      <c r="M115" s="31">
        <v>1</v>
      </c>
      <c r="N115" s="31">
        <v>0.98</v>
      </c>
      <c r="O115" s="69">
        <v>0.97</v>
      </c>
    </row>
    <row r="116" spans="1:15" s="5" customFormat="1">
      <c r="D116" s="17"/>
      <c r="E116" s="17"/>
      <c r="K116" s="21"/>
      <c r="L116" s="21"/>
      <c r="M116" s="21"/>
      <c r="N116" s="21"/>
      <c r="O116" s="21"/>
    </row>
    <row r="117" spans="1:15" s="5" customFormat="1">
      <c r="B117" s="35" t="s">
        <v>191</v>
      </c>
      <c r="C117" s="18"/>
      <c r="D117" s="17"/>
      <c r="E117" s="17"/>
      <c r="K117" s="21"/>
      <c r="L117" s="21"/>
      <c r="M117" s="21"/>
      <c r="N117" s="21"/>
      <c r="O117" s="21"/>
    </row>
    <row r="118" spans="1:15" s="5" customFormat="1">
      <c r="C118" s="18" t="s">
        <v>350</v>
      </c>
      <c r="D118" s="17"/>
      <c r="E118" s="17"/>
      <c r="K118" s="59">
        <v>0.01</v>
      </c>
      <c r="L118" s="60">
        <v>0.01</v>
      </c>
      <c r="M118" s="60">
        <v>0.01</v>
      </c>
      <c r="N118" s="60">
        <v>1.4999999999999999E-2</v>
      </c>
      <c r="O118" s="61">
        <v>0.02</v>
      </c>
    </row>
    <row r="119" spans="1:15" s="5" customFormat="1">
      <c r="B119" s="14"/>
      <c r="C119" s="14"/>
      <c r="D119" s="15"/>
      <c r="E119" s="15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s="5" customFormat="1">
      <c r="D120" s="6"/>
      <c r="E120" s="6"/>
    </row>
    <row r="121" spans="1:15" s="5" customFormat="1" ht="12.75" customHeight="1">
      <c r="B121" s="37" t="s">
        <v>147</v>
      </c>
      <c r="D121" s="6"/>
      <c r="E121" s="6"/>
    </row>
    <row r="122" spans="1:15" s="5" customFormat="1" ht="12.75" customHeight="1">
      <c r="D122" s="6"/>
      <c r="E122" s="6"/>
    </row>
    <row r="123" spans="1:15" s="33" customFormat="1" ht="16.149999999999999" customHeight="1">
      <c r="B123" s="35" t="s">
        <v>99</v>
      </c>
      <c r="D123" s="34"/>
      <c r="E123" s="34"/>
      <c r="K123" s="56">
        <f>CHOOSE($F97,K125,K126,K127)</f>
        <v>455</v>
      </c>
      <c r="L123" s="57">
        <f>CHOOSE($F97,L125,L126,L127)</f>
        <v>465</v>
      </c>
      <c r="M123" s="57">
        <f>CHOOSE($F97,M125,M126,M127)</f>
        <v>470</v>
      </c>
      <c r="N123" s="57">
        <f>CHOOSE($F97,N125,N126,N127)</f>
        <v>475</v>
      </c>
      <c r="O123" s="62">
        <f>CHOOSE($F97,O125,O126,O127)</f>
        <v>480</v>
      </c>
    </row>
    <row r="124" spans="1:15" s="5" customFormat="1" ht="4.1500000000000004" customHeight="1">
      <c r="B124" s="22"/>
      <c r="D124" s="12"/>
      <c r="E124" s="12"/>
      <c r="K124" s="25"/>
      <c r="L124" s="25"/>
      <c r="M124" s="25"/>
      <c r="N124" s="25"/>
      <c r="O124" s="25"/>
    </row>
    <row r="125" spans="1:15" s="5" customFormat="1">
      <c r="C125" s="18" t="str">
        <f>C113</f>
        <v>Base Case</v>
      </c>
      <c r="D125" s="17"/>
      <c r="E125" s="17"/>
      <c r="K125" s="440">
        <v>455</v>
      </c>
      <c r="L125" s="441">
        <v>465</v>
      </c>
      <c r="M125" s="441">
        <v>470</v>
      </c>
      <c r="N125" s="441">
        <v>475</v>
      </c>
      <c r="O125" s="442">
        <v>480</v>
      </c>
    </row>
    <row r="126" spans="1:15" s="5" customFormat="1">
      <c r="A126" s="24"/>
      <c r="C126" s="18" t="str">
        <f>CONCATENATE(,C108,": ",TEXT(E102,"+0.0%;-0.0%"))</f>
        <v>Best Case: +5.0%</v>
      </c>
      <c r="D126" s="443"/>
      <c r="E126" s="17"/>
      <c r="K126" s="444">
        <f>K$125+($E$102*K$125)</f>
        <v>477.75</v>
      </c>
      <c r="L126" s="445">
        <f>L$125+($E$102*L$125)</f>
        <v>488.25</v>
      </c>
      <c r="M126" s="445">
        <f>M$125+($E$102*M$125)</f>
        <v>493.5</v>
      </c>
      <c r="N126" s="445">
        <f>N$125+($E$102*N$125)</f>
        <v>498.75</v>
      </c>
      <c r="O126" s="446">
        <f>O$125+($E$102*O$125)</f>
        <v>504</v>
      </c>
    </row>
    <row r="127" spans="1:15" s="5" customFormat="1">
      <c r="A127" s="24"/>
      <c r="C127" s="18" t="str">
        <f>CONCATENATE(,C109,": ",TEXT(E103,"+0.0%;-0.0%"))</f>
        <v>Worst Case: -5.0%</v>
      </c>
      <c r="D127" s="17"/>
      <c r="E127" s="17"/>
      <c r="K127" s="447">
        <f>K$125+($E$103*K$125)</f>
        <v>432.25</v>
      </c>
      <c r="L127" s="448">
        <f>L$125+($E$103*L$125)</f>
        <v>441.75</v>
      </c>
      <c r="M127" s="448">
        <f>M$125+($E$103*M$125)</f>
        <v>446.5</v>
      </c>
      <c r="N127" s="448">
        <f>N$125+($E$103*N$125)</f>
        <v>451.25</v>
      </c>
      <c r="O127" s="449">
        <f>O$125+($E$103*O$125)</f>
        <v>456</v>
      </c>
    </row>
    <row r="128" spans="1:15" s="5" customFormat="1">
      <c r="C128" s="13"/>
      <c r="D128" s="17"/>
      <c r="E128" s="17"/>
      <c r="K128" s="2"/>
      <c r="L128" s="2"/>
      <c r="M128" s="2"/>
      <c r="N128" s="2"/>
      <c r="O128" s="16"/>
    </row>
    <row r="129" spans="1:15" s="5" customFormat="1" ht="16.149999999999999" customHeight="1">
      <c r="B129" s="35" t="s">
        <v>148</v>
      </c>
      <c r="D129" s="12"/>
      <c r="E129" s="12"/>
      <c r="K129" s="543">
        <f>CHOOSE($F$97,K131,K132, K133)</f>
        <v>0.02</v>
      </c>
      <c r="L129" s="544">
        <f t="shared" ref="L129:O129" si="1">CHOOSE($F$97,L131,L132, L133)</f>
        <v>0.02</v>
      </c>
      <c r="M129" s="544">
        <f t="shared" si="1"/>
        <v>2.5000000000000001E-2</v>
      </c>
      <c r="N129" s="544">
        <f t="shared" si="1"/>
        <v>2.5000000000000001E-2</v>
      </c>
      <c r="O129" s="545">
        <f t="shared" si="1"/>
        <v>2.5000000000000001E-2</v>
      </c>
    </row>
    <row r="130" spans="1:15" s="5" customFormat="1" ht="4.1500000000000004" customHeight="1">
      <c r="B130" s="27"/>
      <c r="D130" s="12"/>
      <c r="E130" s="12"/>
      <c r="K130" s="1"/>
      <c r="L130" s="3"/>
      <c r="M130" s="3"/>
      <c r="N130" s="3"/>
      <c r="O130" s="3"/>
    </row>
    <row r="131" spans="1:15" s="5" customFormat="1">
      <c r="B131" s="27"/>
      <c r="C131" s="5" t="str">
        <f>C113</f>
        <v>Base Case</v>
      </c>
      <c r="D131" s="12"/>
      <c r="E131" s="12"/>
      <c r="K131" s="50">
        <v>0.02</v>
      </c>
      <c r="L131" s="51">
        <v>0.02</v>
      </c>
      <c r="M131" s="51">
        <v>2.5000000000000001E-2</v>
      </c>
      <c r="N131" s="51">
        <v>2.5000000000000001E-2</v>
      </c>
      <c r="O131" s="64">
        <v>2.5000000000000001E-2</v>
      </c>
    </row>
    <row r="132" spans="1:15" s="5" customFormat="1">
      <c r="B132" s="27"/>
      <c r="C132" s="5" t="str">
        <f>C114</f>
        <v>Best Case</v>
      </c>
      <c r="D132" s="12"/>
      <c r="E132" s="12"/>
      <c r="K132" s="52">
        <v>2.5000000000000001E-2</v>
      </c>
      <c r="L132" s="53">
        <v>2.5000000000000001E-2</v>
      </c>
      <c r="M132" s="53">
        <v>0.03</v>
      </c>
      <c r="N132" s="53">
        <v>0.03</v>
      </c>
      <c r="O132" s="65">
        <v>0.03</v>
      </c>
    </row>
    <row r="133" spans="1:15" s="5" customFormat="1">
      <c r="B133" s="27"/>
      <c r="C133" s="5" t="str">
        <f>C115</f>
        <v>Worst Case</v>
      </c>
      <c r="D133" s="12"/>
      <c r="E133" s="12"/>
      <c r="K133" s="54">
        <v>1.4999999999999999E-2</v>
      </c>
      <c r="L133" s="55">
        <v>1.4999999999999999E-2</v>
      </c>
      <c r="M133" s="55">
        <v>1.4999999999999999E-2</v>
      </c>
      <c r="N133" s="55">
        <v>1.4999999999999999E-2</v>
      </c>
      <c r="O133" s="66">
        <v>1.4999999999999999E-2</v>
      </c>
    </row>
    <row r="134" spans="1:15" s="5" customFormat="1" ht="6" customHeight="1">
      <c r="B134" s="19"/>
      <c r="C134" s="19"/>
      <c r="D134" s="20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9" spans="1:15" ht="12.75" customHeight="1">
      <c r="A139" s="142" t="s">
        <v>186</v>
      </c>
      <c r="B139" s="143"/>
      <c r="C139" s="72"/>
      <c r="D139" s="72"/>
      <c r="E139" s="72"/>
      <c r="F139" s="144"/>
      <c r="G139" s="72"/>
      <c r="H139" s="72"/>
      <c r="I139" s="72"/>
      <c r="J139" s="72"/>
      <c r="K139" s="72"/>
      <c r="L139" s="72"/>
      <c r="M139" s="72"/>
      <c r="N139" s="72"/>
      <c r="O139" s="145" t="str">
        <f>"CURRENTLY RUNNING: "&amp;UPPER(CHOOSE($F$97,C107,C108,C109))&amp;" SCENARIO"</f>
        <v>CURRENTLY RUNNING: BASE CASE SCENARIO</v>
      </c>
    </row>
    <row r="140" spans="1:15" ht="22.5">
      <c r="A140" s="146"/>
      <c r="B140" s="71" t="str">
        <f>B92</f>
        <v>Windsol Manufacturing</v>
      </c>
      <c r="C140" s="72"/>
      <c r="D140" s="72"/>
      <c r="E140" s="72"/>
      <c r="F140" s="144"/>
      <c r="G140" s="72"/>
      <c r="H140" s="72"/>
      <c r="I140" s="72"/>
      <c r="J140" s="72"/>
      <c r="K140" s="72"/>
      <c r="L140" s="72"/>
      <c r="M140" s="72"/>
      <c r="N140" s="72"/>
      <c r="O140" s="72"/>
    </row>
    <row r="141" spans="1:15" ht="19.5">
      <c r="A141" s="147"/>
      <c r="B141" s="75" t="s">
        <v>132</v>
      </c>
      <c r="C141" s="148"/>
      <c r="D141" s="148"/>
      <c r="E141" s="148"/>
      <c r="F141" s="149"/>
      <c r="G141" s="148"/>
      <c r="H141" s="148"/>
      <c r="I141" s="148"/>
      <c r="J141" s="148"/>
      <c r="K141" s="148"/>
      <c r="L141" s="148"/>
      <c r="M141" s="148"/>
      <c r="N141" s="148"/>
      <c r="O141" s="148"/>
    </row>
    <row r="142" spans="1:15" ht="6" customHeight="1" thickBot="1">
      <c r="A142" s="147"/>
      <c r="B142" s="125"/>
      <c r="C142" s="76"/>
      <c r="D142" s="76"/>
      <c r="E142" s="76"/>
      <c r="F142" s="150"/>
      <c r="G142" s="76"/>
      <c r="H142" s="76"/>
      <c r="I142" s="76"/>
      <c r="J142" s="76"/>
      <c r="K142" s="76"/>
      <c r="L142" s="76"/>
      <c r="M142" s="76"/>
      <c r="N142" s="76"/>
      <c r="O142" s="76"/>
    </row>
    <row r="143" spans="1:15" ht="12.75" customHeight="1">
      <c r="A143" s="75"/>
      <c r="B143" s="148"/>
      <c r="C143" s="148"/>
      <c r="D143" s="148"/>
      <c r="E143" s="148"/>
      <c r="F143" s="149"/>
      <c r="G143" s="148"/>
      <c r="H143" s="148"/>
      <c r="I143" s="148"/>
      <c r="J143" s="148"/>
      <c r="K143" s="148"/>
      <c r="L143" s="148"/>
      <c r="M143" s="148"/>
      <c r="N143" s="148"/>
      <c r="O143" s="148"/>
    </row>
    <row r="144" spans="1:15" ht="13.5">
      <c r="G144" s="151"/>
      <c r="K144" s="80" t="s">
        <v>6</v>
      </c>
      <c r="L144" s="81"/>
      <c r="M144" s="81"/>
      <c r="N144" s="81"/>
      <c r="O144" s="81"/>
    </row>
    <row r="145" spans="2:15">
      <c r="G145" s="152"/>
      <c r="H145" s="129">
        <f>I145-1</f>
        <v>2016</v>
      </c>
      <c r="I145" s="129">
        <f>J145-1</f>
        <v>2017</v>
      </c>
      <c r="J145" s="546">
        <f>K145-1</f>
        <v>2018</v>
      </c>
      <c r="K145" s="152">
        <f>K97</f>
        <v>2019</v>
      </c>
      <c r="L145" s="152">
        <f>K145+1</f>
        <v>2020</v>
      </c>
      <c r="M145" s="152">
        <f>L145+1</f>
        <v>2021</v>
      </c>
      <c r="N145" s="152">
        <f>M145+1</f>
        <v>2022</v>
      </c>
      <c r="O145" s="152">
        <f>N145+1</f>
        <v>2023</v>
      </c>
    </row>
    <row r="146" spans="2:15" ht="12.75" customHeight="1">
      <c r="H146" s="153"/>
      <c r="I146" s="153"/>
      <c r="J146" s="153"/>
    </row>
    <row r="147" spans="2:15">
      <c r="B147" s="154" t="s">
        <v>3</v>
      </c>
      <c r="C147" s="155"/>
      <c r="D147" s="155"/>
      <c r="E147" s="155"/>
      <c r="F147" s="156" t="s">
        <v>39</v>
      </c>
      <c r="G147" s="155"/>
      <c r="H147" s="157">
        <v>1.03</v>
      </c>
      <c r="I147" s="157">
        <v>0.99</v>
      </c>
      <c r="J147" s="157">
        <v>1</v>
      </c>
      <c r="K147" s="567">
        <f>K$111</f>
        <v>0.98</v>
      </c>
      <c r="L147" s="567">
        <f t="shared" ref="L147:O147" si="2">L$111</f>
        <v>1</v>
      </c>
      <c r="M147" s="567">
        <f t="shared" si="2"/>
        <v>1</v>
      </c>
      <c r="N147" s="567">
        <f t="shared" si="2"/>
        <v>0.98</v>
      </c>
      <c r="O147" s="567">
        <f t="shared" si="2"/>
        <v>0.97</v>
      </c>
    </row>
    <row r="148" spans="2:15" ht="12.75" customHeight="1">
      <c r="F148" s="158"/>
      <c r="H148" s="153"/>
      <c r="I148" s="153"/>
      <c r="J148" s="153"/>
      <c r="K148" s="422"/>
    </row>
    <row r="149" spans="2:15">
      <c r="B149" s="87" t="s">
        <v>1</v>
      </c>
      <c r="F149" s="158"/>
      <c r="H149" s="153"/>
      <c r="I149" s="153"/>
      <c r="J149" s="153"/>
    </row>
    <row r="150" spans="2:15">
      <c r="C150" s="99" t="s">
        <v>79</v>
      </c>
      <c r="F150" s="159" t="s">
        <v>92</v>
      </c>
      <c r="H150" s="160">
        <v>427.5</v>
      </c>
      <c r="I150" s="160">
        <v>445</v>
      </c>
      <c r="J150" s="160">
        <v>451</v>
      </c>
      <c r="K150" s="163">
        <f>K123</f>
        <v>455</v>
      </c>
      <c r="L150" s="163">
        <f>L123</f>
        <v>465</v>
      </c>
      <c r="M150" s="163">
        <f>M123</f>
        <v>470</v>
      </c>
      <c r="N150" s="163">
        <f>N123</f>
        <v>475</v>
      </c>
      <c r="O150" s="163">
        <f>O123</f>
        <v>480</v>
      </c>
    </row>
    <row r="151" spans="2:15" ht="12.75" customHeight="1">
      <c r="C151" s="100"/>
      <c r="F151" s="159"/>
      <c r="H151" s="161"/>
      <c r="I151" s="161"/>
      <c r="J151" s="161"/>
      <c r="K151" s="162"/>
      <c r="L151" s="162"/>
      <c r="M151" s="162"/>
      <c r="N151" s="162"/>
      <c r="O151" s="162"/>
    </row>
    <row r="152" spans="2:15">
      <c r="C152" s="99" t="s">
        <v>79</v>
      </c>
      <c r="F152" s="159" t="s">
        <v>93</v>
      </c>
      <c r="H152" s="163">
        <f t="shared" ref="H152:O152" si="3">H150/H147</f>
        <v>415.04854368932035</v>
      </c>
      <c r="I152" s="163">
        <f t="shared" si="3"/>
        <v>449.49494949494948</v>
      </c>
      <c r="J152" s="163">
        <f t="shared" si="3"/>
        <v>451</v>
      </c>
      <c r="K152" s="163">
        <f t="shared" si="3"/>
        <v>464.28571428571428</v>
      </c>
      <c r="L152" s="163">
        <f t="shared" si="3"/>
        <v>465</v>
      </c>
      <c r="M152" s="163">
        <f t="shared" si="3"/>
        <v>470</v>
      </c>
      <c r="N152" s="163">
        <f t="shared" si="3"/>
        <v>484.69387755102042</v>
      </c>
      <c r="O152" s="163">
        <f t="shared" si="3"/>
        <v>494.84536082474227</v>
      </c>
    </row>
    <row r="153" spans="2:15">
      <c r="C153" s="74" t="s">
        <v>130</v>
      </c>
      <c r="F153" s="158" t="s">
        <v>149</v>
      </c>
      <c r="H153" s="164">
        <v>0.01</v>
      </c>
      <c r="I153" s="165">
        <f>I154/H154-1</f>
        <v>1.0869565217391353E-2</v>
      </c>
      <c r="J153" s="165">
        <f>J154/I154-1</f>
        <v>1.9354838709677358E-2</v>
      </c>
      <c r="K153" s="165">
        <f>K105</f>
        <v>1.4999999999999999E-2</v>
      </c>
      <c r="L153" s="165">
        <f>L105</f>
        <v>1.4999999999999999E-2</v>
      </c>
      <c r="M153" s="165">
        <f>M105</f>
        <v>1.4999999999999999E-2</v>
      </c>
      <c r="N153" s="165">
        <f>N105</f>
        <v>0.02</v>
      </c>
      <c r="O153" s="165">
        <f>O105</f>
        <v>0.02</v>
      </c>
    </row>
    <row r="154" spans="2:15">
      <c r="C154" s="100" t="s">
        <v>63</v>
      </c>
      <c r="F154" s="159" t="str">
        <f>F152</f>
        <v>(CDN$/unit)</v>
      </c>
      <c r="H154" s="166">
        <v>46</v>
      </c>
      <c r="I154" s="166">
        <v>46.5</v>
      </c>
      <c r="J154" s="166">
        <v>47.4</v>
      </c>
      <c r="K154" s="167">
        <f>J154*(1+K$153)</f>
        <v>48.110999999999997</v>
      </c>
      <c r="L154" s="167">
        <f>K154*(1+L$153)</f>
        <v>48.832664999999992</v>
      </c>
      <c r="M154" s="167">
        <f>L154*(1+M$153)</f>
        <v>49.565154974999984</v>
      </c>
      <c r="N154" s="167">
        <f>M154*(1+N$153)</f>
        <v>50.556458074499986</v>
      </c>
      <c r="O154" s="167">
        <f>N154*(1+O$153)</f>
        <v>51.56758723598999</v>
      </c>
    </row>
    <row r="155" spans="2:15">
      <c r="C155" s="137" t="s">
        <v>82</v>
      </c>
      <c r="F155" s="168" t="str">
        <f>F154</f>
        <v>(CDN$/unit)</v>
      </c>
      <c r="H155" s="169">
        <f t="shared" ref="H155:O155" si="4">H152-H154</f>
        <v>369.04854368932035</v>
      </c>
      <c r="I155" s="169">
        <f t="shared" si="4"/>
        <v>402.99494949494948</v>
      </c>
      <c r="J155" s="169">
        <f t="shared" si="4"/>
        <v>403.6</v>
      </c>
      <c r="K155" s="169">
        <f t="shared" si="4"/>
        <v>416.17471428571429</v>
      </c>
      <c r="L155" s="169">
        <f t="shared" si="4"/>
        <v>416.16733499999998</v>
      </c>
      <c r="M155" s="169">
        <f t="shared" si="4"/>
        <v>420.43484502500002</v>
      </c>
      <c r="N155" s="169">
        <f t="shared" si="4"/>
        <v>434.13741947652045</v>
      </c>
      <c r="O155" s="169">
        <f t="shared" si="4"/>
        <v>443.27777358875227</v>
      </c>
    </row>
    <row r="156" spans="2:15">
      <c r="B156" s="170"/>
      <c r="C156" s="171"/>
      <c r="D156" s="170"/>
      <c r="E156" s="170"/>
      <c r="F156" s="172"/>
      <c r="G156" s="170"/>
      <c r="H156" s="173"/>
      <c r="I156" s="173"/>
      <c r="J156" s="173"/>
      <c r="K156" s="174"/>
      <c r="L156" s="174"/>
      <c r="M156" s="174"/>
      <c r="N156" s="174"/>
      <c r="O156" s="174"/>
    </row>
    <row r="157" spans="2:15">
      <c r="C157" s="87"/>
      <c r="F157" s="168"/>
      <c r="H157" s="175"/>
      <c r="I157" s="175"/>
      <c r="J157" s="175"/>
      <c r="K157" s="176"/>
      <c r="L157" s="176"/>
      <c r="M157" s="176"/>
      <c r="N157" s="176"/>
      <c r="O157" s="176"/>
    </row>
    <row r="158" spans="2:15">
      <c r="B158" s="94" t="s">
        <v>13</v>
      </c>
      <c r="F158" s="159"/>
      <c r="H158" s="162"/>
      <c r="I158" s="162"/>
      <c r="J158" s="162"/>
      <c r="K158" s="177"/>
      <c r="L158" s="177"/>
      <c r="M158" s="177"/>
      <c r="N158" s="177"/>
      <c r="O158" s="162"/>
    </row>
    <row r="159" spans="2:15">
      <c r="C159" s="74" t="s">
        <v>50</v>
      </c>
      <c r="F159" s="158" t="s">
        <v>51</v>
      </c>
      <c r="H159" s="160">
        <v>350</v>
      </c>
      <c r="I159" s="160">
        <v>350</v>
      </c>
      <c r="J159" s="160">
        <v>350</v>
      </c>
      <c r="K159" s="163">
        <f>N34</f>
        <v>350</v>
      </c>
      <c r="L159" s="163">
        <f t="shared" ref="L159:O160" si="5">K159</f>
        <v>350</v>
      </c>
      <c r="M159" s="163">
        <f t="shared" si="5"/>
        <v>350</v>
      </c>
      <c r="N159" s="163">
        <f t="shared" si="5"/>
        <v>350</v>
      </c>
      <c r="O159" s="163">
        <f t="shared" si="5"/>
        <v>350</v>
      </c>
    </row>
    <row r="160" spans="2:15">
      <c r="C160" s="74" t="s">
        <v>94</v>
      </c>
      <c r="E160" s="70"/>
      <c r="F160" s="158" t="s">
        <v>95</v>
      </c>
      <c r="H160" s="166">
        <v>15000</v>
      </c>
      <c r="I160" s="166">
        <v>15000</v>
      </c>
      <c r="J160" s="166">
        <v>15000</v>
      </c>
      <c r="K160" s="167">
        <f>N35</f>
        <v>15000</v>
      </c>
      <c r="L160" s="167">
        <f t="shared" si="5"/>
        <v>15000</v>
      </c>
      <c r="M160" s="167">
        <f t="shared" si="5"/>
        <v>15000</v>
      </c>
      <c r="N160" s="167">
        <f t="shared" si="5"/>
        <v>15000</v>
      </c>
      <c r="O160" s="167">
        <f t="shared" si="5"/>
        <v>15000</v>
      </c>
    </row>
    <row r="161" spans="1:16">
      <c r="C161" s="94" t="s">
        <v>13</v>
      </c>
      <c r="F161" s="178" t="s">
        <v>96</v>
      </c>
      <c r="H161" s="169">
        <f t="shared" ref="H161:O161" si="6">H160*H159/1000</f>
        <v>5250</v>
      </c>
      <c r="I161" s="169">
        <f t="shared" si="6"/>
        <v>5250</v>
      </c>
      <c r="J161" s="169">
        <f t="shared" si="6"/>
        <v>5250</v>
      </c>
      <c r="K161" s="169">
        <f t="shared" si="6"/>
        <v>5250</v>
      </c>
      <c r="L161" s="169">
        <f t="shared" si="6"/>
        <v>5250</v>
      </c>
      <c r="M161" s="169">
        <f t="shared" si="6"/>
        <v>5250</v>
      </c>
      <c r="N161" s="169">
        <f t="shared" si="6"/>
        <v>5250</v>
      </c>
      <c r="O161" s="169">
        <f t="shared" si="6"/>
        <v>5250</v>
      </c>
    </row>
    <row r="162" spans="1:16" ht="12.75" customHeight="1">
      <c r="F162" s="158"/>
    </row>
    <row r="163" spans="1:16">
      <c r="B163" s="137" t="s">
        <v>150</v>
      </c>
      <c r="F163" s="158"/>
    </row>
    <row r="164" spans="1:16">
      <c r="C164" s="74" t="s">
        <v>50</v>
      </c>
      <c r="F164" s="158" t="s">
        <v>51</v>
      </c>
      <c r="H164" s="160">
        <v>345</v>
      </c>
      <c r="I164" s="160">
        <v>341</v>
      </c>
      <c r="J164" s="160">
        <v>348</v>
      </c>
      <c r="K164" s="163">
        <f>K159</f>
        <v>350</v>
      </c>
      <c r="L164" s="163">
        <f>K164</f>
        <v>350</v>
      </c>
      <c r="M164" s="163">
        <f>L164</f>
        <v>350</v>
      </c>
      <c r="N164" s="163">
        <f>M164</f>
        <v>350</v>
      </c>
      <c r="O164" s="163">
        <f>N164</f>
        <v>350</v>
      </c>
    </row>
    <row r="165" spans="1:16">
      <c r="C165" s="74" t="s">
        <v>148</v>
      </c>
      <c r="F165" s="158" t="s">
        <v>149</v>
      </c>
      <c r="H165" s="164">
        <v>1.2999999999999999E-2</v>
      </c>
      <c r="I165" s="165">
        <f>I166/H166-1</f>
        <v>1.0530612244898041E-2</v>
      </c>
      <c r="J165" s="165">
        <f>J166/I166-1</f>
        <v>2.1245657969141352E-2</v>
      </c>
      <c r="K165" s="547">
        <f xml:space="preserve"> K$129</f>
        <v>0.02</v>
      </c>
      <c r="L165" s="547">
        <f t="shared" ref="L165:O165" si="7" xml:space="preserve"> L$129</f>
        <v>0.02</v>
      </c>
      <c r="M165" s="547">
        <f t="shared" si="7"/>
        <v>2.5000000000000001E-2</v>
      </c>
      <c r="N165" s="547">
        <f t="shared" si="7"/>
        <v>2.5000000000000001E-2</v>
      </c>
      <c r="O165" s="547">
        <f t="shared" si="7"/>
        <v>2.5000000000000001E-2</v>
      </c>
    </row>
    <row r="166" spans="1:16">
      <c r="C166" s="74" t="s">
        <v>94</v>
      </c>
      <c r="F166" s="158" t="s">
        <v>95</v>
      </c>
      <c r="H166" s="166">
        <v>12250</v>
      </c>
      <c r="I166" s="166">
        <v>12379</v>
      </c>
      <c r="J166" s="166">
        <v>12642</v>
      </c>
      <c r="K166" s="167">
        <f>MIN(J166*(1+K165),K160)</f>
        <v>12894.84</v>
      </c>
      <c r="L166" s="167">
        <f>MIN(K166*(1+L165),L160)</f>
        <v>13152.736800000001</v>
      </c>
      <c r="M166" s="167">
        <f>MIN(L166*(1+M165),M160)</f>
        <v>13481.55522</v>
      </c>
      <c r="N166" s="167">
        <f>MIN(M166*(1+N165),N160)</f>
        <v>13818.594100499999</v>
      </c>
      <c r="O166" s="167">
        <f>MIN(N166*(1+O165),O160)</f>
        <v>14164.058953012498</v>
      </c>
    </row>
    <row r="167" spans="1:16">
      <c r="C167" s="94" t="s">
        <v>151</v>
      </c>
      <c r="F167" s="178" t="s">
        <v>96</v>
      </c>
      <c r="H167" s="169">
        <f t="shared" ref="H167:O167" si="8">H166*H164/1000</f>
        <v>4226.25</v>
      </c>
      <c r="I167" s="169">
        <f t="shared" si="8"/>
        <v>4221.2389999999996</v>
      </c>
      <c r="J167" s="169">
        <f t="shared" si="8"/>
        <v>4399.4160000000002</v>
      </c>
      <c r="K167" s="169">
        <f t="shared" si="8"/>
        <v>4513.1940000000004</v>
      </c>
      <c r="L167" s="169">
        <f t="shared" si="8"/>
        <v>4603.4578799999999</v>
      </c>
      <c r="M167" s="169">
        <f t="shared" si="8"/>
        <v>4718.5443270000005</v>
      </c>
      <c r="N167" s="169">
        <f t="shared" si="8"/>
        <v>4836.5079351750001</v>
      </c>
      <c r="O167" s="169">
        <f t="shared" si="8"/>
        <v>4957.420633554374</v>
      </c>
    </row>
    <row r="168" spans="1:16" ht="6" customHeight="1">
      <c r="C168" s="94"/>
      <c r="F168" s="178"/>
      <c r="H168" s="176"/>
      <c r="I168" s="176"/>
      <c r="J168" s="176"/>
      <c r="K168" s="176"/>
      <c r="L168" s="176"/>
      <c r="M168" s="176"/>
      <c r="N168" s="176"/>
      <c r="O168" s="176"/>
    </row>
    <row r="169" spans="1:16">
      <c r="C169" s="74" t="s">
        <v>64</v>
      </c>
      <c r="F169" s="178"/>
      <c r="H169" s="179">
        <f t="shared" ref="H169:O169" si="9">H167/H161</f>
        <v>0.80500000000000005</v>
      </c>
      <c r="I169" s="179">
        <f t="shared" si="9"/>
        <v>0.80404552380952377</v>
      </c>
      <c r="J169" s="179">
        <f t="shared" si="9"/>
        <v>0.83798400000000006</v>
      </c>
      <c r="K169" s="179">
        <f t="shared" si="9"/>
        <v>0.85965600000000009</v>
      </c>
      <c r="L169" s="179">
        <f t="shared" si="9"/>
        <v>0.87684912000000004</v>
      </c>
      <c r="M169" s="179">
        <f t="shared" si="9"/>
        <v>0.89877034800000011</v>
      </c>
      <c r="N169" s="179">
        <f t="shared" si="9"/>
        <v>0.92123960670000005</v>
      </c>
      <c r="O169" s="179">
        <f t="shared" si="9"/>
        <v>0.94427059686749981</v>
      </c>
    </row>
    <row r="170" spans="1:16" ht="12.75" customHeight="1">
      <c r="B170" s="170"/>
      <c r="C170" s="170"/>
      <c r="D170" s="170"/>
      <c r="E170" s="170"/>
      <c r="F170" s="180"/>
      <c r="G170" s="170"/>
      <c r="H170" s="170"/>
      <c r="I170" s="170"/>
      <c r="J170" s="170"/>
      <c r="K170" s="170"/>
      <c r="L170" s="170"/>
      <c r="M170" s="170"/>
      <c r="N170" s="170"/>
      <c r="O170" s="170"/>
    </row>
    <row r="171" spans="1:16" ht="12.75" customHeight="1">
      <c r="F171" s="158"/>
    </row>
    <row r="172" spans="1:16">
      <c r="B172" s="94" t="s">
        <v>52</v>
      </c>
      <c r="F172" s="158"/>
    </row>
    <row r="173" spans="1:16">
      <c r="A173" s="181"/>
      <c r="C173" s="99" t="s">
        <v>53</v>
      </c>
      <c r="F173" s="158" t="s">
        <v>143</v>
      </c>
      <c r="H173" s="163">
        <f t="shared" ref="H173:O173" si="10">H$167*H152/1000</f>
        <v>1754.0989077669901</v>
      </c>
      <c r="I173" s="163">
        <f t="shared" si="10"/>
        <v>1897.4256111111108</v>
      </c>
      <c r="J173" s="163">
        <f t="shared" si="10"/>
        <v>1984.1366160000002</v>
      </c>
      <c r="K173" s="163">
        <f t="shared" si="10"/>
        <v>2095.4115000000002</v>
      </c>
      <c r="L173" s="163">
        <f t="shared" si="10"/>
        <v>2140.6079141999999</v>
      </c>
      <c r="M173" s="163">
        <f t="shared" si="10"/>
        <v>2217.7158336900002</v>
      </c>
      <c r="N173" s="163">
        <f t="shared" si="10"/>
        <v>2344.2257849062498</v>
      </c>
      <c r="O173" s="163">
        <f t="shared" si="10"/>
        <v>2453.1566021712365</v>
      </c>
    </row>
    <row r="174" spans="1:16">
      <c r="C174" s="100" t="s">
        <v>63</v>
      </c>
      <c r="F174" s="158" t="s">
        <v>143</v>
      </c>
      <c r="H174" s="163">
        <f t="shared" ref="H174:O174" si="11">H$167*H154/1000</f>
        <v>194.4075</v>
      </c>
      <c r="I174" s="163">
        <f t="shared" si="11"/>
        <v>196.28761349999996</v>
      </c>
      <c r="J174" s="163">
        <f t="shared" si="11"/>
        <v>208.53231839999998</v>
      </c>
      <c r="K174" s="163">
        <f t="shared" si="11"/>
        <v>217.13427653400001</v>
      </c>
      <c r="L174" s="163">
        <f t="shared" si="11"/>
        <v>224.79911649565014</v>
      </c>
      <c r="M174" s="163">
        <f t="shared" si="11"/>
        <v>233.87538082416205</v>
      </c>
      <c r="N174" s="163">
        <f t="shared" si="11"/>
        <v>244.51671065166138</v>
      </c>
      <c r="O174" s="163">
        <f t="shared" si="11"/>
        <v>255.64222098631194</v>
      </c>
    </row>
    <row r="175" spans="1:16">
      <c r="C175" s="94" t="s">
        <v>7</v>
      </c>
      <c r="F175" s="178" t="s">
        <v>143</v>
      </c>
      <c r="H175" s="183">
        <f t="shared" ref="H175:O175" si="12">H173-H174</f>
        <v>1559.6914077669901</v>
      </c>
      <c r="I175" s="183">
        <f t="shared" si="12"/>
        <v>1701.1379976111109</v>
      </c>
      <c r="J175" s="183">
        <f t="shared" si="12"/>
        <v>1775.6042976000003</v>
      </c>
      <c r="K175" s="183">
        <f t="shared" si="12"/>
        <v>1878.2772234660001</v>
      </c>
      <c r="L175" s="183">
        <f t="shared" si="12"/>
        <v>1915.8087977043497</v>
      </c>
      <c r="M175" s="183">
        <f t="shared" si="12"/>
        <v>1983.8404528658382</v>
      </c>
      <c r="N175" s="183">
        <f t="shared" si="12"/>
        <v>2099.7090742545884</v>
      </c>
      <c r="O175" s="183">
        <f t="shared" si="12"/>
        <v>2197.5143811849248</v>
      </c>
    </row>
    <row r="176" spans="1:16" ht="12.75" customHeight="1">
      <c r="B176" s="122"/>
      <c r="C176" s="122"/>
      <c r="D176" s="122"/>
      <c r="E176" s="122"/>
      <c r="F176" s="184"/>
      <c r="G176" s="122"/>
      <c r="H176" s="122"/>
      <c r="I176" s="122"/>
      <c r="J176" s="122"/>
      <c r="K176" s="122"/>
      <c r="L176" s="122"/>
      <c r="M176" s="122"/>
      <c r="N176" s="122"/>
      <c r="O176" s="122"/>
      <c r="P176" s="185"/>
    </row>
    <row r="177" spans="1:16" ht="12.75" customHeight="1">
      <c r="H177" s="422"/>
      <c r="P177" s="185"/>
    </row>
    <row r="178" spans="1:16">
      <c r="K178" s="186"/>
    </row>
    <row r="179" spans="1:16" ht="12.75" customHeight="1">
      <c r="A179" s="146"/>
      <c r="B179" s="71"/>
      <c r="C179" s="72"/>
      <c r="D179" s="72"/>
      <c r="E179" s="72"/>
      <c r="F179" s="144"/>
      <c r="G179" s="72"/>
      <c r="H179" s="72"/>
      <c r="I179" s="72"/>
      <c r="J179" s="72"/>
      <c r="K179" s="72"/>
      <c r="L179" s="72"/>
      <c r="M179" s="72"/>
      <c r="N179" s="72"/>
      <c r="O179" s="73" t="str">
        <f>$O$139</f>
        <v>CURRENTLY RUNNING: BASE CASE SCENARIO</v>
      </c>
    </row>
    <row r="180" spans="1:16" ht="22.5">
      <c r="A180" s="146"/>
      <c r="B180" s="71" t="str">
        <f>B$140</f>
        <v>Windsol Manufacturing</v>
      </c>
      <c r="C180" s="72"/>
      <c r="D180" s="72"/>
      <c r="E180" s="72"/>
      <c r="F180" s="144"/>
      <c r="G180" s="72"/>
      <c r="H180" s="72"/>
      <c r="I180" s="72"/>
      <c r="J180" s="72"/>
      <c r="K180" s="72"/>
      <c r="L180" s="72"/>
      <c r="M180" s="72"/>
      <c r="N180" s="72"/>
      <c r="O180" s="72"/>
    </row>
    <row r="181" spans="1:16" ht="19.5">
      <c r="A181" s="147"/>
      <c r="B181" s="75" t="s">
        <v>59</v>
      </c>
      <c r="C181" s="148"/>
      <c r="D181" s="148"/>
      <c r="E181" s="148"/>
      <c r="F181" s="149"/>
      <c r="G181" s="148"/>
      <c r="H181" s="148"/>
      <c r="I181" s="148"/>
      <c r="J181" s="148"/>
      <c r="K181" s="148"/>
      <c r="L181" s="148"/>
      <c r="M181" s="557"/>
      <c r="N181" s="148"/>
      <c r="O181" s="148"/>
    </row>
    <row r="182" spans="1:16" ht="6" customHeight="1" thickBot="1">
      <c r="A182" s="147"/>
      <c r="B182" s="125"/>
      <c r="C182" s="76"/>
      <c r="D182" s="76"/>
      <c r="E182" s="76"/>
      <c r="F182" s="150"/>
      <c r="G182" s="76"/>
      <c r="H182" s="76"/>
      <c r="I182" s="76"/>
      <c r="J182" s="76"/>
      <c r="K182" s="76"/>
      <c r="L182" s="76"/>
      <c r="M182" s="76"/>
      <c r="N182" s="76"/>
      <c r="O182" s="76"/>
    </row>
    <row r="183" spans="1:16" ht="6" customHeight="1">
      <c r="A183" s="75"/>
      <c r="B183" s="148"/>
      <c r="C183" s="148"/>
      <c r="D183" s="148"/>
      <c r="E183" s="148"/>
      <c r="F183" s="149"/>
      <c r="G183" s="148"/>
      <c r="H183" s="148"/>
      <c r="I183" s="148"/>
      <c r="J183" s="148"/>
      <c r="K183" s="148"/>
      <c r="L183" s="148"/>
      <c r="M183" s="148"/>
      <c r="N183" s="148"/>
      <c r="O183" s="148"/>
    </row>
    <row r="184" spans="1:16" ht="13.5">
      <c r="G184" s="151"/>
      <c r="K184" s="80" t="s">
        <v>6</v>
      </c>
      <c r="L184" s="81"/>
      <c r="M184" s="81"/>
      <c r="N184" s="81"/>
      <c r="O184" s="81"/>
    </row>
    <row r="185" spans="1:16">
      <c r="G185" s="152"/>
      <c r="H185" s="129">
        <f>H145</f>
        <v>2016</v>
      </c>
      <c r="I185" s="129">
        <f>I145</f>
        <v>2017</v>
      </c>
      <c r="J185" s="546">
        <f>J145</f>
        <v>2018</v>
      </c>
      <c r="K185" s="85">
        <f>K$145</f>
        <v>2019</v>
      </c>
      <c r="L185" s="85">
        <f>L$145</f>
        <v>2020</v>
      </c>
      <c r="M185" s="85">
        <f>M$145</f>
        <v>2021</v>
      </c>
      <c r="N185" s="85">
        <f>N$145</f>
        <v>2022</v>
      </c>
      <c r="O185" s="85">
        <f>O$145</f>
        <v>2023</v>
      </c>
    </row>
    <row r="186" spans="1:16" ht="13.15" customHeight="1">
      <c r="G186" s="152"/>
      <c r="H186" s="152"/>
      <c r="I186" s="152"/>
      <c r="J186" s="152"/>
      <c r="K186" s="152"/>
      <c r="L186" s="152"/>
      <c r="M186" s="152"/>
      <c r="N186" s="152"/>
      <c r="O186" s="152"/>
    </row>
    <row r="187" spans="1:16" ht="13.15" customHeight="1">
      <c r="B187" s="298" t="s">
        <v>151</v>
      </c>
      <c r="C187" s="299"/>
      <c r="D187" s="299"/>
      <c r="E187" s="299"/>
      <c r="F187" s="388" t="s">
        <v>96</v>
      </c>
      <c r="G187" s="389"/>
      <c r="H187" s="390">
        <f t="shared" ref="H187:O187" si="13">H167</f>
        <v>4226.25</v>
      </c>
      <c r="I187" s="390">
        <f t="shared" si="13"/>
        <v>4221.2389999999996</v>
      </c>
      <c r="J187" s="390">
        <f t="shared" si="13"/>
        <v>4399.4160000000002</v>
      </c>
      <c r="K187" s="390">
        <f t="shared" si="13"/>
        <v>4513.1940000000004</v>
      </c>
      <c r="L187" s="390">
        <f t="shared" si="13"/>
        <v>4603.4578799999999</v>
      </c>
      <c r="M187" s="390">
        <f t="shared" si="13"/>
        <v>4718.5443270000005</v>
      </c>
      <c r="N187" s="390">
        <f t="shared" si="13"/>
        <v>4836.5079351750001</v>
      </c>
      <c r="O187" s="391">
        <f t="shared" si="13"/>
        <v>4957.420633554374</v>
      </c>
    </row>
    <row r="188" spans="1:16">
      <c r="B188" s="301" t="s">
        <v>130</v>
      </c>
      <c r="C188" s="170"/>
      <c r="D188" s="170"/>
      <c r="E188" s="170"/>
      <c r="F188" s="180" t="s">
        <v>149</v>
      </c>
      <c r="G188" s="392"/>
      <c r="H188" s="393"/>
      <c r="I188" s="393"/>
      <c r="J188" s="393"/>
      <c r="K188" s="393"/>
      <c r="L188" s="393">
        <f>L153</f>
        <v>1.4999999999999999E-2</v>
      </c>
      <c r="M188" s="393">
        <f>M153</f>
        <v>1.4999999999999999E-2</v>
      </c>
      <c r="N188" s="393">
        <f>N153</f>
        <v>0.02</v>
      </c>
      <c r="O188" s="394">
        <f>O153</f>
        <v>0.02</v>
      </c>
    </row>
    <row r="189" spans="1:16" ht="13.15" customHeight="1">
      <c r="B189" s="188"/>
      <c r="G189" s="152"/>
      <c r="H189" s="152"/>
      <c r="I189" s="152"/>
      <c r="J189" s="152"/>
      <c r="K189" s="152"/>
      <c r="L189" s="152"/>
      <c r="M189" s="152"/>
      <c r="N189" s="152"/>
      <c r="O189" s="152"/>
    </row>
    <row r="190" spans="1:16" ht="12.75" customHeight="1">
      <c r="B190" s="189" t="s">
        <v>97</v>
      </c>
      <c r="G190" s="152"/>
      <c r="H190" s="152"/>
      <c r="I190" s="152"/>
      <c r="J190" s="152"/>
      <c r="K190" s="152"/>
      <c r="M190" s="152"/>
      <c r="N190" s="152"/>
      <c r="O190" s="152"/>
    </row>
    <row r="191" spans="1:16">
      <c r="A191" s="181"/>
      <c r="C191" s="94" t="s">
        <v>40</v>
      </c>
      <c r="H191" s="139"/>
      <c r="I191" s="139"/>
      <c r="J191" s="139"/>
    </row>
    <row r="192" spans="1:16">
      <c r="D192" s="100" t="s">
        <v>80</v>
      </c>
      <c r="F192" s="117" t="s">
        <v>274</v>
      </c>
      <c r="H192" s="138">
        <v>255.2</v>
      </c>
      <c r="I192" s="138">
        <v>260.10000000000002</v>
      </c>
      <c r="J192" s="138">
        <v>266.39999999999998</v>
      </c>
      <c r="K192" s="131">
        <f>E22</f>
        <v>270</v>
      </c>
      <c r="L192" s="131">
        <f t="shared" ref="L192:O193" si="14">K192*(1+L$188)</f>
        <v>274.04999999999995</v>
      </c>
      <c r="M192" s="131">
        <f t="shared" si="14"/>
        <v>278.16074999999995</v>
      </c>
      <c r="N192" s="131">
        <f t="shared" si="14"/>
        <v>283.72396499999996</v>
      </c>
      <c r="O192" s="131">
        <f t="shared" si="14"/>
        <v>289.39844429999999</v>
      </c>
    </row>
    <row r="193" spans="2:16">
      <c r="D193" s="100" t="s">
        <v>38</v>
      </c>
      <c r="F193" s="117" t="str">
        <f>F192</f>
        <v>($/unit)</v>
      </c>
      <c r="H193" s="190">
        <v>34.4</v>
      </c>
      <c r="I193" s="190">
        <v>37.1</v>
      </c>
      <c r="J193" s="190">
        <v>40.9</v>
      </c>
      <c r="K193" s="191">
        <f>E23</f>
        <v>42</v>
      </c>
      <c r="L193" s="191">
        <f t="shared" si="14"/>
        <v>42.629999999999995</v>
      </c>
      <c r="M193" s="191">
        <f t="shared" si="14"/>
        <v>43.269449999999992</v>
      </c>
      <c r="N193" s="191">
        <f t="shared" si="14"/>
        <v>44.134838999999992</v>
      </c>
      <c r="O193" s="191">
        <f t="shared" si="14"/>
        <v>45.017535779999996</v>
      </c>
    </row>
    <row r="194" spans="2:16">
      <c r="D194" s="94" t="s">
        <v>41</v>
      </c>
      <c r="F194" s="192" t="str">
        <f>F193</f>
        <v>($/unit)</v>
      </c>
      <c r="H194" s="193">
        <f t="shared" ref="H194:O194" si="15">H193+H192</f>
        <v>289.59999999999997</v>
      </c>
      <c r="I194" s="193">
        <f t="shared" si="15"/>
        <v>297.20000000000005</v>
      </c>
      <c r="J194" s="193">
        <f t="shared" si="15"/>
        <v>307.29999999999995</v>
      </c>
      <c r="K194" s="193">
        <f t="shared" si="15"/>
        <v>312</v>
      </c>
      <c r="L194" s="193">
        <f t="shared" si="15"/>
        <v>316.67999999999995</v>
      </c>
      <c r="M194" s="193">
        <f t="shared" si="15"/>
        <v>321.43019999999996</v>
      </c>
      <c r="N194" s="193">
        <f t="shared" si="15"/>
        <v>327.85880399999996</v>
      </c>
      <c r="O194" s="193">
        <f t="shared" si="15"/>
        <v>334.41598008</v>
      </c>
    </row>
    <row r="195" spans="2:16" ht="6" customHeight="1">
      <c r="D195" s="100"/>
      <c r="H195" s="130"/>
      <c r="I195" s="130"/>
      <c r="J195" s="130"/>
      <c r="K195" s="130"/>
      <c r="L195" s="130"/>
      <c r="M195" s="130"/>
      <c r="N195" s="130"/>
      <c r="O195" s="130"/>
    </row>
    <row r="196" spans="2:16" ht="12.75" customHeight="1">
      <c r="C196" s="137" t="s">
        <v>42</v>
      </c>
      <c r="D196" s="100"/>
      <c r="H196" s="194"/>
      <c r="I196" s="194"/>
      <c r="J196" s="194"/>
      <c r="K196" s="194"/>
      <c r="L196" s="195"/>
      <c r="M196" s="195"/>
      <c r="N196" s="195"/>
      <c r="O196" s="195"/>
    </row>
    <row r="197" spans="2:16" ht="12.75" customHeight="1">
      <c r="D197" s="100" t="s">
        <v>65</v>
      </c>
      <c r="F197" s="117" t="str">
        <f>F194</f>
        <v>($/unit)</v>
      </c>
      <c r="H197" s="131">
        <f t="shared" ref="H197:O202" si="16">H215*1000/H$187</f>
        <v>14.196983141082519</v>
      </c>
      <c r="I197" s="131">
        <f t="shared" si="16"/>
        <v>15.39832262518185</v>
      </c>
      <c r="J197" s="131">
        <f t="shared" si="16"/>
        <v>15.683899863072735</v>
      </c>
      <c r="K197" s="131">
        <f t="shared" si="16"/>
        <v>15.510080000992645</v>
      </c>
      <c r="L197" s="131">
        <f t="shared" si="16"/>
        <v>15.434050197066211</v>
      </c>
      <c r="M197" s="131">
        <f t="shared" si="16"/>
        <v>15.283474097582634</v>
      </c>
      <c r="N197" s="131">
        <f t="shared" si="16"/>
        <v>15.208920565399309</v>
      </c>
      <c r="O197" s="131">
        <f t="shared" si="16"/>
        <v>15.134730708982731</v>
      </c>
      <c r="P197" s="121"/>
    </row>
    <row r="198" spans="2:16">
      <c r="D198" s="100" t="s">
        <v>66</v>
      </c>
      <c r="F198" s="117" t="str">
        <f t="shared" ref="F198:F203" si="17">F197</f>
        <v>($/unit)</v>
      </c>
      <c r="H198" s="131">
        <f t="shared" si="16"/>
        <v>4.9689440993788816</v>
      </c>
      <c r="I198" s="131">
        <f t="shared" si="16"/>
        <v>4.9748426942895208</v>
      </c>
      <c r="J198" s="131">
        <f t="shared" si="16"/>
        <v>5.000663724457973</v>
      </c>
      <c r="K198" s="131">
        <f t="shared" si="16"/>
        <v>5.0961691431832969</v>
      </c>
      <c r="L198" s="131">
        <f t="shared" si="16"/>
        <v>5.0711879218931832</v>
      </c>
      <c r="M198" s="131">
        <f t="shared" si="16"/>
        <v>5.0217129177771511</v>
      </c>
      <c r="N198" s="131">
        <f t="shared" si="16"/>
        <v>4.9972167572026285</v>
      </c>
      <c r="O198" s="131">
        <f t="shared" si="16"/>
        <v>4.9728400900943237</v>
      </c>
    </row>
    <row r="199" spans="2:16">
      <c r="D199" s="99" t="s">
        <v>67</v>
      </c>
      <c r="F199" s="117" t="str">
        <f t="shared" si="17"/>
        <v>($/unit)</v>
      </c>
      <c r="H199" s="131">
        <f t="shared" si="16"/>
        <v>13.723750369713102</v>
      </c>
      <c r="I199" s="131">
        <f t="shared" si="16"/>
        <v>14.21383626939863</v>
      </c>
      <c r="J199" s="131">
        <f t="shared" si="16"/>
        <v>14.320082483675105</v>
      </c>
      <c r="K199" s="131">
        <f t="shared" si="16"/>
        <v>14.402217143778884</v>
      </c>
      <c r="L199" s="131">
        <f t="shared" si="16"/>
        <v>14.331618040132909</v>
      </c>
      <c r="M199" s="131">
        <f t="shared" si="16"/>
        <v>14.191797376326731</v>
      </c>
      <c r="N199" s="131">
        <f t="shared" si="16"/>
        <v>14.122569096442211</v>
      </c>
      <c r="O199" s="131">
        <f t="shared" si="16"/>
        <v>14.053678515483957</v>
      </c>
    </row>
    <row r="200" spans="2:16">
      <c r="D200" s="100" t="s">
        <v>68</v>
      </c>
      <c r="F200" s="117" t="str">
        <f t="shared" si="17"/>
        <v>($/unit)</v>
      </c>
      <c r="H200" s="131">
        <f t="shared" si="16"/>
        <v>3.3126293995859215</v>
      </c>
      <c r="I200" s="131">
        <f t="shared" si="16"/>
        <v>3.5534590673496576</v>
      </c>
      <c r="J200" s="131">
        <f t="shared" si="16"/>
        <v>3.4095434484940728</v>
      </c>
      <c r="K200" s="131">
        <f t="shared" si="16"/>
        <v>3.323588571641281</v>
      </c>
      <c r="L200" s="131">
        <f t="shared" si="16"/>
        <v>3.3072964707999017</v>
      </c>
      <c r="M200" s="131">
        <f t="shared" si="16"/>
        <v>3.2750301637677071</v>
      </c>
      <c r="N200" s="131">
        <f t="shared" si="16"/>
        <v>3.2590544068712792</v>
      </c>
      <c r="O200" s="131">
        <f t="shared" si="16"/>
        <v>3.2431565804962981</v>
      </c>
    </row>
    <row r="201" spans="2:16">
      <c r="D201" s="74" t="s">
        <v>176</v>
      </c>
      <c r="F201" s="117" t="str">
        <f t="shared" si="17"/>
        <v>($/unit)</v>
      </c>
      <c r="H201" s="131">
        <f t="shared" si="16"/>
        <v>1.419698314108252</v>
      </c>
      <c r="I201" s="131">
        <f t="shared" si="16"/>
        <v>1.421383626939863</v>
      </c>
      <c r="J201" s="131">
        <f t="shared" si="16"/>
        <v>1.3638173793976291</v>
      </c>
      <c r="K201" s="131">
        <f t="shared" si="16"/>
        <v>1.5510080000992643</v>
      </c>
      <c r="L201" s="131">
        <f t="shared" si="16"/>
        <v>1.5434050197066209</v>
      </c>
      <c r="M201" s="131">
        <f t="shared" si="16"/>
        <v>1.5283474097582634</v>
      </c>
      <c r="N201" s="131">
        <f t="shared" si="16"/>
        <v>1.5208920565399304</v>
      </c>
      <c r="O201" s="131">
        <f t="shared" si="16"/>
        <v>1.5134730708982727</v>
      </c>
    </row>
    <row r="202" spans="2:16" ht="12.75" customHeight="1">
      <c r="D202" s="74" t="s">
        <v>15</v>
      </c>
      <c r="F202" s="117" t="str">
        <f t="shared" si="17"/>
        <v>($/unit)</v>
      </c>
      <c r="H202" s="191">
        <f t="shared" si="16"/>
        <v>0.47323277136941733</v>
      </c>
      <c r="I202" s="191">
        <f t="shared" si="16"/>
        <v>0.47379454231328766</v>
      </c>
      <c r="J202" s="191">
        <f t="shared" si="16"/>
        <v>0.68190868969881457</v>
      </c>
      <c r="K202" s="191">
        <f t="shared" si="16"/>
        <v>1.1078628572137603</v>
      </c>
      <c r="L202" s="191">
        <f t="shared" si="16"/>
        <v>1.1024321569333007</v>
      </c>
      <c r="M202" s="191">
        <f t="shared" si="16"/>
        <v>1.0916767212559022</v>
      </c>
      <c r="N202" s="191">
        <f t="shared" si="16"/>
        <v>1.086351468957093</v>
      </c>
      <c r="O202" s="191">
        <f t="shared" si="16"/>
        <v>1.081052193498766</v>
      </c>
    </row>
    <row r="203" spans="2:16">
      <c r="D203" s="87" t="s">
        <v>62</v>
      </c>
      <c r="F203" s="192" t="str">
        <f t="shared" si="17"/>
        <v>($/unit)</v>
      </c>
      <c r="H203" s="193">
        <f t="shared" ref="H203:O203" si="18">SUM(H197:H202)</f>
        <v>38.095238095238095</v>
      </c>
      <c r="I203" s="193">
        <f t="shared" si="18"/>
        <v>40.035638825472802</v>
      </c>
      <c r="J203" s="193">
        <f t="shared" si="18"/>
        <v>40.459915588796328</v>
      </c>
      <c r="K203" s="193">
        <f t="shared" si="18"/>
        <v>40.990925716909132</v>
      </c>
      <c r="L203" s="193">
        <f t="shared" si="18"/>
        <v>40.789989806532134</v>
      </c>
      <c r="M203" s="193">
        <f t="shared" si="18"/>
        <v>40.392038686468389</v>
      </c>
      <c r="N203" s="193">
        <f t="shared" si="18"/>
        <v>40.195004351412443</v>
      </c>
      <c r="O203" s="193">
        <f t="shared" si="18"/>
        <v>39.998931159454344</v>
      </c>
    </row>
    <row r="204" spans="2:16" ht="6" customHeight="1">
      <c r="C204" s="94"/>
      <c r="F204" s="192"/>
      <c r="H204" s="133"/>
      <c r="I204" s="133"/>
      <c r="J204" s="133"/>
      <c r="K204" s="133"/>
      <c r="L204" s="133"/>
      <c r="M204" s="133"/>
      <c r="N204" s="133"/>
      <c r="O204" s="133"/>
    </row>
    <row r="205" spans="2:16" ht="13.5" thickBot="1">
      <c r="C205" s="87" t="s">
        <v>54</v>
      </c>
      <c r="F205" s="192" t="str">
        <f>F203</f>
        <v>($/unit)</v>
      </c>
      <c r="H205" s="135">
        <f t="shared" ref="H205:O205" si="19">H203+H194</f>
        <v>327.69523809523804</v>
      </c>
      <c r="I205" s="135">
        <f t="shared" si="19"/>
        <v>337.23563882547285</v>
      </c>
      <c r="J205" s="135">
        <f t="shared" si="19"/>
        <v>347.75991558879628</v>
      </c>
      <c r="K205" s="135">
        <f t="shared" si="19"/>
        <v>352.99092571690915</v>
      </c>
      <c r="L205" s="135">
        <f t="shared" si="19"/>
        <v>357.46998980653211</v>
      </c>
      <c r="M205" s="135">
        <f t="shared" si="19"/>
        <v>361.82223868646832</v>
      </c>
      <c r="N205" s="135">
        <f t="shared" si="19"/>
        <v>368.05380835141239</v>
      </c>
      <c r="O205" s="135">
        <f t="shared" si="19"/>
        <v>374.41491123945434</v>
      </c>
    </row>
    <row r="206" spans="2:16" ht="13.15" customHeight="1" thickTop="1">
      <c r="B206" s="171"/>
      <c r="C206" s="196"/>
      <c r="D206" s="170"/>
      <c r="E206" s="170"/>
      <c r="F206" s="197"/>
      <c r="G206" s="170"/>
      <c r="H206" s="198"/>
      <c r="I206" s="198"/>
      <c r="J206" s="198"/>
      <c r="K206" s="198"/>
      <c r="L206" s="198"/>
      <c r="M206" s="198"/>
      <c r="N206" s="198"/>
      <c r="O206" s="198"/>
    </row>
    <row r="207" spans="2:16" ht="13.15" customHeight="1">
      <c r="B207" s="87"/>
      <c r="C207" s="94"/>
      <c r="F207" s="192"/>
      <c r="H207" s="133"/>
      <c r="I207" s="133"/>
      <c r="J207" s="133"/>
      <c r="K207" s="133"/>
      <c r="L207" s="133"/>
      <c r="M207" s="133"/>
      <c r="N207" s="133"/>
      <c r="O207" s="133"/>
    </row>
    <row r="208" spans="2:16" ht="13.5">
      <c r="B208" s="189" t="s">
        <v>275</v>
      </c>
      <c r="C208" s="94"/>
      <c r="F208" s="192"/>
      <c r="H208" s="133"/>
      <c r="I208" s="133"/>
      <c r="J208" s="133"/>
      <c r="K208" s="133"/>
      <c r="L208" s="133"/>
      <c r="M208" s="133"/>
      <c r="N208" s="133"/>
      <c r="O208" s="133"/>
    </row>
    <row r="209" spans="1:15">
      <c r="C209" s="94" t="s">
        <v>40</v>
      </c>
      <c r="F209" s="192"/>
      <c r="H209" s="133"/>
      <c r="I209" s="133"/>
      <c r="J209" s="133"/>
      <c r="K209" s="133"/>
      <c r="L209" s="133"/>
      <c r="M209" s="133"/>
      <c r="N209" s="133"/>
      <c r="O209" s="133"/>
    </row>
    <row r="210" spans="1:15">
      <c r="D210" s="100" t="s">
        <v>80</v>
      </c>
      <c r="F210" s="117" t="s">
        <v>270</v>
      </c>
      <c r="H210" s="131">
        <f t="shared" ref="H210:O211" si="20">H192*H$187/1000</f>
        <v>1078.539</v>
      </c>
      <c r="I210" s="131">
        <f t="shared" si="20"/>
        <v>1097.9442638999999</v>
      </c>
      <c r="J210" s="131">
        <f t="shared" si="20"/>
        <v>1172.0044224000001</v>
      </c>
      <c r="K210" s="131">
        <f t="shared" si="20"/>
        <v>1218.5623800000001</v>
      </c>
      <c r="L210" s="131">
        <f t="shared" si="20"/>
        <v>1261.5776320139998</v>
      </c>
      <c r="M210" s="131">
        <f t="shared" si="20"/>
        <v>1312.5138289065651</v>
      </c>
      <c r="N210" s="131">
        <f t="shared" si="20"/>
        <v>1372.2332081218137</v>
      </c>
      <c r="O210" s="131">
        <f t="shared" si="20"/>
        <v>1434.6698190913562</v>
      </c>
    </row>
    <row r="211" spans="1:15">
      <c r="D211" s="100" t="s">
        <v>38</v>
      </c>
      <c r="F211" s="117" t="s">
        <v>270</v>
      </c>
      <c r="H211" s="191">
        <f t="shared" si="20"/>
        <v>145.38300000000001</v>
      </c>
      <c r="I211" s="191">
        <f t="shared" si="20"/>
        <v>156.60796690000001</v>
      </c>
      <c r="J211" s="191">
        <f t="shared" si="20"/>
        <v>179.93611439999998</v>
      </c>
      <c r="K211" s="191">
        <f t="shared" si="20"/>
        <v>189.55414800000003</v>
      </c>
      <c r="L211" s="191">
        <f t="shared" si="20"/>
        <v>196.24540942439998</v>
      </c>
      <c r="M211" s="191">
        <f t="shared" si="20"/>
        <v>204.16881782991015</v>
      </c>
      <c r="N211" s="191">
        <f t="shared" si="20"/>
        <v>213.45849904117102</v>
      </c>
      <c r="O211" s="191">
        <f t="shared" si="20"/>
        <v>223.17086074754428</v>
      </c>
    </row>
    <row r="212" spans="1:15" ht="12.75" customHeight="1">
      <c r="D212" s="94" t="s">
        <v>41</v>
      </c>
      <c r="F212" s="192" t="s">
        <v>270</v>
      </c>
      <c r="H212" s="193">
        <f t="shared" ref="H212:O212" si="21">H211+H210</f>
        <v>1223.922</v>
      </c>
      <c r="I212" s="193">
        <f t="shared" si="21"/>
        <v>1254.5522308</v>
      </c>
      <c r="J212" s="193">
        <f t="shared" si="21"/>
        <v>1351.9405368</v>
      </c>
      <c r="K212" s="193">
        <f t="shared" si="21"/>
        <v>1408.116528</v>
      </c>
      <c r="L212" s="193">
        <f t="shared" si="21"/>
        <v>1457.8230414383997</v>
      </c>
      <c r="M212" s="193">
        <f t="shared" si="21"/>
        <v>1516.6826467364754</v>
      </c>
      <c r="N212" s="193">
        <f t="shared" si="21"/>
        <v>1585.6917071629848</v>
      </c>
      <c r="O212" s="193">
        <f t="shared" si="21"/>
        <v>1657.8406798389005</v>
      </c>
    </row>
    <row r="213" spans="1:15" ht="6" customHeight="1">
      <c r="D213" s="100"/>
      <c r="F213" s="192"/>
      <c r="H213" s="133"/>
      <c r="I213" s="133"/>
      <c r="J213" s="133"/>
      <c r="K213" s="133"/>
      <c r="L213" s="133"/>
      <c r="M213" s="133"/>
      <c r="N213" s="133"/>
      <c r="O213" s="133"/>
    </row>
    <row r="214" spans="1:15" ht="12.75" customHeight="1">
      <c r="C214" s="137" t="s">
        <v>42</v>
      </c>
      <c r="D214" s="100"/>
      <c r="F214" s="192"/>
      <c r="H214" s="133"/>
      <c r="I214" s="133"/>
      <c r="J214" s="133"/>
      <c r="K214" s="133"/>
      <c r="L214" s="133"/>
      <c r="M214" s="133"/>
      <c r="N214" s="133"/>
      <c r="O214" s="133"/>
    </row>
    <row r="215" spans="1:15" ht="12.75" customHeight="1">
      <c r="A215" s="199"/>
      <c r="D215" s="100" t="s">
        <v>65</v>
      </c>
      <c r="F215" s="117" t="s">
        <v>270</v>
      </c>
      <c r="H215" s="138">
        <v>60</v>
      </c>
      <c r="I215" s="138">
        <v>65</v>
      </c>
      <c r="J215" s="138">
        <v>69</v>
      </c>
      <c r="K215" s="131">
        <f>E24</f>
        <v>70</v>
      </c>
      <c r="L215" s="131">
        <f t="shared" ref="L215:L220" si="22">K215*(1+L$188)</f>
        <v>71.05</v>
      </c>
      <c r="M215" s="548">
        <f t="shared" ref="M215" si="23">L215*(1+M$188)</f>
        <v>72.115749999999991</v>
      </c>
      <c r="N215" s="548">
        <f t="shared" ref="N215" si="24">M215*(1+N$188)</f>
        <v>73.558064999999999</v>
      </c>
      <c r="O215" s="548">
        <f t="shared" ref="O215" si="25">N215*(1+O$188)</f>
        <v>75.029226300000005</v>
      </c>
    </row>
    <row r="216" spans="1:15" ht="12.75" customHeight="1">
      <c r="D216" s="100" t="s">
        <v>66</v>
      </c>
      <c r="F216" s="117" t="s">
        <v>270</v>
      </c>
      <c r="H216" s="138">
        <v>21</v>
      </c>
      <c r="I216" s="138">
        <v>21</v>
      </c>
      <c r="J216" s="138">
        <v>22</v>
      </c>
      <c r="K216" s="131">
        <f>E25</f>
        <v>23</v>
      </c>
      <c r="L216" s="131">
        <f t="shared" si="22"/>
        <v>23.344999999999999</v>
      </c>
      <c r="M216" s="131">
        <f t="shared" ref="M216:O220" si="26">L216*(1+M$188)</f>
        <v>23.695174999999995</v>
      </c>
      <c r="N216" s="131">
        <f t="shared" si="26"/>
        <v>24.169078499999994</v>
      </c>
      <c r="O216" s="131">
        <f t="shared" si="26"/>
        <v>24.652460069999993</v>
      </c>
    </row>
    <row r="217" spans="1:15" ht="12.75" customHeight="1">
      <c r="D217" s="99" t="s">
        <v>67</v>
      </c>
      <c r="F217" s="117" t="s">
        <v>270</v>
      </c>
      <c r="H217" s="138">
        <v>58</v>
      </c>
      <c r="I217" s="138">
        <v>60</v>
      </c>
      <c r="J217" s="138">
        <v>63</v>
      </c>
      <c r="K217" s="131">
        <f>E26</f>
        <v>65</v>
      </c>
      <c r="L217" s="131">
        <f t="shared" si="22"/>
        <v>65.974999999999994</v>
      </c>
      <c r="M217" s="131">
        <f t="shared" si="26"/>
        <v>66.964624999999984</v>
      </c>
      <c r="N217" s="131">
        <f t="shared" si="26"/>
        <v>68.303917499999983</v>
      </c>
      <c r="O217" s="131">
        <f t="shared" si="26"/>
        <v>69.669995849999978</v>
      </c>
    </row>
    <row r="218" spans="1:15" ht="12.75" customHeight="1">
      <c r="D218" s="100" t="s">
        <v>68</v>
      </c>
      <c r="F218" s="117" t="s">
        <v>270</v>
      </c>
      <c r="H218" s="138">
        <v>14</v>
      </c>
      <c r="I218" s="138">
        <v>15</v>
      </c>
      <c r="J218" s="138">
        <v>15</v>
      </c>
      <c r="K218" s="548">
        <f>E27</f>
        <v>15</v>
      </c>
      <c r="L218" s="131">
        <f t="shared" si="22"/>
        <v>15.224999999999998</v>
      </c>
      <c r="M218" s="131">
        <f t="shared" si="26"/>
        <v>15.453374999999996</v>
      </c>
      <c r="N218" s="131">
        <f t="shared" si="26"/>
        <v>15.762442499999995</v>
      </c>
      <c r="O218" s="131">
        <f t="shared" si="26"/>
        <v>16.077691349999995</v>
      </c>
    </row>
    <row r="219" spans="1:15">
      <c r="D219" s="74" t="s">
        <v>176</v>
      </c>
      <c r="F219" s="117" t="s">
        <v>270</v>
      </c>
      <c r="H219" s="138">
        <v>6</v>
      </c>
      <c r="I219" s="138">
        <v>6</v>
      </c>
      <c r="J219" s="138">
        <v>6</v>
      </c>
      <c r="K219" s="131">
        <f>E28</f>
        <v>7</v>
      </c>
      <c r="L219" s="131">
        <f t="shared" si="22"/>
        <v>7.1049999999999995</v>
      </c>
      <c r="M219" s="131">
        <f t="shared" si="26"/>
        <v>7.211574999999999</v>
      </c>
      <c r="N219" s="131">
        <f t="shared" si="26"/>
        <v>7.355806499999999</v>
      </c>
      <c r="O219" s="131">
        <f t="shared" si="26"/>
        <v>7.5029226299999987</v>
      </c>
    </row>
    <row r="220" spans="1:15">
      <c r="D220" s="74" t="s">
        <v>15</v>
      </c>
      <c r="F220" s="117" t="s">
        <v>270</v>
      </c>
      <c r="H220" s="190">
        <v>2</v>
      </c>
      <c r="I220" s="190">
        <v>2</v>
      </c>
      <c r="J220" s="190">
        <v>3</v>
      </c>
      <c r="K220" s="191">
        <f>E29</f>
        <v>5</v>
      </c>
      <c r="L220" s="191">
        <f t="shared" si="22"/>
        <v>5.0749999999999993</v>
      </c>
      <c r="M220" s="191">
        <f t="shared" si="26"/>
        <v>5.1511249999999986</v>
      </c>
      <c r="N220" s="191">
        <f t="shared" si="26"/>
        <v>5.2541474999999984</v>
      </c>
      <c r="O220" s="191">
        <f t="shared" si="26"/>
        <v>5.3592304499999983</v>
      </c>
    </row>
    <row r="221" spans="1:15">
      <c r="D221" s="87" t="s">
        <v>62</v>
      </c>
      <c r="F221" s="192" t="s">
        <v>270</v>
      </c>
      <c r="H221" s="193">
        <f t="shared" ref="H221:O221" si="27">SUM(H215:H220)</f>
        <v>161</v>
      </c>
      <c r="I221" s="193">
        <f t="shared" si="27"/>
        <v>169</v>
      </c>
      <c r="J221" s="193">
        <f t="shared" si="27"/>
        <v>178</v>
      </c>
      <c r="K221" s="193">
        <f t="shared" si="27"/>
        <v>185</v>
      </c>
      <c r="L221" s="193">
        <f t="shared" si="27"/>
        <v>187.77499999999998</v>
      </c>
      <c r="M221" s="193">
        <f t="shared" si="27"/>
        <v>190.59162499999996</v>
      </c>
      <c r="N221" s="193">
        <f t="shared" si="27"/>
        <v>194.40345749999994</v>
      </c>
      <c r="O221" s="193">
        <f t="shared" si="27"/>
        <v>198.29152664999998</v>
      </c>
    </row>
    <row r="222" spans="1:15" ht="6" customHeight="1">
      <c r="C222" s="94"/>
      <c r="H222" s="130"/>
      <c r="I222" s="130"/>
      <c r="J222" s="130"/>
      <c r="K222" s="130"/>
      <c r="L222" s="130"/>
      <c r="M222" s="130"/>
      <c r="N222" s="130"/>
      <c r="O222" s="130"/>
    </row>
    <row r="223" spans="1:15" ht="13.5" thickBot="1">
      <c r="C223" s="87" t="s">
        <v>54</v>
      </c>
      <c r="F223" s="192" t="s">
        <v>270</v>
      </c>
      <c r="H223" s="135">
        <f t="shared" ref="H223:O223" si="28">H221+H212</f>
        <v>1384.922</v>
      </c>
      <c r="I223" s="135">
        <f t="shared" si="28"/>
        <v>1423.5522308</v>
      </c>
      <c r="J223" s="135">
        <f t="shared" si="28"/>
        <v>1529.9405368</v>
      </c>
      <c r="K223" s="135">
        <f t="shared" si="28"/>
        <v>1593.116528</v>
      </c>
      <c r="L223" s="135">
        <f t="shared" si="28"/>
        <v>1645.5980414383998</v>
      </c>
      <c r="M223" s="135">
        <f t="shared" si="28"/>
        <v>1707.2742717364754</v>
      </c>
      <c r="N223" s="135">
        <f t="shared" si="28"/>
        <v>1780.0951646629846</v>
      </c>
      <c r="O223" s="135">
        <f t="shared" si="28"/>
        <v>1856.1322064889005</v>
      </c>
    </row>
    <row r="224" spans="1:15" ht="12.75" customHeight="1" thickTop="1">
      <c r="B224" s="200"/>
      <c r="C224" s="201"/>
      <c r="D224" s="122"/>
      <c r="E224" s="122"/>
      <c r="F224" s="202"/>
      <c r="G224" s="122"/>
      <c r="H224" s="141"/>
      <c r="I224" s="141"/>
      <c r="J224" s="141"/>
      <c r="K224" s="141"/>
      <c r="L224" s="141"/>
      <c r="M224" s="141"/>
      <c r="N224" s="141"/>
      <c r="O224" s="141"/>
    </row>
    <row r="225" spans="1:15">
      <c r="H225" s="162"/>
      <c r="I225" s="162"/>
      <c r="J225" s="162"/>
      <c r="K225" s="162"/>
      <c r="L225" s="162"/>
      <c r="M225" s="162"/>
      <c r="N225" s="162"/>
      <c r="O225" s="162"/>
    </row>
    <row r="226" spans="1:15">
      <c r="H226" s="162"/>
      <c r="I226" s="162"/>
      <c r="J226" s="162"/>
      <c r="K226" s="162"/>
      <c r="L226" s="162"/>
      <c r="M226" s="162"/>
      <c r="N226" s="162"/>
      <c r="O226" s="162"/>
    </row>
    <row r="227" spans="1:15" ht="12.75" customHeight="1">
      <c r="A227" s="146"/>
      <c r="B227" s="71"/>
      <c r="C227" s="72"/>
      <c r="D227" s="72"/>
      <c r="E227" s="72"/>
      <c r="F227" s="144"/>
      <c r="G227" s="72"/>
      <c r="H227" s="72"/>
      <c r="I227" s="72"/>
      <c r="J227" s="72"/>
      <c r="K227" s="72"/>
      <c r="L227" s="72"/>
      <c r="M227" s="72"/>
      <c r="N227" s="72"/>
      <c r="O227" s="73" t="str">
        <f>$O$139</f>
        <v>CURRENTLY RUNNING: BASE CASE SCENARIO</v>
      </c>
    </row>
    <row r="228" spans="1:15" ht="22.5">
      <c r="A228" s="146"/>
      <c r="B228" s="71" t="str">
        <f>B$140</f>
        <v>Windsol Manufacturing</v>
      </c>
      <c r="C228" s="72"/>
      <c r="D228" s="72"/>
      <c r="E228" s="72"/>
      <c r="F228" s="144"/>
      <c r="G228" s="72"/>
      <c r="H228" s="72"/>
      <c r="I228" s="72"/>
      <c r="J228" s="72"/>
      <c r="K228" s="72"/>
      <c r="L228" s="72"/>
      <c r="M228" s="72"/>
      <c r="N228" s="72"/>
      <c r="O228" s="72"/>
    </row>
    <row r="229" spans="1:15" ht="19.5">
      <c r="A229" s="147"/>
      <c r="B229" s="75" t="s">
        <v>44</v>
      </c>
      <c r="C229" s="148"/>
      <c r="D229" s="148"/>
      <c r="E229" s="148"/>
      <c r="F229" s="149"/>
      <c r="G229" s="148"/>
      <c r="H229" s="148"/>
      <c r="I229" s="148"/>
      <c r="J229" s="148"/>
      <c r="K229" s="148"/>
      <c r="L229" s="148"/>
      <c r="M229" s="148"/>
      <c r="N229" s="148"/>
      <c r="O229" s="148"/>
    </row>
    <row r="230" spans="1:15" ht="6" customHeight="1" thickBot="1">
      <c r="A230" s="147"/>
      <c r="B230" s="125"/>
      <c r="C230" s="76"/>
      <c r="D230" s="76"/>
      <c r="E230" s="76"/>
      <c r="F230" s="150"/>
      <c r="G230" s="76"/>
      <c r="H230" s="76"/>
      <c r="I230" s="76"/>
      <c r="J230" s="76"/>
      <c r="K230" s="76"/>
      <c r="L230" s="76"/>
      <c r="M230" s="76"/>
      <c r="N230" s="76"/>
      <c r="O230" s="76"/>
    </row>
    <row r="231" spans="1:15" ht="12.75" customHeight="1">
      <c r="A231" s="75"/>
      <c r="B231" s="78" t="s">
        <v>268</v>
      </c>
      <c r="C231" s="148"/>
      <c r="D231" s="148"/>
      <c r="E231" s="148"/>
      <c r="F231" s="149"/>
      <c r="G231" s="148"/>
      <c r="H231" s="148"/>
      <c r="I231" s="148"/>
      <c r="J231" s="148"/>
      <c r="K231" s="148"/>
      <c r="L231" s="148"/>
      <c r="M231" s="148"/>
      <c r="N231" s="148"/>
      <c r="O231" s="148"/>
    </row>
    <row r="232" spans="1:15" ht="13.5">
      <c r="G232" s="151"/>
      <c r="K232" s="80" t="s">
        <v>6</v>
      </c>
      <c r="L232" s="81"/>
      <c r="M232" s="81"/>
      <c r="N232" s="81"/>
      <c r="O232" s="81"/>
    </row>
    <row r="233" spans="1:15">
      <c r="G233" s="152"/>
      <c r="H233" s="129">
        <f>H145</f>
        <v>2016</v>
      </c>
      <c r="I233" s="129">
        <f>I145</f>
        <v>2017</v>
      </c>
      <c r="J233" s="546">
        <f>J185</f>
        <v>2018</v>
      </c>
      <c r="K233" s="85">
        <f>K$145</f>
        <v>2019</v>
      </c>
      <c r="L233" s="85">
        <f>L$145</f>
        <v>2020</v>
      </c>
      <c r="M233" s="85">
        <f>M$145</f>
        <v>2021</v>
      </c>
      <c r="N233" s="85">
        <f>N$145</f>
        <v>2022</v>
      </c>
      <c r="O233" s="85">
        <f>O$145</f>
        <v>2023</v>
      </c>
    </row>
    <row r="234" spans="1:15" ht="6" customHeight="1">
      <c r="G234" s="152"/>
      <c r="H234" s="152"/>
      <c r="I234" s="152"/>
      <c r="J234" s="152"/>
      <c r="K234" s="203"/>
      <c r="L234" s="203"/>
      <c r="M234" s="203"/>
      <c r="N234" s="1"/>
      <c r="O234" s="3"/>
    </row>
    <row r="235" spans="1:15">
      <c r="B235" s="154" t="s">
        <v>150</v>
      </c>
      <c r="C235" s="155"/>
      <c r="D235" s="155"/>
      <c r="E235" s="155"/>
      <c r="F235" s="204" t="s">
        <v>96</v>
      </c>
      <c r="G235" s="187"/>
      <c r="H235" s="205">
        <f t="shared" ref="H235:O235" si="29">H167</f>
        <v>4226.25</v>
      </c>
      <c r="I235" s="205">
        <f t="shared" si="29"/>
        <v>4221.2389999999996</v>
      </c>
      <c r="J235" s="205">
        <f t="shared" si="29"/>
        <v>4399.4160000000002</v>
      </c>
      <c r="K235" s="205">
        <f t="shared" si="29"/>
        <v>4513.1940000000004</v>
      </c>
      <c r="L235" s="205">
        <f t="shared" si="29"/>
        <v>4603.4578799999999</v>
      </c>
      <c r="M235" s="205">
        <f t="shared" si="29"/>
        <v>4718.5443270000005</v>
      </c>
      <c r="N235" s="205">
        <f t="shared" si="29"/>
        <v>4836.5079351750001</v>
      </c>
      <c r="O235" s="206">
        <f t="shared" si="29"/>
        <v>4957.420633554374</v>
      </c>
    </row>
    <row r="236" spans="1:15" ht="6" customHeight="1">
      <c r="F236" s="158"/>
      <c r="G236" s="152"/>
      <c r="H236" s="152"/>
      <c r="I236" s="152"/>
      <c r="J236" s="152"/>
      <c r="K236" s="203"/>
      <c r="L236" s="203"/>
      <c r="M236" s="203"/>
      <c r="N236" s="1"/>
      <c r="O236" s="3"/>
    </row>
    <row r="237" spans="1:15">
      <c r="B237" s="94" t="s">
        <v>52</v>
      </c>
      <c r="F237" s="158"/>
      <c r="G237" s="152"/>
      <c r="H237" s="152"/>
      <c r="I237" s="152"/>
      <c r="J237" s="152"/>
      <c r="K237" s="203"/>
      <c r="L237" s="203"/>
      <c r="M237" s="203"/>
      <c r="N237" s="1"/>
      <c r="O237" s="3"/>
    </row>
    <row r="238" spans="1:15">
      <c r="C238" s="74" t="s">
        <v>53</v>
      </c>
      <c r="F238" s="158"/>
      <c r="G238" s="152"/>
      <c r="H238" s="207">
        <f t="shared" ref="H238:O239" si="30">H173</f>
        <v>1754.0989077669901</v>
      </c>
      <c r="I238" s="207">
        <f t="shared" si="30"/>
        <v>1897.4256111111108</v>
      </c>
      <c r="J238" s="207">
        <f t="shared" si="30"/>
        <v>1984.1366160000002</v>
      </c>
      <c r="K238" s="207">
        <f t="shared" si="30"/>
        <v>2095.4115000000002</v>
      </c>
      <c r="L238" s="207">
        <f t="shared" si="30"/>
        <v>2140.6079141999999</v>
      </c>
      <c r="M238" s="207">
        <f t="shared" si="30"/>
        <v>2217.7158336900002</v>
      </c>
      <c r="N238" s="207">
        <f t="shared" si="30"/>
        <v>2344.2257849062498</v>
      </c>
      <c r="O238" s="207">
        <f t="shared" si="30"/>
        <v>2453.1566021712365</v>
      </c>
    </row>
    <row r="239" spans="1:15">
      <c r="C239" s="100" t="s">
        <v>63</v>
      </c>
      <c r="F239" s="158"/>
      <c r="G239" s="152"/>
      <c r="H239" s="208">
        <f t="shared" si="30"/>
        <v>194.4075</v>
      </c>
      <c r="I239" s="208">
        <f t="shared" si="30"/>
        <v>196.28761349999996</v>
      </c>
      <c r="J239" s="208">
        <f t="shared" si="30"/>
        <v>208.53231839999998</v>
      </c>
      <c r="K239" s="208">
        <f t="shared" si="30"/>
        <v>217.13427653400001</v>
      </c>
      <c r="L239" s="208">
        <f t="shared" si="30"/>
        <v>224.79911649565014</v>
      </c>
      <c r="M239" s="208">
        <f t="shared" si="30"/>
        <v>233.87538082416205</v>
      </c>
      <c r="N239" s="208">
        <f t="shared" si="30"/>
        <v>244.51671065166138</v>
      </c>
      <c r="O239" s="208">
        <f t="shared" si="30"/>
        <v>255.64222098631194</v>
      </c>
    </row>
    <row r="240" spans="1:15">
      <c r="C240" s="94" t="s">
        <v>7</v>
      </c>
      <c r="F240" s="178"/>
      <c r="G240" s="152"/>
      <c r="H240" s="209">
        <f>H175</f>
        <v>1559.6914077669901</v>
      </c>
      <c r="I240" s="209">
        <f>I175</f>
        <v>1701.1379976111109</v>
      </c>
      <c r="J240" s="209">
        <f>J175</f>
        <v>1775.6042976000003</v>
      </c>
      <c r="K240" s="549">
        <f>K238 - K239</f>
        <v>1878.2772234660001</v>
      </c>
      <c r="L240" s="549">
        <f t="shared" ref="L240:O240" si="31">L238 - L239</f>
        <v>1915.8087977043497</v>
      </c>
      <c r="M240" s="549">
        <f t="shared" si="31"/>
        <v>1983.8404528658382</v>
      </c>
      <c r="N240" s="549">
        <f t="shared" si="31"/>
        <v>2099.7090742545884</v>
      </c>
      <c r="O240" s="549">
        <f t="shared" si="31"/>
        <v>2197.5143811849248</v>
      </c>
    </row>
    <row r="241" spans="1:15">
      <c r="F241" s="158"/>
      <c r="G241" s="152"/>
      <c r="H241" s="210"/>
      <c r="I241" s="210"/>
      <c r="J241" s="210"/>
      <c r="K241" s="91"/>
      <c r="L241" s="91"/>
      <c r="M241" s="91"/>
      <c r="N241" s="423"/>
      <c r="O241" s="211"/>
    </row>
    <row r="242" spans="1:15">
      <c r="C242" s="74" t="s">
        <v>8</v>
      </c>
      <c r="F242" s="158"/>
      <c r="G242" s="152"/>
      <c r="H242" s="207">
        <f t="shared" ref="H242:O242" si="32">H223</f>
        <v>1384.922</v>
      </c>
      <c r="I242" s="207">
        <f t="shared" si="32"/>
        <v>1423.5522308</v>
      </c>
      <c r="J242" s="207">
        <f t="shared" si="32"/>
        <v>1529.9405368</v>
      </c>
      <c r="K242" s="207">
        <f t="shared" si="32"/>
        <v>1593.116528</v>
      </c>
      <c r="L242" s="207">
        <f t="shared" si="32"/>
        <v>1645.5980414383998</v>
      </c>
      <c r="M242" s="207">
        <f t="shared" si="32"/>
        <v>1707.2742717364754</v>
      </c>
      <c r="N242" s="207">
        <f t="shared" si="32"/>
        <v>1780.0951646629846</v>
      </c>
      <c r="O242" s="207">
        <f t="shared" si="32"/>
        <v>1856.1322064889005</v>
      </c>
    </row>
    <row r="243" spans="1:15">
      <c r="A243" s="181"/>
      <c r="C243" s="99" t="s">
        <v>43</v>
      </c>
      <c r="F243" s="158"/>
      <c r="G243" s="152"/>
      <c r="H243" s="212">
        <v>9.6</v>
      </c>
      <c r="I243" s="212">
        <v>9.8000000000000007</v>
      </c>
      <c r="J243" s="212">
        <v>10</v>
      </c>
      <c r="K243" s="208">
        <f>E30</f>
        <v>10.4</v>
      </c>
      <c r="L243" s="208">
        <f>K243*(1+L$153)</f>
        <v>10.555999999999999</v>
      </c>
      <c r="M243" s="208">
        <f>L243*(1+M$153)</f>
        <v>10.714339999999998</v>
      </c>
      <c r="N243" s="208">
        <f>M243*(1+N$153)</f>
        <v>10.928626799999998</v>
      </c>
      <c r="O243" s="208">
        <f>N243*(1+O$153)</f>
        <v>11.147199335999998</v>
      </c>
    </row>
    <row r="244" spans="1:15">
      <c r="C244" s="87" t="s">
        <v>54</v>
      </c>
      <c r="F244" s="178"/>
      <c r="G244" s="152"/>
      <c r="H244" s="209">
        <f t="shared" ref="H244:O244" si="33">SUM(H242:H243)</f>
        <v>1394.5219999999999</v>
      </c>
      <c r="I244" s="209">
        <f t="shared" si="33"/>
        <v>1433.3522307999999</v>
      </c>
      <c r="J244" s="209">
        <f t="shared" si="33"/>
        <v>1539.9405368</v>
      </c>
      <c r="K244" s="209">
        <f t="shared" si="33"/>
        <v>1603.5165280000001</v>
      </c>
      <c r="L244" s="209">
        <f t="shared" si="33"/>
        <v>1656.1540414383999</v>
      </c>
      <c r="M244" s="209">
        <f t="shared" si="33"/>
        <v>1717.9886117364754</v>
      </c>
      <c r="N244" s="209">
        <f t="shared" si="33"/>
        <v>1791.0237914629847</v>
      </c>
      <c r="O244" s="209">
        <f t="shared" si="33"/>
        <v>1867.2794058249006</v>
      </c>
    </row>
    <row r="245" spans="1:15">
      <c r="C245" s="87"/>
      <c r="F245" s="178"/>
      <c r="G245" s="152"/>
      <c r="H245" s="213"/>
      <c r="I245" s="213"/>
      <c r="J245" s="213"/>
      <c r="K245" s="213"/>
      <c r="L245" s="213"/>
      <c r="M245" s="213"/>
      <c r="N245" s="213"/>
      <c r="O245" s="213"/>
    </row>
    <row r="246" spans="1:15">
      <c r="C246" s="74" t="s">
        <v>202</v>
      </c>
      <c r="F246" s="158"/>
      <c r="G246" s="152"/>
      <c r="H246" s="212">
        <v>0</v>
      </c>
      <c r="I246" s="212">
        <v>0</v>
      </c>
      <c r="J246" s="212">
        <v>0</v>
      </c>
      <c r="K246" s="208">
        <f>H70</f>
        <v>0</v>
      </c>
      <c r="L246" s="208">
        <f>I70</f>
        <v>0</v>
      </c>
      <c r="M246" s="208">
        <f>J70</f>
        <v>0</v>
      </c>
      <c r="N246" s="208">
        <f>K70</f>
        <v>0</v>
      </c>
      <c r="O246" s="208">
        <f>L70</f>
        <v>0</v>
      </c>
    </row>
    <row r="247" spans="1:15">
      <c r="B247" s="94"/>
      <c r="C247" s="94" t="s">
        <v>9</v>
      </c>
      <c r="F247" s="178"/>
      <c r="H247" s="193">
        <f t="shared" ref="H247:O247" si="34">H240-H244-H246</f>
        <v>165.16940776699016</v>
      </c>
      <c r="I247" s="193">
        <f t="shared" si="34"/>
        <v>267.78576681111099</v>
      </c>
      <c r="J247" s="193">
        <f t="shared" si="34"/>
        <v>235.66376080000032</v>
      </c>
      <c r="K247" s="193">
        <f t="shared" si="34"/>
        <v>274.76069546600002</v>
      </c>
      <c r="L247" s="193">
        <f t="shared" si="34"/>
        <v>259.6547562659498</v>
      </c>
      <c r="M247" s="193">
        <f t="shared" si="34"/>
        <v>265.85184112936281</v>
      </c>
      <c r="N247" s="193">
        <f t="shared" si="34"/>
        <v>308.68528279160364</v>
      </c>
      <c r="O247" s="193">
        <f t="shared" si="34"/>
        <v>330.23497536002424</v>
      </c>
    </row>
    <row r="248" spans="1:15">
      <c r="F248" s="158"/>
      <c r="H248" s="130"/>
      <c r="I248" s="130"/>
      <c r="J248" s="130"/>
      <c r="K248" s="130"/>
      <c r="L248" s="130"/>
      <c r="M248" s="130"/>
      <c r="N248" s="130"/>
      <c r="O248" s="130"/>
    </row>
    <row r="249" spans="1:15">
      <c r="C249" s="74" t="s">
        <v>55</v>
      </c>
      <c r="F249" s="158"/>
      <c r="H249" s="191">
        <f t="shared" ref="H249:O249" si="35">H378</f>
        <v>44.3</v>
      </c>
      <c r="I249" s="191">
        <f t="shared" si="35"/>
        <v>46.4</v>
      </c>
      <c r="J249" s="191">
        <f t="shared" si="35"/>
        <v>47.2</v>
      </c>
      <c r="K249" s="553">
        <f t="shared" si="35"/>
        <v>51.05</v>
      </c>
      <c r="L249" s="553">
        <f t="shared" si="35"/>
        <v>56.05</v>
      </c>
      <c r="M249" s="553">
        <f t="shared" si="35"/>
        <v>61.289000000000001</v>
      </c>
      <c r="N249" s="553">
        <f t="shared" si="35"/>
        <v>66.619779999999992</v>
      </c>
      <c r="O249" s="553">
        <f t="shared" si="35"/>
        <v>72.057175599999994</v>
      </c>
    </row>
    <row r="250" spans="1:15">
      <c r="C250" s="87" t="s">
        <v>11</v>
      </c>
      <c r="F250" s="178"/>
      <c r="H250" s="193">
        <f t="shared" ref="H250:O250" si="36">H247-H249</f>
        <v>120.86940776699016</v>
      </c>
      <c r="I250" s="193">
        <f t="shared" si="36"/>
        <v>221.38576681111098</v>
      </c>
      <c r="J250" s="193">
        <f t="shared" si="36"/>
        <v>188.46376080000033</v>
      </c>
      <c r="K250" s="193">
        <f t="shared" si="36"/>
        <v>223.710695466</v>
      </c>
      <c r="L250" s="193">
        <f t="shared" si="36"/>
        <v>203.60475626594979</v>
      </c>
      <c r="M250" s="193">
        <f t="shared" si="36"/>
        <v>204.56284112936282</v>
      </c>
      <c r="N250" s="193">
        <f t="shared" si="36"/>
        <v>242.06550279160365</v>
      </c>
      <c r="O250" s="193">
        <f t="shared" si="36"/>
        <v>258.17779976002424</v>
      </c>
    </row>
    <row r="251" spans="1:15" ht="6" customHeight="1">
      <c r="C251" s="87"/>
      <c r="F251" s="178"/>
      <c r="H251" s="133"/>
      <c r="I251" s="133"/>
      <c r="J251" s="133"/>
      <c r="K251" s="133"/>
      <c r="L251" s="133"/>
      <c r="M251" s="133"/>
      <c r="N251" s="133"/>
      <c r="O251" s="133"/>
    </row>
    <row r="252" spans="1:15" ht="13.15" customHeight="1">
      <c r="C252" s="100" t="s">
        <v>218</v>
      </c>
      <c r="F252" s="158"/>
      <c r="H252" s="138">
        <v>42.1</v>
      </c>
      <c r="I252" s="138">
        <v>40.5</v>
      </c>
      <c r="J252" s="138">
        <v>38</v>
      </c>
      <c r="K252" s="131">
        <f ca="1">K582</f>
        <v>36.530584698045672</v>
      </c>
      <c r="L252" s="131">
        <f ca="1">L582</f>
        <v>34.01324945501446</v>
      </c>
      <c r="M252" s="131">
        <f ca="1">M582</f>
        <v>32.488129776372176</v>
      </c>
      <c r="N252" s="131">
        <f ca="1">N582</f>
        <v>26.978370805954782</v>
      </c>
      <c r="O252" s="131">
        <f ca="1">O582</f>
        <v>17.565739965185635</v>
      </c>
    </row>
    <row r="253" spans="1:15" ht="13.15" customHeight="1">
      <c r="C253" s="100" t="s">
        <v>219</v>
      </c>
      <c r="F253" s="158"/>
      <c r="H253" s="138">
        <v>2.5</v>
      </c>
      <c r="I253" s="138">
        <v>2.6</v>
      </c>
      <c r="J253" s="138">
        <v>2.7</v>
      </c>
      <c r="K253" s="131">
        <f ca="1">K585</f>
        <v>2.8397565922920895</v>
      </c>
      <c r="L253" s="131">
        <f ca="1">L585</f>
        <v>2.9203987673267537</v>
      </c>
      <c r="M253" s="131">
        <f ca="1">M585</f>
        <v>3.0033309838431324</v>
      </c>
      <c r="N253" s="131">
        <f ca="1">N585</f>
        <v>0</v>
      </c>
      <c r="O253" s="131">
        <f ca="1">O585</f>
        <v>0</v>
      </c>
    </row>
    <row r="254" spans="1:15">
      <c r="C254" s="100" t="s">
        <v>352</v>
      </c>
      <c r="F254" s="158"/>
      <c r="H254" s="243">
        <f t="shared" ref="H254:O254" si="37">SUM(H252:H253)</f>
        <v>44.6</v>
      </c>
      <c r="I254" s="243">
        <f t="shared" si="37"/>
        <v>43.1</v>
      </c>
      <c r="J254" s="243">
        <f t="shared" si="37"/>
        <v>40.700000000000003</v>
      </c>
      <c r="K254" s="243">
        <f t="shared" ca="1" si="37"/>
        <v>39.370341290337763</v>
      </c>
      <c r="L254" s="243">
        <f t="shared" ca="1" si="37"/>
        <v>36.933648222341212</v>
      </c>
      <c r="M254" s="243">
        <f t="shared" ca="1" si="37"/>
        <v>35.491460760215311</v>
      </c>
      <c r="N254" s="243">
        <f t="shared" ca="1" si="37"/>
        <v>26.978370805954782</v>
      </c>
      <c r="O254" s="243">
        <f t="shared" ca="1" si="37"/>
        <v>17.565739965185635</v>
      </c>
    </row>
    <row r="255" spans="1:15" ht="6" customHeight="1">
      <c r="C255" s="100"/>
      <c r="F255" s="158"/>
      <c r="H255" s="138"/>
      <c r="I255" s="138"/>
      <c r="J255" s="138"/>
      <c r="K255" s="131"/>
      <c r="L255" s="131"/>
      <c r="M255" s="131"/>
      <c r="N255" s="131"/>
      <c r="O255" s="131"/>
    </row>
    <row r="256" spans="1:15">
      <c r="C256" s="137" t="s">
        <v>91</v>
      </c>
      <c r="F256" s="178"/>
      <c r="H256" s="193">
        <f t="shared" ref="H256:O256" si="38">H250-H254</f>
        <v>76.269407766990156</v>
      </c>
      <c r="I256" s="193">
        <f t="shared" si="38"/>
        <v>178.28576681111099</v>
      </c>
      <c r="J256" s="193">
        <f t="shared" si="38"/>
        <v>147.76376080000034</v>
      </c>
      <c r="K256" s="193">
        <f t="shared" ca="1" si="38"/>
        <v>184.34035417566224</v>
      </c>
      <c r="L256" s="193">
        <f t="shared" ca="1" si="38"/>
        <v>166.67110804360857</v>
      </c>
      <c r="M256" s="193">
        <f t="shared" ca="1" si="38"/>
        <v>169.07138036914751</v>
      </c>
      <c r="N256" s="193">
        <f t="shared" ca="1" si="38"/>
        <v>215.08713198564885</v>
      </c>
      <c r="O256" s="193">
        <f t="shared" ca="1" si="38"/>
        <v>240.61205979483861</v>
      </c>
    </row>
    <row r="257" spans="2:15" ht="6" customHeight="1">
      <c r="C257" s="87"/>
      <c r="F257" s="178"/>
      <c r="H257" s="214"/>
      <c r="I257" s="214"/>
      <c r="J257" s="214"/>
      <c r="K257" s="214"/>
      <c r="L257" s="133"/>
      <c r="M257" s="193"/>
      <c r="N257" s="193"/>
      <c r="O257" s="133"/>
    </row>
    <row r="258" spans="2:15">
      <c r="C258" s="74" t="s">
        <v>125</v>
      </c>
      <c r="F258" s="158"/>
      <c r="H258" s="138">
        <v>14.2</v>
      </c>
      <c r="I258" s="138">
        <v>35</v>
      </c>
      <c r="J258" s="138">
        <v>32.700000000000003</v>
      </c>
      <c r="K258" s="131">
        <f t="shared" ref="K258:O259" ca="1" si="39">K414</f>
        <v>29.369299169185435</v>
      </c>
      <c r="L258" s="131">
        <f t="shared" ca="1" si="39"/>
        <v>26.099110252210409</v>
      </c>
      <c r="M258" s="131">
        <f t="shared" ca="1" si="39"/>
        <v>28.164270503361305</v>
      </c>
      <c r="N258" s="131">
        <f t="shared" ca="1" si="39"/>
        <v>42.365111034985496</v>
      </c>
      <c r="O258" s="131">
        <f t="shared" ca="1" si="39"/>
        <v>50.755753058693706</v>
      </c>
    </row>
    <row r="259" spans="2:15">
      <c r="C259" s="74" t="s">
        <v>221</v>
      </c>
      <c r="F259" s="158"/>
      <c r="H259" s="190">
        <v>11</v>
      </c>
      <c r="I259" s="190">
        <v>17.2</v>
      </c>
      <c r="J259" s="190">
        <v>13.2</v>
      </c>
      <c r="K259" s="191">
        <f t="shared" ca="1" si="39"/>
        <v>22.245999999999999</v>
      </c>
      <c r="L259" s="191">
        <f t="shared" ca="1" si="39"/>
        <v>20.568799999999996</v>
      </c>
      <c r="M259" s="191">
        <f t="shared" ca="1" si="39"/>
        <v>19.175715999999998</v>
      </c>
      <c r="N259" s="554">
        <f t="shared" ca="1" si="39"/>
        <v>17.859285920000012</v>
      </c>
      <c r="O259" s="554">
        <f t="shared" ca="1" si="39"/>
        <v>16.615625230400006</v>
      </c>
    </row>
    <row r="260" spans="2:15">
      <c r="C260" s="94" t="s">
        <v>126</v>
      </c>
      <c r="F260" s="178"/>
      <c r="H260" s="139">
        <f t="shared" ref="H260:O260" si="40">SUM(H258:H259)</f>
        <v>25.2</v>
      </c>
      <c r="I260" s="139">
        <f t="shared" si="40"/>
        <v>52.2</v>
      </c>
      <c r="J260" s="139">
        <f t="shared" si="40"/>
        <v>45.900000000000006</v>
      </c>
      <c r="K260" s="139">
        <f t="shared" ca="1" si="40"/>
        <v>51.615299169185434</v>
      </c>
      <c r="L260" s="139">
        <f t="shared" ca="1" si="40"/>
        <v>46.667910252210405</v>
      </c>
      <c r="M260" s="139">
        <f t="shared" ca="1" si="40"/>
        <v>47.339986503361303</v>
      </c>
      <c r="N260" s="139">
        <f t="shared" ca="1" si="40"/>
        <v>60.224396954985508</v>
      </c>
      <c r="O260" s="139">
        <f t="shared" ca="1" si="40"/>
        <v>67.371378289093713</v>
      </c>
    </row>
    <row r="261" spans="2:15">
      <c r="F261" s="158"/>
    </row>
    <row r="262" spans="2:15" ht="13.5" thickBot="1">
      <c r="C262" s="215" t="s">
        <v>12</v>
      </c>
      <c r="D262" s="94"/>
      <c r="E262" s="94"/>
      <c r="F262" s="178"/>
      <c r="H262" s="216">
        <f t="shared" ref="H262:O262" si="41">H256-H260</f>
        <v>51.069407766990153</v>
      </c>
      <c r="I262" s="216">
        <f t="shared" si="41"/>
        <v>126.08576681111099</v>
      </c>
      <c r="J262" s="216">
        <f t="shared" si="41"/>
        <v>101.86376080000034</v>
      </c>
      <c r="K262" s="216">
        <f t="shared" ca="1" si="41"/>
        <v>132.72505500647679</v>
      </c>
      <c r="L262" s="216">
        <f t="shared" ca="1" si="41"/>
        <v>120.00319779139816</v>
      </c>
      <c r="M262" s="216">
        <f t="shared" ca="1" si="41"/>
        <v>121.7313938657862</v>
      </c>
      <c r="N262" s="216">
        <f t="shared" ca="1" si="41"/>
        <v>154.86273503066334</v>
      </c>
      <c r="O262" s="216">
        <f t="shared" ca="1" si="41"/>
        <v>173.2406815057449</v>
      </c>
    </row>
    <row r="263" spans="2:15" ht="13.5" thickTop="1">
      <c r="C263" s="217"/>
      <c r="F263" s="178"/>
      <c r="H263" s="218"/>
      <c r="I263" s="218"/>
      <c r="J263" s="218"/>
      <c r="K263" s="218"/>
      <c r="L263" s="218"/>
      <c r="M263" s="218"/>
      <c r="N263" s="218"/>
      <c r="O263" s="218"/>
    </row>
    <row r="264" spans="2:15">
      <c r="C264" s="219" t="s">
        <v>181</v>
      </c>
      <c r="F264" s="158" t="s">
        <v>153</v>
      </c>
      <c r="H264" s="138">
        <v>120.5</v>
      </c>
      <c r="I264" s="138">
        <v>121.2</v>
      </c>
      <c r="J264" s="138">
        <v>122.7</v>
      </c>
      <c r="K264" s="131">
        <f>K637</f>
        <v>122.85</v>
      </c>
      <c r="L264" s="131">
        <f>L637</f>
        <v>123.35</v>
      </c>
      <c r="M264" s="131">
        <f>M637</f>
        <v>123.6</v>
      </c>
      <c r="N264" s="131">
        <f>N637</f>
        <v>123.6</v>
      </c>
      <c r="O264" s="131">
        <f>O637</f>
        <v>123.6</v>
      </c>
    </row>
    <row r="265" spans="2:15">
      <c r="C265" s="94" t="s">
        <v>152</v>
      </c>
      <c r="F265" s="178" t="s">
        <v>276</v>
      </c>
      <c r="H265" s="220">
        <f t="shared" ref="H265:O265" si="42">H262/H264</f>
        <v>0.42381251258912989</v>
      </c>
      <c r="I265" s="220">
        <f t="shared" si="42"/>
        <v>1.0403116073524008</v>
      </c>
      <c r="J265" s="220">
        <f t="shared" si="42"/>
        <v>0.83018549959250476</v>
      </c>
      <c r="K265" s="220">
        <f t="shared" ca="1" si="42"/>
        <v>1.0803830281357494</v>
      </c>
      <c r="L265" s="220">
        <f t="shared" ca="1" si="42"/>
        <v>0.97286743243938523</v>
      </c>
      <c r="M265" s="220">
        <f t="shared" ca="1" si="42"/>
        <v>0.98488182739309227</v>
      </c>
      <c r="N265" s="220">
        <f t="shared" ca="1" si="42"/>
        <v>1.2529347494390239</v>
      </c>
      <c r="O265" s="220">
        <f t="shared" ca="1" si="42"/>
        <v>1.4016236367778714</v>
      </c>
    </row>
    <row r="266" spans="2:15">
      <c r="H266" s="162"/>
      <c r="I266" s="162"/>
      <c r="J266" s="162"/>
      <c r="K266" s="221"/>
      <c r="L266" s="221"/>
      <c r="M266" s="221"/>
      <c r="N266" s="221"/>
      <c r="O266" s="221"/>
    </row>
    <row r="267" spans="2:15">
      <c r="B267" s="102" t="s">
        <v>45</v>
      </c>
      <c r="C267" s="222"/>
      <c r="D267" s="222"/>
      <c r="E267" s="222"/>
      <c r="F267" s="223"/>
      <c r="G267" s="222"/>
      <c r="H267" s="224"/>
      <c r="I267" s="224"/>
      <c r="J267" s="224"/>
      <c r="K267" s="224"/>
      <c r="L267" s="224"/>
      <c r="M267" s="224"/>
      <c r="N267" s="224"/>
      <c r="O267" s="225"/>
    </row>
    <row r="268" spans="2:15">
      <c r="B268" s="108"/>
      <c r="C268" s="74" t="s">
        <v>46</v>
      </c>
      <c r="H268" s="226">
        <f t="shared" ref="H268:O268" si="43">H247/H240</f>
        <v>0.10589877391417009</v>
      </c>
      <c r="I268" s="226">
        <f t="shared" si="43"/>
        <v>0.15741566362467921</v>
      </c>
      <c r="J268" s="226">
        <f t="shared" si="43"/>
        <v>0.13272313043989351</v>
      </c>
      <c r="K268" s="226">
        <f t="shared" si="43"/>
        <v>0.14628335585041163</v>
      </c>
      <c r="L268" s="226">
        <f t="shared" si="43"/>
        <v>0.13553270899323852</v>
      </c>
      <c r="M268" s="226">
        <f t="shared" si="43"/>
        <v>0.13400868035799735</v>
      </c>
      <c r="N268" s="226">
        <f t="shared" si="43"/>
        <v>0.14701335845833266</v>
      </c>
      <c r="O268" s="227">
        <f t="shared" si="43"/>
        <v>0.15027659349467273</v>
      </c>
    </row>
    <row r="269" spans="2:15">
      <c r="B269" s="108"/>
      <c r="C269" s="74" t="s">
        <v>47</v>
      </c>
      <c r="F269" s="228"/>
      <c r="H269" s="226">
        <f t="shared" ref="H269:O269" si="44">H250/H240</f>
        <v>7.7495719451348949E-2</v>
      </c>
      <c r="I269" s="226">
        <f t="shared" si="44"/>
        <v>0.13013980472013473</v>
      </c>
      <c r="J269" s="226">
        <f t="shared" si="44"/>
        <v>0.10614063113878346</v>
      </c>
      <c r="K269" s="226">
        <f t="shared" si="44"/>
        <v>0.11910419434953529</v>
      </c>
      <c r="L269" s="226">
        <f t="shared" si="44"/>
        <v>0.10627613596404956</v>
      </c>
      <c r="M269" s="226">
        <f t="shared" si="44"/>
        <v>0.10311456288425472</v>
      </c>
      <c r="N269" s="226">
        <f t="shared" si="44"/>
        <v>0.11528525821013495</v>
      </c>
      <c r="O269" s="227">
        <f t="shared" si="44"/>
        <v>0.11748628449057605</v>
      </c>
    </row>
    <row r="270" spans="2:15">
      <c r="B270" s="229"/>
      <c r="C270" s="122" t="s">
        <v>172</v>
      </c>
      <c r="D270" s="122"/>
      <c r="E270" s="122"/>
      <c r="F270" s="230"/>
      <c r="G270" s="122"/>
      <c r="H270" s="231"/>
      <c r="I270" s="231"/>
      <c r="J270" s="232">
        <f t="shared" ref="J270:O270" si="45">J262/J350</f>
        <v>0.25034101941509052</v>
      </c>
      <c r="K270" s="232">
        <f t="shared" ca="1" si="45"/>
        <v>0.2521599926343796</v>
      </c>
      <c r="L270" s="232">
        <f t="shared" ca="1" si="45"/>
        <v>0.18917343903071832</v>
      </c>
      <c r="M270" s="232">
        <f t="shared" ca="1" si="45"/>
        <v>0.16363644978131864</v>
      </c>
      <c r="N270" s="232">
        <f t="shared" ca="1" si="45"/>
        <v>0.17532487613111616</v>
      </c>
      <c r="O270" s="233">
        <f t="shared" ca="1" si="45"/>
        <v>0.16670472083064372</v>
      </c>
    </row>
    <row r="271" spans="2:15">
      <c r="C271" s="234"/>
      <c r="F271" s="228"/>
      <c r="H271" s="235"/>
      <c r="I271" s="235"/>
      <c r="J271" s="235"/>
      <c r="K271" s="235"/>
      <c r="L271" s="235"/>
      <c r="M271" s="235"/>
      <c r="N271" s="235"/>
      <c r="O271" s="235"/>
    </row>
    <row r="272" spans="2:15">
      <c r="B272" s="94"/>
      <c r="F272" s="228"/>
      <c r="H272" s="162"/>
      <c r="I272" s="162"/>
      <c r="J272" s="162"/>
      <c r="K272" s="162"/>
      <c r="L272" s="162"/>
      <c r="M272" s="162"/>
      <c r="N272" s="162"/>
      <c r="O272" s="162"/>
    </row>
    <row r="273" spans="2:15">
      <c r="B273" s="94"/>
      <c r="F273" s="228"/>
      <c r="H273" s="162"/>
      <c r="I273" s="162"/>
      <c r="J273" s="162"/>
      <c r="K273" s="162"/>
      <c r="L273" s="162"/>
      <c r="M273" s="162"/>
      <c r="N273" s="162"/>
      <c r="O273" s="162"/>
    </row>
    <row r="274" spans="2:15" ht="12.75" customHeight="1">
      <c r="B274" s="71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3" t="str">
        <f>$O$139</f>
        <v>CURRENTLY RUNNING: BASE CASE SCENARIO</v>
      </c>
    </row>
    <row r="275" spans="2:15" ht="22.5">
      <c r="B275" s="71" t="str">
        <f>B$140</f>
        <v>Windsol Manufacturing</v>
      </c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</row>
    <row r="276" spans="2:15" ht="18.75">
      <c r="B276" s="75" t="s">
        <v>58</v>
      </c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</row>
    <row r="277" spans="2:15" ht="6" customHeight="1" thickBot="1">
      <c r="B277" s="125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</row>
    <row r="278" spans="2:15">
      <c r="B278" s="78" t="s">
        <v>268</v>
      </c>
      <c r="F278" s="74"/>
    </row>
    <row r="279" spans="2:15" ht="13.5">
      <c r="F279" s="74"/>
      <c r="K279" s="80" t="s">
        <v>6</v>
      </c>
      <c r="L279" s="81"/>
      <c r="M279" s="81"/>
      <c r="N279" s="81"/>
      <c r="O279" s="81"/>
    </row>
    <row r="280" spans="2:15">
      <c r="B280" s="126"/>
      <c r="F280" s="127"/>
      <c r="G280" s="128"/>
      <c r="H280" s="129">
        <f>H145</f>
        <v>2016</v>
      </c>
      <c r="I280" s="129">
        <f>I145</f>
        <v>2017</v>
      </c>
      <c r="J280" s="546">
        <f>J145</f>
        <v>2018</v>
      </c>
      <c r="K280" s="86">
        <f>K$145</f>
        <v>2019</v>
      </c>
      <c r="L280" s="86">
        <f>L$145</f>
        <v>2020</v>
      </c>
      <c r="M280" s="86">
        <f>M$145</f>
        <v>2021</v>
      </c>
      <c r="N280" s="86">
        <f>N$145</f>
        <v>2022</v>
      </c>
      <c r="O280" s="86">
        <f>O$145</f>
        <v>2023</v>
      </c>
    </row>
    <row r="281" spans="2:15">
      <c r="B281" s="94" t="s">
        <v>14</v>
      </c>
      <c r="F281" s="74"/>
    </row>
    <row r="282" spans="2:15">
      <c r="C282" s="74" t="s">
        <v>12</v>
      </c>
      <c r="F282" s="74"/>
      <c r="G282" s="130"/>
      <c r="H282" s="131">
        <f t="shared" ref="H282:O282" si="46">H262</f>
        <v>51.069407766990153</v>
      </c>
      <c r="I282" s="131">
        <f t="shared" si="46"/>
        <v>126.08576681111099</v>
      </c>
      <c r="J282" s="131">
        <f t="shared" si="46"/>
        <v>101.86376080000034</v>
      </c>
      <c r="K282" s="131">
        <f t="shared" ca="1" si="46"/>
        <v>132.72505500647679</v>
      </c>
      <c r="L282" s="131">
        <f t="shared" ca="1" si="46"/>
        <v>120.00319779139816</v>
      </c>
      <c r="M282" s="131">
        <f t="shared" ca="1" si="46"/>
        <v>121.7313938657862</v>
      </c>
      <c r="N282" s="131">
        <f t="shared" ca="1" si="46"/>
        <v>154.86273503066334</v>
      </c>
      <c r="O282" s="131">
        <f t="shared" ca="1" si="46"/>
        <v>173.2406815057449</v>
      </c>
    </row>
    <row r="283" spans="2:15">
      <c r="C283" s="74" t="s">
        <v>10</v>
      </c>
      <c r="F283" s="74"/>
      <c r="G283" s="130"/>
      <c r="H283" s="131">
        <f t="shared" ref="H283:O283" si="47">H249</f>
        <v>44.3</v>
      </c>
      <c r="I283" s="131">
        <f t="shared" si="47"/>
        <v>46.4</v>
      </c>
      <c r="J283" s="131">
        <f t="shared" si="47"/>
        <v>47.2</v>
      </c>
      <c r="K283" s="131">
        <f t="shared" si="47"/>
        <v>51.05</v>
      </c>
      <c r="L283" s="131">
        <f t="shared" si="47"/>
        <v>56.05</v>
      </c>
      <c r="M283" s="131">
        <f t="shared" si="47"/>
        <v>61.289000000000001</v>
      </c>
      <c r="N283" s="131">
        <f t="shared" si="47"/>
        <v>66.619779999999992</v>
      </c>
      <c r="O283" s="131">
        <f t="shared" si="47"/>
        <v>72.057175599999994</v>
      </c>
    </row>
    <row r="284" spans="2:15">
      <c r="C284" s="74" t="s">
        <v>219</v>
      </c>
      <c r="F284" s="74"/>
      <c r="G284" s="130"/>
      <c r="H284" s="131">
        <f t="shared" ref="H284:O284" si="48">H253</f>
        <v>2.5</v>
      </c>
      <c r="I284" s="131">
        <f t="shared" si="48"/>
        <v>2.6</v>
      </c>
      <c r="J284" s="131">
        <f t="shared" si="48"/>
        <v>2.7</v>
      </c>
      <c r="K284" s="131">
        <f t="shared" ca="1" si="48"/>
        <v>2.8397565922920895</v>
      </c>
      <c r="L284" s="131">
        <f t="shared" ca="1" si="48"/>
        <v>2.9203987673267537</v>
      </c>
      <c r="M284" s="131">
        <f t="shared" ca="1" si="48"/>
        <v>3.0033309838431324</v>
      </c>
      <c r="N284" s="131">
        <f t="shared" ca="1" si="48"/>
        <v>0</v>
      </c>
      <c r="O284" s="131">
        <f t="shared" ca="1" si="48"/>
        <v>0</v>
      </c>
    </row>
    <row r="285" spans="2:15">
      <c r="C285" s="74" t="s">
        <v>221</v>
      </c>
      <c r="F285" s="74"/>
      <c r="G285" s="130"/>
      <c r="H285" s="131">
        <f t="shared" ref="H285:O285" si="49">H259</f>
        <v>11</v>
      </c>
      <c r="I285" s="131">
        <f t="shared" si="49"/>
        <v>17.2</v>
      </c>
      <c r="J285" s="131">
        <f t="shared" si="49"/>
        <v>13.2</v>
      </c>
      <c r="K285" s="131">
        <f t="shared" ca="1" si="49"/>
        <v>22.245999999999999</v>
      </c>
      <c r="L285" s="131">
        <f t="shared" ca="1" si="49"/>
        <v>20.568799999999996</v>
      </c>
      <c r="M285" s="131">
        <f t="shared" ca="1" si="49"/>
        <v>19.175715999999998</v>
      </c>
      <c r="N285" s="131">
        <f t="shared" ca="1" si="49"/>
        <v>17.859285920000012</v>
      </c>
      <c r="O285" s="131">
        <f t="shared" ca="1" si="49"/>
        <v>16.615625230400006</v>
      </c>
    </row>
    <row r="286" spans="2:15">
      <c r="C286" s="74" t="s">
        <v>173</v>
      </c>
      <c r="F286" s="74"/>
      <c r="G286" s="132"/>
      <c r="H286" s="191">
        <f t="shared" ref="H286:O286" si="50">H455</f>
        <v>0</v>
      </c>
      <c r="I286" s="191">
        <f t="shared" si="50"/>
        <v>0</v>
      </c>
      <c r="J286" s="191">
        <f t="shared" si="50"/>
        <v>0</v>
      </c>
      <c r="K286" s="191">
        <f t="shared" si="50"/>
        <v>-10.368229941134302</v>
      </c>
      <c r="L286" s="191">
        <f t="shared" si="50"/>
        <v>9.5572492967096991</v>
      </c>
      <c r="M286" s="191">
        <f t="shared" si="50"/>
        <v>6.6315738273962666</v>
      </c>
      <c r="N286" s="191">
        <f t="shared" si="50"/>
        <v>-10.965215048258557</v>
      </c>
      <c r="O286" s="191">
        <f t="shared" si="50"/>
        <v>-4.6494673494278231</v>
      </c>
    </row>
    <row r="287" spans="2:15">
      <c r="C287" s="87" t="s">
        <v>16</v>
      </c>
      <c r="F287" s="74"/>
      <c r="G287" s="133"/>
      <c r="H287" s="193">
        <f t="shared" ref="H287:O287" si="51">SUM(H282:H286)</f>
        <v>108.86940776699015</v>
      </c>
      <c r="I287" s="193">
        <f t="shared" si="51"/>
        <v>192.28576681111096</v>
      </c>
      <c r="J287" s="193">
        <f t="shared" si="51"/>
        <v>164.96376080000033</v>
      </c>
      <c r="K287" s="193">
        <f t="shared" ca="1" si="51"/>
        <v>198.49258165763459</v>
      </c>
      <c r="L287" s="193">
        <f t="shared" ca="1" si="51"/>
        <v>209.09964585543463</v>
      </c>
      <c r="M287" s="193">
        <f t="shared" ca="1" si="51"/>
        <v>211.83101467702562</v>
      </c>
      <c r="N287" s="193">
        <f t="shared" ca="1" si="51"/>
        <v>228.3765859024048</v>
      </c>
      <c r="O287" s="193">
        <f t="shared" ca="1" si="51"/>
        <v>257.26401498671709</v>
      </c>
    </row>
    <row r="288" spans="2:15">
      <c r="B288" s="99"/>
      <c r="F288" s="74"/>
      <c r="G288" s="162"/>
      <c r="H288" s="162"/>
      <c r="I288" s="162"/>
      <c r="J288" s="162"/>
      <c r="K288" s="162"/>
      <c r="L288" s="162"/>
      <c r="M288" s="162"/>
      <c r="N288" s="162"/>
      <c r="O288" s="162"/>
    </row>
    <row r="289" spans="1:16">
      <c r="B289" s="99"/>
      <c r="F289" s="74"/>
      <c r="G289" s="162"/>
      <c r="H289" s="162"/>
      <c r="I289" s="162"/>
      <c r="J289" s="162"/>
      <c r="K289" s="162"/>
      <c r="L289" s="162"/>
      <c r="M289" s="162"/>
      <c r="N289" s="162"/>
      <c r="O289" s="162"/>
    </row>
    <row r="290" spans="1:16">
      <c r="B290" s="94" t="s">
        <v>139</v>
      </c>
      <c r="F290" s="74"/>
      <c r="G290" s="162"/>
      <c r="H290" s="132"/>
      <c r="I290" s="132"/>
      <c r="J290" s="132"/>
      <c r="K290" s="130"/>
      <c r="L290" s="130"/>
      <c r="M290" s="130"/>
      <c r="N290" s="130"/>
      <c r="O290" s="130"/>
    </row>
    <row r="291" spans="1:16">
      <c r="C291" s="74" t="s">
        <v>69</v>
      </c>
      <c r="H291" s="138">
        <v>-82.5</v>
      </c>
      <c r="I291" s="138">
        <v>-90.6</v>
      </c>
      <c r="J291" s="138">
        <v>-101.3</v>
      </c>
      <c r="K291" s="131">
        <f>H60 * - 1</f>
        <v>-120</v>
      </c>
      <c r="L291" s="131">
        <f t="shared" ref="L291:O291" si="52">I60 * - 1</f>
        <v>-130</v>
      </c>
      <c r="M291" s="131">
        <f t="shared" si="52"/>
        <v>-131.94999999999999</v>
      </c>
      <c r="N291" s="131">
        <f t="shared" si="52"/>
        <v>-134.589</v>
      </c>
      <c r="O291" s="131">
        <f t="shared" si="52"/>
        <v>-137.28077999999999</v>
      </c>
    </row>
    <row r="292" spans="1:16">
      <c r="C292" s="74" t="s">
        <v>15</v>
      </c>
      <c r="H292" s="138">
        <v>0</v>
      </c>
      <c r="I292" s="138">
        <v>0</v>
      </c>
      <c r="J292" s="138">
        <v>0</v>
      </c>
      <c r="K292" s="131">
        <f>J292</f>
        <v>0</v>
      </c>
      <c r="L292" s="131">
        <f>K292</f>
        <v>0</v>
      </c>
      <c r="M292" s="131">
        <f>L292</f>
        <v>0</v>
      </c>
      <c r="N292" s="131">
        <f>M292</f>
        <v>0</v>
      </c>
      <c r="O292" s="131">
        <f>N292</f>
        <v>0</v>
      </c>
    </row>
    <row r="293" spans="1:16">
      <c r="A293" s="94"/>
      <c r="C293" s="94" t="s">
        <v>140</v>
      </c>
      <c r="F293" s="74"/>
      <c r="G293" s="133"/>
      <c r="H293" s="236">
        <f t="shared" ref="H293:O293" si="53">SUM(H291:H292)</f>
        <v>-82.5</v>
      </c>
      <c r="I293" s="236">
        <f t="shared" si="53"/>
        <v>-90.6</v>
      </c>
      <c r="J293" s="236">
        <f t="shared" si="53"/>
        <v>-101.3</v>
      </c>
      <c r="K293" s="236">
        <f t="shared" si="53"/>
        <v>-120</v>
      </c>
      <c r="L293" s="236">
        <f t="shared" si="53"/>
        <v>-130</v>
      </c>
      <c r="M293" s="236">
        <f t="shared" si="53"/>
        <v>-131.94999999999999</v>
      </c>
      <c r="N293" s="236">
        <f t="shared" si="53"/>
        <v>-134.589</v>
      </c>
      <c r="O293" s="236">
        <f t="shared" si="53"/>
        <v>-137.28077999999999</v>
      </c>
    </row>
    <row r="294" spans="1:16">
      <c r="A294" s="94"/>
      <c r="B294" s="137"/>
      <c r="F294" s="74"/>
      <c r="G294" s="133"/>
      <c r="H294" s="134"/>
      <c r="I294" s="134"/>
      <c r="J294" s="237"/>
      <c r="K294" s="238"/>
      <c r="L294" s="238"/>
      <c r="M294" s="238"/>
      <c r="N294" s="238"/>
      <c r="O294" s="238"/>
    </row>
    <row r="295" spans="1:16">
      <c r="A295" s="94"/>
      <c r="B295" s="137"/>
      <c r="F295" s="74"/>
      <c r="G295" s="133"/>
      <c r="H295" s="134"/>
      <c r="I295" s="134"/>
      <c r="J295" s="134"/>
      <c r="K295" s="238"/>
      <c r="L295" s="238"/>
      <c r="M295" s="238"/>
      <c r="N295" s="238"/>
      <c r="O295" s="238"/>
    </row>
    <row r="296" spans="1:16">
      <c r="A296" s="94"/>
      <c r="B296" s="137" t="s">
        <v>89</v>
      </c>
      <c r="F296" s="74"/>
      <c r="G296" s="133"/>
      <c r="H296" s="133"/>
      <c r="I296" s="133"/>
      <c r="J296" s="133"/>
      <c r="K296" s="429"/>
      <c r="L296" s="429"/>
      <c r="M296" s="429"/>
      <c r="N296" s="429"/>
      <c r="O296" s="429"/>
    </row>
    <row r="297" spans="1:16">
      <c r="A297" s="94"/>
      <c r="B297" s="137"/>
      <c r="C297" s="74" t="s">
        <v>178</v>
      </c>
      <c r="F297" s="74"/>
      <c r="G297" s="133"/>
      <c r="H297" s="133"/>
      <c r="I297" s="133"/>
      <c r="J297" s="133"/>
      <c r="K297" s="517">
        <f ca="1">K490</f>
        <v>-10</v>
      </c>
      <c r="L297" s="517">
        <f ca="1">L490</f>
        <v>0</v>
      </c>
      <c r="M297" s="517">
        <f ca="1">M490</f>
        <v>0</v>
      </c>
      <c r="N297" s="517">
        <f ca="1">N490</f>
        <v>227.23489647539174</v>
      </c>
      <c r="O297" s="517">
        <f ca="1">O490</f>
        <v>-102.65916302809899</v>
      </c>
      <c r="P297" s="556"/>
    </row>
    <row r="298" spans="1:16">
      <c r="A298" s="94"/>
      <c r="B298" s="137"/>
      <c r="C298" s="74" t="s">
        <v>179</v>
      </c>
      <c r="F298" s="74"/>
      <c r="G298" s="133"/>
      <c r="H298" s="133"/>
      <c r="I298" s="133"/>
      <c r="J298" s="133"/>
      <c r="K298" s="548">
        <f>K501</f>
        <v>-45</v>
      </c>
      <c r="L298" s="548">
        <f t="shared" ref="L298:O298" si="54">L501</f>
        <v>-39</v>
      </c>
      <c r="M298" s="548">
        <f t="shared" si="54"/>
        <v>-36</v>
      </c>
      <c r="N298" s="548">
        <f t="shared" si="54"/>
        <v>-30</v>
      </c>
      <c r="O298" s="548">
        <f t="shared" si="54"/>
        <v>0</v>
      </c>
    </row>
    <row r="299" spans="1:16">
      <c r="A299" s="94"/>
      <c r="B299" s="137"/>
      <c r="C299" s="74" t="s">
        <v>220</v>
      </c>
      <c r="F299" s="74"/>
      <c r="G299" s="133"/>
      <c r="H299" s="133"/>
      <c r="I299" s="133"/>
      <c r="J299" s="133"/>
      <c r="K299" s="131">
        <f>K524</f>
        <v>0</v>
      </c>
      <c r="L299" s="131">
        <f>L524</f>
        <v>0</v>
      </c>
      <c r="M299" s="131">
        <f>M524</f>
        <v>0</v>
      </c>
      <c r="N299" s="131">
        <f ca="1">N524</f>
        <v>-108.76348634346198</v>
      </c>
      <c r="O299" s="131">
        <f>O524</f>
        <v>0</v>
      </c>
    </row>
    <row r="300" spans="1:16">
      <c r="A300" s="94"/>
      <c r="B300" s="137"/>
      <c r="C300" s="74" t="s">
        <v>244</v>
      </c>
      <c r="F300" s="74"/>
      <c r="G300" s="133"/>
      <c r="H300" s="133"/>
      <c r="I300" s="133"/>
      <c r="J300" s="133"/>
      <c r="K300" s="548">
        <f>K538 + K546</f>
        <v>0</v>
      </c>
      <c r="L300" s="548">
        <f t="shared" ref="L300:O300" si="55">L538 + L546</f>
        <v>0</v>
      </c>
      <c r="M300" s="548">
        <f t="shared" si="55"/>
        <v>0</v>
      </c>
      <c r="N300" s="548">
        <f t="shared" si="55"/>
        <v>-300</v>
      </c>
      <c r="O300" s="548">
        <f t="shared" si="55"/>
        <v>-200</v>
      </c>
    </row>
    <row r="301" spans="1:16">
      <c r="A301" s="94"/>
      <c r="B301" s="137"/>
      <c r="C301" s="74" t="s">
        <v>245</v>
      </c>
      <c r="F301" s="74"/>
      <c r="G301" s="133"/>
      <c r="H301" s="133"/>
      <c r="I301" s="133"/>
      <c r="J301" s="133"/>
      <c r="K301" s="131">
        <f>SUM(K554:K557)</f>
        <v>0</v>
      </c>
      <c r="L301" s="131">
        <f>SUM(L554:L557)</f>
        <v>0</v>
      </c>
      <c r="M301" s="131">
        <f>SUM(M554:M557)</f>
        <v>0</v>
      </c>
      <c r="N301" s="131">
        <f ca="1">SUM(N554:N557)</f>
        <v>0</v>
      </c>
      <c r="O301" s="131">
        <f>SUM(O554:O557)</f>
        <v>200</v>
      </c>
    </row>
    <row r="302" spans="1:16">
      <c r="A302" s="94"/>
      <c r="B302" s="137"/>
      <c r="C302" s="74" t="s">
        <v>163</v>
      </c>
      <c r="F302" s="74"/>
      <c r="G302" s="133"/>
      <c r="H302" s="133"/>
      <c r="I302" s="133"/>
      <c r="J302" s="133"/>
      <c r="K302" s="131">
        <f>K613</f>
        <v>0</v>
      </c>
      <c r="L302" s="131">
        <f>L613</f>
        <v>0</v>
      </c>
      <c r="M302" s="131">
        <f>M613</f>
        <v>0</v>
      </c>
      <c r="N302" s="131">
        <f>N613</f>
        <v>0</v>
      </c>
      <c r="O302" s="131">
        <f>O613</f>
        <v>0</v>
      </c>
    </row>
    <row r="303" spans="1:16">
      <c r="A303" s="94"/>
      <c r="B303" s="137"/>
      <c r="C303" s="74" t="s">
        <v>164</v>
      </c>
      <c r="F303" s="74"/>
      <c r="G303" s="133"/>
      <c r="H303" s="133"/>
      <c r="I303" s="133"/>
      <c r="J303" s="133"/>
      <c r="K303" s="548">
        <f ca="1">K618 * - 1</f>
        <v>-13.27250550064768</v>
      </c>
      <c r="L303" s="548">
        <f t="shared" ref="L303:O303" ca="1" si="56">L618 * - 1</f>
        <v>-12.000319779139817</v>
      </c>
      <c r="M303" s="548">
        <f t="shared" ca="1" si="56"/>
        <v>-12.173139386578621</v>
      </c>
      <c r="N303" s="548">
        <f t="shared" ca="1" si="56"/>
        <v>-15.486273499425176</v>
      </c>
      <c r="O303" s="548">
        <f t="shared" ca="1" si="56"/>
        <v>-17.324068542288117</v>
      </c>
    </row>
    <row r="304" spans="1:16">
      <c r="A304" s="94"/>
      <c r="B304" s="137"/>
      <c r="C304" s="94" t="s">
        <v>141</v>
      </c>
      <c r="F304" s="74"/>
      <c r="G304" s="133"/>
      <c r="H304" s="133"/>
      <c r="I304" s="133"/>
      <c r="J304" s="133"/>
      <c r="K304" s="236">
        <f ca="1">SUM(K297:K303)</f>
        <v>-68.272505500647682</v>
      </c>
      <c r="L304" s="236">
        <f ca="1">SUM(L297:L303)</f>
        <v>-51.000319779139815</v>
      </c>
      <c r="M304" s="236">
        <f ca="1">SUM(M297:M303)</f>
        <v>-48.173139386578619</v>
      </c>
      <c r="N304" s="236">
        <f ca="1">SUM(N297:N303)</f>
        <v>-227.01486336749542</v>
      </c>
      <c r="O304" s="236">
        <f ca="1">SUM(O297:O303)</f>
        <v>-119.9832315703871</v>
      </c>
    </row>
    <row r="305" spans="1:15">
      <c r="A305" s="94"/>
      <c r="B305" s="137"/>
      <c r="F305" s="74"/>
      <c r="G305" s="133"/>
      <c r="H305" s="133"/>
      <c r="I305" s="133"/>
      <c r="J305" s="133"/>
      <c r="K305" s="133"/>
      <c r="L305" s="133"/>
      <c r="M305" s="133"/>
      <c r="N305" s="133"/>
      <c r="O305" s="133"/>
    </row>
    <row r="306" spans="1:15">
      <c r="A306" s="94"/>
      <c r="C306" s="87"/>
      <c r="F306" s="74"/>
      <c r="G306" s="133"/>
      <c r="H306" s="133"/>
      <c r="I306" s="133"/>
      <c r="J306" s="133"/>
      <c r="K306" s="133"/>
      <c r="L306" s="133"/>
      <c r="M306" s="133"/>
      <c r="N306" s="133"/>
      <c r="O306" s="133"/>
    </row>
    <row r="307" spans="1:15">
      <c r="A307" s="94"/>
      <c r="B307" s="239" t="s">
        <v>70</v>
      </c>
      <c r="C307" s="240"/>
      <c r="D307" s="222"/>
      <c r="E307" s="222"/>
      <c r="F307" s="222"/>
      <c r="G307" s="241"/>
      <c r="H307" s="242"/>
      <c r="I307" s="242"/>
      <c r="J307" s="242"/>
      <c r="K307" s="243">
        <f ca="1">K304+K293+K287</f>
        <v>10.220076156986892</v>
      </c>
      <c r="L307" s="243">
        <f ca="1">L304+L293+L287</f>
        <v>28.099326076294801</v>
      </c>
      <c r="M307" s="243">
        <f ca="1">M304+M293+M287</f>
        <v>31.707875290447021</v>
      </c>
      <c r="N307" s="243">
        <f ca="1">N304+N293+N287</f>
        <v>-133.22727746509062</v>
      </c>
      <c r="O307" s="244">
        <f ca="1">O304+O293+O287</f>
        <v>3.4163300028922094E-6</v>
      </c>
    </row>
    <row r="308" spans="1:15">
      <c r="A308" s="94"/>
      <c r="B308" s="108" t="s">
        <v>71</v>
      </c>
      <c r="C308" s="87"/>
      <c r="F308" s="74"/>
      <c r="G308" s="133"/>
      <c r="H308" s="133"/>
      <c r="I308" s="133"/>
      <c r="J308" s="133"/>
      <c r="K308" s="245">
        <f>J309</f>
        <v>73.2</v>
      </c>
      <c r="L308" s="245">
        <f ca="1">K309</f>
        <v>83.420076156986894</v>
      </c>
      <c r="M308" s="245">
        <f ca="1">L309</f>
        <v>111.5194022332817</v>
      </c>
      <c r="N308" s="245">
        <f ca="1">M309</f>
        <v>143.22727752372873</v>
      </c>
      <c r="O308" s="246">
        <f ca="1">N309</f>
        <v>9.999999828812804</v>
      </c>
    </row>
    <row r="309" spans="1:15">
      <c r="A309" s="94"/>
      <c r="B309" s="247" t="s">
        <v>72</v>
      </c>
      <c r="C309" s="200"/>
      <c r="D309" s="122"/>
      <c r="E309" s="122"/>
      <c r="F309" s="122"/>
      <c r="G309" s="141"/>
      <c r="H309" s="248"/>
      <c r="I309" s="248"/>
      <c r="J309" s="191">
        <f>J323</f>
        <v>73.2</v>
      </c>
      <c r="K309" s="191">
        <f ca="1">K308+K307</f>
        <v>83.420076156986894</v>
      </c>
      <c r="L309" s="191">
        <f ca="1">L308+L307</f>
        <v>111.5194022332817</v>
      </c>
      <c r="M309" s="191">
        <f ca="1">M308+M307</f>
        <v>143.22727752372873</v>
      </c>
      <c r="N309" s="191">
        <f ca="1">N308+N307</f>
        <v>10.000000058638108</v>
      </c>
      <c r="O309" s="249">
        <f ca="1">O308+O307</f>
        <v>10.000003245142807</v>
      </c>
    </row>
    <row r="310" spans="1:15">
      <c r="A310" s="94"/>
      <c r="B310" s="100"/>
      <c r="C310" s="87"/>
      <c r="F310" s="74"/>
      <c r="G310" s="133"/>
      <c r="H310" s="130"/>
      <c r="I310" s="130"/>
      <c r="J310" s="130"/>
      <c r="K310" s="130"/>
      <c r="L310" s="130"/>
      <c r="M310" s="130"/>
      <c r="N310" s="130"/>
      <c r="O310" s="130"/>
    </row>
    <row r="311" spans="1:15"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</row>
    <row r="312" spans="1:15">
      <c r="F312" s="74"/>
    </row>
    <row r="313" spans="1:15">
      <c r="F313" s="74"/>
    </row>
    <row r="314" spans="1:15" ht="12.75" customHeight="1">
      <c r="B314" s="71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3" t="str">
        <f>$O$139</f>
        <v>CURRENTLY RUNNING: BASE CASE SCENARIO</v>
      </c>
    </row>
    <row r="315" spans="1:15" ht="22.5">
      <c r="B315" s="71" t="str">
        <f>B$140</f>
        <v>Windsol Manufacturing</v>
      </c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</row>
    <row r="316" spans="1:15" ht="18.75">
      <c r="B316" s="75" t="s">
        <v>142</v>
      </c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</row>
    <row r="317" spans="1:15" ht="6" customHeight="1" thickBot="1">
      <c r="B317" s="125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</row>
    <row r="318" spans="1:15">
      <c r="B318" s="78" t="s">
        <v>268</v>
      </c>
      <c r="F318" s="74"/>
      <c r="O318" s="100"/>
    </row>
    <row r="319" spans="1:15" ht="13.5">
      <c r="F319" s="74"/>
      <c r="H319" s="79"/>
      <c r="I319" s="79"/>
      <c r="J319" s="79"/>
      <c r="K319" s="80" t="s">
        <v>6</v>
      </c>
      <c r="L319" s="81"/>
      <c r="M319" s="81"/>
      <c r="N319" s="81"/>
      <c r="O319" s="81"/>
    </row>
    <row r="320" spans="1:15">
      <c r="B320" s="250"/>
      <c r="F320" s="86"/>
      <c r="G320" s="128"/>
      <c r="H320" s="129"/>
      <c r="I320" s="129"/>
      <c r="J320" s="469">
        <f>J145</f>
        <v>2018</v>
      </c>
      <c r="K320" s="86">
        <f>K$145</f>
        <v>2019</v>
      </c>
      <c r="L320" s="86">
        <f>L$145</f>
        <v>2020</v>
      </c>
      <c r="M320" s="86">
        <f>M$145</f>
        <v>2021</v>
      </c>
      <c r="N320" s="86">
        <f>N$145</f>
        <v>2022</v>
      </c>
      <c r="O320" s="86">
        <f>O$145</f>
        <v>2023</v>
      </c>
    </row>
    <row r="321" spans="2:17">
      <c r="B321" s="250"/>
      <c r="F321" s="74"/>
      <c r="G321" s="128"/>
      <c r="H321" s="86"/>
      <c r="I321" s="86"/>
      <c r="J321" s="86"/>
      <c r="K321" s="86"/>
      <c r="L321" s="86"/>
      <c r="M321" s="86"/>
      <c r="N321" s="86"/>
      <c r="O321" s="86"/>
    </row>
    <row r="322" spans="2:17">
      <c r="B322" s="94" t="s">
        <v>17</v>
      </c>
      <c r="F322" s="74"/>
    </row>
    <row r="323" spans="2:17">
      <c r="C323" s="74" t="s">
        <v>18</v>
      </c>
      <c r="F323" s="158"/>
      <c r="G323" s="132"/>
      <c r="H323" s="132"/>
      <c r="I323" s="132"/>
      <c r="J323" s="138">
        <v>73.2</v>
      </c>
      <c r="K323" s="131">
        <f ca="1">K309</f>
        <v>83.420076156986894</v>
      </c>
      <c r="L323" s="131">
        <f ca="1">L309</f>
        <v>111.5194022332817</v>
      </c>
      <c r="M323" s="548">
        <f ca="1">M309</f>
        <v>143.22727752372873</v>
      </c>
      <c r="N323" s="548">
        <f ca="1">N309</f>
        <v>10.000000058638108</v>
      </c>
      <c r="O323" s="548">
        <f ca="1">O309</f>
        <v>10.000003245142807</v>
      </c>
    </row>
    <row r="324" spans="2:17">
      <c r="C324" s="74" t="s">
        <v>19</v>
      </c>
      <c r="F324" s="158"/>
      <c r="G324" s="132"/>
      <c r="H324" s="132"/>
      <c r="I324" s="132"/>
      <c r="J324" s="138">
        <v>144.19999999999999</v>
      </c>
      <c r="K324" s="548">
        <f>K450</f>
        <v>149.23298487812056</v>
      </c>
      <c r="L324" s="548">
        <f t="shared" ref="L324:O324" si="57">L450</f>
        <v>146.5646074746497</v>
      </c>
      <c r="M324" s="548">
        <f t="shared" si="57"/>
        <v>146.74984171884282</v>
      </c>
      <c r="N324" s="548">
        <f t="shared" si="57"/>
        <v>155.32094521883255</v>
      </c>
      <c r="O324" s="548">
        <f t="shared" si="57"/>
        <v>162.55585833422731</v>
      </c>
    </row>
    <row r="325" spans="2:17">
      <c r="C325" s="74" t="s">
        <v>20</v>
      </c>
      <c r="F325" s="158"/>
      <c r="G325" s="132"/>
      <c r="H325" s="132"/>
      <c r="I325" s="132"/>
      <c r="J325" s="138">
        <v>199.3</v>
      </c>
      <c r="K325" s="131">
        <f>K451</f>
        <v>235.69395208767122</v>
      </c>
      <c r="L325" s="131">
        <f>L451</f>
        <v>238.29698414271911</v>
      </c>
      <c r="M325" s="131">
        <f>M451</f>
        <v>243.22811542547046</v>
      </c>
      <c r="N325" s="131">
        <f>N451</f>
        <v>253.60259880130192</v>
      </c>
      <c r="O325" s="131">
        <f>O451</f>
        <v>259.34997953680528</v>
      </c>
    </row>
    <row r="326" spans="2:17">
      <c r="C326" s="100" t="s">
        <v>15</v>
      </c>
      <c r="F326" s="158"/>
      <c r="G326" s="132"/>
      <c r="H326" s="132"/>
      <c r="I326" s="132"/>
      <c r="J326" s="190">
        <v>10.3</v>
      </c>
      <c r="K326" s="191">
        <f>J326</f>
        <v>10.3</v>
      </c>
      <c r="L326" s="191">
        <f>K326</f>
        <v>10.3</v>
      </c>
      <c r="M326" s="191">
        <f>L326</f>
        <v>10.3</v>
      </c>
      <c r="N326" s="191">
        <f>M326</f>
        <v>10.3</v>
      </c>
      <c r="O326" s="191">
        <f>N326</f>
        <v>10.3</v>
      </c>
    </row>
    <row r="327" spans="2:17">
      <c r="C327" s="87" t="s">
        <v>21</v>
      </c>
      <c r="F327" s="178"/>
      <c r="G327" s="130"/>
      <c r="H327" s="130"/>
      <c r="I327" s="130"/>
      <c r="J327" s="131">
        <f t="shared" ref="J327:O327" si="58">SUM(J323:J326)</f>
        <v>427</v>
      </c>
      <c r="K327" s="131">
        <f t="shared" ca="1" si="58"/>
        <v>478.64701312277867</v>
      </c>
      <c r="L327" s="131">
        <f t="shared" ca="1" si="58"/>
        <v>506.68099385065051</v>
      </c>
      <c r="M327" s="131">
        <f t="shared" ca="1" si="58"/>
        <v>543.50523466804202</v>
      </c>
      <c r="N327" s="131">
        <f t="shared" ca="1" si="58"/>
        <v>429.22354407877259</v>
      </c>
      <c r="O327" s="131">
        <f t="shared" ca="1" si="58"/>
        <v>442.20584111617541</v>
      </c>
    </row>
    <row r="328" spans="2:17">
      <c r="F328" s="130"/>
      <c r="G328" s="130"/>
      <c r="H328" s="130"/>
      <c r="I328" s="130"/>
      <c r="J328" s="251"/>
      <c r="K328" s="251"/>
      <c r="L328" s="251"/>
      <c r="M328" s="251"/>
      <c r="N328" s="251"/>
      <c r="O328" s="251"/>
    </row>
    <row r="329" spans="2:17">
      <c r="C329" s="74" t="s">
        <v>22</v>
      </c>
      <c r="F329" s="158"/>
      <c r="G329" s="132"/>
      <c r="H329" s="132"/>
      <c r="I329" s="132"/>
      <c r="J329" s="138">
        <v>973</v>
      </c>
      <c r="K329" s="131">
        <f>J329-K283-K291</f>
        <v>1041.95</v>
      </c>
      <c r="L329" s="131">
        <f t="shared" ref="L329:O329" si="59">K329-L283-L291</f>
        <v>1115.9000000000001</v>
      </c>
      <c r="M329" s="131">
        <f t="shared" si="59"/>
        <v>1186.5610000000001</v>
      </c>
      <c r="N329" s="131">
        <f t="shared" si="59"/>
        <v>1254.5302200000001</v>
      </c>
      <c r="O329" s="131">
        <f t="shared" si="59"/>
        <v>1319.7538244000002</v>
      </c>
    </row>
    <row r="330" spans="2:17">
      <c r="C330" s="100" t="s">
        <v>15</v>
      </c>
      <c r="F330" s="158"/>
      <c r="G330" s="132"/>
      <c r="H330" s="132"/>
      <c r="I330" s="132"/>
      <c r="J330" s="138">
        <v>16</v>
      </c>
      <c r="K330" s="131">
        <f>J330</f>
        <v>16</v>
      </c>
      <c r="L330" s="131">
        <f>K330</f>
        <v>16</v>
      </c>
      <c r="M330" s="131">
        <f>L330</f>
        <v>16</v>
      </c>
      <c r="N330" s="131">
        <f>M330</f>
        <v>16</v>
      </c>
      <c r="O330" s="131">
        <f>N330</f>
        <v>16</v>
      </c>
    </row>
    <row r="331" spans="2:17" ht="13.5" thickBot="1">
      <c r="C331" s="94" t="s">
        <v>23</v>
      </c>
      <c r="F331" s="178"/>
      <c r="G331" s="133"/>
      <c r="H331" s="134"/>
      <c r="I331" s="134"/>
      <c r="J331" s="135">
        <f t="shared" ref="J331:O331" si="60">SUM(J327:J330)</f>
        <v>1416</v>
      </c>
      <c r="K331" s="135">
        <f t="shared" ca="1" si="60"/>
        <v>1536.5970131227787</v>
      </c>
      <c r="L331" s="135">
        <f t="shared" ca="1" si="60"/>
        <v>1638.5809938506507</v>
      </c>
      <c r="M331" s="135">
        <f t="shared" ca="1" si="60"/>
        <v>1746.0662346680422</v>
      </c>
      <c r="N331" s="135">
        <f t="shared" ca="1" si="60"/>
        <v>1699.7537640787727</v>
      </c>
      <c r="O331" s="135">
        <f t="shared" ca="1" si="60"/>
        <v>1777.9596655161756</v>
      </c>
      <c r="Q331" s="431"/>
    </row>
    <row r="332" spans="2:17" ht="13.5" thickTop="1"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Q332" s="139"/>
    </row>
    <row r="333" spans="2:17"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Q333" s="432"/>
    </row>
    <row r="334" spans="2:17">
      <c r="B334" s="87" t="s">
        <v>24</v>
      </c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</row>
    <row r="335" spans="2:17">
      <c r="C335" s="100" t="s">
        <v>226</v>
      </c>
      <c r="F335" s="158"/>
      <c r="G335" s="132"/>
      <c r="H335" s="132"/>
      <c r="I335" s="132"/>
      <c r="J335" s="138">
        <v>10</v>
      </c>
      <c r="K335" s="131">
        <f ca="1">K491</f>
        <v>0</v>
      </c>
      <c r="L335" s="131">
        <f ca="1">L491</f>
        <v>0</v>
      </c>
      <c r="M335" s="131">
        <f ca="1">M491</f>
        <v>0</v>
      </c>
      <c r="N335" s="131">
        <f ca="1">N491</f>
        <v>227.23489647539174</v>
      </c>
      <c r="O335" s="131">
        <f ca="1">O491</f>
        <v>124.57573327610555</v>
      </c>
    </row>
    <row r="336" spans="2:17">
      <c r="C336" s="100" t="s">
        <v>25</v>
      </c>
      <c r="F336" s="158"/>
      <c r="G336" s="132"/>
      <c r="H336" s="132"/>
      <c r="I336" s="132"/>
      <c r="J336" s="138">
        <v>134.80000000000001</v>
      </c>
      <c r="K336" s="131">
        <f>K452</f>
        <v>165.85870702465752</v>
      </c>
      <c r="L336" s="131">
        <f>L452</f>
        <v>175.35061097294425</v>
      </c>
      <c r="M336" s="131">
        <f>M452</f>
        <v>187.09855032728495</v>
      </c>
      <c r="N336" s="131">
        <f>N452</f>
        <v>195.07892215484762</v>
      </c>
      <c r="O336" s="131">
        <f>O452</f>
        <v>203.41174865631788</v>
      </c>
    </row>
    <row r="337" spans="2:15">
      <c r="C337" s="100" t="s">
        <v>227</v>
      </c>
      <c r="F337" s="158"/>
      <c r="G337" s="132"/>
      <c r="H337" s="132"/>
      <c r="I337" s="132"/>
      <c r="J337" s="138">
        <v>45</v>
      </c>
      <c r="K337" s="131">
        <f>K598</f>
        <v>39</v>
      </c>
      <c r="L337" s="131">
        <f>L598</f>
        <v>36</v>
      </c>
      <c r="M337" s="131">
        <f ca="1">M598</f>
        <v>438.76348634346198</v>
      </c>
      <c r="N337" s="131">
        <f>N598</f>
        <v>200</v>
      </c>
      <c r="O337" s="131">
        <f>O598</f>
        <v>0</v>
      </c>
    </row>
    <row r="338" spans="2:15">
      <c r="C338" s="100" t="s">
        <v>15</v>
      </c>
      <c r="F338" s="158"/>
      <c r="G338" s="132"/>
      <c r="H338" s="132"/>
      <c r="I338" s="132"/>
      <c r="J338" s="190">
        <v>9</v>
      </c>
      <c r="K338" s="191">
        <f>J338</f>
        <v>9</v>
      </c>
      <c r="L338" s="191">
        <f>K338</f>
        <v>9</v>
      </c>
      <c r="M338" s="191">
        <f>L338</f>
        <v>9</v>
      </c>
      <c r="N338" s="191">
        <f>M338</f>
        <v>9</v>
      </c>
      <c r="O338" s="191">
        <f>N338</f>
        <v>9</v>
      </c>
    </row>
    <row r="339" spans="2:15">
      <c r="C339" s="87" t="s">
        <v>26</v>
      </c>
      <c r="F339" s="178"/>
      <c r="G339" s="130"/>
      <c r="H339" s="130"/>
      <c r="I339" s="130"/>
      <c r="J339" s="131">
        <f t="shared" ref="J339:O339" si="61">SUM(J335:J338)</f>
        <v>198.8</v>
      </c>
      <c r="K339" s="131">
        <f t="shared" ca="1" si="61"/>
        <v>213.85870702465752</v>
      </c>
      <c r="L339" s="131">
        <f t="shared" ca="1" si="61"/>
        <v>220.35061097294425</v>
      </c>
      <c r="M339" s="131">
        <f t="shared" ca="1" si="61"/>
        <v>634.86203667074687</v>
      </c>
      <c r="N339" s="131">
        <f t="shared" ca="1" si="61"/>
        <v>631.31381863023933</v>
      </c>
      <c r="O339" s="131">
        <f t="shared" ca="1" si="61"/>
        <v>336.98748193242341</v>
      </c>
    </row>
    <row r="340" spans="2:15"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</row>
    <row r="341" spans="2:15">
      <c r="C341" s="74" t="s">
        <v>221</v>
      </c>
      <c r="F341" s="158"/>
      <c r="G341" s="130"/>
      <c r="H341" s="132"/>
      <c r="I341" s="132"/>
      <c r="J341" s="138">
        <v>45.3</v>
      </c>
      <c r="K341" s="548">
        <f ca="1">J$341 + K285</f>
        <v>67.545999999999992</v>
      </c>
      <c r="L341" s="548">
        <f t="shared" ref="L341:O341" ca="1" si="62">K$341 + L285</f>
        <v>88.114799999999988</v>
      </c>
      <c r="M341" s="548">
        <f t="shared" ca="1" si="62"/>
        <v>107.29051599999998</v>
      </c>
      <c r="N341" s="548">
        <f t="shared" ca="1" si="62"/>
        <v>125.14980191999999</v>
      </c>
      <c r="O341" s="548">
        <f t="shared" ca="1" si="62"/>
        <v>141.7654271504</v>
      </c>
    </row>
    <row r="342" spans="2:15">
      <c r="C342" s="100" t="s">
        <v>225</v>
      </c>
      <c r="F342" s="158"/>
      <c r="G342" s="252"/>
      <c r="H342" s="132"/>
      <c r="I342" s="132"/>
      <c r="J342" s="138">
        <v>705</v>
      </c>
      <c r="K342" s="131">
        <f ca="1">K599</f>
        <v>668.83975659229213</v>
      </c>
      <c r="L342" s="131">
        <f ca="1">L599</f>
        <v>635.76015535961892</v>
      </c>
      <c r="M342" s="131">
        <f ca="1">M599</f>
        <v>200</v>
      </c>
      <c r="N342" s="131">
        <f ca="1">N599</f>
        <v>0</v>
      </c>
      <c r="O342" s="131">
        <f ca="1">O599</f>
        <v>200</v>
      </c>
    </row>
    <row r="343" spans="2:15">
      <c r="C343" s="100" t="s">
        <v>15</v>
      </c>
      <c r="F343" s="158"/>
      <c r="G343" s="252"/>
      <c r="H343" s="132"/>
      <c r="I343" s="132"/>
      <c r="J343" s="190">
        <v>60</v>
      </c>
      <c r="K343" s="191">
        <f>J343</f>
        <v>60</v>
      </c>
      <c r="L343" s="553">
        <f xml:space="preserve"> K343</f>
        <v>60</v>
      </c>
      <c r="M343" s="553">
        <f t="shared" ref="M343:O343" si="63" xml:space="preserve"> L343</f>
        <v>60</v>
      </c>
      <c r="N343" s="553">
        <f t="shared" si="63"/>
        <v>60</v>
      </c>
      <c r="O343" s="553">
        <f t="shared" si="63"/>
        <v>60</v>
      </c>
    </row>
    <row r="344" spans="2:15">
      <c r="C344" s="137" t="s">
        <v>27</v>
      </c>
      <c r="F344" s="178"/>
      <c r="G344" s="132"/>
      <c r="H344" s="130"/>
      <c r="I344" s="130"/>
      <c r="J344" s="131">
        <f t="shared" ref="J344:O344" si="64">SUM(J341:J343)</f>
        <v>810.3</v>
      </c>
      <c r="K344" s="131">
        <f t="shared" ca="1" si="64"/>
        <v>796.38575659229218</v>
      </c>
      <c r="L344" s="131">
        <f t="shared" ca="1" si="64"/>
        <v>783.87495535961887</v>
      </c>
      <c r="M344" s="131">
        <f t="shared" ca="1" si="64"/>
        <v>367.29051599999997</v>
      </c>
      <c r="N344" s="131">
        <f t="shared" ca="1" si="64"/>
        <v>185.14980191999999</v>
      </c>
      <c r="O344" s="131">
        <f t="shared" ca="1" si="64"/>
        <v>401.7654271504</v>
      </c>
    </row>
    <row r="345" spans="2:15">
      <c r="C345" s="87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</row>
    <row r="346" spans="2:15">
      <c r="C346" s="137" t="s">
        <v>28</v>
      </c>
      <c r="F346" s="178"/>
      <c r="G346" s="133"/>
      <c r="H346" s="133"/>
      <c r="I346" s="133"/>
      <c r="J346" s="193">
        <f t="shared" ref="J346:O346" si="65">J344+J339</f>
        <v>1009.0999999999999</v>
      </c>
      <c r="K346" s="193">
        <f t="shared" ca="1" si="65"/>
        <v>1010.2444636169497</v>
      </c>
      <c r="L346" s="193">
        <f t="shared" ca="1" si="65"/>
        <v>1004.2255663325632</v>
      </c>
      <c r="M346" s="193">
        <f t="shared" ca="1" si="65"/>
        <v>1002.1525526707469</v>
      </c>
      <c r="N346" s="193">
        <f t="shared" ca="1" si="65"/>
        <v>816.46362055023928</v>
      </c>
      <c r="O346" s="193">
        <f t="shared" ca="1" si="65"/>
        <v>738.75290908282341</v>
      </c>
    </row>
    <row r="347" spans="2:15"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</row>
    <row r="348" spans="2:15">
      <c r="C348" s="74" t="s">
        <v>156</v>
      </c>
      <c r="F348" s="158"/>
      <c r="G348" s="130"/>
      <c r="H348" s="130"/>
      <c r="I348" s="130"/>
      <c r="J348" s="138">
        <v>59.2</v>
      </c>
      <c r="K348" s="131">
        <f>K614</f>
        <v>59.2</v>
      </c>
      <c r="L348" s="131">
        <f>L614</f>
        <v>59.2</v>
      </c>
      <c r="M348" s="131">
        <f>M614</f>
        <v>59.2</v>
      </c>
      <c r="N348" s="131">
        <f>N614</f>
        <v>59.2</v>
      </c>
      <c r="O348" s="131">
        <f>O614</f>
        <v>59.2</v>
      </c>
    </row>
    <row r="349" spans="2:15">
      <c r="C349" s="74" t="s">
        <v>159</v>
      </c>
      <c r="F349" s="158"/>
      <c r="G349" s="130"/>
      <c r="H349" s="130"/>
      <c r="I349" s="130"/>
      <c r="J349" s="190">
        <v>347.7</v>
      </c>
      <c r="K349" s="191">
        <f ca="1">K625</f>
        <v>467.15254950582909</v>
      </c>
      <c r="L349" s="191">
        <f ca="1">L625</f>
        <v>575.15542751808744</v>
      </c>
      <c r="M349" s="191">
        <f ca="1">M625</f>
        <v>684.713681997295</v>
      </c>
      <c r="N349" s="191">
        <f ca="1">N625</f>
        <v>824.09014349212157</v>
      </c>
      <c r="O349" s="191">
        <f ca="1">O625</f>
        <v>980.00676057275064</v>
      </c>
    </row>
    <row r="350" spans="2:15">
      <c r="C350" s="87" t="s">
        <v>29</v>
      </c>
      <c r="F350" s="178"/>
      <c r="G350" s="132"/>
      <c r="H350" s="132"/>
      <c r="I350" s="132"/>
      <c r="J350" s="193">
        <f t="shared" ref="J350:O350" si="66">SUM(J348:J349)</f>
        <v>406.9</v>
      </c>
      <c r="K350" s="193">
        <f t="shared" ca="1" si="66"/>
        <v>526.35254950582907</v>
      </c>
      <c r="L350" s="193">
        <f t="shared" ca="1" si="66"/>
        <v>634.35542751808748</v>
      </c>
      <c r="M350" s="193">
        <f t="shared" ca="1" si="66"/>
        <v>743.91368199729504</v>
      </c>
      <c r="N350" s="193">
        <f t="shared" ca="1" si="66"/>
        <v>883.29014349212162</v>
      </c>
      <c r="O350" s="193">
        <f t="shared" ca="1" si="66"/>
        <v>1039.2067605727507</v>
      </c>
    </row>
    <row r="351" spans="2:15"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</row>
    <row r="352" spans="2:15" ht="13.5" thickBot="1">
      <c r="B352" s="87" t="s">
        <v>30</v>
      </c>
      <c r="F352" s="178"/>
      <c r="G352" s="133"/>
      <c r="H352" s="134"/>
      <c r="I352" s="134"/>
      <c r="J352" s="135">
        <f t="shared" ref="J352:O352" si="67">J350+J346</f>
        <v>1416</v>
      </c>
      <c r="K352" s="135">
        <f t="shared" ca="1" si="67"/>
        <v>1536.5970131227787</v>
      </c>
      <c r="L352" s="135">
        <f t="shared" ca="1" si="67"/>
        <v>1638.5809938506507</v>
      </c>
      <c r="M352" s="135">
        <f t="shared" ca="1" si="67"/>
        <v>1746.0662346680419</v>
      </c>
      <c r="N352" s="135">
        <f t="shared" ca="1" si="67"/>
        <v>1699.7537640423609</v>
      </c>
      <c r="O352" s="135">
        <f t="shared" ca="1" si="67"/>
        <v>1777.9596696555741</v>
      </c>
    </row>
    <row r="353" spans="1:248" ht="13.5" thickTop="1"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</row>
    <row r="354" spans="1:248">
      <c r="B354" s="126"/>
      <c r="D354" s="140" t="s">
        <v>31</v>
      </c>
      <c r="F354" s="253"/>
      <c r="G354" s="253"/>
      <c r="H354" s="253"/>
      <c r="I354" s="253"/>
      <c r="J354" s="253">
        <f t="shared" ref="J354:O354" si="68">J331-J352</f>
        <v>0</v>
      </c>
      <c r="K354" s="253">
        <f t="shared" ca="1" si="68"/>
        <v>0</v>
      </c>
      <c r="L354" s="253">
        <f t="shared" ca="1" si="68"/>
        <v>0</v>
      </c>
      <c r="M354" s="253">
        <f t="shared" ca="1" si="68"/>
        <v>0</v>
      </c>
      <c r="N354" s="253">
        <f t="shared" ca="1" si="68"/>
        <v>3.6411847759154625E-8</v>
      </c>
      <c r="O354" s="253">
        <f t="shared" ca="1" si="68"/>
        <v>-4.139398470215383E-6</v>
      </c>
    </row>
    <row r="355" spans="1:248">
      <c r="B355" s="254"/>
      <c r="C355" s="122"/>
      <c r="D355" s="542" t="s">
        <v>328</v>
      </c>
      <c r="E355" s="122"/>
      <c r="F355" s="122"/>
      <c r="G355" s="122"/>
      <c r="H355" s="122"/>
      <c r="I355" s="122"/>
      <c r="J355" s="122"/>
      <c r="K355" s="255"/>
      <c r="L355" s="255"/>
      <c r="M355" s="255"/>
      <c r="N355" s="255"/>
      <c r="O355" s="255"/>
    </row>
    <row r="356" spans="1:248">
      <c r="B356" s="126"/>
      <c r="F356" s="74"/>
      <c r="K356" s="256"/>
      <c r="L356" s="256"/>
      <c r="M356" s="256"/>
      <c r="N356" s="256"/>
      <c r="O356" s="256"/>
    </row>
    <row r="357" spans="1:248">
      <c r="F357" s="74"/>
    </row>
    <row r="358" spans="1:248" ht="12.75" customHeight="1">
      <c r="B358" s="257"/>
      <c r="C358" s="258"/>
      <c r="D358" s="258"/>
      <c r="E358" s="259"/>
      <c r="F358" s="259"/>
      <c r="G358" s="260"/>
      <c r="H358" s="260"/>
      <c r="I358" s="260"/>
      <c r="J358" s="260"/>
      <c r="K358" s="260"/>
      <c r="L358" s="260"/>
      <c r="M358" s="260"/>
      <c r="N358" s="260"/>
      <c r="O358" s="73" t="str">
        <f>$O$139</f>
        <v>CURRENTLY RUNNING: BASE CASE SCENARIO</v>
      </c>
    </row>
    <row r="359" spans="1:248" ht="22.9" customHeight="1">
      <c r="B359" s="71" t="str">
        <f>B$140</f>
        <v>Windsol Manufacturing</v>
      </c>
      <c r="C359" s="258"/>
      <c r="D359" s="258"/>
      <c r="E359" s="259"/>
      <c r="F359" s="259"/>
      <c r="G359" s="260"/>
      <c r="H359" s="260"/>
      <c r="I359" s="260"/>
      <c r="J359" s="260"/>
      <c r="K359" s="260"/>
      <c r="L359" s="260"/>
      <c r="M359" s="260"/>
      <c r="N359" s="260"/>
      <c r="O359" s="260"/>
    </row>
    <row r="360" spans="1:248" ht="18.75">
      <c r="B360" s="75" t="s">
        <v>180</v>
      </c>
      <c r="C360" s="75"/>
      <c r="D360" s="75"/>
      <c r="E360" s="261"/>
      <c r="F360" s="261"/>
      <c r="G360" s="75"/>
      <c r="H360" s="75"/>
      <c r="I360" s="75"/>
      <c r="J360" s="75"/>
      <c r="K360" s="75"/>
      <c r="L360" s="75"/>
      <c r="M360" s="75"/>
      <c r="N360" s="75"/>
      <c r="O360" s="75"/>
    </row>
    <row r="361" spans="1:248" ht="6" customHeight="1" thickBot="1">
      <c r="B361" s="262"/>
      <c r="C361" s="262"/>
      <c r="D361" s="262"/>
      <c r="E361" s="263"/>
      <c r="F361" s="263"/>
      <c r="G361" s="262"/>
      <c r="H361" s="262"/>
      <c r="I361" s="262"/>
      <c r="J361" s="262"/>
      <c r="K361" s="262"/>
      <c r="L361" s="262"/>
      <c r="M361" s="262"/>
      <c r="N361" s="262"/>
      <c r="O361" s="262"/>
    </row>
    <row r="362" spans="1:248">
      <c r="B362" s="78" t="s">
        <v>268</v>
      </c>
      <c r="C362" s="126"/>
      <c r="E362" s="117"/>
      <c r="G362" s="126"/>
    </row>
    <row r="363" spans="1:248" ht="13.5">
      <c r="E363" s="117"/>
      <c r="K363" s="80" t="s">
        <v>6</v>
      </c>
      <c r="L363" s="264"/>
      <c r="M363" s="264"/>
      <c r="N363" s="264"/>
      <c r="O363" s="264"/>
    </row>
    <row r="364" spans="1:248">
      <c r="C364" s="94"/>
      <c r="D364" s="94"/>
      <c r="E364" s="192"/>
      <c r="F364" s="265"/>
      <c r="G364" s="85"/>
      <c r="H364" s="129">
        <f>H145</f>
        <v>2016</v>
      </c>
      <c r="I364" s="129">
        <f>I145</f>
        <v>2017</v>
      </c>
      <c r="J364" s="469">
        <f>J145</f>
        <v>2018</v>
      </c>
      <c r="K364" s="266">
        <f>K$145</f>
        <v>2019</v>
      </c>
      <c r="L364" s="266">
        <f>L$145</f>
        <v>2020</v>
      </c>
      <c r="M364" s="266">
        <f>M$145</f>
        <v>2021</v>
      </c>
      <c r="N364" s="266">
        <f>N$145</f>
        <v>2022</v>
      </c>
      <c r="O364" s="266">
        <f>O$145</f>
        <v>2023</v>
      </c>
    </row>
    <row r="366" spans="1:248" ht="13.15" customHeight="1">
      <c r="A366" s="267"/>
      <c r="B366" s="268" t="s">
        <v>207</v>
      </c>
      <c r="C366" s="222"/>
      <c r="D366" s="269"/>
      <c r="E366" s="270"/>
      <c r="F366" s="271">
        <f>I35</f>
        <v>20</v>
      </c>
      <c r="K366" s="272"/>
      <c r="L366" s="89"/>
      <c r="M366" s="89"/>
      <c r="N366" s="89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273"/>
      <c r="EI366" s="273"/>
      <c r="EJ366" s="273"/>
      <c r="EK366" s="273"/>
      <c r="EL366" s="273"/>
      <c r="EM366" s="273"/>
      <c r="EN366" s="273"/>
      <c r="EO366" s="273"/>
      <c r="EP366" s="273"/>
      <c r="EQ366" s="273"/>
      <c r="ER366" s="273"/>
      <c r="ES366" s="273"/>
      <c r="ET366" s="273"/>
      <c r="EU366" s="273"/>
      <c r="EV366" s="273"/>
      <c r="EW366" s="273"/>
      <c r="EX366" s="273"/>
      <c r="EY366" s="273"/>
      <c r="EZ366" s="273"/>
      <c r="FA366" s="273"/>
      <c r="FB366" s="273"/>
      <c r="FC366" s="273"/>
      <c r="FD366" s="273"/>
      <c r="FE366" s="273"/>
      <c r="FF366" s="273"/>
      <c r="FG366" s="273"/>
      <c r="FH366" s="273"/>
      <c r="FI366" s="273"/>
      <c r="FJ366" s="273"/>
      <c r="FK366" s="273"/>
      <c r="FL366" s="273"/>
      <c r="FM366" s="273"/>
      <c r="FN366" s="273"/>
      <c r="FO366" s="273"/>
      <c r="FP366" s="273"/>
      <c r="FQ366" s="273"/>
      <c r="FR366" s="273"/>
      <c r="FS366" s="273"/>
      <c r="FT366" s="273"/>
      <c r="FU366" s="273"/>
      <c r="FV366" s="273"/>
      <c r="FW366" s="273"/>
      <c r="FX366" s="273"/>
      <c r="FY366" s="273"/>
      <c r="FZ366" s="273"/>
      <c r="GA366" s="273"/>
      <c r="GB366" s="273"/>
      <c r="GC366" s="273"/>
      <c r="GD366" s="273"/>
      <c r="GE366" s="273"/>
      <c r="GF366" s="273"/>
      <c r="GG366" s="273"/>
      <c r="GH366" s="273"/>
      <c r="GI366" s="273"/>
      <c r="GJ366" s="273"/>
      <c r="GK366" s="273"/>
      <c r="GL366" s="273"/>
      <c r="GM366" s="273"/>
      <c r="GN366" s="273"/>
      <c r="GO366" s="273"/>
      <c r="GP366" s="273"/>
      <c r="GQ366" s="273"/>
      <c r="GR366" s="273"/>
      <c r="GS366" s="273"/>
      <c r="GT366" s="273"/>
      <c r="GU366" s="273"/>
      <c r="GV366" s="273"/>
      <c r="GW366" s="273"/>
      <c r="GX366" s="273"/>
      <c r="GY366" s="273"/>
      <c r="GZ366" s="273"/>
      <c r="HA366" s="273"/>
      <c r="HB366" s="273"/>
      <c r="HC366" s="273"/>
      <c r="HD366" s="273"/>
      <c r="HE366" s="273"/>
      <c r="HF366" s="273"/>
      <c r="HG366" s="273"/>
      <c r="HH366" s="273"/>
      <c r="HI366" s="273"/>
      <c r="HJ366" s="273"/>
      <c r="HK366" s="273"/>
      <c r="HL366" s="273"/>
      <c r="HM366" s="273"/>
      <c r="HN366" s="273"/>
      <c r="HO366" s="273"/>
      <c r="HP366" s="273"/>
      <c r="HQ366" s="273"/>
      <c r="HR366" s="273"/>
      <c r="HS366" s="273"/>
      <c r="HT366" s="273"/>
      <c r="HU366" s="273"/>
      <c r="HV366" s="273"/>
      <c r="HW366" s="273"/>
      <c r="HX366" s="273"/>
      <c r="HY366" s="273"/>
      <c r="HZ366" s="273"/>
      <c r="IA366" s="273"/>
      <c r="IB366" s="273"/>
      <c r="IC366" s="273"/>
      <c r="ID366" s="273"/>
      <c r="IE366" s="273"/>
      <c r="IF366" s="273"/>
      <c r="IG366" s="273"/>
      <c r="IH366" s="273"/>
      <c r="II366" s="273"/>
      <c r="IJ366" s="273"/>
      <c r="IK366" s="273"/>
      <c r="IL366" s="273"/>
      <c r="IM366" s="273"/>
      <c r="IN366" s="273"/>
    </row>
    <row r="367" spans="1:248" ht="13.15" customHeight="1">
      <c r="A367" s="267"/>
      <c r="B367" s="274" t="s">
        <v>208</v>
      </c>
      <c r="C367" s="122"/>
      <c r="D367" s="275"/>
      <c r="E367" s="276"/>
      <c r="F367" s="277">
        <f>I36</f>
        <v>25</v>
      </c>
      <c r="K367" s="272"/>
      <c r="L367" s="89"/>
      <c r="M367" s="89"/>
      <c r="N367" s="89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  <c r="BB367" s="273"/>
      <c r="BC367" s="273"/>
      <c r="BD367" s="273"/>
      <c r="BE367" s="273"/>
      <c r="BF367" s="273"/>
      <c r="BG367" s="273"/>
      <c r="BH367" s="273"/>
      <c r="BI367" s="273"/>
      <c r="BJ367" s="273"/>
      <c r="BK367" s="273"/>
      <c r="BL367" s="273"/>
      <c r="BM367" s="273"/>
      <c r="BN367" s="273"/>
      <c r="BO367" s="273"/>
      <c r="BP367" s="273"/>
      <c r="BQ367" s="273"/>
      <c r="BR367" s="273"/>
      <c r="BS367" s="273"/>
      <c r="BT367" s="273"/>
      <c r="BU367" s="273"/>
      <c r="BV367" s="273"/>
      <c r="BW367" s="273"/>
      <c r="BX367" s="273"/>
      <c r="BY367" s="273"/>
      <c r="BZ367" s="273"/>
      <c r="CA367" s="273"/>
      <c r="CB367" s="273"/>
      <c r="CC367" s="273"/>
      <c r="CD367" s="273"/>
      <c r="CE367" s="273"/>
      <c r="CF367" s="273"/>
      <c r="CG367" s="273"/>
      <c r="CH367" s="273"/>
      <c r="CI367" s="273"/>
      <c r="CJ367" s="273"/>
      <c r="CK367" s="273"/>
      <c r="CL367" s="273"/>
      <c r="CM367" s="273"/>
      <c r="CN367" s="273"/>
      <c r="CO367" s="273"/>
      <c r="CP367" s="273"/>
      <c r="CQ367" s="273"/>
      <c r="CR367" s="273"/>
      <c r="CS367" s="273"/>
      <c r="CT367" s="273"/>
      <c r="CU367" s="273"/>
      <c r="CV367" s="273"/>
      <c r="CW367" s="273"/>
      <c r="CX367" s="273"/>
      <c r="CY367" s="273"/>
      <c r="CZ367" s="273"/>
      <c r="DA367" s="273"/>
      <c r="DB367" s="273"/>
      <c r="DC367" s="273"/>
      <c r="DD367" s="273"/>
      <c r="DE367" s="273"/>
      <c r="DF367" s="273"/>
      <c r="DG367" s="273"/>
      <c r="DH367" s="273"/>
      <c r="DI367" s="273"/>
      <c r="DJ367" s="273"/>
      <c r="DK367" s="273"/>
      <c r="DL367" s="273"/>
      <c r="DM367" s="273"/>
      <c r="DN367" s="273"/>
      <c r="DO367" s="273"/>
      <c r="DP367" s="273"/>
      <c r="DQ367" s="273"/>
      <c r="DR367" s="273"/>
      <c r="DS367" s="273"/>
      <c r="DT367" s="273"/>
      <c r="DU367" s="273"/>
      <c r="DV367" s="273"/>
      <c r="DW367" s="273"/>
      <c r="DX367" s="273"/>
      <c r="DY367" s="273"/>
      <c r="DZ367" s="273"/>
      <c r="EA367" s="273"/>
      <c r="EB367" s="273"/>
      <c r="EC367" s="273"/>
      <c r="ED367" s="273"/>
      <c r="EE367" s="273"/>
      <c r="EF367" s="273"/>
      <c r="EG367" s="273"/>
      <c r="EH367" s="273"/>
      <c r="EI367" s="273"/>
      <c r="EJ367" s="273"/>
      <c r="EK367" s="273"/>
      <c r="EL367" s="273"/>
      <c r="EM367" s="273"/>
      <c r="EN367" s="273"/>
      <c r="EO367" s="273"/>
      <c r="EP367" s="273"/>
      <c r="EQ367" s="273"/>
      <c r="ER367" s="273"/>
      <c r="ES367" s="273"/>
      <c r="ET367" s="273"/>
      <c r="EU367" s="273"/>
      <c r="EV367" s="273"/>
      <c r="EW367" s="273"/>
      <c r="EX367" s="273"/>
      <c r="EY367" s="273"/>
      <c r="EZ367" s="273"/>
      <c r="FA367" s="273"/>
      <c r="FB367" s="273"/>
      <c r="FC367" s="273"/>
      <c r="FD367" s="273"/>
      <c r="FE367" s="273"/>
      <c r="FF367" s="273"/>
      <c r="FG367" s="273"/>
      <c r="FH367" s="273"/>
      <c r="FI367" s="273"/>
      <c r="FJ367" s="273"/>
      <c r="FK367" s="273"/>
      <c r="FL367" s="273"/>
      <c r="FM367" s="273"/>
      <c r="FN367" s="273"/>
      <c r="FO367" s="273"/>
      <c r="FP367" s="273"/>
      <c r="FQ367" s="273"/>
      <c r="FR367" s="273"/>
      <c r="FS367" s="273"/>
      <c r="FT367" s="273"/>
      <c r="FU367" s="273"/>
      <c r="FV367" s="273"/>
      <c r="FW367" s="273"/>
      <c r="FX367" s="273"/>
      <c r="FY367" s="273"/>
      <c r="FZ367" s="273"/>
      <c r="GA367" s="273"/>
      <c r="GB367" s="273"/>
      <c r="GC367" s="273"/>
      <c r="GD367" s="273"/>
      <c r="GE367" s="273"/>
      <c r="GF367" s="273"/>
      <c r="GG367" s="273"/>
      <c r="GH367" s="273"/>
      <c r="GI367" s="273"/>
      <c r="GJ367" s="273"/>
      <c r="GK367" s="273"/>
      <c r="GL367" s="273"/>
      <c r="GM367" s="273"/>
      <c r="GN367" s="273"/>
      <c r="GO367" s="273"/>
      <c r="GP367" s="273"/>
      <c r="GQ367" s="273"/>
      <c r="GR367" s="273"/>
      <c r="GS367" s="273"/>
      <c r="GT367" s="273"/>
      <c r="GU367" s="273"/>
      <c r="GV367" s="273"/>
      <c r="GW367" s="273"/>
      <c r="GX367" s="273"/>
      <c r="GY367" s="273"/>
      <c r="GZ367" s="273"/>
      <c r="HA367" s="273"/>
      <c r="HB367" s="273"/>
      <c r="HC367" s="273"/>
      <c r="HD367" s="273"/>
      <c r="HE367" s="273"/>
      <c r="HF367" s="273"/>
      <c r="HG367" s="273"/>
      <c r="HH367" s="273"/>
      <c r="HI367" s="273"/>
      <c r="HJ367" s="273"/>
      <c r="HK367" s="273"/>
      <c r="HL367" s="273"/>
      <c r="HM367" s="273"/>
      <c r="HN367" s="273"/>
      <c r="HO367" s="273"/>
      <c r="HP367" s="273"/>
      <c r="HQ367" s="273"/>
      <c r="HR367" s="273"/>
      <c r="HS367" s="273"/>
      <c r="HT367" s="273"/>
      <c r="HU367" s="273"/>
      <c r="HV367" s="273"/>
      <c r="HW367" s="273"/>
      <c r="HX367" s="273"/>
      <c r="HY367" s="273"/>
      <c r="HZ367" s="273"/>
      <c r="IA367" s="273"/>
      <c r="IB367" s="273"/>
      <c r="IC367" s="273"/>
      <c r="ID367" s="273"/>
      <c r="IE367" s="273"/>
      <c r="IF367" s="273"/>
      <c r="IG367" s="273"/>
      <c r="IH367" s="273"/>
      <c r="II367" s="273"/>
      <c r="IJ367" s="273"/>
      <c r="IK367" s="273"/>
      <c r="IL367" s="273"/>
      <c r="IM367" s="273"/>
      <c r="IN367" s="273"/>
    </row>
    <row r="368" spans="1:248" ht="12.75" customHeight="1">
      <c r="F368" s="74"/>
      <c r="K368" s="278"/>
    </row>
    <row r="369" spans="2:15">
      <c r="D369" s="74" t="s">
        <v>48</v>
      </c>
      <c r="F369" s="74"/>
      <c r="H369" s="279">
        <v>44.3</v>
      </c>
      <c r="I369" s="279">
        <v>46.4</v>
      </c>
      <c r="J369" s="279">
        <v>47.2</v>
      </c>
      <c r="K369" s="280">
        <f>J329/F366</f>
        <v>48.65</v>
      </c>
      <c r="L369" s="280">
        <f>K369</f>
        <v>48.65</v>
      </c>
      <c r="M369" s="280">
        <f>L369</f>
        <v>48.65</v>
      </c>
      <c r="N369" s="280">
        <f>M369</f>
        <v>48.65</v>
      </c>
      <c r="O369" s="280">
        <f>N369</f>
        <v>48.65</v>
      </c>
    </row>
    <row r="370" spans="2:15">
      <c r="F370" s="74"/>
    </row>
    <row r="371" spans="2:15" ht="13.5">
      <c r="D371" s="281" t="s">
        <v>69</v>
      </c>
      <c r="F371" s="74"/>
    </row>
    <row r="372" spans="2:15">
      <c r="D372" s="282">
        <f>K364</f>
        <v>2019</v>
      </c>
      <c r="E372" s="550">
        <f xml:space="preserve"> _xlfn.XLOOKUP( $D372, $H$56:$L$56, $H$60:$L$60 )</f>
        <v>120</v>
      </c>
      <c r="F372" s="284"/>
      <c r="H372" s="89"/>
      <c r="I372" s="89"/>
      <c r="J372" s="89"/>
      <c r="K372" s="92">
        <f>IF(K$364=$D372,$E372/$F$367/2, MIN($E372/$F$367, $E372 - SUM($J372:J372)) )</f>
        <v>2.4</v>
      </c>
      <c r="L372" s="92">
        <f>IF(L$364=$D372,$E372/$F$367/2, MIN($E372/$F$367, $E372 - SUM($J372:K372)) )</f>
        <v>4.8</v>
      </c>
      <c r="M372" s="92">
        <f>IF(M$364=$D372,$E372/$F$367/2, MIN($E372/$F$367, $E372 - SUM($J372:L372)) )</f>
        <v>4.8</v>
      </c>
      <c r="N372" s="92">
        <f>IF(N$364=$D372,$E372/$F$367/2, MIN($E372/$F$367, $E372 - SUM($J372:M372)) )</f>
        <v>4.8</v>
      </c>
      <c r="O372" s="92">
        <f>IF(O$364=$D372,$E372/$F$367/2, MIN($E372/$F$367, $E372 - SUM($J372:N372)) )</f>
        <v>4.8</v>
      </c>
    </row>
    <row r="373" spans="2:15">
      <c r="D373" s="282">
        <f>D372+1</f>
        <v>2020</v>
      </c>
      <c r="E373" s="551">
        <f t="shared" ref="E373:E376" si="69" xml:space="preserve"> _xlfn.XLOOKUP( $D373, $H$56:$L$56, $H$60:$L$60 )</f>
        <v>130</v>
      </c>
      <c r="F373" s="284"/>
      <c r="H373" s="89"/>
      <c r="I373" s="89"/>
      <c r="J373" s="89"/>
      <c r="K373" s="92"/>
      <c r="L373" s="92">
        <f>IF(L$364=$D373,$E373/$F$367/2, MIN($E373/$F$367, $E373 - SUM($J373:K373)) )</f>
        <v>2.6</v>
      </c>
      <c r="M373" s="92">
        <f>IF(M$364=$D373,$E373/$F$367/2, MIN($E373/$F$367, $E373 - SUM($J373:L373)) )</f>
        <v>5.2</v>
      </c>
      <c r="N373" s="92">
        <f>IF(N$364=$D373,$E373/$F$367/2, MIN($E373/$F$367, $E373 - SUM($J373:M373)) )</f>
        <v>5.2</v>
      </c>
      <c r="O373" s="92">
        <f>IF(O$364=$D373,$E373/$F$367/2, MIN($E373/$F$367, $E373 - SUM($J373:N373)) )</f>
        <v>5.2</v>
      </c>
    </row>
    <row r="374" spans="2:15">
      <c r="D374" s="282">
        <f>D373+1</f>
        <v>2021</v>
      </c>
      <c r="E374" s="551">
        <f t="shared" si="69"/>
        <v>131.94999999999999</v>
      </c>
      <c r="F374" s="284"/>
      <c r="H374" s="211"/>
      <c r="I374" s="211"/>
      <c r="J374" s="211"/>
      <c r="K374" s="92"/>
      <c r="L374" s="92"/>
      <c r="M374" s="92">
        <f>IF(M$364=$D374,$E374/$F$367/2, MIN($E374/$F$367, $E374 - SUM($J374:L374)) )</f>
        <v>2.6389999999999998</v>
      </c>
      <c r="N374" s="92">
        <f>IF(N$364=$D374,$E374/$F$367/2, MIN($E374/$F$367, $E374 - SUM($J374:M374)) )</f>
        <v>5.2779999999999996</v>
      </c>
      <c r="O374" s="92">
        <f>IF(O$364=$D374,$E374/$F$367/2, MIN($E374/$F$367, $E374 - SUM($J374:N374)) )</f>
        <v>5.2779999999999996</v>
      </c>
    </row>
    <row r="375" spans="2:15">
      <c r="D375" s="282">
        <f>D374+1</f>
        <v>2022</v>
      </c>
      <c r="E375" s="551">
        <f t="shared" si="69"/>
        <v>134.589</v>
      </c>
      <c r="F375" s="284"/>
      <c r="H375" s="211"/>
      <c r="I375" s="211"/>
      <c r="J375" s="211"/>
      <c r="K375" s="139"/>
      <c r="L375" s="92"/>
      <c r="M375" s="92"/>
      <c r="N375" s="92">
        <f>IF(N$364=$D375,$E375/$F$367/2, MIN($E375/$F$367, $E375 - SUM($J375:M375)) )</f>
        <v>2.6917800000000001</v>
      </c>
      <c r="O375" s="92">
        <f>IF(O$364=$D375,$E375/$F$367/2, MIN($E375/$F$367, $E375 - SUM($J375:N375)) )</f>
        <v>5.3835600000000001</v>
      </c>
    </row>
    <row r="376" spans="2:15">
      <c r="D376" s="282">
        <f>D375+1</f>
        <v>2023</v>
      </c>
      <c r="E376" s="552">
        <f t="shared" si="69"/>
        <v>137.28077999999999</v>
      </c>
      <c r="F376" s="284"/>
      <c r="H376" s="211"/>
      <c r="I376" s="211"/>
      <c r="J376" s="211"/>
      <c r="K376" s="139"/>
      <c r="L376" s="139"/>
      <c r="M376" s="92"/>
      <c r="N376" s="92"/>
      <c r="O376" s="92">
        <f>IF(O$364=$D376,$E376/$F$367/2, MIN($E376/$F$367, $E376 - SUM($J376:N376)) )</f>
        <v>2.7456155999999998</v>
      </c>
    </row>
    <row r="378" spans="2:15" ht="13.5" thickBot="1">
      <c r="D378" s="287" t="s">
        <v>49</v>
      </c>
      <c r="H378" s="288">
        <f>SUM(H369:H376)</f>
        <v>44.3</v>
      </c>
      <c r="I378" s="288">
        <f>SUM(I369:I376)</f>
        <v>46.4</v>
      </c>
      <c r="J378" s="288">
        <f>SUM(J369:J376)</f>
        <v>47.2</v>
      </c>
      <c r="K378" s="560">
        <f>SUM( K369:K377)</f>
        <v>51.05</v>
      </c>
      <c r="L378" s="560">
        <f t="shared" ref="L378:O378" si="70">SUM( L369:L377)</f>
        <v>56.05</v>
      </c>
      <c r="M378" s="560">
        <f t="shared" si="70"/>
        <v>61.289000000000001</v>
      </c>
      <c r="N378" s="560">
        <f t="shared" si="70"/>
        <v>66.619779999999992</v>
      </c>
      <c r="O378" s="560">
        <f t="shared" si="70"/>
        <v>72.057175599999994</v>
      </c>
    </row>
    <row r="379" spans="2:15" ht="13.5" thickTop="1">
      <c r="D379" s="287"/>
      <c r="H379" s="289"/>
      <c r="I379" s="289"/>
      <c r="J379" s="289"/>
      <c r="K379" s="289"/>
      <c r="L379" s="218"/>
      <c r="M379" s="218"/>
      <c r="N379" s="218"/>
      <c r="O379" s="218"/>
    </row>
    <row r="380" spans="2:15">
      <c r="B380" s="122"/>
      <c r="C380" s="122"/>
      <c r="D380" s="122"/>
      <c r="E380" s="122"/>
      <c r="F380" s="184"/>
      <c r="G380" s="122"/>
      <c r="H380" s="248"/>
      <c r="I380" s="248"/>
      <c r="J380" s="248"/>
      <c r="K380" s="248"/>
      <c r="L380" s="248"/>
      <c r="M380" s="248"/>
      <c r="N380" s="248"/>
      <c r="O380" s="122"/>
    </row>
    <row r="381" spans="2:15">
      <c r="F381" s="74"/>
    </row>
    <row r="382" spans="2:15">
      <c r="F382" s="74"/>
    </row>
    <row r="383" spans="2:15" ht="12.75" customHeight="1">
      <c r="B383" s="71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3" t="str">
        <f>$O$139</f>
        <v>CURRENTLY RUNNING: BASE CASE SCENARIO</v>
      </c>
    </row>
    <row r="384" spans="2:15" ht="22.5">
      <c r="B384" s="71" t="str">
        <f>B$140</f>
        <v>Windsol Manufacturing</v>
      </c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</row>
    <row r="385" spans="2:15" ht="18.75">
      <c r="B385" s="75" t="s">
        <v>60</v>
      </c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</row>
    <row r="386" spans="2:15" ht="6" customHeight="1" thickBot="1">
      <c r="B386" s="76"/>
      <c r="C386" s="76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</row>
    <row r="387" spans="2:15">
      <c r="B387" s="78" t="s">
        <v>268</v>
      </c>
      <c r="F387" s="74"/>
    </row>
    <row r="388" spans="2:15" ht="13.5">
      <c r="F388" s="74"/>
      <c r="H388" s="79"/>
      <c r="I388" s="79"/>
      <c r="J388" s="79"/>
      <c r="K388" s="80" t="s">
        <v>6</v>
      </c>
      <c r="L388" s="81"/>
      <c r="M388" s="81"/>
      <c r="N388" s="81"/>
      <c r="O388" s="81"/>
    </row>
    <row r="389" spans="2:15" ht="13.5">
      <c r="B389" s="82"/>
      <c r="C389" s="83" t="s">
        <v>127</v>
      </c>
      <c r="D389" s="84"/>
      <c r="E389" s="520">
        <f>I39</f>
        <v>0.28000000000000003</v>
      </c>
      <c r="F389" s="74"/>
      <c r="H389" s="85"/>
      <c r="I389" s="85"/>
      <c r="J389" s="85"/>
      <c r="K389" s="86">
        <f>K$145</f>
        <v>2019</v>
      </c>
      <c r="L389" s="86">
        <f>L$145</f>
        <v>2020</v>
      </c>
      <c r="M389" s="86">
        <f>M$145</f>
        <v>2021</v>
      </c>
      <c r="N389" s="86">
        <f>N$145</f>
        <v>2022</v>
      </c>
      <c r="O389" s="86">
        <f>O$145</f>
        <v>2023</v>
      </c>
    </row>
    <row r="390" spans="2:15">
      <c r="F390" s="74"/>
    </row>
    <row r="391" spans="2:15">
      <c r="C391" s="87" t="s">
        <v>133</v>
      </c>
      <c r="F391" s="74"/>
      <c r="G391" s="88" t="s">
        <v>36</v>
      </c>
      <c r="H391" s="89"/>
      <c r="I391" s="89"/>
      <c r="J391" s="89"/>
      <c r="K391" s="218">
        <f ca="1">K256</f>
        <v>184.34035417566224</v>
      </c>
      <c r="L391" s="218">
        <f ca="1">L256</f>
        <v>166.67110804360857</v>
      </c>
      <c r="M391" s="218">
        <f ca="1">M256</f>
        <v>169.07138036914751</v>
      </c>
      <c r="N391" s="218">
        <f ca="1">N256</f>
        <v>215.08713198564885</v>
      </c>
      <c r="O391" s="90">
        <f ca="1">O256</f>
        <v>240.61205979483861</v>
      </c>
    </row>
    <row r="392" spans="2:15" ht="6" customHeight="1">
      <c r="E392" s="2"/>
      <c r="F392" s="2"/>
      <c r="G392" s="91"/>
      <c r="H392" s="91"/>
      <c r="I392" s="91"/>
      <c r="J392" s="91"/>
      <c r="K392" s="91"/>
      <c r="L392" s="91"/>
      <c r="M392" s="91"/>
      <c r="N392" s="91"/>
      <c r="O392" s="91"/>
    </row>
    <row r="393" spans="2:15">
      <c r="D393" s="533" t="s">
        <v>331</v>
      </c>
      <c r="E393" s="2"/>
      <c r="F393" s="2"/>
      <c r="G393" s="91"/>
      <c r="H393" s="89"/>
      <c r="I393" s="89"/>
      <c r="J393" s="89"/>
      <c r="K393" s="139">
        <f>K249</f>
        <v>51.05</v>
      </c>
      <c r="L393" s="139">
        <f>L249</f>
        <v>56.05</v>
      </c>
      <c r="M393" s="139">
        <f>M249</f>
        <v>61.289000000000001</v>
      </c>
      <c r="N393" s="139">
        <f>N249</f>
        <v>66.619779999999992</v>
      </c>
      <c r="O393" s="92">
        <f>O249</f>
        <v>72.057175599999994</v>
      </c>
    </row>
    <row r="394" spans="2:15">
      <c r="D394" s="533" t="s">
        <v>269</v>
      </c>
      <c r="E394" s="2"/>
      <c r="F394" s="2"/>
      <c r="G394" s="91"/>
      <c r="H394" s="89"/>
      <c r="I394" s="89"/>
      <c r="J394" s="89"/>
      <c r="K394" s="305">
        <f>K425</f>
        <v>130.5</v>
      </c>
      <c r="L394" s="305">
        <f>L425</f>
        <v>129.51</v>
      </c>
      <c r="M394" s="305">
        <f>M425</f>
        <v>129.77369999999999</v>
      </c>
      <c r="N394" s="305">
        <f>N425</f>
        <v>130.40294400000002</v>
      </c>
      <c r="O394" s="93">
        <f>O425</f>
        <v>131.39869428</v>
      </c>
    </row>
    <row r="395" spans="2:15">
      <c r="D395" s="534" t="s">
        <v>332</v>
      </c>
      <c r="E395" s="95"/>
      <c r="F395" s="95"/>
      <c r="G395" s="96"/>
      <c r="H395" s="97"/>
      <c r="I395" s="97"/>
      <c r="J395" s="97"/>
      <c r="K395" s="311">
        <f ca="1">K391+K393-K394</f>
        <v>104.89035417566225</v>
      </c>
      <c r="L395" s="311">
        <f ca="1">L391+L393-L394</f>
        <v>93.21110804360859</v>
      </c>
      <c r="M395" s="311">
        <f ca="1">M391+M393-M394</f>
        <v>100.5866803691475</v>
      </c>
      <c r="N395" s="311">
        <f ca="1">N391+N393-N394</f>
        <v>151.30396798564882</v>
      </c>
      <c r="O395" s="98">
        <f ca="1">O391+O393-O394</f>
        <v>181.27054111483861</v>
      </c>
    </row>
    <row r="396" spans="2:15">
      <c r="E396" s="2"/>
      <c r="F396" s="2"/>
      <c r="G396" s="91"/>
      <c r="H396" s="91"/>
      <c r="I396" s="91"/>
      <c r="J396" s="91"/>
      <c r="K396" s="91"/>
      <c r="L396" s="91"/>
      <c r="M396" s="91"/>
      <c r="N396" s="91"/>
      <c r="O396" s="91"/>
    </row>
    <row r="397" spans="2:15">
      <c r="C397" s="534" t="s">
        <v>333</v>
      </c>
      <c r="E397" s="2"/>
      <c r="F397" s="2"/>
      <c r="G397" s="91"/>
      <c r="H397" s="91"/>
      <c r="I397" s="91"/>
      <c r="J397" s="91"/>
      <c r="K397" s="91"/>
      <c r="L397" s="91"/>
      <c r="M397" s="91"/>
      <c r="N397" s="91"/>
      <c r="O397" s="91"/>
    </row>
    <row r="398" spans="2:15">
      <c r="D398" s="535" t="s">
        <v>334</v>
      </c>
      <c r="E398" s="2"/>
      <c r="F398" s="2"/>
      <c r="G398" s="91"/>
      <c r="H398" s="91"/>
      <c r="I398" s="91"/>
      <c r="J398" s="91"/>
      <c r="K398" s="139">
        <f>I41</f>
        <v>0</v>
      </c>
      <c r="L398" s="139">
        <f ca="1">K398-K399</f>
        <v>0</v>
      </c>
      <c r="M398" s="139">
        <f ca="1">L398-L399</f>
        <v>0</v>
      </c>
      <c r="N398" s="139">
        <f ca="1">M398-M399</f>
        <v>0</v>
      </c>
      <c r="O398" s="92">
        <f ca="1">N398-N399</f>
        <v>0</v>
      </c>
    </row>
    <row r="399" spans="2:15">
      <c r="D399" s="536" t="s">
        <v>335</v>
      </c>
      <c r="E399" s="2"/>
      <c r="F399" s="2"/>
      <c r="G399" s="91"/>
      <c r="H399" s="89"/>
      <c r="I399" s="89"/>
      <c r="J399" s="89"/>
      <c r="K399" s="305">
        <f ca="1">IF(K395&lt;0,0,MIN(K398,K395))</f>
        <v>0</v>
      </c>
      <c r="L399" s="305">
        <f ca="1">IF(L395&lt;0,0,MIN(L398,L395))</f>
        <v>0</v>
      </c>
      <c r="M399" s="305">
        <f ca="1">IF(M395&lt;0,0,MIN(M398,M395))</f>
        <v>0</v>
      </c>
      <c r="N399" s="305">
        <f ca="1">IF(N395&lt;0,0,MIN(N398,N395))</f>
        <v>0</v>
      </c>
      <c r="O399" s="93">
        <f ca="1">IF(O395&lt;0,0,MIN(O398,O395))</f>
        <v>0</v>
      </c>
    </row>
    <row r="400" spans="2:15">
      <c r="D400" s="537" t="s">
        <v>336</v>
      </c>
      <c r="E400" s="95"/>
      <c r="F400" s="95"/>
      <c r="G400" s="96"/>
      <c r="H400" s="97"/>
      <c r="I400" s="97"/>
      <c r="J400" s="97"/>
      <c r="K400" s="311">
        <f ca="1">K395-K399</f>
        <v>104.89035417566225</v>
      </c>
      <c r="L400" s="311">
        <f ca="1">L395-L399</f>
        <v>93.21110804360859</v>
      </c>
      <c r="M400" s="311">
        <f ca="1">M395-M399</f>
        <v>100.5866803691475</v>
      </c>
      <c r="N400" s="311">
        <f ca="1">N395-N399</f>
        <v>151.30396798564882</v>
      </c>
      <c r="O400" s="98">
        <f ca="1">O395-O399</f>
        <v>181.27054111483861</v>
      </c>
    </row>
    <row r="401" spans="4:15">
      <c r="E401" s="2"/>
      <c r="F401" s="2"/>
      <c r="G401" s="91"/>
      <c r="H401" s="91"/>
      <c r="I401" s="91"/>
      <c r="J401" s="91"/>
      <c r="K401" s="91"/>
      <c r="L401" s="91"/>
      <c r="M401" s="91"/>
      <c r="N401" s="91"/>
      <c r="O401" s="91"/>
    </row>
    <row r="402" spans="4:15">
      <c r="D402" s="535" t="s">
        <v>337</v>
      </c>
      <c r="E402" s="2"/>
      <c r="F402" s="2"/>
      <c r="G402" s="91"/>
      <c r="H402" s="91"/>
      <c r="I402" s="91"/>
      <c r="J402" s="91"/>
      <c r="K402" s="139">
        <f>J404</f>
        <v>0</v>
      </c>
      <c r="L402" s="139">
        <f ca="1">K404</f>
        <v>0</v>
      </c>
      <c r="M402" s="139">
        <f ca="1">L404</f>
        <v>0</v>
      </c>
      <c r="N402" s="139">
        <f ca="1">M404</f>
        <v>0</v>
      </c>
      <c r="O402" s="92">
        <f ca="1">N404</f>
        <v>0</v>
      </c>
    </row>
    <row r="403" spans="4:15">
      <c r="D403" s="535" t="s">
        <v>338</v>
      </c>
      <c r="E403" s="2"/>
      <c r="F403" s="2"/>
      <c r="G403" s="91"/>
      <c r="H403" s="89"/>
      <c r="I403" s="89"/>
      <c r="J403" s="89"/>
      <c r="K403" s="93">
        <f ca="1">MIN(K402,K400)</f>
        <v>0</v>
      </c>
      <c r="L403" s="93">
        <f ca="1">MIN(L402,L400)</f>
        <v>0</v>
      </c>
      <c r="M403" s="93">
        <f ca="1">MIN(M402,M400)</f>
        <v>0</v>
      </c>
      <c r="N403" s="93">
        <f ca="1">MIN(N402,N400)</f>
        <v>0</v>
      </c>
      <c r="O403" s="93">
        <f ca="1">MIN(O402,O400)</f>
        <v>0</v>
      </c>
    </row>
    <row r="404" spans="4:15">
      <c r="D404" s="535" t="s">
        <v>339</v>
      </c>
      <c r="E404" s="2"/>
      <c r="F404" s="2"/>
      <c r="G404" s="91"/>
      <c r="H404" s="89"/>
      <c r="I404" s="89"/>
      <c r="J404" s="89"/>
      <c r="K404" s="92">
        <f ca="1">K402-K403</f>
        <v>0</v>
      </c>
      <c r="L404" s="92">
        <f ca="1">L402-L403</f>
        <v>0</v>
      </c>
      <c r="M404" s="92">
        <f ca="1">M402-M403</f>
        <v>0</v>
      </c>
      <c r="N404" s="92">
        <f ca="1">N402-N403</f>
        <v>0</v>
      </c>
      <c r="O404" s="92">
        <f ca="1">O402-O403</f>
        <v>0</v>
      </c>
    </row>
    <row r="405" spans="4:15" ht="6" customHeight="1">
      <c r="D405" s="99"/>
      <c r="E405" s="2"/>
      <c r="F405" s="2"/>
      <c r="G405" s="91"/>
      <c r="H405" s="89"/>
      <c r="I405" s="89"/>
      <c r="J405" s="89"/>
      <c r="K405" s="92"/>
      <c r="L405" s="92"/>
      <c r="M405" s="92"/>
      <c r="N405" s="92"/>
      <c r="O405" s="92"/>
    </row>
    <row r="406" spans="4:15">
      <c r="D406" s="535" t="s">
        <v>340</v>
      </c>
      <c r="E406" s="2"/>
      <c r="F406" s="2"/>
      <c r="G406" s="91"/>
      <c r="H406" s="89"/>
      <c r="I406" s="89"/>
      <c r="J406" s="89"/>
      <c r="K406" s="93">
        <f ca="1">IF(K399&lt;0,K398,(K398-K399))</f>
        <v>0</v>
      </c>
      <c r="L406" s="93">
        <f ca="1">IF(L399&lt;0,L398,(L398-L399))</f>
        <v>0</v>
      </c>
      <c r="M406" s="93">
        <f ca="1">IF(M399&lt;0,M398,(M398-M399))</f>
        <v>0</v>
      </c>
      <c r="N406" s="93">
        <f ca="1">IF(N399&lt;0,N398,(N398-N399))</f>
        <v>0</v>
      </c>
      <c r="O406" s="93">
        <f ca="1">IF(O399&lt;0,O398,(O398-O399))</f>
        <v>0</v>
      </c>
    </row>
    <row r="407" spans="4:15">
      <c r="D407" s="537" t="s">
        <v>341</v>
      </c>
      <c r="E407" s="95"/>
      <c r="F407" s="95"/>
      <c r="G407" s="96"/>
      <c r="H407" s="97"/>
      <c r="I407" s="97"/>
      <c r="J407" s="97"/>
      <c r="K407" s="98">
        <f ca="1">K406+K404</f>
        <v>0</v>
      </c>
      <c r="L407" s="98">
        <f ca="1">L406+L404</f>
        <v>0</v>
      </c>
      <c r="M407" s="98">
        <f ca="1">M406+M404</f>
        <v>0</v>
      </c>
      <c r="N407" s="98">
        <f ca="1">N406+N404</f>
        <v>0</v>
      </c>
      <c r="O407" s="98">
        <f ca="1">O406+O404</f>
        <v>0</v>
      </c>
    </row>
    <row r="408" spans="4:15">
      <c r="E408" s="2"/>
      <c r="F408" s="2"/>
      <c r="G408" s="91"/>
      <c r="H408" s="91"/>
      <c r="I408" s="91"/>
      <c r="J408" s="91"/>
      <c r="K408" s="91"/>
      <c r="L408" s="91"/>
      <c r="M408" s="91"/>
      <c r="N408" s="91"/>
      <c r="O408" s="91"/>
    </row>
    <row r="409" spans="4:15">
      <c r="D409" s="537" t="s">
        <v>342</v>
      </c>
      <c r="F409" s="2"/>
      <c r="G409" s="88" t="s">
        <v>37</v>
      </c>
      <c r="H409" s="97"/>
      <c r="I409" s="97"/>
      <c r="J409" s="97"/>
      <c r="K409" s="90">
        <f ca="1">K400-K403</f>
        <v>104.89035417566225</v>
      </c>
      <c r="L409" s="90">
        <f ca="1">L400-L403</f>
        <v>93.21110804360859</v>
      </c>
      <c r="M409" s="90">
        <f ca="1">M400-M403</f>
        <v>100.5866803691475</v>
      </c>
      <c r="N409" s="90">
        <f ca="1">N400-N403</f>
        <v>151.30396798564882</v>
      </c>
      <c r="O409" s="90">
        <f ca="1">O400-O403</f>
        <v>181.27054111483861</v>
      </c>
    </row>
    <row r="410" spans="4:15">
      <c r="E410" s="94"/>
      <c r="F410" s="74"/>
      <c r="H410" s="89"/>
      <c r="I410" s="89"/>
      <c r="J410" s="89"/>
      <c r="K410" s="89"/>
      <c r="L410" s="89"/>
      <c r="M410" s="89"/>
      <c r="N410" s="89"/>
      <c r="O410" s="89"/>
    </row>
    <row r="411" spans="4:15">
      <c r="D411" s="100" t="str">
        <f>CONCATENATE("Accounting Taxes (",$E$389*100,"% of A)")</f>
        <v>Accounting Taxes (28% of A)</v>
      </c>
      <c r="E411" s="2"/>
      <c r="F411" s="91"/>
      <c r="G411" s="91"/>
      <c r="H411" s="89"/>
      <c r="I411" s="89"/>
      <c r="J411" s="89"/>
      <c r="K411" s="92">
        <f ca="1">$E$389*K391</f>
        <v>51.615299169185434</v>
      </c>
      <c r="L411" s="92">
        <f ca="1">$E$389*L391</f>
        <v>46.667910252210405</v>
      </c>
      <c r="M411" s="92">
        <f ca="1">$E$389*M391</f>
        <v>47.339986503361303</v>
      </c>
      <c r="N411" s="92">
        <f ca="1">$E$389*N391</f>
        <v>60.224396955981682</v>
      </c>
      <c r="O411" s="92">
        <f ca="1">$E$389*O391</f>
        <v>67.371376742554816</v>
      </c>
    </row>
    <row r="412" spans="4:15">
      <c r="F412" s="101"/>
      <c r="H412" s="89"/>
      <c r="I412" s="89"/>
      <c r="J412" s="89"/>
      <c r="K412" s="89"/>
      <c r="L412" s="89"/>
      <c r="M412" s="89"/>
      <c r="N412" s="89"/>
      <c r="O412" s="89"/>
    </row>
    <row r="413" spans="4:15">
      <c r="D413" s="102" t="s">
        <v>128</v>
      </c>
      <c r="E413" s="103"/>
      <c r="F413" s="104"/>
      <c r="G413" s="104"/>
      <c r="H413" s="104"/>
      <c r="I413" s="104"/>
      <c r="J413" s="104"/>
      <c r="K413" s="104"/>
      <c r="L413" s="104"/>
      <c r="M413" s="104"/>
      <c r="N413" s="104"/>
      <c r="O413" s="105"/>
    </row>
    <row r="414" spans="4:15">
      <c r="D414" s="106" t="str">
        <f>CONCATENATE("Current Tax (",$E$389*100,"% of B)")</f>
        <v>Current Tax (28% of B)</v>
      </c>
      <c r="E414" s="2"/>
      <c r="F414" s="91"/>
      <c r="G414" s="96"/>
      <c r="H414" s="89"/>
      <c r="I414" s="89"/>
      <c r="J414" s="89"/>
      <c r="K414" s="92">
        <f ca="1">$E$389*K409</f>
        <v>29.369299169185435</v>
      </c>
      <c r="L414" s="92">
        <f ca="1">$E$389*L409</f>
        <v>26.099110252210409</v>
      </c>
      <c r="M414" s="92">
        <f ca="1">$E$389*M409</f>
        <v>28.164270503361305</v>
      </c>
      <c r="N414" s="92">
        <f ca="1">$E$389*N409</f>
        <v>42.365111035981677</v>
      </c>
      <c r="O414" s="107">
        <f ca="1">$E$389*O409</f>
        <v>50.755751512154816</v>
      </c>
    </row>
    <row r="415" spans="4:15">
      <c r="D415" s="108" t="s">
        <v>222</v>
      </c>
      <c r="E415" s="2"/>
      <c r="F415" s="91"/>
      <c r="G415" s="91"/>
      <c r="H415" s="89"/>
      <c r="I415" s="89"/>
      <c r="J415" s="89"/>
      <c r="K415" s="93">
        <f ca="1">K411-K414</f>
        <v>22.245999999999999</v>
      </c>
      <c r="L415" s="93">
        <f ca="1">L411-L414</f>
        <v>20.568799999999996</v>
      </c>
      <c r="M415" s="93">
        <f ca="1">M411-M414</f>
        <v>19.175715999999998</v>
      </c>
      <c r="N415" s="93">
        <f ca="1">N411-N414</f>
        <v>17.859285920000005</v>
      </c>
      <c r="O415" s="109">
        <f ca="1">O411-O414</f>
        <v>16.615625230399999</v>
      </c>
    </row>
    <row r="416" spans="4:15">
      <c r="D416" s="110" t="s">
        <v>129</v>
      </c>
      <c r="E416" s="111"/>
      <c r="F416" s="112"/>
      <c r="G416" s="112"/>
      <c r="H416" s="113"/>
      <c r="I416" s="113"/>
      <c r="J416" s="113"/>
      <c r="K416" s="114">
        <f ca="1">SUM(K414:K415)</f>
        <v>51.615299169185434</v>
      </c>
      <c r="L416" s="114">
        <f ca="1">SUM(L414:L415)</f>
        <v>46.667910252210405</v>
      </c>
      <c r="M416" s="114">
        <f ca="1">SUM(M414:M415)</f>
        <v>47.339986503361303</v>
      </c>
      <c r="N416" s="114">
        <f ca="1">SUM(N414:N415)</f>
        <v>60.224396955981682</v>
      </c>
      <c r="O416" s="115">
        <f ca="1">SUM(O414:O415)</f>
        <v>67.371376742554816</v>
      </c>
    </row>
    <row r="417" spans="2:15">
      <c r="E417" s="2"/>
      <c r="F417" s="91"/>
      <c r="G417" s="91"/>
      <c r="H417" s="91"/>
      <c r="I417" s="91"/>
      <c r="J417" s="91"/>
      <c r="K417" s="91"/>
      <c r="L417" s="91"/>
      <c r="M417" s="91"/>
      <c r="N417" s="91"/>
      <c r="O417" s="91"/>
    </row>
    <row r="418" spans="2:15" ht="13.5">
      <c r="D418" s="538" t="s">
        <v>271</v>
      </c>
      <c r="F418" s="91"/>
      <c r="G418" s="91"/>
      <c r="H418" s="91"/>
      <c r="I418" s="91"/>
      <c r="J418" s="91"/>
      <c r="K418" s="91"/>
      <c r="L418" s="91"/>
      <c r="M418" s="91"/>
      <c r="N418" s="91"/>
      <c r="O418" s="91"/>
    </row>
    <row r="419" spans="2:15">
      <c r="D419" s="89" t="s">
        <v>272</v>
      </c>
      <c r="F419" s="521">
        <f>I40</f>
        <v>0.18</v>
      </c>
      <c r="H419" s="85"/>
      <c r="I419" s="85"/>
      <c r="J419" s="85"/>
      <c r="K419" s="85">
        <f>K$145</f>
        <v>2019</v>
      </c>
      <c r="L419" s="85">
        <f>L$145</f>
        <v>2020</v>
      </c>
      <c r="M419" s="85">
        <f>M$145</f>
        <v>2021</v>
      </c>
      <c r="N419" s="85">
        <f>N$145</f>
        <v>2022</v>
      </c>
      <c r="O419" s="85">
        <f>O$145</f>
        <v>2023</v>
      </c>
    </row>
    <row r="420" spans="2:15" ht="6" customHeight="1">
      <c r="G420" s="91"/>
      <c r="H420" s="85"/>
      <c r="I420" s="85"/>
      <c r="J420" s="85"/>
      <c r="K420" s="85"/>
      <c r="L420" s="85"/>
      <c r="M420" s="85"/>
      <c r="N420" s="85"/>
      <c r="O420" s="85"/>
    </row>
    <row r="421" spans="2:15">
      <c r="D421" s="539" t="s">
        <v>343</v>
      </c>
      <c r="F421" s="2"/>
      <c r="G421" s="88" t="s">
        <v>136</v>
      </c>
      <c r="H421" s="118"/>
      <c r="I421" s="118"/>
      <c r="J421" s="118"/>
      <c r="K421" s="119">
        <f>I42</f>
        <v>665</v>
      </c>
      <c r="L421" s="119">
        <f>K426</f>
        <v>654.5</v>
      </c>
      <c r="M421" s="119">
        <f>L426</f>
        <v>654.99</v>
      </c>
      <c r="N421" s="119">
        <f>M426</f>
        <v>657.16630000000009</v>
      </c>
      <c r="O421" s="119">
        <f>N426</f>
        <v>661.35235599999999</v>
      </c>
    </row>
    <row r="422" spans="2:15">
      <c r="D422" s="539" t="s">
        <v>134</v>
      </c>
      <c r="F422" s="2"/>
      <c r="G422" s="88" t="s">
        <v>137</v>
      </c>
      <c r="H422" s="89"/>
      <c r="I422" s="89"/>
      <c r="J422" s="89"/>
      <c r="K422" s="139">
        <f>-K291</f>
        <v>120</v>
      </c>
      <c r="L422" s="92">
        <f>-L291</f>
        <v>130</v>
      </c>
      <c r="M422" s="92">
        <f>-M291</f>
        <v>131.94999999999999</v>
      </c>
      <c r="N422" s="92">
        <f>-N291</f>
        <v>134.589</v>
      </c>
      <c r="O422" s="92">
        <f>-O291</f>
        <v>137.28077999999999</v>
      </c>
    </row>
    <row r="423" spans="2:15">
      <c r="D423" s="539" t="s">
        <v>135</v>
      </c>
      <c r="F423" s="2"/>
      <c r="G423" s="91"/>
      <c r="H423" s="89"/>
      <c r="I423" s="89"/>
      <c r="J423" s="89"/>
      <c r="K423" s="139">
        <f>K422*0.5</f>
        <v>60</v>
      </c>
      <c r="L423" s="92">
        <f>L422*0.5</f>
        <v>65</v>
      </c>
      <c r="M423" s="92">
        <f>M422*0.5</f>
        <v>65.974999999999994</v>
      </c>
      <c r="N423" s="92">
        <f>N422*0.5</f>
        <v>67.294499999999999</v>
      </c>
      <c r="O423" s="92">
        <f>O422*0.5</f>
        <v>68.640389999999996</v>
      </c>
    </row>
    <row r="424" spans="2:15">
      <c r="D424" s="539" t="s">
        <v>344</v>
      </c>
      <c r="F424" s="2"/>
      <c r="G424" s="91"/>
      <c r="H424" s="89"/>
      <c r="I424" s="89"/>
      <c r="J424" s="89"/>
      <c r="K424" s="139">
        <f>K423+K421</f>
        <v>725</v>
      </c>
      <c r="L424" s="92">
        <f>L423+L421</f>
        <v>719.5</v>
      </c>
      <c r="M424" s="92">
        <f>M423+M421</f>
        <v>720.96500000000003</v>
      </c>
      <c r="N424" s="92">
        <f>N423+N421</f>
        <v>724.46080000000006</v>
      </c>
      <c r="O424" s="92">
        <f>O423+O421</f>
        <v>729.99274600000001</v>
      </c>
    </row>
    <row r="425" spans="2:15">
      <c r="D425" s="540" t="s">
        <v>273</v>
      </c>
      <c r="F425" s="2"/>
      <c r="G425" s="88" t="s">
        <v>138</v>
      </c>
      <c r="H425" s="89"/>
      <c r="I425" s="89"/>
      <c r="J425" s="89"/>
      <c r="K425" s="305">
        <f>K424*$F$419</f>
        <v>130.5</v>
      </c>
      <c r="L425" s="93">
        <f>L424*$F$419</f>
        <v>129.51</v>
      </c>
      <c r="M425" s="93">
        <f>M424*$F$419</f>
        <v>129.77369999999999</v>
      </c>
      <c r="N425" s="93">
        <f>N424*$F$419</f>
        <v>130.40294400000002</v>
      </c>
      <c r="O425" s="93">
        <f>O424*$F$419</f>
        <v>131.39869428</v>
      </c>
    </row>
    <row r="426" spans="2:15">
      <c r="D426" s="541" t="s">
        <v>345</v>
      </c>
      <c r="F426" s="95"/>
      <c r="G426" s="120"/>
      <c r="H426" s="121"/>
      <c r="I426" s="121"/>
      <c r="J426" s="121"/>
      <c r="K426" s="218">
        <f>K421+K422-K425</f>
        <v>654.5</v>
      </c>
      <c r="L426" s="90">
        <f>L421+L422-L425</f>
        <v>654.99</v>
      </c>
      <c r="M426" s="90">
        <f>M421+M422-M425</f>
        <v>657.16630000000009</v>
      </c>
      <c r="N426" s="90">
        <f>N421+N422-N425</f>
        <v>661.35235599999999</v>
      </c>
      <c r="O426" s="90">
        <f>O421+O422-O425</f>
        <v>667.23444171999995</v>
      </c>
    </row>
    <row r="427" spans="2:15" ht="6" customHeight="1">
      <c r="B427" s="122"/>
      <c r="C427" s="122"/>
      <c r="D427" s="122"/>
      <c r="E427" s="123"/>
      <c r="F427" s="123"/>
      <c r="G427" s="124"/>
      <c r="H427" s="124"/>
      <c r="I427" s="124"/>
      <c r="J427" s="124"/>
      <c r="K427" s="124"/>
      <c r="L427" s="124"/>
      <c r="M427" s="124"/>
      <c r="N427" s="124"/>
      <c r="O427" s="122"/>
    </row>
    <row r="430" spans="2:15" ht="12.75" customHeight="1">
      <c r="B430" s="71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3" t="str">
        <f>$O$139</f>
        <v>CURRENTLY RUNNING: BASE CASE SCENARIO</v>
      </c>
    </row>
    <row r="431" spans="2:15" ht="22.5">
      <c r="B431" s="71" t="str">
        <f>B$140</f>
        <v>Windsol Manufacturing</v>
      </c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</row>
    <row r="432" spans="2:15" ht="18.75">
      <c r="B432" s="75" t="s">
        <v>61</v>
      </c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</row>
    <row r="433" spans="2:15" ht="6" customHeight="1" thickBot="1">
      <c r="B433" s="76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</row>
    <row r="434" spans="2:15">
      <c r="B434" s="78" t="s">
        <v>268</v>
      </c>
      <c r="F434" s="74"/>
      <c r="O434" s="100"/>
    </row>
    <row r="435" spans="2:15" ht="13.5">
      <c r="F435" s="74"/>
      <c r="H435" s="72"/>
      <c r="I435" s="72"/>
      <c r="J435" s="72"/>
      <c r="K435" s="80" t="s">
        <v>6</v>
      </c>
      <c r="L435" s="81"/>
      <c r="M435" s="81"/>
      <c r="N435" s="81"/>
      <c r="O435" s="81"/>
    </row>
    <row r="436" spans="2:15">
      <c r="F436" s="74"/>
      <c r="G436" s="128"/>
      <c r="H436" s="85"/>
      <c r="I436" s="129">
        <f>I145</f>
        <v>2017</v>
      </c>
      <c r="J436" s="469">
        <f>J145</f>
        <v>2018</v>
      </c>
      <c r="K436" s="86">
        <f>K$145</f>
        <v>2019</v>
      </c>
      <c r="L436" s="86">
        <f>L$145</f>
        <v>2020</v>
      </c>
      <c r="M436" s="86">
        <f>M$145</f>
        <v>2021</v>
      </c>
      <c r="N436" s="86">
        <f>N$145</f>
        <v>2022</v>
      </c>
      <c r="O436" s="86">
        <f>O$145</f>
        <v>2023</v>
      </c>
    </row>
    <row r="437" spans="2:15">
      <c r="F437" s="74"/>
    </row>
    <row r="438" spans="2:15">
      <c r="B438" s="154" t="s">
        <v>144</v>
      </c>
      <c r="C438" s="155"/>
      <c r="D438" s="155"/>
      <c r="E438" s="155"/>
      <c r="F438" s="204" t="s">
        <v>78</v>
      </c>
      <c r="G438" s="155"/>
      <c r="H438" s="155"/>
      <c r="I438" s="155"/>
      <c r="J438" s="290">
        <f t="shared" ref="J438:O438" si="71">DATE(J436,12,31)-DATE(I436,12,31)</f>
        <v>365</v>
      </c>
      <c r="K438" s="290">
        <f t="shared" si="71"/>
        <v>365</v>
      </c>
      <c r="L438" s="290">
        <f t="shared" si="71"/>
        <v>366</v>
      </c>
      <c r="M438" s="290">
        <f t="shared" si="71"/>
        <v>365</v>
      </c>
      <c r="N438" s="290">
        <f t="shared" si="71"/>
        <v>365</v>
      </c>
      <c r="O438" s="291">
        <f t="shared" si="71"/>
        <v>365</v>
      </c>
    </row>
    <row r="439" spans="2:15">
      <c r="F439" s="158"/>
    </row>
    <row r="440" spans="2:15">
      <c r="B440" s="385" t="s">
        <v>187</v>
      </c>
      <c r="C440" s="386"/>
      <c r="F440" s="158"/>
    </row>
    <row r="441" spans="2:15">
      <c r="B441" s="386"/>
      <c r="C441" s="386" t="s">
        <v>7</v>
      </c>
      <c r="F441" s="158" t="s">
        <v>270</v>
      </c>
      <c r="J441" s="139">
        <f t="shared" ref="J441:O441" si="72">J240</f>
        <v>1775.6042976000003</v>
      </c>
      <c r="K441" s="139">
        <f t="shared" si="72"/>
        <v>1878.2772234660001</v>
      </c>
      <c r="L441" s="139">
        <f t="shared" si="72"/>
        <v>1915.8087977043497</v>
      </c>
      <c r="M441" s="139">
        <f t="shared" si="72"/>
        <v>1983.8404528658382</v>
      </c>
      <c r="N441" s="139">
        <f t="shared" si="72"/>
        <v>2099.7090742545884</v>
      </c>
      <c r="O441" s="139">
        <f t="shared" si="72"/>
        <v>2197.5143811849248</v>
      </c>
    </row>
    <row r="442" spans="2:15">
      <c r="B442" s="386"/>
      <c r="C442" s="386" t="s">
        <v>8</v>
      </c>
      <c r="F442" s="158" t="s">
        <v>270</v>
      </c>
      <c r="J442" s="139">
        <f t="shared" ref="J442:O442" si="73">J242</f>
        <v>1529.9405368</v>
      </c>
      <c r="K442" s="139">
        <f t="shared" si="73"/>
        <v>1593.116528</v>
      </c>
      <c r="L442" s="139">
        <f t="shared" si="73"/>
        <v>1645.5980414383998</v>
      </c>
      <c r="M442" s="139">
        <f t="shared" si="73"/>
        <v>1707.2742717364754</v>
      </c>
      <c r="N442" s="139">
        <f t="shared" si="73"/>
        <v>1780.0951646629846</v>
      </c>
      <c r="O442" s="139">
        <f t="shared" si="73"/>
        <v>1856.1322064889005</v>
      </c>
    </row>
    <row r="443" spans="2:15">
      <c r="B443" s="386"/>
      <c r="C443" s="386"/>
      <c r="F443" s="158"/>
    </row>
    <row r="444" spans="2:15">
      <c r="B444" s="385" t="s">
        <v>32</v>
      </c>
      <c r="C444" s="292"/>
      <c r="F444" s="158"/>
    </row>
    <row r="445" spans="2:15">
      <c r="B445" s="386"/>
      <c r="C445" s="292" t="s">
        <v>19</v>
      </c>
      <c r="F445" s="158" t="s">
        <v>78</v>
      </c>
      <c r="G445" s="293"/>
      <c r="H445" s="294"/>
      <c r="I445" s="294"/>
      <c r="J445" s="182">
        <f>J450/J441*J438</f>
        <v>29.642302663460271</v>
      </c>
      <c r="K445" s="182">
        <f t="shared" ref="K445:O447" si="74">H77</f>
        <v>29</v>
      </c>
      <c r="L445" s="182">
        <f t="shared" si="74"/>
        <v>28</v>
      </c>
      <c r="M445" s="182">
        <f t="shared" si="74"/>
        <v>27</v>
      </c>
      <c r="N445" s="182">
        <f t="shared" si="74"/>
        <v>27</v>
      </c>
      <c r="O445" s="182">
        <f t="shared" si="74"/>
        <v>27</v>
      </c>
    </row>
    <row r="446" spans="2:15">
      <c r="B446" s="386"/>
      <c r="C446" s="295" t="s">
        <v>33</v>
      </c>
      <c r="F446" s="158" t="s">
        <v>78</v>
      </c>
      <c r="G446" s="293"/>
      <c r="H446" s="294"/>
      <c r="I446" s="294"/>
      <c r="J446" s="182">
        <f>J451/J442*J438</f>
        <v>47.54727275358772</v>
      </c>
      <c r="K446" s="182">
        <f t="shared" si="74"/>
        <v>54</v>
      </c>
      <c r="L446" s="182">
        <f t="shared" si="74"/>
        <v>53</v>
      </c>
      <c r="M446" s="182">
        <f t="shared" si="74"/>
        <v>52</v>
      </c>
      <c r="N446" s="182">
        <f t="shared" si="74"/>
        <v>52</v>
      </c>
      <c r="O446" s="182">
        <f t="shared" si="74"/>
        <v>51</v>
      </c>
    </row>
    <row r="447" spans="2:15">
      <c r="B447" s="386"/>
      <c r="C447" s="292" t="s">
        <v>25</v>
      </c>
      <c r="F447" s="158" t="s">
        <v>78</v>
      </c>
      <c r="G447" s="293"/>
      <c r="H447" s="294"/>
      <c r="I447" s="294"/>
      <c r="J447" s="182">
        <f>J452/J442*J438</f>
        <v>32.159419805236446</v>
      </c>
      <c r="K447" s="182">
        <f t="shared" si="74"/>
        <v>38</v>
      </c>
      <c r="L447" s="182">
        <f t="shared" si="74"/>
        <v>39</v>
      </c>
      <c r="M447" s="182">
        <f t="shared" si="74"/>
        <v>40</v>
      </c>
      <c r="N447" s="182">
        <f t="shared" si="74"/>
        <v>40</v>
      </c>
      <c r="O447" s="182">
        <f t="shared" si="74"/>
        <v>40</v>
      </c>
    </row>
    <row r="448" spans="2:15">
      <c r="B448" s="386"/>
      <c r="C448" s="292"/>
      <c r="F448" s="158"/>
      <c r="H448" s="282"/>
      <c r="I448" s="282"/>
      <c r="J448" s="282"/>
      <c r="K448" s="282"/>
      <c r="L448" s="282"/>
      <c r="M448" s="282"/>
      <c r="N448" s="282"/>
      <c r="O448" s="282"/>
    </row>
    <row r="449" spans="2:15">
      <c r="B449" s="385" t="s">
        <v>34</v>
      </c>
      <c r="C449" s="292"/>
      <c r="F449" s="158"/>
      <c r="H449" s="282"/>
      <c r="I449" s="282"/>
      <c r="J449" s="282"/>
      <c r="K449" s="282"/>
      <c r="L449" s="282"/>
      <c r="M449" s="282"/>
      <c r="N449" s="282"/>
      <c r="O449" s="282"/>
    </row>
    <row r="450" spans="2:15">
      <c r="B450" s="386"/>
      <c r="C450" s="292" t="s">
        <v>19</v>
      </c>
      <c r="F450" s="158" t="s">
        <v>270</v>
      </c>
      <c r="I450" s="186"/>
      <c r="J450" s="182">
        <f>J324</f>
        <v>144.19999999999999</v>
      </c>
      <c r="K450" s="182">
        <f>K445*K441/K438</f>
        <v>149.23298487812056</v>
      </c>
      <c r="L450" s="182">
        <f>L445*L441/L438</f>
        <v>146.5646074746497</v>
      </c>
      <c r="M450" s="182">
        <f>M445*M441/M438</f>
        <v>146.74984171884282</v>
      </c>
      <c r="N450" s="182">
        <f>N445*N441/N438</f>
        <v>155.32094521883255</v>
      </c>
      <c r="O450" s="182">
        <f>O445*O441/O438</f>
        <v>162.55585833422731</v>
      </c>
    </row>
    <row r="451" spans="2:15">
      <c r="B451" s="386"/>
      <c r="C451" s="295" t="s">
        <v>33</v>
      </c>
      <c r="F451" s="158" t="s">
        <v>270</v>
      </c>
      <c r="I451" s="186"/>
      <c r="J451" s="182">
        <f>J325</f>
        <v>199.3</v>
      </c>
      <c r="K451" s="182">
        <f>K446*K442/K438</f>
        <v>235.69395208767122</v>
      </c>
      <c r="L451" s="182">
        <f>L446*L442/L438</f>
        <v>238.29698414271911</v>
      </c>
      <c r="M451" s="182">
        <f>M446*M442/M438</f>
        <v>243.22811542547046</v>
      </c>
      <c r="N451" s="182">
        <f>N446*N442/N438</f>
        <v>253.60259880130192</v>
      </c>
      <c r="O451" s="182">
        <f>O446*O442/O438</f>
        <v>259.34997953680528</v>
      </c>
    </row>
    <row r="452" spans="2:15">
      <c r="B452" s="386"/>
      <c r="C452" s="292" t="s">
        <v>25</v>
      </c>
      <c r="F452" s="158" t="s">
        <v>270</v>
      </c>
      <c r="I452" s="186"/>
      <c r="J452" s="296">
        <f>J336</f>
        <v>134.80000000000001</v>
      </c>
      <c r="K452" s="296">
        <f>K447*K442/K438</f>
        <v>165.85870702465752</v>
      </c>
      <c r="L452" s="296">
        <f>L447*L442/L438</f>
        <v>175.35061097294425</v>
      </c>
      <c r="M452" s="296">
        <f>M447*M442/M438</f>
        <v>187.09855032728495</v>
      </c>
      <c r="N452" s="296">
        <f>N447*N442/N438</f>
        <v>195.07892215484762</v>
      </c>
      <c r="O452" s="296">
        <f>O447*O442/O438</f>
        <v>203.41174865631788</v>
      </c>
    </row>
    <row r="453" spans="2:15">
      <c r="B453" s="386"/>
      <c r="C453" s="297" t="s">
        <v>35</v>
      </c>
      <c r="D453" s="94"/>
      <c r="E453" s="94"/>
      <c r="F453" s="178" t="s">
        <v>270</v>
      </c>
      <c r="I453" s="282"/>
      <c r="J453" s="568">
        <f>SUM( J450:J451 ) - J452</f>
        <v>208.7</v>
      </c>
      <c r="K453" s="568">
        <f t="shared" ref="K453:O453" si="75">SUM( K450:K451 ) - K452</f>
        <v>219.06822994113429</v>
      </c>
      <c r="L453" s="568">
        <f t="shared" si="75"/>
        <v>209.51098064442459</v>
      </c>
      <c r="M453" s="568">
        <f t="shared" si="75"/>
        <v>202.87940681702833</v>
      </c>
      <c r="N453" s="568">
        <f t="shared" si="75"/>
        <v>213.84462186528688</v>
      </c>
      <c r="O453" s="568">
        <f t="shared" si="75"/>
        <v>218.49408921471471</v>
      </c>
    </row>
    <row r="454" spans="2:15">
      <c r="B454" s="386"/>
      <c r="C454" s="292"/>
      <c r="F454" s="158"/>
      <c r="H454" s="282"/>
      <c r="I454" s="282"/>
      <c r="J454" s="282"/>
      <c r="K454" s="282"/>
      <c r="L454" s="282"/>
      <c r="M454" s="282"/>
      <c r="N454" s="282"/>
      <c r="O454" s="282"/>
    </row>
    <row r="455" spans="2:15" ht="13.5" thickBot="1">
      <c r="B455" s="297" t="s">
        <v>154</v>
      </c>
      <c r="C455" s="386"/>
      <c r="F455" s="178" t="s">
        <v>270</v>
      </c>
      <c r="H455" s="282"/>
      <c r="I455" s="282"/>
      <c r="J455" s="136"/>
      <c r="K455" s="135">
        <f>J453-K453</f>
        <v>-10.368229941134302</v>
      </c>
      <c r="L455" s="135">
        <f>K453-L453</f>
        <v>9.5572492967096991</v>
      </c>
      <c r="M455" s="135">
        <f>L453-M453</f>
        <v>6.6315738273962666</v>
      </c>
      <c r="N455" s="135">
        <f>M453-N453</f>
        <v>-10.965215048258557</v>
      </c>
      <c r="O455" s="135">
        <f>N453-O453</f>
        <v>-4.6494673494278231</v>
      </c>
    </row>
    <row r="456" spans="2:15" ht="13.5" thickTop="1">
      <c r="C456" s="163"/>
      <c r="F456" s="74"/>
    </row>
    <row r="457" spans="2:15">
      <c r="B457" s="122"/>
      <c r="C457" s="167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</row>
    <row r="458" spans="2:15">
      <c r="C458" s="163"/>
      <c r="F458" s="74"/>
    </row>
    <row r="460" spans="2:15" ht="12.75" customHeight="1">
      <c r="B460" s="71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3" t="str">
        <f>$O$139</f>
        <v>CURRENTLY RUNNING: BASE CASE SCENARIO</v>
      </c>
    </row>
    <row r="461" spans="2:15" ht="22.5">
      <c r="B461" s="71" t="str">
        <f>B$140</f>
        <v>Windsol Manufacturing</v>
      </c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</row>
    <row r="462" spans="2:15" ht="18.75">
      <c r="B462" s="75" t="s">
        <v>81</v>
      </c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</row>
    <row r="463" spans="2:15" ht="6" customHeight="1" thickBot="1">
      <c r="B463" s="76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</row>
    <row r="464" spans="2:15" ht="13.5">
      <c r="B464" s="78" t="s">
        <v>268</v>
      </c>
      <c r="F464" s="74"/>
      <c r="H464" s="72"/>
      <c r="I464" s="72"/>
      <c r="J464" s="72"/>
      <c r="K464" s="80" t="s">
        <v>6</v>
      </c>
      <c r="L464" s="81"/>
      <c r="M464" s="81"/>
      <c r="N464" s="81"/>
      <c r="O464" s="81"/>
    </row>
    <row r="465" spans="2:15">
      <c r="F465" s="74"/>
      <c r="G465" s="128"/>
      <c r="H465" s="129"/>
      <c r="I465" s="129"/>
      <c r="J465" s="469">
        <f>$J$145</f>
        <v>2018</v>
      </c>
      <c r="K465" s="86">
        <f>K$145</f>
        <v>2019</v>
      </c>
      <c r="L465" s="86">
        <f>L$145</f>
        <v>2020</v>
      </c>
      <c r="M465" s="86">
        <f>M$145</f>
        <v>2021</v>
      </c>
      <c r="N465" s="86">
        <f>N$145</f>
        <v>2022</v>
      </c>
      <c r="O465" s="86">
        <f>O$145</f>
        <v>2023</v>
      </c>
    </row>
    <row r="466" spans="2:15" ht="4.1500000000000004" customHeight="1">
      <c r="J466" s="387"/>
    </row>
    <row r="467" spans="2:15">
      <c r="B467" s="298" t="s">
        <v>192</v>
      </c>
      <c r="C467" s="299"/>
      <c r="D467" s="299"/>
      <c r="E467" s="299"/>
      <c r="F467" s="300"/>
      <c r="G467" s="299"/>
      <c r="H467" s="299"/>
      <c r="I467" s="299"/>
      <c r="J467" s="299"/>
      <c r="K467" s="420">
        <f>K$118</f>
        <v>0.01</v>
      </c>
      <c r="L467" s="420">
        <f>L$118</f>
        <v>0.01</v>
      </c>
      <c r="M467" s="420">
        <f>M$118</f>
        <v>0.01</v>
      </c>
      <c r="N467" s="420">
        <f>N$118</f>
        <v>1.4999999999999999E-2</v>
      </c>
      <c r="O467" s="421">
        <f>O$118</f>
        <v>0.02</v>
      </c>
    </row>
    <row r="468" spans="2:15">
      <c r="B468" s="301" t="s">
        <v>189</v>
      </c>
      <c r="C468" s="170"/>
      <c r="D468" s="170"/>
      <c r="E468" s="170"/>
      <c r="F468" s="302"/>
      <c r="G468" s="170"/>
      <c r="H468" s="170"/>
      <c r="I468" s="170"/>
      <c r="J468" s="303">
        <f t="shared" ref="J468:O468" si="76">SUM(J335,J337,J342)/J247</f>
        <v>3.2249336827183441</v>
      </c>
      <c r="K468" s="303">
        <f t="shared" ca="1" si="76"/>
        <v>2.5762045600873908</v>
      </c>
      <c r="L468" s="303">
        <f t="shared" ca="1" si="76"/>
        <v>2.5871282506821198</v>
      </c>
      <c r="M468" s="303">
        <f t="shared" ca="1" si="76"/>
        <v>2.4027047683022866</v>
      </c>
      <c r="N468" s="303">
        <f t="shared" ca="1" si="76"/>
        <v>1.3840468603222074</v>
      </c>
      <c r="O468" s="304">
        <f t="shared" ca="1" si="76"/>
        <v>0.98286298391698534</v>
      </c>
    </row>
    <row r="469" spans="2:15" ht="4.1500000000000004" customHeight="1"/>
    <row r="470" spans="2:15">
      <c r="C470" s="94" t="s">
        <v>18</v>
      </c>
    </row>
    <row r="471" spans="2:15">
      <c r="D471" s="74" t="s">
        <v>83</v>
      </c>
      <c r="K471" s="139">
        <f>J473</f>
        <v>73.2</v>
      </c>
      <c r="L471" s="139">
        <f ca="1">K473</f>
        <v>83.420076156986894</v>
      </c>
      <c r="M471" s="139">
        <f ca="1">L473</f>
        <v>111.5194022332817</v>
      </c>
      <c r="N471" s="139">
        <f ca="1">M473</f>
        <v>143.22727752372873</v>
      </c>
      <c r="O471" s="139">
        <f ca="1">N473</f>
        <v>9.999999828812804</v>
      </c>
    </row>
    <row r="472" spans="2:15">
      <c r="D472" s="74" t="s">
        <v>88</v>
      </c>
      <c r="J472" s="122"/>
      <c r="K472" s="305">
        <f ca="1">K307</f>
        <v>10.220076156986892</v>
      </c>
      <c r="L472" s="305">
        <f ca="1">L307</f>
        <v>28.099326076294801</v>
      </c>
      <c r="M472" s="305">
        <f ca="1">M307</f>
        <v>31.707875290447021</v>
      </c>
      <c r="N472" s="305">
        <f ca="1">N307</f>
        <v>-133.22727746509062</v>
      </c>
      <c r="O472" s="305">
        <f ca="1">O307</f>
        <v>3.4163300028922094E-6</v>
      </c>
    </row>
    <row r="473" spans="2:15">
      <c r="D473" s="74" t="s">
        <v>85</v>
      </c>
      <c r="I473" s="306"/>
      <c r="J473" s="280">
        <f>J323</f>
        <v>73.2</v>
      </c>
      <c r="K473" s="280">
        <f ca="1">SUM(K471:K472)</f>
        <v>83.420076156986894</v>
      </c>
      <c r="L473" s="280">
        <f ca="1">SUM(L471:L472)</f>
        <v>111.5194022332817</v>
      </c>
      <c r="M473" s="280">
        <f ca="1">SUM(M471:M472)</f>
        <v>143.22727752372873</v>
      </c>
      <c r="N473" s="280">
        <f ca="1">SUM(N471:N472)</f>
        <v>10.000000058638108</v>
      </c>
      <c r="O473" s="280">
        <f ca="1">SUM(O471:O472)</f>
        <v>10.000003245142807</v>
      </c>
    </row>
    <row r="474" spans="2:15" ht="6" customHeight="1"/>
    <row r="475" spans="2:15" ht="13.15" customHeight="1">
      <c r="D475" s="74" t="s">
        <v>193</v>
      </c>
      <c r="K475" s="179">
        <f>-$Q$8</f>
        <v>-5.0000000000000001E-3</v>
      </c>
      <c r="L475" s="179">
        <f>-$Q$8</f>
        <v>-5.0000000000000001E-3</v>
      </c>
      <c r="M475" s="179">
        <f>-$Q$8</f>
        <v>-5.0000000000000001E-3</v>
      </c>
      <c r="N475" s="179">
        <f>-$Q$8</f>
        <v>-5.0000000000000001E-3</v>
      </c>
      <c r="O475" s="179">
        <f>-$Q$8</f>
        <v>-5.0000000000000001E-3</v>
      </c>
    </row>
    <row r="476" spans="2:15">
      <c r="D476" s="74" t="str">
        <f>CONCATENATE("Interest Rate (LIBOR minus ",-K475*10000," bp)")</f>
        <v>Interest Rate (LIBOR minus 50 bp)</v>
      </c>
      <c r="K476" s="307">
        <f>K475+K467</f>
        <v>5.0000000000000001E-3</v>
      </c>
      <c r="L476" s="307">
        <f>L475+L467</f>
        <v>5.0000000000000001E-3</v>
      </c>
      <c r="M476" s="307">
        <f>M475+M467</f>
        <v>5.0000000000000001E-3</v>
      </c>
      <c r="N476" s="307">
        <f>N475+N467</f>
        <v>9.9999999999999985E-3</v>
      </c>
      <c r="O476" s="307">
        <f>O475+O467</f>
        <v>1.4999999999999999E-2</v>
      </c>
    </row>
    <row r="477" spans="2:15">
      <c r="D477" s="94" t="s">
        <v>87</v>
      </c>
      <c r="K477" s="308">
        <f ca="1">K476*AVERAGE(K473,K471)</f>
        <v>0.39155019039246725</v>
      </c>
      <c r="L477" s="308">
        <f ca="1">L476*AVERAGE(L473,L471)</f>
        <v>0.48734869597567149</v>
      </c>
      <c r="M477" s="308">
        <f ca="1">M476*AVERAGE(M473,M471)</f>
        <v>0.63686669939252616</v>
      </c>
      <c r="N477" s="308">
        <f ca="1">N476*AVERAGE(N473,N471)</f>
        <v>0.76613638791183403</v>
      </c>
      <c r="O477" s="308">
        <f ca="1">O476*AVERAGE(O473,O471)</f>
        <v>0.15000002305466709</v>
      </c>
    </row>
    <row r="478" spans="2:15">
      <c r="D478" s="94"/>
      <c r="K478" s="218"/>
      <c r="L478" s="218"/>
      <c r="M478" s="218"/>
      <c r="N478" s="218"/>
      <c r="O478" s="218"/>
    </row>
    <row r="479" spans="2:15">
      <c r="D479" s="74" t="s">
        <v>223</v>
      </c>
      <c r="K479" s="427">
        <f>$N$8</f>
        <v>10</v>
      </c>
      <c r="L479" s="139">
        <f>K479</f>
        <v>10</v>
      </c>
      <c r="M479" s="139">
        <f>L479</f>
        <v>10</v>
      </c>
      <c r="N479" s="139">
        <f>M479</f>
        <v>10</v>
      </c>
      <c r="O479" s="139">
        <f>N479</f>
        <v>10</v>
      </c>
    </row>
    <row r="480" spans="2:15">
      <c r="D480" s="74" t="s">
        <v>224</v>
      </c>
      <c r="K480" s="139">
        <f>K471-K479</f>
        <v>63.2</v>
      </c>
      <c r="L480" s="139">
        <f ca="1">L471-L479</f>
        <v>73.420076156986894</v>
      </c>
      <c r="M480" s="139">
        <f ca="1">M471-M479</f>
        <v>101.5194022332817</v>
      </c>
      <c r="N480" s="139">
        <f ca="1">N471-N479</f>
        <v>133.22727752372873</v>
      </c>
      <c r="O480" s="139">
        <f ca="1">O471-O479</f>
        <v>-1.711871959741984E-7</v>
      </c>
    </row>
    <row r="481" spans="2:15" ht="10.9" customHeight="1"/>
    <row r="482" spans="2:15">
      <c r="C482" s="94" t="s">
        <v>177</v>
      </c>
      <c r="E482" s="428"/>
    </row>
    <row r="483" spans="2:15">
      <c r="B483" s="94"/>
      <c r="D483" s="74" t="s">
        <v>16</v>
      </c>
      <c r="H483" s="309"/>
      <c r="I483" s="309"/>
      <c r="J483" s="309"/>
      <c r="K483" s="131">
        <f ca="1">K287</f>
        <v>198.49258165763459</v>
      </c>
      <c r="L483" s="131">
        <f ca="1">L287</f>
        <v>209.09964585543463</v>
      </c>
      <c r="M483" s="131">
        <f ca="1">M287</f>
        <v>211.83101467702562</v>
      </c>
      <c r="N483" s="131">
        <f ca="1">N287</f>
        <v>228.3765859024048</v>
      </c>
      <c r="O483" s="131">
        <f ca="1">O287</f>
        <v>257.26401498671709</v>
      </c>
    </row>
    <row r="484" spans="2:15">
      <c r="B484" s="94"/>
      <c r="D484" s="74" t="s">
        <v>140</v>
      </c>
      <c r="H484" s="309"/>
      <c r="I484" s="309"/>
      <c r="J484" s="309"/>
      <c r="K484" s="131">
        <f>K293</f>
        <v>-120</v>
      </c>
      <c r="L484" s="131">
        <f>L293</f>
        <v>-130</v>
      </c>
      <c r="M484" s="131">
        <f>M293</f>
        <v>-131.94999999999999</v>
      </c>
      <c r="N484" s="131">
        <f>N293</f>
        <v>-134.589</v>
      </c>
      <c r="O484" s="131">
        <f>O293</f>
        <v>-137.28077999999999</v>
      </c>
    </row>
    <row r="485" spans="2:15">
      <c r="B485" s="94"/>
      <c r="D485" s="74" t="s">
        <v>249</v>
      </c>
      <c r="H485" s="309"/>
      <c r="I485" s="309"/>
      <c r="J485" s="309"/>
      <c r="K485" s="131">
        <f>SUM(K298:K301)</f>
        <v>-45</v>
      </c>
      <c r="L485" s="131">
        <f>SUM(L298:L301)</f>
        <v>-39</v>
      </c>
      <c r="M485" s="131">
        <f>SUM(M298:M301)</f>
        <v>-36</v>
      </c>
      <c r="N485" s="131">
        <f ca="1">SUM(N298:N301)</f>
        <v>-438.76348634346198</v>
      </c>
      <c r="O485" s="131">
        <f>SUM(O298:O301)</f>
        <v>0</v>
      </c>
    </row>
    <row r="486" spans="2:15">
      <c r="B486" s="94"/>
      <c r="D486" s="74" t="s">
        <v>174</v>
      </c>
      <c r="H486" s="309"/>
      <c r="I486" s="309"/>
      <c r="J486" s="309"/>
      <c r="K486" s="191">
        <f ca="1">K303</f>
        <v>-13.27250550064768</v>
      </c>
      <c r="L486" s="191">
        <f ca="1">L303</f>
        <v>-12.000319779139817</v>
      </c>
      <c r="M486" s="191">
        <f ca="1">M303</f>
        <v>-12.173139386578621</v>
      </c>
      <c r="N486" s="191">
        <f ca="1">N303</f>
        <v>-15.486273499425176</v>
      </c>
      <c r="O486" s="191">
        <f ca="1">O303</f>
        <v>-17.324068542288117</v>
      </c>
    </row>
    <row r="487" spans="2:15">
      <c r="D487" s="94" t="s">
        <v>182</v>
      </c>
      <c r="K487" s="218">
        <f ca="1">SUM(K483:K486)</f>
        <v>20.220076156986906</v>
      </c>
      <c r="L487" s="218">
        <f ca="1">SUM(L483:L486)</f>
        <v>28.099326076294815</v>
      </c>
      <c r="M487" s="218">
        <f ca="1">SUM(M483:M486)</f>
        <v>31.707875290447014</v>
      </c>
      <c r="N487" s="218">
        <f ca="1">SUM(N483:N486)</f>
        <v>-360.46217394048239</v>
      </c>
      <c r="O487" s="218">
        <f ca="1">SUM(O483:O486)</f>
        <v>102.65916644442898</v>
      </c>
    </row>
    <row r="488" spans="2:15" ht="9" customHeight="1">
      <c r="C488" s="94"/>
    </row>
    <row r="489" spans="2:15">
      <c r="D489" s="74" t="s">
        <v>183</v>
      </c>
      <c r="K489" s="139">
        <f>J491</f>
        <v>10</v>
      </c>
      <c r="L489" s="139">
        <f ca="1">K491</f>
        <v>0</v>
      </c>
      <c r="M489" s="139">
        <f ca="1">L491</f>
        <v>0</v>
      </c>
      <c r="N489" s="139">
        <f ca="1">M491</f>
        <v>0</v>
      </c>
      <c r="O489" s="139">
        <f ca="1">N491</f>
        <v>227.23489647539174</v>
      </c>
    </row>
    <row r="490" spans="2:15">
      <c r="D490" s="74" t="s">
        <v>84</v>
      </c>
      <c r="J490" s="122"/>
      <c r="K490" s="305">
        <f ca="1">-MIN(K487+K480,K489)</f>
        <v>-10</v>
      </c>
      <c r="L490" s="305">
        <f ca="1">-MIN(L487+L480,L489)</f>
        <v>0</v>
      </c>
      <c r="M490" s="305">
        <f ca="1">-MIN(M487+M480,M489)</f>
        <v>0</v>
      </c>
      <c r="N490" s="305">
        <f ca="1">-MIN(N487+N480,N489)</f>
        <v>227.23489641675366</v>
      </c>
      <c r="O490" s="305">
        <f ca="1">-MIN(O487+O480,O489)</f>
        <v>-102.65916627324178</v>
      </c>
    </row>
    <row r="491" spans="2:15">
      <c r="D491" s="74" t="s">
        <v>184</v>
      </c>
      <c r="I491" s="306"/>
      <c r="J491" s="280">
        <f>J335</f>
        <v>10</v>
      </c>
      <c r="K491" s="280">
        <f ca="1">SUM(K489:K490)</f>
        <v>0</v>
      </c>
      <c r="L491" s="280">
        <f ca="1">SUM(L489:L490)</f>
        <v>0</v>
      </c>
      <c r="M491" s="280">
        <f ca="1">SUM(M489:M490)</f>
        <v>0</v>
      </c>
      <c r="N491" s="280">
        <f ca="1">SUM(N489:N490)</f>
        <v>227.23489641675366</v>
      </c>
      <c r="O491" s="280">
        <f ca="1">SUM(O489:O490)</f>
        <v>124.57573020214996</v>
      </c>
    </row>
    <row r="492" spans="2:15" ht="6" customHeight="1"/>
    <row r="493" spans="2:15" ht="13.15" customHeight="1">
      <c r="D493" s="74" t="s">
        <v>193</v>
      </c>
      <c r="K493" s="179">
        <f xml:space="preserve"> _xlfn.XLOOKUP( J$468, $K$20:$K$23, $O$20:$O$23,,-1)</f>
        <v>3.5000000000000003E-2</v>
      </c>
      <c r="L493" s="179">
        <f t="shared" ref="L493:O493" ca="1" si="77" xml:space="preserve"> _xlfn.XLOOKUP( K$468, $K$20:$K$23, $O$20:$O$23,,-1)</f>
        <v>3.0000000000000002E-2</v>
      </c>
      <c r="M493" s="179">
        <f t="shared" ca="1" si="77"/>
        <v>3.0000000000000002E-2</v>
      </c>
      <c r="N493" s="179">
        <f t="shared" ca="1" si="77"/>
        <v>3.0000000000000002E-2</v>
      </c>
      <c r="O493" s="179">
        <f t="shared" ca="1" si="77"/>
        <v>2.5000000000000001E-2</v>
      </c>
    </row>
    <row r="494" spans="2:15">
      <c r="D494" s="74" t="s">
        <v>195</v>
      </c>
      <c r="K494" s="179">
        <f>K493+K467</f>
        <v>4.5000000000000005E-2</v>
      </c>
      <c r="L494" s="179">
        <f ca="1">L493+L467</f>
        <v>0.04</v>
      </c>
      <c r="M494" s="179">
        <f ca="1">M493+M467</f>
        <v>0.04</v>
      </c>
      <c r="N494" s="179">
        <f ca="1">N493+N467</f>
        <v>4.4999999999999998E-2</v>
      </c>
      <c r="O494" s="179">
        <f ca="1">O493+O467</f>
        <v>4.4999999999999998E-2</v>
      </c>
    </row>
    <row r="495" spans="2:15">
      <c r="D495" s="94" t="s">
        <v>86</v>
      </c>
      <c r="K495" s="308">
        <f ca="1">K494*AVERAGE(K491,K489)</f>
        <v>0.22500000000000003</v>
      </c>
      <c r="L495" s="308">
        <f ca="1">L494*AVERAGE(L491,L489)</f>
        <v>0</v>
      </c>
      <c r="M495" s="308">
        <f ca="1">M494*AVERAGE(M491,M489)</f>
        <v>0</v>
      </c>
      <c r="N495" s="308">
        <f ca="1">N494*AVERAGE(N491,N489)</f>
        <v>5.1127851693769575</v>
      </c>
      <c r="O495" s="308">
        <f ca="1">O494*AVERAGE(O491,O489)</f>
        <v>7.9157391002446875</v>
      </c>
    </row>
    <row r="496" spans="2:15" ht="10.9" customHeight="1">
      <c r="D496" s="74" t="s">
        <v>186</v>
      </c>
    </row>
    <row r="497" spans="2:15">
      <c r="C497" s="94" t="s">
        <v>252</v>
      </c>
    </row>
    <row r="498" spans="2:15">
      <c r="C498" s="94"/>
      <c r="D498" s="74" t="s">
        <v>194</v>
      </c>
      <c r="K498" s="3">
        <f>N18</f>
        <v>0.15</v>
      </c>
      <c r="L498" s="3">
        <f>O18</f>
        <v>0.13</v>
      </c>
      <c r="M498" s="3">
        <f>P18</f>
        <v>0.12</v>
      </c>
      <c r="N498" s="3">
        <f>Q18</f>
        <v>0.1</v>
      </c>
      <c r="O498" s="3">
        <f>R18</f>
        <v>0</v>
      </c>
    </row>
    <row r="499" spans="2:15" ht="6" customHeight="1">
      <c r="C499" s="94"/>
    </row>
    <row r="500" spans="2:15">
      <c r="D500" s="74" t="s">
        <v>83</v>
      </c>
      <c r="G500" s="433" t="s">
        <v>238</v>
      </c>
      <c r="H500" s="450"/>
      <c r="K500" s="139">
        <f>J502</f>
        <v>150</v>
      </c>
      <c r="L500" s="139">
        <f>K502</f>
        <v>105</v>
      </c>
      <c r="M500" s="139">
        <f>L502</f>
        <v>66</v>
      </c>
      <c r="N500" s="139">
        <f>M502</f>
        <v>30</v>
      </c>
      <c r="O500" s="139">
        <f>N502</f>
        <v>0</v>
      </c>
    </row>
    <row r="501" spans="2:15">
      <c r="D501" s="74" t="s">
        <v>84</v>
      </c>
      <c r="G501" s="229"/>
      <c r="H501" s="522">
        <f>N10</f>
        <v>300</v>
      </c>
      <c r="J501" s="122"/>
      <c r="K501" s="555">
        <f xml:space="preserve"> $H$501 * K498 * - 1</f>
        <v>-45</v>
      </c>
      <c r="L501" s="555">
        <f t="shared" ref="L501:O501" si="78" xml:space="preserve"> $H$501 * L498 * - 1</f>
        <v>-39</v>
      </c>
      <c r="M501" s="555">
        <f t="shared" si="78"/>
        <v>-36</v>
      </c>
      <c r="N501" s="555">
        <f t="shared" si="78"/>
        <v>-30</v>
      </c>
      <c r="O501" s="555">
        <f t="shared" si="78"/>
        <v>0</v>
      </c>
    </row>
    <row r="502" spans="2:15">
      <c r="D502" s="74" t="s">
        <v>85</v>
      </c>
      <c r="I502" s="306"/>
      <c r="J502" s="280">
        <f>O10</f>
        <v>150</v>
      </c>
      <c r="K502" s="280">
        <f>SUM(K500:K501)</f>
        <v>105</v>
      </c>
      <c r="L502" s="280">
        <f>SUM(L500:L501)</f>
        <v>66</v>
      </c>
      <c r="M502" s="280">
        <f>SUM(M500:M501)</f>
        <v>30</v>
      </c>
      <c r="N502" s="280">
        <f>SUM(N500:N501)</f>
        <v>0</v>
      </c>
      <c r="O502" s="280">
        <f>SUM(O500:O501)</f>
        <v>0</v>
      </c>
    </row>
    <row r="503" spans="2:15" ht="6" customHeight="1"/>
    <row r="504" spans="2:15" ht="13.15" customHeight="1">
      <c r="D504" s="74" t="s">
        <v>193</v>
      </c>
      <c r="K504" s="179">
        <f>K493</f>
        <v>3.5000000000000003E-2</v>
      </c>
      <c r="L504" s="179">
        <f ca="1">L493</f>
        <v>3.0000000000000002E-2</v>
      </c>
      <c r="M504" s="179">
        <f ca="1">M493</f>
        <v>3.0000000000000002E-2</v>
      </c>
      <c r="N504" s="179">
        <f ca="1">N493</f>
        <v>3.0000000000000002E-2</v>
      </c>
      <c r="O504" s="179">
        <f ca="1">O493</f>
        <v>2.5000000000000001E-2</v>
      </c>
    </row>
    <row r="505" spans="2:15">
      <c r="D505" s="74" t="s">
        <v>195</v>
      </c>
      <c r="K505" s="179">
        <f>K467+K504</f>
        <v>4.5000000000000005E-2</v>
      </c>
      <c r="L505" s="179">
        <f ca="1">L467+L504</f>
        <v>0.04</v>
      </c>
      <c r="M505" s="179">
        <f ca="1">M467+M504</f>
        <v>0.04</v>
      </c>
      <c r="N505" s="179">
        <f ca="1">N467+N504</f>
        <v>4.4999999999999998E-2</v>
      </c>
      <c r="O505" s="179">
        <f ca="1">O467+O504</f>
        <v>4.4999999999999998E-2</v>
      </c>
    </row>
    <row r="506" spans="2:15">
      <c r="D506" s="94" t="s">
        <v>86</v>
      </c>
      <c r="K506" s="308">
        <f>K505*AVERAGE(K502,K500)</f>
        <v>5.7375000000000007</v>
      </c>
      <c r="L506" s="308">
        <f ca="1">L505*AVERAGE(L502,L500)</f>
        <v>3.42</v>
      </c>
      <c r="M506" s="308">
        <f ca="1">M505*AVERAGE(M502,M500)</f>
        <v>1.92</v>
      </c>
      <c r="N506" s="308">
        <f ca="1">N505*AVERAGE(N502,N500)</f>
        <v>0.67499999999999993</v>
      </c>
      <c r="O506" s="308">
        <f ca="1">O505*AVERAGE(O502,O500)</f>
        <v>0</v>
      </c>
    </row>
    <row r="507" spans="2:15">
      <c r="C507" s="163"/>
      <c r="F507" s="74"/>
    </row>
    <row r="508" spans="2:15">
      <c r="B508" s="122"/>
      <c r="C508" s="167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</row>
    <row r="509" spans="2:15">
      <c r="C509" s="163"/>
      <c r="F509" s="74"/>
    </row>
    <row r="511" spans="2:15" ht="12.75" customHeight="1">
      <c r="B511" s="71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3" t="str">
        <f>$O$139</f>
        <v>CURRENTLY RUNNING: BASE CASE SCENARIO</v>
      </c>
    </row>
    <row r="512" spans="2:15" ht="22.5">
      <c r="B512" s="71" t="str">
        <f>B$140</f>
        <v>Windsol Manufacturing</v>
      </c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</row>
    <row r="513" spans="2:15" ht="18.75">
      <c r="B513" s="75" t="s">
        <v>228</v>
      </c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</row>
    <row r="514" spans="2:15" ht="6" customHeight="1" thickBot="1">
      <c r="B514" s="76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</row>
    <row r="515" spans="2:15" ht="13.5">
      <c r="B515" s="78" t="s">
        <v>268</v>
      </c>
      <c r="F515" s="74"/>
      <c r="H515" s="72"/>
      <c r="I515" s="72"/>
      <c r="J515" s="72"/>
      <c r="K515" s="80" t="s">
        <v>6</v>
      </c>
      <c r="L515" s="81"/>
      <c r="M515" s="81"/>
      <c r="N515" s="81"/>
      <c r="O515" s="81"/>
    </row>
    <row r="516" spans="2:15">
      <c r="F516" s="74"/>
      <c r="G516" s="128"/>
      <c r="H516" s="129"/>
      <c r="I516" s="129"/>
      <c r="J516" s="469">
        <f>$J$145</f>
        <v>2018</v>
      </c>
      <c r="K516" s="86">
        <f>K$145</f>
        <v>2019</v>
      </c>
      <c r="L516" s="86">
        <f>L$145</f>
        <v>2020</v>
      </c>
      <c r="M516" s="86">
        <f>M$145</f>
        <v>2021</v>
      </c>
      <c r="N516" s="86">
        <f>N$145</f>
        <v>2022</v>
      </c>
      <c r="O516" s="86">
        <f>O$145</f>
        <v>2023</v>
      </c>
    </row>
    <row r="517" spans="2:15" ht="4.1500000000000004" customHeight="1">
      <c r="J517" s="387"/>
    </row>
    <row r="518" spans="2:15">
      <c r="B518" s="298" t="s">
        <v>192</v>
      </c>
      <c r="C518" s="299"/>
      <c r="D518" s="299"/>
      <c r="E518" s="299"/>
      <c r="F518" s="300"/>
      <c r="G518" s="299"/>
      <c r="H518" s="299"/>
      <c r="I518" s="299"/>
      <c r="J518" s="299"/>
      <c r="K518" s="420">
        <f>K467</f>
        <v>0.01</v>
      </c>
      <c r="L518" s="420">
        <f>L467</f>
        <v>0.01</v>
      </c>
      <c r="M518" s="420">
        <f>M467</f>
        <v>0.01</v>
      </c>
      <c r="N518" s="420">
        <f>N467</f>
        <v>1.4999999999999999E-2</v>
      </c>
      <c r="O518" s="421">
        <f>O467</f>
        <v>0.02</v>
      </c>
    </row>
    <row r="519" spans="2:15">
      <c r="B519" s="301" t="s">
        <v>189</v>
      </c>
      <c r="C519" s="170"/>
      <c r="D519" s="170"/>
      <c r="E519" s="170"/>
      <c r="F519" s="302"/>
      <c r="G519" s="170"/>
      <c r="H519" s="170"/>
      <c r="I519" s="170"/>
      <c r="J519" s="303">
        <f t="shared" ref="J519:O519" si="79">J$468</f>
        <v>3.2249336827183441</v>
      </c>
      <c r="K519" s="303">
        <f t="shared" ca="1" si="79"/>
        <v>2.5762045600873908</v>
      </c>
      <c r="L519" s="303">
        <f t="shared" ca="1" si="79"/>
        <v>2.5871282506821198</v>
      </c>
      <c r="M519" s="303">
        <f t="shared" ca="1" si="79"/>
        <v>2.4027047683022866</v>
      </c>
      <c r="N519" s="303">
        <f t="shared" ca="1" si="79"/>
        <v>1.3840468603222074</v>
      </c>
      <c r="O519" s="304">
        <f t="shared" ca="1" si="79"/>
        <v>0.98286298391698534</v>
      </c>
    </row>
    <row r="520" spans="2:15" ht="4.1500000000000004" customHeight="1"/>
    <row r="521" spans="2:15" ht="5.0999999999999996" customHeight="1"/>
    <row r="522" spans="2:15">
      <c r="C522" s="94" t="str">
        <f>K11</f>
        <v>Mezzanine Notes due 2022</v>
      </c>
      <c r="G522" s="433" t="s">
        <v>231</v>
      </c>
      <c r="H522" s="450"/>
    </row>
    <row r="523" spans="2:15">
      <c r="D523" s="74" t="s">
        <v>83</v>
      </c>
      <c r="G523" s="108"/>
      <c r="H523" s="523">
        <f>P11</f>
        <v>44742</v>
      </c>
      <c r="K523" s="139">
        <f>J526</f>
        <v>100</v>
      </c>
      <c r="L523" s="139">
        <f ca="1">K526</f>
        <v>102.83975659229209</v>
      </c>
      <c r="M523" s="139">
        <f ca="1">L526</f>
        <v>105.76015535961885</v>
      </c>
      <c r="N523" s="139">
        <f ca="1">M526</f>
        <v>108.76348634346198</v>
      </c>
      <c r="O523" s="139">
        <f ca="1">N526</f>
        <v>0</v>
      </c>
    </row>
    <row r="524" spans="2:15">
      <c r="D524" s="74" t="s">
        <v>84</v>
      </c>
      <c r="G524" s="108"/>
      <c r="H524" s="451"/>
      <c r="K524" s="139">
        <f>IF(YEAR($H$523)=K516,-K523-K525,0)</f>
        <v>0</v>
      </c>
      <c r="L524" s="139">
        <f>IF(YEAR($H$523)=L516,-L523-L525,0)</f>
        <v>0</v>
      </c>
      <c r="M524" s="139">
        <f>IF(YEAR($H$523)=M516,-M523-M525,0)</f>
        <v>0</v>
      </c>
      <c r="N524" s="139">
        <f ca="1">IF(YEAR($H$523)=N516,-N523-N525,0)</f>
        <v>-108.76348634346198</v>
      </c>
      <c r="O524" s="139">
        <f>IF(YEAR($H$523)=O516,-O523-O525,0)</f>
        <v>0</v>
      </c>
    </row>
    <row r="525" spans="2:15">
      <c r="D525" s="74" t="s">
        <v>211</v>
      </c>
      <c r="G525" s="434" t="s">
        <v>266</v>
      </c>
      <c r="H525" s="340"/>
      <c r="J525" s="122"/>
      <c r="K525" s="305">
        <f ca="1">K532</f>
        <v>2.8397565922920895</v>
      </c>
      <c r="L525" s="305">
        <f ca="1">L532</f>
        <v>2.9203987673267537</v>
      </c>
      <c r="M525" s="305">
        <f ca="1">M532</f>
        <v>3.0033309838431324</v>
      </c>
      <c r="N525" s="305">
        <f ca="1">N532</f>
        <v>0</v>
      </c>
      <c r="O525" s="305">
        <f ca="1">O532</f>
        <v>0</v>
      </c>
    </row>
    <row r="526" spans="2:15">
      <c r="D526" s="74" t="s">
        <v>85</v>
      </c>
      <c r="G526" s="108"/>
      <c r="H526" s="524">
        <f>R27</f>
        <v>2.5</v>
      </c>
      <c r="I526" s="306"/>
      <c r="J526" s="280">
        <f>O11</f>
        <v>100</v>
      </c>
      <c r="K526" s="280">
        <f ca="1">SUM(K523:K525)</f>
        <v>102.83975659229209</v>
      </c>
      <c r="L526" s="280">
        <f ca="1">SUM(L523:L525)</f>
        <v>105.76015535961885</v>
      </c>
      <c r="M526" s="280">
        <f ca="1">SUM(M523:M525)</f>
        <v>108.76348634346198</v>
      </c>
      <c r="N526" s="280">
        <f ca="1">SUM(N523:N525)</f>
        <v>0</v>
      </c>
      <c r="O526" s="280">
        <f ca="1">SUM(O523:O525)</f>
        <v>0</v>
      </c>
    </row>
    <row r="527" spans="2:15" ht="6" customHeight="1">
      <c r="G527" s="108"/>
      <c r="H527" s="451"/>
    </row>
    <row r="528" spans="2:15" ht="13.15" customHeight="1">
      <c r="D528" s="74" t="s">
        <v>212</v>
      </c>
      <c r="G528" s="434" t="s">
        <v>267</v>
      </c>
      <c r="H528" s="340"/>
      <c r="K528" s="179">
        <f>IF(J519&gt;$H$526,$H$529,0)</f>
        <v>0.4</v>
      </c>
      <c r="L528" s="179">
        <f ca="1">IF(K519&gt;$H$526,$H$529,0)</f>
        <v>0.4</v>
      </c>
      <c r="M528" s="179">
        <f ca="1">IF(L519&gt;$H$526,$H$529,0)</f>
        <v>0.4</v>
      </c>
      <c r="N528" s="179">
        <f ca="1">IF(M519&gt;$H$526,$H$529,0)</f>
        <v>0</v>
      </c>
      <c r="O528" s="179">
        <f ca="1">IF(N519&gt;$H$526,$H$529,0)</f>
        <v>0</v>
      </c>
    </row>
    <row r="529" spans="3:15" ht="13.15" customHeight="1">
      <c r="D529" s="74" t="s">
        <v>213</v>
      </c>
      <c r="G529" s="229"/>
      <c r="H529" s="525">
        <f>R26</f>
        <v>0.4</v>
      </c>
      <c r="K529" s="179">
        <f>1-K528</f>
        <v>0.6</v>
      </c>
      <c r="L529" s="179">
        <f ca="1">1-L528</f>
        <v>0.6</v>
      </c>
      <c r="M529" s="179">
        <f ca="1">1-M528</f>
        <v>0.6</v>
      </c>
      <c r="N529" s="179">
        <f ca="1">1-N528</f>
        <v>1</v>
      </c>
      <c r="O529" s="179">
        <f ca="1">1-O528</f>
        <v>1</v>
      </c>
    </row>
    <row r="530" spans="3:15" ht="13.15" customHeight="1">
      <c r="D530" s="74" t="s">
        <v>214</v>
      </c>
      <c r="K530" s="179">
        <f>Q11</f>
        <v>7.0000000000000007E-2</v>
      </c>
      <c r="L530" s="179">
        <f>K530</f>
        <v>7.0000000000000007E-2</v>
      </c>
      <c r="M530" s="179">
        <f>L530</f>
        <v>7.0000000000000007E-2</v>
      </c>
      <c r="N530" s="179">
        <f>M530</f>
        <v>7.0000000000000007E-2</v>
      </c>
      <c r="O530" s="179">
        <f>N530</f>
        <v>7.0000000000000007E-2</v>
      </c>
    </row>
    <row r="531" spans="3:15" ht="6" customHeight="1"/>
    <row r="532" spans="3:15">
      <c r="D532" s="74" t="s">
        <v>215</v>
      </c>
      <c r="K532" s="139">
        <f ca="1">K528*K530*AVERAGE(K523,K526)</f>
        <v>2.8397565922920895</v>
      </c>
      <c r="L532" s="139">
        <f ca="1">L528*L530*AVERAGE(L523,L526)</f>
        <v>2.9203987673267537</v>
      </c>
      <c r="M532" s="139">
        <f ca="1">M528*M530*AVERAGE(M523,M526)</f>
        <v>3.0033309838431324</v>
      </c>
      <c r="N532" s="139">
        <f ca="1">N528*N530*AVERAGE(N523,N526)</f>
        <v>0</v>
      </c>
      <c r="O532" s="139">
        <f ca="1">O528*O530*AVERAGE(O523,O526)</f>
        <v>0</v>
      </c>
    </row>
    <row r="533" spans="3:15">
      <c r="D533" s="74" t="s">
        <v>216</v>
      </c>
      <c r="K533" s="139">
        <f ca="1">K529*K530*AVERAGE(K523,K526)</f>
        <v>4.2596348884381339</v>
      </c>
      <c r="L533" s="139">
        <f ca="1">L529*L530*AVERAGE(L523,L526)</f>
        <v>4.3805981509901297</v>
      </c>
      <c r="M533" s="139">
        <f ca="1">M529*M530*AVERAGE(M523,M526)</f>
        <v>4.5049964757646981</v>
      </c>
      <c r="N533" s="139">
        <f ca="1">N529*N530*AVERAGE(N523,N526)</f>
        <v>3.8067220220211695</v>
      </c>
      <c r="O533" s="139">
        <f ca="1">O529*O530*AVERAGE(O523,O526)</f>
        <v>0</v>
      </c>
    </row>
    <row r="534" spans="3:15">
      <c r="D534" s="94" t="s">
        <v>217</v>
      </c>
      <c r="K534" s="308">
        <f ca="1">SUM(K532:K533)</f>
        <v>7.0993914807302234</v>
      </c>
      <c r="L534" s="308">
        <f ca="1">SUM(L532:L533)</f>
        <v>7.3009969183168835</v>
      </c>
      <c r="M534" s="308">
        <f ca="1">SUM(M532:M533)</f>
        <v>7.5083274596078304</v>
      </c>
      <c r="N534" s="308">
        <f ca="1">SUM(N532:N533)</f>
        <v>3.8067220220211695</v>
      </c>
      <c r="O534" s="308">
        <f ca="1">SUM(O532:O533)</f>
        <v>0</v>
      </c>
    </row>
    <row r="536" spans="3:15">
      <c r="C536" s="94" t="str">
        <f>K12</f>
        <v>Senior Notes due 2022</v>
      </c>
      <c r="G536" s="433" t="s">
        <v>231</v>
      </c>
      <c r="H536" s="450"/>
    </row>
    <row r="537" spans="3:15">
      <c r="D537" s="74" t="s">
        <v>83</v>
      </c>
      <c r="G537" s="229"/>
      <c r="H537" s="526">
        <f>P12</f>
        <v>44742</v>
      </c>
      <c r="K537" s="139">
        <f>J539</f>
        <v>300</v>
      </c>
      <c r="L537" s="139">
        <f>K539</f>
        <v>300</v>
      </c>
      <c r="M537" s="139">
        <f>L539</f>
        <v>300</v>
      </c>
      <c r="N537" s="139">
        <f>M539</f>
        <v>300</v>
      </c>
      <c r="O537" s="139">
        <f>N539</f>
        <v>0</v>
      </c>
    </row>
    <row r="538" spans="3:15">
      <c r="D538" s="74" t="s">
        <v>84</v>
      </c>
      <c r="J538" s="122"/>
      <c r="K538" s="555">
        <f xml:space="preserve"> IF( YEAR( $H$537 ) = K$516, - K$537, 0 )</f>
        <v>0</v>
      </c>
      <c r="L538" s="555">
        <f t="shared" ref="L538:O538" si="80" xml:space="preserve"> IF( YEAR( $H$537 ) = L$516, - L$537, 0 )</f>
        <v>0</v>
      </c>
      <c r="M538" s="555">
        <f t="shared" si="80"/>
        <v>0</v>
      </c>
      <c r="N538" s="555">
        <f t="shared" si="80"/>
        <v>-300</v>
      </c>
      <c r="O538" s="555">
        <f t="shared" si="80"/>
        <v>0</v>
      </c>
    </row>
    <row r="539" spans="3:15">
      <c r="D539" s="74" t="s">
        <v>85</v>
      </c>
      <c r="I539" s="306"/>
      <c r="J539" s="280">
        <f>O12</f>
        <v>300</v>
      </c>
      <c r="K539" s="280">
        <f>SUM(K537:K538)</f>
        <v>300</v>
      </c>
      <c r="L539" s="280">
        <f>SUM(L537:L538)</f>
        <v>300</v>
      </c>
      <c r="M539" s="280">
        <f>SUM(M537:M538)</f>
        <v>300</v>
      </c>
      <c r="N539" s="280">
        <f>SUM(N537:N538)</f>
        <v>0</v>
      </c>
      <c r="O539" s="280">
        <f>SUM(O537:O538)</f>
        <v>0</v>
      </c>
    </row>
    <row r="540" spans="3:15" ht="6" customHeight="1"/>
    <row r="541" spans="3:15">
      <c r="D541" s="74" t="s">
        <v>214</v>
      </c>
      <c r="K541" s="179">
        <f>Q12</f>
        <v>5.7000000000000002E-2</v>
      </c>
      <c r="L541" s="179">
        <f>K541</f>
        <v>5.7000000000000002E-2</v>
      </c>
      <c r="M541" s="179">
        <f>L541</f>
        <v>5.7000000000000002E-2</v>
      </c>
      <c r="N541" s="179">
        <f>M541</f>
        <v>5.7000000000000002E-2</v>
      </c>
      <c r="O541" s="179">
        <f>N541</f>
        <v>5.7000000000000002E-2</v>
      </c>
    </row>
    <row r="542" spans="3:15">
      <c r="D542" s="94" t="s">
        <v>86</v>
      </c>
      <c r="K542" s="308">
        <f>K541*AVERAGE(K539,K537)</f>
        <v>17.100000000000001</v>
      </c>
      <c r="L542" s="308">
        <f>L541*AVERAGE(L539,L537)</f>
        <v>17.100000000000001</v>
      </c>
      <c r="M542" s="308">
        <f>M541*AVERAGE(M539,M537)</f>
        <v>17.100000000000001</v>
      </c>
      <c r="N542" s="308">
        <f>N541*AVERAGE(N539,N537)</f>
        <v>8.5500000000000007</v>
      </c>
      <c r="O542" s="308">
        <f>O541*AVERAGE(O539,O537)</f>
        <v>0</v>
      </c>
    </row>
    <row r="543" spans="3:15">
      <c r="C543" s="94"/>
    </row>
    <row r="544" spans="3:15">
      <c r="C544" s="94" t="str">
        <f>K13</f>
        <v>Senior Notes due 2023</v>
      </c>
      <c r="G544" s="433" t="s">
        <v>231</v>
      </c>
      <c r="H544" s="450"/>
    </row>
    <row r="545" spans="3:16">
      <c r="D545" s="74" t="s">
        <v>83</v>
      </c>
      <c r="G545" s="229"/>
      <c r="H545" s="526">
        <f>P13</f>
        <v>45107</v>
      </c>
      <c r="K545" s="139">
        <f>J547</f>
        <v>200</v>
      </c>
      <c r="L545" s="139">
        <f>K547</f>
        <v>200</v>
      </c>
      <c r="M545" s="139">
        <f>L547</f>
        <v>200</v>
      </c>
      <c r="N545" s="139">
        <f>M547</f>
        <v>200</v>
      </c>
      <c r="O545" s="139">
        <f>N547</f>
        <v>200</v>
      </c>
    </row>
    <row r="546" spans="3:16">
      <c r="D546" s="74" t="s">
        <v>84</v>
      </c>
      <c r="J546" s="122"/>
      <c r="K546" s="555">
        <f xml:space="preserve"> IF( YEAR( $H$545 ) = K$516, - K$545, 0 )</f>
        <v>0</v>
      </c>
      <c r="L546" s="555">
        <f t="shared" ref="L546:O546" si="81" xml:space="preserve"> IF( YEAR( $H$545 ) = L$516, - L$545, 0 )</f>
        <v>0</v>
      </c>
      <c r="M546" s="555">
        <f t="shared" si="81"/>
        <v>0</v>
      </c>
      <c r="N546" s="555">
        <f t="shared" si="81"/>
        <v>0</v>
      </c>
      <c r="O546" s="555">
        <f t="shared" si="81"/>
        <v>-200</v>
      </c>
    </row>
    <row r="547" spans="3:16">
      <c r="D547" s="74" t="s">
        <v>85</v>
      </c>
      <c r="I547" s="306"/>
      <c r="J547" s="280">
        <f>O13</f>
        <v>200</v>
      </c>
      <c r="K547" s="280">
        <f>SUM(K545:K546)</f>
        <v>200</v>
      </c>
      <c r="L547" s="280">
        <f>SUM(L545:L546)</f>
        <v>200</v>
      </c>
      <c r="M547" s="280">
        <f>SUM(M545:M546)</f>
        <v>200</v>
      </c>
      <c r="N547" s="280">
        <f>SUM(N545:N546)</f>
        <v>200</v>
      </c>
      <c r="O547" s="280">
        <f>SUM(O545:O546)</f>
        <v>0</v>
      </c>
      <c r="P547" s="513"/>
    </row>
    <row r="548" spans="3:16" ht="6" customHeight="1">
      <c r="P548" s="513"/>
    </row>
    <row r="549" spans="3:16">
      <c r="D549" s="74" t="s">
        <v>214</v>
      </c>
      <c r="K549" s="564">
        <f>$Q$13</f>
        <v>4.8000000000000001E-2</v>
      </c>
      <c r="L549" s="179">
        <f>K549</f>
        <v>4.8000000000000001E-2</v>
      </c>
      <c r="M549" s="179">
        <f>L549</f>
        <v>4.8000000000000001E-2</v>
      </c>
      <c r="N549" s="179">
        <f>M549</f>
        <v>4.8000000000000001E-2</v>
      </c>
      <c r="O549" s="179">
        <f>N549</f>
        <v>4.8000000000000001E-2</v>
      </c>
      <c r="P549" s="513"/>
    </row>
    <row r="550" spans="3:16">
      <c r="D550" s="94" t="s">
        <v>86</v>
      </c>
      <c r="K550" s="308">
        <f>K549*AVERAGE(K547,K545)</f>
        <v>9.6</v>
      </c>
      <c r="L550" s="308">
        <f>L549*AVERAGE(L547,L545)</f>
        <v>9.6</v>
      </c>
      <c r="M550" s="308">
        <f>M549*AVERAGE(M547,M545)</f>
        <v>9.6</v>
      </c>
      <c r="N550" s="308">
        <f>N549*AVERAGE(N547,N545)</f>
        <v>9.6</v>
      </c>
      <c r="O550" s="308">
        <f>O549*AVERAGE(O547,O545)</f>
        <v>4.8</v>
      </c>
    </row>
    <row r="552" spans="3:16">
      <c r="C552" s="94" t="s">
        <v>230</v>
      </c>
      <c r="G552" s="433" t="s">
        <v>264</v>
      </c>
      <c r="H552" s="450"/>
    </row>
    <row r="553" spans="3:16">
      <c r="D553" s="74" t="s">
        <v>83</v>
      </c>
      <c r="G553" s="434" t="s">
        <v>265</v>
      </c>
      <c r="H553" s="340"/>
      <c r="K553" s="139">
        <f>J558</f>
        <v>0</v>
      </c>
      <c r="L553" s="139">
        <f>K558</f>
        <v>0</v>
      </c>
      <c r="M553" s="139">
        <f>L558</f>
        <v>0</v>
      </c>
      <c r="N553" s="139">
        <f>M558</f>
        <v>0</v>
      </c>
      <c r="O553" s="139">
        <f ca="1">N558</f>
        <v>0</v>
      </c>
    </row>
    <row r="554" spans="3:16">
      <c r="D554" s="74" t="s">
        <v>246</v>
      </c>
      <c r="G554" s="108"/>
      <c r="H554" s="527">
        <f>R10</f>
        <v>0</v>
      </c>
      <c r="K554" s="139">
        <f>-$H554*K501</f>
        <v>0</v>
      </c>
      <c r="L554" s="139">
        <f>-$H554*L501</f>
        <v>0</v>
      </c>
      <c r="M554" s="139">
        <f>-$H554*M501</f>
        <v>0</v>
      </c>
      <c r="N554" s="139">
        <f>-$H554*N501</f>
        <v>0</v>
      </c>
      <c r="O554" s="139">
        <f>-$H554*O501</f>
        <v>0</v>
      </c>
    </row>
    <row r="555" spans="3:16">
      <c r="D555" s="74" t="s">
        <v>247</v>
      </c>
      <c r="G555" s="108"/>
      <c r="H555" s="527">
        <f>R11</f>
        <v>0</v>
      </c>
      <c r="K555" s="139">
        <f>-$H555*K524</f>
        <v>0</v>
      </c>
      <c r="L555" s="139">
        <f>-$H555*L524</f>
        <v>0</v>
      </c>
      <c r="M555" s="139">
        <f>-$H555*M524</f>
        <v>0</v>
      </c>
      <c r="N555" s="139">
        <f ca="1">-$H555*N524</f>
        <v>0</v>
      </c>
      <c r="O555" s="139">
        <f>-$H555*O524</f>
        <v>0</v>
      </c>
    </row>
    <row r="556" spans="3:16">
      <c r="D556" s="74" t="str">
        <f>"Additions from "&amp;C536</f>
        <v>Additions from Senior Notes due 2022</v>
      </c>
      <c r="G556" s="108"/>
      <c r="H556" s="527">
        <f>R12</f>
        <v>0</v>
      </c>
      <c r="K556" s="139">
        <f>-$H556*K538</f>
        <v>0</v>
      </c>
      <c r="L556" s="139">
        <f>-$H556*L538</f>
        <v>0</v>
      </c>
      <c r="M556" s="139">
        <f>-$H556*M538</f>
        <v>0</v>
      </c>
      <c r="N556" s="139">
        <f>-$H556*N538</f>
        <v>0</v>
      </c>
      <c r="O556" s="139">
        <f>-$H556*O538</f>
        <v>0</v>
      </c>
    </row>
    <row r="557" spans="3:16">
      <c r="D557" s="74" t="str">
        <f>"Additions from "&amp;C544</f>
        <v>Additions from Senior Notes due 2023</v>
      </c>
      <c r="G557" s="229"/>
      <c r="H557" s="528">
        <f>R13</f>
        <v>1</v>
      </c>
      <c r="J557" s="430"/>
      <c r="K557" s="305">
        <f>-$H557*K546</f>
        <v>0</v>
      </c>
      <c r="L557" s="305">
        <f>-$H557*L546</f>
        <v>0</v>
      </c>
      <c r="M557" s="305">
        <f>-$H557*M546</f>
        <v>0</v>
      </c>
      <c r="N557" s="305">
        <f>-$H557*N546</f>
        <v>0</v>
      </c>
      <c r="O557" s="305">
        <f>-$H557*O546</f>
        <v>200</v>
      </c>
    </row>
    <row r="558" spans="3:16">
      <c r="D558" s="74" t="s">
        <v>85</v>
      </c>
      <c r="I558" s="306"/>
      <c r="J558" s="280">
        <f>O14</f>
        <v>0</v>
      </c>
      <c r="K558" s="280">
        <f>SUM(K553:K557)</f>
        <v>0</v>
      </c>
      <c r="L558" s="280">
        <f>SUM(L553:L557)</f>
        <v>0</v>
      </c>
      <c r="M558" s="280">
        <f>SUM(M553:M557)</f>
        <v>0</v>
      </c>
      <c r="N558" s="280">
        <f ca="1">SUM(N553:N557)</f>
        <v>0</v>
      </c>
      <c r="O558" s="280">
        <f ca="1">SUM(O553:O557)</f>
        <v>200</v>
      </c>
    </row>
    <row r="559" spans="3:16" ht="6" customHeight="1"/>
    <row r="560" spans="3:16">
      <c r="D560" s="74" t="s">
        <v>214</v>
      </c>
      <c r="K560" s="179">
        <f>Q14</f>
        <v>0.05</v>
      </c>
      <c r="L560" s="179">
        <f>K560</f>
        <v>0.05</v>
      </c>
      <c r="M560" s="179">
        <f>L560</f>
        <v>0.05</v>
      </c>
      <c r="N560" s="179">
        <f>M560</f>
        <v>0.05</v>
      </c>
      <c r="O560" s="179">
        <f>N560</f>
        <v>0.05</v>
      </c>
    </row>
    <row r="561" spans="2:15">
      <c r="D561" s="94" t="s">
        <v>86</v>
      </c>
      <c r="K561" s="308">
        <f>K560*AVERAGE(K558,K553)</f>
        <v>0</v>
      </c>
      <c r="L561" s="308">
        <f>L560*AVERAGE(L558,L553)</f>
        <v>0</v>
      </c>
      <c r="M561" s="308">
        <f>M560*AVERAGE(M558,M553)</f>
        <v>0</v>
      </c>
      <c r="N561" s="308">
        <f ca="1">N560*AVERAGE(N558,N553)</f>
        <v>0</v>
      </c>
      <c r="O561" s="308">
        <f ca="1">O560*AVERAGE(O558,O553)</f>
        <v>5</v>
      </c>
    </row>
    <row r="562" spans="2:15">
      <c r="B562" s="122"/>
      <c r="C562" s="167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</row>
    <row r="563" spans="2:15">
      <c r="C563" s="163"/>
      <c r="F563" s="74"/>
    </row>
    <row r="564" spans="2:15" ht="12.75" customHeight="1">
      <c r="B564" s="71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3" t="str">
        <f>$O$139</f>
        <v>CURRENTLY RUNNING: BASE CASE SCENARIO</v>
      </c>
    </row>
    <row r="565" spans="2:15" ht="22.5">
      <c r="B565" s="71" t="str">
        <f>B$140</f>
        <v>Windsol Manufacturing</v>
      </c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</row>
    <row r="566" spans="2:15" ht="18.75">
      <c r="B566" s="75" t="s">
        <v>262</v>
      </c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</row>
    <row r="567" spans="2:15" ht="6" customHeight="1" thickBot="1">
      <c r="B567" s="76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</row>
    <row r="568" spans="2:15" ht="13.5">
      <c r="B568" s="78" t="s">
        <v>268</v>
      </c>
      <c r="F568" s="74"/>
      <c r="H568" s="72"/>
      <c r="I568" s="72"/>
      <c r="J568" s="72"/>
      <c r="K568" s="80" t="s">
        <v>6</v>
      </c>
      <c r="L568" s="81"/>
      <c r="M568" s="81"/>
      <c r="N568" s="81"/>
      <c r="O568" s="81"/>
    </row>
    <row r="569" spans="2:15">
      <c r="F569" s="74"/>
      <c r="G569" s="128"/>
      <c r="H569" s="129"/>
      <c r="I569" s="129"/>
      <c r="J569" s="469">
        <f>$J$145</f>
        <v>2018</v>
      </c>
      <c r="K569" s="86">
        <f>K$145</f>
        <v>2019</v>
      </c>
      <c r="L569" s="86">
        <f>L$145</f>
        <v>2020</v>
      </c>
      <c r="M569" s="86">
        <f>M$145</f>
        <v>2021</v>
      </c>
      <c r="N569" s="86">
        <f>N$145</f>
        <v>2022</v>
      </c>
      <c r="O569" s="86">
        <f>O$145</f>
        <v>2023</v>
      </c>
    </row>
    <row r="570" spans="2:15" ht="4.1500000000000004" customHeight="1">
      <c r="J570" s="387"/>
    </row>
    <row r="571" spans="2:15">
      <c r="B571" s="298" t="s">
        <v>192</v>
      </c>
      <c r="C571" s="299"/>
      <c r="D571" s="299"/>
      <c r="E571" s="299"/>
      <c r="F571" s="300"/>
      <c r="G571" s="299"/>
      <c r="H571" s="299"/>
      <c r="I571" s="299"/>
      <c r="J571" s="299"/>
      <c r="K571" s="565">
        <f>K$118</f>
        <v>0.01</v>
      </c>
      <c r="L571" s="565">
        <f t="shared" ref="L571:O571" si="82">L$118</f>
        <v>0.01</v>
      </c>
      <c r="M571" s="565">
        <f t="shared" si="82"/>
        <v>0.01</v>
      </c>
      <c r="N571" s="565">
        <f t="shared" si="82"/>
        <v>1.4999999999999999E-2</v>
      </c>
      <c r="O571" s="565">
        <f t="shared" si="82"/>
        <v>0.02</v>
      </c>
    </row>
    <row r="572" spans="2:15">
      <c r="B572" s="301" t="s">
        <v>189</v>
      </c>
      <c r="C572" s="170"/>
      <c r="D572" s="170"/>
      <c r="E572" s="170"/>
      <c r="F572" s="302"/>
      <c r="G572" s="170"/>
      <c r="H572" s="170"/>
      <c r="I572" s="170"/>
      <c r="J572" s="303">
        <f t="shared" ref="J572:O572" si="83">J519</f>
        <v>3.2249336827183441</v>
      </c>
      <c r="K572" s="303">
        <f t="shared" ca="1" si="83"/>
        <v>2.5762045600873908</v>
      </c>
      <c r="L572" s="303">
        <f t="shared" ca="1" si="83"/>
        <v>2.5871282506821198</v>
      </c>
      <c r="M572" s="303">
        <f t="shared" ca="1" si="83"/>
        <v>2.4027047683022866</v>
      </c>
      <c r="N572" s="303">
        <f t="shared" ca="1" si="83"/>
        <v>1.3840468603222074</v>
      </c>
      <c r="O572" s="304">
        <f t="shared" ca="1" si="83"/>
        <v>0.98286298391698534</v>
      </c>
    </row>
    <row r="573" spans="2:15" ht="6" customHeight="1">
      <c r="C573" s="94"/>
      <c r="D573" s="188"/>
    </row>
    <row r="574" spans="2:15" ht="13.9" customHeight="1">
      <c r="C574" s="188" t="s">
        <v>257</v>
      </c>
      <c r="D574" s="94"/>
      <c r="K574" s="218"/>
      <c r="L574" s="218"/>
      <c r="M574" s="218"/>
      <c r="N574" s="218"/>
      <c r="O574" s="218"/>
    </row>
    <row r="575" spans="2:15" ht="13.9" customHeight="1">
      <c r="D575" s="74" t="s">
        <v>251</v>
      </c>
      <c r="K575" s="139">
        <f ca="1">K477 * - 1</f>
        <v>-0.39155019039246725</v>
      </c>
      <c r="L575" s="139">
        <f t="shared" ref="L575:O575" ca="1" si="84">L477 * - 1</f>
        <v>-0.48734869597567149</v>
      </c>
      <c r="M575" s="139">
        <f t="shared" ca="1" si="84"/>
        <v>-0.63686669939252616</v>
      </c>
      <c r="N575" s="139">
        <f t="shared" ca="1" si="84"/>
        <v>-0.76613638791183403</v>
      </c>
      <c r="O575" s="139">
        <f t="shared" ca="1" si="84"/>
        <v>-0.15000002305466709</v>
      </c>
    </row>
    <row r="576" spans="2:15" ht="13.9" customHeight="1">
      <c r="D576" s="74" t="s">
        <v>177</v>
      </c>
      <c r="K576" s="139">
        <f ca="1">K495</f>
        <v>0.22500000000000003</v>
      </c>
      <c r="L576" s="139">
        <f ca="1">L495</f>
        <v>0</v>
      </c>
      <c r="M576" s="139">
        <f ca="1">M495</f>
        <v>0</v>
      </c>
      <c r="N576" s="139">
        <f ca="1">N495</f>
        <v>5.1127851693769575</v>
      </c>
      <c r="O576" s="139">
        <f ca="1">O495</f>
        <v>7.9157391002446875</v>
      </c>
    </row>
    <row r="577" spans="3:15" ht="13.9" customHeight="1">
      <c r="D577" s="74" t="s">
        <v>252</v>
      </c>
      <c r="K577" s="139">
        <f>K506</f>
        <v>5.7375000000000007</v>
      </c>
      <c r="L577" s="139">
        <f ca="1">L506</f>
        <v>3.42</v>
      </c>
      <c r="M577" s="139">
        <f ca="1">M506</f>
        <v>1.92</v>
      </c>
      <c r="N577" s="139">
        <f ca="1">N506</f>
        <v>0.67499999999999993</v>
      </c>
      <c r="O577" s="139">
        <f ca="1">O506</f>
        <v>0</v>
      </c>
    </row>
    <row r="578" spans="3:15" ht="13.9" customHeight="1">
      <c r="D578" s="74" t="s">
        <v>253</v>
      </c>
      <c r="K578" s="139">
        <f ca="1">K533</f>
        <v>4.2596348884381339</v>
      </c>
      <c r="L578" s="139">
        <f ca="1">L533</f>
        <v>4.3805981509901297</v>
      </c>
      <c r="M578" s="139">
        <f ca="1">M533</f>
        <v>4.5049964757646981</v>
      </c>
      <c r="N578" s="139">
        <f ca="1">N533</f>
        <v>3.8067220220211695</v>
      </c>
      <c r="O578" s="139">
        <f ca="1">O533</f>
        <v>0</v>
      </c>
    </row>
    <row r="579" spans="3:15" ht="13.9" customHeight="1">
      <c r="D579" s="74" t="str">
        <f>C536</f>
        <v>Senior Notes due 2022</v>
      </c>
      <c r="K579" s="139">
        <f>K542</f>
        <v>17.100000000000001</v>
      </c>
      <c r="L579" s="139">
        <f>L542</f>
        <v>17.100000000000001</v>
      </c>
      <c r="M579" s="139">
        <f>M542</f>
        <v>17.100000000000001</v>
      </c>
      <c r="N579" s="139">
        <f>N542</f>
        <v>8.5500000000000007</v>
      </c>
      <c r="O579" s="139">
        <f>O542</f>
        <v>0</v>
      </c>
    </row>
    <row r="580" spans="3:15" ht="13.9" customHeight="1">
      <c r="D580" s="74" t="str">
        <f>C544</f>
        <v>Senior Notes due 2023</v>
      </c>
      <c r="K580" s="139">
        <f>K550</f>
        <v>9.6</v>
      </c>
      <c r="L580" s="139">
        <f>L550</f>
        <v>9.6</v>
      </c>
      <c r="M580" s="139">
        <f>M550</f>
        <v>9.6</v>
      </c>
      <c r="N580" s="139">
        <f>N550</f>
        <v>9.6</v>
      </c>
      <c r="O580" s="139">
        <f>O550</f>
        <v>4.8</v>
      </c>
    </row>
    <row r="581" spans="3:15" ht="13.9" customHeight="1">
      <c r="D581" s="74" t="s">
        <v>230</v>
      </c>
      <c r="K581" s="139">
        <f>K561</f>
        <v>0</v>
      </c>
      <c r="L581" s="139">
        <f>L561</f>
        <v>0</v>
      </c>
      <c r="M581" s="139">
        <f>M561</f>
        <v>0</v>
      </c>
      <c r="N581" s="139">
        <f ca="1">N561</f>
        <v>0</v>
      </c>
      <c r="O581" s="139">
        <f ca="1">O561</f>
        <v>5</v>
      </c>
    </row>
    <row r="582" spans="3:15" ht="13.9" customHeight="1" thickBot="1">
      <c r="D582" s="94" t="s">
        <v>256</v>
      </c>
      <c r="K582" s="559">
        <f ca="1">SUM(K575:K581)</f>
        <v>36.530584698045672</v>
      </c>
      <c r="L582" s="559">
        <f t="shared" ref="L582:O582" ca="1" si="85">SUM(L575:L581)</f>
        <v>34.01324945501446</v>
      </c>
      <c r="M582" s="559">
        <f t="shared" ca="1" si="85"/>
        <v>32.488129776372176</v>
      </c>
      <c r="N582" s="559">
        <f t="shared" ca="1" si="85"/>
        <v>26.978370803486293</v>
      </c>
      <c r="O582" s="559">
        <f t="shared" ca="1" si="85"/>
        <v>17.56573907719002</v>
      </c>
    </row>
    <row r="583" spans="3:15" ht="6" customHeight="1" thickTop="1">
      <c r="D583" s="94"/>
      <c r="K583" s="218"/>
      <c r="L583" s="218"/>
      <c r="M583" s="218"/>
      <c r="N583" s="218"/>
      <c r="O583" s="218"/>
    </row>
    <row r="584" spans="3:15" ht="13.9" customHeight="1">
      <c r="C584" s="188" t="s">
        <v>258</v>
      </c>
      <c r="D584" s="94"/>
      <c r="K584" s="218"/>
      <c r="L584" s="218"/>
      <c r="M584" s="218"/>
      <c r="N584" s="218"/>
      <c r="O584" s="218"/>
    </row>
    <row r="585" spans="3:15" ht="13.9" customHeight="1">
      <c r="D585" s="74" t="s">
        <v>254</v>
      </c>
      <c r="K585" s="139">
        <f ca="1">K532</f>
        <v>2.8397565922920895</v>
      </c>
      <c r="L585" s="139">
        <f ca="1">L532</f>
        <v>2.9203987673267537</v>
      </c>
      <c r="M585" s="139">
        <f ca="1">M532</f>
        <v>3.0033309838431324</v>
      </c>
      <c r="N585" s="139">
        <f ca="1">N532</f>
        <v>0</v>
      </c>
      <c r="O585" s="139">
        <f ca="1">O532</f>
        <v>0</v>
      </c>
    </row>
    <row r="586" spans="3:15" ht="13.9" customHeight="1" thickBot="1">
      <c r="D586" s="94" t="s">
        <v>255</v>
      </c>
      <c r="K586" s="216">
        <f ca="1">SUM(K585:K585)</f>
        <v>2.8397565922920895</v>
      </c>
      <c r="L586" s="216">
        <f ca="1">SUM(L585:L585)</f>
        <v>2.9203987673267537</v>
      </c>
      <c r="M586" s="216">
        <f ca="1">SUM(M585:M585)</f>
        <v>3.0033309838431324</v>
      </c>
      <c r="N586" s="216">
        <f ca="1">SUM(N585:N585)</f>
        <v>0</v>
      </c>
      <c r="O586" s="216">
        <f ca="1">SUM(O585:O585)</f>
        <v>0</v>
      </c>
    </row>
    <row r="587" spans="3:15" ht="6" customHeight="1" thickTop="1">
      <c r="D587" s="94"/>
      <c r="K587" s="218"/>
      <c r="L587" s="218"/>
      <c r="M587" s="218"/>
      <c r="N587" s="218"/>
      <c r="O587" s="218"/>
    </row>
    <row r="588" spans="3:15" ht="13.9" customHeight="1">
      <c r="C588" s="188" t="s">
        <v>259</v>
      </c>
      <c r="D588" s="94"/>
      <c r="K588" s="218"/>
      <c r="L588" s="218"/>
      <c r="M588" s="218"/>
      <c r="N588" s="218"/>
      <c r="O588" s="218"/>
    </row>
    <row r="589" spans="3:15" ht="13.9" customHeight="1">
      <c r="C589" s="94"/>
      <c r="D589" s="74" t="s">
        <v>252</v>
      </c>
      <c r="J589" s="139">
        <f t="shared" ref="J589:O589" si="86">J502</f>
        <v>150</v>
      </c>
      <c r="K589" s="139">
        <f t="shared" si="86"/>
        <v>105</v>
      </c>
      <c r="L589" s="139">
        <f t="shared" si="86"/>
        <v>66</v>
      </c>
      <c r="M589" s="139">
        <f t="shared" si="86"/>
        <v>30</v>
      </c>
      <c r="N589" s="139">
        <f t="shared" si="86"/>
        <v>0</v>
      </c>
      <c r="O589" s="139">
        <f t="shared" si="86"/>
        <v>0</v>
      </c>
    </row>
    <row r="590" spans="3:15" ht="13.9" customHeight="1">
      <c r="C590" s="94"/>
      <c r="D590" s="74" t="str">
        <f>C522</f>
        <v>Mezzanine Notes due 2022</v>
      </c>
      <c r="J590" s="566">
        <f>J$526</f>
        <v>100</v>
      </c>
      <c r="K590" s="566">
        <f t="shared" ref="K590:O590" ca="1" si="87">K$526</f>
        <v>102.83975659229209</v>
      </c>
      <c r="L590" s="566">
        <f t="shared" ca="1" si="87"/>
        <v>105.76015535961885</v>
      </c>
      <c r="M590" s="566">
        <f t="shared" ca="1" si="87"/>
        <v>108.76348634346198</v>
      </c>
      <c r="N590" s="566">
        <f t="shared" ca="1" si="87"/>
        <v>0</v>
      </c>
      <c r="O590" s="566">
        <f t="shared" ca="1" si="87"/>
        <v>0</v>
      </c>
    </row>
    <row r="591" spans="3:15" ht="13.9" customHeight="1">
      <c r="C591" s="94"/>
      <c r="D591" s="74" t="str">
        <f>D579</f>
        <v>Senior Notes due 2022</v>
      </c>
      <c r="J591" s="139">
        <f t="shared" ref="J591:O591" si="88">J539</f>
        <v>300</v>
      </c>
      <c r="K591" s="139">
        <f t="shared" si="88"/>
        <v>300</v>
      </c>
      <c r="L591" s="139">
        <f t="shared" si="88"/>
        <v>300</v>
      </c>
      <c r="M591" s="139">
        <f t="shared" si="88"/>
        <v>300</v>
      </c>
      <c r="N591" s="139">
        <f t="shared" si="88"/>
        <v>0</v>
      </c>
      <c r="O591" s="139">
        <f t="shared" si="88"/>
        <v>0</v>
      </c>
    </row>
    <row r="592" spans="3:15" ht="13.9" customHeight="1">
      <c r="C592" s="94"/>
      <c r="D592" s="74" t="str">
        <f>D580</f>
        <v>Senior Notes due 2023</v>
      </c>
      <c r="J592" s="139">
        <f t="shared" ref="J592:O592" si="89">J547</f>
        <v>200</v>
      </c>
      <c r="K592" s="139">
        <f t="shared" si="89"/>
        <v>200</v>
      </c>
      <c r="L592" s="139">
        <f t="shared" si="89"/>
        <v>200</v>
      </c>
      <c r="M592" s="139">
        <f t="shared" si="89"/>
        <v>200</v>
      </c>
      <c r="N592" s="139">
        <f t="shared" si="89"/>
        <v>200</v>
      </c>
      <c r="O592" s="139">
        <f t="shared" si="89"/>
        <v>0</v>
      </c>
    </row>
    <row r="593" spans="2:15" ht="13.9" customHeight="1">
      <c r="C593" s="94"/>
      <c r="D593" s="74" t="s">
        <v>230</v>
      </c>
      <c r="J593" s="139">
        <f t="shared" ref="J593:O593" si="90">J558</f>
        <v>0</v>
      </c>
      <c r="K593" s="139">
        <f t="shared" si="90"/>
        <v>0</v>
      </c>
      <c r="L593" s="139">
        <f t="shared" si="90"/>
        <v>0</v>
      </c>
      <c r="M593" s="139">
        <f t="shared" si="90"/>
        <v>0</v>
      </c>
      <c r="N593" s="139">
        <f t="shared" ca="1" si="90"/>
        <v>0</v>
      </c>
      <c r="O593" s="139">
        <f t="shared" ca="1" si="90"/>
        <v>200</v>
      </c>
    </row>
    <row r="594" spans="2:15" ht="13.9" customHeight="1" thickBot="1">
      <c r="C594" s="94"/>
      <c r="D594" s="94" t="s">
        <v>260</v>
      </c>
      <c r="J594" s="216">
        <f t="shared" ref="J594:O594" si="91">SUM(J589:J593)</f>
        <v>750</v>
      </c>
      <c r="K594" s="216">
        <f t="shared" ca="1" si="91"/>
        <v>707.83975659229213</v>
      </c>
      <c r="L594" s="216">
        <f t="shared" ca="1" si="91"/>
        <v>671.76015535961892</v>
      </c>
      <c r="M594" s="216">
        <f t="shared" ca="1" si="91"/>
        <v>638.76348634346198</v>
      </c>
      <c r="N594" s="216">
        <f t="shared" ca="1" si="91"/>
        <v>200</v>
      </c>
      <c r="O594" s="216">
        <f t="shared" ca="1" si="91"/>
        <v>200</v>
      </c>
    </row>
    <row r="595" spans="2:15" ht="13.9" customHeight="1" thickTop="1">
      <c r="C595" s="94"/>
      <c r="D595" s="94"/>
      <c r="K595" s="218"/>
      <c r="L595" s="218"/>
      <c r="M595" s="218"/>
      <c r="N595" s="218"/>
      <c r="O595" s="218"/>
    </row>
    <row r="596" spans="2:15" ht="13.9" customHeight="1">
      <c r="C596" s="188" t="s">
        <v>261</v>
      </c>
      <c r="D596" s="94"/>
      <c r="K596" s="218"/>
      <c r="L596" s="218"/>
      <c r="M596" s="218"/>
      <c r="N596" s="218"/>
      <c r="O596" s="218"/>
    </row>
    <row r="597" spans="2:15" ht="13.9" customHeight="1">
      <c r="C597" s="188"/>
      <c r="D597" s="74" t="s">
        <v>177</v>
      </c>
      <c r="J597" s="280">
        <f t="shared" ref="J597:O597" si="92">J491</f>
        <v>10</v>
      </c>
      <c r="K597" s="280">
        <f t="shared" ca="1" si="92"/>
        <v>0</v>
      </c>
      <c r="L597" s="280">
        <f t="shared" ca="1" si="92"/>
        <v>0</v>
      </c>
      <c r="M597" s="280">
        <f t="shared" ca="1" si="92"/>
        <v>0</v>
      </c>
      <c r="N597" s="280">
        <f t="shared" ca="1" si="92"/>
        <v>227.23489641675366</v>
      </c>
      <c r="O597" s="280">
        <f t="shared" ca="1" si="92"/>
        <v>124.57573020214996</v>
      </c>
    </row>
    <row r="598" spans="2:15" ht="13.9" customHeight="1">
      <c r="D598" s="74" t="s">
        <v>227</v>
      </c>
      <c r="J598" s="280">
        <f t="shared" ref="J598:O598" si="93">-SUM(K501,K524,K538,K546)</f>
        <v>45</v>
      </c>
      <c r="K598" s="280">
        <f t="shared" si="93"/>
        <v>39</v>
      </c>
      <c r="L598" s="280">
        <f t="shared" si="93"/>
        <v>36</v>
      </c>
      <c r="M598" s="280">
        <f t="shared" ca="1" si="93"/>
        <v>438.76348634346198</v>
      </c>
      <c r="N598" s="280">
        <f t="shared" si="93"/>
        <v>200</v>
      </c>
      <c r="O598" s="280">
        <f t="shared" si="93"/>
        <v>0</v>
      </c>
    </row>
    <row r="599" spans="2:15" ht="13.9" customHeight="1">
      <c r="D599" s="74" t="s">
        <v>225</v>
      </c>
      <c r="J599" s="280">
        <f t="shared" ref="J599:O599" si="94">J594-J598</f>
        <v>705</v>
      </c>
      <c r="K599" s="280">
        <f t="shared" ca="1" si="94"/>
        <v>668.83975659229213</v>
      </c>
      <c r="L599" s="280">
        <f t="shared" ca="1" si="94"/>
        <v>635.76015535961892</v>
      </c>
      <c r="M599" s="280">
        <f t="shared" ca="1" si="94"/>
        <v>200</v>
      </c>
      <c r="N599" s="280">
        <f t="shared" ca="1" si="94"/>
        <v>0</v>
      </c>
      <c r="O599" s="280">
        <f t="shared" ca="1" si="94"/>
        <v>200</v>
      </c>
    </row>
    <row r="600" spans="2:15" ht="6" customHeight="1">
      <c r="B600" s="122"/>
      <c r="C600" s="122"/>
      <c r="D600" s="122"/>
      <c r="E600" s="122"/>
      <c r="F600" s="184"/>
      <c r="G600" s="122"/>
      <c r="H600" s="122"/>
      <c r="I600" s="122"/>
      <c r="J600" s="122"/>
      <c r="K600" s="122"/>
      <c r="L600" s="122"/>
      <c r="M600" s="122"/>
      <c r="N600" s="122"/>
      <c r="O600" s="122"/>
    </row>
    <row r="602" spans="2:15">
      <c r="K602" s="280"/>
    </row>
    <row r="603" spans="2:15" ht="12.75" customHeight="1">
      <c r="B603" s="71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3" t="str">
        <f>$O$139</f>
        <v>CURRENTLY RUNNING: BASE CASE SCENARIO</v>
      </c>
    </row>
    <row r="604" spans="2:15" ht="22.5">
      <c r="B604" s="71" t="str">
        <f>B461</f>
        <v>Windsol Manufacturing</v>
      </c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</row>
    <row r="605" spans="2:15" ht="18.75">
      <c r="B605" s="75" t="s">
        <v>155</v>
      </c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</row>
    <row r="606" spans="2:15" ht="6" customHeight="1" thickBot="1">
      <c r="B606" s="76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</row>
    <row r="607" spans="2:15">
      <c r="B607" s="78" t="s">
        <v>268</v>
      </c>
      <c r="F607" s="74"/>
      <c r="O607" s="100"/>
    </row>
    <row r="608" spans="2:15" ht="13.5">
      <c r="F608" s="74"/>
      <c r="H608" s="72"/>
      <c r="I608" s="72"/>
      <c r="J608" s="72"/>
      <c r="K608" s="80" t="s">
        <v>6</v>
      </c>
      <c r="L608" s="81"/>
      <c r="M608" s="81"/>
      <c r="N608" s="81"/>
      <c r="O608" s="81"/>
    </row>
    <row r="609" spans="2:15">
      <c r="F609" s="74"/>
      <c r="G609" s="128"/>
      <c r="H609" s="129"/>
      <c r="I609" s="129"/>
      <c r="J609" s="469">
        <f>$J$145</f>
        <v>2018</v>
      </c>
      <c r="K609" s="86">
        <f>K$145</f>
        <v>2019</v>
      </c>
      <c r="L609" s="86">
        <f>L$145</f>
        <v>2020</v>
      </c>
      <c r="M609" s="86">
        <f>M$145</f>
        <v>2021</v>
      </c>
      <c r="N609" s="86">
        <f>N$145</f>
        <v>2022</v>
      </c>
      <c r="O609" s="86">
        <f>O$145</f>
        <v>2023</v>
      </c>
    </row>
    <row r="611" spans="2:15" ht="13.15" customHeight="1">
      <c r="B611" s="94"/>
      <c r="C611" s="94" t="s">
        <v>156</v>
      </c>
    </row>
    <row r="612" spans="2:15" ht="13.15" customHeight="1">
      <c r="D612" s="74" t="s">
        <v>83</v>
      </c>
      <c r="G612" s="158"/>
      <c r="K612" s="139">
        <f>J614</f>
        <v>59.2</v>
      </c>
      <c r="L612" s="139">
        <f>K614</f>
        <v>59.2</v>
      </c>
      <c r="M612" s="139">
        <f>L614</f>
        <v>59.2</v>
      </c>
      <c r="N612" s="139">
        <f>M614</f>
        <v>59.2</v>
      </c>
      <c r="O612" s="139">
        <f>N614</f>
        <v>59.2</v>
      </c>
    </row>
    <row r="613" spans="2:15" ht="13.15" customHeight="1">
      <c r="D613" s="74" t="s">
        <v>167</v>
      </c>
      <c r="K613" s="139">
        <f>H86</f>
        <v>0</v>
      </c>
      <c r="L613" s="139">
        <f>I86</f>
        <v>0</v>
      </c>
      <c r="M613" s="139">
        <f>J86</f>
        <v>0</v>
      </c>
      <c r="N613" s="139">
        <f>K86</f>
        <v>0</v>
      </c>
      <c r="O613" s="139">
        <f>L86</f>
        <v>0</v>
      </c>
    </row>
    <row r="614" spans="2:15" ht="13.15" customHeight="1">
      <c r="D614" s="74" t="s">
        <v>85</v>
      </c>
      <c r="J614" s="280">
        <f>J348</f>
        <v>59.2</v>
      </c>
      <c r="K614" s="280">
        <f>SUM(K612:K613)</f>
        <v>59.2</v>
      </c>
      <c r="L614" s="280">
        <f>SUM(L612:L613)</f>
        <v>59.2</v>
      </c>
      <c r="M614" s="280">
        <f>SUM(M612:M613)</f>
        <v>59.2</v>
      </c>
      <c r="N614" s="280">
        <f>SUM(N612:N613)</f>
        <v>59.2</v>
      </c>
      <c r="O614" s="280">
        <f>SUM(O612:O613)</f>
        <v>59.2</v>
      </c>
    </row>
    <row r="615" spans="2:15" ht="6" customHeight="1"/>
    <row r="616" spans="2:15" ht="13.15" customHeight="1">
      <c r="D616" s="74" t="s">
        <v>157</v>
      </c>
      <c r="K616" s="179">
        <f>N28</f>
        <v>0.1</v>
      </c>
      <c r="L616" s="179">
        <f>K616</f>
        <v>0.1</v>
      </c>
      <c r="M616" s="179">
        <f>L616</f>
        <v>0.1</v>
      </c>
      <c r="N616" s="179">
        <f>M616</f>
        <v>0.1</v>
      </c>
      <c r="O616" s="179">
        <f>N616</f>
        <v>0.1</v>
      </c>
    </row>
    <row r="617" spans="2:15" ht="13.15" customHeight="1">
      <c r="D617" s="74" t="s">
        <v>12</v>
      </c>
      <c r="K617" s="139">
        <f ca="1">K262</f>
        <v>132.72505500647679</v>
      </c>
      <c r="L617" s="139">
        <f ca="1">L262</f>
        <v>120.00319779139816</v>
      </c>
      <c r="M617" s="139">
        <f ca="1">M262</f>
        <v>121.7313938657862</v>
      </c>
      <c r="N617" s="139">
        <f ca="1">N262</f>
        <v>154.86273503066334</v>
      </c>
      <c r="O617" s="139">
        <f ca="1">O262</f>
        <v>173.2406815057449</v>
      </c>
    </row>
    <row r="618" spans="2:15" ht="13.15" customHeight="1">
      <c r="C618" s="94"/>
      <c r="D618" s="94" t="s">
        <v>158</v>
      </c>
      <c r="K618" s="308">
        <f ca="1">MAX(K617*K616,0)</f>
        <v>13.27250550064768</v>
      </c>
      <c r="L618" s="308">
        <f ca="1">MAX(L617*L616,0)</f>
        <v>12.000319779139817</v>
      </c>
      <c r="M618" s="308">
        <f ca="1">MAX(M617*M616,0)</f>
        <v>12.173139386578621</v>
      </c>
      <c r="N618" s="308">
        <f ca="1">MAX(N617*N616,0)</f>
        <v>15.486273503066336</v>
      </c>
      <c r="O618" s="308">
        <f ca="1">MAX(O617*O616,0)</f>
        <v>17.32406815057449</v>
      </c>
    </row>
    <row r="621" spans="2:15" ht="13.15" customHeight="1">
      <c r="B621" s="94"/>
      <c r="C621" s="94" t="s">
        <v>159</v>
      </c>
    </row>
    <row r="622" spans="2:15" ht="13.15" customHeight="1">
      <c r="D622" s="74" t="s">
        <v>83</v>
      </c>
      <c r="K622" s="139">
        <f>J625</f>
        <v>347.7</v>
      </c>
      <c r="L622" s="139">
        <f ca="1">K625</f>
        <v>467.15254950582909</v>
      </c>
      <c r="M622" s="139">
        <f ca="1">L625</f>
        <v>575.15542751808744</v>
      </c>
      <c r="N622" s="139">
        <f ca="1">M625</f>
        <v>684.713681997295</v>
      </c>
      <c r="O622" s="139">
        <f ca="1">N625</f>
        <v>824.09014349212157</v>
      </c>
    </row>
    <row r="623" spans="2:15" ht="13.15" customHeight="1">
      <c r="D623" s="74" t="s">
        <v>12</v>
      </c>
      <c r="K623" s="139">
        <f ca="1">K262</f>
        <v>132.72505500647679</v>
      </c>
      <c r="L623" s="139">
        <f ca="1">L262</f>
        <v>120.00319779139816</v>
      </c>
      <c r="M623" s="139">
        <f ca="1">M262</f>
        <v>121.7313938657862</v>
      </c>
      <c r="N623" s="139">
        <f ca="1">N262</f>
        <v>154.86273503066334</v>
      </c>
      <c r="O623" s="139">
        <f ca="1">O262</f>
        <v>173.2406815057449</v>
      </c>
    </row>
    <row r="624" spans="2:15" ht="13.15" customHeight="1">
      <c r="D624" s="74" t="s">
        <v>158</v>
      </c>
      <c r="J624" s="122"/>
      <c r="K624" s="305">
        <f ca="1">K618 * - 1</f>
        <v>-13.27250550064768</v>
      </c>
      <c r="L624" s="305">
        <f t="shared" ref="L624:O624" ca="1" si="95">L618 * - 1</f>
        <v>-12.000319779139817</v>
      </c>
      <c r="M624" s="305">
        <f t="shared" ca="1" si="95"/>
        <v>-12.173139386578621</v>
      </c>
      <c r="N624" s="305">
        <f t="shared" ca="1" si="95"/>
        <v>-15.486273503066336</v>
      </c>
      <c r="O624" s="305">
        <f t="shared" ca="1" si="95"/>
        <v>-17.32406815057449</v>
      </c>
    </row>
    <row r="625" spans="2:15" ht="13.15" customHeight="1">
      <c r="D625" s="94" t="s">
        <v>85</v>
      </c>
      <c r="E625" s="94"/>
      <c r="F625" s="192"/>
      <c r="G625" s="94"/>
      <c r="H625" s="94"/>
      <c r="I625" s="94"/>
      <c r="J625" s="218">
        <f>J349</f>
        <v>347.7</v>
      </c>
      <c r="K625" s="558">
        <f ca="1">SUM(K622:K624)</f>
        <v>467.15254950582909</v>
      </c>
      <c r="L625" s="558">
        <f ca="1">SUM(L622:L624)</f>
        <v>575.15542751808744</v>
      </c>
      <c r="M625" s="558">
        <f ca="1">SUM(M622:M624)</f>
        <v>684.713681997295</v>
      </c>
      <c r="N625" s="558">
        <f ca="1">SUM(N622:N624)</f>
        <v>824.09014352489203</v>
      </c>
      <c r="O625" s="558">
        <f ca="1">SUM(O622:O624)</f>
        <v>980.00675684729197</v>
      </c>
    </row>
    <row r="628" spans="2:15">
      <c r="C628" s="94" t="s">
        <v>165</v>
      </c>
    </row>
    <row r="629" spans="2:15">
      <c r="C629" s="94"/>
      <c r="D629" s="74" t="s">
        <v>166</v>
      </c>
      <c r="K629" s="179">
        <f>N29</f>
        <v>0.12</v>
      </c>
      <c r="L629" s="179">
        <f>K629</f>
        <v>0.12</v>
      </c>
      <c r="M629" s="179">
        <f>L629</f>
        <v>0.12</v>
      </c>
      <c r="N629" s="179">
        <f>M629</f>
        <v>0.12</v>
      </c>
      <c r="O629" s="179">
        <f>N629</f>
        <v>0.12</v>
      </c>
    </row>
    <row r="630" spans="2:15">
      <c r="C630" s="94"/>
      <c r="D630" s="74" t="s">
        <v>250</v>
      </c>
      <c r="J630" s="310">
        <f>N27</f>
        <v>20.5</v>
      </c>
      <c r="K630" s="310">
        <f>J630*(1+K629)</f>
        <v>22.96</v>
      </c>
      <c r="L630" s="310">
        <f>K630*(1+L629)</f>
        <v>25.715200000000003</v>
      </c>
      <c r="M630" s="310">
        <f>L630*(1+M629)</f>
        <v>28.801024000000005</v>
      </c>
      <c r="N630" s="310">
        <f>M630*(1+N629)</f>
        <v>32.257146880000008</v>
      </c>
      <c r="O630" s="310">
        <f>N630*(1+O629)</f>
        <v>36.128004505600011</v>
      </c>
    </row>
    <row r="631" spans="2:15">
      <c r="C631" s="94"/>
    </row>
    <row r="632" spans="2:15">
      <c r="D632" s="74" t="s">
        <v>168</v>
      </c>
      <c r="K632" s="139">
        <f>J635</f>
        <v>122.6</v>
      </c>
      <c r="L632" s="139">
        <f>K635</f>
        <v>123.1</v>
      </c>
      <c r="M632" s="139">
        <f>L635</f>
        <v>123.6</v>
      </c>
      <c r="N632" s="139">
        <f>M635</f>
        <v>123.6</v>
      </c>
      <c r="O632" s="139">
        <f>N635</f>
        <v>123.6</v>
      </c>
    </row>
    <row r="633" spans="2:15">
      <c r="D633" s="74" t="s">
        <v>167</v>
      </c>
      <c r="J633" s="139"/>
      <c r="K633" s="139">
        <f>K613/K630</f>
        <v>0</v>
      </c>
      <c r="L633" s="139">
        <f>L613/L630</f>
        <v>0</v>
      </c>
      <c r="M633" s="139">
        <f>M613/M630</f>
        <v>0</v>
      </c>
      <c r="N633" s="139">
        <f>N613/N630</f>
        <v>0</v>
      </c>
      <c r="O633" s="139">
        <f>O613/O630</f>
        <v>0</v>
      </c>
    </row>
    <row r="634" spans="2:15">
      <c r="D634" s="74" t="s">
        <v>170</v>
      </c>
      <c r="J634" s="305"/>
      <c r="K634" s="305">
        <f>H87</f>
        <v>0.5</v>
      </c>
      <c r="L634" s="305">
        <f>I87</f>
        <v>0.5</v>
      </c>
      <c r="M634" s="305">
        <f>J87</f>
        <v>0</v>
      </c>
      <c r="N634" s="305">
        <f>K87</f>
        <v>0</v>
      </c>
      <c r="O634" s="305">
        <f>L87</f>
        <v>0</v>
      </c>
    </row>
    <row r="635" spans="2:15">
      <c r="D635" s="74" t="s">
        <v>169</v>
      </c>
      <c r="J635" s="139">
        <f>N30</f>
        <v>122.6</v>
      </c>
      <c r="K635" s="139">
        <f>SUM(K632:K634)</f>
        <v>123.1</v>
      </c>
      <c r="L635" s="139">
        <f>SUM(L632:L634)</f>
        <v>123.6</v>
      </c>
      <c r="M635" s="139">
        <f>SUM(M632:M634)</f>
        <v>123.6</v>
      </c>
      <c r="N635" s="139">
        <f>SUM(N632:N634)</f>
        <v>123.6</v>
      </c>
      <c r="O635" s="139">
        <f>SUM(O632:O634)</f>
        <v>123.6</v>
      </c>
    </row>
    <row r="636" spans="2:15" ht="6" customHeight="1">
      <c r="D636" s="94"/>
      <c r="J636" s="311"/>
      <c r="K636" s="311"/>
      <c r="L636" s="311"/>
      <c r="M636" s="311"/>
      <c r="N636" s="311"/>
      <c r="O636" s="311"/>
    </row>
    <row r="637" spans="2:15">
      <c r="D637" s="217" t="s">
        <v>185</v>
      </c>
      <c r="K637" s="312">
        <f>AVERAGE(K635,K632)</f>
        <v>122.85</v>
      </c>
      <c r="L637" s="312">
        <f>AVERAGE(L635,L632)</f>
        <v>123.35</v>
      </c>
      <c r="M637" s="312">
        <f>AVERAGE(M635,M632)</f>
        <v>123.6</v>
      </c>
      <c r="N637" s="312">
        <f>AVERAGE(N635,N632)</f>
        <v>123.6</v>
      </c>
      <c r="O637" s="312">
        <f>AVERAGE(O635,O632)</f>
        <v>123.6</v>
      </c>
    </row>
    <row r="638" spans="2:15">
      <c r="B638" s="122"/>
      <c r="C638" s="122"/>
      <c r="D638" s="122"/>
      <c r="E638" s="122"/>
      <c r="F638" s="184"/>
      <c r="G638" s="122"/>
      <c r="H638" s="122"/>
      <c r="I638" s="122"/>
      <c r="J638" s="122"/>
      <c r="K638" s="122"/>
      <c r="L638" s="122"/>
      <c r="M638" s="122"/>
      <c r="N638" s="122"/>
      <c r="O638" s="122"/>
    </row>
    <row r="641" spans="2:16">
      <c r="F641" s="74"/>
      <c r="G641" s="117"/>
      <c r="O641" s="145" t="str">
        <f>$O$139</f>
        <v>CURRENTLY RUNNING: BASE CASE SCENARIO</v>
      </c>
    </row>
    <row r="642" spans="2:16" ht="22.5">
      <c r="C642" s="71" t="str">
        <f>B92</f>
        <v>Windsol Manufacturing</v>
      </c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</row>
    <row r="643" spans="2:16" ht="18.75">
      <c r="B643" s="75" t="s">
        <v>278</v>
      </c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</row>
    <row r="644" spans="2:16" ht="6" customHeight="1" thickBot="1">
      <c r="C644" s="76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</row>
    <row r="645" spans="2:16">
      <c r="B645" s="487" t="s">
        <v>268</v>
      </c>
      <c r="C645" s="78"/>
      <c r="F645" s="74"/>
      <c r="P645" s="100"/>
    </row>
    <row r="646" spans="2:16" ht="13.5">
      <c r="C646" s="78"/>
      <c r="F646" s="74"/>
      <c r="I646" s="72"/>
      <c r="J646" s="72"/>
      <c r="K646" s="80" t="s">
        <v>6</v>
      </c>
      <c r="L646" s="80"/>
      <c r="M646" s="80"/>
      <c r="N646" s="80"/>
      <c r="O646" s="80"/>
    </row>
    <row r="647" spans="2:16">
      <c r="F647" s="74"/>
      <c r="H647" s="128"/>
      <c r="I647" s="129"/>
      <c r="J647" s="129"/>
      <c r="K647" s="85">
        <f>K97</f>
        <v>2019</v>
      </c>
      <c r="L647" s="85">
        <f>L97</f>
        <v>2020</v>
      </c>
      <c r="M647" s="85">
        <f>M97</f>
        <v>2021</v>
      </c>
      <c r="N647" s="85">
        <f>N97</f>
        <v>2022</v>
      </c>
      <c r="O647" s="85">
        <f>O97</f>
        <v>2023</v>
      </c>
    </row>
    <row r="648" spans="2:16" ht="5.0999999999999996" customHeight="1">
      <c r="F648" s="74"/>
      <c r="G648" s="117"/>
    </row>
    <row r="649" spans="2:16">
      <c r="C649" s="453" t="s">
        <v>279</v>
      </c>
      <c r="D649" s="314"/>
      <c r="E649" s="314"/>
      <c r="F649" s="314"/>
      <c r="G649" s="454"/>
      <c r="K649" s="280"/>
    </row>
    <row r="650" spans="2:16">
      <c r="C650" s="314"/>
      <c r="D650" s="314" t="s">
        <v>9</v>
      </c>
      <c r="E650" s="314"/>
      <c r="F650" s="314"/>
      <c r="G650" s="455"/>
      <c r="K650" s="468">
        <f>K247</f>
        <v>274.76069546600002</v>
      </c>
      <c r="L650" s="468">
        <f>L247</f>
        <v>259.6547562659498</v>
      </c>
      <c r="M650" s="468">
        <f>M247</f>
        <v>265.85184112936281</v>
      </c>
      <c r="N650" s="468">
        <f>N247</f>
        <v>308.68528279160364</v>
      </c>
      <c r="O650" s="468">
        <f>O247</f>
        <v>330.23497536002424</v>
      </c>
    </row>
    <row r="651" spans="2:16">
      <c r="C651" s="314"/>
      <c r="D651" s="314" t="s">
        <v>90</v>
      </c>
      <c r="E651" s="314"/>
      <c r="F651" s="314"/>
      <c r="G651" s="455"/>
      <c r="K651" s="468">
        <f ca="1">K254</f>
        <v>39.370341290337763</v>
      </c>
      <c r="L651" s="468">
        <f ca="1">L254</f>
        <v>36.933648222341212</v>
      </c>
      <c r="M651" s="468">
        <f ca="1">M254</f>
        <v>35.491460760215311</v>
      </c>
      <c r="N651" s="468">
        <f ca="1">N254</f>
        <v>26.978370805954782</v>
      </c>
      <c r="O651" s="468">
        <f ca="1">O254</f>
        <v>17.565739965185635</v>
      </c>
    </row>
    <row r="652" spans="2:16">
      <c r="D652" s="74" t="s">
        <v>280</v>
      </c>
      <c r="F652" s="74"/>
      <c r="G652" s="455"/>
      <c r="K652" s="468">
        <f ca="1">K258</f>
        <v>29.369299169185435</v>
      </c>
      <c r="L652" s="468">
        <f ca="1">L258</f>
        <v>26.099110252210409</v>
      </c>
      <c r="M652" s="468">
        <f ca="1">M258</f>
        <v>28.164270503361305</v>
      </c>
      <c r="N652" s="468">
        <f ca="1">N258</f>
        <v>42.365111034985496</v>
      </c>
      <c r="O652" s="468">
        <f ca="1">O258</f>
        <v>50.755753058693706</v>
      </c>
    </row>
    <row r="653" spans="2:16">
      <c r="F653" s="74"/>
      <c r="G653" s="455"/>
      <c r="K653" s="139"/>
      <c r="L653" s="139"/>
      <c r="M653" s="139"/>
      <c r="N653" s="139"/>
      <c r="O653" s="139"/>
    </row>
    <row r="654" spans="2:16">
      <c r="C654" s="453" t="s">
        <v>281</v>
      </c>
      <c r="F654" s="74"/>
      <c r="G654" s="117"/>
      <c r="K654" s="139"/>
      <c r="L654" s="139"/>
      <c r="M654" s="139"/>
      <c r="N654" s="139"/>
      <c r="O654" s="139"/>
    </row>
    <row r="655" spans="2:16">
      <c r="C655" s="314"/>
      <c r="D655" s="314" t="s">
        <v>282</v>
      </c>
      <c r="E655" s="314"/>
      <c r="F655" s="314"/>
      <c r="G655" s="455"/>
      <c r="K655" s="468">
        <f>K291</f>
        <v>-120</v>
      </c>
      <c r="L655" s="468">
        <f>L291</f>
        <v>-130</v>
      </c>
      <c r="M655" s="468">
        <f>M291</f>
        <v>-131.94999999999999</v>
      </c>
      <c r="N655" s="468">
        <f>N291</f>
        <v>-134.589</v>
      </c>
      <c r="O655" s="468">
        <f>O291</f>
        <v>-137.28077999999999</v>
      </c>
    </row>
    <row r="656" spans="2:16">
      <c r="C656" s="314"/>
      <c r="D656" s="314" t="s">
        <v>283</v>
      </c>
      <c r="E656" s="314"/>
      <c r="F656" s="314"/>
      <c r="G656" s="455"/>
      <c r="K656" s="468">
        <f>-J598</f>
        <v>-45</v>
      </c>
      <c r="L656" s="468">
        <f>-K598</f>
        <v>-39</v>
      </c>
      <c r="M656" s="468">
        <f>-L598</f>
        <v>-36</v>
      </c>
      <c r="N656" s="468">
        <f ca="1">-M598</f>
        <v>-438.76348634346198</v>
      </c>
      <c r="O656" s="468">
        <f>-N598</f>
        <v>-200</v>
      </c>
    </row>
    <row r="657" spans="3:15">
      <c r="C657" s="314"/>
      <c r="D657" s="314"/>
      <c r="E657" s="314"/>
      <c r="F657" s="314"/>
      <c r="G657" s="455"/>
      <c r="K657" s="139"/>
      <c r="L657" s="139"/>
      <c r="M657" s="139"/>
      <c r="N657" s="139"/>
      <c r="O657" s="139"/>
    </row>
    <row r="658" spans="3:15">
      <c r="C658" s="453" t="s">
        <v>284</v>
      </c>
      <c r="D658" s="314"/>
      <c r="E658" s="314"/>
      <c r="F658" s="314"/>
      <c r="G658" s="455"/>
      <c r="K658" s="139"/>
      <c r="L658" s="139"/>
      <c r="M658" s="139"/>
      <c r="N658" s="139"/>
      <c r="O658" s="139"/>
    </row>
    <row r="659" spans="3:15">
      <c r="C659" s="453"/>
      <c r="D659" s="314" t="s">
        <v>18</v>
      </c>
      <c r="E659" s="314"/>
      <c r="F659" s="314"/>
      <c r="G659" s="455"/>
      <c r="K659" s="468">
        <f ca="1">K323</f>
        <v>83.420076156986894</v>
      </c>
      <c r="L659" s="468">
        <f ca="1">L323</f>
        <v>111.5194022332817</v>
      </c>
      <c r="M659" s="468">
        <f ca="1">M323</f>
        <v>143.22727752372873</v>
      </c>
      <c r="N659" s="468">
        <f ca="1">N323</f>
        <v>10.000000058638108</v>
      </c>
      <c r="O659" s="468">
        <f ca="1">O323</f>
        <v>10.000003245142807</v>
      </c>
    </row>
    <row r="660" spans="3:15">
      <c r="D660" s="100" t="s">
        <v>285</v>
      </c>
      <c r="F660" s="74"/>
      <c r="G660" s="117"/>
      <c r="K660" s="468">
        <f ca="1">K335</f>
        <v>0</v>
      </c>
      <c r="L660" s="468">
        <f ca="1">L335</f>
        <v>0</v>
      </c>
      <c r="M660" s="468">
        <f ca="1">M335</f>
        <v>0</v>
      </c>
      <c r="N660" s="468">
        <f ca="1">N335</f>
        <v>227.23489647539174</v>
      </c>
      <c r="O660" s="468">
        <f ca="1">O335</f>
        <v>124.57573327610555</v>
      </c>
    </row>
    <row r="661" spans="3:15">
      <c r="D661" s="74" t="s">
        <v>303</v>
      </c>
      <c r="F661" s="74"/>
      <c r="G661" s="117"/>
      <c r="K661" s="468">
        <f ca="1">SUM(K589:K593)</f>
        <v>707.83975659229213</v>
      </c>
      <c r="L661" s="468">
        <f ca="1">SUM(L589:L593)</f>
        <v>671.76015535961892</v>
      </c>
      <c r="M661" s="468">
        <f ca="1">SUM(M589:M593)</f>
        <v>638.76348634346198</v>
      </c>
      <c r="N661" s="468">
        <f ca="1">SUM(N589:N593)</f>
        <v>200</v>
      </c>
      <c r="O661" s="468">
        <f ca="1">SUM(O589:O593)</f>
        <v>200</v>
      </c>
    </row>
    <row r="662" spans="3:15">
      <c r="C662" s="314"/>
      <c r="D662" s="314" t="s">
        <v>286</v>
      </c>
      <c r="E662" s="314"/>
      <c r="F662" s="314"/>
      <c r="G662" s="455"/>
      <c r="K662" s="468">
        <f ca="1">SUM(K660:K661)</f>
        <v>707.83975659229213</v>
      </c>
      <c r="L662" s="468">
        <f ca="1">SUM(L660:L661)</f>
        <v>671.76015535961892</v>
      </c>
      <c r="M662" s="468">
        <f ca="1">SUM(M660:M661)</f>
        <v>638.76348634346198</v>
      </c>
      <c r="N662" s="468">
        <f ca="1">SUM(N660:N661)</f>
        <v>427.23489647539174</v>
      </c>
      <c r="O662" s="468">
        <f ca="1">SUM(O660:O661)</f>
        <v>324.57573327610555</v>
      </c>
    </row>
    <row r="663" spans="3:15">
      <c r="C663" s="314"/>
      <c r="D663" s="314" t="s">
        <v>287</v>
      </c>
      <c r="E663" s="314"/>
      <c r="F663" s="314"/>
      <c r="G663" s="455"/>
      <c r="K663" s="139">
        <f ca="1">K662-K659</f>
        <v>624.41968043530528</v>
      </c>
      <c r="L663" s="139">
        <f ca="1">L662-L659</f>
        <v>560.24075312633727</v>
      </c>
      <c r="M663" s="139">
        <f ca="1">M662-M659</f>
        <v>495.53620881973325</v>
      </c>
      <c r="N663" s="139">
        <f ca="1">N662-N659</f>
        <v>417.2348964167536</v>
      </c>
      <c r="O663" s="139">
        <f ca="1">O662-O659</f>
        <v>314.57573003096275</v>
      </c>
    </row>
    <row r="664" spans="3:15" ht="5.0999999999999996" customHeight="1">
      <c r="C664" s="314"/>
      <c r="D664" s="314"/>
      <c r="E664" s="314"/>
      <c r="F664" s="314"/>
      <c r="G664" s="455"/>
      <c r="K664" s="139"/>
      <c r="L664" s="139"/>
      <c r="M664" s="139"/>
      <c r="N664" s="139"/>
      <c r="O664" s="139"/>
    </row>
    <row r="665" spans="3:15">
      <c r="C665" s="452"/>
      <c r="D665" s="314" t="s">
        <v>288</v>
      </c>
      <c r="E665" s="452"/>
      <c r="F665" s="452"/>
      <c r="G665" s="456"/>
      <c r="H665" s="452"/>
      <c r="I665" s="452"/>
      <c r="J665" s="452"/>
      <c r="K665" s="470">
        <f ca="1">K350</f>
        <v>526.35254950582907</v>
      </c>
      <c r="L665" s="470">
        <f ca="1">L350</f>
        <v>634.35542751808748</v>
      </c>
      <c r="M665" s="470">
        <f ca="1">M350</f>
        <v>743.91368199729504</v>
      </c>
      <c r="N665" s="470">
        <f ca="1">N350</f>
        <v>883.29014349212162</v>
      </c>
      <c r="O665" s="470">
        <f ca="1">O350</f>
        <v>1039.2067605727507</v>
      </c>
    </row>
    <row r="666" spans="3:15">
      <c r="C666" s="457"/>
      <c r="D666" s="457"/>
      <c r="E666" s="457"/>
      <c r="F666" s="457"/>
      <c r="G666" s="458"/>
      <c r="H666" s="457"/>
      <c r="I666" s="457"/>
      <c r="J666" s="457"/>
      <c r="K666" s="457"/>
      <c r="L666" s="457"/>
      <c r="M666" s="457"/>
      <c r="N666" s="457"/>
      <c r="O666" s="457"/>
    </row>
    <row r="667" spans="3:15">
      <c r="C667" s="452"/>
      <c r="D667" s="452"/>
      <c r="E667" s="452"/>
      <c r="F667" s="452"/>
      <c r="G667" s="456"/>
      <c r="H667" s="452"/>
      <c r="I667" s="452"/>
      <c r="J667" s="452"/>
      <c r="K667" s="452"/>
      <c r="L667" s="452"/>
      <c r="M667" s="452"/>
      <c r="N667" s="452"/>
      <c r="O667" s="452"/>
    </row>
    <row r="668" spans="3:15">
      <c r="C668" s="452"/>
      <c r="D668" s="452"/>
      <c r="E668" s="452"/>
      <c r="F668" s="452"/>
      <c r="G668" s="456"/>
      <c r="H668" s="452"/>
      <c r="I668" s="452"/>
      <c r="J668" s="452"/>
      <c r="K668" s="452"/>
      <c r="L668" s="452"/>
      <c r="M668" s="452"/>
      <c r="N668" s="452"/>
      <c r="O668" s="452"/>
    </row>
    <row r="669" spans="3:15">
      <c r="F669" s="74"/>
      <c r="G669" s="117"/>
      <c r="N669" s="145"/>
      <c r="O669" s="145" t="str">
        <f>$O$139</f>
        <v>CURRENTLY RUNNING: BASE CASE SCENARIO</v>
      </c>
    </row>
    <row r="670" spans="3:15" ht="22.5">
      <c r="C670" s="71" t="str">
        <f>C642</f>
        <v>Windsol Manufacturing</v>
      </c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</row>
    <row r="671" spans="3:15" ht="18.75">
      <c r="C671" s="75" t="s">
        <v>289</v>
      </c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</row>
    <row r="672" spans="3:15" ht="6" customHeight="1" thickBot="1">
      <c r="C672" s="76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</row>
    <row r="673" spans="3:15">
      <c r="C673" s="78"/>
      <c r="F673" s="74"/>
      <c r="O673" s="100"/>
    </row>
    <row r="674" spans="3:15" ht="13.5">
      <c r="C674" s="78"/>
      <c r="F674" s="74"/>
      <c r="I674" s="72"/>
      <c r="J674" s="72"/>
      <c r="K674" s="80" t="s">
        <v>6</v>
      </c>
      <c r="L674" s="80"/>
      <c r="M674" s="80"/>
      <c r="N674" s="80"/>
      <c r="O674" s="80"/>
    </row>
    <row r="675" spans="3:15">
      <c r="C675" s="94"/>
      <c r="F675" s="74"/>
      <c r="H675" s="128"/>
      <c r="I675" s="129"/>
      <c r="J675" s="129"/>
      <c r="K675" s="467">
        <f>K647</f>
        <v>2019</v>
      </c>
      <c r="L675" s="467">
        <f>L647</f>
        <v>2020</v>
      </c>
      <c r="M675" s="467">
        <f>M647</f>
        <v>2021</v>
      </c>
      <c r="N675" s="467">
        <f>N647</f>
        <v>2022</v>
      </c>
      <c r="O675" s="467">
        <f>O647</f>
        <v>2023</v>
      </c>
    </row>
    <row r="676" spans="3:15">
      <c r="C676" s="94" t="s">
        <v>290</v>
      </c>
      <c r="F676" s="74"/>
      <c r="G676" s="117"/>
    </row>
    <row r="677" spans="3:15">
      <c r="C677" s="453" t="s">
        <v>189</v>
      </c>
      <c r="F677" s="74"/>
      <c r="G677" s="117"/>
      <c r="I677" s="452"/>
      <c r="J677" s="459" t="s">
        <v>291</v>
      </c>
      <c r="K677" s="476">
        <f>R29</f>
        <v>3.5</v>
      </c>
      <c r="L677" s="476">
        <f>K677</f>
        <v>3.5</v>
      </c>
      <c r="M677" s="476">
        <f>L677</f>
        <v>3.5</v>
      </c>
      <c r="N677" s="476">
        <f>M677</f>
        <v>3.5</v>
      </c>
      <c r="O677" s="477">
        <f>N677</f>
        <v>3.5</v>
      </c>
    </row>
    <row r="678" spans="3:15" ht="3" customHeight="1">
      <c r="C678" s="453"/>
      <c r="F678" s="74"/>
      <c r="G678" s="117"/>
      <c r="I678" s="452"/>
      <c r="J678" s="453"/>
      <c r="K678" s="460"/>
      <c r="L678" s="460"/>
      <c r="M678" s="460"/>
      <c r="N678" s="460"/>
      <c r="O678" s="460"/>
    </row>
    <row r="679" spans="3:15">
      <c r="D679" s="314" t="s">
        <v>189</v>
      </c>
      <c r="F679" s="314"/>
      <c r="G679" s="314"/>
      <c r="H679" s="314"/>
      <c r="I679" s="452"/>
      <c r="J679" s="452"/>
      <c r="K679" s="461">
        <f ca="1">K662/K650</f>
        <v>2.5762045600873908</v>
      </c>
      <c r="L679" s="461">
        <f ca="1">L662/L650</f>
        <v>2.5871282506821198</v>
      </c>
      <c r="M679" s="461">
        <f ca="1">M662/M650</f>
        <v>2.4027047683022866</v>
      </c>
      <c r="N679" s="461">
        <f ca="1">N662/N650</f>
        <v>1.3840468603222074</v>
      </c>
      <c r="O679" s="461">
        <f ca="1">O662/O650</f>
        <v>0.98286298391698534</v>
      </c>
    </row>
    <row r="680" spans="3:15">
      <c r="D680" s="462" t="s">
        <v>292</v>
      </c>
      <c r="F680" s="314"/>
      <c r="G680" s="454"/>
      <c r="H680" s="314"/>
      <c r="I680" s="314"/>
      <c r="J680" s="463"/>
      <c r="K680" s="464">
        <f ca="1">K650-(K662/K677)</f>
        <v>72.52076501105941</v>
      </c>
      <c r="L680" s="464">
        <f ca="1">L650-(L662/L677)</f>
        <v>67.723283306058676</v>
      </c>
      <c r="M680" s="464">
        <f ca="1">M650-(M662/M677)</f>
        <v>83.347987888373666</v>
      </c>
      <c r="N680" s="464">
        <f ca="1">N650-(N662/N677)</f>
        <v>186.6181695129203</v>
      </c>
      <c r="O680" s="464">
        <f ca="1">O650-(O662/O677)</f>
        <v>237.49905156685122</v>
      </c>
    </row>
    <row r="681" spans="3:15">
      <c r="F681" s="74"/>
      <c r="G681" s="117"/>
      <c r="J681" s="465"/>
    </row>
    <row r="682" spans="3:15">
      <c r="C682" s="453" t="s">
        <v>293</v>
      </c>
      <c r="F682" s="74"/>
      <c r="G682" s="117"/>
      <c r="J682" s="459" t="s">
        <v>291</v>
      </c>
      <c r="K682" s="476">
        <f>R30</f>
        <v>3.5</v>
      </c>
      <c r="L682" s="476">
        <f>K682</f>
        <v>3.5</v>
      </c>
      <c r="M682" s="476">
        <f>L682</f>
        <v>3.5</v>
      </c>
      <c r="N682" s="476">
        <f>M682</f>
        <v>3.5</v>
      </c>
      <c r="O682" s="477">
        <f>N682</f>
        <v>3.5</v>
      </c>
    </row>
    <row r="683" spans="3:15" ht="3" customHeight="1">
      <c r="C683" s="453"/>
      <c r="F683" s="74"/>
      <c r="G683" s="117"/>
      <c r="J683" s="465"/>
    </row>
    <row r="684" spans="3:15">
      <c r="D684" s="314" t="s">
        <v>293</v>
      </c>
      <c r="F684" s="314"/>
      <c r="G684" s="314"/>
      <c r="H684" s="314"/>
      <c r="I684" s="452"/>
      <c r="J684" s="452"/>
      <c r="K684" s="461">
        <f ca="1">K662/K650</f>
        <v>2.5762045600873908</v>
      </c>
      <c r="L684" s="461">
        <f ca="1">L662/L650</f>
        <v>2.5871282506821198</v>
      </c>
      <c r="M684" s="461">
        <f ca="1">M662/M650</f>
        <v>2.4027047683022866</v>
      </c>
      <c r="N684" s="461">
        <f ca="1">N662/N650</f>
        <v>1.3840468603222074</v>
      </c>
      <c r="O684" s="461">
        <f ca="1">O662/O650</f>
        <v>0.98286298391698534</v>
      </c>
    </row>
    <row r="685" spans="3:15">
      <c r="D685" s="462" t="s">
        <v>292</v>
      </c>
      <c r="F685" s="314"/>
      <c r="G685" s="454"/>
      <c r="H685" s="314"/>
      <c r="I685" s="314"/>
      <c r="J685" s="463"/>
      <c r="K685" s="464">
        <f ca="1">K650-(K663/K682)</f>
        <v>96.355072484484225</v>
      </c>
      <c r="L685" s="464">
        <f ca="1">L650-(L663/L682)</f>
        <v>99.585969658424858</v>
      </c>
      <c r="M685" s="464">
        <f ca="1">M650-(M663/M682)</f>
        <v>124.27006718086758</v>
      </c>
      <c r="N685" s="464">
        <f ca="1">N650-(N663/N682)</f>
        <v>189.47531238681688</v>
      </c>
      <c r="O685" s="464">
        <f ca="1">O650-(O663/O682)</f>
        <v>240.35619535117775</v>
      </c>
    </row>
    <row r="686" spans="3:15">
      <c r="C686" s="314"/>
      <c r="D686" s="314"/>
      <c r="F686" s="314"/>
      <c r="G686" s="454"/>
      <c r="H686" s="314"/>
      <c r="I686" s="314"/>
      <c r="J686" s="463"/>
      <c r="K686" s="505"/>
    </row>
    <row r="687" spans="3:15">
      <c r="C687" s="453" t="s">
        <v>294</v>
      </c>
      <c r="D687" s="314"/>
      <c r="F687" s="314"/>
      <c r="G687" s="454"/>
      <c r="H687" s="314"/>
      <c r="I687" s="314"/>
      <c r="J687" s="459" t="s">
        <v>291</v>
      </c>
      <c r="K687" s="478">
        <f>R31</f>
        <v>4</v>
      </c>
      <c r="L687" s="478">
        <f>K687</f>
        <v>4</v>
      </c>
      <c r="M687" s="478">
        <f>L687</f>
        <v>4</v>
      </c>
      <c r="N687" s="478">
        <f>M687</f>
        <v>4</v>
      </c>
      <c r="O687" s="479">
        <f>N687</f>
        <v>4</v>
      </c>
    </row>
    <row r="688" spans="3:15" ht="3" customHeight="1">
      <c r="C688" s="314"/>
      <c r="D688" s="314"/>
      <c r="F688" s="314"/>
      <c r="G688" s="454"/>
      <c r="H688" s="314"/>
      <c r="I688" s="314"/>
      <c r="J688" s="463"/>
    </row>
    <row r="689" spans="3:16">
      <c r="D689" s="314" t="s">
        <v>295</v>
      </c>
      <c r="F689" s="314"/>
      <c r="G689" s="454"/>
      <c r="H689" s="314"/>
      <c r="I689" s="452"/>
      <c r="J689" s="452"/>
      <c r="K689" s="461">
        <f ca="1">K650/K651</f>
        <v>6.9788751242913802</v>
      </c>
      <c r="L689" s="461">
        <f ca="1">L650/L651</f>
        <v>7.030303497310193</v>
      </c>
      <c r="M689" s="461">
        <f ca="1">M650/M651</f>
        <v>7.4905860574601499</v>
      </c>
      <c r="N689" s="461">
        <f ca="1">N650/N651</f>
        <v>11.441954186628248</v>
      </c>
      <c r="O689" s="461">
        <f ca="1">O650/O651</f>
        <v>18.79994671528398</v>
      </c>
    </row>
    <row r="690" spans="3:16">
      <c r="D690" s="462" t="s">
        <v>292</v>
      </c>
      <c r="F690" s="314"/>
      <c r="G690" s="454"/>
      <c r="H690" s="314"/>
      <c r="I690" s="314"/>
      <c r="J690" s="463"/>
      <c r="K690" s="464">
        <f ca="1">K650-(K687*K651)</f>
        <v>117.27933030464897</v>
      </c>
      <c r="L690" s="464">
        <f ca="1">L650-(L687*L651)</f>
        <v>111.92016337658495</v>
      </c>
      <c r="M690" s="464">
        <f ca="1">M650-(M687*M651)</f>
        <v>123.88599808850157</v>
      </c>
      <c r="N690" s="464">
        <f ca="1">N650-(N687*N651)</f>
        <v>200.77179956778451</v>
      </c>
      <c r="O690" s="464">
        <f ca="1">O650-(O687*O651)</f>
        <v>259.97201549928172</v>
      </c>
    </row>
    <row r="691" spans="3:16">
      <c r="C691" s="314"/>
      <c r="D691" s="314"/>
      <c r="F691" s="314"/>
      <c r="G691" s="454"/>
      <c r="H691" s="314"/>
      <c r="I691" s="314"/>
      <c r="J691" s="463"/>
    </row>
    <row r="692" spans="3:16">
      <c r="C692" s="453" t="s">
        <v>296</v>
      </c>
      <c r="D692" s="314"/>
      <c r="F692" s="314"/>
      <c r="G692" s="454"/>
      <c r="H692" s="314"/>
      <c r="I692" s="314"/>
      <c r="J692" s="459" t="s">
        <v>291</v>
      </c>
      <c r="K692" s="478">
        <f>R32</f>
        <v>1.5</v>
      </c>
      <c r="L692" s="478">
        <f>K692</f>
        <v>1.5</v>
      </c>
      <c r="M692" s="478">
        <f>L692</f>
        <v>1.5</v>
      </c>
      <c r="N692" s="478">
        <f>M692</f>
        <v>1.5</v>
      </c>
      <c r="O692" s="479">
        <f>N692</f>
        <v>1.5</v>
      </c>
    </row>
    <row r="693" spans="3:16" ht="3" customHeight="1">
      <c r="C693" s="314"/>
      <c r="D693" s="314"/>
      <c r="F693" s="314"/>
      <c r="G693" s="454"/>
      <c r="H693" s="314"/>
      <c r="I693" s="314"/>
      <c r="J693" s="463"/>
    </row>
    <row r="694" spans="3:16">
      <c r="C694" s="452"/>
      <c r="D694" s="314" t="s">
        <v>297</v>
      </c>
      <c r="F694" s="314"/>
      <c r="G694" s="454"/>
      <c r="H694" s="314"/>
      <c r="I694" s="452"/>
      <c r="J694" s="452"/>
      <c r="K694" s="461">
        <f ca="1">K650/(K651+K652-K656)</f>
        <v>2.4156986461002554</v>
      </c>
      <c r="L694" s="461">
        <f ca="1">L650/(L651+L652-L656)</f>
        <v>2.5448175678864082</v>
      </c>
      <c r="M694" s="461">
        <f ca="1">M650/(M651+M652-M656)</f>
        <v>2.6677024769023956</v>
      </c>
      <c r="N694" s="461">
        <f ca="1">N650/(N651+N652-N656)</f>
        <v>0.60752027057337177</v>
      </c>
      <c r="O694" s="461">
        <f ca="1">O650/(O651+O652-O656)</f>
        <v>1.2307436561954241</v>
      </c>
    </row>
    <row r="695" spans="3:16">
      <c r="C695" s="314"/>
      <c r="D695" s="462" t="s">
        <v>292</v>
      </c>
      <c r="F695" s="314"/>
      <c r="G695" s="454"/>
      <c r="H695" s="314"/>
      <c r="I695" s="314"/>
      <c r="J695" s="463"/>
      <c r="K695" s="464">
        <f ca="1">K650-K692*(K651+K652-K656)</f>
        <v>104.15123477671523</v>
      </c>
      <c r="L695" s="464">
        <f ca="1">L650-L692*(L651+L652-L656)</f>
        <v>106.60561855412237</v>
      </c>
      <c r="M695" s="464">
        <f ca="1">M650-M692*(M651+M652-M656)</f>
        <v>116.3682442339979</v>
      </c>
      <c r="N695" s="464">
        <f ca="1">N650-N692*(N651+N652-N656)</f>
        <v>-453.4751694849997</v>
      </c>
      <c r="O695" s="464">
        <f ca="1">O650-O692*(O651+O652-O656)</f>
        <v>-72.247264175794726</v>
      </c>
    </row>
    <row r="696" spans="3:16">
      <c r="C696" s="314"/>
      <c r="D696" s="314"/>
      <c r="F696" s="314"/>
      <c r="G696" s="454"/>
      <c r="H696" s="314"/>
      <c r="I696" s="314"/>
      <c r="J696" s="463"/>
    </row>
    <row r="697" spans="3:16">
      <c r="C697" s="453" t="s">
        <v>298</v>
      </c>
      <c r="D697" s="314"/>
      <c r="F697" s="314"/>
      <c r="G697" s="454"/>
      <c r="H697" s="314"/>
      <c r="I697" s="314"/>
      <c r="J697" s="459" t="s">
        <v>291</v>
      </c>
      <c r="K697" s="480">
        <f>R33</f>
        <v>0.5</v>
      </c>
      <c r="L697" s="480">
        <f>K697</f>
        <v>0.5</v>
      </c>
      <c r="M697" s="480">
        <f>L697</f>
        <v>0.5</v>
      </c>
      <c r="N697" s="480">
        <f>M697</f>
        <v>0.5</v>
      </c>
      <c r="O697" s="481">
        <f>N697</f>
        <v>0.5</v>
      </c>
    </row>
    <row r="698" spans="3:16" ht="3" customHeight="1">
      <c r="C698" s="314"/>
      <c r="D698" s="314"/>
      <c r="F698" s="314"/>
      <c r="G698" s="454"/>
      <c r="H698" s="314"/>
      <c r="I698" s="314"/>
      <c r="J698" s="463"/>
    </row>
    <row r="699" spans="3:16">
      <c r="C699" s="452"/>
      <c r="D699" s="314" t="s">
        <v>299</v>
      </c>
      <c r="F699" s="314"/>
      <c r="G699" s="454"/>
      <c r="H699" s="314"/>
      <c r="I699" s="452"/>
      <c r="J699" s="452"/>
      <c r="K699" s="466">
        <f ca="1">K662/(K662+K665)</f>
        <v>0.57352468743717577</v>
      </c>
      <c r="L699" s="466">
        <f ca="1">L662/(L662+L665)</f>
        <v>0.51431907265018584</v>
      </c>
      <c r="M699" s="466">
        <f ca="1">M662/(M662+M665)</f>
        <v>0.46197586896584997</v>
      </c>
      <c r="N699" s="466">
        <f ca="1">N662/(N662+N665)</f>
        <v>0.32600284881697683</v>
      </c>
      <c r="O699" s="466">
        <f ca="1">O662/(O662+O665)</f>
        <v>0.23799670016300803</v>
      </c>
    </row>
    <row r="700" spans="3:16">
      <c r="C700" s="314"/>
      <c r="D700" s="462" t="s">
        <v>300</v>
      </c>
      <c r="F700" s="314"/>
      <c r="G700" s="454"/>
      <c r="H700" s="314"/>
      <c r="I700" s="452"/>
      <c r="J700" s="452"/>
      <c r="K700" s="464">
        <f ca="1">((K697*K665)/(1-K697))-K662</f>
        <v>-181.48720708646306</v>
      </c>
      <c r="L700" s="464">
        <f ca="1">((L697*L665)/(1-L697))-L662</f>
        <v>-37.404727841531439</v>
      </c>
      <c r="M700" s="464">
        <f ca="1">((M697*M665)/(1-M697))-M662</f>
        <v>105.15019565383307</v>
      </c>
      <c r="N700" s="464">
        <f ca="1">((N697*N665)/(1-N697))-N662</f>
        <v>456.05524701672988</v>
      </c>
      <c r="O700" s="464">
        <f ca="1">((O697*O665)/(1-O697))-O662</f>
        <v>714.63102729664513</v>
      </c>
    </row>
    <row r="701" spans="3:16">
      <c r="C701" s="452"/>
      <c r="D701" s="482"/>
      <c r="E701" s="482"/>
      <c r="F701" s="482"/>
      <c r="G701" s="483"/>
      <c r="H701" s="482"/>
      <c r="I701" s="484"/>
      <c r="J701" s="485"/>
      <c r="K701" s="486"/>
      <c r="L701" s="486"/>
      <c r="M701" s="486"/>
      <c r="N701" s="486"/>
      <c r="O701" s="486"/>
    </row>
    <row r="702" spans="3:16">
      <c r="C702" s="452"/>
      <c r="D702" s="452"/>
      <c r="E702" s="452"/>
      <c r="F702" s="452"/>
      <c r="G702" s="456"/>
      <c r="H702" s="452"/>
      <c r="I702" s="452"/>
      <c r="J702" s="452"/>
      <c r="K702" s="452"/>
      <c r="L702" s="452"/>
      <c r="M702" s="452"/>
      <c r="N702" s="452"/>
      <c r="O702" s="452"/>
      <c r="P702" s="452"/>
    </row>
  </sheetData>
  <conditionalFormatting sqref="K679:O679">
    <cfRule type="cellIs" dxfId="9" priority="5" stopIfTrue="1" operator="greaterThanOrEqual">
      <formula>K677</formula>
    </cfRule>
  </conditionalFormatting>
  <conditionalFormatting sqref="K684:O684">
    <cfRule type="cellIs" dxfId="8" priority="4" stopIfTrue="1" operator="greaterThanOrEqual">
      <formula>K682</formula>
    </cfRule>
  </conditionalFormatting>
  <conditionalFormatting sqref="K689:O689">
    <cfRule type="cellIs" dxfId="7" priority="3" stopIfTrue="1" operator="lessThanOrEqual">
      <formula>K687</formula>
    </cfRule>
  </conditionalFormatting>
  <conditionalFormatting sqref="K694:O694">
    <cfRule type="cellIs" dxfId="6" priority="2" stopIfTrue="1" operator="lessThanOrEqual">
      <formula>K692</formula>
    </cfRule>
  </conditionalFormatting>
  <conditionalFormatting sqref="K699:O699">
    <cfRule type="cellIs" dxfId="5" priority="1" stopIfTrue="1" operator="greaterThanOrEqual">
      <formula>K697</formula>
    </cfRule>
  </conditionalFormatting>
  <printOptions horizontalCentered="1"/>
  <pageMargins left="0.23622047244094491" right="0.23622047244094491" top="0.23622047244094491" bottom="0.51181102362204722" header="0.23622047244094491" footer="0.23622047244094491"/>
  <pageSetup scale="85" orientation="landscape" r:id="rId1"/>
  <headerFooter alignWithMargins="0">
    <oddFooter>&amp;L&amp;"Times New Roman,Bold"&amp;9The Marquee Group
&amp;"Times New Roman,Regular"C:\My Documents\Spectrum Model.xls&amp;C&amp;"Times New Roman,Regular"&amp;9Page &amp;P of &amp;N&amp;R&amp;"Times New Roman,Regular"&amp;9&amp;D  &amp;T</oddFooter>
  </headerFooter>
  <rowBreaks count="3" manualBreakCount="3">
    <brk id="178" max="16383" man="1"/>
    <brk id="224" max="16383" man="1"/>
    <brk id="667" min="1" max="1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Drop Down 1">
              <controlPr defaultSize="0" autoLine="0" autoPict="0">
                <anchor moveWithCells="1">
                  <from>
                    <xdr:col>4</xdr:col>
                    <xdr:colOff>361950</xdr:colOff>
                    <xdr:row>95</xdr:row>
                    <xdr:rowOff>57150</xdr:rowOff>
                  </from>
                  <to>
                    <xdr:col>5</xdr:col>
                    <xdr:colOff>628650</xdr:colOff>
                    <xdr:row>97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autoPageBreaks="0"/>
  </sheetPr>
  <dimension ref="A2:IN702"/>
  <sheetViews>
    <sheetView showGridLines="0" topLeftCell="A274" zoomScaleNormal="100" zoomScaleSheetLayoutView="90" workbookViewId="0">
      <selection activeCell="K455" sqref="K455"/>
    </sheetView>
  </sheetViews>
  <sheetFormatPr defaultColWidth="9.28515625" defaultRowHeight="12.75"/>
  <cols>
    <col min="1" max="1" width="7.7109375" style="74" customWidth="1"/>
    <col min="2" max="2" width="1.7109375" style="74" customWidth="1"/>
    <col min="3" max="3" width="2.28515625" style="74" customWidth="1"/>
    <col min="4" max="4" width="11.28515625" style="74" customWidth="1"/>
    <col min="5" max="5" width="12.7109375" style="74" customWidth="1"/>
    <col min="6" max="6" width="10.28515625" style="117" customWidth="1"/>
    <col min="7" max="7" width="1.7109375" style="74" customWidth="1"/>
    <col min="8" max="15" width="9.7109375" style="74" customWidth="1"/>
    <col min="16" max="16" width="9.28515625" style="74"/>
    <col min="17" max="17" width="11.42578125" style="74" bestFit="1" customWidth="1"/>
    <col min="18" max="16384" width="9.28515625" style="74"/>
  </cols>
  <sheetData>
    <row r="2" spans="2:37" ht="22.5">
      <c r="B2" s="489" t="s">
        <v>305</v>
      </c>
      <c r="C2" s="143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100"/>
    </row>
    <row r="3" spans="2:37" ht="18.75">
      <c r="B3" s="315" t="s">
        <v>145</v>
      </c>
      <c r="C3" s="315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100"/>
    </row>
    <row r="4" spans="2:37" ht="6" customHeight="1" thickBot="1">
      <c r="B4" s="316"/>
      <c r="C4" s="316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</row>
    <row r="5" spans="2:37" ht="12.75" customHeight="1">
      <c r="F5" s="74"/>
      <c r="P5"/>
      <c r="R5" s="100"/>
    </row>
    <row r="6" spans="2:37" ht="14.65" customHeight="1">
      <c r="C6" s="317" t="s">
        <v>105</v>
      </c>
      <c r="D6" s="318"/>
      <c r="E6" s="318"/>
      <c r="F6" s="318"/>
      <c r="G6" s="318"/>
      <c r="H6" s="318"/>
      <c r="I6" s="319"/>
      <c r="K6" s="317" t="s">
        <v>235</v>
      </c>
      <c r="L6" s="320"/>
      <c r="M6" s="318"/>
      <c r="N6" s="318"/>
      <c r="O6" s="318"/>
      <c r="P6" s="318"/>
      <c r="Q6" s="318"/>
      <c r="R6" s="319"/>
    </row>
    <row r="7" spans="2:37" ht="14.65" customHeight="1">
      <c r="C7" s="321" t="s">
        <v>102</v>
      </c>
      <c r="D7" s="100" t="s">
        <v>188</v>
      </c>
      <c r="F7" s="74"/>
      <c r="H7" s="435">
        <v>2019</v>
      </c>
      <c r="I7" s="322"/>
      <c r="K7" s="400" t="s">
        <v>242</v>
      </c>
      <c r="L7" s="222"/>
      <c r="M7" s="222"/>
      <c r="N7" s="408" t="s">
        <v>238</v>
      </c>
      <c r="O7" s="408" t="s">
        <v>237</v>
      </c>
      <c r="P7" s="401" t="s">
        <v>231</v>
      </c>
      <c r="Q7" s="408" t="s">
        <v>241</v>
      </c>
      <c r="R7" s="402" t="s">
        <v>248</v>
      </c>
      <c r="S7" s="324"/>
    </row>
    <row r="8" spans="2:37" ht="14.65" customHeight="1">
      <c r="C8" s="321" t="s">
        <v>102</v>
      </c>
      <c r="D8" s="100" t="s">
        <v>203</v>
      </c>
      <c r="F8" s="74"/>
      <c r="I8" s="322"/>
      <c r="K8" s="106" t="s">
        <v>229</v>
      </c>
      <c r="N8" s="490">
        <v>10</v>
      </c>
      <c r="O8" s="405">
        <f>J323</f>
        <v>73.2</v>
      </c>
      <c r="P8" s="399" t="s">
        <v>232</v>
      </c>
      <c r="Q8" s="414">
        <v>5.0000000000000001E-3</v>
      </c>
      <c r="R8" s="417" t="s">
        <v>232</v>
      </c>
    </row>
    <row r="9" spans="2:37" ht="14.65" customHeight="1">
      <c r="C9" s="321" t="s">
        <v>102</v>
      </c>
      <c r="D9" s="100" t="s">
        <v>204</v>
      </c>
      <c r="F9" s="74"/>
      <c r="I9" s="322"/>
      <c r="K9" s="344" t="s">
        <v>233</v>
      </c>
      <c r="N9" s="127" t="s">
        <v>232</v>
      </c>
      <c r="O9" s="405">
        <f>J335</f>
        <v>10</v>
      </c>
      <c r="P9" s="399" t="s">
        <v>232</v>
      </c>
      <c r="Q9" s="415" t="s">
        <v>234</v>
      </c>
      <c r="R9" s="417" t="s">
        <v>232</v>
      </c>
    </row>
    <row r="10" spans="2:37" ht="14.65" customHeight="1">
      <c r="C10" s="326"/>
      <c r="D10" s="327" t="s">
        <v>175</v>
      </c>
      <c r="E10" s="122"/>
      <c r="F10" s="122"/>
      <c r="G10" s="122"/>
      <c r="H10" s="122"/>
      <c r="I10" s="328"/>
      <c r="K10" s="344" t="s">
        <v>252</v>
      </c>
      <c r="N10" s="346">
        <v>300</v>
      </c>
      <c r="O10" s="346">
        <v>150</v>
      </c>
      <c r="P10" s="399" t="s">
        <v>240</v>
      </c>
      <c r="Q10" s="415" t="s">
        <v>234</v>
      </c>
      <c r="R10" s="419">
        <v>0</v>
      </c>
    </row>
    <row r="11" spans="2:37" ht="14.65" customHeight="1">
      <c r="F11" s="74"/>
      <c r="K11" s="108" t="str">
        <f>"Mezzanine Notes due "&amp;YEAR(P11)</f>
        <v>Mezzanine Notes due 2022</v>
      </c>
      <c r="N11" s="346">
        <v>100</v>
      </c>
      <c r="O11" s="346">
        <v>100</v>
      </c>
      <c r="P11" s="436">
        <v>44742</v>
      </c>
      <c r="Q11" s="413">
        <v>7.0000000000000007E-2</v>
      </c>
      <c r="R11" s="419">
        <v>0</v>
      </c>
    </row>
    <row r="12" spans="2:37" s="314" customFormat="1" ht="14.65" customHeight="1">
      <c r="C12" s="317" t="s">
        <v>106</v>
      </c>
      <c r="D12" s="331"/>
      <c r="E12" s="332"/>
      <c r="F12" s="332"/>
      <c r="G12" s="332"/>
      <c r="H12" s="332"/>
      <c r="I12" s="333"/>
      <c r="J12" s="74"/>
      <c r="K12" s="108" t="str">
        <f>"Senior Notes due "&amp;YEAR(P12)</f>
        <v>Senior Notes due 2022</v>
      </c>
      <c r="L12" s="74"/>
      <c r="M12" s="74"/>
      <c r="N12" s="346">
        <v>300</v>
      </c>
      <c r="O12" s="346">
        <v>300</v>
      </c>
      <c r="P12" s="436">
        <v>44742</v>
      </c>
      <c r="Q12" s="413">
        <v>5.7000000000000002E-2</v>
      </c>
      <c r="R12" s="419">
        <v>0</v>
      </c>
    </row>
    <row r="13" spans="2:37" ht="14.65" customHeight="1">
      <c r="C13" s="321" t="s">
        <v>102</v>
      </c>
      <c r="D13" s="99" t="s">
        <v>101</v>
      </c>
      <c r="F13" s="74"/>
      <c r="I13" s="322"/>
      <c r="K13" s="108" t="str">
        <f>"Senior Notes due "&amp;YEAR(P13)</f>
        <v>Senior Notes due 2023</v>
      </c>
      <c r="N13" s="346">
        <v>200</v>
      </c>
      <c r="O13" s="346">
        <v>200</v>
      </c>
      <c r="P13" s="436">
        <v>45107</v>
      </c>
      <c r="Q13" s="413">
        <v>4.8000000000000001E-2</v>
      </c>
      <c r="R13" s="419">
        <v>1</v>
      </c>
    </row>
    <row r="14" spans="2:37" ht="14.65" customHeight="1">
      <c r="C14" s="108"/>
      <c r="D14" s="491" t="s">
        <v>0</v>
      </c>
      <c r="E14" s="335" t="str">
        <f>H56&amp;" - "&amp;L56</f>
        <v>2019 - 2023</v>
      </c>
      <c r="F14" s="72"/>
      <c r="G14" s="493" t="s">
        <v>2</v>
      </c>
      <c r="I14" s="336"/>
      <c r="K14" s="229" t="s">
        <v>230</v>
      </c>
      <c r="L14" s="122"/>
      <c r="M14" s="122"/>
      <c r="N14" s="407" t="s">
        <v>232</v>
      </c>
      <c r="O14" s="348">
        <v>0</v>
      </c>
      <c r="P14" s="406" t="s">
        <v>232</v>
      </c>
      <c r="Q14" s="416">
        <v>0.05</v>
      </c>
      <c r="R14" s="418" t="s">
        <v>232</v>
      </c>
    </row>
    <row r="15" spans="2:37" s="339" customFormat="1" ht="14.65" customHeight="1">
      <c r="C15" s="492"/>
      <c r="D15" s="199" t="s">
        <v>75</v>
      </c>
      <c r="E15" s="72" t="s">
        <v>190</v>
      </c>
      <c r="F15" s="494"/>
      <c r="G15" s="100" t="s">
        <v>100</v>
      </c>
      <c r="I15" s="340"/>
      <c r="K15" s="74"/>
      <c r="L15" s="74"/>
      <c r="M15" s="74"/>
      <c r="N15" s="74"/>
      <c r="O15" s="74"/>
      <c r="P15" s="74"/>
      <c r="Q15" s="74"/>
      <c r="R15" s="100"/>
    </row>
    <row r="16" spans="2:37" ht="14.65" customHeight="1">
      <c r="C16" s="108"/>
      <c r="D16" s="199" t="s">
        <v>76</v>
      </c>
      <c r="E16" s="343">
        <v>0.05</v>
      </c>
      <c r="F16" s="72"/>
      <c r="G16" s="100" t="s">
        <v>100</v>
      </c>
      <c r="I16" s="340"/>
      <c r="K16" s="317" t="s">
        <v>236</v>
      </c>
      <c r="L16" s="396"/>
      <c r="M16" s="396"/>
      <c r="N16" s="396"/>
      <c r="O16" s="396"/>
      <c r="P16" s="396"/>
      <c r="Q16" s="396"/>
      <c r="R16" s="397"/>
      <c r="T16" s="339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</row>
    <row r="17" spans="3:37" ht="14.65" customHeight="1">
      <c r="C17" s="108"/>
      <c r="D17" s="435" t="s">
        <v>77</v>
      </c>
      <c r="E17" s="343">
        <v>-0.05</v>
      </c>
      <c r="F17" s="72"/>
      <c r="G17" s="100" t="s">
        <v>100</v>
      </c>
      <c r="I17" s="340"/>
      <c r="K17" s="409"/>
      <c r="L17" s="410"/>
      <c r="M17" s="222"/>
      <c r="N17" s="411">
        <f>H7</f>
        <v>2019</v>
      </c>
      <c r="O17" s="411">
        <f>N17+1</f>
        <v>2020</v>
      </c>
      <c r="P17" s="411">
        <f>O17+1</f>
        <v>2021</v>
      </c>
      <c r="Q17" s="411">
        <f>P17+1</f>
        <v>2022</v>
      </c>
      <c r="R17" s="412">
        <f>Q17+1</f>
        <v>2023</v>
      </c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</row>
    <row r="18" spans="3:37" ht="14.65" customHeight="1">
      <c r="C18" s="229"/>
      <c r="D18" s="122"/>
      <c r="E18" s="122"/>
      <c r="F18" s="122"/>
      <c r="G18" s="122"/>
      <c r="H18" s="122"/>
      <c r="I18" s="328"/>
      <c r="K18" s="106" t="s">
        <v>324</v>
      </c>
      <c r="N18" s="361">
        <v>0.15</v>
      </c>
      <c r="O18" s="361">
        <v>0.13</v>
      </c>
      <c r="P18" s="361">
        <v>0.12</v>
      </c>
      <c r="Q18" s="361">
        <v>0.1</v>
      </c>
      <c r="R18" s="398">
        <v>0</v>
      </c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</row>
    <row r="19" spans="3:37" ht="14.65" customHeight="1">
      <c r="F19" s="74"/>
      <c r="K19" s="349" t="s">
        <v>263</v>
      </c>
      <c r="L19" s="152"/>
      <c r="M19" s="152"/>
      <c r="O19" s="347" t="s">
        <v>193</v>
      </c>
      <c r="R19" s="322"/>
      <c r="T19" s="339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</row>
    <row r="20" spans="3:37" ht="14.65" customHeight="1">
      <c r="C20" s="317" t="s">
        <v>109</v>
      </c>
      <c r="D20" s="320"/>
      <c r="E20" s="318"/>
      <c r="F20" s="318"/>
      <c r="G20" s="318"/>
      <c r="H20" s="318"/>
      <c r="I20" s="319"/>
      <c r="K20" s="350">
        <v>0</v>
      </c>
      <c r="L20" s="403"/>
      <c r="M20" s="403"/>
      <c r="O20" s="351">
        <v>0.02</v>
      </c>
      <c r="R20" s="322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</row>
    <row r="21" spans="3:37" ht="14.65" customHeight="1">
      <c r="C21" s="334" t="s">
        <v>110</v>
      </c>
      <c r="D21" s="99"/>
      <c r="E21" s="152">
        <f>H7</f>
        <v>2019</v>
      </c>
      <c r="F21" s="74"/>
      <c r="G21" s="152" t="s">
        <v>112</v>
      </c>
      <c r="I21" s="322"/>
      <c r="K21" s="350">
        <v>1</v>
      </c>
      <c r="L21" s="403"/>
      <c r="M21" s="403"/>
      <c r="O21" s="351">
        <f>O20+0.5%</f>
        <v>2.5000000000000001E-2</v>
      </c>
      <c r="R21" s="322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</row>
    <row r="22" spans="3:37" ht="14.65" customHeight="1">
      <c r="C22" s="345" t="s">
        <v>111</v>
      </c>
      <c r="D22" s="99"/>
      <c r="E22" s="346">
        <v>270</v>
      </c>
      <c r="F22" s="74" t="s">
        <v>210</v>
      </c>
      <c r="G22" s="74" t="s">
        <v>113</v>
      </c>
      <c r="I22" s="322"/>
      <c r="K22" s="350">
        <f>K21+1</f>
        <v>2</v>
      </c>
      <c r="L22" s="403"/>
      <c r="M22" s="403"/>
      <c r="O22" s="351">
        <f>O21+0.5%</f>
        <v>3.0000000000000002E-2</v>
      </c>
      <c r="R22" s="322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</row>
    <row r="23" spans="3:37" ht="14.65" customHeight="1">
      <c r="C23" s="345" t="s">
        <v>38</v>
      </c>
      <c r="D23" s="99"/>
      <c r="E23" s="346">
        <v>42</v>
      </c>
      <c r="F23" s="74" t="s">
        <v>210</v>
      </c>
      <c r="G23" s="74" t="s">
        <v>113</v>
      </c>
      <c r="I23" s="322"/>
      <c r="K23" s="356">
        <f>K22+1</f>
        <v>3</v>
      </c>
      <c r="L23" s="404"/>
      <c r="M23" s="404"/>
      <c r="N23" s="122"/>
      <c r="O23" s="357">
        <f>O22+0.5%</f>
        <v>3.5000000000000003E-2</v>
      </c>
      <c r="P23" s="122"/>
      <c r="Q23" s="122"/>
      <c r="R23" s="328"/>
      <c r="T23" s="339"/>
      <c r="U23" s="339"/>
      <c r="V23" s="339"/>
      <c r="W23" s="339"/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39"/>
      <c r="AI23" s="339"/>
      <c r="AJ23" s="339"/>
      <c r="AK23" s="339"/>
    </row>
    <row r="24" spans="3:37" ht="14.65" customHeight="1">
      <c r="C24" s="345" t="s">
        <v>65</v>
      </c>
      <c r="D24" s="100"/>
      <c r="E24" s="346">
        <v>70</v>
      </c>
      <c r="F24" s="74" t="s">
        <v>209</v>
      </c>
      <c r="G24" s="74" t="s">
        <v>116</v>
      </c>
      <c r="I24" s="322"/>
      <c r="R24" s="100"/>
      <c r="T24" s="339"/>
      <c r="U24" s="339"/>
      <c r="V24" s="339"/>
      <c r="W24" s="339"/>
      <c r="X24" s="339"/>
      <c r="Y24" s="339"/>
      <c r="Z24" s="339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</row>
    <row r="25" spans="3:37" ht="14.65" customHeight="1">
      <c r="C25" s="345" t="s">
        <v>66</v>
      </c>
      <c r="D25" s="100"/>
      <c r="E25" s="346">
        <v>23</v>
      </c>
      <c r="F25" s="74" t="s">
        <v>209</v>
      </c>
      <c r="G25" s="74" t="s">
        <v>116</v>
      </c>
      <c r="I25" s="322"/>
      <c r="K25" s="317" t="s">
        <v>160</v>
      </c>
      <c r="L25" s="318"/>
      <c r="M25" s="318"/>
      <c r="N25" s="319"/>
      <c r="P25" s="317" t="s">
        <v>301</v>
      </c>
      <c r="Q25" s="396"/>
      <c r="R25" s="397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</row>
    <row r="26" spans="3:37" ht="14.65" customHeight="1">
      <c r="C26" s="345" t="s">
        <v>239</v>
      </c>
      <c r="D26" s="100"/>
      <c r="E26" s="346">
        <v>65</v>
      </c>
      <c r="F26" s="74" t="s">
        <v>209</v>
      </c>
      <c r="G26" s="74" t="s">
        <v>116</v>
      </c>
      <c r="I26" s="322"/>
      <c r="K26" s="108" t="str">
        <f ca="1">"Stock Price - "&amp;TEXT(TODAY()-1,"mm/dd/yy")</f>
        <v>Stock Price - 10/05/26</v>
      </c>
      <c r="N26" s="323">
        <v>22</v>
      </c>
      <c r="P26" s="395" t="s">
        <v>302</v>
      </c>
      <c r="R26" s="398">
        <v>0.4</v>
      </c>
    </row>
    <row r="27" spans="3:37" ht="14.65" customHeight="1">
      <c r="C27" s="345" t="s">
        <v>114</v>
      </c>
      <c r="D27" s="100"/>
      <c r="E27" s="346">
        <v>15</v>
      </c>
      <c r="F27" s="74" t="s">
        <v>209</v>
      </c>
      <c r="G27" s="74" t="s">
        <v>116</v>
      </c>
      <c r="I27" s="322"/>
      <c r="K27" s="108" t="str">
        <f>"Ending Stock Price - "&amp;H7-1</f>
        <v>Ending Stock Price - 2018</v>
      </c>
      <c r="N27" s="323">
        <v>20.5</v>
      </c>
      <c r="P27" s="488" t="s">
        <v>304</v>
      </c>
      <c r="R27" s="424">
        <v>2.5</v>
      </c>
    </row>
    <row r="28" spans="3:37" ht="14.65" customHeight="1">
      <c r="C28" s="345" t="s">
        <v>176</v>
      </c>
      <c r="D28" s="100"/>
      <c r="E28" s="346">
        <v>7</v>
      </c>
      <c r="F28" s="74" t="s">
        <v>209</v>
      </c>
      <c r="G28" s="74" t="s">
        <v>116</v>
      </c>
      <c r="I28" s="322"/>
      <c r="K28" s="108" t="s">
        <v>161</v>
      </c>
      <c r="N28" s="325">
        <v>0.1</v>
      </c>
      <c r="P28" s="108"/>
      <c r="R28" s="322"/>
    </row>
    <row r="29" spans="3:37" ht="14.65" customHeight="1">
      <c r="C29" s="345" t="s">
        <v>15</v>
      </c>
      <c r="D29" s="100"/>
      <c r="E29" s="346">
        <v>5</v>
      </c>
      <c r="F29" s="74" t="s">
        <v>209</v>
      </c>
      <c r="G29" s="74" t="s">
        <v>116</v>
      </c>
      <c r="I29" s="322"/>
      <c r="K29" s="106" t="s">
        <v>196</v>
      </c>
      <c r="N29" s="329">
        <v>0.12</v>
      </c>
      <c r="P29" s="471" t="s">
        <v>189</v>
      </c>
      <c r="R29" s="473">
        <v>3.5</v>
      </c>
    </row>
    <row r="30" spans="3:37" ht="14.65" customHeight="1">
      <c r="C30" s="345" t="s">
        <v>115</v>
      </c>
      <c r="D30" s="100"/>
      <c r="E30" s="346">
        <v>10.4</v>
      </c>
      <c r="F30" s="74" t="s">
        <v>209</v>
      </c>
      <c r="G30" s="74" t="s">
        <v>116</v>
      </c>
      <c r="I30" s="322"/>
      <c r="K30" s="229" t="str">
        <f>"Fully Diluted Shares O/S (MM) - Dec. 31, "&amp;H7-1</f>
        <v>Fully Diluted Shares O/S (MM) - Dec. 31, 2018</v>
      </c>
      <c r="L30" s="122"/>
      <c r="M30" s="122"/>
      <c r="N30" s="330">
        <v>122.6</v>
      </c>
      <c r="P30" s="471" t="s">
        <v>293</v>
      </c>
      <c r="R30" s="473">
        <v>3.5</v>
      </c>
    </row>
    <row r="31" spans="3:37" ht="14.65" customHeight="1">
      <c r="C31" s="229"/>
      <c r="D31" s="122"/>
      <c r="E31" s="122"/>
      <c r="F31" s="122"/>
      <c r="G31" s="122"/>
      <c r="H31" s="122"/>
      <c r="I31" s="328"/>
      <c r="P31" s="471" t="s">
        <v>294</v>
      </c>
      <c r="R31" s="474">
        <v>4</v>
      </c>
    </row>
    <row r="32" spans="3:37" ht="14.65" customHeight="1">
      <c r="F32" s="74"/>
      <c r="P32" s="471" t="s">
        <v>296</v>
      </c>
      <c r="R32" s="474">
        <v>1.5</v>
      </c>
    </row>
    <row r="33" spans="2:18" ht="14.65" customHeight="1">
      <c r="C33" s="317" t="s">
        <v>117</v>
      </c>
      <c r="D33" s="318"/>
      <c r="E33" s="318"/>
      <c r="F33" s="318"/>
      <c r="G33" s="318"/>
      <c r="H33" s="318"/>
      <c r="I33" s="319"/>
      <c r="K33" s="317" t="s">
        <v>107</v>
      </c>
      <c r="L33" s="332"/>
      <c r="M33" s="332"/>
      <c r="N33" s="333"/>
      <c r="P33" s="472" t="s">
        <v>298</v>
      </c>
      <c r="Q33" s="122"/>
      <c r="R33" s="475">
        <v>0.5</v>
      </c>
    </row>
    <row r="34" spans="2:18" ht="14.65" customHeight="1">
      <c r="C34" s="353" t="s">
        <v>124</v>
      </c>
      <c r="D34" s="222"/>
      <c r="E34" s="222"/>
      <c r="F34" s="222"/>
      <c r="G34" s="222"/>
      <c r="I34" s="358" t="s">
        <v>118</v>
      </c>
      <c r="K34" s="337" t="s">
        <v>103</v>
      </c>
      <c r="N34" s="338">
        <v>350</v>
      </c>
    </row>
    <row r="35" spans="2:18" ht="14.65" customHeight="1">
      <c r="C35" s="359" t="s">
        <v>205</v>
      </c>
      <c r="F35" s="74"/>
      <c r="I35" s="360">
        <v>20</v>
      </c>
      <c r="K35" s="341" t="s">
        <v>146</v>
      </c>
      <c r="L35" s="313"/>
      <c r="M35" s="313"/>
      <c r="N35" s="342">
        <v>15000</v>
      </c>
    </row>
    <row r="36" spans="2:18" ht="14.65" customHeight="1">
      <c r="C36" s="495" t="s">
        <v>206</v>
      </c>
      <c r="D36" s="122"/>
      <c r="E36" s="122"/>
      <c r="F36" s="122"/>
      <c r="G36" s="122"/>
      <c r="H36" s="122"/>
      <c r="I36" s="496">
        <v>25</v>
      </c>
    </row>
    <row r="37" spans="2:18" ht="14.65" customHeight="1">
      <c r="F37" s="74"/>
    </row>
    <row r="38" spans="2:18" ht="14.65" customHeight="1">
      <c r="C38" s="352" t="s">
        <v>108</v>
      </c>
      <c r="D38" s="318"/>
      <c r="E38" s="318"/>
      <c r="F38" s="318"/>
      <c r="G38" s="318"/>
      <c r="H38" s="318"/>
      <c r="I38" s="319"/>
    </row>
    <row r="39" spans="2:18" ht="14.65" customHeight="1">
      <c r="C39" s="353" t="s">
        <v>104</v>
      </c>
      <c r="F39" s="74"/>
      <c r="I39" s="354">
        <v>0.28000000000000003</v>
      </c>
    </row>
    <row r="40" spans="2:18" ht="14.65" customHeight="1">
      <c r="C40" s="337" t="s">
        <v>346</v>
      </c>
      <c r="F40" s="74"/>
      <c r="I40" s="325">
        <v>0.18</v>
      </c>
    </row>
    <row r="41" spans="2:18" ht="14.65" customHeight="1">
      <c r="C41" s="337" t="s">
        <v>347</v>
      </c>
      <c r="F41" s="74"/>
      <c r="I41" s="355">
        <v>0</v>
      </c>
    </row>
    <row r="42" spans="2:18" ht="14.65" customHeight="1">
      <c r="C42" s="341" t="s">
        <v>348</v>
      </c>
      <c r="D42" s="122"/>
      <c r="E42" s="122"/>
      <c r="F42" s="122"/>
      <c r="G42" s="122"/>
      <c r="H42" s="122"/>
      <c r="I42" s="497">
        <v>665</v>
      </c>
    </row>
    <row r="43" spans="2:18" ht="9" customHeight="1">
      <c r="B43" s="122"/>
      <c r="C43" s="122"/>
      <c r="D43" s="362"/>
      <c r="E43" s="81"/>
      <c r="F43" s="81"/>
      <c r="G43" s="81"/>
      <c r="H43" s="81"/>
      <c r="I43" s="81"/>
      <c r="J43" s="81"/>
      <c r="K43" s="122"/>
      <c r="L43" s="122"/>
      <c r="M43" s="122"/>
      <c r="N43" s="122"/>
      <c r="O43" s="122"/>
      <c r="P43" s="122"/>
      <c r="Q43" s="122"/>
      <c r="R43" s="122"/>
    </row>
    <row r="44" spans="2:18" ht="12.75" customHeight="1">
      <c r="D44" s="363"/>
      <c r="E44" s="72"/>
      <c r="F44" s="72"/>
      <c r="G44" s="72"/>
      <c r="H44" s="72"/>
      <c r="J44" s="282"/>
      <c r="K44" s="282"/>
      <c r="L44" s="282"/>
    </row>
    <row r="45" spans="2:18" ht="12.75" customHeight="1">
      <c r="D45" s="363"/>
      <c r="E45" s="72"/>
      <c r="F45" s="72"/>
      <c r="G45" s="72"/>
      <c r="H45" s="72"/>
      <c r="R45" s="100"/>
    </row>
    <row r="46" spans="2:18" ht="22.5">
      <c r="B46" s="71" t="str">
        <f>B2</f>
        <v>Windsol Manufacturing</v>
      </c>
      <c r="C46" s="143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100"/>
    </row>
    <row r="47" spans="2:18" ht="18.75">
      <c r="B47" s="315" t="s">
        <v>145</v>
      </c>
      <c r="C47" s="315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100"/>
    </row>
    <row r="48" spans="2:18" ht="6" customHeight="1" thickBot="1">
      <c r="B48" s="316"/>
      <c r="C48" s="316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100"/>
    </row>
    <row r="49" spans="3:24" ht="6" customHeight="1">
      <c r="D49" s="363"/>
      <c r="E49" s="72"/>
      <c r="F49" s="72"/>
      <c r="G49" s="72"/>
      <c r="H49" s="72"/>
      <c r="R49" s="100"/>
    </row>
    <row r="50" spans="3:24" ht="15.6" customHeight="1">
      <c r="C50" s="137" t="s">
        <v>120</v>
      </c>
      <c r="F50" s="74"/>
      <c r="R50" s="100"/>
    </row>
    <row r="51" spans="3:24" ht="14.1" customHeight="1">
      <c r="C51" s="364" t="s">
        <v>102</v>
      </c>
      <c r="D51" s="100" t="str">
        <f>CONCATENATE("Capex has been assumed at $",H60," million in ",H56,", $",I60," million in ",I56," and grown at inflation thereafter")</f>
        <v>Capex has been assumed at $120 million in 2019, $130 million in 2020 and grown at inflation thereafter</v>
      </c>
      <c r="F51" s="74"/>
      <c r="R51" s="100"/>
    </row>
    <row r="52" spans="3:24" ht="14.1" customHeight="1">
      <c r="C52" s="364" t="s">
        <v>102</v>
      </c>
      <c r="D52" s="100" t="s">
        <v>74</v>
      </c>
      <c r="F52" s="74"/>
      <c r="R52" s="100"/>
    </row>
    <row r="53" spans="3:24" ht="14.1" customHeight="1">
      <c r="C53" s="364" t="s">
        <v>102</v>
      </c>
      <c r="D53" s="100" t="s">
        <v>121</v>
      </c>
      <c r="F53" s="74"/>
      <c r="R53" s="100"/>
    </row>
    <row r="54" spans="3:24" ht="14.1" customHeight="1">
      <c r="C54" s="364"/>
      <c r="D54" s="100" t="s">
        <v>122</v>
      </c>
      <c r="F54" s="74"/>
      <c r="R54" s="100"/>
    </row>
    <row r="55" spans="3:24" ht="6" customHeight="1">
      <c r="C55" s="365"/>
      <c r="F55" s="74"/>
      <c r="R55" s="100"/>
    </row>
    <row r="56" spans="3:24" s="371" customFormat="1" ht="15.75">
      <c r="C56" s="366"/>
      <c r="D56" s="367" t="s">
        <v>277</v>
      </c>
      <c r="E56" s="318"/>
      <c r="F56" s="318"/>
      <c r="G56" s="318"/>
      <c r="H56" s="368">
        <f>H7</f>
        <v>2019</v>
      </c>
      <c r="I56" s="368">
        <f>H56+1</f>
        <v>2020</v>
      </c>
      <c r="J56" s="368">
        <f>I56+1</f>
        <v>2021</v>
      </c>
      <c r="K56" s="368">
        <f>J56+1</f>
        <v>2022</v>
      </c>
      <c r="L56" s="369">
        <f>K56+1</f>
        <v>2023</v>
      </c>
      <c r="M56" s="74"/>
      <c r="N56"/>
      <c r="O56"/>
      <c r="P56"/>
      <c r="Q56"/>
      <c r="R56"/>
      <c r="S56" s="425"/>
    </row>
    <row r="57" spans="3:24" ht="12.75" customHeight="1">
      <c r="D57" s="337" t="s">
        <v>56</v>
      </c>
      <c r="F57" s="74"/>
      <c r="H57" s="372">
        <v>120</v>
      </c>
      <c r="I57" s="372">
        <v>130</v>
      </c>
      <c r="J57" s="373">
        <f>I57*(1+M$105)</f>
        <v>131.94999999999999</v>
      </c>
      <c r="K57" s="373">
        <f t="shared" ref="K57:L57" si="0">J57*(1+N$105)</f>
        <v>134.589</v>
      </c>
      <c r="L57" s="374">
        <f t="shared" si="0"/>
        <v>137.28077999999999</v>
      </c>
      <c r="M57" s="373"/>
      <c r="N57"/>
      <c r="O57"/>
      <c r="P57"/>
      <c r="Q57"/>
      <c r="R57"/>
      <c r="S57" s="100"/>
    </row>
    <row r="58" spans="3:24" ht="12.75" customHeight="1">
      <c r="D58" s="106" t="s">
        <v>57</v>
      </c>
      <c r="F58" s="74"/>
      <c r="H58" s="372">
        <v>0</v>
      </c>
      <c r="I58" s="372">
        <v>0</v>
      </c>
      <c r="J58" s="372">
        <v>0</v>
      </c>
      <c r="K58" s="372">
        <v>0</v>
      </c>
      <c r="L58" s="375">
        <v>0</v>
      </c>
      <c r="M58" s="372"/>
      <c r="N58"/>
      <c r="O58"/>
      <c r="P58"/>
      <c r="Q58"/>
      <c r="R58"/>
      <c r="S58" s="100"/>
    </row>
    <row r="59" spans="3:24" ht="12.75" customHeight="1">
      <c r="D59" s="108" t="s">
        <v>5</v>
      </c>
      <c r="F59" s="74"/>
      <c r="H59" s="376">
        <v>0</v>
      </c>
      <c r="I59" s="376">
        <v>0</v>
      </c>
      <c r="J59" s="376">
        <v>0</v>
      </c>
      <c r="K59" s="376">
        <v>0</v>
      </c>
      <c r="L59" s="377">
        <v>0</v>
      </c>
      <c r="M59" s="372"/>
      <c r="N59"/>
      <c r="O59"/>
      <c r="P59"/>
      <c r="Q59"/>
      <c r="R59"/>
      <c r="S59" s="100"/>
    </row>
    <row r="60" spans="3:24" ht="12.75" customHeight="1">
      <c r="D60" s="378" t="s">
        <v>4</v>
      </c>
      <c r="F60" s="74"/>
      <c r="H60" s="218">
        <f>SUM(H57:H59)</f>
        <v>120</v>
      </c>
      <c r="I60" s="218">
        <f>SUM(I57:I59)</f>
        <v>130</v>
      </c>
      <c r="J60" s="218">
        <f>SUM(J57:J59)</f>
        <v>131.94999999999999</v>
      </c>
      <c r="K60" s="218">
        <f>SUM(K57:K59)</f>
        <v>134.589</v>
      </c>
      <c r="L60" s="379">
        <f>SUM(L57:L59)</f>
        <v>137.28077999999999</v>
      </c>
      <c r="M60" s="218"/>
      <c r="N60"/>
      <c r="O60"/>
      <c r="P60"/>
      <c r="Q60"/>
      <c r="R60"/>
      <c r="S60" s="100"/>
    </row>
    <row r="61" spans="3:24" ht="12.75" customHeight="1">
      <c r="D61" s="229"/>
      <c r="E61" s="380"/>
      <c r="F61" s="380"/>
      <c r="G61" s="380"/>
      <c r="H61" s="380"/>
      <c r="I61" s="380"/>
      <c r="J61" s="381"/>
      <c r="K61" s="380"/>
      <c r="L61" s="382"/>
      <c r="M61" s="282"/>
      <c r="N61"/>
      <c r="O61"/>
      <c r="P61"/>
      <c r="Q61"/>
      <c r="R61"/>
      <c r="S61" s="100"/>
    </row>
    <row r="62" spans="3:24" ht="12.75" customHeight="1">
      <c r="F62" s="74"/>
      <c r="H62" s="282"/>
      <c r="I62" s="383"/>
      <c r="J62" s="282"/>
      <c r="K62" s="282"/>
      <c r="L62" s="282"/>
      <c r="R62" s="426"/>
      <c r="S62"/>
      <c r="V62" s="282"/>
      <c r="W62" s="282"/>
      <c r="X62" s="282"/>
    </row>
    <row r="63" spans="3:24" ht="12.75" customHeight="1">
      <c r="F63" s="74"/>
      <c r="H63" s="282"/>
      <c r="I63" s="383"/>
      <c r="J63" s="282"/>
      <c r="K63" s="282"/>
      <c r="L63" s="282"/>
      <c r="R63" s="426"/>
      <c r="S63"/>
      <c r="V63" s="282"/>
      <c r="W63" s="282"/>
      <c r="X63" s="282"/>
    </row>
    <row r="64" spans="3:24" ht="12.75" customHeight="1">
      <c r="C64" s="137" t="s">
        <v>201</v>
      </c>
      <c r="F64" s="74"/>
      <c r="R64" s="426"/>
      <c r="S64"/>
    </row>
    <row r="65" spans="3:19" ht="12.75" customHeight="1">
      <c r="C65" s="137"/>
      <c r="F65" s="74"/>
      <c r="M65"/>
      <c r="N65"/>
      <c r="O65"/>
      <c r="P65"/>
      <c r="Q65"/>
      <c r="R65" s="426"/>
      <c r="S65"/>
    </row>
    <row r="66" spans="3:19" ht="12.75" customHeight="1">
      <c r="C66" s="137"/>
      <c r="D66" s="367" t="s">
        <v>277</v>
      </c>
      <c r="E66" s="318"/>
      <c r="F66" s="318"/>
      <c r="G66" s="318"/>
      <c r="H66" s="368">
        <f>H56</f>
        <v>2019</v>
      </c>
      <c r="I66" s="368">
        <f>H66+1</f>
        <v>2020</v>
      </c>
      <c r="J66" s="368">
        <f>I66+1</f>
        <v>2021</v>
      </c>
      <c r="K66" s="368">
        <f>J66+1</f>
        <v>2022</v>
      </c>
      <c r="L66" s="369">
        <f>K66+1</f>
        <v>2023</v>
      </c>
      <c r="M66" s="282"/>
      <c r="N66"/>
      <c r="O66"/>
      <c r="P66"/>
      <c r="Q66"/>
      <c r="R66"/>
      <c r="S66" s="100"/>
    </row>
    <row r="67" spans="3:19" ht="12.75" customHeight="1">
      <c r="D67" s="106" t="s">
        <v>197</v>
      </c>
      <c r="F67" s="74"/>
      <c r="H67" s="372">
        <v>0</v>
      </c>
      <c r="I67" s="372">
        <v>0</v>
      </c>
      <c r="J67" s="372">
        <v>0</v>
      </c>
      <c r="K67" s="372">
        <v>0</v>
      </c>
      <c r="L67" s="375">
        <v>0</v>
      </c>
      <c r="M67" s="372"/>
      <c r="N67"/>
      <c r="O67"/>
      <c r="P67"/>
      <c r="Q67"/>
      <c r="R67"/>
      <c r="S67" s="100"/>
    </row>
    <row r="68" spans="3:19" ht="12.75" customHeight="1">
      <c r="D68" s="106" t="s">
        <v>198</v>
      </c>
      <c r="F68" s="74"/>
      <c r="H68" s="372">
        <v>0</v>
      </c>
      <c r="I68" s="372">
        <v>0</v>
      </c>
      <c r="J68" s="372">
        <v>0</v>
      </c>
      <c r="K68" s="372">
        <v>0</v>
      </c>
      <c r="L68" s="375">
        <v>0</v>
      </c>
      <c r="M68" s="372"/>
      <c r="N68"/>
      <c r="O68"/>
      <c r="P68"/>
      <c r="Q68"/>
      <c r="R68"/>
      <c r="S68" s="100"/>
    </row>
    <row r="69" spans="3:19" ht="12.75" customHeight="1">
      <c r="D69" s="106" t="s">
        <v>199</v>
      </c>
      <c r="F69" s="74"/>
      <c r="H69" s="376">
        <v>0</v>
      </c>
      <c r="I69" s="376">
        <v>0</v>
      </c>
      <c r="J69" s="376">
        <v>0</v>
      </c>
      <c r="K69" s="376">
        <v>0</v>
      </c>
      <c r="L69" s="377">
        <v>0</v>
      </c>
      <c r="M69" s="372"/>
      <c r="N69"/>
      <c r="O69"/>
      <c r="P69"/>
      <c r="Q69"/>
      <c r="R69"/>
      <c r="S69" s="100"/>
    </row>
    <row r="70" spans="3:19" ht="12.75" customHeight="1">
      <c r="D70" s="378" t="s">
        <v>200</v>
      </c>
      <c r="F70" s="74"/>
      <c r="H70" s="218">
        <f>SUM(H67:H69)</f>
        <v>0</v>
      </c>
      <c r="I70" s="218">
        <f>SUM(I67:I69)</f>
        <v>0</v>
      </c>
      <c r="J70" s="218">
        <f>SUM(J67:J69)</f>
        <v>0</v>
      </c>
      <c r="K70" s="218">
        <f>SUM(K67:K69)</f>
        <v>0</v>
      </c>
      <c r="L70" s="379">
        <f>SUM(L67:L69)</f>
        <v>0</v>
      </c>
      <c r="M70" s="282"/>
      <c r="N70" s="282"/>
      <c r="O70" s="282"/>
      <c r="P70" s="282"/>
      <c r="Q70" s="282"/>
      <c r="R70" s="218"/>
      <c r="S70" s="100"/>
    </row>
    <row r="71" spans="3:19" ht="12.75" customHeight="1">
      <c r="D71" s="229"/>
      <c r="E71" s="380"/>
      <c r="F71" s="380"/>
      <c r="G71" s="380"/>
      <c r="H71" s="380"/>
      <c r="I71" s="380"/>
      <c r="J71" s="381"/>
      <c r="K71" s="380"/>
      <c r="L71" s="382"/>
      <c r="M71" s="282"/>
      <c r="N71" s="282"/>
      <c r="O71" s="282"/>
      <c r="P71" s="282"/>
      <c r="Q71" s="282"/>
      <c r="R71" s="282"/>
      <c r="S71" s="100"/>
    </row>
    <row r="72" spans="3:19" ht="12.75" customHeight="1">
      <c r="F72" s="74"/>
      <c r="H72" s="282"/>
      <c r="I72" s="383"/>
      <c r="J72" s="282"/>
      <c r="K72" s="282"/>
      <c r="L72" s="282"/>
      <c r="M72" s="282"/>
      <c r="N72" s="282"/>
      <c r="O72" s="282"/>
      <c r="P72" s="282"/>
      <c r="Q72" s="282"/>
      <c r="R72" s="100"/>
    </row>
    <row r="73" spans="3:19" ht="12.75" customHeight="1">
      <c r="F73" s="74"/>
      <c r="R73" s="100"/>
    </row>
    <row r="74" spans="3:19" ht="12.75" customHeight="1">
      <c r="C74" s="137" t="s">
        <v>119</v>
      </c>
      <c r="F74" s="74"/>
      <c r="R74" s="100"/>
    </row>
    <row r="75" spans="3:19" ht="12.75" customHeight="1">
      <c r="F75" s="74"/>
      <c r="H75" s="282"/>
      <c r="I75" s="383"/>
      <c r="J75" s="282"/>
      <c r="K75" s="282"/>
      <c r="L75" s="282"/>
      <c r="M75" s="282"/>
      <c r="N75" s="282"/>
      <c r="O75" s="282"/>
      <c r="P75" s="282"/>
      <c r="Q75" s="282"/>
      <c r="R75" s="100"/>
    </row>
    <row r="76" spans="3:19" s="371" customFormat="1" ht="12.75" customHeight="1">
      <c r="C76" s="366"/>
      <c r="D76" s="367" t="s">
        <v>51</v>
      </c>
      <c r="E76" s="318"/>
      <c r="F76" s="318"/>
      <c r="G76" s="318"/>
      <c r="H76" s="368">
        <f>H66</f>
        <v>2019</v>
      </c>
      <c r="I76" s="368">
        <f>H76+1</f>
        <v>2020</v>
      </c>
      <c r="J76" s="368">
        <f>I76+1</f>
        <v>2021</v>
      </c>
      <c r="K76" s="368">
        <f>J76+1</f>
        <v>2022</v>
      </c>
      <c r="L76" s="369">
        <f>K76+1</f>
        <v>2023</v>
      </c>
      <c r="M76" s="282"/>
      <c r="N76" s="282"/>
      <c r="O76" s="282"/>
      <c r="P76" s="282"/>
      <c r="Q76" s="282"/>
      <c r="R76" s="370"/>
      <c r="S76" s="425"/>
    </row>
    <row r="77" spans="3:19" ht="12.75" customHeight="1">
      <c r="D77" s="106" t="s">
        <v>19</v>
      </c>
      <c r="F77" s="74"/>
      <c r="H77" s="372">
        <v>29</v>
      </c>
      <c r="I77" s="372">
        <v>28</v>
      </c>
      <c r="J77" s="372">
        <v>27</v>
      </c>
      <c r="K77" s="372">
        <v>27</v>
      </c>
      <c r="L77" s="375">
        <v>27</v>
      </c>
      <c r="M77" s="372"/>
      <c r="N77" s="372"/>
      <c r="O77" s="372"/>
      <c r="P77" s="372"/>
      <c r="Q77" s="372"/>
      <c r="R77" s="372"/>
      <c r="S77" s="100"/>
    </row>
    <row r="78" spans="3:19" ht="12.75" customHeight="1">
      <c r="D78" s="106" t="s">
        <v>33</v>
      </c>
      <c r="F78" s="74"/>
      <c r="H78" s="372">
        <v>54</v>
      </c>
      <c r="I78" s="372">
        <v>53</v>
      </c>
      <c r="J78" s="372">
        <v>52</v>
      </c>
      <c r="K78" s="372">
        <v>52</v>
      </c>
      <c r="L78" s="375">
        <v>51</v>
      </c>
      <c r="M78" s="372"/>
      <c r="N78" s="372"/>
      <c r="O78" s="372"/>
      <c r="P78" s="372"/>
      <c r="Q78" s="372"/>
      <c r="R78" s="372"/>
      <c r="S78" s="100"/>
    </row>
    <row r="79" spans="3:19" ht="12.75" customHeight="1">
      <c r="D79" s="106" t="s">
        <v>25</v>
      </c>
      <c r="F79" s="74"/>
      <c r="H79" s="372">
        <v>38</v>
      </c>
      <c r="I79" s="372">
        <v>39</v>
      </c>
      <c r="J79" s="372">
        <v>40</v>
      </c>
      <c r="K79" s="372">
        <v>40</v>
      </c>
      <c r="L79" s="375">
        <v>40</v>
      </c>
      <c r="M79" s="372"/>
      <c r="N79" s="372"/>
      <c r="O79" s="372"/>
      <c r="P79" s="372"/>
      <c r="Q79" s="372"/>
      <c r="R79" s="372"/>
      <c r="S79" s="100"/>
    </row>
    <row r="80" spans="3:19" ht="12.75" customHeight="1">
      <c r="D80" s="229"/>
      <c r="E80" s="122"/>
      <c r="F80" s="122"/>
      <c r="G80" s="122"/>
      <c r="H80" s="122"/>
      <c r="I80" s="380"/>
      <c r="J80" s="381"/>
      <c r="K80" s="380"/>
      <c r="L80" s="382"/>
      <c r="M80" s="282"/>
      <c r="N80" s="282"/>
      <c r="O80" s="282"/>
      <c r="P80" s="282"/>
      <c r="Q80" s="282"/>
      <c r="R80" s="282"/>
      <c r="S80" s="100"/>
    </row>
    <row r="81" spans="2:19" ht="12.75" customHeight="1">
      <c r="F81" s="74"/>
      <c r="H81" s="282"/>
      <c r="I81" s="383"/>
      <c r="J81" s="282"/>
      <c r="K81" s="282"/>
      <c r="L81" s="282"/>
      <c r="M81" s="282"/>
      <c r="N81" s="282"/>
      <c r="O81" s="282"/>
      <c r="P81" s="282"/>
      <c r="Q81" s="282"/>
      <c r="R81" s="100"/>
    </row>
    <row r="82" spans="2:19" ht="12.75" customHeight="1">
      <c r="F82" s="74"/>
      <c r="H82" s="282"/>
      <c r="I82" s="383"/>
      <c r="J82" s="282"/>
      <c r="K82" s="282"/>
      <c r="L82" s="282"/>
      <c r="M82" s="282"/>
      <c r="N82" s="282"/>
      <c r="O82" s="282"/>
      <c r="P82" s="282"/>
      <c r="Q82" s="282"/>
      <c r="R82" s="100"/>
    </row>
    <row r="83" spans="2:19" ht="12.75" customHeight="1">
      <c r="C83" s="137" t="s">
        <v>243</v>
      </c>
      <c r="F83" s="74"/>
      <c r="R83" s="100"/>
    </row>
    <row r="84" spans="2:19" ht="12.75" customHeight="1">
      <c r="F84" s="74"/>
      <c r="H84" s="282"/>
      <c r="I84" s="383"/>
      <c r="J84" s="282"/>
      <c r="K84" s="282"/>
      <c r="L84" s="282"/>
      <c r="M84" s="282"/>
      <c r="N84" s="282"/>
      <c r="O84" s="282"/>
      <c r="P84" s="282"/>
      <c r="Q84" s="282"/>
      <c r="R84" s="100"/>
    </row>
    <row r="85" spans="2:19" s="371" customFormat="1" ht="12.75" customHeight="1">
      <c r="C85" s="366"/>
      <c r="D85" s="367" t="s">
        <v>277</v>
      </c>
      <c r="E85" s="318"/>
      <c r="F85" s="318"/>
      <c r="G85" s="318"/>
      <c r="H85" s="368">
        <f>H76</f>
        <v>2019</v>
      </c>
      <c r="I85" s="368">
        <f>H85+1</f>
        <v>2020</v>
      </c>
      <c r="J85" s="368">
        <f>I85+1</f>
        <v>2021</v>
      </c>
      <c r="K85" s="368">
        <f>J85+1</f>
        <v>2022</v>
      </c>
      <c r="L85" s="369">
        <f>K85+1</f>
        <v>2023</v>
      </c>
      <c r="M85" s="282"/>
      <c r="N85" s="282"/>
      <c r="O85" s="282"/>
      <c r="P85" s="282"/>
      <c r="Q85" s="282"/>
      <c r="R85" s="370"/>
      <c r="S85" s="425"/>
    </row>
    <row r="86" spans="2:19" ht="12.75" customHeight="1">
      <c r="D86" s="106" t="s">
        <v>162</v>
      </c>
      <c r="F86" s="74"/>
      <c r="H86" s="279">
        <v>0</v>
      </c>
      <c r="I86" s="279">
        <v>0</v>
      </c>
      <c r="J86" s="279">
        <v>0</v>
      </c>
      <c r="K86" s="279">
        <v>0</v>
      </c>
      <c r="L86" s="384">
        <v>0</v>
      </c>
      <c r="M86" s="372"/>
      <c r="N86" s="372"/>
      <c r="O86" s="372"/>
      <c r="P86" s="372"/>
      <c r="Q86" s="372"/>
      <c r="R86" s="372"/>
      <c r="S86" s="100"/>
    </row>
    <row r="87" spans="2:19" ht="12.75" customHeight="1">
      <c r="D87" s="106" t="s">
        <v>171</v>
      </c>
      <c r="F87" s="74"/>
      <c r="H87" s="372">
        <v>0.5</v>
      </c>
      <c r="I87" s="372">
        <v>0.5</v>
      </c>
      <c r="J87" s="372">
        <v>0</v>
      </c>
      <c r="K87" s="372">
        <v>0</v>
      </c>
      <c r="L87" s="375">
        <v>0</v>
      </c>
      <c r="M87" s="372"/>
      <c r="N87" s="372"/>
      <c r="O87" s="372"/>
      <c r="P87" s="372"/>
      <c r="Q87" s="372"/>
      <c r="R87" s="372"/>
      <c r="S87" s="100"/>
    </row>
    <row r="88" spans="2:19" ht="12.75" customHeight="1">
      <c r="D88" s="229"/>
      <c r="E88" s="122"/>
      <c r="F88" s="122"/>
      <c r="G88" s="122"/>
      <c r="H88" s="122"/>
      <c r="I88" s="380"/>
      <c r="J88" s="381"/>
      <c r="K88" s="380"/>
      <c r="L88" s="382"/>
      <c r="M88" s="282"/>
      <c r="N88" s="282"/>
      <c r="O88" s="282"/>
      <c r="P88" s="282"/>
      <c r="Q88" s="282"/>
      <c r="R88" s="282"/>
      <c r="S88" s="100"/>
    </row>
    <row r="89" spans="2:19" ht="12.75" customHeight="1"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00"/>
    </row>
    <row r="90" spans="2:19" ht="12.75" customHeight="1">
      <c r="F90" s="74"/>
      <c r="R90" s="100"/>
    </row>
    <row r="92" spans="2:19" s="4" customFormat="1" ht="22.5" customHeight="1">
      <c r="B92" s="71" t="str">
        <f>$B$2</f>
        <v>Windsol Manufacturing</v>
      </c>
      <c r="C92" s="72"/>
      <c r="D92" s="72"/>
      <c r="E92" s="72"/>
      <c r="F92" s="144"/>
      <c r="G92" s="72"/>
      <c r="H92" s="72"/>
      <c r="I92" s="72"/>
      <c r="J92" s="72"/>
      <c r="K92" s="72"/>
      <c r="L92" s="72"/>
      <c r="M92" s="72"/>
      <c r="N92" s="72"/>
      <c r="O92" s="72"/>
    </row>
    <row r="93" spans="2:19" s="5" customFormat="1" ht="19.5">
      <c r="B93" s="75" t="s">
        <v>73</v>
      </c>
      <c r="C93" s="148"/>
      <c r="D93" s="148"/>
      <c r="E93" s="148"/>
      <c r="F93" s="149"/>
      <c r="G93" s="148"/>
      <c r="H93" s="148"/>
      <c r="I93" s="148"/>
      <c r="J93" s="148"/>
      <c r="K93" s="148"/>
      <c r="L93" s="148"/>
      <c r="M93" s="148"/>
      <c r="N93" s="148"/>
      <c r="O93" s="148"/>
    </row>
    <row r="94" spans="2:19" s="5" customFormat="1" ht="6" customHeight="1" thickBot="1">
      <c r="B94" s="125"/>
      <c r="C94" s="76"/>
      <c r="D94" s="76"/>
      <c r="E94" s="76"/>
      <c r="F94" s="150"/>
      <c r="G94" s="76"/>
      <c r="H94" s="76"/>
      <c r="I94" s="76"/>
      <c r="J94" s="76"/>
      <c r="K94" s="76"/>
      <c r="L94" s="76"/>
      <c r="M94" s="76"/>
      <c r="N94" s="76"/>
      <c r="O94" s="76"/>
    </row>
    <row r="95" spans="2:19" s="5" customFormat="1" ht="12.75" customHeight="1">
      <c r="B95" s="148"/>
      <c r="C95" s="148"/>
      <c r="D95" s="148"/>
      <c r="E95" s="148"/>
      <c r="F95" s="149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2:19" s="5" customFormat="1" ht="6" customHeight="1">
      <c r="B96" s="38"/>
      <c r="C96" s="39"/>
      <c r="D96" s="40"/>
      <c r="E96" s="39"/>
      <c r="F96" s="41"/>
      <c r="K96" s="7"/>
      <c r="L96" s="7"/>
      <c r="M96" s="7"/>
      <c r="N96" s="7"/>
      <c r="O96" s="7"/>
    </row>
    <row r="97" spans="1:16" s="5" customFormat="1" ht="16.149999999999999" customHeight="1">
      <c r="B97" s="42" t="s">
        <v>131</v>
      </c>
      <c r="C97" s="8"/>
      <c r="F97" s="43">
        <v>1</v>
      </c>
      <c r="K97" s="10">
        <f>H7</f>
        <v>2019</v>
      </c>
      <c r="L97" s="10">
        <f>K97+1</f>
        <v>2020</v>
      </c>
      <c r="M97" s="10">
        <f>L97+1</f>
        <v>2021</v>
      </c>
      <c r="N97" s="10">
        <f>M97+1</f>
        <v>2022</v>
      </c>
      <c r="O97" s="10">
        <f>N97+1</f>
        <v>2023</v>
      </c>
    </row>
    <row r="98" spans="1:16" s="5" customFormat="1" ht="6" customHeight="1">
      <c r="B98" s="44"/>
      <c r="C98" s="45"/>
      <c r="D98" s="46"/>
      <c r="E98" s="19"/>
      <c r="F98" s="47"/>
      <c r="K98" s="10"/>
      <c r="L98" s="10"/>
      <c r="M98" s="11"/>
      <c r="N98" s="11"/>
      <c r="O98" s="10"/>
    </row>
    <row r="99" spans="1:16" s="5" customFormat="1">
      <c r="B99" s="8"/>
      <c r="C99" s="8"/>
      <c r="D99" s="9"/>
      <c r="E99" s="9"/>
      <c r="F99" s="8"/>
      <c r="K99" s="10"/>
      <c r="L99" s="10"/>
      <c r="M99" s="11"/>
      <c r="N99" s="11"/>
      <c r="O99" s="10"/>
    </row>
    <row r="100" spans="1:16" s="5" customFormat="1" ht="15.75">
      <c r="A100" s="36"/>
      <c r="B100" s="37" t="s">
        <v>123</v>
      </c>
      <c r="D100" s="6"/>
      <c r="E100" s="6"/>
    </row>
    <row r="101" spans="1:16" s="5" customFormat="1" ht="6" customHeight="1">
      <c r="B101" s="8"/>
      <c r="C101" s="8"/>
      <c r="D101" s="58"/>
      <c r="E101" s="58"/>
      <c r="F101" s="58"/>
      <c r="K101" s="58"/>
      <c r="L101" s="58"/>
      <c r="M101" s="58"/>
      <c r="N101" s="58"/>
      <c r="O101" s="58"/>
    </row>
    <row r="102" spans="1:16" s="5" customFormat="1">
      <c r="B102" s="437"/>
      <c r="C102" s="438" t="str">
        <f>C108</f>
        <v>Best Case</v>
      </c>
      <c r="D102" s="438"/>
      <c r="E102" s="518">
        <f>E16</f>
        <v>0.05</v>
      </c>
      <c r="F102" s="58"/>
      <c r="K102" s="58"/>
      <c r="L102" s="58"/>
      <c r="M102" s="58"/>
      <c r="N102" s="58"/>
      <c r="O102" s="58"/>
    </row>
    <row r="103" spans="1:16" s="5" customFormat="1">
      <c r="B103" s="439"/>
      <c r="C103" s="14" t="str">
        <f>C109</f>
        <v>Worst Case</v>
      </c>
      <c r="D103" s="14"/>
      <c r="E103" s="519">
        <f>E17</f>
        <v>-0.05</v>
      </c>
      <c r="F103" s="58"/>
      <c r="K103" s="58"/>
      <c r="L103" s="58"/>
      <c r="M103" s="58"/>
      <c r="N103" s="58"/>
      <c r="O103" s="58"/>
    </row>
    <row r="104" spans="1:16" s="5" customFormat="1" ht="12.75" customHeight="1">
      <c r="D104" s="6"/>
      <c r="E104" s="6"/>
    </row>
    <row r="105" spans="1:16" s="5" customFormat="1" ht="16.149999999999999" customHeight="1">
      <c r="B105" s="35" t="s">
        <v>130</v>
      </c>
      <c r="D105" s="12"/>
      <c r="E105" s="12"/>
      <c r="K105" s="48">
        <f>CHOOSE($F$97,K107,K108,K109)</f>
        <v>1.4999999999999999E-2</v>
      </c>
      <c r="L105" s="49">
        <f>CHOOSE($F$97,L107,L108,L109)</f>
        <v>1.4999999999999999E-2</v>
      </c>
      <c r="M105" s="49">
        <f>CHOOSE($F$97,M107,M108,M109)</f>
        <v>1.4999999999999999E-2</v>
      </c>
      <c r="N105" s="49">
        <f>CHOOSE($F$97,N107,N108,N109)</f>
        <v>0.02</v>
      </c>
      <c r="O105" s="63">
        <f>CHOOSE($F$97,O107,O108,O109)</f>
        <v>0.02</v>
      </c>
    </row>
    <row r="106" spans="1:16" s="5" customFormat="1" ht="4.1500000000000004" customHeight="1">
      <c r="B106" s="27"/>
      <c r="D106" s="12"/>
      <c r="E106" s="12"/>
      <c r="K106" s="1"/>
      <c r="L106" s="3"/>
      <c r="M106" s="3"/>
      <c r="N106" s="3"/>
      <c r="O106" s="3"/>
    </row>
    <row r="107" spans="1:16" s="5" customFormat="1">
      <c r="B107" s="27"/>
      <c r="C107" s="5" t="str">
        <f>D15</f>
        <v>Base Case</v>
      </c>
      <c r="D107" s="12"/>
      <c r="E107" s="12"/>
      <c r="K107" s="50">
        <v>1.4999999999999999E-2</v>
      </c>
      <c r="L107" s="51">
        <v>1.4999999999999999E-2</v>
      </c>
      <c r="M107" s="51">
        <v>1.4999999999999999E-2</v>
      </c>
      <c r="N107" s="51">
        <v>0.02</v>
      </c>
      <c r="O107" s="64">
        <v>0.02</v>
      </c>
    </row>
    <row r="108" spans="1:16" s="5" customFormat="1">
      <c r="B108" s="27"/>
      <c r="C108" s="5" t="str">
        <f>D16</f>
        <v>Best Case</v>
      </c>
      <c r="D108" s="12"/>
      <c r="E108" s="12"/>
      <c r="K108" s="52">
        <v>1.2E-2</v>
      </c>
      <c r="L108" s="53">
        <v>1.2E-2</v>
      </c>
      <c r="M108" s="53">
        <v>1.2E-2</v>
      </c>
      <c r="N108" s="53">
        <v>1.4999999999999999E-2</v>
      </c>
      <c r="O108" s="65">
        <v>1.4999999999999999E-2</v>
      </c>
    </row>
    <row r="109" spans="1:16" s="5" customFormat="1">
      <c r="B109" s="27"/>
      <c r="C109" s="5" t="str">
        <f>D17</f>
        <v>Worst Case</v>
      </c>
      <c r="D109" s="12"/>
      <c r="E109" s="12"/>
      <c r="K109" s="54">
        <v>0.02</v>
      </c>
      <c r="L109" s="55">
        <v>0.02</v>
      </c>
      <c r="M109" s="55">
        <v>0.02</v>
      </c>
      <c r="N109" s="55">
        <v>2.5000000000000001E-2</v>
      </c>
      <c r="O109" s="66">
        <v>2.5000000000000001E-2</v>
      </c>
    </row>
    <row r="110" spans="1:16" s="5" customFormat="1">
      <c r="D110" s="6"/>
      <c r="E110" s="6"/>
    </row>
    <row r="111" spans="1:16" s="33" customFormat="1" ht="16.149999999999999" customHeight="1">
      <c r="B111" s="35" t="s">
        <v>98</v>
      </c>
      <c r="K111" s="506">
        <f>CHOOSE($F97,K113,K114,K115)</f>
        <v>0.98</v>
      </c>
      <c r="L111" s="507">
        <f>CHOOSE($F97,L113,L114,L115)</f>
        <v>0.98</v>
      </c>
      <c r="M111" s="507">
        <f>CHOOSE($F97,M113,M114,M115)</f>
        <v>0.96</v>
      </c>
      <c r="N111" s="507">
        <f>CHOOSE($F97,N113,N114,N115)</f>
        <v>0.96</v>
      </c>
      <c r="O111" s="508">
        <f>CHOOSE($F97,O113,O114,O115)</f>
        <v>0.95</v>
      </c>
      <c r="P111" s="509" t="s">
        <v>318</v>
      </c>
    </row>
    <row r="112" spans="1:16" s="5" customFormat="1" ht="4.1500000000000004" customHeight="1">
      <c r="B112" s="27"/>
      <c r="D112" s="12"/>
      <c r="E112" s="12"/>
      <c r="K112" s="26"/>
      <c r="L112" s="26"/>
      <c r="M112" s="26"/>
      <c r="N112" s="26"/>
      <c r="O112" s="26"/>
    </row>
    <row r="113" spans="1:15" s="5" customFormat="1">
      <c r="C113" s="18" t="str">
        <f>C107</f>
        <v>Base Case</v>
      </c>
      <c r="D113" s="17"/>
      <c r="E113" s="17"/>
      <c r="K113" s="28">
        <v>0.98</v>
      </c>
      <c r="L113" s="32">
        <v>0.98</v>
      </c>
      <c r="M113" s="32">
        <v>0.96</v>
      </c>
      <c r="N113" s="32">
        <v>0.96</v>
      </c>
      <c r="O113" s="67">
        <v>0.95</v>
      </c>
    </row>
    <row r="114" spans="1:15" s="5" customFormat="1">
      <c r="C114" s="18" t="str">
        <f>C108</f>
        <v>Best Case</v>
      </c>
      <c r="D114" s="17"/>
      <c r="E114" s="17"/>
      <c r="K114" s="29">
        <v>0.96</v>
      </c>
      <c r="L114" s="23">
        <v>0.95</v>
      </c>
      <c r="M114" s="23">
        <v>0.95</v>
      </c>
      <c r="N114" s="23">
        <v>0.94</v>
      </c>
      <c r="O114" s="68">
        <v>0.94</v>
      </c>
    </row>
    <row r="115" spans="1:15" s="5" customFormat="1">
      <c r="C115" s="18" t="str">
        <f>C109</f>
        <v>Worst Case</v>
      </c>
      <c r="D115" s="17"/>
      <c r="E115" s="17"/>
      <c r="K115" s="30">
        <v>0.99</v>
      </c>
      <c r="L115" s="31">
        <v>1</v>
      </c>
      <c r="M115" s="31">
        <v>1</v>
      </c>
      <c r="N115" s="31">
        <v>0.98</v>
      </c>
      <c r="O115" s="69">
        <v>0.97</v>
      </c>
    </row>
    <row r="116" spans="1:15" s="5" customFormat="1">
      <c r="D116" s="17"/>
      <c r="E116" s="17"/>
      <c r="K116" s="21"/>
      <c r="L116" s="21"/>
      <c r="M116" s="21"/>
      <c r="N116" s="21"/>
      <c r="O116" s="21"/>
    </row>
    <row r="117" spans="1:15" s="5" customFormat="1">
      <c r="B117" s="35" t="s">
        <v>191</v>
      </c>
      <c r="C117" s="18"/>
      <c r="D117" s="17"/>
      <c r="E117" s="17"/>
      <c r="K117" s="21"/>
      <c r="L117" s="21"/>
      <c r="M117" s="21"/>
      <c r="N117" s="21"/>
      <c r="O117" s="21"/>
    </row>
    <row r="118" spans="1:15" s="5" customFormat="1">
      <c r="C118" s="18" t="s">
        <v>350</v>
      </c>
      <c r="D118" s="17"/>
      <c r="E118" s="17"/>
      <c r="K118" s="59">
        <v>0.01</v>
      </c>
      <c r="L118" s="60">
        <v>0.01</v>
      </c>
      <c r="M118" s="60">
        <v>0.01</v>
      </c>
      <c r="N118" s="60">
        <v>1.4999999999999999E-2</v>
      </c>
      <c r="O118" s="61">
        <v>0.02</v>
      </c>
    </row>
    <row r="119" spans="1:15" s="5" customFormat="1">
      <c r="B119" s="14"/>
      <c r="C119" s="14"/>
      <c r="D119" s="15"/>
      <c r="E119" s="15"/>
      <c r="F119" s="14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s="5" customFormat="1">
      <c r="D120" s="6"/>
      <c r="E120" s="6"/>
    </row>
    <row r="121" spans="1:15" s="5" customFormat="1" ht="12.75" customHeight="1">
      <c r="B121" s="37" t="s">
        <v>147</v>
      </c>
      <c r="D121" s="6"/>
      <c r="E121" s="6"/>
    </row>
    <row r="122" spans="1:15" s="5" customFormat="1" ht="12.75" customHeight="1">
      <c r="D122" s="6"/>
      <c r="E122" s="6"/>
    </row>
    <row r="123" spans="1:15" s="33" customFormat="1" ht="16.149999999999999" customHeight="1">
      <c r="B123" s="35" t="s">
        <v>99</v>
      </c>
      <c r="D123" s="34"/>
      <c r="E123" s="34"/>
      <c r="K123" s="56">
        <f>CHOOSE($F97,K125,K126,K127)</f>
        <v>455</v>
      </c>
      <c r="L123" s="57">
        <f>CHOOSE($F97,L125,L126,L127)</f>
        <v>465</v>
      </c>
      <c r="M123" s="57">
        <f>CHOOSE($F97,M125,M126,M127)</f>
        <v>470</v>
      </c>
      <c r="N123" s="57">
        <f>CHOOSE($F97,N125,N126,N127)</f>
        <v>475</v>
      </c>
      <c r="O123" s="62">
        <f>CHOOSE($F97,O125,O126,O127)</f>
        <v>480</v>
      </c>
    </row>
    <row r="124" spans="1:15" s="5" customFormat="1" ht="4.1500000000000004" customHeight="1">
      <c r="B124" s="22"/>
      <c r="D124" s="12"/>
      <c r="E124" s="12"/>
      <c r="K124" s="25"/>
      <c r="L124" s="25"/>
      <c r="M124" s="25"/>
      <c r="N124" s="25"/>
      <c r="O124" s="25"/>
    </row>
    <row r="125" spans="1:15" s="5" customFormat="1">
      <c r="C125" s="18" t="str">
        <f>C113</f>
        <v>Base Case</v>
      </c>
      <c r="D125" s="17"/>
      <c r="E125" s="17"/>
      <c r="K125" s="440">
        <v>455</v>
      </c>
      <c r="L125" s="441">
        <v>465</v>
      </c>
      <c r="M125" s="441">
        <v>470</v>
      </c>
      <c r="N125" s="441">
        <v>475</v>
      </c>
      <c r="O125" s="442">
        <v>480</v>
      </c>
    </row>
    <row r="126" spans="1:15" s="5" customFormat="1">
      <c r="A126" s="24"/>
      <c r="C126" s="18" t="str">
        <f>CONCATENATE(,C108,": ",TEXT(E102,"+0.0%;-0.0%"))</f>
        <v>Best Case: +5.0%</v>
      </c>
      <c r="D126" s="443"/>
      <c r="E126" s="17"/>
      <c r="K126" s="444">
        <f>K$125+($E$102*K$125)</f>
        <v>477.75</v>
      </c>
      <c r="L126" s="445">
        <f>L$125+($E$102*L$125)</f>
        <v>488.25</v>
      </c>
      <c r="M126" s="445">
        <f>M$125+($E$102*M$125)</f>
        <v>493.5</v>
      </c>
      <c r="N126" s="445">
        <f>N$125+($E$102*N$125)</f>
        <v>498.75</v>
      </c>
      <c r="O126" s="446">
        <f>O$125+($E$102*O$125)</f>
        <v>504</v>
      </c>
    </row>
    <row r="127" spans="1:15" s="5" customFormat="1">
      <c r="A127" s="24"/>
      <c r="C127" s="18" t="str">
        <f>CONCATENATE(,C109,": ",TEXT(E103,"+0.0%;-0.0%"))</f>
        <v>Worst Case: -5.0%</v>
      </c>
      <c r="D127" s="17"/>
      <c r="E127" s="17"/>
      <c r="K127" s="447">
        <f>K$125+($E$103*K$125)</f>
        <v>432.25</v>
      </c>
      <c r="L127" s="448">
        <f>L$125+($E$103*L$125)</f>
        <v>441.75</v>
      </c>
      <c r="M127" s="448">
        <f>M$125+($E$103*M$125)</f>
        <v>446.5</v>
      </c>
      <c r="N127" s="448">
        <f>N$125+($E$103*N$125)</f>
        <v>451.25</v>
      </c>
      <c r="O127" s="449">
        <f>O$125+($E$103*O$125)</f>
        <v>456</v>
      </c>
    </row>
    <row r="128" spans="1:15" s="5" customFormat="1">
      <c r="C128" s="13"/>
      <c r="D128" s="17"/>
      <c r="E128" s="17"/>
      <c r="K128" s="2"/>
      <c r="L128" s="2"/>
      <c r="M128" s="2"/>
      <c r="N128" s="2"/>
      <c r="O128" s="16"/>
    </row>
    <row r="129" spans="1:16" s="5" customFormat="1" ht="16.149999999999999" customHeight="1">
      <c r="B129" s="35" t="s">
        <v>148</v>
      </c>
      <c r="D129" s="12"/>
      <c r="E129" s="12"/>
      <c r="K129" s="510">
        <f>CHOOSE($F$97,K131,K132,K133)</f>
        <v>0.02</v>
      </c>
      <c r="L129" s="511">
        <f t="shared" ref="L129:O129" si="1">CHOOSE($F$97,L131,L132,L133)</f>
        <v>0.02</v>
      </c>
      <c r="M129" s="511">
        <f t="shared" si="1"/>
        <v>2.5000000000000001E-2</v>
      </c>
      <c r="N129" s="511">
        <f t="shared" si="1"/>
        <v>2.5000000000000001E-2</v>
      </c>
      <c r="O129" s="512">
        <f t="shared" si="1"/>
        <v>2.5000000000000001E-2</v>
      </c>
      <c r="P129" s="509" t="s">
        <v>319</v>
      </c>
    </row>
    <row r="130" spans="1:16" s="5" customFormat="1" ht="4.1500000000000004" customHeight="1">
      <c r="B130" s="27"/>
      <c r="D130" s="12"/>
      <c r="E130" s="12"/>
      <c r="K130" s="1"/>
      <c r="L130" s="3"/>
      <c r="M130" s="3"/>
      <c r="N130" s="3"/>
      <c r="O130" s="3"/>
    </row>
    <row r="131" spans="1:16" s="5" customFormat="1">
      <c r="B131" s="27"/>
      <c r="C131" s="5" t="str">
        <f>C113</f>
        <v>Base Case</v>
      </c>
      <c r="D131" s="12"/>
      <c r="E131" s="12"/>
      <c r="K131" s="50">
        <v>0.02</v>
      </c>
      <c r="L131" s="51">
        <v>0.02</v>
      </c>
      <c r="M131" s="51">
        <v>2.5000000000000001E-2</v>
      </c>
      <c r="N131" s="51">
        <v>2.5000000000000001E-2</v>
      </c>
      <c r="O131" s="64">
        <v>2.5000000000000001E-2</v>
      </c>
    </row>
    <row r="132" spans="1:16" s="5" customFormat="1">
      <c r="B132" s="27"/>
      <c r="C132" s="5" t="str">
        <f>C114</f>
        <v>Best Case</v>
      </c>
      <c r="D132" s="12"/>
      <c r="E132" s="12"/>
      <c r="K132" s="52">
        <v>2.5000000000000001E-2</v>
      </c>
      <c r="L132" s="53">
        <v>2.5000000000000001E-2</v>
      </c>
      <c r="M132" s="53">
        <v>0.03</v>
      </c>
      <c r="N132" s="53">
        <v>0.03</v>
      </c>
      <c r="O132" s="65">
        <v>0.03</v>
      </c>
    </row>
    <row r="133" spans="1:16" s="5" customFormat="1">
      <c r="B133" s="27"/>
      <c r="C133" s="5" t="str">
        <f>C115</f>
        <v>Worst Case</v>
      </c>
      <c r="D133" s="12"/>
      <c r="E133" s="12"/>
      <c r="K133" s="54">
        <v>1.4999999999999999E-2</v>
      </c>
      <c r="L133" s="55">
        <v>1.4999999999999999E-2</v>
      </c>
      <c r="M133" s="55">
        <v>1.4999999999999999E-2</v>
      </c>
      <c r="N133" s="55">
        <v>1.4999999999999999E-2</v>
      </c>
      <c r="O133" s="66">
        <v>1.4999999999999999E-2</v>
      </c>
    </row>
    <row r="134" spans="1:16" s="5" customFormat="1" ht="6" customHeight="1">
      <c r="B134" s="19"/>
      <c r="C134" s="19"/>
      <c r="D134" s="20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9" spans="1:16" ht="12.75" customHeight="1">
      <c r="A139" s="142" t="s">
        <v>186</v>
      </c>
      <c r="B139" s="143"/>
      <c r="C139" s="72"/>
      <c r="D139" s="72"/>
      <c r="E139" s="72"/>
      <c r="F139" s="144"/>
      <c r="G139" s="72"/>
      <c r="H139" s="72"/>
      <c r="I139" s="72"/>
      <c r="J139" s="72"/>
      <c r="K139" s="72"/>
      <c r="L139" s="72"/>
      <c r="M139" s="72"/>
      <c r="N139" s="72"/>
      <c r="O139" s="145" t="str">
        <f>"CURRENTLY RUNNING: "&amp;UPPER(CHOOSE($F$97,C107,C108,C109))&amp;" SCENARIO"</f>
        <v>CURRENTLY RUNNING: BASE CASE SCENARIO</v>
      </c>
    </row>
    <row r="140" spans="1:16" ht="22.5">
      <c r="A140" s="146"/>
      <c r="B140" s="71" t="str">
        <f>B92</f>
        <v>Windsol Manufacturing</v>
      </c>
      <c r="C140" s="72"/>
      <c r="D140" s="72"/>
      <c r="E140" s="72"/>
      <c r="F140" s="144"/>
      <c r="G140" s="72"/>
      <c r="H140" s="72"/>
      <c r="I140" s="72"/>
      <c r="J140" s="72"/>
      <c r="K140" s="72"/>
      <c r="L140" s="72"/>
      <c r="M140" s="72"/>
      <c r="N140" s="72"/>
      <c r="O140" s="72"/>
    </row>
    <row r="141" spans="1:16" ht="19.5">
      <c r="A141" s="147"/>
      <c r="B141" s="75" t="s">
        <v>132</v>
      </c>
      <c r="C141" s="148"/>
      <c r="D141" s="148"/>
      <c r="E141" s="148"/>
      <c r="F141" s="149"/>
      <c r="G141" s="148"/>
      <c r="H141" s="148"/>
      <c r="I141" s="148"/>
      <c r="J141" s="148"/>
      <c r="K141" s="148"/>
      <c r="L141" s="148"/>
      <c r="M141" s="148"/>
      <c r="N141" s="148"/>
      <c r="O141" s="148"/>
    </row>
    <row r="142" spans="1:16" ht="6" customHeight="1" thickBot="1">
      <c r="A142" s="147"/>
      <c r="B142" s="125"/>
      <c r="C142" s="76"/>
      <c r="D142" s="76"/>
      <c r="E142" s="76"/>
      <c r="F142" s="150"/>
      <c r="G142" s="76"/>
      <c r="H142" s="76"/>
      <c r="I142" s="76"/>
      <c r="J142" s="76"/>
      <c r="K142" s="76"/>
      <c r="L142" s="76"/>
      <c r="M142" s="76"/>
      <c r="N142" s="76"/>
      <c r="O142" s="76"/>
    </row>
    <row r="143" spans="1:16" ht="12.75" customHeight="1">
      <c r="A143" s="75"/>
      <c r="B143" s="148"/>
      <c r="C143" s="148"/>
      <c r="D143" s="148"/>
      <c r="E143" s="148"/>
      <c r="F143" s="149"/>
      <c r="G143" s="148"/>
      <c r="H143" s="148"/>
      <c r="I143" s="148"/>
      <c r="J143" s="148"/>
      <c r="K143" s="148"/>
      <c r="L143" s="148"/>
      <c r="M143" s="148"/>
      <c r="N143" s="148"/>
      <c r="O143" s="148"/>
    </row>
    <row r="144" spans="1:16" ht="13.5">
      <c r="G144" s="151"/>
      <c r="K144" s="80" t="s">
        <v>6</v>
      </c>
      <c r="L144" s="81"/>
      <c r="M144" s="81"/>
      <c r="N144" s="81"/>
      <c r="O144" s="81"/>
    </row>
    <row r="145" spans="2:16">
      <c r="G145" s="152"/>
      <c r="H145" s="129">
        <f>I145-1</f>
        <v>2016</v>
      </c>
      <c r="I145" s="129">
        <f>J145-1</f>
        <v>2017</v>
      </c>
      <c r="J145" s="469">
        <f>K145-1</f>
        <v>2018</v>
      </c>
      <c r="K145" s="152">
        <f>K97</f>
        <v>2019</v>
      </c>
      <c r="L145" s="152">
        <f>K145+1</f>
        <v>2020</v>
      </c>
      <c r="M145" s="152">
        <f>L145+1</f>
        <v>2021</v>
      </c>
      <c r="N145" s="152">
        <f>M145+1</f>
        <v>2022</v>
      </c>
      <c r="O145" s="152">
        <f>N145+1</f>
        <v>2023</v>
      </c>
    </row>
    <row r="146" spans="2:16" ht="12.75" customHeight="1">
      <c r="H146" s="153"/>
      <c r="I146" s="153"/>
      <c r="J146" s="153"/>
    </row>
    <row r="147" spans="2:16">
      <c r="B147" s="154" t="s">
        <v>3</v>
      </c>
      <c r="C147" s="155"/>
      <c r="D147" s="155"/>
      <c r="E147" s="155"/>
      <c r="F147" s="156" t="s">
        <v>39</v>
      </c>
      <c r="G147" s="155"/>
      <c r="H147" s="157">
        <v>1.03</v>
      </c>
      <c r="I147" s="157">
        <v>0.99</v>
      </c>
      <c r="J147" s="157">
        <v>1</v>
      </c>
      <c r="K147" s="529">
        <f>K111</f>
        <v>0.98</v>
      </c>
      <c r="L147" s="529">
        <f t="shared" ref="L147:O147" si="2">L111</f>
        <v>0.98</v>
      </c>
      <c r="M147" s="529">
        <f t="shared" si="2"/>
        <v>0.96</v>
      </c>
      <c r="N147" s="529">
        <f t="shared" si="2"/>
        <v>0.96</v>
      </c>
      <c r="O147" s="530">
        <f t="shared" si="2"/>
        <v>0.95</v>
      </c>
      <c r="P147" s="509" t="s">
        <v>322</v>
      </c>
    </row>
    <row r="148" spans="2:16" ht="12.75" customHeight="1">
      <c r="F148" s="158"/>
      <c r="H148" s="153"/>
      <c r="I148" s="153"/>
      <c r="J148" s="153"/>
      <c r="K148" s="422"/>
    </row>
    <row r="149" spans="2:16">
      <c r="B149" s="87" t="s">
        <v>1</v>
      </c>
      <c r="F149" s="158"/>
      <c r="H149" s="153"/>
      <c r="I149" s="153"/>
      <c r="J149" s="153"/>
    </row>
    <row r="150" spans="2:16">
      <c r="C150" s="99" t="s">
        <v>79</v>
      </c>
      <c r="F150" s="159" t="s">
        <v>92</v>
      </c>
      <c r="H150" s="160">
        <v>427.5</v>
      </c>
      <c r="I150" s="160">
        <v>445</v>
      </c>
      <c r="J150" s="160">
        <v>451</v>
      </c>
      <c r="K150" s="163">
        <f>K123</f>
        <v>455</v>
      </c>
      <c r="L150" s="163">
        <f>L123</f>
        <v>465</v>
      </c>
      <c r="M150" s="163">
        <f>M123</f>
        <v>470</v>
      </c>
      <c r="N150" s="163">
        <f>N123</f>
        <v>475</v>
      </c>
      <c r="O150" s="163">
        <f>O123</f>
        <v>480</v>
      </c>
    </row>
    <row r="151" spans="2:16" ht="12.75" customHeight="1">
      <c r="C151" s="100"/>
      <c r="F151" s="159"/>
      <c r="H151" s="161"/>
      <c r="I151" s="161"/>
      <c r="J151" s="161"/>
      <c r="K151" s="162"/>
      <c r="L151" s="162"/>
      <c r="M151" s="162"/>
      <c r="N151" s="162"/>
      <c r="O151" s="162"/>
    </row>
    <row r="152" spans="2:16">
      <c r="C152" s="99" t="s">
        <v>79</v>
      </c>
      <c r="F152" s="159" t="s">
        <v>93</v>
      </c>
      <c r="H152" s="163">
        <f t="shared" ref="H152:O152" si="3">H150/H147</f>
        <v>415.04854368932035</v>
      </c>
      <c r="I152" s="163">
        <f t="shared" si="3"/>
        <v>449.49494949494948</v>
      </c>
      <c r="J152" s="163">
        <f t="shared" si="3"/>
        <v>451</v>
      </c>
      <c r="K152" s="163">
        <f t="shared" si="3"/>
        <v>464.28571428571428</v>
      </c>
      <c r="L152" s="163">
        <f t="shared" si="3"/>
        <v>474.48979591836735</v>
      </c>
      <c r="M152" s="163">
        <f t="shared" si="3"/>
        <v>489.58333333333337</v>
      </c>
      <c r="N152" s="163">
        <f t="shared" si="3"/>
        <v>494.79166666666669</v>
      </c>
      <c r="O152" s="163">
        <f t="shared" si="3"/>
        <v>505.26315789473688</v>
      </c>
    </row>
    <row r="153" spans="2:16">
      <c r="C153" s="74" t="s">
        <v>130</v>
      </c>
      <c r="F153" s="158" t="s">
        <v>149</v>
      </c>
      <c r="H153" s="164">
        <v>0.01</v>
      </c>
      <c r="I153" s="165">
        <f>I154/H154-1</f>
        <v>1.0869565217391353E-2</v>
      </c>
      <c r="J153" s="165">
        <f>J154/I154-1</f>
        <v>1.9354838709677358E-2</v>
      </c>
      <c r="K153" s="165">
        <f>K105</f>
        <v>1.4999999999999999E-2</v>
      </c>
      <c r="L153" s="165">
        <f>L105</f>
        <v>1.4999999999999999E-2</v>
      </c>
      <c r="M153" s="165">
        <f>M105</f>
        <v>1.4999999999999999E-2</v>
      </c>
      <c r="N153" s="165">
        <f>N105</f>
        <v>0.02</v>
      </c>
      <c r="O153" s="165">
        <f>O105</f>
        <v>0.02</v>
      </c>
    </row>
    <row r="154" spans="2:16">
      <c r="C154" s="100" t="s">
        <v>63</v>
      </c>
      <c r="F154" s="159" t="str">
        <f>F152</f>
        <v>(CDN$/unit)</v>
      </c>
      <c r="H154" s="166">
        <v>46</v>
      </c>
      <c r="I154" s="166">
        <v>46.5</v>
      </c>
      <c r="J154" s="166">
        <v>47.4</v>
      </c>
      <c r="K154" s="167">
        <f>J154*(1+K$153)</f>
        <v>48.110999999999997</v>
      </c>
      <c r="L154" s="167">
        <f>K154*(1+L$153)</f>
        <v>48.832664999999992</v>
      </c>
      <c r="M154" s="167">
        <f>L154*(1+M$153)</f>
        <v>49.565154974999984</v>
      </c>
      <c r="N154" s="167">
        <f>M154*(1+N$153)</f>
        <v>50.556458074499986</v>
      </c>
      <c r="O154" s="167">
        <f>N154*(1+O$153)</f>
        <v>51.56758723598999</v>
      </c>
    </row>
    <row r="155" spans="2:16">
      <c r="C155" s="137" t="s">
        <v>82</v>
      </c>
      <c r="F155" s="168" t="str">
        <f>F154</f>
        <v>(CDN$/unit)</v>
      </c>
      <c r="H155" s="169">
        <f t="shared" ref="H155:O155" si="4">H152-H154</f>
        <v>369.04854368932035</v>
      </c>
      <c r="I155" s="169">
        <f t="shared" si="4"/>
        <v>402.99494949494948</v>
      </c>
      <c r="J155" s="169">
        <f t="shared" si="4"/>
        <v>403.6</v>
      </c>
      <c r="K155" s="169">
        <f t="shared" si="4"/>
        <v>416.17471428571429</v>
      </c>
      <c r="L155" s="169">
        <f t="shared" si="4"/>
        <v>425.65713091836733</v>
      </c>
      <c r="M155" s="169">
        <f t="shared" si="4"/>
        <v>440.01817835833339</v>
      </c>
      <c r="N155" s="169">
        <f t="shared" si="4"/>
        <v>444.23520859216671</v>
      </c>
      <c r="O155" s="169">
        <f t="shared" si="4"/>
        <v>453.69557065874687</v>
      </c>
    </row>
    <row r="156" spans="2:16">
      <c r="B156" s="170"/>
      <c r="C156" s="171"/>
      <c r="D156" s="170"/>
      <c r="E156" s="170"/>
      <c r="F156" s="172"/>
      <c r="G156" s="170"/>
      <c r="H156" s="173"/>
      <c r="I156" s="173"/>
      <c r="J156" s="173"/>
      <c r="K156" s="174"/>
      <c r="L156" s="174"/>
      <c r="M156" s="174"/>
      <c r="N156" s="174"/>
      <c r="O156" s="174"/>
    </row>
    <row r="157" spans="2:16">
      <c r="C157" s="87"/>
      <c r="F157" s="168"/>
      <c r="H157" s="175"/>
      <c r="I157" s="175"/>
      <c r="J157" s="175"/>
      <c r="K157" s="176"/>
      <c r="L157" s="176"/>
      <c r="M157" s="176"/>
      <c r="N157" s="176"/>
      <c r="O157" s="176"/>
    </row>
    <row r="158" spans="2:16">
      <c r="B158" s="94" t="s">
        <v>13</v>
      </c>
      <c r="F158" s="159"/>
      <c r="H158" s="162"/>
      <c r="I158" s="162"/>
      <c r="J158" s="162"/>
      <c r="K158" s="177"/>
      <c r="L158" s="177"/>
      <c r="M158" s="177"/>
      <c r="N158" s="177"/>
      <c r="O158" s="162"/>
    </row>
    <row r="159" spans="2:16">
      <c r="C159" s="74" t="s">
        <v>50</v>
      </c>
      <c r="F159" s="158" t="s">
        <v>51</v>
      </c>
      <c r="H159" s="160">
        <v>350</v>
      </c>
      <c r="I159" s="160">
        <v>350</v>
      </c>
      <c r="J159" s="160">
        <v>350</v>
      </c>
      <c r="K159" s="163">
        <f>N34</f>
        <v>350</v>
      </c>
      <c r="L159" s="163">
        <f t="shared" ref="L159:O160" si="5">K159</f>
        <v>350</v>
      </c>
      <c r="M159" s="163">
        <f t="shared" si="5"/>
        <v>350</v>
      </c>
      <c r="N159" s="163">
        <f t="shared" si="5"/>
        <v>350</v>
      </c>
      <c r="O159" s="163">
        <f t="shared" si="5"/>
        <v>350</v>
      </c>
    </row>
    <row r="160" spans="2:16">
      <c r="C160" s="74" t="s">
        <v>94</v>
      </c>
      <c r="E160" s="70"/>
      <c r="F160" s="158" t="s">
        <v>95</v>
      </c>
      <c r="H160" s="166">
        <v>15000</v>
      </c>
      <c r="I160" s="166">
        <v>15000</v>
      </c>
      <c r="J160" s="166">
        <v>15000</v>
      </c>
      <c r="K160" s="167">
        <f>N35</f>
        <v>15000</v>
      </c>
      <c r="L160" s="167">
        <f t="shared" si="5"/>
        <v>15000</v>
      </c>
      <c r="M160" s="167">
        <f t="shared" si="5"/>
        <v>15000</v>
      </c>
      <c r="N160" s="167">
        <f t="shared" si="5"/>
        <v>15000</v>
      </c>
      <c r="O160" s="167">
        <f t="shared" si="5"/>
        <v>15000</v>
      </c>
    </row>
    <row r="161" spans="1:16">
      <c r="C161" s="94" t="s">
        <v>13</v>
      </c>
      <c r="F161" s="178" t="s">
        <v>96</v>
      </c>
      <c r="H161" s="169">
        <f t="shared" ref="H161:O161" si="6">H160*H159/1000</f>
        <v>5250</v>
      </c>
      <c r="I161" s="169">
        <f t="shared" si="6"/>
        <v>5250</v>
      </c>
      <c r="J161" s="169">
        <f t="shared" si="6"/>
        <v>5250</v>
      </c>
      <c r="K161" s="169">
        <f t="shared" si="6"/>
        <v>5250</v>
      </c>
      <c r="L161" s="169">
        <f t="shared" si="6"/>
        <v>5250</v>
      </c>
      <c r="M161" s="169">
        <f t="shared" si="6"/>
        <v>5250</v>
      </c>
      <c r="N161" s="169">
        <f t="shared" si="6"/>
        <v>5250</v>
      </c>
      <c r="O161" s="169">
        <f t="shared" si="6"/>
        <v>5250</v>
      </c>
    </row>
    <row r="162" spans="1:16" ht="12.75" customHeight="1">
      <c r="F162" s="158"/>
    </row>
    <row r="163" spans="1:16">
      <c r="B163" s="137" t="s">
        <v>150</v>
      </c>
      <c r="F163" s="158"/>
    </row>
    <row r="164" spans="1:16">
      <c r="C164" s="74" t="s">
        <v>50</v>
      </c>
      <c r="F164" s="158" t="s">
        <v>51</v>
      </c>
      <c r="H164" s="160">
        <v>345</v>
      </c>
      <c r="I164" s="160">
        <v>341</v>
      </c>
      <c r="J164" s="160">
        <v>348</v>
      </c>
      <c r="K164" s="163">
        <f>K159</f>
        <v>350</v>
      </c>
      <c r="L164" s="163">
        <f>K164</f>
        <v>350</v>
      </c>
      <c r="M164" s="163">
        <f>L164</f>
        <v>350</v>
      </c>
      <c r="N164" s="163">
        <f>M164</f>
        <v>350</v>
      </c>
      <c r="O164" s="163">
        <f>N164</f>
        <v>350</v>
      </c>
    </row>
    <row r="165" spans="1:16">
      <c r="C165" s="74" t="s">
        <v>148</v>
      </c>
      <c r="F165" s="158" t="s">
        <v>149</v>
      </c>
      <c r="H165" s="164">
        <v>1.2999999999999999E-2</v>
      </c>
      <c r="I165" s="165">
        <f>I166/H166-1</f>
        <v>1.0530612244898041E-2</v>
      </c>
      <c r="J165" s="165">
        <f>J166/I166-1</f>
        <v>2.1245657969141352E-2</v>
      </c>
      <c r="K165" s="531">
        <f>K129</f>
        <v>0.02</v>
      </c>
      <c r="L165" s="531">
        <f>L129</f>
        <v>0.02</v>
      </c>
      <c r="M165" s="531">
        <f>M129</f>
        <v>2.5000000000000001E-2</v>
      </c>
      <c r="N165" s="531">
        <f>N129</f>
        <v>2.5000000000000001E-2</v>
      </c>
      <c r="O165" s="531">
        <f>O129</f>
        <v>2.5000000000000001E-2</v>
      </c>
      <c r="P165" s="121" t="s">
        <v>321</v>
      </c>
    </row>
    <row r="166" spans="1:16">
      <c r="C166" s="74" t="s">
        <v>94</v>
      </c>
      <c r="F166" s="158" t="s">
        <v>95</v>
      </c>
      <c r="H166" s="166">
        <v>12250</v>
      </c>
      <c r="I166" s="166">
        <v>12379</v>
      </c>
      <c r="J166" s="166">
        <v>12642</v>
      </c>
      <c r="K166" s="167">
        <f>MIN(J166*(1+K165),K160)</f>
        <v>12894.84</v>
      </c>
      <c r="L166" s="167">
        <f>MIN(K166*(1+L165),L160)</f>
        <v>13152.736800000001</v>
      </c>
      <c r="M166" s="167">
        <f>MIN(L166*(1+M165),M160)</f>
        <v>13481.55522</v>
      </c>
      <c r="N166" s="167">
        <f>MIN(M166*(1+N165),N160)</f>
        <v>13818.594100499999</v>
      </c>
      <c r="O166" s="167">
        <f>MIN(N166*(1+O165),O160)</f>
        <v>14164.058953012498</v>
      </c>
    </row>
    <row r="167" spans="1:16">
      <c r="C167" s="94" t="s">
        <v>151</v>
      </c>
      <c r="F167" s="178" t="s">
        <v>96</v>
      </c>
      <c r="H167" s="169">
        <f t="shared" ref="H167:O167" si="7">H166*H164/1000</f>
        <v>4226.25</v>
      </c>
      <c r="I167" s="169">
        <f t="shared" si="7"/>
        <v>4221.2389999999996</v>
      </c>
      <c r="J167" s="169">
        <f t="shared" si="7"/>
        <v>4399.4160000000002</v>
      </c>
      <c r="K167" s="169">
        <f t="shared" si="7"/>
        <v>4513.1940000000004</v>
      </c>
      <c r="L167" s="169">
        <f t="shared" si="7"/>
        <v>4603.4578799999999</v>
      </c>
      <c r="M167" s="169">
        <f t="shared" si="7"/>
        <v>4718.5443270000005</v>
      </c>
      <c r="N167" s="169">
        <f t="shared" si="7"/>
        <v>4836.5079351750001</v>
      </c>
      <c r="O167" s="169">
        <f t="shared" si="7"/>
        <v>4957.420633554374</v>
      </c>
    </row>
    <row r="168" spans="1:16" ht="6" customHeight="1">
      <c r="C168" s="94"/>
      <c r="F168" s="178"/>
      <c r="H168" s="176"/>
      <c r="I168" s="176"/>
      <c r="J168" s="176"/>
      <c r="K168" s="176"/>
      <c r="L168" s="176"/>
      <c r="M168" s="176"/>
      <c r="N168" s="176"/>
      <c r="O168" s="176"/>
    </row>
    <row r="169" spans="1:16">
      <c r="C169" s="74" t="s">
        <v>64</v>
      </c>
      <c r="F169" s="178"/>
      <c r="H169" s="179">
        <f t="shared" ref="H169:O169" si="8">H167/H161</f>
        <v>0.80500000000000005</v>
      </c>
      <c r="I169" s="179">
        <f t="shared" si="8"/>
        <v>0.80404552380952377</v>
      </c>
      <c r="J169" s="179">
        <f t="shared" si="8"/>
        <v>0.83798400000000006</v>
      </c>
      <c r="K169" s="179">
        <f t="shared" si="8"/>
        <v>0.85965600000000009</v>
      </c>
      <c r="L169" s="179">
        <f t="shared" si="8"/>
        <v>0.87684912000000004</v>
      </c>
      <c r="M169" s="179">
        <f t="shared" si="8"/>
        <v>0.89877034800000011</v>
      </c>
      <c r="N169" s="179">
        <f t="shared" si="8"/>
        <v>0.92123960670000005</v>
      </c>
      <c r="O169" s="179">
        <f t="shared" si="8"/>
        <v>0.94427059686749981</v>
      </c>
    </row>
    <row r="170" spans="1:16" ht="12.75" customHeight="1">
      <c r="B170" s="170"/>
      <c r="C170" s="170"/>
      <c r="D170" s="170"/>
      <c r="E170" s="170"/>
      <c r="F170" s="180"/>
      <c r="G170" s="170"/>
      <c r="H170" s="170"/>
      <c r="I170" s="170"/>
      <c r="J170" s="170"/>
      <c r="K170" s="170"/>
      <c r="L170" s="170"/>
      <c r="M170" s="170"/>
      <c r="N170" s="170"/>
      <c r="O170" s="170"/>
    </row>
    <row r="171" spans="1:16" ht="12.75" customHeight="1">
      <c r="F171" s="158"/>
    </row>
    <row r="172" spans="1:16">
      <c r="B172" s="94" t="s">
        <v>52</v>
      </c>
      <c r="F172" s="158"/>
    </row>
    <row r="173" spans="1:16">
      <c r="A173" s="181"/>
      <c r="C173" s="99" t="s">
        <v>53</v>
      </c>
      <c r="F173" s="158" t="s">
        <v>143</v>
      </c>
      <c r="H173" s="163">
        <f t="shared" ref="H173:O173" si="9">H$167*H152/1000</f>
        <v>1754.0989077669901</v>
      </c>
      <c r="I173" s="163">
        <f t="shared" si="9"/>
        <v>1897.4256111111108</v>
      </c>
      <c r="J173" s="163">
        <f t="shared" si="9"/>
        <v>1984.1366160000002</v>
      </c>
      <c r="K173" s="163">
        <f t="shared" si="9"/>
        <v>2095.4115000000002</v>
      </c>
      <c r="L173" s="163">
        <f t="shared" si="9"/>
        <v>2184.2937900000002</v>
      </c>
      <c r="M173" s="163">
        <f t="shared" si="9"/>
        <v>2310.1206600937503</v>
      </c>
      <c r="N173" s="163">
        <f t="shared" si="9"/>
        <v>2393.0638220917967</v>
      </c>
      <c r="O173" s="163">
        <f t="shared" si="9"/>
        <v>2504.8020043222105</v>
      </c>
    </row>
    <row r="174" spans="1:16">
      <c r="C174" s="100" t="s">
        <v>63</v>
      </c>
      <c r="F174" s="158" t="s">
        <v>143</v>
      </c>
      <c r="H174" s="163">
        <f t="shared" ref="H174:O174" si="10">H$167*H154/1000</f>
        <v>194.4075</v>
      </c>
      <c r="I174" s="163">
        <f t="shared" si="10"/>
        <v>196.28761349999996</v>
      </c>
      <c r="J174" s="163">
        <f t="shared" si="10"/>
        <v>208.53231839999998</v>
      </c>
      <c r="K174" s="163">
        <f t="shared" si="10"/>
        <v>217.13427653400001</v>
      </c>
      <c r="L174" s="163">
        <f t="shared" si="10"/>
        <v>224.79911649565014</v>
      </c>
      <c r="M174" s="163">
        <f t="shared" si="10"/>
        <v>233.87538082416205</v>
      </c>
      <c r="N174" s="163">
        <f t="shared" si="10"/>
        <v>244.51671065166138</v>
      </c>
      <c r="O174" s="163">
        <f t="shared" si="10"/>
        <v>255.64222098631194</v>
      </c>
    </row>
    <row r="175" spans="1:16">
      <c r="C175" s="94" t="s">
        <v>7</v>
      </c>
      <c r="F175" s="178" t="s">
        <v>143</v>
      </c>
      <c r="H175" s="183">
        <f t="shared" ref="H175:O175" si="11">H173-H174</f>
        <v>1559.6914077669901</v>
      </c>
      <c r="I175" s="183">
        <f t="shared" si="11"/>
        <v>1701.1379976111109</v>
      </c>
      <c r="J175" s="183">
        <f t="shared" si="11"/>
        <v>1775.6042976000003</v>
      </c>
      <c r="K175" s="183">
        <f t="shared" si="11"/>
        <v>1878.2772234660001</v>
      </c>
      <c r="L175" s="183">
        <f t="shared" si="11"/>
        <v>1959.49467350435</v>
      </c>
      <c r="M175" s="183">
        <f t="shared" si="11"/>
        <v>2076.2452792695881</v>
      </c>
      <c r="N175" s="183">
        <f t="shared" si="11"/>
        <v>2148.5471114401353</v>
      </c>
      <c r="O175" s="183">
        <f t="shared" si="11"/>
        <v>2249.1597833358983</v>
      </c>
    </row>
    <row r="176" spans="1:16" ht="12.75" customHeight="1">
      <c r="B176" s="122"/>
      <c r="C176" s="122"/>
      <c r="D176" s="122"/>
      <c r="E176" s="122"/>
      <c r="F176" s="184"/>
      <c r="G176" s="122"/>
      <c r="H176" s="122"/>
      <c r="I176" s="122"/>
      <c r="J176" s="122"/>
      <c r="K176" s="122"/>
      <c r="L176" s="122"/>
      <c r="M176" s="122"/>
      <c r="N176" s="122"/>
      <c r="O176" s="122"/>
      <c r="P176" s="185"/>
    </row>
    <row r="177" spans="1:16" ht="12.75" customHeight="1">
      <c r="H177" s="422"/>
      <c r="P177" s="185"/>
    </row>
    <row r="178" spans="1:16">
      <c r="K178" s="186"/>
    </row>
    <row r="179" spans="1:16" ht="12.75" customHeight="1">
      <c r="A179" s="146"/>
      <c r="B179" s="71"/>
      <c r="C179" s="72"/>
      <c r="D179" s="72"/>
      <c r="E179" s="72"/>
      <c r="F179" s="144"/>
      <c r="G179" s="72"/>
      <c r="H179" s="72"/>
      <c r="I179" s="72"/>
      <c r="J179" s="72"/>
      <c r="K179" s="72"/>
      <c r="L179" s="72"/>
      <c r="M179" s="72"/>
      <c r="N179" s="72"/>
      <c r="O179" s="73" t="str">
        <f>$O$139</f>
        <v>CURRENTLY RUNNING: BASE CASE SCENARIO</v>
      </c>
    </row>
    <row r="180" spans="1:16" ht="22.5">
      <c r="A180" s="146"/>
      <c r="B180" s="71" t="str">
        <f>B$140</f>
        <v>Windsol Manufacturing</v>
      </c>
      <c r="C180" s="72"/>
      <c r="D180" s="72"/>
      <c r="E180" s="72"/>
      <c r="F180" s="144"/>
      <c r="G180" s="72"/>
      <c r="H180" s="72"/>
      <c r="I180" s="72"/>
      <c r="J180" s="72"/>
      <c r="K180" s="72"/>
      <c r="L180" s="72"/>
      <c r="M180" s="72"/>
      <c r="N180" s="72"/>
      <c r="O180" s="72"/>
    </row>
    <row r="181" spans="1:16" ht="19.5">
      <c r="A181" s="147"/>
      <c r="B181" s="75" t="s">
        <v>59</v>
      </c>
      <c r="C181" s="148"/>
      <c r="D181" s="148"/>
      <c r="E181" s="148"/>
      <c r="F181" s="149"/>
      <c r="G181" s="148"/>
      <c r="H181" s="148"/>
      <c r="I181" s="148"/>
      <c r="J181" s="148"/>
      <c r="K181" s="148"/>
      <c r="L181" s="148"/>
      <c r="M181" s="148"/>
      <c r="N181" s="148"/>
      <c r="O181" s="148"/>
    </row>
    <row r="182" spans="1:16" ht="6" customHeight="1" thickBot="1">
      <c r="A182" s="147"/>
      <c r="B182" s="125"/>
      <c r="C182" s="76"/>
      <c r="D182" s="76"/>
      <c r="E182" s="76"/>
      <c r="F182" s="150"/>
      <c r="G182" s="76"/>
      <c r="H182" s="76"/>
      <c r="I182" s="76"/>
      <c r="J182" s="76"/>
      <c r="K182" s="76"/>
      <c r="L182" s="76"/>
      <c r="M182" s="76"/>
      <c r="N182" s="76"/>
      <c r="O182" s="76"/>
    </row>
    <row r="183" spans="1:16" ht="6" customHeight="1">
      <c r="A183" s="75"/>
      <c r="B183" s="148"/>
      <c r="C183" s="148"/>
      <c r="D183" s="148"/>
      <c r="E183" s="148"/>
      <c r="F183" s="149"/>
      <c r="G183" s="148"/>
      <c r="H183" s="148"/>
      <c r="I183" s="148"/>
      <c r="J183" s="148"/>
      <c r="K183" s="148"/>
      <c r="L183" s="148"/>
      <c r="M183" s="148"/>
      <c r="N183" s="148"/>
      <c r="O183" s="148"/>
    </row>
    <row r="184" spans="1:16" ht="13.5">
      <c r="G184" s="151"/>
      <c r="K184" s="80" t="s">
        <v>6</v>
      </c>
      <c r="L184" s="81"/>
      <c r="M184" s="81"/>
      <c r="N184" s="81"/>
      <c r="O184" s="81"/>
    </row>
    <row r="185" spans="1:16">
      <c r="G185" s="152"/>
      <c r="H185" s="129">
        <f>H145</f>
        <v>2016</v>
      </c>
      <c r="I185" s="129">
        <f>I145</f>
        <v>2017</v>
      </c>
      <c r="J185" s="469">
        <f>J145</f>
        <v>2018</v>
      </c>
      <c r="K185" s="85">
        <f>K$145</f>
        <v>2019</v>
      </c>
      <c r="L185" s="85">
        <f>L$145</f>
        <v>2020</v>
      </c>
      <c r="M185" s="85">
        <f>M$145</f>
        <v>2021</v>
      </c>
      <c r="N185" s="85">
        <f>N$145</f>
        <v>2022</v>
      </c>
      <c r="O185" s="85">
        <f>O$145</f>
        <v>2023</v>
      </c>
    </row>
    <row r="186" spans="1:16" ht="13.15" customHeight="1">
      <c r="G186" s="152"/>
      <c r="H186" s="152"/>
      <c r="I186" s="152"/>
      <c r="J186" s="152"/>
      <c r="K186" s="152"/>
      <c r="L186" s="152"/>
      <c r="M186" s="152"/>
      <c r="N186" s="152"/>
      <c r="O186" s="152"/>
    </row>
    <row r="187" spans="1:16" ht="13.15" customHeight="1">
      <c r="B187" s="298" t="s">
        <v>151</v>
      </c>
      <c r="C187" s="299"/>
      <c r="D187" s="299"/>
      <c r="E187" s="299"/>
      <c r="F187" s="388" t="s">
        <v>96</v>
      </c>
      <c r="G187" s="389"/>
      <c r="H187" s="390">
        <f t="shared" ref="H187:O187" si="12">H167</f>
        <v>4226.25</v>
      </c>
      <c r="I187" s="390">
        <f t="shared" si="12"/>
        <v>4221.2389999999996</v>
      </c>
      <c r="J187" s="390">
        <f t="shared" si="12"/>
        <v>4399.4160000000002</v>
      </c>
      <c r="K187" s="390">
        <f t="shared" si="12"/>
        <v>4513.1940000000004</v>
      </c>
      <c r="L187" s="390">
        <f t="shared" si="12"/>
        <v>4603.4578799999999</v>
      </c>
      <c r="M187" s="390">
        <f t="shared" si="12"/>
        <v>4718.5443270000005</v>
      </c>
      <c r="N187" s="390">
        <f t="shared" si="12"/>
        <v>4836.5079351750001</v>
      </c>
      <c r="O187" s="391">
        <f t="shared" si="12"/>
        <v>4957.420633554374</v>
      </c>
    </row>
    <row r="188" spans="1:16">
      <c r="B188" s="301" t="s">
        <v>130</v>
      </c>
      <c r="C188" s="170"/>
      <c r="D188" s="170"/>
      <c r="E188" s="170"/>
      <c r="F188" s="180" t="s">
        <v>149</v>
      </c>
      <c r="G188" s="392"/>
      <c r="H188" s="393"/>
      <c r="I188" s="393"/>
      <c r="J188" s="393"/>
      <c r="K188" s="393"/>
      <c r="L188" s="393">
        <f>L153</f>
        <v>1.4999999999999999E-2</v>
      </c>
      <c r="M188" s="393">
        <f>M153</f>
        <v>1.4999999999999999E-2</v>
      </c>
      <c r="N188" s="393">
        <f>N153</f>
        <v>0.02</v>
      </c>
      <c r="O188" s="394">
        <f>O153</f>
        <v>0.02</v>
      </c>
    </row>
    <row r="189" spans="1:16" ht="13.15" customHeight="1">
      <c r="B189" s="188"/>
      <c r="G189" s="152"/>
      <c r="H189" s="152"/>
      <c r="I189" s="152"/>
      <c r="J189" s="152"/>
      <c r="K189" s="152"/>
      <c r="L189" s="152"/>
      <c r="M189" s="152"/>
      <c r="N189" s="152"/>
      <c r="O189" s="152"/>
    </row>
    <row r="190" spans="1:16" ht="12.75" customHeight="1">
      <c r="B190" s="189" t="s">
        <v>97</v>
      </c>
      <c r="G190" s="152"/>
      <c r="H190" s="152"/>
      <c r="I190" s="152"/>
      <c r="J190" s="152"/>
      <c r="K190" s="152"/>
      <c r="M190" s="152"/>
      <c r="N190" s="152"/>
      <c r="O190" s="152"/>
    </row>
    <row r="191" spans="1:16">
      <c r="A191" s="181"/>
      <c r="C191" s="94" t="s">
        <v>40</v>
      </c>
      <c r="H191" s="139"/>
      <c r="I191" s="139"/>
      <c r="J191" s="139"/>
    </row>
    <row r="192" spans="1:16">
      <c r="D192" s="100" t="s">
        <v>80</v>
      </c>
      <c r="F192" s="117" t="s">
        <v>274</v>
      </c>
      <c r="H192" s="138">
        <v>255.2</v>
      </c>
      <c r="I192" s="138">
        <v>260.10000000000002</v>
      </c>
      <c r="J192" s="138">
        <v>266.39999999999998</v>
      </c>
      <c r="K192" s="131">
        <f>E22</f>
        <v>270</v>
      </c>
      <c r="L192" s="131">
        <f t="shared" ref="L192:O193" si="13">K192*(1+L$188)</f>
        <v>274.04999999999995</v>
      </c>
      <c r="M192" s="131">
        <f t="shared" si="13"/>
        <v>278.16074999999995</v>
      </c>
      <c r="N192" s="131">
        <f t="shared" si="13"/>
        <v>283.72396499999996</v>
      </c>
      <c r="O192" s="131">
        <f t="shared" si="13"/>
        <v>289.39844429999999</v>
      </c>
    </row>
    <row r="193" spans="2:16">
      <c r="D193" s="100" t="s">
        <v>38</v>
      </c>
      <c r="F193" s="117" t="str">
        <f>F192</f>
        <v>($/unit)</v>
      </c>
      <c r="H193" s="190">
        <v>34.4</v>
      </c>
      <c r="I193" s="190">
        <v>37.1</v>
      </c>
      <c r="J193" s="190">
        <v>40.9</v>
      </c>
      <c r="K193" s="191">
        <f>E23</f>
        <v>42</v>
      </c>
      <c r="L193" s="191">
        <f t="shared" si="13"/>
        <v>42.629999999999995</v>
      </c>
      <c r="M193" s="191">
        <f t="shared" si="13"/>
        <v>43.269449999999992</v>
      </c>
      <c r="N193" s="191">
        <f t="shared" si="13"/>
        <v>44.134838999999992</v>
      </c>
      <c r="O193" s="191">
        <f t="shared" si="13"/>
        <v>45.017535779999996</v>
      </c>
    </row>
    <row r="194" spans="2:16">
      <c r="D194" s="94" t="s">
        <v>41</v>
      </c>
      <c r="F194" s="192" t="str">
        <f>F193</f>
        <v>($/unit)</v>
      </c>
      <c r="H194" s="193">
        <f t="shared" ref="H194:O194" si="14">H193+H192</f>
        <v>289.59999999999997</v>
      </c>
      <c r="I194" s="193">
        <f t="shared" si="14"/>
        <v>297.20000000000005</v>
      </c>
      <c r="J194" s="193">
        <f t="shared" si="14"/>
        <v>307.29999999999995</v>
      </c>
      <c r="K194" s="193">
        <f t="shared" si="14"/>
        <v>312</v>
      </c>
      <c r="L194" s="193">
        <f t="shared" si="14"/>
        <v>316.67999999999995</v>
      </c>
      <c r="M194" s="193">
        <f t="shared" si="14"/>
        <v>321.43019999999996</v>
      </c>
      <c r="N194" s="193">
        <f t="shared" si="14"/>
        <v>327.85880399999996</v>
      </c>
      <c r="O194" s="193">
        <f t="shared" si="14"/>
        <v>334.41598008</v>
      </c>
    </row>
    <row r="195" spans="2:16" ht="6" customHeight="1">
      <c r="D195" s="100"/>
      <c r="H195" s="130"/>
      <c r="I195" s="130"/>
      <c r="J195" s="130"/>
      <c r="K195" s="130"/>
      <c r="L195" s="130"/>
      <c r="M195" s="130"/>
      <c r="N195" s="130"/>
      <c r="O195" s="130"/>
    </row>
    <row r="196" spans="2:16" ht="12.75" customHeight="1">
      <c r="C196" s="137" t="s">
        <v>42</v>
      </c>
      <c r="D196" s="100"/>
      <c r="H196" s="194"/>
      <c r="I196" s="194"/>
      <c r="J196" s="194"/>
      <c r="K196" s="194"/>
      <c r="L196" s="195"/>
      <c r="M196" s="195"/>
      <c r="N196" s="195"/>
      <c r="O196" s="195"/>
    </row>
    <row r="197" spans="2:16" ht="12.75" customHeight="1">
      <c r="D197" s="100" t="s">
        <v>65</v>
      </c>
      <c r="F197" s="117" t="str">
        <f>F194</f>
        <v>($/unit)</v>
      </c>
      <c r="H197" s="131">
        <f t="shared" ref="H197:O202" si="15">H215*1000/H$187</f>
        <v>14.196983141082519</v>
      </c>
      <c r="I197" s="131">
        <f t="shared" si="15"/>
        <v>15.39832262518185</v>
      </c>
      <c r="J197" s="131">
        <f t="shared" si="15"/>
        <v>15.683899863072735</v>
      </c>
      <c r="K197" s="131">
        <f t="shared" si="15"/>
        <v>15.510080000992645</v>
      </c>
      <c r="L197" s="131">
        <f t="shared" si="15"/>
        <v>15.434050197066211</v>
      </c>
      <c r="M197" s="131">
        <f t="shared" si="15"/>
        <v>15.283474097582634</v>
      </c>
      <c r="N197" s="131">
        <f t="shared" si="15"/>
        <v>15.208920565399309</v>
      </c>
      <c r="O197" s="131">
        <f t="shared" si="15"/>
        <v>15.134730708982731</v>
      </c>
      <c r="P197" s="121"/>
    </row>
    <row r="198" spans="2:16">
      <c r="D198" s="100" t="s">
        <v>66</v>
      </c>
      <c r="F198" s="117" t="str">
        <f t="shared" ref="F198:F203" si="16">F197</f>
        <v>($/unit)</v>
      </c>
      <c r="H198" s="131">
        <f t="shared" si="15"/>
        <v>4.9689440993788816</v>
      </c>
      <c r="I198" s="131">
        <f t="shared" si="15"/>
        <v>4.9748426942895208</v>
      </c>
      <c r="J198" s="131">
        <f t="shared" si="15"/>
        <v>5.000663724457973</v>
      </c>
      <c r="K198" s="131">
        <f t="shared" si="15"/>
        <v>5.0961691431832969</v>
      </c>
      <c r="L198" s="131">
        <f t="shared" si="15"/>
        <v>5.0711879218931832</v>
      </c>
      <c r="M198" s="131">
        <f t="shared" si="15"/>
        <v>5.0217129177771511</v>
      </c>
      <c r="N198" s="131">
        <f t="shared" si="15"/>
        <v>4.9972167572026285</v>
      </c>
      <c r="O198" s="131">
        <f t="shared" si="15"/>
        <v>4.9728400900943237</v>
      </c>
    </row>
    <row r="199" spans="2:16">
      <c r="D199" s="99" t="s">
        <v>67</v>
      </c>
      <c r="F199" s="117" t="str">
        <f t="shared" si="16"/>
        <v>($/unit)</v>
      </c>
      <c r="H199" s="131">
        <f t="shared" si="15"/>
        <v>13.723750369713102</v>
      </c>
      <c r="I199" s="131">
        <f t="shared" si="15"/>
        <v>14.21383626939863</v>
      </c>
      <c r="J199" s="131">
        <f t="shared" si="15"/>
        <v>14.320082483675105</v>
      </c>
      <c r="K199" s="131">
        <f t="shared" si="15"/>
        <v>14.402217143778884</v>
      </c>
      <c r="L199" s="131">
        <f t="shared" si="15"/>
        <v>14.331618040132909</v>
      </c>
      <c r="M199" s="131">
        <f t="shared" si="15"/>
        <v>14.191797376326731</v>
      </c>
      <c r="N199" s="131">
        <f t="shared" si="15"/>
        <v>14.122569096442211</v>
      </c>
      <c r="O199" s="131">
        <f t="shared" si="15"/>
        <v>14.053678515483957</v>
      </c>
    </row>
    <row r="200" spans="2:16">
      <c r="D200" s="100" t="s">
        <v>68</v>
      </c>
      <c r="F200" s="117" t="str">
        <f t="shared" si="16"/>
        <v>($/unit)</v>
      </c>
      <c r="H200" s="131">
        <f t="shared" si="15"/>
        <v>3.3126293995859215</v>
      </c>
      <c r="I200" s="131">
        <f t="shared" si="15"/>
        <v>3.5534590673496576</v>
      </c>
      <c r="J200" s="131">
        <f t="shared" si="15"/>
        <v>3.4095434484940728</v>
      </c>
      <c r="K200" s="131">
        <f t="shared" si="15"/>
        <v>3.323588571641281</v>
      </c>
      <c r="L200" s="131">
        <f t="shared" si="15"/>
        <v>3.3072964707999017</v>
      </c>
      <c r="M200" s="131">
        <f t="shared" si="15"/>
        <v>3.2750301637677071</v>
      </c>
      <c r="N200" s="131">
        <f t="shared" si="15"/>
        <v>3.2590544068712792</v>
      </c>
      <c r="O200" s="131">
        <f t="shared" si="15"/>
        <v>3.2431565804962981</v>
      </c>
    </row>
    <row r="201" spans="2:16">
      <c r="D201" s="74" t="s">
        <v>176</v>
      </c>
      <c r="F201" s="117" t="str">
        <f t="shared" si="16"/>
        <v>($/unit)</v>
      </c>
      <c r="H201" s="131">
        <f t="shared" si="15"/>
        <v>1.419698314108252</v>
      </c>
      <c r="I201" s="131">
        <f t="shared" si="15"/>
        <v>1.421383626939863</v>
      </c>
      <c r="J201" s="131">
        <f t="shared" si="15"/>
        <v>1.3638173793976291</v>
      </c>
      <c r="K201" s="131">
        <f t="shared" si="15"/>
        <v>1.5510080000992643</v>
      </c>
      <c r="L201" s="131">
        <f t="shared" si="15"/>
        <v>1.5434050197066209</v>
      </c>
      <c r="M201" s="131">
        <f t="shared" si="15"/>
        <v>1.5283474097582634</v>
      </c>
      <c r="N201" s="131">
        <f t="shared" si="15"/>
        <v>1.5208920565399304</v>
      </c>
      <c r="O201" s="131">
        <f t="shared" si="15"/>
        <v>1.5134730708982727</v>
      </c>
    </row>
    <row r="202" spans="2:16" ht="12.75" customHeight="1">
      <c r="D202" s="74" t="s">
        <v>15</v>
      </c>
      <c r="F202" s="117" t="str">
        <f t="shared" si="16"/>
        <v>($/unit)</v>
      </c>
      <c r="H202" s="191">
        <f t="shared" si="15"/>
        <v>0.47323277136941733</v>
      </c>
      <c r="I202" s="191">
        <f t="shared" si="15"/>
        <v>0.47379454231328766</v>
      </c>
      <c r="J202" s="191">
        <f t="shared" si="15"/>
        <v>0.68190868969881457</v>
      </c>
      <c r="K202" s="191">
        <f t="shared" si="15"/>
        <v>1.1078628572137603</v>
      </c>
      <c r="L202" s="191">
        <f t="shared" si="15"/>
        <v>1.1024321569333007</v>
      </c>
      <c r="M202" s="191">
        <f t="shared" si="15"/>
        <v>1.0916767212559022</v>
      </c>
      <c r="N202" s="191">
        <f t="shared" si="15"/>
        <v>1.086351468957093</v>
      </c>
      <c r="O202" s="191">
        <f t="shared" si="15"/>
        <v>1.081052193498766</v>
      </c>
    </row>
    <row r="203" spans="2:16">
      <c r="D203" s="87" t="s">
        <v>62</v>
      </c>
      <c r="F203" s="192" t="str">
        <f t="shared" si="16"/>
        <v>($/unit)</v>
      </c>
      <c r="H203" s="193">
        <f t="shared" ref="H203:O203" si="17">SUM(H197:H202)</f>
        <v>38.095238095238095</v>
      </c>
      <c r="I203" s="193">
        <f t="shared" si="17"/>
        <v>40.035638825472802</v>
      </c>
      <c r="J203" s="193">
        <f t="shared" si="17"/>
        <v>40.459915588796328</v>
      </c>
      <c r="K203" s="193">
        <f t="shared" si="17"/>
        <v>40.990925716909132</v>
      </c>
      <c r="L203" s="193">
        <f t="shared" si="17"/>
        <v>40.789989806532134</v>
      </c>
      <c r="M203" s="193">
        <f t="shared" si="17"/>
        <v>40.392038686468389</v>
      </c>
      <c r="N203" s="193">
        <f t="shared" si="17"/>
        <v>40.195004351412443</v>
      </c>
      <c r="O203" s="193">
        <f t="shared" si="17"/>
        <v>39.998931159454344</v>
      </c>
    </row>
    <row r="204" spans="2:16" ht="6" customHeight="1">
      <c r="C204" s="94"/>
      <c r="F204" s="192"/>
      <c r="H204" s="133"/>
      <c r="I204" s="133"/>
      <c r="J204" s="133"/>
      <c r="K204" s="133"/>
      <c r="L204" s="133"/>
      <c r="M204" s="133"/>
      <c r="N204" s="133"/>
      <c r="O204" s="133"/>
    </row>
    <row r="205" spans="2:16" ht="13.5" thickBot="1">
      <c r="C205" s="87" t="s">
        <v>54</v>
      </c>
      <c r="F205" s="192" t="str">
        <f>F203</f>
        <v>($/unit)</v>
      </c>
      <c r="H205" s="135">
        <f t="shared" ref="H205:O205" si="18">H203+H194</f>
        <v>327.69523809523804</v>
      </c>
      <c r="I205" s="135">
        <f t="shared" si="18"/>
        <v>337.23563882547285</v>
      </c>
      <c r="J205" s="135">
        <f t="shared" si="18"/>
        <v>347.75991558879628</v>
      </c>
      <c r="K205" s="135">
        <f t="shared" si="18"/>
        <v>352.99092571690915</v>
      </c>
      <c r="L205" s="135">
        <f t="shared" si="18"/>
        <v>357.46998980653211</v>
      </c>
      <c r="M205" s="135">
        <f t="shared" si="18"/>
        <v>361.82223868646832</v>
      </c>
      <c r="N205" s="135">
        <f t="shared" si="18"/>
        <v>368.05380835141239</v>
      </c>
      <c r="O205" s="135">
        <f t="shared" si="18"/>
        <v>374.41491123945434</v>
      </c>
    </row>
    <row r="206" spans="2:16" ht="13.15" customHeight="1" thickTop="1">
      <c r="B206" s="171"/>
      <c r="C206" s="196"/>
      <c r="D206" s="170"/>
      <c r="E206" s="170"/>
      <c r="F206" s="197"/>
      <c r="G206" s="170"/>
      <c r="H206" s="198"/>
      <c r="I206" s="198"/>
      <c r="J206" s="198"/>
      <c r="K206" s="198"/>
      <c r="L206" s="198"/>
      <c r="M206" s="198"/>
      <c r="N206" s="198"/>
      <c r="O206" s="198"/>
    </row>
    <row r="207" spans="2:16" ht="13.15" customHeight="1">
      <c r="B207" s="87"/>
      <c r="C207" s="94"/>
      <c r="F207" s="192"/>
      <c r="H207" s="133"/>
      <c r="I207" s="133"/>
      <c r="J207" s="133"/>
      <c r="K207" s="133"/>
      <c r="L207" s="133"/>
      <c r="M207" s="133"/>
      <c r="N207" s="133"/>
      <c r="O207" s="133"/>
    </row>
    <row r="208" spans="2:16" ht="13.5">
      <c r="B208" s="189" t="s">
        <v>275</v>
      </c>
      <c r="C208" s="94"/>
      <c r="F208" s="192"/>
      <c r="H208" s="133"/>
      <c r="I208" s="133"/>
      <c r="J208" s="133"/>
      <c r="K208" s="133"/>
      <c r="L208" s="133"/>
      <c r="M208" s="133"/>
      <c r="N208" s="133"/>
      <c r="O208" s="133"/>
    </row>
    <row r="209" spans="1:16">
      <c r="C209" s="94" t="s">
        <v>40</v>
      </c>
      <c r="F209" s="192"/>
      <c r="H209" s="133"/>
      <c r="I209" s="133"/>
      <c r="J209" s="133"/>
      <c r="K209" s="133"/>
      <c r="L209" s="133"/>
      <c r="M209" s="133"/>
      <c r="N209" s="133"/>
      <c r="O209" s="133"/>
    </row>
    <row r="210" spans="1:16">
      <c r="D210" s="100" t="s">
        <v>80</v>
      </c>
      <c r="F210" s="117" t="s">
        <v>270</v>
      </c>
      <c r="H210" s="131">
        <f t="shared" ref="H210:O211" si="19">H192*H$187/1000</f>
        <v>1078.539</v>
      </c>
      <c r="I210" s="131">
        <f t="shared" si="19"/>
        <v>1097.9442638999999</v>
      </c>
      <c r="J210" s="131">
        <f t="shared" si="19"/>
        <v>1172.0044224000001</v>
      </c>
      <c r="K210" s="131">
        <f t="shared" si="19"/>
        <v>1218.5623800000001</v>
      </c>
      <c r="L210" s="131">
        <f t="shared" si="19"/>
        <v>1261.5776320139998</v>
      </c>
      <c r="M210" s="131">
        <f t="shared" si="19"/>
        <v>1312.5138289065651</v>
      </c>
      <c r="N210" s="131">
        <f t="shared" si="19"/>
        <v>1372.2332081218137</v>
      </c>
      <c r="O210" s="131">
        <f t="shared" si="19"/>
        <v>1434.6698190913562</v>
      </c>
    </row>
    <row r="211" spans="1:16">
      <c r="D211" s="100" t="s">
        <v>38</v>
      </c>
      <c r="F211" s="117" t="s">
        <v>270</v>
      </c>
      <c r="H211" s="191">
        <f t="shared" si="19"/>
        <v>145.38300000000001</v>
      </c>
      <c r="I211" s="191">
        <f t="shared" si="19"/>
        <v>156.60796690000001</v>
      </c>
      <c r="J211" s="191">
        <f t="shared" si="19"/>
        <v>179.93611439999998</v>
      </c>
      <c r="K211" s="191">
        <f t="shared" si="19"/>
        <v>189.55414800000003</v>
      </c>
      <c r="L211" s="191">
        <f t="shared" si="19"/>
        <v>196.24540942439998</v>
      </c>
      <c r="M211" s="191">
        <f t="shared" si="19"/>
        <v>204.16881782991015</v>
      </c>
      <c r="N211" s="191">
        <f t="shared" si="19"/>
        <v>213.45849904117102</v>
      </c>
      <c r="O211" s="191">
        <f t="shared" si="19"/>
        <v>223.17086074754428</v>
      </c>
    </row>
    <row r="212" spans="1:16" ht="12.75" customHeight="1">
      <c r="D212" s="94" t="s">
        <v>41</v>
      </c>
      <c r="F212" s="192" t="s">
        <v>270</v>
      </c>
      <c r="H212" s="193">
        <f t="shared" ref="H212:O212" si="20">H211+H210</f>
        <v>1223.922</v>
      </c>
      <c r="I212" s="193">
        <f t="shared" si="20"/>
        <v>1254.5522308</v>
      </c>
      <c r="J212" s="193">
        <f t="shared" si="20"/>
        <v>1351.9405368</v>
      </c>
      <c r="K212" s="193">
        <f t="shared" si="20"/>
        <v>1408.116528</v>
      </c>
      <c r="L212" s="193">
        <f t="shared" si="20"/>
        <v>1457.8230414383997</v>
      </c>
      <c r="M212" s="193">
        <f t="shared" si="20"/>
        <v>1516.6826467364754</v>
      </c>
      <c r="N212" s="193">
        <f t="shared" si="20"/>
        <v>1585.6917071629848</v>
      </c>
      <c r="O212" s="193">
        <f t="shared" si="20"/>
        <v>1657.8406798389005</v>
      </c>
    </row>
    <row r="213" spans="1:16" ht="6" customHeight="1">
      <c r="D213" s="100"/>
      <c r="F213" s="192"/>
      <c r="H213" s="133"/>
      <c r="I213" s="133"/>
      <c r="J213" s="133"/>
      <c r="K213" s="133"/>
      <c r="L213" s="133"/>
      <c r="M213" s="133"/>
      <c r="N213" s="133"/>
      <c r="O213" s="133"/>
    </row>
    <row r="214" spans="1:16" ht="12.75" customHeight="1">
      <c r="C214" s="137" t="s">
        <v>42</v>
      </c>
      <c r="D214" s="100"/>
      <c r="F214" s="192"/>
      <c r="H214" s="133"/>
      <c r="I214" s="133"/>
      <c r="J214" s="133"/>
      <c r="K214" s="133"/>
      <c r="L214" s="133"/>
      <c r="M214" s="133"/>
      <c r="N214" s="133"/>
      <c r="O214" s="133"/>
    </row>
    <row r="215" spans="1:16" ht="12.75" customHeight="1">
      <c r="A215" s="199"/>
      <c r="D215" s="100" t="s">
        <v>65</v>
      </c>
      <c r="F215" s="117" t="s">
        <v>270</v>
      </c>
      <c r="H215" s="138">
        <v>60</v>
      </c>
      <c r="I215" s="138">
        <v>65</v>
      </c>
      <c r="J215" s="138">
        <v>69</v>
      </c>
      <c r="K215" s="131">
        <f t="shared" ref="K215:K220" si="21">E24</f>
        <v>70</v>
      </c>
      <c r="L215" s="131">
        <f t="shared" ref="L215:O220" si="22">K215*(1+L$188)</f>
        <v>71.05</v>
      </c>
      <c r="M215" s="498">
        <f t="shared" si="22"/>
        <v>72.115749999999991</v>
      </c>
      <c r="N215" s="498">
        <f t="shared" si="22"/>
        <v>73.558064999999999</v>
      </c>
      <c r="O215" s="498">
        <f t="shared" si="22"/>
        <v>75.029226300000005</v>
      </c>
      <c r="P215" s="121" t="s">
        <v>310</v>
      </c>
    </row>
    <row r="216" spans="1:16" ht="12.75" customHeight="1">
      <c r="D216" s="100" t="s">
        <v>66</v>
      </c>
      <c r="F216" s="117" t="s">
        <v>270</v>
      </c>
      <c r="H216" s="138">
        <v>21</v>
      </c>
      <c r="I216" s="138">
        <v>21</v>
      </c>
      <c r="J216" s="138">
        <v>22</v>
      </c>
      <c r="K216" s="131">
        <f t="shared" si="21"/>
        <v>23</v>
      </c>
      <c r="L216" s="131">
        <f t="shared" si="22"/>
        <v>23.344999999999999</v>
      </c>
      <c r="M216" s="131">
        <f t="shared" si="22"/>
        <v>23.695174999999995</v>
      </c>
      <c r="N216" s="131">
        <f t="shared" si="22"/>
        <v>24.169078499999994</v>
      </c>
      <c r="O216" s="131">
        <f t="shared" si="22"/>
        <v>24.652460069999993</v>
      </c>
    </row>
    <row r="217" spans="1:16" ht="12.75" customHeight="1">
      <c r="D217" s="99" t="s">
        <v>67</v>
      </c>
      <c r="F217" s="117" t="s">
        <v>270</v>
      </c>
      <c r="H217" s="138">
        <v>58</v>
      </c>
      <c r="I217" s="138">
        <v>60</v>
      </c>
      <c r="J217" s="138">
        <v>63</v>
      </c>
      <c r="K217" s="131">
        <f t="shared" si="21"/>
        <v>65</v>
      </c>
      <c r="L217" s="131">
        <f t="shared" si="22"/>
        <v>65.974999999999994</v>
      </c>
      <c r="M217" s="131">
        <f t="shared" si="22"/>
        <v>66.964624999999984</v>
      </c>
      <c r="N217" s="131">
        <f t="shared" si="22"/>
        <v>68.303917499999983</v>
      </c>
      <c r="O217" s="131">
        <f t="shared" si="22"/>
        <v>69.669995849999978</v>
      </c>
    </row>
    <row r="218" spans="1:16" ht="12.75" customHeight="1">
      <c r="D218" s="100" t="s">
        <v>68</v>
      </c>
      <c r="F218" s="117" t="s">
        <v>270</v>
      </c>
      <c r="H218" s="138">
        <v>14</v>
      </c>
      <c r="I218" s="138">
        <v>15</v>
      </c>
      <c r="J218" s="138">
        <v>15</v>
      </c>
      <c r="K218" s="498">
        <f t="shared" si="21"/>
        <v>15</v>
      </c>
      <c r="L218" s="131">
        <f t="shared" si="22"/>
        <v>15.224999999999998</v>
      </c>
      <c r="M218" s="131">
        <f t="shared" si="22"/>
        <v>15.453374999999996</v>
      </c>
      <c r="N218" s="131">
        <f t="shared" si="22"/>
        <v>15.762442499999995</v>
      </c>
      <c r="O218" s="131">
        <f t="shared" si="22"/>
        <v>16.077691349999995</v>
      </c>
      <c r="P218" s="121" t="s">
        <v>309</v>
      </c>
    </row>
    <row r="219" spans="1:16">
      <c r="D219" s="74" t="s">
        <v>176</v>
      </c>
      <c r="F219" s="117" t="s">
        <v>270</v>
      </c>
      <c r="H219" s="138">
        <v>6</v>
      </c>
      <c r="I219" s="138">
        <v>6</v>
      </c>
      <c r="J219" s="138">
        <v>6</v>
      </c>
      <c r="K219" s="131">
        <f t="shared" si="21"/>
        <v>7</v>
      </c>
      <c r="L219" s="131">
        <f t="shared" si="22"/>
        <v>7.1049999999999995</v>
      </c>
      <c r="M219" s="131">
        <f t="shared" si="22"/>
        <v>7.211574999999999</v>
      </c>
      <c r="N219" s="131">
        <f t="shared" si="22"/>
        <v>7.355806499999999</v>
      </c>
      <c r="O219" s="131">
        <f t="shared" si="22"/>
        <v>7.5029226299999987</v>
      </c>
    </row>
    <row r="220" spans="1:16">
      <c r="D220" s="74" t="s">
        <v>15</v>
      </c>
      <c r="F220" s="117" t="s">
        <v>270</v>
      </c>
      <c r="H220" s="190">
        <v>2</v>
      </c>
      <c r="I220" s="190">
        <v>2</v>
      </c>
      <c r="J220" s="190">
        <v>3</v>
      </c>
      <c r="K220" s="191">
        <f t="shared" si="21"/>
        <v>5</v>
      </c>
      <c r="L220" s="191">
        <f t="shared" si="22"/>
        <v>5.0749999999999993</v>
      </c>
      <c r="M220" s="191">
        <f t="shared" si="22"/>
        <v>5.1511249999999986</v>
      </c>
      <c r="N220" s="191">
        <f t="shared" si="22"/>
        <v>5.2541474999999984</v>
      </c>
      <c r="O220" s="191">
        <f t="shared" si="22"/>
        <v>5.3592304499999983</v>
      </c>
    </row>
    <row r="221" spans="1:16">
      <c r="D221" s="87" t="s">
        <v>62</v>
      </c>
      <c r="F221" s="192" t="s">
        <v>270</v>
      </c>
      <c r="H221" s="193">
        <f t="shared" ref="H221:O221" si="23">SUM(H215:H220)</f>
        <v>161</v>
      </c>
      <c r="I221" s="193">
        <f t="shared" si="23"/>
        <v>169</v>
      </c>
      <c r="J221" s="193">
        <f t="shared" si="23"/>
        <v>178</v>
      </c>
      <c r="K221" s="193">
        <f t="shared" si="23"/>
        <v>185</v>
      </c>
      <c r="L221" s="193">
        <f t="shared" si="23"/>
        <v>187.77499999999998</v>
      </c>
      <c r="M221" s="193">
        <f t="shared" si="23"/>
        <v>190.59162499999996</v>
      </c>
      <c r="N221" s="193">
        <f t="shared" si="23"/>
        <v>194.40345749999994</v>
      </c>
      <c r="O221" s="193">
        <f t="shared" si="23"/>
        <v>198.29152664999998</v>
      </c>
    </row>
    <row r="222" spans="1:16" ht="6" customHeight="1">
      <c r="C222" s="94"/>
      <c r="H222" s="130"/>
      <c r="I222" s="130"/>
      <c r="J222" s="130"/>
      <c r="K222" s="130"/>
      <c r="L222" s="130"/>
      <c r="M222" s="130"/>
      <c r="N222" s="130"/>
      <c r="O222" s="130"/>
    </row>
    <row r="223" spans="1:16" ht="13.5" thickBot="1">
      <c r="C223" s="87" t="s">
        <v>54</v>
      </c>
      <c r="F223" s="192" t="s">
        <v>270</v>
      </c>
      <c r="H223" s="135">
        <f t="shared" ref="H223:O223" si="24">H221+H212</f>
        <v>1384.922</v>
      </c>
      <c r="I223" s="135">
        <f t="shared" si="24"/>
        <v>1423.5522308</v>
      </c>
      <c r="J223" s="135">
        <f t="shared" si="24"/>
        <v>1529.9405368</v>
      </c>
      <c r="K223" s="135">
        <f t="shared" si="24"/>
        <v>1593.116528</v>
      </c>
      <c r="L223" s="135">
        <f t="shared" si="24"/>
        <v>1645.5980414383998</v>
      </c>
      <c r="M223" s="135">
        <f t="shared" si="24"/>
        <v>1707.2742717364754</v>
      </c>
      <c r="N223" s="135">
        <f t="shared" si="24"/>
        <v>1780.0951646629846</v>
      </c>
      <c r="O223" s="135">
        <f t="shared" si="24"/>
        <v>1856.1322064889005</v>
      </c>
    </row>
    <row r="224" spans="1:16" ht="12.75" customHeight="1" thickTop="1">
      <c r="B224" s="200"/>
      <c r="C224" s="201"/>
      <c r="D224" s="122"/>
      <c r="E224" s="122"/>
      <c r="F224" s="202"/>
      <c r="G224" s="122"/>
      <c r="H224" s="141"/>
      <c r="I224" s="141"/>
      <c r="J224" s="141"/>
      <c r="K224" s="141"/>
      <c r="L224" s="141"/>
      <c r="M224" s="141"/>
      <c r="N224" s="141"/>
      <c r="O224" s="141"/>
    </row>
    <row r="225" spans="1:16">
      <c r="H225" s="162"/>
      <c r="I225" s="162"/>
      <c r="J225" s="162"/>
      <c r="K225" s="162"/>
      <c r="L225" s="162"/>
      <c r="M225" s="162"/>
      <c r="N225" s="162"/>
      <c r="O225" s="162"/>
    </row>
    <row r="226" spans="1:16">
      <c r="H226" s="162"/>
      <c r="I226" s="162"/>
      <c r="J226" s="162"/>
      <c r="K226" s="162"/>
      <c r="L226" s="162"/>
      <c r="M226" s="162"/>
      <c r="N226" s="162"/>
      <c r="O226" s="162"/>
    </row>
    <row r="227" spans="1:16" ht="12.75" customHeight="1">
      <c r="A227" s="146"/>
      <c r="B227" s="71"/>
      <c r="C227" s="72"/>
      <c r="D227" s="72"/>
      <c r="E227" s="72"/>
      <c r="F227" s="144"/>
      <c r="G227" s="72"/>
      <c r="H227" s="72"/>
      <c r="I227" s="72"/>
      <c r="J227" s="72"/>
      <c r="K227" s="72"/>
      <c r="L227" s="72"/>
      <c r="M227" s="72"/>
      <c r="N227" s="72"/>
      <c r="O227" s="73" t="str">
        <f>$O$139</f>
        <v>CURRENTLY RUNNING: BASE CASE SCENARIO</v>
      </c>
    </row>
    <row r="228" spans="1:16" ht="22.5">
      <c r="A228" s="146"/>
      <c r="B228" s="71" t="str">
        <f>B$140</f>
        <v>Windsol Manufacturing</v>
      </c>
      <c r="C228" s="72"/>
      <c r="D228" s="72"/>
      <c r="E228" s="72"/>
      <c r="F228" s="144"/>
      <c r="G228" s="72"/>
      <c r="H228" s="72"/>
      <c r="I228" s="72"/>
      <c r="J228" s="72"/>
      <c r="K228" s="72"/>
      <c r="L228" s="72"/>
      <c r="M228" s="72"/>
      <c r="N228" s="72"/>
      <c r="O228" s="72"/>
    </row>
    <row r="229" spans="1:16" ht="19.5">
      <c r="A229" s="147"/>
      <c r="B229" s="75" t="s">
        <v>44</v>
      </c>
      <c r="C229" s="148"/>
      <c r="D229" s="148"/>
      <c r="E229" s="148"/>
      <c r="F229" s="149"/>
      <c r="G229" s="148"/>
      <c r="H229" s="148"/>
      <c r="I229" s="148"/>
      <c r="J229" s="148"/>
      <c r="K229" s="148"/>
      <c r="L229" s="148"/>
      <c r="M229" s="148"/>
      <c r="N229" s="148"/>
      <c r="O229" s="148"/>
    </row>
    <row r="230" spans="1:16" ht="6" customHeight="1" thickBot="1">
      <c r="A230" s="147"/>
      <c r="B230" s="125"/>
      <c r="C230" s="76"/>
      <c r="D230" s="76"/>
      <c r="E230" s="76"/>
      <c r="F230" s="150"/>
      <c r="G230" s="76"/>
      <c r="H230" s="76"/>
      <c r="I230" s="76"/>
      <c r="J230" s="76"/>
      <c r="K230" s="76"/>
      <c r="L230" s="76"/>
      <c r="M230" s="76"/>
      <c r="N230" s="76"/>
      <c r="O230" s="76"/>
    </row>
    <row r="231" spans="1:16" ht="12.75" customHeight="1">
      <c r="A231" s="75"/>
      <c r="B231" s="78" t="s">
        <v>268</v>
      </c>
      <c r="C231" s="148"/>
      <c r="D231" s="148"/>
      <c r="E231" s="148"/>
      <c r="F231" s="149"/>
      <c r="G231" s="148"/>
      <c r="H231" s="148"/>
      <c r="I231" s="148"/>
      <c r="J231" s="148"/>
      <c r="K231" s="148"/>
      <c r="L231" s="148"/>
      <c r="M231" s="148"/>
      <c r="N231" s="148"/>
      <c r="O231" s="148"/>
    </row>
    <row r="232" spans="1:16" ht="13.5">
      <c r="G232" s="151"/>
      <c r="K232" s="80" t="s">
        <v>6</v>
      </c>
      <c r="L232" s="81"/>
      <c r="M232" s="81"/>
      <c r="N232" s="81"/>
      <c r="O232" s="81"/>
    </row>
    <row r="233" spans="1:16">
      <c r="G233" s="152"/>
      <c r="H233" s="129">
        <f>H145</f>
        <v>2016</v>
      </c>
      <c r="I233" s="129">
        <f>I145</f>
        <v>2017</v>
      </c>
      <c r="J233" s="469">
        <f>J185</f>
        <v>2018</v>
      </c>
      <c r="K233" s="85">
        <f>K$145</f>
        <v>2019</v>
      </c>
      <c r="L233" s="85">
        <f>L$145</f>
        <v>2020</v>
      </c>
      <c r="M233" s="85">
        <f>M$145</f>
        <v>2021</v>
      </c>
      <c r="N233" s="85">
        <f>N$145</f>
        <v>2022</v>
      </c>
      <c r="O233" s="85">
        <f>O$145</f>
        <v>2023</v>
      </c>
    </row>
    <row r="234" spans="1:16" ht="6" customHeight="1">
      <c r="G234" s="152"/>
      <c r="H234" s="152"/>
      <c r="I234" s="152"/>
      <c r="J234" s="152"/>
      <c r="K234" s="203"/>
      <c r="L234" s="203"/>
      <c r="M234" s="203"/>
      <c r="N234" s="1"/>
      <c r="O234" s="3"/>
    </row>
    <row r="235" spans="1:16">
      <c r="B235" s="154" t="s">
        <v>150</v>
      </c>
      <c r="C235" s="155"/>
      <c r="D235" s="155"/>
      <c r="E235" s="155"/>
      <c r="F235" s="204" t="s">
        <v>96</v>
      </c>
      <c r="G235" s="187"/>
      <c r="H235" s="205">
        <f t="shared" ref="H235:O235" si="25">H167</f>
        <v>4226.25</v>
      </c>
      <c r="I235" s="205">
        <f t="shared" si="25"/>
        <v>4221.2389999999996</v>
      </c>
      <c r="J235" s="205">
        <f t="shared" si="25"/>
        <v>4399.4160000000002</v>
      </c>
      <c r="K235" s="205">
        <f t="shared" si="25"/>
        <v>4513.1940000000004</v>
      </c>
      <c r="L235" s="205">
        <f t="shared" si="25"/>
        <v>4603.4578799999999</v>
      </c>
      <c r="M235" s="205">
        <f t="shared" si="25"/>
        <v>4718.5443270000005</v>
      </c>
      <c r="N235" s="205">
        <f t="shared" si="25"/>
        <v>4836.5079351750001</v>
      </c>
      <c r="O235" s="206">
        <f t="shared" si="25"/>
        <v>4957.420633554374</v>
      </c>
    </row>
    <row r="236" spans="1:16" ht="6" customHeight="1">
      <c r="F236" s="158"/>
      <c r="G236" s="152"/>
      <c r="H236" s="152"/>
      <c r="I236" s="152"/>
      <c r="J236" s="152"/>
      <c r="K236" s="203"/>
      <c r="L236" s="203"/>
      <c r="M236" s="203"/>
      <c r="N236" s="1"/>
      <c r="O236" s="3"/>
    </row>
    <row r="237" spans="1:16">
      <c r="B237" s="94" t="s">
        <v>52</v>
      </c>
      <c r="F237" s="158"/>
      <c r="G237" s="152"/>
      <c r="H237" s="152"/>
      <c r="I237" s="152"/>
      <c r="J237" s="152"/>
      <c r="K237" s="203"/>
      <c r="L237" s="203"/>
      <c r="M237" s="203"/>
      <c r="N237" s="1"/>
      <c r="O237" s="3"/>
    </row>
    <row r="238" spans="1:16">
      <c r="C238" s="74" t="s">
        <v>53</v>
      </c>
      <c r="F238" s="158"/>
      <c r="G238" s="152"/>
      <c r="H238" s="207">
        <f t="shared" ref="H238:O239" si="26">H173</f>
        <v>1754.0989077669901</v>
      </c>
      <c r="I238" s="207">
        <f t="shared" si="26"/>
        <v>1897.4256111111108</v>
      </c>
      <c r="J238" s="207">
        <f t="shared" si="26"/>
        <v>1984.1366160000002</v>
      </c>
      <c r="K238" s="207">
        <f t="shared" si="26"/>
        <v>2095.4115000000002</v>
      </c>
      <c r="L238" s="207">
        <f t="shared" si="26"/>
        <v>2184.2937900000002</v>
      </c>
      <c r="M238" s="207">
        <f t="shared" si="26"/>
        <v>2310.1206600937503</v>
      </c>
      <c r="N238" s="207">
        <f t="shared" si="26"/>
        <v>2393.0638220917967</v>
      </c>
      <c r="O238" s="207">
        <f t="shared" si="26"/>
        <v>2504.8020043222105</v>
      </c>
    </row>
    <row r="239" spans="1:16">
      <c r="C239" s="100" t="s">
        <v>63</v>
      </c>
      <c r="F239" s="158"/>
      <c r="G239" s="152"/>
      <c r="H239" s="208">
        <f t="shared" si="26"/>
        <v>194.4075</v>
      </c>
      <c r="I239" s="208">
        <f t="shared" si="26"/>
        <v>196.28761349999996</v>
      </c>
      <c r="J239" s="208">
        <f t="shared" si="26"/>
        <v>208.53231839999998</v>
      </c>
      <c r="K239" s="208">
        <f t="shared" si="26"/>
        <v>217.13427653400001</v>
      </c>
      <c r="L239" s="208">
        <f t="shared" si="26"/>
        <v>224.79911649565014</v>
      </c>
      <c r="M239" s="208">
        <f t="shared" si="26"/>
        <v>233.87538082416205</v>
      </c>
      <c r="N239" s="208">
        <f t="shared" si="26"/>
        <v>244.51671065166138</v>
      </c>
      <c r="O239" s="208">
        <f t="shared" si="26"/>
        <v>255.64222098631194</v>
      </c>
    </row>
    <row r="240" spans="1:16">
      <c r="C240" s="94" t="s">
        <v>7</v>
      </c>
      <c r="F240" s="178"/>
      <c r="G240" s="152"/>
      <c r="H240" s="209">
        <f>H175</f>
        <v>1559.6914077669901</v>
      </c>
      <c r="I240" s="209">
        <f>I175</f>
        <v>1701.1379976111109</v>
      </c>
      <c r="J240" s="209">
        <f>J175</f>
        <v>1775.6042976000003</v>
      </c>
      <c r="K240" s="499">
        <f t="shared" ref="K240:O240" si="27">K175</f>
        <v>1878.2772234660001</v>
      </c>
      <c r="L240" s="499">
        <f t="shared" si="27"/>
        <v>1959.49467350435</v>
      </c>
      <c r="M240" s="499">
        <f t="shared" si="27"/>
        <v>2076.2452792695881</v>
      </c>
      <c r="N240" s="499">
        <f t="shared" si="27"/>
        <v>2148.5471114401353</v>
      </c>
      <c r="O240" s="499">
        <f t="shared" si="27"/>
        <v>2249.1597833358983</v>
      </c>
      <c r="P240" s="121" t="s">
        <v>349</v>
      </c>
    </row>
    <row r="241" spans="1:15">
      <c r="F241" s="158"/>
      <c r="G241" s="152"/>
      <c r="H241" s="210"/>
      <c r="I241" s="210"/>
      <c r="J241" s="210"/>
      <c r="K241" s="91"/>
      <c r="L241" s="91"/>
      <c r="M241" s="91"/>
      <c r="N241" s="423"/>
      <c r="O241" s="211"/>
    </row>
    <row r="242" spans="1:15">
      <c r="C242" s="74" t="s">
        <v>8</v>
      </c>
      <c r="F242" s="158"/>
      <c r="G242" s="152"/>
      <c r="H242" s="207">
        <f t="shared" ref="H242:O242" si="28">H223</f>
        <v>1384.922</v>
      </c>
      <c r="I242" s="207">
        <f t="shared" si="28"/>
        <v>1423.5522308</v>
      </c>
      <c r="J242" s="207">
        <f t="shared" si="28"/>
        <v>1529.9405368</v>
      </c>
      <c r="K242" s="207">
        <f t="shared" si="28"/>
        <v>1593.116528</v>
      </c>
      <c r="L242" s="207">
        <f t="shared" si="28"/>
        <v>1645.5980414383998</v>
      </c>
      <c r="M242" s="207">
        <f t="shared" si="28"/>
        <v>1707.2742717364754</v>
      </c>
      <c r="N242" s="207">
        <f t="shared" si="28"/>
        <v>1780.0951646629846</v>
      </c>
      <c r="O242" s="207">
        <f t="shared" si="28"/>
        <v>1856.1322064889005</v>
      </c>
    </row>
    <row r="243" spans="1:15">
      <c r="A243" s="181"/>
      <c r="C243" s="99" t="s">
        <v>43</v>
      </c>
      <c r="F243" s="158"/>
      <c r="G243" s="152"/>
      <c r="H243" s="212">
        <v>9.6</v>
      </c>
      <c r="I243" s="212">
        <v>9.8000000000000007</v>
      </c>
      <c r="J243" s="212">
        <v>10</v>
      </c>
      <c r="K243" s="208">
        <f>E30</f>
        <v>10.4</v>
      </c>
      <c r="L243" s="208">
        <f>K243*(1+L$153)</f>
        <v>10.555999999999999</v>
      </c>
      <c r="M243" s="208">
        <f>L243*(1+M$153)</f>
        <v>10.714339999999998</v>
      </c>
      <c r="N243" s="208">
        <f>M243*(1+N$153)</f>
        <v>10.928626799999998</v>
      </c>
      <c r="O243" s="208">
        <f>N243*(1+O$153)</f>
        <v>11.147199335999998</v>
      </c>
    </row>
    <row r="244" spans="1:15">
      <c r="C244" s="87" t="s">
        <v>54</v>
      </c>
      <c r="F244" s="178"/>
      <c r="G244" s="152"/>
      <c r="H244" s="209">
        <f t="shared" ref="H244:O244" si="29">SUM(H242:H243)</f>
        <v>1394.5219999999999</v>
      </c>
      <c r="I244" s="209">
        <f t="shared" si="29"/>
        <v>1433.3522307999999</v>
      </c>
      <c r="J244" s="209">
        <f t="shared" si="29"/>
        <v>1539.9405368</v>
      </c>
      <c r="K244" s="209">
        <f t="shared" si="29"/>
        <v>1603.5165280000001</v>
      </c>
      <c r="L244" s="209">
        <f t="shared" si="29"/>
        <v>1656.1540414383999</v>
      </c>
      <c r="M244" s="209">
        <f t="shared" si="29"/>
        <v>1717.9886117364754</v>
      </c>
      <c r="N244" s="209">
        <f t="shared" si="29"/>
        <v>1791.0237914629847</v>
      </c>
      <c r="O244" s="209">
        <f t="shared" si="29"/>
        <v>1867.2794058249006</v>
      </c>
    </row>
    <row r="245" spans="1:15">
      <c r="C245" s="87"/>
      <c r="F245" s="178"/>
      <c r="G245" s="152"/>
      <c r="H245" s="213"/>
      <c r="I245" s="213"/>
      <c r="J245" s="213"/>
      <c r="K245" s="213"/>
      <c r="L245" s="213"/>
      <c r="M245" s="213"/>
      <c r="N245" s="213"/>
      <c r="O245" s="213"/>
    </row>
    <row r="246" spans="1:15">
      <c r="C246" s="74" t="s">
        <v>202</v>
      </c>
      <c r="F246" s="158"/>
      <c r="G246" s="152"/>
      <c r="H246" s="212">
        <v>0</v>
      </c>
      <c r="I246" s="212">
        <v>0</v>
      </c>
      <c r="J246" s="212">
        <v>0</v>
      </c>
      <c r="K246" s="208">
        <f>H70</f>
        <v>0</v>
      </c>
      <c r="L246" s="208">
        <f>I70</f>
        <v>0</v>
      </c>
      <c r="M246" s="208">
        <f>J70</f>
        <v>0</v>
      </c>
      <c r="N246" s="208">
        <f>K70</f>
        <v>0</v>
      </c>
      <c r="O246" s="208">
        <f>L70</f>
        <v>0</v>
      </c>
    </row>
    <row r="247" spans="1:15">
      <c r="B247" s="94"/>
      <c r="C247" s="94" t="s">
        <v>9</v>
      </c>
      <c r="F247" s="178"/>
      <c r="H247" s="193">
        <f t="shared" ref="H247:O247" si="30">H240-H244-H246</f>
        <v>165.16940776699016</v>
      </c>
      <c r="I247" s="193">
        <f t="shared" si="30"/>
        <v>267.78576681111099</v>
      </c>
      <c r="J247" s="193">
        <f t="shared" si="30"/>
        <v>235.66376080000032</v>
      </c>
      <c r="K247" s="193">
        <f t="shared" si="30"/>
        <v>274.76069546600002</v>
      </c>
      <c r="L247" s="193">
        <f t="shared" si="30"/>
        <v>303.3406320659501</v>
      </c>
      <c r="M247" s="193">
        <f t="shared" si="30"/>
        <v>358.2566675331127</v>
      </c>
      <c r="N247" s="193">
        <f t="shared" si="30"/>
        <v>357.52331997715055</v>
      </c>
      <c r="O247" s="193">
        <f t="shared" si="30"/>
        <v>381.88037751099773</v>
      </c>
    </row>
    <row r="248" spans="1:15">
      <c r="F248" s="158"/>
      <c r="H248" s="130"/>
      <c r="I248" s="130"/>
      <c r="J248" s="130"/>
      <c r="K248" s="130"/>
      <c r="L248" s="130"/>
      <c r="M248" s="130"/>
      <c r="N248" s="130"/>
      <c r="O248" s="130"/>
    </row>
    <row r="249" spans="1:15">
      <c r="C249" s="74" t="s">
        <v>55</v>
      </c>
      <c r="F249" s="158"/>
      <c r="H249" s="191">
        <f t="shared" ref="H249:O249" si="31">H378</f>
        <v>44.3</v>
      </c>
      <c r="I249" s="191">
        <f t="shared" si="31"/>
        <v>46.4</v>
      </c>
      <c r="J249" s="191">
        <f t="shared" si="31"/>
        <v>47.2</v>
      </c>
      <c r="K249" s="191">
        <f t="shared" si="31"/>
        <v>51.05</v>
      </c>
      <c r="L249" s="191">
        <f t="shared" si="31"/>
        <v>56.05</v>
      </c>
      <c r="M249" s="191">
        <f t="shared" si="31"/>
        <v>61.289000000000001</v>
      </c>
      <c r="N249" s="191">
        <f t="shared" si="31"/>
        <v>66.619779999999992</v>
      </c>
      <c r="O249" s="191">
        <f t="shared" si="31"/>
        <v>72.057175599999994</v>
      </c>
    </row>
    <row r="250" spans="1:15">
      <c r="C250" s="87" t="s">
        <v>11</v>
      </c>
      <c r="F250" s="178"/>
      <c r="H250" s="193">
        <f t="shared" ref="H250:O250" si="32">H247-H249</f>
        <v>120.86940776699016</v>
      </c>
      <c r="I250" s="193">
        <f t="shared" si="32"/>
        <v>221.38576681111098</v>
      </c>
      <c r="J250" s="193">
        <f t="shared" si="32"/>
        <v>188.46376080000033</v>
      </c>
      <c r="K250" s="193">
        <f t="shared" si="32"/>
        <v>223.710695466</v>
      </c>
      <c r="L250" s="193">
        <f t="shared" si="32"/>
        <v>247.29063206595009</v>
      </c>
      <c r="M250" s="193">
        <f t="shared" si="32"/>
        <v>296.96766753311272</v>
      </c>
      <c r="N250" s="193">
        <f t="shared" si="32"/>
        <v>290.90353997715056</v>
      </c>
      <c r="O250" s="193">
        <f t="shared" si="32"/>
        <v>309.82320191099774</v>
      </c>
    </row>
    <row r="251" spans="1:15" ht="6" customHeight="1">
      <c r="C251" s="87"/>
      <c r="F251" s="178"/>
      <c r="H251" s="133"/>
      <c r="I251" s="133"/>
      <c r="J251" s="133"/>
      <c r="K251" s="133"/>
      <c r="L251" s="133"/>
      <c r="M251" s="133"/>
      <c r="N251" s="133"/>
      <c r="O251" s="133"/>
    </row>
    <row r="252" spans="1:15" ht="13.15" customHeight="1">
      <c r="C252" s="100" t="s">
        <v>218</v>
      </c>
      <c r="F252" s="158"/>
      <c r="H252" s="138">
        <v>42.1</v>
      </c>
      <c r="I252" s="138">
        <v>40.5</v>
      </c>
      <c r="J252" s="138">
        <v>38</v>
      </c>
      <c r="K252" s="131">
        <f ca="1">K582</f>
        <v>36.530584698045672</v>
      </c>
      <c r="L252" s="131">
        <f ca="1">L582</f>
        <v>33.950732280543356</v>
      </c>
      <c r="M252" s="131">
        <f ca="1">M582</f>
        <v>35.127265681135469</v>
      </c>
      <c r="N252" s="131">
        <f ca="1">N582</f>
        <v>23.46151273866834</v>
      </c>
      <c r="O252" s="131">
        <f ca="1">O582</f>
        <v>11.584150271064694</v>
      </c>
    </row>
    <row r="253" spans="1:15" ht="13.15" customHeight="1">
      <c r="C253" s="100" t="s">
        <v>219</v>
      </c>
      <c r="F253" s="158"/>
      <c r="H253" s="138">
        <v>2.5</v>
      </c>
      <c r="I253" s="138">
        <v>2.6</v>
      </c>
      <c r="J253" s="138">
        <v>2.7</v>
      </c>
      <c r="K253" s="131">
        <f ca="1">K585</f>
        <v>2.8397565922920895</v>
      </c>
      <c r="L253" s="131">
        <f ca="1">L585</f>
        <v>2.9203987673267537</v>
      </c>
      <c r="M253" s="131">
        <f ca="1">M585</f>
        <v>0</v>
      </c>
      <c r="N253" s="131">
        <f ca="1">N585</f>
        <v>0</v>
      </c>
      <c r="O253" s="131">
        <f ca="1">O585</f>
        <v>0</v>
      </c>
    </row>
    <row r="254" spans="1:15">
      <c r="C254" s="100" t="s">
        <v>90</v>
      </c>
      <c r="F254" s="158"/>
      <c r="H254" s="243">
        <f t="shared" ref="H254:O254" si="33">SUM(H252:H253)</f>
        <v>44.6</v>
      </c>
      <c r="I254" s="243">
        <f t="shared" si="33"/>
        <v>43.1</v>
      </c>
      <c r="J254" s="243">
        <f t="shared" si="33"/>
        <v>40.700000000000003</v>
      </c>
      <c r="K254" s="243">
        <f t="shared" ca="1" si="33"/>
        <v>39.370341290337763</v>
      </c>
      <c r="L254" s="243">
        <f t="shared" ca="1" si="33"/>
        <v>36.871131047870108</v>
      </c>
      <c r="M254" s="243">
        <f t="shared" ca="1" si="33"/>
        <v>35.127265681135469</v>
      </c>
      <c r="N254" s="243">
        <f t="shared" ca="1" si="33"/>
        <v>23.46151273866834</v>
      </c>
      <c r="O254" s="243">
        <f t="shared" ca="1" si="33"/>
        <v>11.584150271064694</v>
      </c>
    </row>
    <row r="255" spans="1:15" ht="6" customHeight="1">
      <c r="C255" s="100"/>
      <c r="F255" s="158"/>
      <c r="H255" s="138"/>
      <c r="I255" s="138"/>
      <c r="J255" s="138"/>
      <c r="K255" s="131"/>
      <c r="L255" s="131"/>
      <c r="M255" s="131"/>
      <c r="N255" s="131"/>
      <c r="O255" s="131"/>
    </row>
    <row r="256" spans="1:15">
      <c r="C256" s="137" t="s">
        <v>91</v>
      </c>
      <c r="F256" s="178"/>
      <c r="H256" s="193">
        <f t="shared" ref="H256:O256" si="34">H250-H254</f>
        <v>76.269407766990156</v>
      </c>
      <c r="I256" s="193">
        <f t="shared" si="34"/>
        <v>178.28576681111099</v>
      </c>
      <c r="J256" s="193">
        <f t="shared" si="34"/>
        <v>147.76376080000034</v>
      </c>
      <c r="K256" s="193">
        <f t="shared" ca="1" si="34"/>
        <v>184.34035417566224</v>
      </c>
      <c r="L256" s="193">
        <f t="shared" ca="1" si="34"/>
        <v>210.41950101807998</v>
      </c>
      <c r="M256" s="193">
        <f t="shared" ca="1" si="34"/>
        <v>261.84040185197728</v>
      </c>
      <c r="N256" s="193">
        <f t="shared" ca="1" si="34"/>
        <v>267.44202723848224</v>
      </c>
      <c r="O256" s="193">
        <f t="shared" ca="1" si="34"/>
        <v>298.23905163993305</v>
      </c>
    </row>
    <row r="257" spans="2:15" ht="6" customHeight="1">
      <c r="C257" s="87"/>
      <c r="F257" s="178"/>
      <c r="H257" s="214"/>
      <c r="I257" s="214"/>
      <c r="J257" s="214"/>
      <c r="K257" s="214"/>
      <c r="L257" s="133"/>
      <c r="M257" s="193"/>
      <c r="N257" s="193"/>
      <c r="O257" s="133"/>
    </row>
    <row r="258" spans="2:15">
      <c r="C258" s="74" t="s">
        <v>125</v>
      </c>
      <c r="F258" s="158"/>
      <c r="H258" s="138">
        <v>14.2</v>
      </c>
      <c r="I258" s="138">
        <v>35</v>
      </c>
      <c r="J258" s="138">
        <v>32.700000000000003</v>
      </c>
      <c r="K258" s="131">
        <f t="shared" ref="K258:O259" ca="1" si="35">K414</f>
        <v>29.369299169185435</v>
      </c>
      <c r="L258" s="131">
        <f t="shared" ca="1" si="35"/>
        <v>38.348660285062408</v>
      </c>
      <c r="M258" s="131">
        <f t="shared" ca="1" si="35"/>
        <v>54.139596518553638</v>
      </c>
      <c r="N258" s="131">
        <f t="shared" ca="1" si="35"/>
        <v>57.024481706775028</v>
      </c>
      <c r="O258" s="131">
        <f t="shared" ca="1" si="35"/>
        <v>66.891309228781253</v>
      </c>
    </row>
    <row r="259" spans="2:15">
      <c r="C259" s="74" t="s">
        <v>221</v>
      </c>
      <c r="F259" s="158"/>
      <c r="H259" s="190">
        <v>11</v>
      </c>
      <c r="I259" s="190">
        <v>17.2</v>
      </c>
      <c r="J259" s="190">
        <v>13.2</v>
      </c>
      <c r="K259" s="191">
        <f t="shared" ca="1" si="35"/>
        <v>22.245999999999999</v>
      </c>
      <c r="L259" s="191">
        <f t="shared" ca="1" si="35"/>
        <v>20.568799999999996</v>
      </c>
      <c r="M259" s="191">
        <f t="shared" ca="1" si="35"/>
        <v>19.175716000000001</v>
      </c>
      <c r="N259" s="191">
        <f t="shared" ca="1" si="35"/>
        <v>17.859285920000012</v>
      </c>
      <c r="O259" s="191">
        <f t="shared" ca="1" si="35"/>
        <v>16.615625230400013</v>
      </c>
    </row>
    <row r="260" spans="2:15">
      <c r="C260" s="94" t="s">
        <v>126</v>
      </c>
      <c r="F260" s="178"/>
      <c r="H260" s="139">
        <f t="shared" ref="H260:O260" si="36">SUM(H258:H259)</f>
        <v>25.2</v>
      </c>
      <c r="I260" s="139">
        <f t="shared" si="36"/>
        <v>52.2</v>
      </c>
      <c r="J260" s="139">
        <f t="shared" si="36"/>
        <v>45.900000000000006</v>
      </c>
      <c r="K260" s="139">
        <f t="shared" ca="1" si="36"/>
        <v>51.615299169185434</v>
      </c>
      <c r="L260" s="139">
        <f t="shared" ca="1" si="36"/>
        <v>58.917460285062404</v>
      </c>
      <c r="M260" s="139">
        <f t="shared" ca="1" si="36"/>
        <v>73.31531251855364</v>
      </c>
      <c r="N260" s="139">
        <f t="shared" ca="1" si="36"/>
        <v>74.88376762677504</v>
      </c>
      <c r="O260" s="139">
        <f t="shared" ca="1" si="36"/>
        <v>83.506934459181267</v>
      </c>
    </row>
    <row r="261" spans="2:15">
      <c r="F261" s="158"/>
    </row>
    <row r="262" spans="2:15" ht="13.5" thickBot="1">
      <c r="C262" s="215" t="s">
        <v>12</v>
      </c>
      <c r="D262" s="94"/>
      <c r="E262" s="94"/>
      <c r="F262" s="178"/>
      <c r="H262" s="216">
        <f t="shared" ref="H262:O262" si="37">H256-H260</f>
        <v>51.069407766990153</v>
      </c>
      <c r="I262" s="216">
        <f t="shared" si="37"/>
        <v>126.08576681111099</v>
      </c>
      <c r="J262" s="216">
        <f t="shared" si="37"/>
        <v>101.86376080000034</v>
      </c>
      <c r="K262" s="216">
        <f t="shared" ca="1" si="37"/>
        <v>132.72505500647679</v>
      </c>
      <c r="L262" s="216">
        <f t="shared" ca="1" si="37"/>
        <v>151.50204073301757</v>
      </c>
      <c r="M262" s="216">
        <f t="shared" ca="1" si="37"/>
        <v>188.52508933342364</v>
      </c>
      <c r="N262" s="216">
        <f t="shared" ca="1" si="37"/>
        <v>192.5582596117072</v>
      </c>
      <c r="O262" s="216">
        <f t="shared" ca="1" si="37"/>
        <v>214.7321171807518</v>
      </c>
    </row>
    <row r="263" spans="2:15" ht="13.5" thickTop="1">
      <c r="C263" s="217"/>
      <c r="F263" s="178"/>
      <c r="H263" s="218"/>
      <c r="I263" s="218"/>
      <c r="J263" s="218"/>
      <c r="K263" s="218"/>
      <c r="L263" s="218"/>
      <c r="M263" s="218"/>
      <c r="N263" s="218"/>
      <c r="O263" s="218"/>
    </row>
    <row r="264" spans="2:15">
      <c r="C264" s="219" t="s">
        <v>181</v>
      </c>
      <c r="F264" s="158" t="s">
        <v>153</v>
      </c>
      <c r="H264" s="138">
        <v>120.5</v>
      </c>
      <c r="I264" s="138">
        <v>121.2</v>
      </c>
      <c r="J264" s="138">
        <v>122.7</v>
      </c>
      <c r="K264" s="131">
        <f>K637</f>
        <v>122.85</v>
      </c>
      <c r="L264" s="131">
        <f>L637</f>
        <v>123.35</v>
      </c>
      <c r="M264" s="131">
        <f>M637</f>
        <v>123.6</v>
      </c>
      <c r="N264" s="131">
        <f>N637</f>
        <v>123.6</v>
      </c>
      <c r="O264" s="131">
        <f>O637</f>
        <v>123.6</v>
      </c>
    </row>
    <row r="265" spans="2:15">
      <c r="C265" s="94" t="s">
        <v>152</v>
      </c>
      <c r="F265" s="178" t="s">
        <v>276</v>
      </c>
      <c r="H265" s="220">
        <f t="shared" ref="H265:O265" si="38">H262/H264</f>
        <v>0.42381251258912989</v>
      </c>
      <c r="I265" s="220">
        <f t="shared" si="38"/>
        <v>1.0403116073524008</v>
      </c>
      <c r="J265" s="220">
        <f t="shared" si="38"/>
        <v>0.83018549959250476</v>
      </c>
      <c r="K265" s="220">
        <f t="shared" ca="1" si="38"/>
        <v>1.0803830281357494</v>
      </c>
      <c r="L265" s="220">
        <f t="shared" ca="1" si="38"/>
        <v>1.2282289479774429</v>
      </c>
      <c r="M265" s="220">
        <f t="shared" ca="1" si="38"/>
        <v>1.5252838942833629</v>
      </c>
      <c r="N265" s="220">
        <f t="shared" ca="1" si="38"/>
        <v>1.5579147217775664</v>
      </c>
      <c r="O265" s="220">
        <f t="shared" ca="1" si="38"/>
        <v>1.7373148639219402</v>
      </c>
    </row>
    <row r="266" spans="2:15">
      <c r="H266" s="162"/>
      <c r="I266" s="162"/>
      <c r="J266" s="162"/>
      <c r="K266" s="221"/>
      <c r="L266" s="221"/>
      <c r="M266" s="221"/>
      <c r="N266" s="221"/>
      <c r="O266" s="221"/>
    </row>
    <row r="267" spans="2:15">
      <c r="B267" s="102" t="s">
        <v>45</v>
      </c>
      <c r="C267" s="222"/>
      <c r="D267" s="222"/>
      <c r="E267" s="222"/>
      <c r="F267" s="223"/>
      <c r="G267" s="222"/>
      <c r="H267" s="224"/>
      <c r="I267" s="224"/>
      <c r="J267" s="224"/>
      <c r="K267" s="224"/>
      <c r="L267" s="224"/>
      <c r="M267" s="224"/>
      <c r="N267" s="224"/>
      <c r="O267" s="225"/>
    </row>
    <row r="268" spans="2:15">
      <c r="B268" s="108"/>
      <c r="C268" s="74" t="s">
        <v>46</v>
      </c>
      <c r="H268" s="226">
        <f t="shared" ref="H268:O268" si="39">H247/H240</f>
        <v>0.10589877391417009</v>
      </c>
      <c r="I268" s="226">
        <f t="shared" si="39"/>
        <v>0.15741566362467921</v>
      </c>
      <c r="J268" s="226">
        <f t="shared" si="39"/>
        <v>0.13272313043989351</v>
      </c>
      <c r="K268" s="226">
        <f t="shared" si="39"/>
        <v>0.14628335585041163</v>
      </c>
      <c r="L268" s="226">
        <f t="shared" si="39"/>
        <v>0.15480554051390061</v>
      </c>
      <c r="M268" s="226">
        <f t="shared" si="39"/>
        <v>0.17255026229807754</v>
      </c>
      <c r="N268" s="226">
        <f t="shared" si="39"/>
        <v>0.16640236468331784</v>
      </c>
      <c r="O268" s="227">
        <f t="shared" si="39"/>
        <v>0.16978801610288541</v>
      </c>
    </row>
    <row r="269" spans="2:15">
      <c r="B269" s="108"/>
      <c r="C269" s="74" t="s">
        <v>47</v>
      </c>
      <c r="F269" s="228"/>
      <c r="H269" s="226">
        <f t="shared" ref="H269:O269" si="40">H250/H240</f>
        <v>7.7495719451348949E-2</v>
      </c>
      <c r="I269" s="226">
        <f t="shared" si="40"/>
        <v>0.13013980472013473</v>
      </c>
      <c r="J269" s="226">
        <f t="shared" si="40"/>
        <v>0.10614063113878346</v>
      </c>
      <c r="K269" s="226">
        <f t="shared" si="40"/>
        <v>0.11910419434953529</v>
      </c>
      <c r="L269" s="226">
        <f t="shared" si="40"/>
        <v>0.12620122698455558</v>
      </c>
      <c r="M269" s="226">
        <f t="shared" si="40"/>
        <v>0.14303111029231785</v>
      </c>
      <c r="N269" s="226">
        <f t="shared" si="40"/>
        <v>0.13539546721047357</v>
      </c>
      <c r="O269" s="227">
        <f t="shared" si="40"/>
        <v>0.13775064102003265</v>
      </c>
    </row>
    <row r="270" spans="2:15">
      <c r="B270" s="229"/>
      <c r="C270" s="122" t="s">
        <v>172</v>
      </c>
      <c r="D270" s="122"/>
      <c r="E270" s="122"/>
      <c r="F270" s="230"/>
      <c r="G270" s="122"/>
      <c r="H270" s="231"/>
      <c r="I270" s="231"/>
      <c r="J270" s="232">
        <f t="shared" ref="J270:O270" si="41">J262/J350</f>
        <v>0.25034101941509052</v>
      </c>
      <c r="K270" s="232">
        <f t="shared" ca="1" si="41"/>
        <v>0.2521599926343796</v>
      </c>
      <c r="L270" s="232">
        <f t="shared" ca="1" si="41"/>
        <v>0.22861179719907884</v>
      </c>
      <c r="M270" s="232">
        <f t="shared" ca="1" si="41"/>
        <v>0.22649003625277514</v>
      </c>
      <c r="N270" s="232">
        <f t="shared" ca="1" si="41"/>
        <v>0.19147082019410797</v>
      </c>
      <c r="O270" s="233">
        <f t="shared" ca="1" si="41"/>
        <v>0.17910189053403411</v>
      </c>
    </row>
    <row r="271" spans="2:15">
      <c r="C271" s="234"/>
      <c r="F271" s="228"/>
      <c r="H271" s="235"/>
      <c r="I271" s="235"/>
      <c r="J271" s="235"/>
      <c r="K271" s="235"/>
      <c r="L271" s="235"/>
      <c r="M271" s="235"/>
      <c r="N271" s="235"/>
      <c r="O271" s="235"/>
    </row>
    <row r="272" spans="2:15">
      <c r="B272" s="94"/>
      <c r="F272" s="228"/>
      <c r="H272" s="162"/>
      <c r="I272" s="162"/>
      <c r="J272" s="162"/>
      <c r="K272" s="162"/>
      <c r="L272" s="162"/>
      <c r="M272" s="162"/>
      <c r="N272" s="162"/>
      <c r="O272" s="162"/>
    </row>
    <row r="273" spans="2:15">
      <c r="B273" s="94"/>
      <c r="F273" s="228"/>
      <c r="H273" s="162"/>
      <c r="I273" s="162"/>
      <c r="J273" s="162"/>
      <c r="K273" s="162"/>
      <c r="L273" s="162"/>
      <c r="M273" s="162"/>
      <c r="N273" s="162"/>
      <c r="O273" s="162"/>
    </row>
    <row r="274" spans="2:15" ht="12.75" customHeight="1">
      <c r="B274" s="71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3" t="str">
        <f>$O$139</f>
        <v>CURRENTLY RUNNING: BASE CASE SCENARIO</v>
      </c>
    </row>
    <row r="275" spans="2:15" ht="22.5">
      <c r="B275" s="71" t="str">
        <f>B$140</f>
        <v>Windsol Manufacturing</v>
      </c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</row>
    <row r="276" spans="2:15" ht="18.75">
      <c r="B276" s="75" t="s">
        <v>58</v>
      </c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</row>
    <row r="277" spans="2:15" ht="6" customHeight="1" thickBot="1">
      <c r="B277" s="125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</row>
    <row r="278" spans="2:15">
      <c r="B278" s="78" t="s">
        <v>268</v>
      </c>
      <c r="F278" s="74"/>
    </row>
    <row r="279" spans="2:15" ht="13.5">
      <c r="F279" s="74"/>
      <c r="K279" s="80" t="s">
        <v>6</v>
      </c>
      <c r="L279" s="81"/>
      <c r="M279" s="81"/>
      <c r="N279" s="81"/>
      <c r="O279" s="81"/>
    </row>
    <row r="280" spans="2:15">
      <c r="B280" s="126"/>
      <c r="F280" s="127"/>
      <c r="G280" s="128"/>
      <c r="H280" s="129">
        <f>H145</f>
        <v>2016</v>
      </c>
      <c r="I280" s="129">
        <f>I145</f>
        <v>2017</v>
      </c>
      <c r="J280" s="469">
        <f>J145</f>
        <v>2018</v>
      </c>
      <c r="K280" s="86">
        <f>K$145</f>
        <v>2019</v>
      </c>
      <c r="L280" s="86">
        <f>L$145</f>
        <v>2020</v>
      </c>
      <c r="M280" s="86">
        <f>M$145</f>
        <v>2021</v>
      </c>
      <c r="N280" s="86">
        <f>N$145</f>
        <v>2022</v>
      </c>
      <c r="O280" s="86">
        <f>O$145</f>
        <v>2023</v>
      </c>
    </row>
    <row r="281" spans="2:15">
      <c r="B281" s="94" t="s">
        <v>14</v>
      </c>
      <c r="F281" s="74"/>
    </row>
    <row r="282" spans="2:15">
      <c r="C282" s="74" t="s">
        <v>12</v>
      </c>
      <c r="F282" s="74"/>
      <c r="G282" s="130"/>
      <c r="H282" s="131">
        <f t="shared" ref="H282:O282" si="42">H262</f>
        <v>51.069407766990153</v>
      </c>
      <c r="I282" s="131">
        <f t="shared" si="42"/>
        <v>126.08576681111099</v>
      </c>
      <c r="J282" s="131">
        <f t="shared" si="42"/>
        <v>101.86376080000034</v>
      </c>
      <c r="K282" s="131">
        <f t="shared" ca="1" si="42"/>
        <v>132.72505500647679</v>
      </c>
      <c r="L282" s="131">
        <f t="shared" ca="1" si="42"/>
        <v>151.50204073301757</v>
      </c>
      <c r="M282" s="131">
        <f t="shared" ca="1" si="42"/>
        <v>188.52508933342364</v>
      </c>
      <c r="N282" s="131">
        <f t="shared" ca="1" si="42"/>
        <v>192.5582596117072</v>
      </c>
      <c r="O282" s="131">
        <f t="shared" ca="1" si="42"/>
        <v>214.7321171807518</v>
      </c>
    </row>
    <row r="283" spans="2:15">
      <c r="C283" s="74" t="s">
        <v>10</v>
      </c>
      <c r="F283" s="74"/>
      <c r="G283" s="130"/>
      <c r="H283" s="131">
        <f t="shared" ref="H283:O283" si="43">H249</f>
        <v>44.3</v>
      </c>
      <c r="I283" s="131">
        <f t="shared" si="43"/>
        <v>46.4</v>
      </c>
      <c r="J283" s="131">
        <f t="shared" si="43"/>
        <v>47.2</v>
      </c>
      <c r="K283" s="131">
        <f t="shared" si="43"/>
        <v>51.05</v>
      </c>
      <c r="L283" s="131">
        <f t="shared" si="43"/>
        <v>56.05</v>
      </c>
      <c r="M283" s="131">
        <f t="shared" si="43"/>
        <v>61.289000000000001</v>
      </c>
      <c r="N283" s="131">
        <f t="shared" si="43"/>
        <v>66.619779999999992</v>
      </c>
      <c r="O283" s="131">
        <f t="shared" si="43"/>
        <v>72.057175599999994</v>
      </c>
    </row>
    <row r="284" spans="2:15">
      <c r="C284" s="74" t="s">
        <v>219</v>
      </c>
      <c r="F284" s="74"/>
      <c r="G284" s="130"/>
      <c r="H284" s="131">
        <f t="shared" ref="H284:O284" si="44">H253</f>
        <v>2.5</v>
      </c>
      <c r="I284" s="131">
        <f t="shared" si="44"/>
        <v>2.6</v>
      </c>
      <c r="J284" s="131">
        <f t="shared" si="44"/>
        <v>2.7</v>
      </c>
      <c r="K284" s="131">
        <f t="shared" ca="1" si="44"/>
        <v>2.8397565922920895</v>
      </c>
      <c r="L284" s="131">
        <f t="shared" ca="1" si="44"/>
        <v>2.9203987673267537</v>
      </c>
      <c r="M284" s="131">
        <f t="shared" ca="1" si="44"/>
        <v>0</v>
      </c>
      <c r="N284" s="131">
        <f t="shared" ca="1" si="44"/>
        <v>0</v>
      </c>
      <c r="O284" s="131">
        <f t="shared" ca="1" si="44"/>
        <v>0</v>
      </c>
    </row>
    <row r="285" spans="2:15">
      <c r="C285" s="74" t="s">
        <v>221</v>
      </c>
      <c r="F285" s="74"/>
      <c r="G285" s="130"/>
      <c r="H285" s="131">
        <f t="shared" ref="H285:O285" si="45">H259</f>
        <v>11</v>
      </c>
      <c r="I285" s="131">
        <f t="shared" si="45"/>
        <v>17.2</v>
      </c>
      <c r="J285" s="131">
        <f t="shared" si="45"/>
        <v>13.2</v>
      </c>
      <c r="K285" s="131">
        <f t="shared" ca="1" si="45"/>
        <v>22.245999999999999</v>
      </c>
      <c r="L285" s="131">
        <f t="shared" ca="1" si="45"/>
        <v>20.568799999999996</v>
      </c>
      <c r="M285" s="131">
        <f t="shared" ca="1" si="45"/>
        <v>19.175716000000001</v>
      </c>
      <c r="N285" s="131">
        <f t="shared" ca="1" si="45"/>
        <v>17.859285920000012</v>
      </c>
      <c r="O285" s="131">
        <f t="shared" ca="1" si="45"/>
        <v>16.615625230400013</v>
      </c>
    </row>
    <row r="286" spans="2:15">
      <c r="C286" s="74" t="s">
        <v>173</v>
      </c>
      <c r="F286" s="74"/>
      <c r="G286" s="132"/>
      <c r="H286" s="191">
        <f t="shared" ref="H286:O286" si="46">H455</f>
        <v>0</v>
      </c>
      <c r="I286" s="191">
        <f t="shared" si="46"/>
        <v>0</v>
      </c>
      <c r="J286" s="191">
        <f t="shared" si="46"/>
        <v>0</v>
      </c>
      <c r="K286" s="191">
        <f t="shared" si="46"/>
        <v>-10.368229941134302</v>
      </c>
      <c r="L286" s="191">
        <f t="shared" si="46"/>
        <v>6.2151604376933278</v>
      </c>
      <c r="M286" s="191">
        <f t="shared" si="46"/>
        <v>3.138237171614719</v>
      </c>
      <c r="N286" s="191">
        <f t="shared" si="46"/>
        <v>-7.7424662567750318</v>
      </c>
      <c r="O286" s="191">
        <f t="shared" si="46"/>
        <v>-4.8571354427608071</v>
      </c>
    </row>
    <row r="287" spans="2:15">
      <c r="C287" s="87" t="s">
        <v>16</v>
      </c>
      <c r="F287" s="74"/>
      <c r="G287" s="133"/>
      <c r="H287" s="193">
        <f t="shared" ref="H287:O287" si="47">SUM(H282:H286)</f>
        <v>108.86940776699015</v>
      </c>
      <c r="I287" s="193">
        <f t="shared" si="47"/>
        <v>192.28576681111096</v>
      </c>
      <c r="J287" s="193">
        <f t="shared" si="47"/>
        <v>164.96376080000033</v>
      </c>
      <c r="K287" s="193">
        <f t="shared" ca="1" si="47"/>
        <v>198.49258165763459</v>
      </c>
      <c r="L287" s="193">
        <f t="shared" ca="1" si="47"/>
        <v>237.25639993803765</v>
      </c>
      <c r="M287" s="193">
        <f t="shared" ca="1" si="47"/>
        <v>272.12804250503837</v>
      </c>
      <c r="N287" s="193">
        <f t="shared" ca="1" si="47"/>
        <v>269.29485927493215</v>
      </c>
      <c r="O287" s="193">
        <f t="shared" ca="1" si="47"/>
        <v>298.54778256839103</v>
      </c>
    </row>
    <row r="288" spans="2:15">
      <c r="B288" s="99"/>
      <c r="F288" s="74"/>
      <c r="G288" s="162"/>
      <c r="H288" s="162"/>
      <c r="I288" s="162"/>
      <c r="J288" s="162"/>
      <c r="K288" s="162"/>
      <c r="L288" s="162"/>
      <c r="M288" s="162"/>
      <c r="N288" s="162"/>
      <c r="O288" s="162"/>
    </row>
    <row r="289" spans="1:16">
      <c r="B289" s="99"/>
      <c r="F289" s="74"/>
      <c r="G289" s="162"/>
      <c r="H289" s="162"/>
      <c r="I289" s="162"/>
      <c r="J289" s="162"/>
      <c r="K289" s="162"/>
      <c r="L289" s="162"/>
      <c r="M289" s="162"/>
      <c r="N289" s="162"/>
      <c r="O289" s="162"/>
    </row>
    <row r="290" spans="1:16">
      <c r="B290" s="94" t="s">
        <v>139</v>
      </c>
      <c r="F290" s="74"/>
      <c r="G290" s="162"/>
      <c r="H290" s="132"/>
      <c r="I290" s="132"/>
      <c r="J290" s="132"/>
      <c r="K290" s="130"/>
      <c r="L290" s="130"/>
      <c r="M290" s="130"/>
      <c r="N290" s="130"/>
      <c r="O290" s="130"/>
      <c r="P290" s="94"/>
    </row>
    <row r="291" spans="1:16">
      <c r="C291" s="74" t="s">
        <v>69</v>
      </c>
      <c r="H291" s="138">
        <v>-82.5</v>
      </c>
      <c r="I291" s="138">
        <v>-90.6</v>
      </c>
      <c r="J291" s="138">
        <v>-101.3</v>
      </c>
      <c r="K291" s="498">
        <f>-H60</f>
        <v>-120</v>
      </c>
      <c r="L291" s="498">
        <f>-I60</f>
        <v>-130</v>
      </c>
      <c r="M291" s="498">
        <f>-J60</f>
        <v>-131.94999999999999</v>
      </c>
      <c r="N291" s="498">
        <f>-K60</f>
        <v>-134.589</v>
      </c>
      <c r="O291" s="498">
        <f>-L60</f>
        <v>-137.28077999999999</v>
      </c>
      <c r="P291" s="121" t="s">
        <v>306</v>
      </c>
    </row>
    <row r="292" spans="1:16">
      <c r="C292" s="74" t="s">
        <v>15</v>
      </c>
      <c r="H292" s="138">
        <v>0</v>
      </c>
      <c r="I292" s="138">
        <v>0</v>
      </c>
      <c r="J292" s="138">
        <v>0</v>
      </c>
      <c r="K292" s="131">
        <f>J292</f>
        <v>0</v>
      </c>
      <c r="L292" s="131">
        <f>K292</f>
        <v>0</v>
      </c>
      <c r="M292" s="131">
        <f>L292</f>
        <v>0</v>
      </c>
      <c r="N292" s="131">
        <f>M292</f>
        <v>0</v>
      </c>
      <c r="O292" s="131">
        <f>N292</f>
        <v>0</v>
      </c>
      <c r="P292" s="94"/>
    </row>
    <row r="293" spans="1:16">
      <c r="A293" s="94"/>
      <c r="C293" s="94" t="s">
        <v>140</v>
      </c>
      <c r="F293" s="74"/>
      <c r="G293" s="133"/>
      <c r="H293" s="236">
        <f t="shared" ref="H293:O293" si="48">SUM(H291:H292)</f>
        <v>-82.5</v>
      </c>
      <c r="I293" s="236">
        <f t="shared" si="48"/>
        <v>-90.6</v>
      </c>
      <c r="J293" s="236">
        <f t="shared" si="48"/>
        <v>-101.3</v>
      </c>
      <c r="K293" s="236">
        <f t="shared" si="48"/>
        <v>-120</v>
      </c>
      <c r="L293" s="236">
        <f t="shared" si="48"/>
        <v>-130</v>
      </c>
      <c r="M293" s="236">
        <f t="shared" si="48"/>
        <v>-131.94999999999999</v>
      </c>
      <c r="N293" s="236">
        <f t="shared" si="48"/>
        <v>-134.589</v>
      </c>
      <c r="O293" s="236">
        <f t="shared" si="48"/>
        <v>-137.28077999999999</v>
      </c>
      <c r="P293" s="94"/>
    </row>
    <row r="294" spans="1:16">
      <c r="A294" s="94"/>
      <c r="B294" s="137"/>
      <c r="F294" s="74"/>
      <c r="G294" s="133"/>
      <c r="H294" s="134"/>
      <c r="I294" s="134"/>
      <c r="J294" s="237"/>
      <c r="K294" s="238"/>
      <c r="L294" s="238"/>
      <c r="M294" s="238"/>
      <c r="N294" s="238"/>
      <c r="O294" s="238"/>
      <c r="P294" s="94"/>
    </row>
    <row r="295" spans="1:16">
      <c r="A295" s="94"/>
      <c r="B295" s="137"/>
      <c r="F295" s="74"/>
      <c r="G295" s="133"/>
      <c r="H295" s="134"/>
      <c r="I295" s="134"/>
      <c r="J295" s="134"/>
      <c r="K295" s="238"/>
      <c r="L295" s="238"/>
      <c r="M295" s="238"/>
      <c r="N295" s="238"/>
      <c r="O295" s="238"/>
      <c r="P295" s="94"/>
    </row>
    <row r="296" spans="1:16">
      <c r="A296" s="94"/>
      <c r="B296" s="137" t="s">
        <v>89</v>
      </c>
      <c r="F296" s="74"/>
      <c r="G296" s="133"/>
      <c r="H296" s="133"/>
      <c r="I296" s="133"/>
      <c r="J296" s="133"/>
      <c r="K296" s="429"/>
      <c r="L296" s="429"/>
      <c r="M296" s="429"/>
      <c r="N296" s="429"/>
      <c r="O296" s="429"/>
      <c r="P296" s="94"/>
    </row>
    <row r="297" spans="1:16">
      <c r="A297" s="94"/>
      <c r="B297" s="137"/>
      <c r="C297" s="74" t="s">
        <v>178</v>
      </c>
      <c r="F297" s="74"/>
      <c r="G297" s="133"/>
      <c r="H297" s="133"/>
      <c r="I297" s="133"/>
      <c r="J297" s="133"/>
      <c r="K297" s="131">
        <f ca="1">K490</f>
        <v>-10</v>
      </c>
      <c r="L297" s="131">
        <f ca="1">L490</f>
        <v>0</v>
      </c>
      <c r="M297" s="131">
        <f ca="1">M490</f>
        <v>0</v>
      </c>
      <c r="N297" s="131">
        <f ca="1">N490</f>
        <v>108.45831645243865</v>
      </c>
      <c r="O297" s="131">
        <f ca="1">O490</f>
        <v>-108.45831645243865</v>
      </c>
      <c r="P297" s="94"/>
    </row>
    <row r="298" spans="1:16">
      <c r="A298" s="94"/>
      <c r="B298" s="137"/>
      <c r="C298" s="74" t="s">
        <v>179</v>
      </c>
      <c r="F298" s="74"/>
      <c r="G298" s="133"/>
      <c r="H298" s="133"/>
      <c r="I298" s="133"/>
      <c r="J298" s="133"/>
      <c r="K298" s="517">
        <f>K501</f>
        <v>-45</v>
      </c>
      <c r="L298" s="517">
        <f>L501</f>
        <v>-39</v>
      </c>
      <c r="M298" s="517">
        <f>M501</f>
        <v>-36</v>
      </c>
      <c r="N298" s="517">
        <f>N501</f>
        <v>-30</v>
      </c>
      <c r="O298" s="517">
        <f>O501</f>
        <v>0</v>
      </c>
      <c r="P298" s="121" t="s">
        <v>330</v>
      </c>
    </row>
    <row r="299" spans="1:16">
      <c r="A299" s="94"/>
      <c r="B299" s="137"/>
      <c r="C299" s="74" t="s">
        <v>220</v>
      </c>
      <c r="F299" s="74"/>
      <c r="G299" s="133"/>
      <c r="H299" s="133"/>
      <c r="I299" s="133"/>
      <c r="J299" s="133"/>
      <c r="K299" s="131">
        <f>K524</f>
        <v>0</v>
      </c>
      <c r="L299" s="131">
        <f>L524</f>
        <v>0</v>
      </c>
      <c r="M299" s="131">
        <f>M524</f>
        <v>0</v>
      </c>
      <c r="N299" s="131">
        <f ca="1">N524</f>
        <v>-105.76015535961885</v>
      </c>
      <c r="O299" s="131">
        <f>O524</f>
        <v>0</v>
      </c>
      <c r="P299" s="94"/>
    </row>
    <row r="300" spans="1:16">
      <c r="A300" s="94"/>
      <c r="B300" s="137"/>
      <c r="C300" s="74" t="s">
        <v>244</v>
      </c>
      <c r="F300" s="74"/>
      <c r="G300" s="133"/>
      <c r="H300" s="133"/>
      <c r="I300" s="133"/>
      <c r="J300" s="133"/>
      <c r="K300" s="498">
        <f>K538+K546</f>
        <v>0</v>
      </c>
      <c r="L300" s="498">
        <f>L538+L546</f>
        <v>0</v>
      </c>
      <c r="M300" s="498">
        <f>M538+M546</f>
        <v>0</v>
      </c>
      <c r="N300" s="498">
        <f>N538+N546</f>
        <v>-300</v>
      </c>
      <c r="O300" s="498">
        <f>O538+O546</f>
        <v>-200</v>
      </c>
      <c r="P300" s="121" t="s">
        <v>329</v>
      </c>
    </row>
    <row r="301" spans="1:16">
      <c r="A301" s="94"/>
      <c r="B301" s="137"/>
      <c r="C301" s="74" t="s">
        <v>245</v>
      </c>
      <c r="F301" s="74"/>
      <c r="G301" s="133"/>
      <c r="H301" s="133"/>
      <c r="I301" s="133"/>
      <c r="J301" s="133"/>
      <c r="K301" s="131">
        <f>SUM(K554:K557)</f>
        <v>0</v>
      </c>
      <c r="L301" s="131">
        <f>SUM(L554:L557)</f>
        <v>0</v>
      </c>
      <c r="M301" s="131">
        <f>SUM(M554:M557)</f>
        <v>0</v>
      </c>
      <c r="N301" s="131">
        <f ca="1">SUM(N554:N557)</f>
        <v>0</v>
      </c>
      <c r="O301" s="131">
        <f>SUM(O554:O557)</f>
        <v>200</v>
      </c>
      <c r="P301" s="94"/>
    </row>
    <row r="302" spans="1:16">
      <c r="A302" s="94"/>
      <c r="B302" s="137"/>
      <c r="C302" s="74" t="s">
        <v>163</v>
      </c>
      <c r="F302" s="74"/>
      <c r="G302" s="133"/>
      <c r="H302" s="133"/>
      <c r="I302" s="133"/>
      <c r="J302" s="133"/>
      <c r="K302" s="131">
        <f>K613</f>
        <v>0</v>
      </c>
      <c r="L302" s="131">
        <f>L613</f>
        <v>0</v>
      </c>
      <c r="M302" s="131">
        <f>M613</f>
        <v>0</v>
      </c>
      <c r="N302" s="131">
        <f>N613</f>
        <v>0</v>
      </c>
      <c r="O302" s="131">
        <f>O613</f>
        <v>0</v>
      </c>
      <c r="P302" s="94"/>
    </row>
    <row r="303" spans="1:16">
      <c r="A303" s="94"/>
      <c r="B303" s="137"/>
      <c r="C303" s="74" t="s">
        <v>164</v>
      </c>
      <c r="F303" s="74"/>
      <c r="G303" s="133"/>
      <c r="H303" s="133"/>
      <c r="I303" s="133"/>
      <c r="J303" s="133"/>
      <c r="K303" s="498">
        <f ca="1">-K618</f>
        <v>-13.27250550064768</v>
      </c>
      <c r="L303" s="498">
        <f ca="1">-L618</f>
        <v>-15.150204073301758</v>
      </c>
      <c r="M303" s="498">
        <f ca="1">-M618</f>
        <v>-18.852508933342364</v>
      </c>
      <c r="N303" s="498">
        <f ca="1">-N618</f>
        <v>-19.255825961170721</v>
      </c>
      <c r="O303" s="498">
        <f ca="1">-O618</f>
        <v>-21.473211718075181</v>
      </c>
      <c r="P303" s="121" t="s">
        <v>306</v>
      </c>
    </row>
    <row r="304" spans="1:16">
      <c r="A304" s="94"/>
      <c r="B304" s="137"/>
      <c r="C304" s="94" t="s">
        <v>141</v>
      </c>
      <c r="F304" s="74"/>
      <c r="G304" s="133"/>
      <c r="H304" s="133"/>
      <c r="I304" s="133"/>
      <c r="J304" s="133"/>
      <c r="K304" s="236">
        <f ca="1">SUM(K297:K303)</f>
        <v>-68.272505500647682</v>
      </c>
      <c r="L304" s="236">
        <f ca="1">SUM(L297:L303)</f>
        <v>-54.150204073301758</v>
      </c>
      <c r="M304" s="236">
        <f ca="1">SUM(M297:M303)</f>
        <v>-54.852508933342364</v>
      </c>
      <c r="N304" s="236">
        <f ca="1">SUM(N297:N303)</f>
        <v>-346.55766486835091</v>
      </c>
      <c r="O304" s="236">
        <f ca="1">SUM(O297:O303)</f>
        <v>-129.93152817051387</v>
      </c>
      <c r="P304" s="94"/>
    </row>
    <row r="305" spans="1:16">
      <c r="A305" s="94"/>
      <c r="B305" s="137"/>
      <c r="F305" s="74"/>
      <c r="G305" s="133"/>
      <c r="H305" s="133"/>
      <c r="I305" s="133"/>
      <c r="J305" s="133"/>
      <c r="K305" s="133"/>
      <c r="L305" s="133"/>
      <c r="M305" s="133"/>
      <c r="N305" s="133"/>
      <c r="O305" s="133"/>
      <c r="P305" s="94"/>
    </row>
    <row r="306" spans="1:16">
      <c r="A306" s="94"/>
      <c r="C306" s="87"/>
      <c r="F306" s="74"/>
      <c r="G306" s="133"/>
      <c r="H306" s="133"/>
      <c r="I306" s="133"/>
      <c r="J306" s="133"/>
      <c r="K306" s="133"/>
      <c r="L306" s="133"/>
      <c r="M306" s="133"/>
      <c r="N306" s="133"/>
      <c r="O306" s="133"/>
    </row>
    <row r="307" spans="1:16">
      <c r="A307" s="94"/>
      <c r="B307" s="239" t="s">
        <v>70</v>
      </c>
      <c r="C307" s="240"/>
      <c r="D307" s="222"/>
      <c r="E307" s="222"/>
      <c r="F307" s="222"/>
      <c r="G307" s="241"/>
      <c r="H307" s="242"/>
      <c r="I307" s="242"/>
      <c r="J307" s="242"/>
      <c r="K307" s="243">
        <f ca="1">K304+K293+K287</f>
        <v>10.220076156986892</v>
      </c>
      <c r="L307" s="243">
        <f ca="1">L304+L293+L287</f>
        <v>53.106195864735895</v>
      </c>
      <c r="M307" s="243">
        <f ca="1">M304+M293+M287</f>
        <v>85.325533571696013</v>
      </c>
      <c r="N307" s="243">
        <f ca="1">N304+N293+N287</f>
        <v>-211.85180559341876</v>
      </c>
      <c r="O307" s="244">
        <f ca="1">O304+O293+O287</f>
        <v>31.335474397877135</v>
      </c>
    </row>
    <row r="308" spans="1:16">
      <c r="A308" s="94"/>
      <c r="B308" s="108" t="s">
        <v>71</v>
      </c>
      <c r="C308" s="87"/>
      <c r="F308" s="74"/>
      <c r="G308" s="133"/>
      <c r="H308" s="133"/>
      <c r="I308" s="133"/>
      <c r="J308" s="133"/>
      <c r="K308" s="245">
        <f>J309</f>
        <v>73.2</v>
      </c>
      <c r="L308" s="245">
        <f ca="1">K309</f>
        <v>83.420076156986894</v>
      </c>
      <c r="M308" s="245">
        <f ca="1">L309</f>
        <v>136.52627202172278</v>
      </c>
      <c r="N308" s="245">
        <f ca="1">M309</f>
        <v>221.85180559341879</v>
      </c>
      <c r="O308" s="246">
        <f ca="1">N309</f>
        <v>10.000000000000028</v>
      </c>
    </row>
    <row r="309" spans="1:16">
      <c r="A309" s="94"/>
      <c r="B309" s="247" t="s">
        <v>72</v>
      </c>
      <c r="C309" s="200"/>
      <c r="D309" s="122"/>
      <c r="E309" s="122"/>
      <c r="F309" s="122"/>
      <c r="G309" s="141"/>
      <c r="H309" s="248"/>
      <c r="I309" s="248"/>
      <c r="J309" s="191">
        <f>J323</f>
        <v>73.2</v>
      </c>
      <c r="K309" s="191">
        <f ca="1">K308+K307</f>
        <v>83.420076156986894</v>
      </c>
      <c r="L309" s="191">
        <f ca="1">L308+L307</f>
        <v>136.52627202172278</v>
      </c>
      <c r="M309" s="191">
        <f ca="1">M308+M307</f>
        <v>221.85180559341879</v>
      </c>
      <c r="N309" s="191">
        <f ca="1">N308+N307</f>
        <v>10.000000000000028</v>
      </c>
      <c r="O309" s="249">
        <f ca="1">O308+O307</f>
        <v>41.335474397877164</v>
      </c>
    </row>
    <row r="310" spans="1:16">
      <c r="A310" s="94"/>
      <c r="B310" s="100"/>
      <c r="C310" s="87"/>
      <c r="F310" s="74"/>
      <c r="G310" s="133"/>
      <c r="H310" s="130"/>
      <c r="I310" s="130"/>
      <c r="J310" s="130"/>
      <c r="K310" s="130"/>
      <c r="L310" s="130"/>
      <c r="M310" s="130"/>
      <c r="N310" s="130"/>
      <c r="O310" s="130"/>
    </row>
    <row r="311" spans="1:16"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</row>
    <row r="312" spans="1:16">
      <c r="F312" s="74"/>
    </row>
    <row r="313" spans="1:16">
      <c r="F313" s="74"/>
    </row>
    <row r="314" spans="1:16" ht="12.75" customHeight="1">
      <c r="B314" s="71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3" t="str">
        <f>$O$139</f>
        <v>CURRENTLY RUNNING: BASE CASE SCENARIO</v>
      </c>
    </row>
    <row r="315" spans="1:16" ht="22.5">
      <c r="B315" s="71" t="str">
        <f>B$140</f>
        <v>Windsol Manufacturing</v>
      </c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</row>
    <row r="316" spans="1:16" ht="18.75">
      <c r="B316" s="75" t="s">
        <v>142</v>
      </c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</row>
    <row r="317" spans="1:16" ht="6" customHeight="1" thickBot="1">
      <c r="B317" s="125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</row>
    <row r="318" spans="1:16">
      <c r="B318" s="78" t="s">
        <v>268</v>
      </c>
      <c r="F318" s="74"/>
      <c r="O318" s="100"/>
    </row>
    <row r="319" spans="1:16" ht="13.5">
      <c r="F319" s="74"/>
      <c r="H319" s="79"/>
      <c r="I319" s="79"/>
      <c r="J319" s="79"/>
      <c r="K319" s="80" t="s">
        <v>6</v>
      </c>
      <c r="L319" s="81"/>
      <c r="M319" s="81"/>
      <c r="N319" s="81"/>
      <c r="O319" s="81"/>
    </row>
    <row r="320" spans="1:16">
      <c r="B320" s="250"/>
      <c r="F320" s="86"/>
      <c r="G320" s="128"/>
      <c r="H320" s="129"/>
      <c r="I320" s="129"/>
      <c r="J320" s="469">
        <f>J145</f>
        <v>2018</v>
      </c>
      <c r="K320" s="86">
        <f>K$145</f>
        <v>2019</v>
      </c>
      <c r="L320" s="86">
        <f>L$145</f>
        <v>2020</v>
      </c>
      <c r="M320" s="86">
        <f>M$145</f>
        <v>2021</v>
      </c>
      <c r="N320" s="86">
        <f>N$145</f>
        <v>2022</v>
      </c>
      <c r="O320" s="86">
        <f>O$145</f>
        <v>2023</v>
      </c>
    </row>
    <row r="321" spans="2:17">
      <c r="B321" s="250"/>
      <c r="F321" s="74"/>
      <c r="G321" s="128"/>
      <c r="H321" s="86"/>
      <c r="I321" s="86"/>
      <c r="J321" s="86"/>
      <c r="K321" s="86"/>
      <c r="L321" s="86"/>
      <c r="M321" s="86"/>
      <c r="N321" s="86"/>
      <c r="O321" s="86"/>
    </row>
    <row r="322" spans="2:17">
      <c r="B322" s="94" t="s">
        <v>17</v>
      </c>
      <c r="F322" s="74"/>
      <c r="P322" s="94"/>
    </row>
    <row r="323" spans="2:17">
      <c r="C323" s="74" t="s">
        <v>18</v>
      </c>
      <c r="F323" s="158"/>
      <c r="G323" s="132"/>
      <c r="H323" s="132"/>
      <c r="I323" s="132"/>
      <c r="J323" s="138">
        <v>73.2</v>
      </c>
      <c r="K323" s="131">
        <f ca="1">K309</f>
        <v>83.420076156986894</v>
      </c>
      <c r="L323" s="131">
        <f ca="1">L309</f>
        <v>136.52627202172278</v>
      </c>
      <c r="M323" s="131">
        <f ca="1">M309</f>
        <v>221.85180559341879</v>
      </c>
      <c r="N323" s="131">
        <f ca="1">N309</f>
        <v>10.000000000000028</v>
      </c>
      <c r="O323" s="131">
        <f ca="1">O309</f>
        <v>41.335474397877164</v>
      </c>
      <c r="P323" s="94"/>
    </row>
    <row r="324" spans="2:17">
      <c r="C324" s="74" t="s">
        <v>19</v>
      </c>
      <c r="F324" s="158"/>
      <c r="G324" s="132"/>
      <c r="H324" s="132"/>
      <c r="I324" s="132"/>
      <c r="J324" s="138">
        <v>144.19999999999999</v>
      </c>
      <c r="K324" s="498">
        <f t="shared" ref="K324:O325" si="49">K450</f>
        <v>149.23298487812056</v>
      </c>
      <c r="L324" s="498">
        <f t="shared" si="49"/>
        <v>149.9066963336661</v>
      </c>
      <c r="M324" s="498">
        <f t="shared" si="49"/>
        <v>153.58526723364076</v>
      </c>
      <c r="N324" s="498">
        <f t="shared" si="49"/>
        <v>158.933621942147</v>
      </c>
      <c r="O324" s="498">
        <f t="shared" si="49"/>
        <v>166.37620315087466</v>
      </c>
      <c r="P324" s="121" t="s">
        <v>307</v>
      </c>
    </row>
    <row r="325" spans="2:17">
      <c r="C325" s="74" t="s">
        <v>20</v>
      </c>
      <c r="F325" s="158"/>
      <c r="G325" s="132"/>
      <c r="H325" s="132"/>
      <c r="I325" s="132"/>
      <c r="J325" s="138">
        <v>199.3</v>
      </c>
      <c r="K325" s="131">
        <f t="shared" si="49"/>
        <v>235.69395208767122</v>
      </c>
      <c r="L325" s="131">
        <f t="shared" si="49"/>
        <v>238.29698414271911</v>
      </c>
      <c r="M325" s="131">
        <f t="shared" si="49"/>
        <v>243.22811542547046</v>
      </c>
      <c r="N325" s="131">
        <f t="shared" si="49"/>
        <v>253.60259880130192</v>
      </c>
      <c r="O325" s="131">
        <f t="shared" si="49"/>
        <v>259.34997953680528</v>
      </c>
      <c r="P325" s="94"/>
    </row>
    <row r="326" spans="2:17">
      <c r="C326" s="100" t="s">
        <v>15</v>
      </c>
      <c r="F326" s="158"/>
      <c r="G326" s="132"/>
      <c r="H326" s="132"/>
      <c r="I326" s="132"/>
      <c r="J326" s="190">
        <v>10.3</v>
      </c>
      <c r="K326" s="191">
        <f>J326</f>
        <v>10.3</v>
      </c>
      <c r="L326" s="191">
        <f>K326</f>
        <v>10.3</v>
      </c>
      <c r="M326" s="191">
        <f>L326</f>
        <v>10.3</v>
      </c>
      <c r="N326" s="191">
        <f>M326</f>
        <v>10.3</v>
      </c>
      <c r="O326" s="191">
        <f>N326</f>
        <v>10.3</v>
      </c>
      <c r="P326" s="94"/>
    </row>
    <row r="327" spans="2:17">
      <c r="C327" s="87" t="s">
        <v>21</v>
      </c>
      <c r="F327" s="178"/>
      <c r="G327" s="130"/>
      <c r="H327" s="130"/>
      <c r="I327" s="130"/>
      <c r="J327" s="131">
        <f t="shared" ref="J327:O327" si="50">SUM(J323:J326)</f>
        <v>427</v>
      </c>
      <c r="K327" s="131">
        <f t="shared" ca="1" si="50"/>
        <v>478.64701312277867</v>
      </c>
      <c r="L327" s="131">
        <f t="shared" ca="1" si="50"/>
        <v>535.02995249810795</v>
      </c>
      <c r="M327" s="131">
        <f t="shared" ca="1" si="50"/>
        <v>628.96518825252997</v>
      </c>
      <c r="N327" s="131">
        <f t="shared" ca="1" si="50"/>
        <v>432.83622074344896</v>
      </c>
      <c r="O327" s="131">
        <f t="shared" ca="1" si="50"/>
        <v>477.36165708555711</v>
      </c>
      <c r="P327" s="94"/>
    </row>
    <row r="328" spans="2:17">
      <c r="F328" s="130"/>
      <c r="G328" s="130"/>
      <c r="H328" s="130"/>
      <c r="I328" s="130"/>
      <c r="J328" s="251"/>
      <c r="K328" s="251"/>
      <c r="L328" s="251"/>
      <c r="M328" s="251"/>
      <c r="N328" s="251"/>
      <c r="O328" s="251"/>
      <c r="P328" s="94"/>
    </row>
    <row r="329" spans="2:17">
      <c r="C329" s="74" t="s">
        <v>22</v>
      </c>
      <c r="F329" s="158"/>
      <c r="G329" s="132"/>
      <c r="H329" s="132"/>
      <c r="I329" s="132"/>
      <c r="J329" s="138">
        <v>973</v>
      </c>
      <c r="K329" s="498">
        <f>J329-K283-K291</f>
        <v>1041.95</v>
      </c>
      <c r="L329" s="498">
        <f>K329-L283-L291</f>
        <v>1115.9000000000001</v>
      </c>
      <c r="M329" s="498">
        <f>L329-M283-M291</f>
        <v>1186.5610000000001</v>
      </c>
      <c r="N329" s="498">
        <f>M329-N283-N291</f>
        <v>1254.5302200000001</v>
      </c>
      <c r="O329" s="498">
        <f>N329-O283-O291</f>
        <v>1319.7538244000002</v>
      </c>
      <c r="P329" s="121" t="s">
        <v>308</v>
      </c>
    </row>
    <row r="330" spans="2:17">
      <c r="C330" s="100" t="s">
        <v>15</v>
      </c>
      <c r="F330" s="158"/>
      <c r="G330" s="132"/>
      <c r="H330" s="132"/>
      <c r="I330" s="132"/>
      <c r="J330" s="138">
        <v>16</v>
      </c>
      <c r="K330" s="131">
        <f>J330</f>
        <v>16</v>
      </c>
      <c r="L330" s="131">
        <f>K330</f>
        <v>16</v>
      </c>
      <c r="M330" s="131">
        <f>L330</f>
        <v>16</v>
      </c>
      <c r="N330" s="131">
        <f>M330</f>
        <v>16</v>
      </c>
      <c r="O330" s="131">
        <f>N330</f>
        <v>16</v>
      </c>
      <c r="P330" s="94"/>
    </row>
    <row r="331" spans="2:17" ht="13.5" thickBot="1">
      <c r="C331" s="94" t="s">
        <v>23</v>
      </c>
      <c r="F331" s="178"/>
      <c r="G331" s="133"/>
      <c r="H331" s="134"/>
      <c r="I331" s="134"/>
      <c r="J331" s="135">
        <f t="shared" ref="J331:O331" si="51">SUM(J327:J330)</f>
        <v>1416</v>
      </c>
      <c r="K331" s="135">
        <f t="shared" ca="1" si="51"/>
        <v>1536.5970131227787</v>
      </c>
      <c r="L331" s="135">
        <f t="shared" ca="1" si="51"/>
        <v>1666.9299524981079</v>
      </c>
      <c r="M331" s="135">
        <f t="shared" ca="1" si="51"/>
        <v>1831.5261882525301</v>
      </c>
      <c r="N331" s="135">
        <f t="shared" ca="1" si="51"/>
        <v>1703.3664407434489</v>
      </c>
      <c r="O331" s="135">
        <f t="shared" ca="1" si="51"/>
        <v>1813.1154814855572</v>
      </c>
      <c r="P331" s="94"/>
      <c r="Q331" s="431"/>
    </row>
    <row r="332" spans="2:17" ht="13.5" thickTop="1"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94"/>
      <c r="Q332" s="139"/>
    </row>
    <row r="333" spans="2:17"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94"/>
      <c r="Q333" s="432"/>
    </row>
    <row r="334" spans="2:17">
      <c r="B334" s="87" t="s">
        <v>24</v>
      </c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94"/>
    </row>
    <row r="335" spans="2:17">
      <c r="C335" s="100" t="s">
        <v>226</v>
      </c>
      <c r="F335" s="158"/>
      <c r="G335" s="132"/>
      <c r="H335" s="132"/>
      <c r="I335" s="132"/>
      <c r="J335" s="138">
        <v>10</v>
      </c>
      <c r="K335" s="131">
        <f ca="1">K491</f>
        <v>0</v>
      </c>
      <c r="L335" s="131">
        <f ca="1">L491</f>
        <v>0</v>
      </c>
      <c r="M335" s="131">
        <f ca="1">M491</f>
        <v>0</v>
      </c>
      <c r="N335" s="131">
        <f ca="1">N491</f>
        <v>108.45831645243865</v>
      </c>
      <c r="O335" s="131">
        <f ca="1">O491</f>
        <v>0</v>
      </c>
      <c r="P335" s="94"/>
    </row>
    <row r="336" spans="2:17">
      <c r="C336" s="100" t="s">
        <v>25</v>
      </c>
      <c r="F336" s="158"/>
      <c r="G336" s="132"/>
      <c r="H336" s="132"/>
      <c r="I336" s="132"/>
      <c r="J336" s="138">
        <v>134.80000000000001</v>
      </c>
      <c r="K336" s="131">
        <f>K452</f>
        <v>165.85870702465752</v>
      </c>
      <c r="L336" s="131">
        <f>L452</f>
        <v>175.35061097294425</v>
      </c>
      <c r="M336" s="131">
        <f>M452</f>
        <v>187.09855032728495</v>
      </c>
      <c r="N336" s="131">
        <f>N452</f>
        <v>195.07892215484762</v>
      </c>
      <c r="O336" s="131">
        <f>O452</f>
        <v>203.41174865631788</v>
      </c>
      <c r="P336" s="94"/>
    </row>
    <row r="337" spans="2:16">
      <c r="C337" s="100" t="s">
        <v>227</v>
      </c>
      <c r="F337" s="158"/>
      <c r="G337" s="132"/>
      <c r="H337" s="132"/>
      <c r="I337" s="132"/>
      <c r="J337" s="138">
        <v>45</v>
      </c>
      <c r="K337" s="131">
        <f>K598</f>
        <v>39</v>
      </c>
      <c r="L337" s="131">
        <f>L598</f>
        <v>36</v>
      </c>
      <c r="M337" s="131">
        <f ca="1">M598</f>
        <v>435.76015535961886</v>
      </c>
      <c r="N337" s="131">
        <f>N598</f>
        <v>200</v>
      </c>
      <c r="O337" s="131">
        <f>O598</f>
        <v>0</v>
      </c>
      <c r="P337" s="94"/>
    </row>
    <row r="338" spans="2:16">
      <c r="C338" s="100" t="s">
        <v>15</v>
      </c>
      <c r="F338" s="158"/>
      <c r="G338" s="132"/>
      <c r="H338" s="132"/>
      <c r="I338" s="132"/>
      <c r="J338" s="190">
        <v>9</v>
      </c>
      <c r="K338" s="191">
        <f>J338</f>
        <v>9</v>
      </c>
      <c r="L338" s="191">
        <f>K338</f>
        <v>9</v>
      </c>
      <c r="M338" s="191">
        <f>L338</f>
        <v>9</v>
      </c>
      <c r="N338" s="191">
        <f>M338</f>
        <v>9</v>
      </c>
      <c r="O338" s="191">
        <f>N338</f>
        <v>9</v>
      </c>
      <c r="P338" s="94"/>
    </row>
    <row r="339" spans="2:16">
      <c r="C339" s="87" t="s">
        <v>26</v>
      </c>
      <c r="F339" s="178"/>
      <c r="G339" s="130"/>
      <c r="H339" s="130"/>
      <c r="I339" s="130"/>
      <c r="J339" s="131">
        <f t="shared" ref="J339:O339" si="52">SUM(J335:J338)</f>
        <v>198.8</v>
      </c>
      <c r="K339" s="131">
        <f t="shared" ca="1" si="52"/>
        <v>213.85870702465752</v>
      </c>
      <c r="L339" s="131">
        <f t="shared" ca="1" si="52"/>
        <v>220.35061097294425</v>
      </c>
      <c r="M339" s="131">
        <f t="shared" ca="1" si="52"/>
        <v>631.85870568690382</v>
      </c>
      <c r="N339" s="131">
        <f t="shared" ca="1" si="52"/>
        <v>512.53723860728633</v>
      </c>
      <c r="O339" s="131">
        <f t="shared" ca="1" si="52"/>
        <v>212.41174865631788</v>
      </c>
      <c r="P339" s="94"/>
    </row>
    <row r="340" spans="2:16"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94"/>
    </row>
    <row r="341" spans="2:16">
      <c r="C341" s="74" t="s">
        <v>221</v>
      </c>
      <c r="F341" s="158"/>
      <c r="G341" s="130"/>
      <c r="H341" s="132"/>
      <c r="I341" s="132"/>
      <c r="J341" s="138">
        <v>45.3</v>
      </c>
      <c r="K341" s="498">
        <f ca="1">J341+K415</f>
        <v>67.545999999999992</v>
      </c>
      <c r="L341" s="498">
        <f ca="1">K341+L415</f>
        <v>88.114799999999988</v>
      </c>
      <c r="M341" s="498">
        <f ca="1">L341+M415</f>
        <v>107.290516</v>
      </c>
      <c r="N341" s="498">
        <f ca="1">M341+N415</f>
        <v>125.14980192000002</v>
      </c>
      <c r="O341" s="498">
        <f ca="1">N341+O415</f>
        <v>141.76542715040003</v>
      </c>
      <c r="P341" s="121" t="s">
        <v>327</v>
      </c>
    </row>
    <row r="342" spans="2:16">
      <c r="C342" s="100" t="s">
        <v>225</v>
      </c>
      <c r="F342" s="158"/>
      <c r="G342" s="252"/>
      <c r="H342" s="132"/>
      <c r="I342" s="132"/>
      <c r="J342" s="138">
        <v>705</v>
      </c>
      <c r="K342" s="131">
        <f ca="1">K599</f>
        <v>668.83975659229213</v>
      </c>
      <c r="L342" s="131">
        <f ca="1">L599</f>
        <v>635.76015535961892</v>
      </c>
      <c r="M342" s="131">
        <f ca="1">M599</f>
        <v>200.00000000000006</v>
      </c>
      <c r="N342" s="131">
        <f ca="1">N599</f>
        <v>0</v>
      </c>
      <c r="O342" s="131">
        <f ca="1">O599</f>
        <v>200</v>
      </c>
      <c r="P342" s="94"/>
    </row>
    <row r="343" spans="2:16">
      <c r="C343" s="100" t="s">
        <v>15</v>
      </c>
      <c r="F343" s="158"/>
      <c r="G343" s="252"/>
      <c r="H343" s="132"/>
      <c r="I343" s="132"/>
      <c r="J343" s="190">
        <v>60</v>
      </c>
      <c r="K343" s="191">
        <f>J343</f>
        <v>60</v>
      </c>
      <c r="L343" s="516">
        <f>K343</f>
        <v>60</v>
      </c>
      <c r="M343" s="516">
        <f>L343</f>
        <v>60</v>
      </c>
      <c r="N343" s="516">
        <f>M343</f>
        <v>60</v>
      </c>
      <c r="O343" s="516">
        <f>N343</f>
        <v>60</v>
      </c>
      <c r="P343" s="121" t="s">
        <v>326</v>
      </c>
    </row>
    <row r="344" spans="2:16">
      <c r="C344" s="137" t="s">
        <v>27</v>
      </c>
      <c r="F344" s="178"/>
      <c r="G344" s="132"/>
      <c r="H344" s="130"/>
      <c r="I344" s="130"/>
      <c r="J344" s="131">
        <f t="shared" ref="J344:O344" si="53">SUM(J341:J343)</f>
        <v>810.3</v>
      </c>
      <c r="K344" s="131">
        <f t="shared" ca="1" si="53"/>
        <v>796.38575659229218</v>
      </c>
      <c r="L344" s="131">
        <f t="shared" ca="1" si="53"/>
        <v>783.87495535961887</v>
      </c>
      <c r="M344" s="131">
        <f t="shared" ca="1" si="53"/>
        <v>367.29051600000003</v>
      </c>
      <c r="N344" s="131">
        <f t="shared" ca="1" si="53"/>
        <v>185.14980192000002</v>
      </c>
      <c r="O344" s="131">
        <f t="shared" ca="1" si="53"/>
        <v>401.7654271504</v>
      </c>
      <c r="P344" s="94"/>
    </row>
    <row r="345" spans="2:16">
      <c r="C345" s="87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94"/>
    </row>
    <row r="346" spans="2:16">
      <c r="C346" s="137" t="s">
        <v>28</v>
      </c>
      <c r="F346" s="178"/>
      <c r="G346" s="133"/>
      <c r="H346" s="133"/>
      <c r="I346" s="133"/>
      <c r="J346" s="193">
        <f t="shared" ref="J346:O346" si="54">J344+J339</f>
        <v>1009.0999999999999</v>
      </c>
      <c r="K346" s="193">
        <f t="shared" ca="1" si="54"/>
        <v>1010.2444636169497</v>
      </c>
      <c r="L346" s="193">
        <f t="shared" ca="1" si="54"/>
        <v>1004.2255663325632</v>
      </c>
      <c r="M346" s="193">
        <f t="shared" ca="1" si="54"/>
        <v>999.14922168690384</v>
      </c>
      <c r="N346" s="193">
        <f t="shared" ca="1" si="54"/>
        <v>697.6870405272864</v>
      </c>
      <c r="O346" s="193">
        <f t="shared" ca="1" si="54"/>
        <v>614.17717580671786</v>
      </c>
      <c r="P346" s="94"/>
    </row>
    <row r="347" spans="2:16"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94"/>
    </row>
    <row r="348" spans="2:16">
      <c r="C348" s="74" t="s">
        <v>156</v>
      </c>
      <c r="F348" s="158"/>
      <c r="G348" s="130"/>
      <c r="H348" s="130"/>
      <c r="I348" s="130"/>
      <c r="J348" s="138">
        <v>59.2</v>
      </c>
      <c r="K348" s="131">
        <f>K614</f>
        <v>59.2</v>
      </c>
      <c r="L348" s="131">
        <f>L614</f>
        <v>59.2</v>
      </c>
      <c r="M348" s="131">
        <f>M614</f>
        <v>59.2</v>
      </c>
      <c r="N348" s="131">
        <f>N614</f>
        <v>59.2</v>
      </c>
      <c r="O348" s="131">
        <f>O614</f>
        <v>59.2</v>
      </c>
      <c r="P348" s="94"/>
    </row>
    <row r="349" spans="2:16">
      <c r="C349" s="74" t="s">
        <v>159</v>
      </c>
      <c r="F349" s="158"/>
      <c r="G349" s="130"/>
      <c r="H349" s="130"/>
      <c r="I349" s="130"/>
      <c r="J349" s="190">
        <v>347.7</v>
      </c>
      <c r="K349" s="191">
        <f ca="1">K625</f>
        <v>467.15254950582909</v>
      </c>
      <c r="L349" s="191">
        <f ca="1">L625</f>
        <v>603.50438616554482</v>
      </c>
      <c r="M349" s="191">
        <f ca="1">M625</f>
        <v>773.176966565626</v>
      </c>
      <c r="N349" s="191">
        <f ca="1">N625</f>
        <v>946.4794002161625</v>
      </c>
      <c r="O349" s="191">
        <f ca="1">O625</f>
        <v>1139.7383056788392</v>
      </c>
      <c r="P349" s="94"/>
    </row>
    <row r="350" spans="2:16">
      <c r="C350" s="87" t="s">
        <v>29</v>
      </c>
      <c r="F350" s="178"/>
      <c r="G350" s="132"/>
      <c r="H350" s="132"/>
      <c r="I350" s="132"/>
      <c r="J350" s="193">
        <f t="shared" ref="J350:O350" si="55">SUM(J348:J349)</f>
        <v>406.9</v>
      </c>
      <c r="K350" s="193">
        <f t="shared" ca="1" si="55"/>
        <v>526.35254950582907</v>
      </c>
      <c r="L350" s="193">
        <f t="shared" ca="1" si="55"/>
        <v>662.70438616554486</v>
      </c>
      <c r="M350" s="193">
        <f t="shared" ca="1" si="55"/>
        <v>832.37696656562605</v>
      </c>
      <c r="N350" s="193">
        <f t="shared" ca="1" si="55"/>
        <v>1005.6794002161625</v>
      </c>
      <c r="O350" s="193">
        <f t="shared" ca="1" si="55"/>
        <v>1198.9383056788392</v>
      </c>
      <c r="P350" s="94"/>
    </row>
    <row r="351" spans="2:16"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94"/>
    </row>
    <row r="352" spans="2:16" ht="13.5" thickBot="1">
      <c r="B352" s="87" t="s">
        <v>30</v>
      </c>
      <c r="F352" s="178"/>
      <c r="G352" s="133"/>
      <c r="H352" s="134"/>
      <c r="I352" s="134"/>
      <c r="J352" s="135">
        <f t="shared" ref="J352:O352" si="56">J350+J346</f>
        <v>1416</v>
      </c>
      <c r="K352" s="135">
        <f t="shared" ca="1" si="56"/>
        <v>1536.5970131227787</v>
      </c>
      <c r="L352" s="135">
        <f t="shared" ca="1" si="56"/>
        <v>1666.9299524981079</v>
      </c>
      <c r="M352" s="135">
        <f t="shared" ca="1" si="56"/>
        <v>1831.5261882525299</v>
      </c>
      <c r="N352" s="135">
        <f t="shared" ca="1" si="56"/>
        <v>1703.3664407434489</v>
      </c>
      <c r="O352" s="135">
        <f t="shared" ca="1" si="56"/>
        <v>1813.1154814855572</v>
      </c>
      <c r="P352" s="94"/>
    </row>
    <row r="353" spans="1:248" ht="13.5" thickTop="1"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94"/>
    </row>
    <row r="354" spans="1:248">
      <c r="B354" s="126"/>
      <c r="D354" s="140" t="s">
        <v>31</v>
      </c>
      <c r="F354" s="253"/>
      <c r="G354" s="253"/>
      <c r="H354" s="253"/>
      <c r="I354" s="253"/>
      <c r="J354" s="253">
        <f t="shared" ref="J354:O354" si="57">J331-J352</f>
        <v>0</v>
      </c>
      <c r="K354" s="253">
        <f t="shared" ca="1" si="57"/>
        <v>0</v>
      </c>
      <c r="L354" s="253">
        <f t="shared" ca="1" si="57"/>
        <v>0</v>
      </c>
      <c r="M354" s="253">
        <f t="shared" ca="1" si="57"/>
        <v>0</v>
      </c>
      <c r="N354" s="253">
        <f t="shared" ca="1" si="57"/>
        <v>0</v>
      </c>
      <c r="O354" s="253">
        <f t="shared" ca="1" si="57"/>
        <v>0</v>
      </c>
    </row>
    <row r="355" spans="1:248">
      <c r="B355" s="254"/>
      <c r="C355" s="122"/>
      <c r="D355" s="542" t="s">
        <v>328</v>
      </c>
      <c r="E355" s="122"/>
      <c r="F355" s="122"/>
      <c r="G355" s="122"/>
      <c r="H355" s="122"/>
      <c r="I355" s="122"/>
      <c r="J355" s="122"/>
      <c r="K355" s="255"/>
      <c r="L355" s="255"/>
      <c r="M355" s="255"/>
      <c r="N355" s="255"/>
      <c r="O355" s="255"/>
    </row>
    <row r="356" spans="1:248">
      <c r="B356" s="126"/>
      <c r="F356" s="74"/>
      <c r="K356" s="256"/>
      <c r="L356" s="256"/>
      <c r="M356" s="256"/>
      <c r="N356" s="256"/>
      <c r="O356" s="256"/>
    </row>
    <row r="357" spans="1:248">
      <c r="F357" s="74"/>
    </row>
    <row r="358" spans="1:248" ht="12.75" customHeight="1">
      <c r="B358" s="257"/>
      <c r="C358" s="258"/>
      <c r="D358" s="258"/>
      <c r="E358" s="259"/>
      <c r="F358" s="259"/>
      <c r="G358" s="260"/>
      <c r="H358" s="260"/>
      <c r="I358" s="260"/>
      <c r="J358" s="260"/>
      <c r="K358" s="260"/>
      <c r="L358" s="260"/>
      <c r="M358" s="260"/>
      <c r="N358" s="260"/>
      <c r="O358" s="73" t="str">
        <f>$O$139</f>
        <v>CURRENTLY RUNNING: BASE CASE SCENARIO</v>
      </c>
    </row>
    <row r="359" spans="1:248" ht="22.9" customHeight="1">
      <c r="B359" s="71" t="str">
        <f>B$140</f>
        <v>Windsol Manufacturing</v>
      </c>
      <c r="C359" s="258"/>
      <c r="D359" s="258"/>
      <c r="E359" s="259"/>
      <c r="F359" s="259"/>
      <c r="G359" s="260"/>
      <c r="H359" s="260"/>
      <c r="I359" s="260"/>
      <c r="J359" s="260"/>
      <c r="K359" s="260"/>
      <c r="L359" s="260"/>
      <c r="M359" s="260"/>
      <c r="N359" s="260"/>
      <c r="O359" s="260"/>
    </row>
    <row r="360" spans="1:248" ht="18.75">
      <c r="B360" s="75" t="s">
        <v>180</v>
      </c>
      <c r="C360" s="75"/>
      <c r="D360" s="75"/>
      <c r="E360" s="261"/>
      <c r="F360" s="261"/>
      <c r="G360" s="75"/>
      <c r="H360" s="75"/>
      <c r="I360" s="75"/>
      <c r="J360" s="75"/>
      <c r="K360" s="75"/>
      <c r="L360" s="75"/>
      <c r="M360" s="75"/>
      <c r="N360" s="75"/>
      <c r="O360" s="75"/>
    </row>
    <row r="361" spans="1:248" ht="6" customHeight="1" thickBot="1">
      <c r="B361" s="262"/>
      <c r="C361" s="262"/>
      <c r="D361" s="262"/>
      <c r="E361" s="263"/>
      <c r="F361" s="263"/>
      <c r="G361" s="262"/>
      <c r="H361" s="262"/>
      <c r="I361" s="262"/>
      <c r="J361" s="262"/>
      <c r="K361" s="262"/>
      <c r="L361" s="262"/>
      <c r="M361" s="262"/>
      <c r="N361" s="262"/>
      <c r="O361" s="262"/>
    </row>
    <row r="362" spans="1:248">
      <c r="B362" s="78" t="s">
        <v>268</v>
      </c>
      <c r="C362" s="126"/>
      <c r="E362" s="117"/>
      <c r="G362" s="126"/>
    </row>
    <row r="363" spans="1:248" ht="13.5">
      <c r="E363" s="117"/>
      <c r="K363" s="80" t="s">
        <v>6</v>
      </c>
      <c r="L363" s="264"/>
      <c r="M363" s="264"/>
      <c r="N363" s="264"/>
      <c r="O363" s="264"/>
    </row>
    <row r="364" spans="1:248">
      <c r="C364" s="94"/>
      <c r="D364" s="94"/>
      <c r="E364" s="192"/>
      <c r="F364" s="265"/>
      <c r="G364" s="85"/>
      <c r="H364" s="129">
        <f>H145</f>
        <v>2016</v>
      </c>
      <c r="I364" s="129">
        <f>I145</f>
        <v>2017</v>
      </c>
      <c r="J364" s="469">
        <f>J145</f>
        <v>2018</v>
      </c>
      <c r="K364" s="266">
        <f>K$145</f>
        <v>2019</v>
      </c>
      <c r="L364" s="266">
        <f>L$145</f>
        <v>2020</v>
      </c>
      <c r="M364" s="266">
        <f>M$145</f>
        <v>2021</v>
      </c>
      <c r="N364" s="266">
        <f>N$145</f>
        <v>2022</v>
      </c>
      <c r="O364" s="266">
        <f>O$145</f>
        <v>2023</v>
      </c>
    </row>
    <row r="366" spans="1:248" ht="13.15" customHeight="1">
      <c r="A366" s="267"/>
      <c r="B366" s="268" t="s">
        <v>207</v>
      </c>
      <c r="C366" s="222"/>
      <c r="D366" s="269"/>
      <c r="E366" s="270"/>
      <c r="F366" s="271">
        <f>I35</f>
        <v>20</v>
      </c>
      <c r="K366" s="272"/>
      <c r="L366" s="89"/>
      <c r="M366" s="89"/>
      <c r="N366" s="89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273"/>
      <c r="EI366" s="273"/>
      <c r="EJ366" s="273"/>
      <c r="EK366" s="273"/>
      <c r="EL366" s="273"/>
      <c r="EM366" s="273"/>
      <c r="EN366" s="273"/>
      <c r="EO366" s="273"/>
      <c r="EP366" s="273"/>
      <c r="EQ366" s="273"/>
      <c r="ER366" s="273"/>
      <c r="ES366" s="273"/>
      <c r="ET366" s="273"/>
      <c r="EU366" s="273"/>
      <c r="EV366" s="273"/>
      <c r="EW366" s="273"/>
      <c r="EX366" s="273"/>
      <c r="EY366" s="273"/>
      <c r="EZ366" s="273"/>
      <c r="FA366" s="273"/>
      <c r="FB366" s="273"/>
      <c r="FC366" s="273"/>
      <c r="FD366" s="273"/>
      <c r="FE366" s="273"/>
      <c r="FF366" s="273"/>
      <c r="FG366" s="273"/>
      <c r="FH366" s="273"/>
      <c r="FI366" s="273"/>
      <c r="FJ366" s="273"/>
      <c r="FK366" s="273"/>
      <c r="FL366" s="273"/>
      <c r="FM366" s="273"/>
      <c r="FN366" s="273"/>
      <c r="FO366" s="273"/>
      <c r="FP366" s="273"/>
      <c r="FQ366" s="273"/>
      <c r="FR366" s="273"/>
      <c r="FS366" s="273"/>
      <c r="FT366" s="273"/>
      <c r="FU366" s="273"/>
      <c r="FV366" s="273"/>
      <c r="FW366" s="273"/>
      <c r="FX366" s="273"/>
      <c r="FY366" s="273"/>
      <c r="FZ366" s="273"/>
      <c r="GA366" s="273"/>
      <c r="GB366" s="273"/>
      <c r="GC366" s="273"/>
      <c r="GD366" s="273"/>
      <c r="GE366" s="273"/>
      <c r="GF366" s="273"/>
      <c r="GG366" s="273"/>
      <c r="GH366" s="273"/>
      <c r="GI366" s="273"/>
      <c r="GJ366" s="273"/>
      <c r="GK366" s="273"/>
      <c r="GL366" s="273"/>
      <c r="GM366" s="273"/>
      <c r="GN366" s="273"/>
      <c r="GO366" s="273"/>
      <c r="GP366" s="273"/>
      <c r="GQ366" s="273"/>
      <c r="GR366" s="273"/>
      <c r="GS366" s="273"/>
      <c r="GT366" s="273"/>
      <c r="GU366" s="273"/>
      <c r="GV366" s="273"/>
      <c r="GW366" s="273"/>
      <c r="GX366" s="273"/>
      <c r="GY366" s="273"/>
      <c r="GZ366" s="273"/>
      <c r="HA366" s="273"/>
      <c r="HB366" s="273"/>
      <c r="HC366" s="273"/>
      <c r="HD366" s="273"/>
      <c r="HE366" s="273"/>
      <c r="HF366" s="273"/>
      <c r="HG366" s="273"/>
      <c r="HH366" s="273"/>
      <c r="HI366" s="273"/>
      <c r="HJ366" s="273"/>
      <c r="HK366" s="273"/>
      <c r="HL366" s="273"/>
      <c r="HM366" s="273"/>
      <c r="HN366" s="273"/>
      <c r="HO366" s="273"/>
      <c r="HP366" s="273"/>
      <c r="HQ366" s="273"/>
      <c r="HR366" s="273"/>
      <c r="HS366" s="273"/>
      <c r="HT366" s="273"/>
      <c r="HU366" s="273"/>
      <c r="HV366" s="273"/>
      <c r="HW366" s="273"/>
      <c r="HX366" s="273"/>
      <c r="HY366" s="273"/>
      <c r="HZ366" s="273"/>
      <c r="IA366" s="273"/>
      <c r="IB366" s="273"/>
      <c r="IC366" s="273"/>
      <c r="ID366" s="273"/>
      <c r="IE366" s="273"/>
      <c r="IF366" s="273"/>
      <c r="IG366" s="273"/>
      <c r="IH366" s="273"/>
      <c r="II366" s="273"/>
      <c r="IJ366" s="273"/>
      <c r="IK366" s="273"/>
      <c r="IL366" s="273"/>
      <c r="IM366" s="273"/>
      <c r="IN366" s="273"/>
    </row>
    <row r="367" spans="1:248" ht="13.15" customHeight="1">
      <c r="A367" s="267"/>
      <c r="B367" s="274" t="s">
        <v>208</v>
      </c>
      <c r="C367" s="122"/>
      <c r="D367" s="275"/>
      <c r="E367" s="276"/>
      <c r="F367" s="277">
        <f>I36</f>
        <v>25</v>
      </c>
      <c r="K367" s="272"/>
      <c r="L367" s="89"/>
      <c r="M367" s="89"/>
      <c r="N367" s="89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  <c r="BB367" s="273"/>
      <c r="BC367" s="273"/>
      <c r="BD367" s="273"/>
      <c r="BE367" s="273"/>
      <c r="BF367" s="273"/>
      <c r="BG367" s="273"/>
      <c r="BH367" s="273"/>
      <c r="BI367" s="273"/>
      <c r="BJ367" s="273"/>
      <c r="BK367" s="273"/>
      <c r="BL367" s="273"/>
      <c r="BM367" s="273"/>
      <c r="BN367" s="273"/>
      <c r="BO367" s="273"/>
      <c r="BP367" s="273"/>
      <c r="BQ367" s="273"/>
      <c r="BR367" s="273"/>
      <c r="BS367" s="273"/>
      <c r="BT367" s="273"/>
      <c r="BU367" s="273"/>
      <c r="BV367" s="273"/>
      <c r="BW367" s="273"/>
      <c r="BX367" s="273"/>
      <c r="BY367" s="273"/>
      <c r="BZ367" s="273"/>
      <c r="CA367" s="273"/>
      <c r="CB367" s="273"/>
      <c r="CC367" s="273"/>
      <c r="CD367" s="273"/>
      <c r="CE367" s="273"/>
      <c r="CF367" s="273"/>
      <c r="CG367" s="273"/>
      <c r="CH367" s="273"/>
      <c r="CI367" s="273"/>
      <c r="CJ367" s="273"/>
      <c r="CK367" s="273"/>
      <c r="CL367" s="273"/>
      <c r="CM367" s="273"/>
      <c r="CN367" s="273"/>
      <c r="CO367" s="273"/>
      <c r="CP367" s="273"/>
      <c r="CQ367" s="273"/>
      <c r="CR367" s="273"/>
      <c r="CS367" s="273"/>
      <c r="CT367" s="273"/>
      <c r="CU367" s="273"/>
      <c r="CV367" s="273"/>
      <c r="CW367" s="273"/>
      <c r="CX367" s="273"/>
      <c r="CY367" s="273"/>
      <c r="CZ367" s="273"/>
      <c r="DA367" s="273"/>
      <c r="DB367" s="273"/>
      <c r="DC367" s="273"/>
      <c r="DD367" s="273"/>
      <c r="DE367" s="273"/>
      <c r="DF367" s="273"/>
      <c r="DG367" s="273"/>
      <c r="DH367" s="273"/>
      <c r="DI367" s="273"/>
      <c r="DJ367" s="273"/>
      <c r="DK367" s="273"/>
      <c r="DL367" s="273"/>
      <c r="DM367" s="273"/>
      <c r="DN367" s="273"/>
      <c r="DO367" s="273"/>
      <c r="DP367" s="273"/>
      <c r="DQ367" s="273"/>
      <c r="DR367" s="273"/>
      <c r="DS367" s="273"/>
      <c r="DT367" s="273"/>
      <c r="DU367" s="273"/>
      <c r="DV367" s="273"/>
      <c r="DW367" s="273"/>
      <c r="DX367" s="273"/>
      <c r="DY367" s="273"/>
      <c r="DZ367" s="273"/>
      <c r="EA367" s="273"/>
      <c r="EB367" s="273"/>
      <c r="EC367" s="273"/>
      <c r="ED367" s="273"/>
      <c r="EE367" s="273"/>
      <c r="EF367" s="273"/>
      <c r="EG367" s="273"/>
      <c r="EH367" s="273"/>
      <c r="EI367" s="273"/>
      <c r="EJ367" s="273"/>
      <c r="EK367" s="273"/>
      <c r="EL367" s="273"/>
      <c r="EM367" s="273"/>
      <c r="EN367" s="273"/>
      <c r="EO367" s="273"/>
      <c r="EP367" s="273"/>
      <c r="EQ367" s="273"/>
      <c r="ER367" s="273"/>
      <c r="ES367" s="273"/>
      <c r="ET367" s="273"/>
      <c r="EU367" s="273"/>
      <c r="EV367" s="273"/>
      <c r="EW367" s="273"/>
      <c r="EX367" s="273"/>
      <c r="EY367" s="273"/>
      <c r="EZ367" s="273"/>
      <c r="FA367" s="273"/>
      <c r="FB367" s="273"/>
      <c r="FC367" s="273"/>
      <c r="FD367" s="273"/>
      <c r="FE367" s="273"/>
      <c r="FF367" s="273"/>
      <c r="FG367" s="273"/>
      <c r="FH367" s="273"/>
      <c r="FI367" s="273"/>
      <c r="FJ367" s="273"/>
      <c r="FK367" s="273"/>
      <c r="FL367" s="273"/>
      <c r="FM367" s="273"/>
      <c r="FN367" s="273"/>
      <c r="FO367" s="273"/>
      <c r="FP367" s="273"/>
      <c r="FQ367" s="273"/>
      <c r="FR367" s="273"/>
      <c r="FS367" s="273"/>
      <c r="FT367" s="273"/>
      <c r="FU367" s="273"/>
      <c r="FV367" s="273"/>
      <c r="FW367" s="273"/>
      <c r="FX367" s="273"/>
      <c r="FY367" s="273"/>
      <c r="FZ367" s="273"/>
      <c r="GA367" s="273"/>
      <c r="GB367" s="273"/>
      <c r="GC367" s="273"/>
      <c r="GD367" s="273"/>
      <c r="GE367" s="273"/>
      <c r="GF367" s="273"/>
      <c r="GG367" s="273"/>
      <c r="GH367" s="273"/>
      <c r="GI367" s="273"/>
      <c r="GJ367" s="273"/>
      <c r="GK367" s="273"/>
      <c r="GL367" s="273"/>
      <c r="GM367" s="273"/>
      <c r="GN367" s="273"/>
      <c r="GO367" s="273"/>
      <c r="GP367" s="273"/>
      <c r="GQ367" s="273"/>
      <c r="GR367" s="273"/>
      <c r="GS367" s="273"/>
      <c r="GT367" s="273"/>
      <c r="GU367" s="273"/>
      <c r="GV367" s="273"/>
      <c r="GW367" s="273"/>
      <c r="GX367" s="273"/>
      <c r="GY367" s="273"/>
      <c r="GZ367" s="273"/>
      <c r="HA367" s="273"/>
      <c r="HB367" s="273"/>
      <c r="HC367" s="273"/>
      <c r="HD367" s="273"/>
      <c r="HE367" s="273"/>
      <c r="HF367" s="273"/>
      <c r="HG367" s="273"/>
      <c r="HH367" s="273"/>
      <c r="HI367" s="273"/>
      <c r="HJ367" s="273"/>
      <c r="HK367" s="273"/>
      <c r="HL367" s="273"/>
      <c r="HM367" s="273"/>
      <c r="HN367" s="273"/>
      <c r="HO367" s="273"/>
      <c r="HP367" s="273"/>
      <c r="HQ367" s="273"/>
      <c r="HR367" s="273"/>
      <c r="HS367" s="273"/>
      <c r="HT367" s="273"/>
      <c r="HU367" s="273"/>
      <c r="HV367" s="273"/>
      <c r="HW367" s="273"/>
      <c r="HX367" s="273"/>
      <c r="HY367" s="273"/>
      <c r="HZ367" s="273"/>
      <c r="IA367" s="273"/>
      <c r="IB367" s="273"/>
      <c r="IC367" s="273"/>
      <c r="ID367" s="273"/>
      <c r="IE367" s="273"/>
      <c r="IF367" s="273"/>
      <c r="IG367" s="273"/>
      <c r="IH367" s="273"/>
      <c r="II367" s="273"/>
      <c r="IJ367" s="273"/>
      <c r="IK367" s="273"/>
      <c r="IL367" s="273"/>
      <c r="IM367" s="273"/>
      <c r="IN367" s="273"/>
    </row>
    <row r="368" spans="1:248" ht="12.75" customHeight="1">
      <c r="F368" s="74"/>
      <c r="K368" s="278"/>
    </row>
    <row r="369" spans="2:16">
      <c r="D369" s="74" t="s">
        <v>48</v>
      </c>
      <c r="F369" s="74"/>
      <c r="H369" s="279">
        <v>44.3</v>
      </c>
      <c r="I369" s="279">
        <v>46.4</v>
      </c>
      <c r="J369" s="279">
        <v>47.2</v>
      </c>
      <c r="K369" s="280">
        <f>J329/F366</f>
        <v>48.65</v>
      </c>
      <c r="L369" s="280">
        <f>K369</f>
        <v>48.65</v>
      </c>
      <c r="M369" s="280">
        <f>L369</f>
        <v>48.65</v>
      </c>
      <c r="N369" s="280">
        <f>M369</f>
        <v>48.65</v>
      </c>
      <c r="O369" s="280">
        <f>N369</f>
        <v>48.65</v>
      </c>
    </row>
    <row r="370" spans="2:16">
      <c r="F370" s="74"/>
    </row>
    <row r="371" spans="2:16" ht="13.5">
      <c r="D371" s="281" t="s">
        <v>69</v>
      </c>
      <c r="F371" s="74"/>
    </row>
    <row r="372" spans="2:16">
      <c r="D372" s="282">
        <f>K364</f>
        <v>2019</v>
      </c>
      <c r="E372" s="283">
        <f>-HLOOKUP(D372,$K$280:$O$291,ROWS($K$280:$O$291),FALSE)</f>
        <v>120</v>
      </c>
      <c r="F372" s="284"/>
      <c r="H372" s="89"/>
      <c r="I372" s="89"/>
      <c r="J372" s="89"/>
      <c r="K372" s="92">
        <f>IF(K$364=$D372,$E372/$F$367/2,($E372/$F$367))</f>
        <v>2.4</v>
      </c>
      <c r="L372" s="92">
        <f>IF(L$364=$D372,$E372/$F$367/2,($E372/$F$367))</f>
        <v>4.8</v>
      </c>
      <c r="M372" s="92">
        <f>IF(M$364=$D372,$E372/$F$367/2,($E372/$F$367))</f>
        <v>4.8</v>
      </c>
      <c r="N372" s="92">
        <f>IF(N$364=$D372,$E372/$F$367/2,($E372/$F$367))</f>
        <v>4.8</v>
      </c>
      <c r="O372" s="92">
        <f>IF(O$364=$D372,$E372/$F$367/2,($E372/$F$367))</f>
        <v>4.8</v>
      </c>
    </row>
    <row r="373" spans="2:16">
      <c r="D373" s="282">
        <f>D372+1</f>
        <v>2020</v>
      </c>
      <c r="E373" s="285">
        <f>-HLOOKUP(D373,$K$280:$O$291,ROWS($K$280:$O$291),FALSE)</f>
        <v>130</v>
      </c>
      <c r="F373" s="284"/>
      <c r="H373" s="89"/>
      <c r="I373" s="89"/>
      <c r="J373" s="89"/>
      <c r="K373" s="92"/>
      <c r="L373" s="92">
        <f>IF(L$364=$D373,$E373/$F$367/2,($E373/$F$367))</f>
        <v>2.6</v>
      </c>
      <c r="M373" s="92">
        <f>IF(M$364=$D373,$E373/$F$367/2,($E373/$F$367))</f>
        <v>5.2</v>
      </c>
      <c r="N373" s="92">
        <f>IF(N$364=$D373,$E373/$F$367/2,($E373/$F$367))</f>
        <v>5.2</v>
      </c>
      <c r="O373" s="92">
        <f>IF(O$364=$D373,$E373/$F$367/2,($E373/$F$367))</f>
        <v>5.2</v>
      </c>
    </row>
    <row r="374" spans="2:16">
      <c r="D374" s="282">
        <f>D373+1</f>
        <v>2021</v>
      </c>
      <c r="E374" s="285">
        <f>-HLOOKUP(D374,$K$280:$O$291,ROWS($K$280:$O$291),FALSE)</f>
        <v>131.94999999999999</v>
      </c>
      <c r="F374" s="284"/>
      <c r="H374" s="211"/>
      <c r="I374" s="211"/>
      <c r="J374" s="211"/>
      <c r="K374" s="92"/>
      <c r="L374" s="92"/>
      <c r="M374" s="92">
        <f>IF(M$364=$D374,$E374/$F$367/2,($E374/$F$367))</f>
        <v>2.6389999999999998</v>
      </c>
      <c r="N374" s="92">
        <f>IF(N$364=$D374,$E374/$F$367/2,($E374/$F$367))</f>
        <v>5.2779999999999996</v>
      </c>
      <c r="O374" s="92">
        <f>IF(O$364=$D374,$E374/$F$367/2,($E374/$F$367))</f>
        <v>5.2779999999999996</v>
      </c>
    </row>
    <row r="375" spans="2:16">
      <c r="D375" s="282">
        <f>D374+1</f>
        <v>2022</v>
      </c>
      <c r="E375" s="285">
        <f>-HLOOKUP(D375,$K$280:$O$291,ROWS($K$280:$O$291),FALSE)</f>
        <v>134.589</v>
      </c>
      <c r="F375" s="284"/>
      <c r="H375" s="211"/>
      <c r="I375" s="211"/>
      <c r="J375" s="211"/>
      <c r="K375" s="139"/>
      <c r="L375" s="92"/>
      <c r="M375" s="92"/>
      <c r="N375" s="92">
        <f>IF(N$364=$D375,$E375/$F$367/2,($E375/$F$367))</f>
        <v>2.6917800000000001</v>
      </c>
      <c r="O375" s="92">
        <f>IF(O$364=$D375,$E375/$F$367/2,($E375/$F$367))</f>
        <v>5.3835600000000001</v>
      </c>
    </row>
    <row r="376" spans="2:16">
      <c r="D376" s="282">
        <f>D375+1</f>
        <v>2023</v>
      </c>
      <c r="E376" s="286">
        <f>-HLOOKUP(D376,$K$280:$O$291,ROWS($K$280:$O$291),FALSE)</f>
        <v>137.28077999999999</v>
      </c>
      <c r="F376" s="284"/>
      <c r="H376" s="211"/>
      <c r="I376" s="211"/>
      <c r="J376" s="211"/>
      <c r="K376" s="139"/>
      <c r="L376" s="139"/>
      <c r="M376" s="92"/>
      <c r="N376" s="92"/>
      <c r="O376" s="92">
        <f>IF(O$364=$D376,$E376/$F$367/2,($E376/$F$367))</f>
        <v>2.7456155999999998</v>
      </c>
      <c r="P376" s="94"/>
    </row>
    <row r="377" spans="2:16">
      <c r="P377" s="94"/>
    </row>
    <row r="378" spans="2:16" ht="13.5" thickBot="1">
      <c r="D378" s="287" t="s">
        <v>49</v>
      </c>
      <c r="H378" s="288">
        <f t="shared" ref="H378:O378" si="58">SUM(H369:H376)</f>
        <v>44.3</v>
      </c>
      <c r="I378" s="288">
        <f t="shared" si="58"/>
        <v>46.4</v>
      </c>
      <c r="J378" s="288">
        <f t="shared" si="58"/>
        <v>47.2</v>
      </c>
      <c r="K378" s="500">
        <f t="shared" si="58"/>
        <v>51.05</v>
      </c>
      <c r="L378" s="500">
        <f t="shared" si="58"/>
        <v>56.05</v>
      </c>
      <c r="M378" s="500">
        <f t="shared" si="58"/>
        <v>61.289000000000001</v>
      </c>
      <c r="N378" s="500">
        <f t="shared" si="58"/>
        <v>66.619779999999992</v>
      </c>
      <c r="O378" s="500">
        <f t="shared" si="58"/>
        <v>72.057175599999994</v>
      </c>
      <c r="P378" s="121" t="s">
        <v>351</v>
      </c>
    </row>
    <row r="379" spans="2:16" ht="13.5" thickTop="1">
      <c r="D379" s="287"/>
      <c r="H379" s="289"/>
      <c r="I379" s="289"/>
      <c r="J379" s="289"/>
      <c r="K379" s="289"/>
      <c r="L379" s="218"/>
      <c r="M379" s="218"/>
      <c r="N379" s="218"/>
      <c r="O379" s="218"/>
      <c r="P379" s="94"/>
    </row>
    <row r="380" spans="2:16">
      <c r="B380" s="122"/>
      <c r="C380" s="122"/>
      <c r="D380" s="122"/>
      <c r="E380" s="122"/>
      <c r="F380" s="184"/>
      <c r="G380" s="122"/>
      <c r="H380" s="248"/>
      <c r="I380" s="248"/>
      <c r="J380" s="248"/>
      <c r="K380" s="248"/>
      <c r="L380" s="248"/>
      <c r="M380" s="248"/>
      <c r="N380" s="248"/>
      <c r="O380" s="122"/>
      <c r="P380" s="94"/>
    </row>
    <row r="381" spans="2:16">
      <c r="F381" s="74"/>
      <c r="P381" s="94"/>
    </row>
    <row r="382" spans="2:16">
      <c r="F382" s="74"/>
      <c r="P382" s="94"/>
    </row>
    <row r="383" spans="2:16" ht="12.75" customHeight="1">
      <c r="B383" s="71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3" t="str">
        <f>$O$139</f>
        <v>CURRENTLY RUNNING: BASE CASE SCENARIO</v>
      </c>
      <c r="P383" s="94"/>
    </row>
    <row r="384" spans="2:16" ht="22.5">
      <c r="B384" s="71" t="str">
        <f>B$140</f>
        <v>Windsol Manufacturing</v>
      </c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</row>
    <row r="385" spans="2:15" ht="18.75">
      <c r="B385" s="75" t="s">
        <v>60</v>
      </c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</row>
    <row r="386" spans="2:15" ht="6" customHeight="1" thickBot="1">
      <c r="B386" s="76"/>
      <c r="C386" s="76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</row>
    <row r="387" spans="2:15">
      <c r="B387" s="78" t="s">
        <v>268</v>
      </c>
      <c r="F387" s="74"/>
    </row>
    <row r="388" spans="2:15" ht="13.5">
      <c r="F388" s="74"/>
      <c r="H388" s="79"/>
      <c r="I388" s="79"/>
      <c r="J388" s="79"/>
      <c r="K388" s="80" t="s">
        <v>6</v>
      </c>
      <c r="L388" s="81"/>
      <c r="M388" s="81"/>
      <c r="N388" s="81"/>
      <c r="O388" s="81"/>
    </row>
    <row r="389" spans="2:15" ht="13.5">
      <c r="B389" s="82"/>
      <c r="C389" s="83" t="s">
        <v>127</v>
      </c>
      <c r="D389" s="84"/>
      <c r="E389" s="520">
        <f>I39</f>
        <v>0.28000000000000003</v>
      </c>
      <c r="F389" s="74"/>
      <c r="H389" s="85"/>
      <c r="I389" s="85"/>
      <c r="J389" s="85"/>
      <c r="K389" s="86">
        <f>K$145</f>
        <v>2019</v>
      </c>
      <c r="L389" s="86">
        <f>L$145</f>
        <v>2020</v>
      </c>
      <c r="M389" s="86">
        <f>M$145</f>
        <v>2021</v>
      </c>
      <c r="N389" s="86">
        <f>N$145</f>
        <v>2022</v>
      </c>
      <c r="O389" s="86">
        <f>O$145</f>
        <v>2023</v>
      </c>
    </row>
    <row r="390" spans="2:15">
      <c r="F390" s="74"/>
    </row>
    <row r="391" spans="2:15">
      <c r="C391" s="87" t="s">
        <v>133</v>
      </c>
      <c r="F391" s="74"/>
      <c r="G391" s="88" t="s">
        <v>36</v>
      </c>
      <c r="H391" s="89"/>
      <c r="I391" s="89"/>
      <c r="J391" s="89"/>
      <c r="K391" s="218">
        <f ca="1">K256</f>
        <v>184.34035417566224</v>
      </c>
      <c r="L391" s="218">
        <f ca="1">L256</f>
        <v>210.41950101807998</v>
      </c>
      <c r="M391" s="218">
        <f ca="1">M256</f>
        <v>261.84040185197728</v>
      </c>
      <c r="N391" s="218">
        <f ca="1">N256</f>
        <v>267.44202723848224</v>
      </c>
      <c r="O391" s="90">
        <f ca="1">O256</f>
        <v>298.23905163993305</v>
      </c>
    </row>
    <row r="392" spans="2:15" ht="6" customHeight="1">
      <c r="E392" s="2"/>
      <c r="F392" s="2"/>
      <c r="G392" s="91"/>
      <c r="H392" s="91"/>
      <c r="I392" s="91"/>
      <c r="J392" s="91"/>
      <c r="K392" s="91"/>
      <c r="L392" s="91"/>
      <c r="M392" s="91"/>
      <c r="N392" s="91"/>
      <c r="O392" s="91"/>
    </row>
    <row r="393" spans="2:15">
      <c r="D393" s="533" t="s">
        <v>331</v>
      </c>
      <c r="E393" s="2"/>
      <c r="F393" s="2"/>
      <c r="G393" s="91"/>
      <c r="H393" s="89"/>
      <c r="I393" s="89"/>
      <c r="J393" s="89"/>
      <c r="K393" s="139">
        <f>K249</f>
        <v>51.05</v>
      </c>
      <c r="L393" s="139">
        <f>L249</f>
        <v>56.05</v>
      </c>
      <c r="M393" s="139">
        <f>M249</f>
        <v>61.289000000000001</v>
      </c>
      <c r="N393" s="139">
        <f>N249</f>
        <v>66.619779999999992</v>
      </c>
      <c r="O393" s="92">
        <f>O249</f>
        <v>72.057175599999994</v>
      </c>
    </row>
    <row r="394" spans="2:15">
      <c r="D394" s="533" t="s">
        <v>269</v>
      </c>
      <c r="E394" s="2"/>
      <c r="F394" s="2"/>
      <c r="G394" s="91"/>
      <c r="H394" s="89"/>
      <c r="I394" s="89"/>
      <c r="J394" s="89"/>
      <c r="K394" s="305">
        <f>K425</f>
        <v>130.5</v>
      </c>
      <c r="L394" s="305">
        <f>L425</f>
        <v>129.51</v>
      </c>
      <c r="M394" s="305">
        <f>M425</f>
        <v>129.77369999999999</v>
      </c>
      <c r="N394" s="305">
        <f>N425</f>
        <v>130.40294400000002</v>
      </c>
      <c r="O394" s="93">
        <f>O425</f>
        <v>131.39869428</v>
      </c>
    </row>
    <row r="395" spans="2:15">
      <c r="D395" s="534" t="s">
        <v>332</v>
      </c>
      <c r="E395" s="95"/>
      <c r="F395" s="95"/>
      <c r="G395" s="96"/>
      <c r="H395" s="97"/>
      <c r="I395" s="97"/>
      <c r="J395" s="97"/>
      <c r="K395" s="311">
        <f ca="1">K391+K393-K394</f>
        <v>104.89035417566225</v>
      </c>
      <c r="L395" s="311">
        <f ca="1">L391+L393-L394</f>
        <v>136.95950101808</v>
      </c>
      <c r="M395" s="311">
        <f ca="1">M391+M393-M394</f>
        <v>193.35570185197727</v>
      </c>
      <c r="N395" s="311">
        <f ca="1">N391+N393-N394</f>
        <v>203.65886323848221</v>
      </c>
      <c r="O395" s="98">
        <f ca="1">O391+O393-O394</f>
        <v>238.89753295993305</v>
      </c>
    </row>
    <row r="396" spans="2:15">
      <c r="E396" s="2"/>
      <c r="F396" s="2"/>
      <c r="G396" s="91"/>
      <c r="H396" s="91"/>
      <c r="I396" s="91"/>
      <c r="J396" s="91"/>
      <c r="K396" s="91"/>
      <c r="L396" s="91"/>
      <c r="M396" s="91"/>
      <c r="N396" s="91"/>
      <c r="O396" s="91"/>
    </row>
    <row r="397" spans="2:15">
      <c r="C397" s="534" t="s">
        <v>333</v>
      </c>
      <c r="E397" s="2"/>
      <c r="F397" s="2"/>
      <c r="G397" s="91"/>
      <c r="H397" s="91"/>
      <c r="I397" s="91"/>
      <c r="J397" s="91"/>
      <c r="K397" s="91"/>
      <c r="L397" s="91"/>
      <c r="M397" s="91"/>
      <c r="N397" s="91"/>
      <c r="O397" s="91"/>
    </row>
    <row r="398" spans="2:15">
      <c r="D398" s="535" t="s">
        <v>334</v>
      </c>
      <c r="E398" s="2"/>
      <c r="F398" s="2"/>
      <c r="G398" s="91"/>
      <c r="H398" s="91"/>
      <c r="I398" s="91"/>
      <c r="J398" s="91"/>
      <c r="K398" s="139">
        <f>I41</f>
        <v>0</v>
      </c>
      <c r="L398" s="139">
        <f ca="1">K398-K399</f>
        <v>0</v>
      </c>
      <c r="M398" s="139">
        <f ca="1">L398-L399</f>
        <v>0</v>
      </c>
      <c r="N398" s="139">
        <f ca="1">M398-M399</f>
        <v>0</v>
      </c>
      <c r="O398" s="92">
        <f ca="1">N398-N399</f>
        <v>0</v>
      </c>
    </row>
    <row r="399" spans="2:15">
      <c r="D399" s="536" t="s">
        <v>335</v>
      </c>
      <c r="E399" s="2"/>
      <c r="F399" s="2"/>
      <c r="G399" s="91"/>
      <c r="H399" s="89"/>
      <c r="I399" s="89"/>
      <c r="J399" s="89"/>
      <c r="K399" s="305">
        <f ca="1">IF(K395&lt;0,0,MIN(K398,K395))</f>
        <v>0</v>
      </c>
      <c r="L399" s="305">
        <f ca="1">IF(L395&lt;0,0,MIN(L398,L395))</f>
        <v>0</v>
      </c>
      <c r="M399" s="305">
        <f ca="1">IF(M395&lt;0,0,MIN(M398,M395))</f>
        <v>0</v>
      </c>
      <c r="N399" s="305">
        <f ca="1">IF(N395&lt;0,0,MIN(N398,N395))</f>
        <v>0</v>
      </c>
      <c r="O399" s="93">
        <f ca="1">IF(O395&lt;0,0,MIN(O398,O395))</f>
        <v>0</v>
      </c>
    </row>
    <row r="400" spans="2:15">
      <c r="D400" s="537" t="s">
        <v>336</v>
      </c>
      <c r="E400" s="95"/>
      <c r="F400" s="95"/>
      <c r="G400" s="96"/>
      <c r="H400" s="97"/>
      <c r="I400" s="97"/>
      <c r="J400" s="97"/>
      <c r="K400" s="311">
        <f ca="1">K395-K399</f>
        <v>104.89035417566225</v>
      </c>
      <c r="L400" s="311">
        <f ca="1">L395-L399</f>
        <v>136.95950101808</v>
      </c>
      <c r="M400" s="311">
        <f ca="1">M395-M399</f>
        <v>193.35570185197727</v>
      </c>
      <c r="N400" s="311">
        <f ca="1">N395-N399</f>
        <v>203.65886323848221</v>
      </c>
      <c r="O400" s="98">
        <f ca="1">O395-O399</f>
        <v>238.89753295993305</v>
      </c>
    </row>
    <row r="401" spans="4:15">
      <c r="E401" s="2"/>
      <c r="F401" s="2"/>
      <c r="G401" s="91"/>
      <c r="H401" s="91"/>
      <c r="I401" s="91"/>
      <c r="J401" s="91"/>
      <c r="K401" s="91"/>
      <c r="L401" s="91"/>
      <c r="M401" s="91"/>
      <c r="N401" s="91"/>
      <c r="O401" s="91"/>
    </row>
    <row r="402" spans="4:15">
      <c r="D402" s="535" t="s">
        <v>337</v>
      </c>
      <c r="E402" s="2"/>
      <c r="F402" s="2"/>
      <c r="G402" s="91"/>
      <c r="H402" s="91"/>
      <c r="I402" s="91"/>
      <c r="J402" s="91"/>
      <c r="K402" s="139">
        <f>J404</f>
        <v>0</v>
      </c>
      <c r="L402" s="139">
        <f ca="1">K404</f>
        <v>0</v>
      </c>
      <c r="M402" s="139">
        <f ca="1">L404</f>
        <v>0</v>
      </c>
      <c r="N402" s="139">
        <f ca="1">M404</f>
        <v>0</v>
      </c>
      <c r="O402" s="92">
        <f ca="1">N404</f>
        <v>0</v>
      </c>
    </row>
    <row r="403" spans="4:15">
      <c r="D403" s="535" t="s">
        <v>338</v>
      </c>
      <c r="E403" s="2"/>
      <c r="F403" s="2"/>
      <c r="G403" s="91"/>
      <c r="H403" s="89"/>
      <c r="I403" s="89"/>
      <c r="J403" s="89"/>
      <c r="K403" s="93">
        <f ca="1">MIN(K402,K400)</f>
        <v>0</v>
      </c>
      <c r="L403" s="93">
        <f ca="1">MIN(L402,L400)</f>
        <v>0</v>
      </c>
      <c r="M403" s="93">
        <f ca="1">MIN(M402,M400)</f>
        <v>0</v>
      </c>
      <c r="N403" s="93">
        <f ca="1">MIN(N402,N400)</f>
        <v>0</v>
      </c>
      <c r="O403" s="93">
        <f ca="1">MIN(O402,O400)</f>
        <v>0</v>
      </c>
    </row>
    <row r="404" spans="4:15">
      <c r="D404" s="535" t="s">
        <v>339</v>
      </c>
      <c r="E404" s="2"/>
      <c r="F404" s="2"/>
      <c r="G404" s="91"/>
      <c r="H404" s="89"/>
      <c r="I404" s="89"/>
      <c r="J404" s="89"/>
      <c r="K404" s="92">
        <f ca="1">K402-K403</f>
        <v>0</v>
      </c>
      <c r="L404" s="92">
        <f ca="1">L402-L403</f>
        <v>0</v>
      </c>
      <c r="M404" s="92">
        <f ca="1">M402-M403</f>
        <v>0</v>
      </c>
      <c r="N404" s="92">
        <f ca="1">N402-N403</f>
        <v>0</v>
      </c>
      <c r="O404" s="92">
        <f ca="1">O402-O403</f>
        <v>0</v>
      </c>
    </row>
    <row r="405" spans="4:15" ht="6" customHeight="1">
      <c r="D405" s="99"/>
      <c r="E405" s="2"/>
      <c r="F405" s="2"/>
      <c r="G405" s="91"/>
      <c r="H405" s="89"/>
      <c r="I405" s="89"/>
      <c r="J405" s="89"/>
      <c r="K405" s="92"/>
      <c r="L405" s="92"/>
      <c r="M405" s="92"/>
      <c r="N405" s="92"/>
      <c r="O405" s="92"/>
    </row>
    <row r="406" spans="4:15">
      <c r="D406" s="535" t="s">
        <v>340</v>
      </c>
      <c r="E406" s="2"/>
      <c r="F406" s="2"/>
      <c r="G406" s="91"/>
      <c r="H406" s="89"/>
      <c r="I406" s="89"/>
      <c r="J406" s="89"/>
      <c r="K406" s="93">
        <f ca="1">IF(K399&lt;0,K398,(K398-K399))</f>
        <v>0</v>
      </c>
      <c r="L406" s="93">
        <f ca="1">IF(L399&lt;0,L398,(L398-L399))</f>
        <v>0</v>
      </c>
      <c r="M406" s="93">
        <f ca="1">IF(M399&lt;0,M398,(M398-M399))</f>
        <v>0</v>
      </c>
      <c r="N406" s="93">
        <f ca="1">IF(N399&lt;0,N398,(N398-N399))</f>
        <v>0</v>
      </c>
      <c r="O406" s="93">
        <f ca="1">IF(O399&lt;0,O398,(O398-O399))</f>
        <v>0</v>
      </c>
    </row>
    <row r="407" spans="4:15">
      <c r="D407" s="537" t="s">
        <v>341</v>
      </c>
      <c r="E407" s="95"/>
      <c r="F407" s="95"/>
      <c r="G407" s="96"/>
      <c r="H407" s="97"/>
      <c r="I407" s="97"/>
      <c r="J407" s="97"/>
      <c r="K407" s="98">
        <f ca="1">K406+K404</f>
        <v>0</v>
      </c>
      <c r="L407" s="98">
        <f ca="1">L406+L404</f>
        <v>0</v>
      </c>
      <c r="M407" s="98">
        <f ca="1">M406+M404</f>
        <v>0</v>
      </c>
      <c r="N407" s="98">
        <f ca="1">N406+N404</f>
        <v>0</v>
      </c>
      <c r="O407" s="98">
        <f ca="1">O406+O404</f>
        <v>0</v>
      </c>
    </row>
    <row r="408" spans="4:15">
      <c r="E408" s="2"/>
      <c r="F408" s="2"/>
      <c r="G408" s="91"/>
      <c r="H408" s="91"/>
      <c r="I408" s="91"/>
      <c r="J408" s="91"/>
      <c r="K408" s="91"/>
      <c r="L408" s="91"/>
      <c r="M408" s="91"/>
      <c r="N408" s="91"/>
      <c r="O408" s="91"/>
    </row>
    <row r="409" spans="4:15">
      <c r="D409" s="537" t="s">
        <v>342</v>
      </c>
      <c r="F409" s="2"/>
      <c r="G409" s="88" t="s">
        <v>37</v>
      </c>
      <c r="H409" s="97"/>
      <c r="I409" s="97"/>
      <c r="J409" s="97"/>
      <c r="K409" s="90">
        <f ca="1">K400-K403</f>
        <v>104.89035417566225</v>
      </c>
      <c r="L409" s="90">
        <f ca="1">L400-L403</f>
        <v>136.95950101808</v>
      </c>
      <c r="M409" s="90">
        <f ca="1">M400-M403</f>
        <v>193.35570185197727</v>
      </c>
      <c r="N409" s="90">
        <f ca="1">N400-N403</f>
        <v>203.65886323848221</v>
      </c>
      <c r="O409" s="90">
        <f ca="1">O400-O403</f>
        <v>238.89753295993305</v>
      </c>
    </row>
    <row r="410" spans="4:15">
      <c r="E410" s="94"/>
      <c r="F410" s="74"/>
      <c r="H410" s="89"/>
      <c r="I410" s="89"/>
      <c r="J410" s="89"/>
      <c r="K410" s="89"/>
      <c r="L410" s="89"/>
      <c r="M410" s="89"/>
      <c r="N410" s="89"/>
      <c r="O410" s="89"/>
    </row>
    <row r="411" spans="4:15">
      <c r="D411" s="100" t="str">
        <f>CONCATENATE("Accounting Taxes (",$E$389*100,"% of A)")</f>
        <v>Accounting Taxes (28% of A)</v>
      </c>
      <c r="E411" s="2"/>
      <c r="F411" s="91"/>
      <c r="G411" s="91"/>
      <c r="H411" s="89"/>
      <c r="I411" s="89"/>
      <c r="J411" s="89"/>
      <c r="K411" s="92">
        <f ca="1">$E$389*K391</f>
        <v>51.615299169185434</v>
      </c>
      <c r="L411" s="92">
        <f ca="1">$E$389*L391</f>
        <v>58.917460285062404</v>
      </c>
      <c r="M411" s="92">
        <f ca="1">$E$389*M391</f>
        <v>73.31531251855364</v>
      </c>
      <c r="N411" s="92">
        <f ca="1">$E$389*N391</f>
        <v>74.88376762677504</v>
      </c>
      <c r="O411" s="92">
        <f ca="1">$E$389*O391</f>
        <v>83.506934459181267</v>
      </c>
    </row>
    <row r="412" spans="4:15">
      <c r="F412" s="101"/>
      <c r="H412" s="89"/>
      <c r="I412" s="89"/>
      <c r="J412" s="89"/>
      <c r="K412" s="89"/>
      <c r="L412" s="89"/>
      <c r="M412" s="89"/>
      <c r="N412" s="89"/>
      <c r="O412" s="89"/>
    </row>
    <row r="413" spans="4:15">
      <c r="D413" s="102" t="s">
        <v>128</v>
      </c>
      <c r="E413" s="103"/>
      <c r="F413" s="104"/>
      <c r="G413" s="104"/>
      <c r="H413" s="104"/>
      <c r="I413" s="104"/>
      <c r="J413" s="104"/>
      <c r="K413" s="104"/>
      <c r="L413" s="104"/>
      <c r="M413" s="104"/>
      <c r="N413" s="104"/>
      <c r="O413" s="105"/>
    </row>
    <row r="414" spans="4:15">
      <c r="D414" s="106" t="str">
        <f>CONCATENATE("Current Tax (",$E$389*100,"% of B)")</f>
        <v>Current Tax (28% of B)</v>
      </c>
      <c r="E414" s="2"/>
      <c r="F414" s="91"/>
      <c r="G414" s="96"/>
      <c r="H414" s="89"/>
      <c r="I414" s="89"/>
      <c r="J414" s="89"/>
      <c r="K414" s="92">
        <f ca="1">$E$389*K409</f>
        <v>29.369299169185435</v>
      </c>
      <c r="L414" s="92">
        <f ca="1">$E$389*L409</f>
        <v>38.348660285062408</v>
      </c>
      <c r="M414" s="92">
        <f ca="1">$E$389*M409</f>
        <v>54.139596518553638</v>
      </c>
      <c r="N414" s="92">
        <f ca="1">$E$389*N409</f>
        <v>57.024481706775028</v>
      </c>
      <c r="O414" s="107">
        <f ca="1">$E$389*O409</f>
        <v>66.891309228781253</v>
      </c>
    </row>
    <row r="415" spans="4:15">
      <c r="D415" s="108" t="s">
        <v>222</v>
      </c>
      <c r="E415" s="2"/>
      <c r="F415" s="91"/>
      <c r="G415" s="91"/>
      <c r="H415" s="89"/>
      <c r="I415" s="89"/>
      <c r="J415" s="89"/>
      <c r="K415" s="93">
        <f ca="1">K411-K414</f>
        <v>22.245999999999999</v>
      </c>
      <c r="L415" s="93">
        <f ca="1">L411-L414</f>
        <v>20.568799999999996</v>
      </c>
      <c r="M415" s="93">
        <f ca="1">M411-M414</f>
        <v>19.175716000000001</v>
      </c>
      <c r="N415" s="93">
        <f ca="1">N411-N414</f>
        <v>17.859285920000012</v>
      </c>
      <c r="O415" s="109">
        <f ca="1">O411-O414</f>
        <v>16.615625230400013</v>
      </c>
    </row>
    <row r="416" spans="4:15">
      <c r="D416" s="110" t="s">
        <v>129</v>
      </c>
      <c r="E416" s="111"/>
      <c r="F416" s="112"/>
      <c r="G416" s="112"/>
      <c r="H416" s="113"/>
      <c r="I416" s="113"/>
      <c r="J416" s="113"/>
      <c r="K416" s="114">
        <f ca="1">SUM(K414:K415)</f>
        <v>51.615299169185434</v>
      </c>
      <c r="L416" s="114">
        <f ca="1">SUM(L414:L415)</f>
        <v>58.917460285062404</v>
      </c>
      <c r="M416" s="114">
        <f ca="1">SUM(M414:M415)</f>
        <v>73.31531251855364</v>
      </c>
      <c r="N416" s="114">
        <f ca="1">SUM(N414:N415)</f>
        <v>74.88376762677504</v>
      </c>
      <c r="O416" s="115">
        <f ca="1">SUM(O414:O415)</f>
        <v>83.506934459181267</v>
      </c>
    </row>
    <row r="417" spans="2:15">
      <c r="E417" s="2"/>
      <c r="F417" s="91"/>
      <c r="G417" s="91"/>
      <c r="H417" s="91"/>
      <c r="I417" s="91"/>
      <c r="J417" s="91"/>
      <c r="K417" s="91"/>
      <c r="L417" s="91"/>
      <c r="M417" s="91"/>
      <c r="N417" s="91"/>
      <c r="O417" s="91"/>
    </row>
    <row r="418" spans="2:15" ht="13.5">
      <c r="D418" s="116" t="s">
        <v>271</v>
      </c>
      <c r="F418" s="91"/>
      <c r="G418" s="91"/>
      <c r="H418" s="91"/>
      <c r="I418" s="91"/>
      <c r="J418" s="91"/>
      <c r="K418" s="91"/>
      <c r="L418" s="91"/>
      <c r="M418" s="91"/>
      <c r="N418" s="91"/>
      <c r="O418" s="91"/>
    </row>
    <row r="419" spans="2:15">
      <c r="D419" s="89" t="s">
        <v>272</v>
      </c>
      <c r="F419" s="521">
        <f>I40</f>
        <v>0.18</v>
      </c>
      <c r="H419" s="85"/>
      <c r="I419" s="85"/>
      <c r="J419" s="85"/>
      <c r="K419" s="85">
        <f>K$145</f>
        <v>2019</v>
      </c>
      <c r="L419" s="85">
        <f>L$145</f>
        <v>2020</v>
      </c>
      <c r="M419" s="85">
        <f>M$145</f>
        <v>2021</v>
      </c>
      <c r="N419" s="85">
        <f>N$145</f>
        <v>2022</v>
      </c>
      <c r="O419" s="85">
        <f>O$145</f>
        <v>2023</v>
      </c>
    </row>
    <row r="420" spans="2:15" ht="6" customHeight="1">
      <c r="G420" s="91"/>
      <c r="H420" s="85"/>
      <c r="I420" s="85"/>
      <c r="J420" s="85"/>
      <c r="K420" s="85"/>
      <c r="L420" s="85"/>
      <c r="M420" s="85"/>
      <c r="N420" s="85"/>
      <c r="O420" s="85"/>
    </row>
    <row r="421" spans="2:15">
      <c r="D421" s="539" t="s">
        <v>343</v>
      </c>
      <c r="F421" s="2"/>
      <c r="G421" s="88" t="s">
        <v>136</v>
      </c>
      <c r="H421" s="118"/>
      <c r="I421" s="118"/>
      <c r="J421" s="118"/>
      <c r="K421" s="119">
        <f>I42</f>
        <v>665</v>
      </c>
      <c r="L421" s="119">
        <f>K426</f>
        <v>654.5</v>
      </c>
      <c r="M421" s="119">
        <f>L426</f>
        <v>654.99</v>
      </c>
      <c r="N421" s="119">
        <f>M426</f>
        <v>657.16630000000009</v>
      </c>
      <c r="O421" s="119">
        <f>N426</f>
        <v>661.35235599999999</v>
      </c>
    </row>
    <row r="422" spans="2:15">
      <c r="D422" s="539" t="s">
        <v>134</v>
      </c>
      <c r="F422" s="2"/>
      <c r="G422" s="88" t="s">
        <v>137</v>
      </c>
      <c r="H422" s="89"/>
      <c r="I422" s="89"/>
      <c r="J422" s="89"/>
      <c r="K422" s="139">
        <f>-K291</f>
        <v>120</v>
      </c>
      <c r="L422" s="92">
        <f>-L291</f>
        <v>130</v>
      </c>
      <c r="M422" s="92">
        <f>-M291</f>
        <v>131.94999999999999</v>
      </c>
      <c r="N422" s="92">
        <f>-N291</f>
        <v>134.589</v>
      </c>
      <c r="O422" s="92">
        <f>-O291</f>
        <v>137.28077999999999</v>
      </c>
    </row>
    <row r="423" spans="2:15">
      <c r="D423" s="539" t="s">
        <v>135</v>
      </c>
      <c r="F423" s="2"/>
      <c r="G423" s="91"/>
      <c r="H423" s="89"/>
      <c r="I423" s="89"/>
      <c r="J423" s="89"/>
      <c r="K423" s="139">
        <f>K422*0.5</f>
        <v>60</v>
      </c>
      <c r="L423" s="92">
        <f>L422*0.5</f>
        <v>65</v>
      </c>
      <c r="M423" s="92">
        <f>M422*0.5</f>
        <v>65.974999999999994</v>
      </c>
      <c r="N423" s="92">
        <f>N422*0.5</f>
        <v>67.294499999999999</v>
      </c>
      <c r="O423" s="92">
        <f>O422*0.5</f>
        <v>68.640389999999996</v>
      </c>
    </row>
    <row r="424" spans="2:15">
      <c r="D424" s="539" t="s">
        <v>344</v>
      </c>
      <c r="F424" s="2"/>
      <c r="G424" s="91"/>
      <c r="H424" s="89"/>
      <c r="I424" s="89"/>
      <c r="J424" s="89"/>
      <c r="K424" s="139">
        <f>K423+K421</f>
        <v>725</v>
      </c>
      <c r="L424" s="92">
        <f>L423+L421</f>
        <v>719.5</v>
      </c>
      <c r="M424" s="92">
        <f>M423+M421</f>
        <v>720.96500000000003</v>
      </c>
      <c r="N424" s="92">
        <f>N423+N421</f>
        <v>724.46080000000006</v>
      </c>
      <c r="O424" s="92">
        <f>O423+O421</f>
        <v>729.99274600000001</v>
      </c>
    </row>
    <row r="425" spans="2:15">
      <c r="D425" s="540" t="s">
        <v>273</v>
      </c>
      <c r="F425" s="2"/>
      <c r="G425" s="88" t="s">
        <v>138</v>
      </c>
      <c r="H425" s="89"/>
      <c r="I425" s="89"/>
      <c r="J425" s="89"/>
      <c r="K425" s="305">
        <f>K424*$F$419</f>
        <v>130.5</v>
      </c>
      <c r="L425" s="93">
        <f>L424*$F$419</f>
        <v>129.51</v>
      </c>
      <c r="M425" s="93">
        <f>M424*$F$419</f>
        <v>129.77369999999999</v>
      </c>
      <c r="N425" s="93">
        <f>N424*$F$419</f>
        <v>130.40294400000002</v>
      </c>
      <c r="O425" s="93">
        <f>O424*$F$419</f>
        <v>131.39869428</v>
      </c>
    </row>
    <row r="426" spans="2:15">
      <c r="D426" s="541" t="s">
        <v>345</v>
      </c>
      <c r="F426" s="95"/>
      <c r="G426" s="120"/>
      <c r="H426" s="121"/>
      <c r="I426" s="121"/>
      <c r="J426" s="121"/>
      <c r="K426" s="218">
        <f>K421+K422-K425</f>
        <v>654.5</v>
      </c>
      <c r="L426" s="90">
        <f>L421+L422-L425</f>
        <v>654.99</v>
      </c>
      <c r="M426" s="90">
        <f>M421+M422-M425</f>
        <v>657.16630000000009</v>
      </c>
      <c r="N426" s="90">
        <f>N421+N422-N425</f>
        <v>661.35235599999999</v>
      </c>
      <c r="O426" s="90">
        <f>O421+O422-O425</f>
        <v>667.23444171999995</v>
      </c>
    </row>
    <row r="427" spans="2:15" ht="6" customHeight="1">
      <c r="B427" s="122"/>
      <c r="C427" s="122"/>
      <c r="D427" s="122"/>
      <c r="E427" s="123"/>
      <c r="F427" s="123"/>
      <c r="G427" s="124"/>
      <c r="H427" s="124"/>
      <c r="I427" s="124"/>
      <c r="J427" s="124"/>
      <c r="K427" s="124"/>
      <c r="L427" s="124"/>
      <c r="M427" s="124"/>
      <c r="N427" s="124"/>
      <c r="O427" s="122"/>
    </row>
    <row r="430" spans="2:15" ht="12.75" customHeight="1">
      <c r="B430" s="71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3" t="str">
        <f>$O$139</f>
        <v>CURRENTLY RUNNING: BASE CASE SCENARIO</v>
      </c>
    </row>
    <row r="431" spans="2:15" ht="22.5">
      <c r="B431" s="71" t="str">
        <f>B$140</f>
        <v>Windsol Manufacturing</v>
      </c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</row>
    <row r="432" spans="2:15" ht="18.75">
      <c r="B432" s="75" t="s">
        <v>61</v>
      </c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</row>
    <row r="433" spans="2:15" ht="6" customHeight="1" thickBot="1">
      <c r="B433" s="76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</row>
    <row r="434" spans="2:15">
      <c r="B434" s="78" t="s">
        <v>268</v>
      </c>
      <c r="F434" s="74"/>
      <c r="O434" s="100"/>
    </row>
    <row r="435" spans="2:15" ht="13.5">
      <c r="F435" s="74"/>
      <c r="H435" s="72"/>
      <c r="I435" s="72"/>
      <c r="J435" s="72"/>
      <c r="K435" s="80" t="s">
        <v>6</v>
      </c>
      <c r="L435" s="81"/>
      <c r="M435" s="81"/>
      <c r="N435" s="81"/>
      <c r="O435" s="81"/>
    </row>
    <row r="436" spans="2:15">
      <c r="F436" s="74"/>
      <c r="G436" s="128"/>
      <c r="H436" s="85"/>
      <c r="I436" s="129">
        <f>I145</f>
        <v>2017</v>
      </c>
      <c r="J436" s="469">
        <f>J145</f>
        <v>2018</v>
      </c>
      <c r="K436" s="86">
        <f>K$145</f>
        <v>2019</v>
      </c>
      <c r="L436" s="86">
        <f>L$145</f>
        <v>2020</v>
      </c>
      <c r="M436" s="86">
        <f>M$145</f>
        <v>2021</v>
      </c>
      <c r="N436" s="86">
        <f>N$145</f>
        <v>2022</v>
      </c>
      <c r="O436" s="86">
        <f>O$145</f>
        <v>2023</v>
      </c>
    </row>
    <row r="437" spans="2:15">
      <c r="F437" s="74"/>
    </row>
    <row r="438" spans="2:15">
      <c r="B438" s="154" t="s">
        <v>144</v>
      </c>
      <c r="C438" s="155"/>
      <c r="D438" s="155"/>
      <c r="E438" s="155"/>
      <c r="F438" s="204" t="s">
        <v>78</v>
      </c>
      <c r="G438" s="155"/>
      <c r="H438" s="155"/>
      <c r="I438" s="155"/>
      <c r="J438" s="290">
        <f t="shared" ref="J438:O438" si="59">DATE(J436,12,31)-DATE(I436,12,31)</f>
        <v>365</v>
      </c>
      <c r="K438" s="290">
        <f t="shared" si="59"/>
        <v>365</v>
      </c>
      <c r="L438" s="290">
        <f t="shared" si="59"/>
        <v>366</v>
      </c>
      <c r="M438" s="290">
        <f t="shared" si="59"/>
        <v>365</v>
      </c>
      <c r="N438" s="290">
        <f t="shared" si="59"/>
        <v>365</v>
      </c>
      <c r="O438" s="291">
        <f t="shared" si="59"/>
        <v>365</v>
      </c>
    </row>
    <row r="439" spans="2:15">
      <c r="F439" s="158"/>
    </row>
    <row r="440" spans="2:15">
      <c r="B440" s="385" t="s">
        <v>187</v>
      </c>
      <c r="C440" s="386"/>
      <c r="F440" s="158"/>
    </row>
    <row r="441" spans="2:15">
      <c r="B441" s="386"/>
      <c r="C441" s="386" t="s">
        <v>7</v>
      </c>
      <c r="F441" s="158" t="s">
        <v>270</v>
      </c>
      <c r="J441" s="139">
        <f t="shared" ref="J441:O441" si="60">J240</f>
        <v>1775.6042976000003</v>
      </c>
      <c r="K441" s="139">
        <f t="shared" si="60"/>
        <v>1878.2772234660001</v>
      </c>
      <c r="L441" s="139">
        <f t="shared" si="60"/>
        <v>1959.49467350435</v>
      </c>
      <c r="M441" s="139">
        <f t="shared" si="60"/>
        <v>2076.2452792695881</v>
      </c>
      <c r="N441" s="139">
        <f t="shared" si="60"/>
        <v>2148.5471114401353</v>
      </c>
      <c r="O441" s="139">
        <f t="shared" si="60"/>
        <v>2249.1597833358983</v>
      </c>
    </row>
    <row r="442" spans="2:15">
      <c r="B442" s="386"/>
      <c r="C442" s="386" t="s">
        <v>8</v>
      </c>
      <c r="F442" s="158" t="s">
        <v>270</v>
      </c>
      <c r="J442" s="139">
        <f t="shared" ref="J442:O442" si="61">J242</f>
        <v>1529.9405368</v>
      </c>
      <c r="K442" s="139">
        <f t="shared" si="61"/>
        <v>1593.116528</v>
      </c>
      <c r="L442" s="139">
        <f t="shared" si="61"/>
        <v>1645.5980414383998</v>
      </c>
      <c r="M442" s="139">
        <f t="shared" si="61"/>
        <v>1707.2742717364754</v>
      </c>
      <c r="N442" s="139">
        <f t="shared" si="61"/>
        <v>1780.0951646629846</v>
      </c>
      <c r="O442" s="139">
        <f t="shared" si="61"/>
        <v>1856.1322064889005</v>
      </c>
    </row>
    <row r="443" spans="2:15">
      <c r="B443" s="386"/>
      <c r="C443" s="386"/>
      <c r="F443" s="158"/>
    </row>
    <row r="444" spans="2:15">
      <c r="B444" s="385" t="s">
        <v>32</v>
      </c>
      <c r="C444" s="292"/>
      <c r="F444" s="158"/>
    </row>
    <row r="445" spans="2:15">
      <c r="B445" s="386"/>
      <c r="C445" s="292" t="s">
        <v>19</v>
      </c>
      <c r="F445" s="158" t="s">
        <v>78</v>
      </c>
      <c r="G445" s="293"/>
      <c r="H445" s="294"/>
      <c r="I445" s="294"/>
      <c r="J445" s="182">
        <f>J450/J441*J438</f>
        <v>29.642302663460271</v>
      </c>
      <c r="K445" s="182">
        <f t="shared" ref="K445:O447" si="62">H77</f>
        <v>29</v>
      </c>
      <c r="L445" s="182">
        <f t="shared" si="62"/>
        <v>28</v>
      </c>
      <c r="M445" s="182">
        <f t="shared" si="62"/>
        <v>27</v>
      </c>
      <c r="N445" s="182">
        <f t="shared" si="62"/>
        <v>27</v>
      </c>
      <c r="O445" s="182">
        <f t="shared" si="62"/>
        <v>27</v>
      </c>
    </row>
    <row r="446" spans="2:15">
      <c r="B446" s="386"/>
      <c r="C446" s="295" t="s">
        <v>33</v>
      </c>
      <c r="F446" s="158" t="s">
        <v>78</v>
      </c>
      <c r="G446" s="293"/>
      <c r="H446" s="294"/>
      <c r="I446" s="294"/>
      <c r="J446" s="182">
        <f>J451/J442*J438</f>
        <v>47.54727275358772</v>
      </c>
      <c r="K446" s="182">
        <f t="shared" si="62"/>
        <v>54</v>
      </c>
      <c r="L446" s="182">
        <f t="shared" si="62"/>
        <v>53</v>
      </c>
      <c r="M446" s="182">
        <f t="shared" si="62"/>
        <v>52</v>
      </c>
      <c r="N446" s="182">
        <f t="shared" si="62"/>
        <v>52</v>
      </c>
      <c r="O446" s="182">
        <f t="shared" si="62"/>
        <v>51</v>
      </c>
    </row>
    <row r="447" spans="2:15">
      <c r="B447" s="386"/>
      <c r="C447" s="292" t="s">
        <v>25</v>
      </c>
      <c r="F447" s="158" t="s">
        <v>78</v>
      </c>
      <c r="G447" s="293"/>
      <c r="H447" s="294"/>
      <c r="I447" s="294"/>
      <c r="J447" s="182">
        <f>J452/J442*J438</f>
        <v>32.159419805236446</v>
      </c>
      <c r="K447" s="182">
        <f t="shared" si="62"/>
        <v>38</v>
      </c>
      <c r="L447" s="182">
        <f t="shared" si="62"/>
        <v>39</v>
      </c>
      <c r="M447" s="182">
        <f t="shared" si="62"/>
        <v>40</v>
      </c>
      <c r="N447" s="182">
        <f t="shared" si="62"/>
        <v>40</v>
      </c>
      <c r="O447" s="182">
        <f t="shared" si="62"/>
        <v>40</v>
      </c>
    </row>
    <row r="448" spans="2:15">
      <c r="B448" s="386"/>
      <c r="C448" s="292"/>
      <c r="F448" s="158"/>
      <c r="H448" s="282"/>
      <c r="I448" s="282"/>
      <c r="J448" s="282"/>
      <c r="K448" s="282"/>
      <c r="L448" s="282"/>
      <c r="M448" s="282"/>
      <c r="N448" s="282"/>
      <c r="O448" s="282"/>
    </row>
    <row r="449" spans="2:16">
      <c r="B449" s="385" t="s">
        <v>34</v>
      </c>
      <c r="C449" s="292"/>
      <c r="F449" s="158"/>
      <c r="H449" s="282"/>
      <c r="I449" s="282"/>
      <c r="J449" s="282"/>
      <c r="K449" s="282"/>
      <c r="L449" s="282"/>
      <c r="M449" s="282"/>
      <c r="N449" s="282"/>
      <c r="O449" s="282"/>
    </row>
    <row r="450" spans="2:16">
      <c r="B450" s="386"/>
      <c r="C450" s="292" t="s">
        <v>19</v>
      </c>
      <c r="F450" s="158" t="s">
        <v>270</v>
      </c>
      <c r="I450" s="186"/>
      <c r="J450" s="182">
        <f>J324</f>
        <v>144.19999999999999</v>
      </c>
      <c r="K450" s="182">
        <f>K445*K441/K438</f>
        <v>149.23298487812056</v>
      </c>
      <c r="L450" s="182">
        <f>L445*L441/L438</f>
        <v>149.9066963336661</v>
      </c>
      <c r="M450" s="182">
        <f>M445*M441/M438</f>
        <v>153.58526723364076</v>
      </c>
      <c r="N450" s="182">
        <f>N445*N441/N438</f>
        <v>158.933621942147</v>
      </c>
      <c r="O450" s="182">
        <f>O445*O441/O438</f>
        <v>166.37620315087466</v>
      </c>
    </row>
    <row r="451" spans="2:16">
      <c r="B451" s="386"/>
      <c r="C451" s="295" t="s">
        <v>33</v>
      </c>
      <c r="F451" s="158" t="s">
        <v>270</v>
      </c>
      <c r="I451" s="186"/>
      <c r="J451" s="182">
        <f>J325</f>
        <v>199.3</v>
      </c>
      <c r="K451" s="182">
        <f>K446*K442/K438</f>
        <v>235.69395208767122</v>
      </c>
      <c r="L451" s="182">
        <f>L446*L442/L438</f>
        <v>238.29698414271911</v>
      </c>
      <c r="M451" s="182">
        <f>M446*M442/M438</f>
        <v>243.22811542547046</v>
      </c>
      <c r="N451" s="182">
        <f>N446*N442/N438</f>
        <v>253.60259880130192</v>
      </c>
      <c r="O451" s="182">
        <f>O446*O442/O438</f>
        <v>259.34997953680528</v>
      </c>
      <c r="P451" s="94"/>
    </row>
    <row r="452" spans="2:16">
      <c r="B452" s="386"/>
      <c r="C452" s="292" t="s">
        <v>25</v>
      </c>
      <c r="F452" s="158" t="s">
        <v>270</v>
      </c>
      <c r="I452" s="186"/>
      <c r="J452" s="296">
        <f>J336</f>
        <v>134.80000000000001</v>
      </c>
      <c r="K452" s="296">
        <f>K447*K442/K438</f>
        <v>165.85870702465752</v>
      </c>
      <c r="L452" s="296">
        <f>L447*L442/L438</f>
        <v>175.35061097294425</v>
      </c>
      <c r="M452" s="296">
        <f>M447*M442/M438</f>
        <v>187.09855032728495</v>
      </c>
      <c r="N452" s="296">
        <f>N447*N442/N438</f>
        <v>195.07892215484762</v>
      </c>
      <c r="O452" s="296">
        <f>O447*O442/O438</f>
        <v>203.41174865631788</v>
      </c>
      <c r="P452" s="94"/>
    </row>
    <row r="453" spans="2:16">
      <c r="B453" s="386"/>
      <c r="C453" s="297" t="s">
        <v>35</v>
      </c>
      <c r="D453" s="94"/>
      <c r="E453" s="94"/>
      <c r="F453" s="178" t="s">
        <v>270</v>
      </c>
      <c r="I453" s="282"/>
      <c r="J453" s="515">
        <f t="shared" ref="J453:O453" si="63">J450+J451-J452</f>
        <v>208.7</v>
      </c>
      <c r="K453" s="515">
        <f t="shared" si="63"/>
        <v>219.06822994113429</v>
      </c>
      <c r="L453" s="515">
        <f t="shared" si="63"/>
        <v>212.85306950344096</v>
      </c>
      <c r="M453" s="515">
        <f t="shared" si="63"/>
        <v>209.71483233182624</v>
      </c>
      <c r="N453" s="515">
        <f t="shared" si="63"/>
        <v>217.45729858860128</v>
      </c>
      <c r="O453" s="515">
        <f t="shared" si="63"/>
        <v>222.31443403136208</v>
      </c>
      <c r="P453" s="121" t="s">
        <v>323</v>
      </c>
    </row>
    <row r="454" spans="2:16">
      <c r="B454" s="386"/>
      <c r="C454" s="292"/>
      <c r="F454" s="158"/>
      <c r="H454" s="282"/>
      <c r="I454" s="282"/>
      <c r="J454" s="282"/>
      <c r="K454" s="282"/>
      <c r="L454" s="282"/>
      <c r="M454" s="282"/>
      <c r="N454" s="282"/>
      <c r="O454" s="282"/>
      <c r="P454" s="94"/>
    </row>
    <row r="455" spans="2:16" ht="13.5" thickBot="1">
      <c r="B455" s="297" t="s">
        <v>154</v>
      </c>
      <c r="C455" s="386"/>
      <c r="F455" s="178" t="s">
        <v>270</v>
      </c>
      <c r="H455" s="282"/>
      <c r="I455" s="282"/>
      <c r="J455" s="136"/>
      <c r="K455" s="135">
        <f>J453-K453</f>
        <v>-10.368229941134302</v>
      </c>
      <c r="L455" s="135">
        <f>K453-L453</f>
        <v>6.2151604376933278</v>
      </c>
      <c r="M455" s="135">
        <f>L453-M453</f>
        <v>3.138237171614719</v>
      </c>
      <c r="N455" s="135">
        <f>M453-N453</f>
        <v>-7.7424662567750318</v>
      </c>
      <c r="O455" s="135">
        <f>N453-O453</f>
        <v>-4.8571354427608071</v>
      </c>
      <c r="P455" s="94"/>
    </row>
    <row r="456" spans="2:16" ht="13.5" thickTop="1">
      <c r="C456" s="163"/>
      <c r="F456" s="74"/>
      <c r="P456" s="94"/>
    </row>
    <row r="457" spans="2:16">
      <c r="B457" s="122"/>
      <c r="C457" s="167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94"/>
    </row>
    <row r="458" spans="2:16">
      <c r="C458" s="163"/>
      <c r="F458" s="74"/>
      <c r="P458" s="94"/>
    </row>
    <row r="459" spans="2:16">
      <c r="P459" s="94"/>
    </row>
    <row r="460" spans="2:16" ht="12.75" customHeight="1">
      <c r="B460" s="71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3" t="str">
        <f>$O$139</f>
        <v>CURRENTLY RUNNING: BASE CASE SCENARIO</v>
      </c>
      <c r="P460" s="94"/>
    </row>
    <row r="461" spans="2:16" ht="22.5">
      <c r="B461" s="71" t="str">
        <f>B$140</f>
        <v>Windsol Manufacturing</v>
      </c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</row>
    <row r="462" spans="2:16" ht="18.75">
      <c r="B462" s="75" t="s">
        <v>81</v>
      </c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</row>
    <row r="463" spans="2:16" ht="6" customHeight="1" thickBot="1">
      <c r="B463" s="76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</row>
    <row r="464" spans="2:16" ht="13.5">
      <c r="B464" s="78" t="s">
        <v>268</v>
      </c>
      <c r="F464" s="74"/>
      <c r="H464" s="72"/>
      <c r="I464" s="72"/>
      <c r="J464" s="72"/>
      <c r="K464" s="80" t="s">
        <v>6</v>
      </c>
      <c r="L464" s="81"/>
      <c r="M464" s="81"/>
      <c r="N464" s="81"/>
      <c r="O464" s="81"/>
    </row>
    <row r="465" spans="2:15">
      <c r="F465" s="74"/>
      <c r="G465" s="128"/>
      <c r="H465" s="129"/>
      <c r="I465" s="129"/>
      <c r="J465" s="469">
        <f>$J$145</f>
        <v>2018</v>
      </c>
      <c r="K465" s="86">
        <f>K$145</f>
        <v>2019</v>
      </c>
      <c r="L465" s="86">
        <f>L$145</f>
        <v>2020</v>
      </c>
      <c r="M465" s="86">
        <f>M$145</f>
        <v>2021</v>
      </c>
      <c r="N465" s="86">
        <f>N$145</f>
        <v>2022</v>
      </c>
      <c r="O465" s="86">
        <f>O$145</f>
        <v>2023</v>
      </c>
    </row>
    <row r="466" spans="2:15" ht="4.1500000000000004" customHeight="1">
      <c r="J466" s="387"/>
    </row>
    <row r="467" spans="2:15">
      <c r="B467" s="298" t="s">
        <v>192</v>
      </c>
      <c r="C467" s="299"/>
      <c r="D467" s="299"/>
      <c r="E467" s="299"/>
      <c r="F467" s="300"/>
      <c r="G467" s="299"/>
      <c r="H467" s="299"/>
      <c r="I467" s="299"/>
      <c r="J467" s="299"/>
      <c r="K467" s="420">
        <f>K$118</f>
        <v>0.01</v>
      </c>
      <c r="L467" s="420">
        <f>L$118</f>
        <v>0.01</v>
      </c>
      <c r="M467" s="420">
        <f>M$118</f>
        <v>0.01</v>
      </c>
      <c r="N467" s="420">
        <f>N$118</f>
        <v>1.4999999999999999E-2</v>
      </c>
      <c r="O467" s="421">
        <f>O$118</f>
        <v>0.02</v>
      </c>
    </row>
    <row r="468" spans="2:15">
      <c r="B468" s="301" t="s">
        <v>189</v>
      </c>
      <c r="C468" s="170"/>
      <c r="D468" s="170"/>
      <c r="E468" s="170"/>
      <c r="F468" s="302"/>
      <c r="G468" s="170"/>
      <c r="H468" s="170"/>
      <c r="I468" s="170"/>
      <c r="J468" s="303">
        <f t="shared" ref="J468:O468" si="64">SUM(J335,J337,J342)/J247</f>
        <v>3.2249336827183441</v>
      </c>
      <c r="K468" s="303">
        <f t="shared" ca="1" si="64"/>
        <v>2.5762045600873908</v>
      </c>
      <c r="L468" s="303">
        <f t="shared" ca="1" si="64"/>
        <v>2.2145406330318771</v>
      </c>
      <c r="M468" s="303">
        <f t="shared" ca="1" si="64"/>
        <v>1.7745940633494486</v>
      </c>
      <c r="N468" s="303">
        <f t="shared" ca="1" si="64"/>
        <v>0.86276418688479506</v>
      </c>
      <c r="O468" s="304">
        <f t="shared" ca="1" si="64"/>
        <v>0.52372421254936097</v>
      </c>
    </row>
    <row r="469" spans="2:15" ht="4.1500000000000004" customHeight="1"/>
    <row r="470" spans="2:15">
      <c r="C470" s="94" t="s">
        <v>18</v>
      </c>
    </row>
    <row r="471" spans="2:15">
      <c r="D471" s="74" t="s">
        <v>83</v>
      </c>
      <c r="K471" s="139">
        <f>J473</f>
        <v>73.2</v>
      </c>
      <c r="L471" s="139">
        <f ca="1">K473</f>
        <v>83.420076156986894</v>
      </c>
      <c r="M471" s="139">
        <f ca="1">L473</f>
        <v>136.52627202172278</v>
      </c>
      <c r="N471" s="139">
        <f ca="1">M473</f>
        <v>221.85180559341879</v>
      </c>
      <c r="O471" s="139">
        <f ca="1">N473</f>
        <v>10.000000000000028</v>
      </c>
    </row>
    <row r="472" spans="2:15">
      <c r="D472" s="74" t="s">
        <v>88</v>
      </c>
      <c r="J472" s="122"/>
      <c r="K472" s="305">
        <f ca="1">K307</f>
        <v>10.220076156986892</v>
      </c>
      <c r="L472" s="305">
        <f ca="1">L307</f>
        <v>53.106195864735895</v>
      </c>
      <c r="M472" s="305">
        <f ca="1">M307</f>
        <v>85.325533571696013</v>
      </c>
      <c r="N472" s="305">
        <f ca="1">N307</f>
        <v>-211.85180559341876</v>
      </c>
      <c r="O472" s="305">
        <f ca="1">O307</f>
        <v>31.335474397877135</v>
      </c>
    </row>
    <row r="473" spans="2:15">
      <c r="D473" s="74" t="s">
        <v>85</v>
      </c>
      <c r="I473" s="306"/>
      <c r="J473" s="280">
        <f>J323</f>
        <v>73.2</v>
      </c>
      <c r="K473" s="280">
        <f ca="1">SUM(K471:K472)</f>
        <v>83.420076156986894</v>
      </c>
      <c r="L473" s="280">
        <f ca="1">SUM(L471:L472)</f>
        <v>136.52627202172278</v>
      </c>
      <c r="M473" s="280">
        <f ca="1">SUM(M471:M472)</f>
        <v>221.85180559341879</v>
      </c>
      <c r="N473" s="280">
        <f ca="1">SUM(N471:N472)</f>
        <v>10.000000000000028</v>
      </c>
      <c r="O473" s="280">
        <f ca="1">SUM(O471:O472)</f>
        <v>41.335474397877164</v>
      </c>
    </row>
    <row r="474" spans="2:15" ht="6" customHeight="1"/>
    <row r="475" spans="2:15" ht="13.15" customHeight="1">
      <c r="D475" s="74" t="s">
        <v>193</v>
      </c>
      <c r="K475" s="179">
        <f>-$Q$8</f>
        <v>-5.0000000000000001E-3</v>
      </c>
      <c r="L475" s="179">
        <f>-$Q$8</f>
        <v>-5.0000000000000001E-3</v>
      </c>
      <c r="M475" s="179">
        <f>-$Q$8</f>
        <v>-5.0000000000000001E-3</v>
      </c>
      <c r="N475" s="179">
        <f>-$Q$8</f>
        <v>-5.0000000000000001E-3</v>
      </c>
      <c r="O475" s="179">
        <f>-$Q$8</f>
        <v>-5.0000000000000001E-3</v>
      </c>
    </row>
    <row r="476" spans="2:15">
      <c r="D476" s="74" t="str">
        <f>CONCATENATE("Interest Rate (LIBOR minus ",-K475*10000," bp)")</f>
        <v>Interest Rate (LIBOR minus 50 bp)</v>
      </c>
      <c r="K476" s="307">
        <f>K475+K467</f>
        <v>5.0000000000000001E-3</v>
      </c>
      <c r="L476" s="307">
        <f>L475+L467</f>
        <v>5.0000000000000001E-3</v>
      </c>
      <c r="M476" s="307">
        <f>M475+M467</f>
        <v>5.0000000000000001E-3</v>
      </c>
      <c r="N476" s="307">
        <f>N475+N467</f>
        <v>9.9999999999999985E-3</v>
      </c>
      <c r="O476" s="307">
        <f>O475+O467</f>
        <v>1.4999999999999999E-2</v>
      </c>
    </row>
    <row r="477" spans="2:15">
      <c r="D477" s="94" t="s">
        <v>87</v>
      </c>
      <c r="K477" s="308">
        <f ca="1">K476*AVERAGE(K473,K471)</f>
        <v>0.39155019039246725</v>
      </c>
      <c r="L477" s="308">
        <f ca="1">L476*AVERAGE(L473,L471)</f>
        <v>0.54986587044677426</v>
      </c>
      <c r="M477" s="308">
        <f ca="1">M476*AVERAGE(M473,M471)</f>
        <v>0.895945194037854</v>
      </c>
      <c r="N477" s="308">
        <f ca="1">N476*AVERAGE(N473,N471)</f>
        <v>1.159259027967094</v>
      </c>
      <c r="O477" s="308">
        <f ca="1">O476*AVERAGE(O473,O471)</f>
        <v>0.38501605798407895</v>
      </c>
    </row>
    <row r="478" spans="2:15">
      <c r="D478" s="94"/>
      <c r="K478" s="218"/>
      <c r="L478" s="218"/>
      <c r="M478" s="218"/>
      <c r="N478" s="218"/>
      <c r="O478" s="218"/>
    </row>
    <row r="479" spans="2:15">
      <c r="D479" s="74" t="s">
        <v>223</v>
      </c>
      <c r="K479" s="427">
        <f>$N$8</f>
        <v>10</v>
      </c>
      <c r="L479" s="139">
        <f>K479</f>
        <v>10</v>
      </c>
      <c r="M479" s="139">
        <f>L479</f>
        <v>10</v>
      </c>
      <c r="N479" s="139">
        <f>M479</f>
        <v>10</v>
      </c>
      <c r="O479" s="139">
        <f>N479</f>
        <v>10</v>
      </c>
    </row>
    <row r="480" spans="2:15">
      <c r="D480" s="74" t="s">
        <v>224</v>
      </c>
      <c r="K480" s="139">
        <f>K471-K479</f>
        <v>63.2</v>
      </c>
      <c r="L480" s="139">
        <f ca="1">L471-L479</f>
        <v>73.420076156986894</v>
      </c>
      <c r="M480" s="139">
        <f ca="1">M471-M479</f>
        <v>126.52627202172278</v>
      </c>
      <c r="N480" s="139">
        <f ca="1">N471-N479</f>
        <v>211.85180559341879</v>
      </c>
      <c r="O480" s="139">
        <f ca="1">O471-O479</f>
        <v>2.8421709430404007E-14</v>
      </c>
    </row>
    <row r="481" spans="2:15" ht="10.9" customHeight="1"/>
    <row r="482" spans="2:15">
      <c r="C482" s="94" t="s">
        <v>177</v>
      </c>
      <c r="E482" s="428"/>
    </row>
    <row r="483" spans="2:15">
      <c r="B483" s="94"/>
      <c r="D483" s="74" t="s">
        <v>16</v>
      </c>
      <c r="H483" s="309"/>
      <c r="I483" s="309"/>
      <c r="J483" s="309"/>
      <c r="K483" s="131">
        <f ca="1">K287</f>
        <v>198.49258165763459</v>
      </c>
      <c r="L483" s="131">
        <f ca="1">L287</f>
        <v>237.25639993803765</v>
      </c>
      <c r="M483" s="131">
        <f ca="1">M287</f>
        <v>272.12804250503837</v>
      </c>
      <c r="N483" s="131">
        <f ca="1">N287</f>
        <v>269.29485927493215</v>
      </c>
      <c r="O483" s="131">
        <f ca="1">O287</f>
        <v>298.54778256839103</v>
      </c>
    </row>
    <row r="484" spans="2:15">
      <c r="B484" s="94"/>
      <c r="D484" s="74" t="s">
        <v>140</v>
      </c>
      <c r="H484" s="309"/>
      <c r="I484" s="309"/>
      <c r="J484" s="309"/>
      <c r="K484" s="131">
        <f>K293</f>
        <v>-120</v>
      </c>
      <c r="L484" s="131">
        <f>L293</f>
        <v>-130</v>
      </c>
      <c r="M484" s="131">
        <f>M293</f>
        <v>-131.94999999999999</v>
      </c>
      <c r="N484" s="131">
        <f>N293</f>
        <v>-134.589</v>
      </c>
      <c r="O484" s="131">
        <f>O293</f>
        <v>-137.28077999999999</v>
      </c>
    </row>
    <row r="485" spans="2:15">
      <c r="B485" s="94"/>
      <c r="D485" s="74" t="s">
        <v>249</v>
      </c>
      <c r="H485" s="309"/>
      <c r="I485" s="309"/>
      <c r="J485" s="309"/>
      <c r="K485" s="131">
        <f>SUM(K298:K301)</f>
        <v>-45</v>
      </c>
      <c r="L485" s="131">
        <f>SUM(L298:L301)</f>
        <v>-39</v>
      </c>
      <c r="M485" s="131">
        <f>SUM(M298:M301)</f>
        <v>-36</v>
      </c>
      <c r="N485" s="131">
        <f ca="1">SUM(N298:N301)</f>
        <v>-435.76015535961886</v>
      </c>
      <c r="O485" s="131">
        <f>SUM(O298:O301)</f>
        <v>0</v>
      </c>
    </row>
    <row r="486" spans="2:15">
      <c r="B486" s="94"/>
      <c r="D486" s="74" t="s">
        <v>174</v>
      </c>
      <c r="H486" s="309"/>
      <c r="I486" s="309"/>
      <c r="J486" s="309"/>
      <c r="K486" s="191">
        <f ca="1">K303</f>
        <v>-13.27250550064768</v>
      </c>
      <c r="L486" s="191">
        <f ca="1">L303</f>
        <v>-15.150204073301758</v>
      </c>
      <c r="M486" s="191">
        <f ca="1">M303</f>
        <v>-18.852508933342364</v>
      </c>
      <c r="N486" s="191">
        <f ca="1">N303</f>
        <v>-19.255825961170721</v>
      </c>
      <c r="O486" s="191">
        <f ca="1">O303</f>
        <v>-21.473211718075181</v>
      </c>
    </row>
    <row r="487" spans="2:15">
      <c r="D487" s="94" t="s">
        <v>182</v>
      </c>
      <c r="K487" s="218">
        <f ca="1">SUM(K483:K486)</f>
        <v>20.220076156986906</v>
      </c>
      <c r="L487" s="218">
        <f ca="1">SUM(L483:L486)</f>
        <v>53.106195864735888</v>
      </c>
      <c r="M487" s="218">
        <f ca="1">SUM(M483:M486)</f>
        <v>85.325533571696013</v>
      </c>
      <c r="N487" s="218">
        <f ca="1">SUM(N483:N486)</f>
        <v>-320.31012204585744</v>
      </c>
      <c r="O487" s="218">
        <f ca="1">SUM(O483:O486)</f>
        <v>139.79379085031584</v>
      </c>
    </row>
    <row r="488" spans="2:15" ht="9" customHeight="1">
      <c r="C488" s="94"/>
    </row>
    <row r="489" spans="2:15">
      <c r="D489" s="74" t="s">
        <v>183</v>
      </c>
      <c r="K489" s="139">
        <f>J491</f>
        <v>10</v>
      </c>
      <c r="L489" s="139">
        <f ca="1">K491</f>
        <v>0</v>
      </c>
      <c r="M489" s="139">
        <f ca="1">L491</f>
        <v>0</v>
      </c>
      <c r="N489" s="139">
        <f ca="1">M491</f>
        <v>0</v>
      </c>
      <c r="O489" s="139">
        <f ca="1">N491</f>
        <v>108.45831645243865</v>
      </c>
    </row>
    <row r="490" spans="2:15">
      <c r="D490" s="74" t="s">
        <v>84</v>
      </c>
      <c r="J490" s="122"/>
      <c r="K490" s="305">
        <f ca="1">-MIN(K487+K480,K489)</f>
        <v>-10</v>
      </c>
      <c r="L490" s="305">
        <f ca="1">-MIN(L487+L480,L489)</f>
        <v>0</v>
      </c>
      <c r="M490" s="305">
        <f ca="1">-MIN(M487+M480,M489)</f>
        <v>0</v>
      </c>
      <c r="N490" s="305">
        <f ca="1">-MIN(N487+N480,N489)</f>
        <v>108.45831645243865</v>
      </c>
      <c r="O490" s="305">
        <f ca="1">-MIN(O487+O480,O489)</f>
        <v>-108.45831645243865</v>
      </c>
    </row>
    <row r="491" spans="2:15">
      <c r="D491" s="74" t="s">
        <v>184</v>
      </c>
      <c r="I491" s="306"/>
      <c r="J491" s="280">
        <f>J335</f>
        <v>10</v>
      </c>
      <c r="K491" s="280">
        <f ca="1">SUM(K489:K490)</f>
        <v>0</v>
      </c>
      <c r="L491" s="280">
        <f ca="1">SUM(L489:L490)</f>
        <v>0</v>
      </c>
      <c r="M491" s="280">
        <f ca="1">SUM(M489:M490)</f>
        <v>0</v>
      </c>
      <c r="N491" s="280">
        <f ca="1">SUM(N489:N490)</f>
        <v>108.45831645243865</v>
      </c>
      <c r="O491" s="280">
        <f ca="1">SUM(O489:O490)</f>
        <v>0</v>
      </c>
    </row>
    <row r="492" spans="2:15" ht="6" customHeight="1"/>
    <row r="493" spans="2:15" ht="13.15" customHeight="1">
      <c r="D493" s="74" t="s">
        <v>193</v>
      </c>
      <c r="K493" s="179">
        <f>VLOOKUP(J468,$K$20:$O$23,COLUMNS($K$20:$O$23),TRUE)</f>
        <v>3.5000000000000003E-2</v>
      </c>
      <c r="L493" s="179">
        <f ca="1">VLOOKUP(K468,$K$20:$O$23,COLUMNS($K$20:$O$23),TRUE)</f>
        <v>3.0000000000000002E-2</v>
      </c>
      <c r="M493" s="179">
        <f ca="1">VLOOKUP(L468,$K$20:$O$23,COLUMNS($K$20:$O$23),TRUE)</f>
        <v>3.0000000000000002E-2</v>
      </c>
      <c r="N493" s="179">
        <f ca="1">VLOOKUP(M468,$K$20:$O$23,COLUMNS($K$20:$O$23),TRUE)</f>
        <v>2.5000000000000001E-2</v>
      </c>
      <c r="O493" s="179">
        <f ca="1">VLOOKUP(N468,$K$20:$O$23,COLUMNS($K$20:$O$23),TRUE)</f>
        <v>0.02</v>
      </c>
    </row>
    <row r="494" spans="2:15">
      <c r="D494" s="74" t="s">
        <v>195</v>
      </c>
      <c r="K494" s="179">
        <f>K493+K467</f>
        <v>4.5000000000000005E-2</v>
      </c>
      <c r="L494" s="179">
        <f ca="1">L493+L467</f>
        <v>0.04</v>
      </c>
      <c r="M494" s="179">
        <f ca="1">M493+M467</f>
        <v>0.04</v>
      </c>
      <c r="N494" s="179">
        <f ca="1">N493+N467</f>
        <v>0.04</v>
      </c>
      <c r="O494" s="179">
        <f ca="1">O493+O467</f>
        <v>0.04</v>
      </c>
    </row>
    <row r="495" spans="2:15">
      <c r="D495" s="94" t="s">
        <v>86</v>
      </c>
      <c r="K495" s="308">
        <f ca="1">K494*AVERAGE(K491,K489)</f>
        <v>0.22500000000000003</v>
      </c>
      <c r="L495" s="308">
        <f ca="1">L494*AVERAGE(L491,L489)</f>
        <v>0</v>
      </c>
      <c r="M495" s="308">
        <f ca="1">M494*AVERAGE(M491,M489)</f>
        <v>0</v>
      </c>
      <c r="N495" s="308">
        <f ca="1">N494*AVERAGE(N491,N489)</f>
        <v>2.1691663290487733</v>
      </c>
      <c r="O495" s="308">
        <f ca="1">O494*AVERAGE(O491,O489)</f>
        <v>2.1691663290487733</v>
      </c>
    </row>
    <row r="496" spans="2:15" ht="10.9" customHeight="1">
      <c r="D496" s="74" t="s">
        <v>186</v>
      </c>
    </row>
    <row r="497" spans="2:16">
      <c r="C497" s="94" t="s">
        <v>252</v>
      </c>
    </row>
    <row r="498" spans="2:16">
      <c r="C498" s="94"/>
      <c r="D498" s="74" t="s">
        <v>194</v>
      </c>
      <c r="K498" s="3">
        <f>N18</f>
        <v>0.15</v>
      </c>
      <c r="L498" s="3">
        <f>O18</f>
        <v>0.13</v>
      </c>
      <c r="M498" s="3">
        <f>P18</f>
        <v>0.12</v>
      </c>
      <c r="N498" s="3">
        <f>Q18</f>
        <v>0.1</v>
      </c>
      <c r="O498" s="3">
        <f>R18</f>
        <v>0</v>
      </c>
    </row>
    <row r="499" spans="2:16" ht="6" customHeight="1">
      <c r="C499" s="94"/>
    </row>
    <row r="500" spans="2:16">
      <c r="D500" s="74" t="s">
        <v>83</v>
      </c>
      <c r="G500" s="433" t="s">
        <v>238</v>
      </c>
      <c r="H500" s="450"/>
      <c r="K500" s="139">
        <f>J502</f>
        <v>150</v>
      </c>
      <c r="L500" s="139">
        <f>K502</f>
        <v>105</v>
      </c>
      <c r="M500" s="139">
        <f>L502</f>
        <v>66</v>
      </c>
      <c r="N500" s="139">
        <f>M502</f>
        <v>30</v>
      </c>
      <c r="O500" s="139">
        <f>N502</f>
        <v>0</v>
      </c>
    </row>
    <row r="501" spans="2:16">
      <c r="D501" s="74" t="s">
        <v>84</v>
      </c>
      <c r="G501" s="229"/>
      <c r="H501" s="522">
        <f>N10</f>
        <v>300</v>
      </c>
      <c r="J501" s="122"/>
      <c r="K501" s="502">
        <f>-$H$501*K498</f>
        <v>-45</v>
      </c>
      <c r="L501" s="502">
        <f>-$H$501*L498</f>
        <v>-39</v>
      </c>
      <c r="M501" s="502">
        <f>-$H$501*M498</f>
        <v>-36</v>
      </c>
      <c r="N501" s="502">
        <f>-$H$501*N498</f>
        <v>-30</v>
      </c>
      <c r="O501" s="502">
        <f>-$H$501*O498</f>
        <v>0</v>
      </c>
      <c r="P501" s="121" t="s">
        <v>325</v>
      </c>
    </row>
    <row r="502" spans="2:16">
      <c r="D502" s="74" t="s">
        <v>85</v>
      </c>
      <c r="I502" s="306"/>
      <c r="J502" s="280">
        <f>O10</f>
        <v>150</v>
      </c>
      <c r="K502" s="280">
        <f>SUM(K500:K501)</f>
        <v>105</v>
      </c>
      <c r="L502" s="280">
        <f>SUM(L500:L501)</f>
        <v>66</v>
      </c>
      <c r="M502" s="280">
        <f>SUM(M500:M501)</f>
        <v>30</v>
      </c>
      <c r="N502" s="280">
        <f>SUM(N500:N501)</f>
        <v>0</v>
      </c>
      <c r="O502" s="280">
        <f>SUM(O500:O501)</f>
        <v>0</v>
      </c>
    </row>
    <row r="503" spans="2:16" ht="6" customHeight="1"/>
    <row r="504" spans="2:16" ht="13.15" customHeight="1">
      <c r="D504" s="74" t="s">
        <v>193</v>
      </c>
      <c r="K504" s="179">
        <f>K493</f>
        <v>3.5000000000000003E-2</v>
      </c>
      <c r="L504" s="179">
        <f ca="1">L493</f>
        <v>3.0000000000000002E-2</v>
      </c>
      <c r="M504" s="179">
        <f ca="1">M493</f>
        <v>3.0000000000000002E-2</v>
      </c>
      <c r="N504" s="179">
        <f ca="1">N493</f>
        <v>2.5000000000000001E-2</v>
      </c>
      <c r="O504" s="179">
        <f ca="1">O493</f>
        <v>0.02</v>
      </c>
    </row>
    <row r="505" spans="2:16">
      <c r="D505" s="74" t="s">
        <v>195</v>
      </c>
      <c r="K505" s="179">
        <f>K467+K504</f>
        <v>4.5000000000000005E-2</v>
      </c>
      <c r="L505" s="179">
        <f ca="1">L467+L504</f>
        <v>0.04</v>
      </c>
      <c r="M505" s="179">
        <f ca="1">M467+M504</f>
        <v>0.04</v>
      </c>
      <c r="N505" s="179">
        <f ca="1">N467+N504</f>
        <v>0.04</v>
      </c>
      <c r="O505" s="179">
        <f ca="1">O467+O504</f>
        <v>0.04</v>
      </c>
    </row>
    <row r="506" spans="2:16">
      <c r="D506" s="94" t="s">
        <v>86</v>
      </c>
      <c r="K506" s="308">
        <f>K505*AVERAGE(K502,K500)</f>
        <v>5.7375000000000007</v>
      </c>
      <c r="L506" s="308">
        <f ca="1">L505*AVERAGE(L502,L500)</f>
        <v>3.42</v>
      </c>
      <c r="M506" s="308">
        <f ca="1">M505*AVERAGE(M502,M500)</f>
        <v>1.92</v>
      </c>
      <c r="N506" s="308">
        <f ca="1">N505*AVERAGE(N502,N500)</f>
        <v>0.6</v>
      </c>
      <c r="O506" s="308">
        <f ca="1">O505*AVERAGE(O502,O500)</f>
        <v>0</v>
      </c>
    </row>
    <row r="507" spans="2:16">
      <c r="C507" s="163"/>
      <c r="F507" s="74"/>
    </row>
    <row r="508" spans="2:16">
      <c r="B508" s="122"/>
      <c r="C508" s="167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</row>
    <row r="509" spans="2:16">
      <c r="C509" s="163"/>
      <c r="F509" s="74"/>
    </row>
    <row r="511" spans="2:16" ht="12.75" customHeight="1">
      <c r="B511" s="71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3" t="str">
        <f>$O$139</f>
        <v>CURRENTLY RUNNING: BASE CASE SCENARIO</v>
      </c>
    </row>
    <row r="512" spans="2:16" ht="22.5">
      <c r="B512" s="71" t="str">
        <f>B$140</f>
        <v>Windsol Manufacturing</v>
      </c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</row>
    <row r="513" spans="2:15" ht="18.75">
      <c r="B513" s="75" t="s">
        <v>228</v>
      </c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</row>
    <row r="514" spans="2:15" ht="6" customHeight="1" thickBot="1">
      <c r="B514" s="76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</row>
    <row r="515" spans="2:15" ht="13.5">
      <c r="B515" s="78" t="s">
        <v>268</v>
      </c>
      <c r="F515" s="74"/>
      <c r="H515" s="72"/>
      <c r="I515" s="72"/>
      <c r="J515" s="72"/>
      <c r="K515" s="80" t="s">
        <v>6</v>
      </c>
      <c r="L515" s="81"/>
      <c r="M515" s="81"/>
      <c r="N515" s="81"/>
      <c r="O515" s="81"/>
    </row>
    <row r="516" spans="2:15">
      <c r="F516" s="74"/>
      <c r="G516" s="128"/>
      <c r="H516" s="129"/>
      <c r="I516" s="129"/>
      <c r="J516" s="469">
        <f>$J$145</f>
        <v>2018</v>
      </c>
      <c r="K516" s="86">
        <f>K$145</f>
        <v>2019</v>
      </c>
      <c r="L516" s="86">
        <f>L$145</f>
        <v>2020</v>
      </c>
      <c r="M516" s="86">
        <f>M$145</f>
        <v>2021</v>
      </c>
      <c r="N516" s="86">
        <f>N$145</f>
        <v>2022</v>
      </c>
      <c r="O516" s="86">
        <f>O$145</f>
        <v>2023</v>
      </c>
    </row>
    <row r="517" spans="2:15" ht="4.1500000000000004" customHeight="1">
      <c r="J517" s="387"/>
    </row>
    <row r="518" spans="2:15">
      <c r="B518" s="298" t="s">
        <v>192</v>
      </c>
      <c r="C518" s="299"/>
      <c r="D518" s="299"/>
      <c r="E518" s="299"/>
      <c r="F518" s="300"/>
      <c r="G518" s="299"/>
      <c r="H518" s="299"/>
      <c r="I518" s="299"/>
      <c r="J518" s="299"/>
      <c r="K518" s="420">
        <f>K467</f>
        <v>0.01</v>
      </c>
      <c r="L518" s="420">
        <f>L467</f>
        <v>0.01</v>
      </c>
      <c r="M518" s="420">
        <f>M467</f>
        <v>0.01</v>
      </c>
      <c r="N518" s="420">
        <f>N467</f>
        <v>1.4999999999999999E-2</v>
      </c>
      <c r="O518" s="421">
        <f>O467</f>
        <v>0.02</v>
      </c>
    </row>
    <row r="519" spans="2:15">
      <c r="B519" s="301" t="s">
        <v>189</v>
      </c>
      <c r="C519" s="170"/>
      <c r="D519" s="170"/>
      <c r="E519" s="170"/>
      <c r="F519" s="302"/>
      <c r="G519" s="170"/>
      <c r="H519" s="170"/>
      <c r="I519" s="170"/>
      <c r="J519" s="303">
        <f t="shared" ref="J519:O519" si="65">J$468</f>
        <v>3.2249336827183441</v>
      </c>
      <c r="K519" s="303">
        <f t="shared" ca="1" si="65"/>
        <v>2.5762045600873908</v>
      </c>
      <c r="L519" s="303">
        <f t="shared" ca="1" si="65"/>
        <v>2.2145406330318771</v>
      </c>
      <c r="M519" s="303">
        <f t="shared" ca="1" si="65"/>
        <v>1.7745940633494486</v>
      </c>
      <c r="N519" s="303">
        <f t="shared" ca="1" si="65"/>
        <v>0.86276418688479506</v>
      </c>
      <c r="O519" s="304">
        <f t="shared" ca="1" si="65"/>
        <v>0.52372421254936097</v>
      </c>
    </row>
    <row r="520" spans="2:15" ht="4.1500000000000004" customHeight="1"/>
    <row r="521" spans="2:15" ht="5.0999999999999996" customHeight="1"/>
    <row r="522" spans="2:15">
      <c r="C522" s="94" t="str">
        <f>K11</f>
        <v>Mezzanine Notes due 2022</v>
      </c>
      <c r="G522" s="433" t="s">
        <v>231</v>
      </c>
      <c r="H522" s="450"/>
    </row>
    <row r="523" spans="2:15">
      <c r="D523" s="74" t="s">
        <v>83</v>
      </c>
      <c r="G523" s="108"/>
      <c r="H523" s="523">
        <f>P11</f>
        <v>44742</v>
      </c>
      <c r="K523" s="139">
        <f>J526</f>
        <v>100</v>
      </c>
      <c r="L523" s="139">
        <f ca="1">K526</f>
        <v>102.83975659229209</v>
      </c>
      <c r="M523" s="139">
        <f ca="1">L526</f>
        <v>105.76015535961885</v>
      </c>
      <c r="N523" s="139">
        <f ca="1">M526</f>
        <v>105.76015535961885</v>
      </c>
      <c r="O523" s="139">
        <f ca="1">N526</f>
        <v>0</v>
      </c>
    </row>
    <row r="524" spans="2:15">
      <c r="D524" s="74" t="s">
        <v>84</v>
      </c>
      <c r="G524" s="108"/>
      <c r="H524" s="451"/>
      <c r="K524" s="139">
        <f>IF(YEAR($H$523)=K516,-K523-K525,0)</f>
        <v>0</v>
      </c>
      <c r="L524" s="139">
        <f>IF(YEAR($H$523)=L516,-L523-L525,0)</f>
        <v>0</v>
      </c>
      <c r="M524" s="139">
        <f>IF(YEAR($H$523)=M516,-M523-M525,0)</f>
        <v>0</v>
      </c>
      <c r="N524" s="139">
        <f ca="1">IF(YEAR($H$523)=N516,-N523-N525,0)</f>
        <v>-105.76015535961885</v>
      </c>
      <c r="O524" s="139">
        <f>IF(YEAR($H$523)=O516,-O523-O525,0)</f>
        <v>0</v>
      </c>
    </row>
    <row r="525" spans="2:15">
      <c r="D525" s="74" t="s">
        <v>211</v>
      </c>
      <c r="G525" s="434" t="s">
        <v>266</v>
      </c>
      <c r="H525" s="340"/>
      <c r="J525" s="122"/>
      <c r="K525" s="305">
        <f ca="1">K532</f>
        <v>2.8397565922920895</v>
      </c>
      <c r="L525" s="305">
        <f ca="1">L532</f>
        <v>2.9203987673267537</v>
      </c>
      <c r="M525" s="305">
        <f ca="1">M532</f>
        <v>0</v>
      </c>
      <c r="N525" s="305">
        <f ca="1">N532</f>
        <v>0</v>
      </c>
      <c r="O525" s="305">
        <f ca="1">O532</f>
        <v>0</v>
      </c>
    </row>
    <row r="526" spans="2:15">
      <c r="D526" s="74" t="s">
        <v>85</v>
      </c>
      <c r="G526" s="108"/>
      <c r="H526" s="524">
        <f>R27</f>
        <v>2.5</v>
      </c>
      <c r="I526" s="306"/>
      <c r="J526" s="280">
        <f>O11</f>
        <v>100</v>
      </c>
      <c r="K526" s="280">
        <f ca="1">SUM(K523:K525)</f>
        <v>102.83975659229209</v>
      </c>
      <c r="L526" s="280">
        <f ca="1">SUM(L523:L525)</f>
        <v>105.76015535961885</v>
      </c>
      <c r="M526" s="280">
        <f ca="1">SUM(M523:M525)</f>
        <v>105.76015535961885</v>
      </c>
      <c r="N526" s="280">
        <f ca="1">SUM(N523:N525)</f>
        <v>0</v>
      </c>
      <c r="O526" s="280">
        <f ca="1">SUM(O523:O525)</f>
        <v>0</v>
      </c>
    </row>
    <row r="527" spans="2:15" ht="6" customHeight="1">
      <c r="G527" s="108"/>
      <c r="H527" s="451"/>
    </row>
    <row r="528" spans="2:15" ht="13.15" customHeight="1">
      <c r="D528" s="74" t="s">
        <v>212</v>
      </c>
      <c r="G528" s="434" t="s">
        <v>267</v>
      </c>
      <c r="H528" s="340"/>
      <c r="K528" s="179">
        <f>IF(J519&gt;$H$526,$H$529,0)</f>
        <v>0.4</v>
      </c>
      <c r="L528" s="179">
        <f ca="1">IF(K519&gt;$H$526,$H$529,0)</f>
        <v>0.4</v>
      </c>
      <c r="M528" s="179">
        <f ca="1">IF(L519&gt;$H$526,$H$529,0)</f>
        <v>0</v>
      </c>
      <c r="N528" s="179">
        <f ca="1">IF(M519&gt;$H$526,$H$529,0)</f>
        <v>0</v>
      </c>
      <c r="O528" s="179">
        <f ca="1">IF(N519&gt;$H$526,$H$529,0)</f>
        <v>0</v>
      </c>
    </row>
    <row r="529" spans="3:16" ht="13.15" customHeight="1">
      <c r="D529" s="74" t="s">
        <v>213</v>
      </c>
      <c r="G529" s="229"/>
      <c r="H529" s="525">
        <f>R26</f>
        <v>0.4</v>
      </c>
      <c r="K529" s="179">
        <f>1-K528</f>
        <v>0.6</v>
      </c>
      <c r="L529" s="179">
        <f ca="1">1-L528</f>
        <v>0.6</v>
      </c>
      <c r="M529" s="179">
        <f ca="1">1-M528</f>
        <v>1</v>
      </c>
      <c r="N529" s="179">
        <f ca="1">1-N528</f>
        <v>1</v>
      </c>
      <c r="O529" s="179">
        <f ca="1">1-O528</f>
        <v>1</v>
      </c>
    </row>
    <row r="530" spans="3:16" ht="13.15" customHeight="1">
      <c r="D530" s="74" t="s">
        <v>214</v>
      </c>
      <c r="K530" s="179">
        <f>Q11</f>
        <v>7.0000000000000007E-2</v>
      </c>
      <c r="L530" s="179">
        <f>K530</f>
        <v>7.0000000000000007E-2</v>
      </c>
      <c r="M530" s="179">
        <f>L530</f>
        <v>7.0000000000000007E-2</v>
      </c>
      <c r="N530" s="179">
        <f>M530</f>
        <v>7.0000000000000007E-2</v>
      </c>
      <c r="O530" s="179">
        <f>N530</f>
        <v>7.0000000000000007E-2</v>
      </c>
    </row>
    <row r="531" spans="3:16" ht="6" customHeight="1"/>
    <row r="532" spans="3:16">
      <c r="D532" s="74" t="s">
        <v>215</v>
      </c>
      <c r="K532" s="139">
        <f ca="1">K528*K530*AVERAGE(K523,K526)</f>
        <v>2.8397565922920895</v>
      </c>
      <c r="L532" s="139">
        <f ca="1">L528*L530*AVERAGE(L523,L526)</f>
        <v>2.9203987673267537</v>
      </c>
      <c r="M532" s="139">
        <f ca="1">M528*M530*AVERAGE(M523,M526)</f>
        <v>0</v>
      </c>
      <c r="N532" s="139">
        <f ca="1">N528*N530*AVERAGE(N523,N526)</f>
        <v>0</v>
      </c>
      <c r="O532" s="139">
        <f ca="1">O528*O530*AVERAGE(O523,O526)</f>
        <v>0</v>
      </c>
    </row>
    <row r="533" spans="3:16">
      <c r="D533" s="74" t="s">
        <v>216</v>
      </c>
      <c r="K533" s="139">
        <f ca="1">K529*K530*AVERAGE(K523,K526)</f>
        <v>4.2596348884381339</v>
      </c>
      <c r="L533" s="139">
        <f ca="1">L529*L530*AVERAGE(L523,L526)</f>
        <v>4.3805981509901297</v>
      </c>
      <c r="M533" s="139">
        <f ca="1">M529*M530*AVERAGE(M523,M526)</f>
        <v>7.4032108751733201</v>
      </c>
      <c r="N533" s="139">
        <f ca="1">N529*N530*AVERAGE(N523,N526)</f>
        <v>3.7016054375866601</v>
      </c>
      <c r="O533" s="139">
        <f ca="1">O529*O530*AVERAGE(O523,O526)</f>
        <v>0</v>
      </c>
    </row>
    <row r="534" spans="3:16">
      <c r="D534" s="94" t="s">
        <v>217</v>
      </c>
      <c r="K534" s="308">
        <f ca="1">SUM(K532:K533)</f>
        <v>7.0993914807302234</v>
      </c>
      <c r="L534" s="308">
        <f ca="1">SUM(L532:L533)</f>
        <v>7.3009969183168835</v>
      </c>
      <c r="M534" s="308">
        <f ca="1">SUM(M532:M533)</f>
        <v>7.4032108751733201</v>
      </c>
      <c r="N534" s="308">
        <f ca="1">SUM(N532:N533)</f>
        <v>3.7016054375866601</v>
      </c>
      <c r="O534" s="308">
        <f ca="1">SUM(O532:O533)</f>
        <v>0</v>
      </c>
    </row>
    <row r="536" spans="3:16">
      <c r="C536" s="94" t="str">
        <f>K12</f>
        <v>Senior Notes due 2022</v>
      </c>
      <c r="G536" s="433" t="s">
        <v>231</v>
      </c>
      <c r="H536" s="450"/>
    </row>
    <row r="537" spans="3:16">
      <c r="D537" s="74" t="s">
        <v>83</v>
      </c>
      <c r="G537" s="229"/>
      <c r="H537" s="526">
        <f>P12</f>
        <v>44742</v>
      </c>
      <c r="K537" s="139">
        <f>J539</f>
        <v>300</v>
      </c>
      <c r="L537" s="139">
        <f>K539</f>
        <v>300</v>
      </c>
      <c r="M537" s="139">
        <f>L539</f>
        <v>300</v>
      </c>
      <c r="N537" s="139">
        <f>M539</f>
        <v>300</v>
      </c>
      <c r="O537" s="139">
        <f>N539</f>
        <v>0</v>
      </c>
    </row>
    <row r="538" spans="3:16">
      <c r="D538" s="74" t="s">
        <v>84</v>
      </c>
      <c r="J538" s="122"/>
      <c r="K538" s="502">
        <f>IF(YEAR($H$537)=K516,-K537,0)</f>
        <v>0</v>
      </c>
      <c r="L538" s="502">
        <f>IF(YEAR($H$537)=L516,-L537,0)</f>
        <v>0</v>
      </c>
      <c r="M538" s="502">
        <f>IF(YEAR($H$537)=M516,-M537,0)</f>
        <v>0</v>
      </c>
      <c r="N538" s="502">
        <f>IF(YEAR($H$537)=N516,-N537,0)</f>
        <v>-300</v>
      </c>
      <c r="O538" s="502">
        <f>IF(YEAR($H$537)=O516,-O537,0)</f>
        <v>0</v>
      </c>
      <c r="P538" s="121" t="s">
        <v>313</v>
      </c>
    </row>
    <row r="539" spans="3:16">
      <c r="D539" s="74" t="s">
        <v>85</v>
      </c>
      <c r="I539" s="306"/>
      <c r="J539" s="280">
        <f>O12</f>
        <v>300</v>
      </c>
      <c r="K539" s="280">
        <f>SUM(K537:K538)</f>
        <v>300</v>
      </c>
      <c r="L539" s="280">
        <f>SUM(L537:L538)</f>
        <v>300</v>
      </c>
      <c r="M539" s="280">
        <f>SUM(M537:M538)</f>
        <v>300</v>
      </c>
      <c r="N539" s="280">
        <f>SUM(N537:N538)</f>
        <v>0</v>
      </c>
      <c r="O539" s="280">
        <f>SUM(O537:O538)</f>
        <v>0</v>
      </c>
    </row>
    <row r="540" spans="3:16" ht="6" customHeight="1"/>
    <row r="541" spans="3:16">
      <c r="D541" s="74" t="s">
        <v>214</v>
      </c>
      <c r="K541" s="179">
        <f>Q12</f>
        <v>5.7000000000000002E-2</v>
      </c>
      <c r="L541" s="179">
        <f>K541</f>
        <v>5.7000000000000002E-2</v>
      </c>
      <c r="M541" s="179">
        <f>L541</f>
        <v>5.7000000000000002E-2</v>
      </c>
      <c r="N541" s="179">
        <f>M541</f>
        <v>5.7000000000000002E-2</v>
      </c>
      <c r="O541" s="179">
        <f>N541</f>
        <v>5.7000000000000002E-2</v>
      </c>
    </row>
    <row r="542" spans="3:16">
      <c r="D542" s="94" t="s">
        <v>86</v>
      </c>
      <c r="K542" s="308">
        <f>K541*AVERAGE(K539,K537)</f>
        <v>17.100000000000001</v>
      </c>
      <c r="L542" s="308">
        <f>L541*AVERAGE(L539,L537)</f>
        <v>17.100000000000001</v>
      </c>
      <c r="M542" s="308">
        <f>M541*AVERAGE(M539,M537)</f>
        <v>17.100000000000001</v>
      </c>
      <c r="N542" s="308">
        <f>N541*AVERAGE(N539,N537)</f>
        <v>8.5500000000000007</v>
      </c>
      <c r="O542" s="308">
        <f>O541*AVERAGE(O539,O537)</f>
        <v>0</v>
      </c>
    </row>
    <row r="543" spans="3:16">
      <c r="C543" s="94"/>
    </row>
    <row r="544" spans="3:16">
      <c r="C544" s="94" t="str">
        <f>K13</f>
        <v>Senior Notes due 2023</v>
      </c>
      <c r="G544" s="433" t="s">
        <v>231</v>
      </c>
      <c r="H544" s="450"/>
    </row>
    <row r="545" spans="3:16">
      <c r="D545" s="74" t="s">
        <v>83</v>
      </c>
      <c r="G545" s="229"/>
      <c r="H545" s="526">
        <f>P13</f>
        <v>45107</v>
      </c>
      <c r="K545" s="139">
        <f>J547</f>
        <v>200</v>
      </c>
      <c r="L545" s="139">
        <f>K547</f>
        <v>200</v>
      </c>
      <c r="M545" s="139">
        <f>L547</f>
        <v>200</v>
      </c>
      <c r="N545" s="139">
        <f>M547</f>
        <v>200</v>
      </c>
      <c r="O545" s="139">
        <f>N547</f>
        <v>200</v>
      </c>
    </row>
    <row r="546" spans="3:16">
      <c r="D546" s="74" t="s">
        <v>84</v>
      </c>
      <c r="J546" s="122"/>
      <c r="K546" s="502">
        <f>IF(YEAR($H$545)=K516,-K545,0)</f>
        <v>0</v>
      </c>
      <c r="L546" s="502">
        <f>IF(YEAR($H$545)=L516,-L545,0)</f>
        <v>0</v>
      </c>
      <c r="M546" s="502">
        <f>IF(YEAR($H$545)=M516,-M545,0)</f>
        <v>0</v>
      </c>
      <c r="N546" s="502">
        <f>IF(YEAR($H$545)=N516,-N545,0)</f>
        <v>0</v>
      </c>
      <c r="O546" s="502">
        <f>IF(YEAR($H$545)=O516,-O545,0)</f>
        <v>-200</v>
      </c>
      <c r="P546" s="121" t="s">
        <v>314</v>
      </c>
    </row>
    <row r="547" spans="3:16">
      <c r="D547" s="74" t="s">
        <v>85</v>
      </c>
      <c r="I547" s="306"/>
      <c r="J547" s="280">
        <f>O13</f>
        <v>200</v>
      </c>
      <c r="K547" s="280">
        <f>SUM(K545:K546)</f>
        <v>200</v>
      </c>
      <c r="L547" s="280">
        <f>SUM(L545:L546)</f>
        <v>200</v>
      </c>
      <c r="M547" s="280">
        <f>SUM(M545:M546)</f>
        <v>200</v>
      </c>
      <c r="N547" s="280">
        <f>SUM(N545:N546)</f>
        <v>200</v>
      </c>
      <c r="O547" s="280">
        <f>SUM(O545:O546)</f>
        <v>0</v>
      </c>
      <c r="P547" s="513"/>
    </row>
    <row r="548" spans="3:16" ht="6" customHeight="1">
      <c r="P548" s="513"/>
    </row>
    <row r="549" spans="3:16">
      <c r="D549" s="74" t="s">
        <v>214</v>
      </c>
      <c r="K549" s="532">
        <f>Q13</f>
        <v>4.8000000000000001E-2</v>
      </c>
      <c r="L549" s="179">
        <f>K549</f>
        <v>4.8000000000000001E-2</v>
      </c>
      <c r="M549" s="179">
        <f>L549</f>
        <v>4.8000000000000001E-2</v>
      </c>
      <c r="N549" s="179">
        <f>M549</f>
        <v>4.8000000000000001E-2</v>
      </c>
      <c r="O549" s="179">
        <f>N549</f>
        <v>4.8000000000000001E-2</v>
      </c>
      <c r="P549" s="121" t="s">
        <v>315</v>
      </c>
    </row>
    <row r="550" spans="3:16">
      <c r="D550" s="94" t="s">
        <v>86</v>
      </c>
      <c r="K550" s="308">
        <f>K549*AVERAGE(K547,K545)</f>
        <v>9.6</v>
      </c>
      <c r="L550" s="308">
        <f>L549*AVERAGE(L547,L545)</f>
        <v>9.6</v>
      </c>
      <c r="M550" s="308">
        <f>M549*AVERAGE(M547,M545)</f>
        <v>9.6</v>
      </c>
      <c r="N550" s="308">
        <f>N549*AVERAGE(N547,N545)</f>
        <v>9.6</v>
      </c>
      <c r="O550" s="308">
        <f>O549*AVERAGE(O547,O545)</f>
        <v>4.8</v>
      </c>
    </row>
    <row r="552" spans="3:16">
      <c r="C552" s="94" t="s">
        <v>230</v>
      </c>
      <c r="G552" s="433" t="s">
        <v>264</v>
      </c>
      <c r="H552" s="450"/>
    </row>
    <row r="553" spans="3:16">
      <c r="D553" s="74" t="s">
        <v>83</v>
      </c>
      <c r="G553" s="434" t="s">
        <v>265</v>
      </c>
      <c r="H553" s="340"/>
      <c r="K553" s="139">
        <f>J558</f>
        <v>0</v>
      </c>
      <c r="L553" s="139">
        <f>K558</f>
        <v>0</v>
      </c>
      <c r="M553" s="139">
        <f>L558</f>
        <v>0</v>
      </c>
      <c r="N553" s="139">
        <f>M558</f>
        <v>0</v>
      </c>
      <c r="O553" s="139">
        <f ca="1">N558</f>
        <v>0</v>
      </c>
    </row>
    <row r="554" spans="3:16">
      <c r="D554" s="74" t="s">
        <v>246</v>
      </c>
      <c r="G554" s="108"/>
      <c r="H554" s="527">
        <f>R10</f>
        <v>0</v>
      </c>
      <c r="K554" s="139">
        <f>-$H554*K501</f>
        <v>0</v>
      </c>
      <c r="L554" s="139">
        <f>-$H554*L501</f>
        <v>0</v>
      </c>
      <c r="M554" s="139">
        <f>-$H554*M501</f>
        <v>0</v>
      </c>
      <c r="N554" s="139">
        <f>-$H554*N501</f>
        <v>0</v>
      </c>
      <c r="O554" s="139">
        <f>-$H554*O501</f>
        <v>0</v>
      </c>
    </row>
    <row r="555" spans="3:16">
      <c r="D555" s="74" t="s">
        <v>247</v>
      </c>
      <c r="G555" s="108"/>
      <c r="H555" s="527">
        <f>R11</f>
        <v>0</v>
      </c>
      <c r="K555" s="139">
        <f>-$H555*K524</f>
        <v>0</v>
      </c>
      <c r="L555" s="139">
        <f>-$H555*L524</f>
        <v>0</v>
      </c>
      <c r="M555" s="139">
        <f>-$H555*M524</f>
        <v>0</v>
      </c>
      <c r="N555" s="139">
        <f ca="1">-$H555*N524</f>
        <v>0</v>
      </c>
      <c r="O555" s="139">
        <f>-$H555*O524</f>
        <v>0</v>
      </c>
    </row>
    <row r="556" spans="3:16">
      <c r="D556" s="74" t="str">
        <f>"Additions from "&amp;C536</f>
        <v>Additions from Senior Notes due 2022</v>
      </c>
      <c r="G556" s="108"/>
      <c r="H556" s="527">
        <f>R12</f>
        <v>0</v>
      </c>
      <c r="K556" s="139">
        <f>-$H556*K538</f>
        <v>0</v>
      </c>
      <c r="L556" s="139">
        <f>-$H556*L538</f>
        <v>0</v>
      </c>
      <c r="M556" s="139">
        <f>-$H556*M538</f>
        <v>0</v>
      </c>
      <c r="N556" s="139">
        <f>-$H556*N538</f>
        <v>0</v>
      </c>
      <c r="O556" s="139">
        <f>-$H556*O538</f>
        <v>0</v>
      </c>
    </row>
    <row r="557" spans="3:16">
      <c r="D557" s="74" t="str">
        <f>"Additions from "&amp;C544</f>
        <v>Additions from Senior Notes due 2023</v>
      </c>
      <c r="G557" s="229"/>
      <c r="H557" s="528">
        <f>R13</f>
        <v>1</v>
      </c>
      <c r="J557" s="430"/>
      <c r="K557" s="305">
        <f>-$H557*K546</f>
        <v>0</v>
      </c>
      <c r="L557" s="305">
        <f>-$H557*L546</f>
        <v>0</v>
      </c>
      <c r="M557" s="305">
        <f>-$H557*M546</f>
        <v>0</v>
      </c>
      <c r="N557" s="305">
        <f>-$H557*N546</f>
        <v>0</v>
      </c>
      <c r="O557" s="305">
        <f>-$H557*O546</f>
        <v>200</v>
      </c>
    </row>
    <row r="558" spans="3:16">
      <c r="D558" s="74" t="s">
        <v>85</v>
      </c>
      <c r="I558" s="306"/>
      <c r="J558" s="280">
        <f>O14</f>
        <v>0</v>
      </c>
      <c r="K558" s="280">
        <f>SUM(K553:K557)</f>
        <v>0</v>
      </c>
      <c r="L558" s="280">
        <f>SUM(L553:L557)</f>
        <v>0</v>
      </c>
      <c r="M558" s="280">
        <f>SUM(M553:M557)</f>
        <v>0</v>
      </c>
      <c r="N558" s="280">
        <f ca="1">SUM(N553:N557)</f>
        <v>0</v>
      </c>
      <c r="O558" s="280">
        <f ca="1">SUM(O553:O557)</f>
        <v>200</v>
      </c>
    </row>
    <row r="559" spans="3:16" ht="6" customHeight="1"/>
    <row r="560" spans="3:16">
      <c r="D560" s="74" t="s">
        <v>214</v>
      </c>
      <c r="K560" s="179">
        <f>Q14</f>
        <v>0.05</v>
      </c>
      <c r="L560" s="179">
        <f>K560</f>
        <v>0.05</v>
      </c>
      <c r="M560" s="179">
        <f>L560</f>
        <v>0.05</v>
      </c>
      <c r="N560" s="179">
        <f>M560</f>
        <v>0.05</v>
      </c>
      <c r="O560" s="179">
        <f>N560</f>
        <v>0.05</v>
      </c>
    </row>
    <row r="561" spans="2:16">
      <c r="D561" s="94" t="s">
        <v>86</v>
      </c>
      <c r="K561" s="308">
        <f>K560*AVERAGE(K558,K553)</f>
        <v>0</v>
      </c>
      <c r="L561" s="308">
        <f>L560*AVERAGE(L558,L553)</f>
        <v>0</v>
      </c>
      <c r="M561" s="308">
        <f>M560*AVERAGE(M558,M553)</f>
        <v>0</v>
      </c>
      <c r="N561" s="308">
        <f ca="1">N560*AVERAGE(N558,N553)</f>
        <v>0</v>
      </c>
      <c r="O561" s="308">
        <f ca="1">O560*AVERAGE(O558,O553)</f>
        <v>5</v>
      </c>
    </row>
    <row r="562" spans="2:16">
      <c r="B562" s="122"/>
      <c r="C562" s="167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</row>
    <row r="563" spans="2:16">
      <c r="C563" s="163"/>
      <c r="F563" s="74"/>
    </row>
    <row r="564" spans="2:16" ht="12.75" customHeight="1">
      <c r="B564" s="71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3" t="str">
        <f>$O$139</f>
        <v>CURRENTLY RUNNING: BASE CASE SCENARIO</v>
      </c>
    </row>
    <row r="565" spans="2:16" ht="22.5">
      <c r="B565" s="71" t="str">
        <f>B$140</f>
        <v>Windsol Manufacturing</v>
      </c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</row>
    <row r="566" spans="2:16" ht="18.75">
      <c r="B566" s="75" t="s">
        <v>262</v>
      </c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</row>
    <row r="567" spans="2:16" ht="6" customHeight="1" thickBot="1">
      <c r="B567" s="76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</row>
    <row r="568" spans="2:16" ht="13.5">
      <c r="B568" s="78" t="s">
        <v>268</v>
      </c>
      <c r="F568" s="74"/>
      <c r="H568" s="72"/>
      <c r="I568" s="72"/>
      <c r="J568" s="72"/>
      <c r="K568" s="80" t="s">
        <v>6</v>
      </c>
      <c r="L568" s="81"/>
      <c r="M568" s="81"/>
      <c r="N568" s="81"/>
      <c r="O568" s="81"/>
    </row>
    <row r="569" spans="2:16">
      <c r="F569" s="74"/>
      <c r="G569" s="128"/>
      <c r="H569" s="129"/>
      <c r="I569" s="129"/>
      <c r="J569" s="469">
        <f>$J$145</f>
        <v>2018</v>
      </c>
      <c r="K569" s="86">
        <f>K$145</f>
        <v>2019</v>
      </c>
      <c r="L569" s="86">
        <f>L$145</f>
        <v>2020</v>
      </c>
      <c r="M569" s="86">
        <f>M$145</f>
        <v>2021</v>
      </c>
      <c r="N569" s="86">
        <f>N$145</f>
        <v>2022</v>
      </c>
      <c r="O569" s="86">
        <f>O$145</f>
        <v>2023</v>
      </c>
    </row>
    <row r="570" spans="2:16" ht="4.1500000000000004" customHeight="1">
      <c r="J570" s="387"/>
    </row>
    <row r="571" spans="2:16">
      <c r="B571" s="298" t="s">
        <v>192</v>
      </c>
      <c r="C571" s="299"/>
      <c r="D571" s="299"/>
      <c r="E571" s="299"/>
      <c r="F571" s="300"/>
      <c r="G571" s="299"/>
      <c r="H571" s="299"/>
      <c r="I571" s="299"/>
      <c r="J571" s="299"/>
      <c r="K571" s="503">
        <f t="shared" ref="K571:O572" si="66">K518</f>
        <v>0.01</v>
      </c>
      <c r="L571" s="503">
        <f t="shared" si="66"/>
        <v>0.01</v>
      </c>
      <c r="M571" s="503">
        <f t="shared" si="66"/>
        <v>0.01</v>
      </c>
      <c r="N571" s="503">
        <f t="shared" si="66"/>
        <v>1.4999999999999999E-2</v>
      </c>
      <c r="O571" s="504">
        <f t="shared" si="66"/>
        <v>0.02</v>
      </c>
      <c r="P571" s="121" t="s">
        <v>316</v>
      </c>
    </row>
    <row r="572" spans="2:16">
      <c r="B572" s="301" t="s">
        <v>189</v>
      </c>
      <c r="C572" s="170"/>
      <c r="D572" s="170"/>
      <c r="E572" s="170"/>
      <c r="F572" s="302"/>
      <c r="G572" s="170"/>
      <c r="H572" s="170"/>
      <c r="I572" s="170"/>
      <c r="J572" s="303">
        <f>J519</f>
        <v>3.2249336827183441</v>
      </c>
      <c r="K572" s="303">
        <f t="shared" ca="1" si="66"/>
        <v>2.5762045600873908</v>
      </c>
      <c r="L572" s="303">
        <f t="shared" ca="1" si="66"/>
        <v>2.2145406330318771</v>
      </c>
      <c r="M572" s="303">
        <f t="shared" ca="1" si="66"/>
        <v>1.7745940633494486</v>
      </c>
      <c r="N572" s="303">
        <f t="shared" ca="1" si="66"/>
        <v>0.86276418688479506</v>
      </c>
      <c r="O572" s="304">
        <f t="shared" ca="1" si="66"/>
        <v>0.52372421254936097</v>
      </c>
    </row>
    <row r="573" spans="2:16" ht="6" customHeight="1">
      <c r="C573" s="94"/>
      <c r="D573" s="188"/>
    </row>
    <row r="574" spans="2:16" ht="13.9" customHeight="1">
      <c r="C574" s="188" t="s">
        <v>257</v>
      </c>
      <c r="D574" s="94"/>
      <c r="K574" s="218"/>
      <c r="L574" s="218"/>
      <c r="M574" s="218"/>
      <c r="N574" s="218"/>
      <c r="O574" s="218"/>
    </row>
    <row r="575" spans="2:16" ht="13.9" customHeight="1">
      <c r="D575" s="74" t="s">
        <v>251</v>
      </c>
      <c r="K575" s="501">
        <f ca="1">-K477</f>
        <v>-0.39155019039246725</v>
      </c>
      <c r="L575" s="501">
        <f ca="1">-L477</f>
        <v>-0.54986587044677426</v>
      </c>
      <c r="M575" s="501">
        <f ca="1">-M477</f>
        <v>-0.895945194037854</v>
      </c>
      <c r="N575" s="501">
        <f ca="1">-N477</f>
        <v>-1.159259027967094</v>
      </c>
      <c r="O575" s="501">
        <f ca="1">-O477</f>
        <v>-0.38501605798407895</v>
      </c>
      <c r="P575" s="121" t="s">
        <v>311</v>
      </c>
    </row>
    <row r="576" spans="2:16" ht="13.9" customHeight="1">
      <c r="D576" s="74" t="s">
        <v>177</v>
      </c>
      <c r="K576" s="139">
        <f ca="1">K495</f>
        <v>0.22500000000000003</v>
      </c>
      <c r="L576" s="139">
        <f ca="1">L495</f>
        <v>0</v>
      </c>
      <c r="M576" s="139">
        <f ca="1">M495</f>
        <v>0</v>
      </c>
      <c r="N576" s="139">
        <f ca="1">N495</f>
        <v>2.1691663290487733</v>
      </c>
      <c r="O576" s="139">
        <f ca="1">O495</f>
        <v>2.1691663290487733</v>
      </c>
    </row>
    <row r="577" spans="3:16" ht="13.9" customHeight="1">
      <c r="D577" s="74" t="s">
        <v>252</v>
      </c>
      <c r="K577" s="139">
        <f>K506</f>
        <v>5.7375000000000007</v>
      </c>
      <c r="L577" s="139">
        <f ca="1">L506</f>
        <v>3.42</v>
      </c>
      <c r="M577" s="139">
        <f ca="1">M506</f>
        <v>1.92</v>
      </c>
      <c r="N577" s="139">
        <f ca="1">N506</f>
        <v>0.6</v>
      </c>
      <c r="O577" s="139">
        <f ca="1">O506</f>
        <v>0</v>
      </c>
    </row>
    <row r="578" spans="3:16" ht="13.9" customHeight="1">
      <c r="D578" s="74" t="s">
        <v>253</v>
      </c>
      <c r="K578" s="139">
        <f ca="1">K533</f>
        <v>4.2596348884381339</v>
      </c>
      <c r="L578" s="139">
        <f ca="1">L533</f>
        <v>4.3805981509901297</v>
      </c>
      <c r="M578" s="139">
        <f ca="1">M533</f>
        <v>7.4032108751733201</v>
      </c>
      <c r="N578" s="139">
        <f ca="1">N533</f>
        <v>3.7016054375866601</v>
      </c>
      <c r="O578" s="139">
        <f ca="1">O533</f>
        <v>0</v>
      </c>
    </row>
    <row r="579" spans="3:16" ht="13.9" customHeight="1">
      <c r="D579" s="74" t="str">
        <f>C536</f>
        <v>Senior Notes due 2022</v>
      </c>
      <c r="K579" s="139">
        <f>K542</f>
        <v>17.100000000000001</v>
      </c>
      <c r="L579" s="139">
        <f>L542</f>
        <v>17.100000000000001</v>
      </c>
      <c r="M579" s="139">
        <f>M542</f>
        <v>17.100000000000001</v>
      </c>
      <c r="N579" s="139">
        <f>N542</f>
        <v>8.5500000000000007</v>
      </c>
      <c r="O579" s="139">
        <f>O542</f>
        <v>0</v>
      </c>
    </row>
    <row r="580" spans="3:16" ht="13.9" customHeight="1">
      <c r="D580" s="74" t="str">
        <f>C544</f>
        <v>Senior Notes due 2023</v>
      </c>
      <c r="K580" s="139">
        <f>K550</f>
        <v>9.6</v>
      </c>
      <c r="L580" s="139">
        <f>L550</f>
        <v>9.6</v>
      </c>
      <c r="M580" s="139">
        <f>M550</f>
        <v>9.6</v>
      </c>
      <c r="N580" s="139">
        <f>N550</f>
        <v>9.6</v>
      </c>
      <c r="O580" s="139">
        <f>O550</f>
        <v>4.8</v>
      </c>
    </row>
    <row r="581" spans="3:16" ht="13.9" customHeight="1">
      <c r="D581" s="74" t="s">
        <v>230</v>
      </c>
      <c r="K581" s="139">
        <f>K561</f>
        <v>0</v>
      </c>
      <c r="L581" s="139">
        <f>L561</f>
        <v>0</v>
      </c>
      <c r="M581" s="139">
        <f>M561</f>
        <v>0</v>
      </c>
      <c r="N581" s="139">
        <f ca="1">N561</f>
        <v>0</v>
      </c>
      <c r="O581" s="139">
        <f ca="1">O561</f>
        <v>5</v>
      </c>
    </row>
    <row r="582" spans="3:16" ht="13.9" customHeight="1" thickBot="1">
      <c r="D582" s="94" t="s">
        <v>256</v>
      </c>
      <c r="K582" s="216">
        <f ca="1">SUM(K575:K581)</f>
        <v>36.530584698045672</v>
      </c>
      <c r="L582" s="216">
        <f ca="1">SUM(L575:L581)</f>
        <v>33.950732280543356</v>
      </c>
      <c r="M582" s="216">
        <f ca="1">SUM(M575:M581)</f>
        <v>35.127265681135469</v>
      </c>
      <c r="N582" s="216">
        <f ca="1">SUM(N575:N581)</f>
        <v>23.46151273866834</v>
      </c>
      <c r="O582" s="216">
        <f ca="1">SUM(O575:O581)</f>
        <v>11.584150271064694</v>
      </c>
    </row>
    <row r="583" spans="3:16" ht="6" customHeight="1" thickTop="1">
      <c r="D583" s="94"/>
      <c r="K583" s="218"/>
      <c r="L583" s="218"/>
      <c r="M583" s="218"/>
      <c r="N583" s="218"/>
      <c r="O583" s="218"/>
    </row>
    <row r="584" spans="3:16" ht="13.9" customHeight="1">
      <c r="C584" s="188" t="s">
        <v>258</v>
      </c>
      <c r="D584" s="94"/>
      <c r="K584" s="218"/>
      <c r="L584" s="218"/>
      <c r="M584" s="218"/>
      <c r="N584" s="218"/>
      <c r="O584" s="218"/>
    </row>
    <row r="585" spans="3:16" ht="13.9" customHeight="1">
      <c r="D585" s="74" t="s">
        <v>254</v>
      </c>
      <c r="K585" s="139">
        <f ca="1">K532</f>
        <v>2.8397565922920895</v>
      </c>
      <c r="L585" s="139">
        <f ca="1">L532</f>
        <v>2.9203987673267537</v>
      </c>
      <c r="M585" s="139">
        <f ca="1">M532</f>
        <v>0</v>
      </c>
      <c r="N585" s="139">
        <f ca="1">N532</f>
        <v>0</v>
      </c>
      <c r="O585" s="139">
        <f ca="1">O532</f>
        <v>0</v>
      </c>
    </row>
    <row r="586" spans="3:16" ht="13.9" customHeight="1" thickBot="1">
      <c r="D586" s="94" t="s">
        <v>255</v>
      </c>
      <c r="K586" s="216">
        <f ca="1">SUM(K585:K585)</f>
        <v>2.8397565922920895</v>
      </c>
      <c r="L586" s="216">
        <f ca="1">SUM(L585:L585)</f>
        <v>2.9203987673267537</v>
      </c>
      <c r="M586" s="216">
        <f ca="1">SUM(M585:M585)</f>
        <v>0</v>
      </c>
      <c r="N586" s="216">
        <f ca="1">SUM(N585:N585)</f>
        <v>0</v>
      </c>
      <c r="O586" s="216">
        <f ca="1">SUM(O585:O585)</f>
        <v>0</v>
      </c>
    </row>
    <row r="587" spans="3:16" ht="6" customHeight="1" thickTop="1">
      <c r="D587" s="94"/>
      <c r="K587" s="218"/>
      <c r="L587" s="218"/>
      <c r="M587" s="218"/>
      <c r="N587" s="218"/>
      <c r="O587" s="218"/>
    </row>
    <row r="588" spans="3:16" ht="13.9" customHeight="1">
      <c r="C588" s="188" t="s">
        <v>259</v>
      </c>
      <c r="D588" s="94"/>
      <c r="K588" s="218"/>
      <c r="L588" s="218"/>
      <c r="M588" s="218"/>
      <c r="N588" s="218"/>
      <c r="O588" s="218"/>
    </row>
    <row r="589" spans="3:16" ht="13.9" customHeight="1">
      <c r="C589" s="94"/>
      <c r="D589" s="74" t="s">
        <v>252</v>
      </c>
      <c r="J589" s="139">
        <f t="shared" ref="J589:O589" si="67">J502</f>
        <v>150</v>
      </c>
      <c r="K589" s="139">
        <f t="shared" si="67"/>
        <v>105</v>
      </c>
      <c r="L589" s="139">
        <f t="shared" si="67"/>
        <v>66</v>
      </c>
      <c r="M589" s="139">
        <f t="shared" si="67"/>
        <v>30</v>
      </c>
      <c r="N589" s="139">
        <f t="shared" si="67"/>
        <v>0</v>
      </c>
      <c r="O589" s="139">
        <f t="shared" si="67"/>
        <v>0</v>
      </c>
    </row>
    <row r="590" spans="3:16" ht="13.9" customHeight="1">
      <c r="C590" s="94"/>
      <c r="D590" s="74" t="str">
        <f>C522</f>
        <v>Mezzanine Notes due 2022</v>
      </c>
      <c r="J590" s="501">
        <f t="shared" ref="J590:O590" si="68">J526</f>
        <v>100</v>
      </c>
      <c r="K590" s="501">
        <f t="shared" ca="1" si="68"/>
        <v>102.83975659229209</v>
      </c>
      <c r="L590" s="501">
        <f t="shared" ca="1" si="68"/>
        <v>105.76015535961885</v>
      </c>
      <c r="M590" s="501">
        <f t="shared" ca="1" si="68"/>
        <v>105.76015535961885</v>
      </c>
      <c r="N590" s="501">
        <f t="shared" ca="1" si="68"/>
        <v>0</v>
      </c>
      <c r="O590" s="501">
        <f t="shared" ca="1" si="68"/>
        <v>0</v>
      </c>
      <c r="P590" s="121" t="s">
        <v>312</v>
      </c>
    </row>
    <row r="591" spans="3:16" ht="13.9" customHeight="1">
      <c r="C591" s="94"/>
      <c r="D591" s="74" t="str">
        <f>D579</f>
        <v>Senior Notes due 2022</v>
      </c>
      <c r="J591" s="139">
        <f t="shared" ref="J591:O591" si="69">J539</f>
        <v>300</v>
      </c>
      <c r="K591" s="139">
        <f t="shared" si="69"/>
        <v>300</v>
      </c>
      <c r="L591" s="139">
        <f t="shared" si="69"/>
        <v>300</v>
      </c>
      <c r="M591" s="139">
        <f t="shared" si="69"/>
        <v>300</v>
      </c>
      <c r="N591" s="139">
        <f t="shared" si="69"/>
        <v>0</v>
      </c>
      <c r="O591" s="139">
        <f t="shared" si="69"/>
        <v>0</v>
      </c>
    </row>
    <row r="592" spans="3:16" ht="13.9" customHeight="1">
      <c r="C592" s="94"/>
      <c r="D592" s="74" t="str">
        <f>D580</f>
        <v>Senior Notes due 2023</v>
      </c>
      <c r="J592" s="139">
        <f t="shared" ref="J592:O592" si="70">J547</f>
        <v>200</v>
      </c>
      <c r="K592" s="139">
        <f t="shared" si="70"/>
        <v>200</v>
      </c>
      <c r="L592" s="139">
        <f t="shared" si="70"/>
        <v>200</v>
      </c>
      <c r="M592" s="139">
        <f t="shared" si="70"/>
        <v>200</v>
      </c>
      <c r="N592" s="139">
        <f t="shared" si="70"/>
        <v>200</v>
      </c>
      <c r="O592" s="139">
        <f t="shared" si="70"/>
        <v>0</v>
      </c>
    </row>
    <row r="593" spans="2:15" ht="13.9" customHeight="1">
      <c r="C593" s="94"/>
      <c r="D593" s="74" t="s">
        <v>230</v>
      </c>
      <c r="J593" s="139">
        <f t="shared" ref="J593:O593" si="71">J558</f>
        <v>0</v>
      </c>
      <c r="K593" s="139">
        <f t="shared" si="71"/>
        <v>0</v>
      </c>
      <c r="L593" s="139">
        <f t="shared" si="71"/>
        <v>0</v>
      </c>
      <c r="M593" s="139">
        <f t="shared" si="71"/>
        <v>0</v>
      </c>
      <c r="N593" s="139">
        <f t="shared" ca="1" si="71"/>
        <v>0</v>
      </c>
      <c r="O593" s="139">
        <f t="shared" ca="1" si="71"/>
        <v>200</v>
      </c>
    </row>
    <row r="594" spans="2:15" ht="13.9" customHeight="1" thickBot="1">
      <c r="C594" s="94"/>
      <c r="D594" s="94" t="s">
        <v>260</v>
      </c>
      <c r="J594" s="216">
        <f t="shared" ref="J594:O594" si="72">SUM(J589:J593)</f>
        <v>750</v>
      </c>
      <c r="K594" s="216">
        <f t="shared" ca="1" si="72"/>
        <v>707.83975659229213</v>
      </c>
      <c r="L594" s="216">
        <f t="shared" ca="1" si="72"/>
        <v>671.76015535961892</v>
      </c>
      <c r="M594" s="216">
        <f t="shared" ca="1" si="72"/>
        <v>635.76015535961892</v>
      </c>
      <c r="N594" s="216">
        <f t="shared" ca="1" si="72"/>
        <v>200</v>
      </c>
      <c r="O594" s="216">
        <f t="shared" ca="1" si="72"/>
        <v>200</v>
      </c>
    </row>
    <row r="595" spans="2:15" ht="13.9" customHeight="1" thickTop="1">
      <c r="C595" s="94"/>
      <c r="D595" s="94"/>
      <c r="K595" s="218"/>
      <c r="L595" s="218"/>
      <c r="M595" s="218"/>
      <c r="N595" s="218"/>
      <c r="O595" s="218"/>
    </row>
    <row r="596" spans="2:15" ht="13.9" customHeight="1">
      <c r="C596" s="188" t="s">
        <v>261</v>
      </c>
      <c r="D596" s="94"/>
      <c r="K596" s="218"/>
      <c r="L596" s="218"/>
      <c r="M596" s="218"/>
      <c r="N596" s="218"/>
      <c r="O596" s="218"/>
    </row>
    <row r="597" spans="2:15" ht="13.9" customHeight="1">
      <c r="C597" s="188"/>
      <c r="D597" s="74" t="s">
        <v>177</v>
      </c>
      <c r="J597" s="280">
        <f t="shared" ref="J597:O597" si="73">J491</f>
        <v>10</v>
      </c>
      <c r="K597" s="280">
        <f t="shared" ca="1" si="73"/>
        <v>0</v>
      </c>
      <c r="L597" s="280">
        <f t="shared" ca="1" si="73"/>
        <v>0</v>
      </c>
      <c r="M597" s="280">
        <f t="shared" ca="1" si="73"/>
        <v>0</v>
      </c>
      <c r="N597" s="280">
        <f t="shared" ca="1" si="73"/>
        <v>108.45831645243865</v>
      </c>
      <c r="O597" s="280">
        <f t="shared" ca="1" si="73"/>
        <v>0</v>
      </c>
    </row>
    <row r="598" spans="2:15" ht="13.9" customHeight="1">
      <c r="D598" s="74" t="s">
        <v>227</v>
      </c>
      <c r="J598" s="280">
        <f t="shared" ref="J598:O598" si="74">-SUM(K501,K524,K538,K546)</f>
        <v>45</v>
      </c>
      <c r="K598" s="280">
        <f t="shared" si="74"/>
        <v>39</v>
      </c>
      <c r="L598" s="280">
        <f t="shared" si="74"/>
        <v>36</v>
      </c>
      <c r="M598" s="280">
        <f t="shared" ca="1" si="74"/>
        <v>435.76015535961886</v>
      </c>
      <c r="N598" s="280">
        <f t="shared" si="74"/>
        <v>200</v>
      </c>
      <c r="O598" s="280">
        <f t="shared" si="74"/>
        <v>0</v>
      </c>
    </row>
    <row r="599" spans="2:15" ht="13.9" customHeight="1">
      <c r="D599" s="74" t="s">
        <v>225</v>
      </c>
      <c r="J599" s="280">
        <f t="shared" ref="J599:O599" si="75">J594-J598</f>
        <v>705</v>
      </c>
      <c r="K599" s="280">
        <f t="shared" ca="1" si="75"/>
        <v>668.83975659229213</v>
      </c>
      <c r="L599" s="280">
        <f t="shared" ca="1" si="75"/>
        <v>635.76015535961892</v>
      </c>
      <c r="M599" s="280">
        <f t="shared" ca="1" si="75"/>
        <v>200.00000000000006</v>
      </c>
      <c r="N599" s="280">
        <f t="shared" ca="1" si="75"/>
        <v>0</v>
      </c>
      <c r="O599" s="280">
        <f t="shared" ca="1" si="75"/>
        <v>200</v>
      </c>
    </row>
    <row r="600" spans="2:15" ht="6" customHeight="1">
      <c r="B600" s="122"/>
      <c r="C600" s="122"/>
      <c r="D600" s="122"/>
      <c r="E600" s="122"/>
      <c r="F600" s="184"/>
      <c r="G600" s="122"/>
      <c r="H600" s="122"/>
      <c r="I600" s="122"/>
      <c r="J600" s="122"/>
      <c r="K600" s="122"/>
      <c r="L600" s="122"/>
      <c r="M600" s="122"/>
      <c r="N600" s="122"/>
      <c r="O600" s="122"/>
    </row>
    <row r="602" spans="2:15">
      <c r="K602" s="280"/>
    </row>
    <row r="603" spans="2:15" ht="12.75" customHeight="1">
      <c r="B603" s="71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3" t="str">
        <f>$O$139</f>
        <v>CURRENTLY RUNNING: BASE CASE SCENARIO</v>
      </c>
    </row>
    <row r="604" spans="2:15" ht="22.5">
      <c r="B604" s="71" t="str">
        <f>B461</f>
        <v>Windsol Manufacturing</v>
      </c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</row>
    <row r="605" spans="2:15" ht="18.75">
      <c r="B605" s="75" t="s">
        <v>155</v>
      </c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</row>
    <row r="606" spans="2:15" ht="6" customHeight="1" thickBot="1">
      <c r="B606" s="76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</row>
    <row r="607" spans="2:15">
      <c r="B607" s="78" t="s">
        <v>268</v>
      </c>
      <c r="F607" s="74"/>
      <c r="O607" s="100"/>
    </row>
    <row r="608" spans="2:15" ht="13.5">
      <c r="F608" s="74"/>
      <c r="H608" s="72"/>
      <c r="I608" s="72"/>
      <c r="J608" s="72"/>
      <c r="K608" s="80" t="s">
        <v>6</v>
      </c>
      <c r="L608" s="81"/>
      <c r="M608" s="81"/>
      <c r="N608" s="81"/>
      <c r="O608" s="81"/>
    </row>
    <row r="609" spans="2:16">
      <c r="F609" s="74"/>
      <c r="G609" s="128"/>
      <c r="H609" s="129"/>
      <c r="I609" s="129"/>
      <c r="J609" s="469">
        <f>$J$145</f>
        <v>2018</v>
      </c>
      <c r="K609" s="86">
        <f>K$145</f>
        <v>2019</v>
      </c>
      <c r="L609" s="86">
        <f>L$145</f>
        <v>2020</v>
      </c>
      <c r="M609" s="86">
        <f>M$145</f>
        <v>2021</v>
      </c>
      <c r="N609" s="86">
        <f>N$145</f>
        <v>2022</v>
      </c>
      <c r="O609" s="86">
        <f>O$145</f>
        <v>2023</v>
      </c>
    </row>
    <row r="611" spans="2:16" ht="13.15" customHeight="1">
      <c r="B611" s="94"/>
      <c r="C611" s="94" t="s">
        <v>156</v>
      </c>
    </row>
    <row r="612" spans="2:16" ht="13.15" customHeight="1">
      <c r="D612" s="74" t="s">
        <v>83</v>
      </c>
      <c r="G612" s="158"/>
      <c r="K612" s="139">
        <f>J614</f>
        <v>59.2</v>
      </c>
      <c r="L612" s="139">
        <f>K614</f>
        <v>59.2</v>
      </c>
      <c r="M612" s="139">
        <f>L614</f>
        <v>59.2</v>
      </c>
      <c r="N612" s="139">
        <f>M614</f>
        <v>59.2</v>
      </c>
      <c r="O612" s="139">
        <f>N614</f>
        <v>59.2</v>
      </c>
    </row>
    <row r="613" spans="2:16" ht="13.15" customHeight="1">
      <c r="D613" s="74" t="s">
        <v>167</v>
      </c>
      <c r="K613" s="139">
        <f>H86</f>
        <v>0</v>
      </c>
      <c r="L613" s="139">
        <f>I86</f>
        <v>0</v>
      </c>
      <c r="M613" s="139">
        <f>J86</f>
        <v>0</v>
      </c>
      <c r="N613" s="139">
        <f>K86</f>
        <v>0</v>
      </c>
      <c r="O613" s="139">
        <f>L86</f>
        <v>0</v>
      </c>
    </row>
    <row r="614" spans="2:16" ht="13.15" customHeight="1">
      <c r="D614" s="74" t="s">
        <v>85</v>
      </c>
      <c r="J614" s="280">
        <f>J348</f>
        <v>59.2</v>
      </c>
      <c r="K614" s="280">
        <f>SUM(K612:K613)</f>
        <v>59.2</v>
      </c>
      <c r="L614" s="280">
        <f>SUM(L612:L613)</f>
        <v>59.2</v>
      </c>
      <c r="M614" s="280">
        <f>SUM(M612:M613)</f>
        <v>59.2</v>
      </c>
      <c r="N614" s="280">
        <f>SUM(N612:N613)</f>
        <v>59.2</v>
      </c>
      <c r="O614" s="280">
        <f>SUM(O612:O613)</f>
        <v>59.2</v>
      </c>
    </row>
    <row r="615" spans="2:16" ht="6" customHeight="1"/>
    <row r="616" spans="2:16" ht="13.15" customHeight="1">
      <c r="D616" s="74" t="s">
        <v>157</v>
      </c>
      <c r="K616" s="179">
        <f>N28</f>
        <v>0.1</v>
      </c>
      <c r="L616" s="179">
        <f>K616</f>
        <v>0.1</v>
      </c>
      <c r="M616" s="179">
        <f>L616</f>
        <v>0.1</v>
      </c>
      <c r="N616" s="179">
        <f>M616</f>
        <v>0.1</v>
      </c>
      <c r="O616" s="179">
        <f>N616</f>
        <v>0.1</v>
      </c>
    </row>
    <row r="617" spans="2:16" ht="13.15" customHeight="1">
      <c r="D617" s="74" t="s">
        <v>12</v>
      </c>
      <c r="K617" s="139">
        <f ca="1">K262</f>
        <v>132.72505500647679</v>
      </c>
      <c r="L617" s="139">
        <f ca="1">L262</f>
        <v>151.50204073301757</v>
      </c>
      <c r="M617" s="139">
        <f ca="1">M262</f>
        <v>188.52508933342364</v>
      </c>
      <c r="N617" s="139">
        <f ca="1">N262</f>
        <v>192.5582596117072</v>
      </c>
      <c r="O617" s="139">
        <f ca="1">O262</f>
        <v>214.7321171807518</v>
      </c>
    </row>
    <row r="618" spans="2:16" ht="13.15" customHeight="1">
      <c r="C618" s="94"/>
      <c r="D618" s="94" t="s">
        <v>158</v>
      </c>
      <c r="K618" s="308">
        <f ca="1">MAX(K617*K616,0)</f>
        <v>13.27250550064768</v>
      </c>
      <c r="L618" s="308">
        <f ca="1">MAX(L617*L616,0)</f>
        <v>15.150204073301758</v>
      </c>
      <c r="M618" s="308">
        <f ca="1">MAX(M617*M616,0)</f>
        <v>18.852508933342364</v>
      </c>
      <c r="N618" s="308">
        <f ca="1">MAX(N617*N616,0)</f>
        <v>19.255825961170721</v>
      </c>
      <c r="O618" s="308">
        <f ca="1">MAX(O617*O616,0)</f>
        <v>21.473211718075181</v>
      </c>
    </row>
    <row r="621" spans="2:16" ht="13.15" customHeight="1">
      <c r="B621" s="94"/>
      <c r="C621" s="94" t="s">
        <v>159</v>
      </c>
    </row>
    <row r="622" spans="2:16" ht="13.15" customHeight="1">
      <c r="D622" s="74" t="s">
        <v>83</v>
      </c>
      <c r="K622" s="139">
        <f>J625</f>
        <v>347.7</v>
      </c>
      <c r="L622" s="139">
        <f ca="1">K625</f>
        <v>467.15254950582909</v>
      </c>
      <c r="M622" s="139">
        <f ca="1">L625</f>
        <v>603.50438616554482</v>
      </c>
      <c r="N622" s="139">
        <f ca="1">M625</f>
        <v>773.176966565626</v>
      </c>
      <c r="O622" s="139">
        <f ca="1">N625</f>
        <v>946.4794002161625</v>
      </c>
    </row>
    <row r="623" spans="2:16" ht="13.15" customHeight="1">
      <c r="D623" s="74" t="s">
        <v>12</v>
      </c>
      <c r="K623" s="139">
        <f ca="1">K262</f>
        <v>132.72505500647679</v>
      </c>
      <c r="L623" s="139">
        <f ca="1">L262</f>
        <v>151.50204073301757</v>
      </c>
      <c r="M623" s="139">
        <f ca="1">M262</f>
        <v>188.52508933342364</v>
      </c>
      <c r="N623" s="139">
        <f ca="1">N262</f>
        <v>192.5582596117072</v>
      </c>
      <c r="O623" s="139">
        <f ca="1">O262</f>
        <v>214.7321171807518</v>
      </c>
    </row>
    <row r="624" spans="2:16" ht="13.15" customHeight="1">
      <c r="D624" s="74" t="s">
        <v>158</v>
      </c>
      <c r="J624" s="122"/>
      <c r="K624" s="502">
        <f ca="1">-K618</f>
        <v>-13.27250550064768</v>
      </c>
      <c r="L624" s="502">
        <f ca="1">-L618</f>
        <v>-15.150204073301758</v>
      </c>
      <c r="M624" s="502">
        <f ca="1">-M618</f>
        <v>-18.852508933342364</v>
      </c>
      <c r="N624" s="502">
        <f ca="1">-N618</f>
        <v>-19.255825961170721</v>
      </c>
      <c r="O624" s="502">
        <f ca="1">-O618</f>
        <v>-21.473211718075181</v>
      </c>
      <c r="P624" s="121" t="s">
        <v>317</v>
      </c>
    </row>
    <row r="625" spans="2:15" ht="13.15" customHeight="1">
      <c r="D625" s="94" t="s">
        <v>85</v>
      </c>
      <c r="E625" s="94"/>
      <c r="F625" s="192"/>
      <c r="G625" s="94"/>
      <c r="H625" s="94"/>
      <c r="I625" s="94"/>
      <c r="J625" s="218">
        <f>J349</f>
        <v>347.7</v>
      </c>
      <c r="K625" s="218">
        <f ca="1">SUM(K622:K624)</f>
        <v>467.15254950582909</v>
      </c>
      <c r="L625" s="218">
        <f ca="1">SUM(L622:L624)</f>
        <v>603.50438616554482</v>
      </c>
      <c r="M625" s="218">
        <f ca="1">SUM(M622:M624)</f>
        <v>773.176966565626</v>
      </c>
      <c r="N625" s="218">
        <f ca="1">SUM(N622:N624)</f>
        <v>946.4794002161625</v>
      </c>
      <c r="O625" s="218">
        <f ca="1">SUM(O622:O624)</f>
        <v>1139.7383056788392</v>
      </c>
    </row>
    <row r="628" spans="2:15">
      <c r="C628" s="94" t="s">
        <v>165</v>
      </c>
    </row>
    <row r="629" spans="2:15">
      <c r="C629" s="94"/>
      <c r="D629" s="74" t="s">
        <v>166</v>
      </c>
      <c r="K629" s="179">
        <f>N29</f>
        <v>0.12</v>
      </c>
      <c r="L629" s="179">
        <f>K629</f>
        <v>0.12</v>
      </c>
      <c r="M629" s="179">
        <f>L629</f>
        <v>0.12</v>
      </c>
      <c r="N629" s="179">
        <f>M629</f>
        <v>0.12</v>
      </c>
      <c r="O629" s="179">
        <f>N629</f>
        <v>0.12</v>
      </c>
    </row>
    <row r="630" spans="2:15">
      <c r="C630" s="94"/>
      <c r="D630" s="74" t="s">
        <v>250</v>
      </c>
      <c r="J630" s="310">
        <f>N27</f>
        <v>20.5</v>
      </c>
      <c r="K630" s="310">
        <f>J630*(1+K629)</f>
        <v>22.96</v>
      </c>
      <c r="L630" s="310">
        <f>K630*(1+L629)</f>
        <v>25.715200000000003</v>
      </c>
      <c r="M630" s="310">
        <f>L630*(1+M629)</f>
        <v>28.801024000000005</v>
      </c>
      <c r="N630" s="310">
        <f>M630*(1+N629)</f>
        <v>32.257146880000008</v>
      </c>
      <c r="O630" s="310">
        <f>N630*(1+O629)</f>
        <v>36.128004505600011</v>
      </c>
    </row>
    <row r="631" spans="2:15">
      <c r="C631" s="94"/>
    </row>
    <row r="632" spans="2:15">
      <c r="D632" s="74" t="s">
        <v>168</v>
      </c>
      <c r="K632" s="139">
        <f>J635</f>
        <v>122.6</v>
      </c>
      <c r="L632" s="139">
        <f>K635</f>
        <v>123.1</v>
      </c>
      <c r="M632" s="139">
        <f>L635</f>
        <v>123.6</v>
      </c>
      <c r="N632" s="139">
        <f>M635</f>
        <v>123.6</v>
      </c>
      <c r="O632" s="139">
        <f>N635</f>
        <v>123.6</v>
      </c>
    </row>
    <row r="633" spans="2:15">
      <c r="D633" s="74" t="s">
        <v>167</v>
      </c>
      <c r="J633" s="139"/>
      <c r="K633" s="139">
        <f>K613/K630</f>
        <v>0</v>
      </c>
      <c r="L633" s="139">
        <f>L613/L630</f>
        <v>0</v>
      </c>
      <c r="M633" s="139">
        <f>M613/M630</f>
        <v>0</v>
      </c>
      <c r="N633" s="139">
        <f>N613/N630</f>
        <v>0</v>
      </c>
      <c r="O633" s="139">
        <f>O613/O630</f>
        <v>0</v>
      </c>
    </row>
    <row r="634" spans="2:15">
      <c r="D634" s="74" t="s">
        <v>170</v>
      </c>
      <c r="J634" s="305"/>
      <c r="K634" s="305">
        <f>H87</f>
        <v>0.5</v>
      </c>
      <c r="L634" s="305">
        <f>I87</f>
        <v>0.5</v>
      </c>
      <c r="M634" s="305">
        <f>J87</f>
        <v>0</v>
      </c>
      <c r="N634" s="305">
        <f>K87</f>
        <v>0</v>
      </c>
      <c r="O634" s="305">
        <f>L87</f>
        <v>0</v>
      </c>
    </row>
    <row r="635" spans="2:15">
      <c r="D635" s="74" t="s">
        <v>169</v>
      </c>
      <c r="J635" s="139">
        <f>N30</f>
        <v>122.6</v>
      </c>
      <c r="K635" s="139">
        <f>SUM(K632:K634)</f>
        <v>123.1</v>
      </c>
      <c r="L635" s="139">
        <f>SUM(L632:L634)</f>
        <v>123.6</v>
      </c>
      <c r="M635" s="139">
        <f>SUM(M632:M634)</f>
        <v>123.6</v>
      </c>
      <c r="N635" s="139">
        <f>SUM(N632:N634)</f>
        <v>123.6</v>
      </c>
      <c r="O635" s="139">
        <f>SUM(O632:O634)</f>
        <v>123.6</v>
      </c>
    </row>
    <row r="636" spans="2:15" ht="6" customHeight="1">
      <c r="D636" s="94"/>
      <c r="J636" s="311"/>
      <c r="K636" s="311"/>
      <c r="L636" s="311"/>
      <c r="M636" s="311"/>
      <c r="N636" s="311"/>
      <c r="O636" s="311"/>
    </row>
    <row r="637" spans="2:15">
      <c r="D637" s="217" t="s">
        <v>185</v>
      </c>
      <c r="K637" s="312">
        <f>AVERAGE(K635,K632)</f>
        <v>122.85</v>
      </c>
      <c r="L637" s="312">
        <f>AVERAGE(L635,L632)</f>
        <v>123.35</v>
      </c>
      <c r="M637" s="312">
        <f>AVERAGE(M635,M632)</f>
        <v>123.6</v>
      </c>
      <c r="N637" s="312">
        <f>AVERAGE(N635,N632)</f>
        <v>123.6</v>
      </c>
      <c r="O637" s="312">
        <f>AVERAGE(O635,O632)</f>
        <v>123.6</v>
      </c>
    </row>
    <row r="638" spans="2:15">
      <c r="B638" s="122"/>
      <c r="C638" s="122"/>
      <c r="D638" s="122"/>
      <c r="E638" s="122"/>
      <c r="F638" s="184"/>
      <c r="G638" s="122"/>
      <c r="H638" s="122"/>
      <c r="I638" s="122"/>
      <c r="J638" s="122"/>
      <c r="K638" s="122"/>
      <c r="L638" s="122"/>
      <c r="M638" s="122"/>
      <c r="N638" s="122"/>
      <c r="O638" s="122"/>
    </row>
    <row r="641" spans="2:16">
      <c r="F641" s="74"/>
      <c r="G641" s="117"/>
      <c r="O641" s="145" t="str">
        <f>$O$139</f>
        <v>CURRENTLY RUNNING: BASE CASE SCENARIO</v>
      </c>
    </row>
    <row r="642" spans="2:16" ht="22.5">
      <c r="C642" s="71" t="str">
        <f>B92</f>
        <v>Windsol Manufacturing</v>
      </c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</row>
    <row r="643" spans="2:16" ht="18.75">
      <c r="B643" s="75" t="s">
        <v>278</v>
      </c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</row>
    <row r="644" spans="2:16" ht="6" customHeight="1" thickBot="1">
      <c r="C644" s="76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</row>
    <row r="645" spans="2:16">
      <c r="B645" s="487" t="s">
        <v>268</v>
      </c>
      <c r="C645" s="78"/>
      <c r="F645" s="74"/>
      <c r="P645" s="100"/>
    </row>
    <row r="646" spans="2:16" ht="13.5">
      <c r="C646" s="78"/>
      <c r="F646" s="74"/>
      <c r="I646" s="72"/>
      <c r="J646" s="72"/>
      <c r="K646" s="80" t="s">
        <v>6</v>
      </c>
      <c r="L646" s="80"/>
      <c r="M646" s="80"/>
      <c r="N646" s="80"/>
      <c r="O646" s="80"/>
    </row>
    <row r="647" spans="2:16">
      <c r="F647" s="74"/>
      <c r="H647" s="128"/>
      <c r="I647" s="129"/>
      <c r="J647" s="129"/>
      <c r="K647" s="85">
        <f>K97</f>
        <v>2019</v>
      </c>
      <c r="L647" s="85">
        <f>L97</f>
        <v>2020</v>
      </c>
      <c r="M647" s="85">
        <f>M97</f>
        <v>2021</v>
      </c>
      <c r="N647" s="85">
        <f>N97</f>
        <v>2022</v>
      </c>
      <c r="O647" s="85">
        <f>O97</f>
        <v>2023</v>
      </c>
    </row>
    <row r="648" spans="2:16" ht="5.0999999999999996" customHeight="1">
      <c r="F648" s="74"/>
      <c r="G648" s="117"/>
    </row>
    <row r="649" spans="2:16">
      <c r="C649" s="453" t="s">
        <v>279</v>
      </c>
      <c r="D649" s="314"/>
      <c r="E649" s="314"/>
      <c r="F649" s="314"/>
      <c r="G649" s="454"/>
      <c r="K649" s="280"/>
    </row>
    <row r="650" spans="2:16">
      <c r="C650" s="314"/>
      <c r="D650" s="314" t="s">
        <v>9</v>
      </c>
      <c r="E650" s="314"/>
      <c r="F650" s="314"/>
      <c r="G650" s="455"/>
      <c r="K650" s="468">
        <f>K247</f>
        <v>274.76069546600002</v>
      </c>
      <c r="L650" s="468">
        <f>L247</f>
        <v>303.3406320659501</v>
      </c>
      <c r="M650" s="468">
        <f>M247</f>
        <v>358.2566675331127</v>
      </c>
      <c r="N650" s="468">
        <f>N247</f>
        <v>357.52331997715055</v>
      </c>
      <c r="O650" s="468">
        <f>O247</f>
        <v>381.88037751099773</v>
      </c>
    </row>
    <row r="651" spans="2:16">
      <c r="C651" s="314"/>
      <c r="D651" s="314" t="s">
        <v>90</v>
      </c>
      <c r="E651" s="314"/>
      <c r="F651" s="314"/>
      <c r="G651" s="455"/>
      <c r="K651" s="468">
        <f ca="1">K254</f>
        <v>39.370341290337763</v>
      </c>
      <c r="L651" s="468">
        <f ca="1">L254</f>
        <v>36.871131047870108</v>
      </c>
      <c r="M651" s="468">
        <f ca="1">M254</f>
        <v>35.127265681135469</v>
      </c>
      <c r="N651" s="468">
        <f ca="1">N254</f>
        <v>23.46151273866834</v>
      </c>
      <c r="O651" s="468">
        <f ca="1">O254</f>
        <v>11.584150271064694</v>
      </c>
    </row>
    <row r="652" spans="2:16">
      <c r="D652" s="74" t="s">
        <v>280</v>
      </c>
      <c r="F652" s="74"/>
      <c r="G652" s="455"/>
      <c r="K652" s="468">
        <f ca="1">K258</f>
        <v>29.369299169185435</v>
      </c>
      <c r="L652" s="468">
        <f ca="1">L258</f>
        <v>38.348660285062408</v>
      </c>
      <c r="M652" s="468">
        <f ca="1">M258</f>
        <v>54.139596518553638</v>
      </c>
      <c r="N652" s="468">
        <f ca="1">N258</f>
        <v>57.024481706775028</v>
      </c>
      <c r="O652" s="468">
        <f ca="1">O258</f>
        <v>66.891309228781253</v>
      </c>
    </row>
    <row r="653" spans="2:16">
      <c r="F653" s="74"/>
      <c r="G653" s="455"/>
      <c r="K653" s="139"/>
      <c r="L653" s="139"/>
      <c r="M653" s="139"/>
      <c r="N653" s="139"/>
      <c r="O653" s="139"/>
    </row>
    <row r="654" spans="2:16">
      <c r="C654" s="453" t="s">
        <v>281</v>
      </c>
      <c r="F654" s="74"/>
      <c r="G654" s="117"/>
      <c r="K654" s="139"/>
      <c r="L654" s="139"/>
      <c r="M654" s="139"/>
      <c r="N654" s="139"/>
      <c r="O654" s="139"/>
    </row>
    <row r="655" spans="2:16">
      <c r="C655" s="314"/>
      <c r="D655" s="314" t="s">
        <v>282</v>
      </c>
      <c r="E655" s="314"/>
      <c r="F655" s="314"/>
      <c r="G655" s="455"/>
      <c r="K655" s="468">
        <f>K291</f>
        <v>-120</v>
      </c>
      <c r="L655" s="468">
        <f>L291</f>
        <v>-130</v>
      </c>
      <c r="M655" s="468">
        <f>M291</f>
        <v>-131.94999999999999</v>
      </c>
      <c r="N655" s="468">
        <f>N291</f>
        <v>-134.589</v>
      </c>
      <c r="O655" s="468">
        <f>O291</f>
        <v>-137.28077999999999</v>
      </c>
    </row>
    <row r="656" spans="2:16">
      <c r="C656" s="314"/>
      <c r="D656" s="314" t="s">
        <v>283</v>
      </c>
      <c r="E656" s="314"/>
      <c r="F656" s="314"/>
      <c r="G656" s="455"/>
      <c r="K656" s="468">
        <f>-J598</f>
        <v>-45</v>
      </c>
      <c r="L656" s="468">
        <f>-K598</f>
        <v>-39</v>
      </c>
      <c r="M656" s="468">
        <f>-L598</f>
        <v>-36</v>
      </c>
      <c r="N656" s="468">
        <f ca="1">-M598</f>
        <v>-435.76015535961886</v>
      </c>
      <c r="O656" s="468">
        <f>-N598</f>
        <v>-200</v>
      </c>
    </row>
    <row r="657" spans="3:15">
      <c r="C657" s="314"/>
      <c r="D657" s="314"/>
      <c r="E657" s="314"/>
      <c r="F657" s="314"/>
      <c r="G657" s="455"/>
      <c r="K657" s="139"/>
      <c r="L657" s="139"/>
      <c r="M657" s="139"/>
      <c r="N657" s="139"/>
      <c r="O657" s="139"/>
    </row>
    <row r="658" spans="3:15">
      <c r="C658" s="453" t="s">
        <v>284</v>
      </c>
      <c r="D658" s="314"/>
      <c r="E658" s="314"/>
      <c r="F658" s="314"/>
      <c r="G658" s="455"/>
      <c r="K658" s="139"/>
      <c r="L658" s="139"/>
      <c r="M658" s="139"/>
      <c r="N658" s="139"/>
      <c r="O658" s="139"/>
    </row>
    <row r="659" spans="3:15">
      <c r="C659" s="453"/>
      <c r="D659" s="314" t="s">
        <v>18</v>
      </c>
      <c r="E659" s="314"/>
      <c r="F659" s="314"/>
      <c r="G659" s="455"/>
      <c r="K659" s="468">
        <f ca="1">K323</f>
        <v>83.420076156986894</v>
      </c>
      <c r="L659" s="468">
        <f ca="1">L323</f>
        <v>136.52627202172278</v>
      </c>
      <c r="M659" s="468">
        <f ca="1">M323</f>
        <v>221.85180559341879</v>
      </c>
      <c r="N659" s="468">
        <f ca="1">N323</f>
        <v>10.000000000000028</v>
      </c>
      <c r="O659" s="468">
        <f ca="1">O323</f>
        <v>41.335474397877164</v>
      </c>
    </row>
    <row r="660" spans="3:15">
      <c r="D660" s="100" t="s">
        <v>285</v>
      </c>
      <c r="F660" s="74"/>
      <c r="G660" s="117"/>
      <c r="K660" s="468">
        <f ca="1">K335</f>
        <v>0</v>
      </c>
      <c r="L660" s="468">
        <f ca="1">L335</f>
        <v>0</v>
      </c>
      <c r="M660" s="468">
        <f ca="1">M335</f>
        <v>0</v>
      </c>
      <c r="N660" s="468">
        <f ca="1">N335</f>
        <v>108.45831645243865</v>
      </c>
      <c r="O660" s="468">
        <f ca="1">O335</f>
        <v>0</v>
      </c>
    </row>
    <row r="661" spans="3:15">
      <c r="D661" s="74" t="s">
        <v>303</v>
      </c>
      <c r="F661" s="74"/>
      <c r="G661" s="117"/>
      <c r="K661" s="468">
        <f ca="1">SUM(K589:K593)</f>
        <v>707.83975659229213</v>
      </c>
      <c r="L661" s="468">
        <f ca="1">SUM(L589:L593)</f>
        <v>671.76015535961892</v>
      </c>
      <c r="M661" s="468">
        <f ca="1">SUM(M589:M593)</f>
        <v>635.76015535961892</v>
      </c>
      <c r="N661" s="468">
        <f ca="1">SUM(N589:N593)</f>
        <v>200</v>
      </c>
      <c r="O661" s="468">
        <f ca="1">SUM(O589:O593)</f>
        <v>200</v>
      </c>
    </row>
    <row r="662" spans="3:15">
      <c r="C662" s="314"/>
      <c r="D662" s="314" t="s">
        <v>286</v>
      </c>
      <c r="E662" s="314"/>
      <c r="F662" s="314"/>
      <c r="G662" s="455"/>
      <c r="K662" s="468">
        <f ca="1">SUM(K660:K661)</f>
        <v>707.83975659229213</v>
      </c>
      <c r="L662" s="468">
        <f ca="1">SUM(L660:L661)</f>
        <v>671.76015535961892</v>
      </c>
      <c r="M662" s="468">
        <f ca="1">SUM(M660:M661)</f>
        <v>635.76015535961892</v>
      </c>
      <c r="N662" s="468">
        <f ca="1">SUM(N660:N661)</f>
        <v>308.45831645243868</v>
      </c>
      <c r="O662" s="468">
        <f ca="1">SUM(O660:O661)</f>
        <v>200</v>
      </c>
    </row>
    <row r="663" spans="3:15">
      <c r="C663" s="314"/>
      <c r="D663" s="314" t="s">
        <v>287</v>
      </c>
      <c r="E663" s="314"/>
      <c r="F663" s="314"/>
      <c r="G663" s="455"/>
      <c r="K663" s="139">
        <f ca="1">K662-K659</f>
        <v>624.41968043530528</v>
      </c>
      <c r="L663" s="139">
        <f ca="1">L662-L659</f>
        <v>535.23388333789615</v>
      </c>
      <c r="M663" s="139">
        <f ca="1">M662-M659</f>
        <v>413.9083497662001</v>
      </c>
      <c r="N663" s="139">
        <f ca="1">N662-N659</f>
        <v>298.45831645243868</v>
      </c>
      <c r="O663" s="139">
        <f ca="1">O662-O659</f>
        <v>158.66452560212284</v>
      </c>
    </row>
    <row r="664" spans="3:15" ht="5.0999999999999996" customHeight="1">
      <c r="C664" s="314"/>
      <c r="D664" s="314"/>
      <c r="E664" s="314"/>
      <c r="F664" s="314"/>
      <c r="G664" s="455"/>
      <c r="K664" s="139"/>
      <c r="L664" s="139"/>
      <c r="M664" s="139"/>
      <c r="N664" s="139"/>
      <c r="O664" s="139"/>
    </row>
    <row r="665" spans="3:15">
      <c r="C665" s="452"/>
      <c r="D665" s="314" t="s">
        <v>288</v>
      </c>
      <c r="E665" s="452"/>
      <c r="F665" s="452"/>
      <c r="G665" s="456"/>
      <c r="H665" s="452"/>
      <c r="I665" s="452"/>
      <c r="J665" s="452"/>
      <c r="K665" s="470">
        <f ca="1">K350</f>
        <v>526.35254950582907</v>
      </c>
      <c r="L665" s="470">
        <f ca="1">L350</f>
        <v>662.70438616554486</v>
      </c>
      <c r="M665" s="470">
        <f ca="1">M350</f>
        <v>832.37696656562605</v>
      </c>
      <c r="N665" s="470">
        <f ca="1">N350</f>
        <v>1005.6794002161625</v>
      </c>
      <c r="O665" s="470">
        <f ca="1">O350</f>
        <v>1198.9383056788392</v>
      </c>
    </row>
    <row r="666" spans="3:15">
      <c r="C666" s="457"/>
      <c r="D666" s="457"/>
      <c r="E666" s="457"/>
      <c r="F666" s="457"/>
      <c r="G666" s="458"/>
      <c r="H666" s="457"/>
      <c r="I666" s="457"/>
      <c r="J666" s="457"/>
      <c r="K666" s="457"/>
      <c r="L666" s="457"/>
      <c r="M666" s="457"/>
      <c r="N666" s="457"/>
      <c r="O666" s="457"/>
    </row>
    <row r="667" spans="3:15">
      <c r="C667" s="452"/>
      <c r="D667" s="452"/>
      <c r="E667" s="452"/>
      <c r="F667" s="452"/>
      <c r="G667" s="456"/>
      <c r="H667" s="452"/>
      <c r="I667" s="452"/>
      <c r="J667" s="452"/>
      <c r="K667" s="452"/>
      <c r="L667" s="452"/>
      <c r="M667" s="452"/>
      <c r="N667" s="452"/>
      <c r="O667" s="452"/>
    </row>
    <row r="668" spans="3:15">
      <c r="C668" s="452"/>
      <c r="D668" s="452"/>
      <c r="E668" s="452"/>
      <c r="F668" s="452"/>
      <c r="G668" s="456"/>
      <c r="H668" s="452"/>
      <c r="I668" s="452"/>
      <c r="J668" s="452"/>
      <c r="K668" s="452"/>
      <c r="L668" s="452"/>
      <c r="M668" s="452"/>
      <c r="N668" s="452"/>
      <c r="O668" s="452"/>
    </row>
    <row r="669" spans="3:15">
      <c r="F669" s="74"/>
      <c r="G669" s="117"/>
      <c r="N669" s="145"/>
      <c r="O669" s="145" t="str">
        <f>$O$139</f>
        <v>CURRENTLY RUNNING: BASE CASE SCENARIO</v>
      </c>
    </row>
    <row r="670" spans="3:15" ht="22.5">
      <c r="C670" s="71" t="str">
        <f>C642</f>
        <v>Windsol Manufacturing</v>
      </c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</row>
    <row r="671" spans="3:15" ht="18.75">
      <c r="C671" s="75" t="s">
        <v>289</v>
      </c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</row>
    <row r="672" spans="3:15" ht="6" customHeight="1" thickBot="1">
      <c r="C672" s="76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</row>
    <row r="673" spans="3:16">
      <c r="C673" s="78"/>
      <c r="F673" s="74"/>
      <c r="O673" s="100"/>
    </row>
    <row r="674" spans="3:16" ht="13.5">
      <c r="C674" s="78"/>
      <c r="F674" s="74"/>
      <c r="I674" s="72"/>
      <c r="J674" s="72"/>
      <c r="K674" s="80" t="s">
        <v>6</v>
      </c>
      <c r="L674" s="80"/>
      <c r="M674" s="80"/>
      <c r="N674" s="80"/>
      <c r="O674" s="80"/>
    </row>
    <row r="675" spans="3:16">
      <c r="C675" s="94"/>
      <c r="F675" s="74"/>
      <c r="H675" s="128"/>
      <c r="I675" s="129"/>
      <c r="J675" s="129"/>
      <c r="K675" s="467">
        <f>K647</f>
        <v>2019</v>
      </c>
      <c r="L675" s="467">
        <f>L647</f>
        <v>2020</v>
      </c>
      <c r="M675" s="467">
        <f>M647</f>
        <v>2021</v>
      </c>
      <c r="N675" s="467">
        <f>N647</f>
        <v>2022</v>
      </c>
      <c r="O675" s="467">
        <f>O647</f>
        <v>2023</v>
      </c>
    </row>
    <row r="676" spans="3:16">
      <c r="C676" s="94" t="s">
        <v>290</v>
      </c>
      <c r="F676" s="74"/>
      <c r="G676" s="117"/>
    </row>
    <row r="677" spans="3:16">
      <c r="C677" s="453" t="s">
        <v>189</v>
      </c>
      <c r="F677" s="74"/>
      <c r="G677" s="117"/>
      <c r="I677" s="452"/>
      <c r="J677" s="459" t="s">
        <v>291</v>
      </c>
      <c r="K677" s="476">
        <f>R29</f>
        <v>3.5</v>
      </c>
      <c r="L677" s="476">
        <f>K677</f>
        <v>3.5</v>
      </c>
      <c r="M677" s="476">
        <f>L677</f>
        <v>3.5</v>
      </c>
      <c r="N677" s="476">
        <f>M677</f>
        <v>3.5</v>
      </c>
      <c r="O677" s="477">
        <f>N677</f>
        <v>3.5</v>
      </c>
    </row>
    <row r="678" spans="3:16" ht="3" customHeight="1">
      <c r="C678" s="453"/>
      <c r="F678" s="74"/>
      <c r="G678" s="117"/>
      <c r="I678" s="452"/>
      <c r="J678" s="453"/>
      <c r="K678" s="460"/>
      <c r="L678" s="460"/>
      <c r="M678" s="460"/>
      <c r="N678" s="460"/>
      <c r="O678" s="460"/>
    </row>
    <row r="679" spans="3:16">
      <c r="D679" s="314" t="s">
        <v>189</v>
      </c>
      <c r="F679" s="314"/>
      <c r="G679" s="314"/>
      <c r="H679" s="314"/>
      <c r="I679" s="452"/>
      <c r="J679" s="452"/>
      <c r="K679" s="461">
        <f ca="1">K662/K650</f>
        <v>2.5762045600873908</v>
      </c>
      <c r="L679" s="461">
        <f ca="1">L662/L650</f>
        <v>2.2145406330318771</v>
      </c>
      <c r="M679" s="461">
        <f ca="1">M662/M650</f>
        <v>1.7745940633494486</v>
      </c>
      <c r="N679" s="461">
        <f ca="1">N662/N650</f>
        <v>0.86276418688479506</v>
      </c>
      <c r="O679" s="461">
        <f ca="1">O662/O650</f>
        <v>0.52372421254936097</v>
      </c>
    </row>
    <row r="680" spans="3:16">
      <c r="D680" s="462" t="s">
        <v>292</v>
      </c>
      <c r="F680" s="314"/>
      <c r="G680" s="454"/>
      <c r="H680" s="314"/>
      <c r="I680" s="314"/>
      <c r="J680" s="463"/>
      <c r="K680" s="464">
        <f ca="1">K650-(K662/K677)</f>
        <v>72.52076501105941</v>
      </c>
      <c r="L680" s="464">
        <f ca="1">L650-(L662/L677)</f>
        <v>111.40915910605898</v>
      </c>
      <c r="M680" s="464">
        <f ca="1">M650-(M662/M677)</f>
        <v>176.61090885893586</v>
      </c>
      <c r="N680" s="464">
        <f ca="1">N650-(N662/N677)</f>
        <v>269.39237241931096</v>
      </c>
      <c r="O680" s="464">
        <f ca="1">O650-(O662/O677)</f>
        <v>324.73752036814057</v>
      </c>
    </row>
    <row r="681" spans="3:16">
      <c r="F681" s="74"/>
      <c r="G681" s="117"/>
      <c r="J681" s="465"/>
    </row>
    <row r="682" spans="3:16">
      <c r="C682" s="453" t="s">
        <v>293</v>
      </c>
      <c r="F682" s="74"/>
      <c r="G682" s="117"/>
      <c r="J682" s="459" t="s">
        <v>291</v>
      </c>
      <c r="K682" s="476">
        <f>R30</f>
        <v>3.5</v>
      </c>
      <c r="L682" s="476">
        <f>K682</f>
        <v>3.5</v>
      </c>
      <c r="M682" s="476">
        <f>L682</f>
        <v>3.5</v>
      </c>
      <c r="N682" s="476">
        <f>M682</f>
        <v>3.5</v>
      </c>
      <c r="O682" s="477">
        <f>N682</f>
        <v>3.5</v>
      </c>
    </row>
    <row r="683" spans="3:16" ht="3" customHeight="1">
      <c r="C683" s="453"/>
      <c r="F683" s="74"/>
      <c r="G683" s="117"/>
      <c r="J683" s="465"/>
    </row>
    <row r="684" spans="3:16">
      <c r="D684" s="314" t="s">
        <v>293</v>
      </c>
      <c r="F684" s="314"/>
      <c r="G684" s="314"/>
      <c r="H684" s="314"/>
      <c r="I684" s="452"/>
      <c r="J684" s="452"/>
      <c r="K684" s="514">
        <f ca="1">K663/K650</f>
        <v>2.2725946277588074</v>
      </c>
      <c r="L684" s="514">
        <f ca="1">L663/L650</f>
        <v>1.7644648515848331</v>
      </c>
      <c r="M684" s="514">
        <f ca="1">M663/M650</f>
        <v>1.1553402553992764</v>
      </c>
      <c r="N684" s="514">
        <f ca="1">N663/N650</f>
        <v>0.83479398342886635</v>
      </c>
      <c r="O684" s="514">
        <f ca="1">O663/O650</f>
        <v>0.41548226865244858</v>
      </c>
      <c r="P684" s="121" t="s">
        <v>320</v>
      </c>
    </row>
    <row r="685" spans="3:16">
      <c r="D685" s="462" t="s">
        <v>292</v>
      </c>
      <c r="F685" s="314"/>
      <c r="G685" s="454"/>
      <c r="H685" s="314"/>
      <c r="I685" s="314"/>
      <c r="J685" s="463"/>
      <c r="K685" s="464">
        <f ca="1">K650-(K663/K682)</f>
        <v>96.355072484484225</v>
      </c>
      <c r="L685" s="464">
        <f ca="1">L650-(L663/L682)</f>
        <v>150.41666539797978</v>
      </c>
      <c r="M685" s="464">
        <f ca="1">M650-(M663/M682)</f>
        <v>239.9971390284841</v>
      </c>
      <c r="N685" s="464">
        <f ca="1">N650-(N663/N682)</f>
        <v>272.24951527645379</v>
      </c>
      <c r="O685" s="464">
        <f ca="1">O650-(O663/O682)</f>
        <v>336.5476559103912</v>
      </c>
    </row>
    <row r="686" spans="3:16">
      <c r="C686" s="314"/>
      <c r="D686" s="314"/>
      <c r="F686" s="314"/>
      <c r="G686" s="454"/>
      <c r="H686" s="314"/>
      <c r="I686" s="314"/>
      <c r="J686" s="463"/>
      <c r="K686" s="505"/>
    </row>
    <row r="687" spans="3:16">
      <c r="C687" s="453" t="s">
        <v>294</v>
      </c>
      <c r="D687" s="314"/>
      <c r="F687" s="314"/>
      <c r="G687" s="454"/>
      <c r="H687" s="314"/>
      <c r="I687" s="314"/>
      <c r="J687" s="459" t="s">
        <v>291</v>
      </c>
      <c r="K687" s="478">
        <f>R31</f>
        <v>4</v>
      </c>
      <c r="L687" s="478">
        <f>K687</f>
        <v>4</v>
      </c>
      <c r="M687" s="478">
        <f>L687</f>
        <v>4</v>
      </c>
      <c r="N687" s="478">
        <f>M687</f>
        <v>4</v>
      </c>
      <c r="O687" s="479">
        <f>N687</f>
        <v>4</v>
      </c>
    </row>
    <row r="688" spans="3:16" ht="3" customHeight="1">
      <c r="C688" s="314"/>
      <c r="D688" s="314"/>
      <c r="F688" s="314"/>
      <c r="G688" s="454"/>
      <c r="H688" s="314"/>
      <c r="I688" s="314"/>
      <c r="J688" s="463"/>
    </row>
    <row r="689" spans="3:16">
      <c r="D689" s="314" t="s">
        <v>295</v>
      </c>
      <c r="F689" s="314"/>
      <c r="G689" s="454"/>
      <c r="H689" s="314"/>
      <c r="I689" s="452"/>
      <c r="J689" s="452"/>
      <c r="K689" s="461">
        <f ca="1">K650/K651</f>
        <v>6.9788751242913802</v>
      </c>
      <c r="L689" s="461">
        <f ca="1">L650/L651</f>
        <v>8.2270498204169638</v>
      </c>
      <c r="M689" s="461">
        <f ca="1">M650/M651</f>
        <v>10.198820220883537</v>
      </c>
      <c r="N689" s="461">
        <f ca="1">N650/N651</f>
        <v>15.238715591765517</v>
      </c>
      <c r="O689" s="461">
        <f ca="1">O650/O651</f>
        <v>32.965765168367355</v>
      </c>
    </row>
    <row r="690" spans="3:16">
      <c r="D690" s="462" t="s">
        <v>292</v>
      </c>
      <c r="F690" s="314"/>
      <c r="G690" s="454"/>
      <c r="H690" s="314"/>
      <c r="I690" s="314"/>
      <c r="J690" s="463"/>
      <c r="K690" s="464">
        <f ca="1">K650-(K687*K651)</f>
        <v>117.27933030464897</v>
      </c>
      <c r="L690" s="464">
        <f ca="1">L650-(L687*L651)</f>
        <v>155.85610787446967</v>
      </c>
      <c r="M690" s="464">
        <f ca="1">M650-(M687*M651)</f>
        <v>217.74760480857083</v>
      </c>
      <c r="N690" s="464">
        <f ca="1">N650-(N687*N651)</f>
        <v>263.67726902247716</v>
      </c>
      <c r="O690" s="464">
        <f ca="1">O650-(O687*O651)</f>
        <v>335.54377642673899</v>
      </c>
    </row>
    <row r="691" spans="3:16">
      <c r="C691" s="314"/>
      <c r="D691" s="314"/>
      <c r="F691" s="314"/>
      <c r="G691" s="454"/>
      <c r="H691" s="314"/>
      <c r="I691" s="314"/>
      <c r="J691" s="463"/>
    </row>
    <row r="692" spans="3:16">
      <c r="C692" s="453" t="s">
        <v>296</v>
      </c>
      <c r="D692" s="314"/>
      <c r="F692" s="314"/>
      <c r="G692" s="454"/>
      <c r="H692" s="314"/>
      <c r="I692" s="314"/>
      <c r="J692" s="459" t="s">
        <v>291</v>
      </c>
      <c r="K692" s="478">
        <f>R32</f>
        <v>1.5</v>
      </c>
      <c r="L692" s="478">
        <f>K692</f>
        <v>1.5</v>
      </c>
      <c r="M692" s="478">
        <f>L692</f>
        <v>1.5</v>
      </c>
      <c r="N692" s="478">
        <f>M692</f>
        <v>1.5</v>
      </c>
      <c r="O692" s="479">
        <f>N692</f>
        <v>1.5</v>
      </c>
    </row>
    <row r="693" spans="3:16" ht="3" customHeight="1">
      <c r="C693" s="314"/>
      <c r="D693" s="314"/>
      <c r="F693" s="314"/>
      <c r="G693" s="454"/>
      <c r="H693" s="314"/>
      <c r="I693" s="314"/>
      <c r="J693" s="463"/>
    </row>
    <row r="694" spans="3:16">
      <c r="C694" s="452"/>
      <c r="D694" s="314" t="s">
        <v>297</v>
      </c>
      <c r="F694" s="314"/>
      <c r="G694" s="454"/>
      <c r="H694" s="314"/>
      <c r="I694" s="452"/>
      <c r="J694" s="452"/>
      <c r="K694" s="461">
        <f ca="1">K650/(K651+K652-K656)</f>
        <v>2.4156986461002554</v>
      </c>
      <c r="L694" s="461">
        <f ca="1">L650/(L651+L652-L656)</f>
        <v>2.6557624429706794</v>
      </c>
      <c r="M694" s="461">
        <f ca="1">M650/(M651+M652-M656)</f>
        <v>2.8599476449087731</v>
      </c>
      <c r="N694" s="461">
        <f ca="1">N650/(N651+N652-N656)</f>
        <v>0.69254428359834463</v>
      </c>
      <c r="O694" s="461">
        <f ca="1">O650/(O651+O652-O656)</f>
        <v>1.3713250646820783</v>
      </c>
    </row>
    <row r="695" spans="3:16">
      <c r="C695" s="314"/>
      <c r="D695" s="462" t="s">
        <v>292</v>
      </c>
      <c r="F695" s="314"/>
      <c r="G695" s="454"/>
      <c r="H695" s="314"/>
      <c r="I695" s="314"/>
      <c r="J695" s="463"/>
      <c r="K695" s="464">
        <f ca="1">K650-K692*(K651+K652-K656)</f>
        <v>104.15123477671523</v>
      </c>
      <c r="L695" s="464">
        <f ca="1">L650-L692*(L651+L652-L656)</f>
        <v>132.01094506655133</v>
      </c>
      <c r="M695" s="464">
        <f ca="1">M650-M692*(M651+M652-M656)</f>
        <v>170.35637423357903</v>
      </c>
      <c r="N695" s="464">
        <f ca="1">N650-N692*(N651+N652-N656)</f>
        <v>-416.84590473044284</v>
      </c>
      <c r="O695" s="464">
        <f ca="1">O650-O692*(O651+O652-O656)</f>
        <v>-35.83281173877117</v>
      </c>
    </row>
    <row r="696" spans="3:16">
      <c r="C696" s="314"/>
      <c r="D696" s="314"/>
      <c r="F696" s="314"/>
      <c r="G696" s="454"/>
      <c r="H696" s="314"/>
      <c r="I696" s="314"/>
      <c r="J696" s="463"/>
    </row>
    <row r="697" spans="3:16">
      <c r="C697" s="453" t="s">
        <v>298</v>
      </c>
      <c r="D697" s="314"/>
      <c r="F697" s="314"/>
      <c r="G697" s="454"/>
      <c r="H697" s="314"/>
      <c r="I697" s="314"/>
      <c r="J697" s="459" t="s">
        <v>291</v>
      </c>
      <c r="K697" s="480">
        <f>R33</f>
        <v>0.5</v>
      </c>
      <c r="L697" s="480">
        <f>K697</f>
        <v>0.5</v>
      </c>
      <c r="M697" s="480">
        <f>L697</f>
        <v>0.5</v>
      </c>
      <c r="N697" s="480">
        <f>M697</f>
        <v>0.5</v>
      </c>
      <c r="O697" s="481">
        <f>N697</f>
        <v>0.5</v>
      </c>
    </row>
    <row r="698" spans="3:16" ht="3" customHeight="1">
      <c r="C698" s="314"/>
      <c r="D698" s="314"/>
      <c r="F698" s="314"/>
      <c r="G698" s="454"/>
      <c r="H698" s="314"/>
      <c r="I698" s="314"/>
      <c r="J698" s="463"/>
    </row>
    <row r="699" spans="3:16">
      <c r="C699" s="452"/>
      <c r="D699" s="314" t="s">
        <v>299</v>
      </c>
      <c r="F699" s="314"/>
      <c r="G699" s="454"/>
      <c r="H699" s="314"/>
      <c r="I699" s="452"/>
      <c r="J699" s="452"/>
      <c r="K699" s="466">
        <f ca="1">K662/(K662+K665)</f>
        <v>0.57352468743717577</v>
      </c>
      <c r="L699" s="466">
        <f ca="1">L662/(L662+L665)</f>
        <v>0.50339303477622721</v>
      </c>
      <c r="M699" s="466">
        <f ca="1">M662/(M662+M665)</f>
        <v>0.43303867592824935</v>
      </c>
      <c r="N699" s="466">
        <f ca="1">N662/(N662+N665)</f>
        <v>0.2347229765495161</v>
      </c>
      <c r="O699" s="466">
        <f ca="1">O662/(O662+O665)</f>
        <v>0.14296556123177237</v>
      </c>
    </row>
    <row r="700" spans="3:16">
      <c r="C700" s="314"/>
      <c r="D700" s="462" t="s">
        <v>300</v>
      </c>
      <c r="F700" s="314"/>
      <c r="G700" s="454"/>
      <c r="H700" s="314"/>
      <c r="I700" s="452"/>
      <c r="J700" s="452"/>
      <c r="K700" s="464">
        <f ca="1">((K697*K665)/(1-K697))-K662</f>
        <v>-181.48720708646306</v>
      </c>
      <c r="L700" s="464">
        <f ca="1">((L697*L665)/(1-L697))-L662</f>
        <v>-9.0557691940740597</v>
      </c>
      <c r="M700" s="464">
        <f ca="1">((M697*M665)/(1-M697))-M662</f>
        <v>196.61681120600713</v>
      </c>
      <c r="N700" s="464">
        <f ca="1">((N697*N665)/(1-N697))-N662</f>
        <v>697.22108376372387</v>
      </c>
      <c r="O700" s="464">
        <f ca="1">((O697*O665)/(1-O697))-O662</f>
        <v>998.93830567883924</v>
      </c>
    </row>
    <row r="701" spans="3:16">
      <c r="C701" s="452"/>
      <c r="D701" s="482"/>
      <c r="E701" s="482"/>
      <c r="F701" s="482"/>
      <c r="G701" s="483"/>
      <c r="H701" s="482"/>
      <c r="I701" s="484"/>
      <c r="J701" s="485"/>
      <c r="K701" s="486"/>
      <c r="L701" s="486"/>
      <c r="M701" s="486"/>
      <c r="N701" s="486"/>
      <c r="O701" s="486"/>
    </row>
    <row r="702" spans="3:16">
      <c r="C702" s="452"/>
      <c r="D702" s="452"/>
      <c r="E702" s="452"/>
      <c r="F702" s="452"/>
      <c r="G702" s="456"/>
      <c r="H702" s="452"/>
      <c r="I702" s="452"/>
      <c r="J702" s="452"/>
      <c r="K702" s="452"/>
      <c r="L702" s="452"/>
      <c r="M702" s="452"/>
      <c r="N702" s="452"/>
      <c r="O702" s="452"/>
      <c r="P702" s="452"/>
    </row>
  </sheetData>
  <conditionalFormatting sqref="K679:O679">
    <cfRule type="cellIs" dxfId="4" priority="5" stopIfTrue="1" operator="greaterThanOrEqual">
      <formula>K677</formula>
    </cfRule>
  </conditionalFormatting>
  <conditionalFormatting sqref="K684:O684">
    <cfRule type="cellIs" dxfId="3" priority="4" stopIfTrue="1" operator="greaterThanOrEqual">
      <formula>K682</formula>
    </cfRule>
  </conditionalFormatting>
  <conditionalFormatting sqref="K689:O689">
    <cfRule type="cellIs" dxfId="2" priority="3" stopIfTrue="1" operator="lessThanOrEqual">
      <formula>K687</formula>
    </cfRule>
  </conditionalFormatting>
  <conditionalFormatting sqref="K694:O694">
    <cfRule type="cellIs" dxfId="1" priority="2" stopIfTrue="1" operator="lessThanOrEqual">
      <formula>K692</formula>
    </cfRule>
  </conditionalFormatting>
  <conditionalFormatting sqref="K699:O699">
    <cfRule type="cellIs" dxfId="0" priority="1" stopIfTrue="1" operator="greaterThanOrEqual">
      <formula>K697</formula>
    </cfRule>
  </conditionalFormatting>
  <printOptions horizontalCentered="1"/>
  <pageMargins left="0.23622047244094491" right="0.23622047244094491" top="0.23622047244094491" bottom="0.51181102362204722" header="0.23622047244094491" footer="0.23622047244094491"/>
  <pageSetup scale="85" orientation="landscape" r:id="rId1"/>
  <headerFooter alignWithMargins="0">
    <oddFooter>&amp;L&amp;"Times New Roman,Bold"&amp;9The Marquee Group
&amp;"Times New Roman,Regular"C:\My Documents\Spectrum Model.xls&amp;C&amp;"Times New Roman,Regular"&amp;9Page &amp;P of &amp;N&amp;R&amp;"Times New Roman,Regular"&amp;9&amp;D  &amp;T</oddFooter>
  </headerFooter>
  <rowBreaks count="3" manualBreakCount="3">
    <brk id="178" max="16383" man="1"/>
    <brk id="224" max="16383" man="1"/>
    <brk id="667" min="1" max="1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361950</xdr:colOff>
                    <xdr:row>95</xdr:row>
                    <xdr:rowOff>57150</xdr:rowOff>
                  </from>
                  <to>
                    <xdr:col>5</xdr:col>
                    <xdr:colOff>628650</xdr:colOff>
                    <xdr:row>97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CaseData</vt:lpstr>
      <vt:lpstr>CaseSolution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2019-03-18T18:27:42Z</dcterms:created>
  <dcterms:modified xsi:type="dcterms:W3CDTF">2026-10-06T14:21:11Z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2026-10-06T08:38:10Z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7d271de6-cd73-4367-a663-38c530777a96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