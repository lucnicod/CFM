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4F703795456207/Modeling/CFM/0. Topics/3. CAPEX and Depreciation/3.1 Gallway Inc/"/>
    </mc:Choice>
  </mc:AlternateContent>
  <xr:revisionPtr revIDLastSave="277" documentId="6_{C3B19248-F34E-48B9-8288-8A7A5F9D6718}" xr6:coauthVersionLast="47" xr6:coauthVersionMax="47" xr10:uidLastSave="{96960E7D-8E8F-4B99-AD61-5DF4AB0DB234}"/>
  <bookViews>
    <workbookView xWindow="28680" yWindow="-120" windowWidth="29040" windowHeight="16440" xr2:uid="{C6CFB0CC-DF6C-4FAA-8ADE-B56D19A6B9C3}"/>
  </bookViews>
  <sheets>
    <sheet name="Calculations" sheetId="5" r:id="rId1"/>
    <sheet name="Assumptions" sheetId="2" r:id="rId2"/>
    <sheet name="Time" sheetId="4" r:id="rId3"/>
    <sheet name="Tmp" sheetId="1" r:id="rId4"/>
    <sheet name="Dep_Ans" sheetId="6" r:id="rId5"/>
  </sheets>
  <definedNames>
    <definedName name="company">Assumptions!$F$7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it_expansion_date">Assumptions!$F$41</definedName>
    <definedName name="periods_bldg">Assumptions!$F$18</definedName>
    <definedName name="periods_it">Assumptions!$F$26</definedName>
    <definedName name="_xlnm.Print_Area" localSheetId="1">Assumptions!$A$1:$Q$48</definedName>
    <definedName name="_xlnm.Print_Area" localSheetId="0">Calculations!$A$1:$S$100</definedName>
    <definedName name="_xlnm.Print_Area" localSheetId="2">Time!$A$1:$Q$48</definedName>
    <definedName name="_xlnm.Print_Area" localSheetId="3">Tmp!$A$1:$Q$45</definedName>
    <definedName name="_xlnm.Print_Titles" localSheetId="1">Assumptions!$1:$4</definedName>
    <definedName name="_xlnm.Print_Titles" localSheetId="0">Calculations!$1:$4</definedName>
    <definedName name="_xlnm.Print_Titles" localSheetId="2">Time!$1:$4</definedName>
    <definedName name="_xlnm.Print_Titles" localSheetId="3">Tmp!$1:$4</definedName>
    <definedName name="start_date">Assumptions!$F$9</definedName>
    <definedName name="topic">Assumptions!$E$8 &amp; ": " &amp; Assumptions!$F$8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6" i="5" l="1" a="1"/>
  <c r="J61" i="5" a="1"/>
  <c r="J45" i="5" a="1"/>
  <c r="J8" i="4" a="1"/>
  <c r="J13" i="5" a="1"/>
  <c r="J95" i="5" a="1"/>
  <c r="J76" i="5" a="1"/>
  <c r="F61" i="5" a="1"/>
  <c r="J3" i="5" a="1"/>
  <c r="G61" i="5" a="1"/>
  <c r="J77" i="5" a="1"/>
  <c r="J96" i="5" a="1"/>
  <c r="J33" i="5" a="1"/>
  <c r="J97" i="5" a="1"/>
  <c r="J9" i="4" a="1"/>
  <c r="J9" i="5" a="1"/>
  <c r="J87" i="5"/>
  <c r="G16" i="5" a="1"/>
  <c r="F16" i="5" a="1"/>
  <c r="J15" i="5" a="1"/>
  <c r="J26" i="5" a="1"/>
  <c r="J88" i="5"/>
  <c r="F45" i="5" a="1"/>
  <c r="G45" i="5" a="1"/>
  <c r="J55" i="5" a="1"/>
  <c r="J89" i="5"/>
  <c r="J71" i="5" a="1"/>
  <c r="J90" i="5"/>
  <c r="S90" i="5"/>
  <c r="R90" i="5"/>
  <c r="Q90" i="5"/>
  <c r="P90" i="5"/>
  <c r="O90" i="5"/>
  <c r="N90" i="5"/>
  <c r="M90" i="5"/>
  <c r="L90" i="5"/>
  <c r="K90" i="5"/>
  <c r="S89" i="5"/>
  <c r="R89" i="5"/>
  <c r="Q89" i="5"/>
  <c r="P89" i="5"/>
  <c r="O89" i="5"/>
  <c r="N89" i="5"/>
  <c r="M89" i="5"/>
  <c r="L89" i="5"/>
  <c r="K89" i="5"/>
  <c r="S88" i="5"/>
  <c r="R88" i="5"/>
  <c r="Q88" i="5"/>
  <c r="P88" i="5"/>
  <c r="O88" i="5"/>
  <c r="N88" i="5"/>
  <c r="M88" i="5"/>
  <c r="L88" i="5"/>
  <c r="K88" i="5"/>
  <c r="S87" i="5"/>
  <c r="R87" i="5"/>
  <c r="Q87" i="5"/>
  <c r="P87" i="5"/>
  <c r="O87" i="5"/>
  <c r="N87" i="5"/>
  <c r="M87" i="5"/>
  <c r="L87" i="5"/>
  <c r="K87" i="5"/>
  <c r="J91" i="5" a="1"/>
  <c r="J98" i="5" a="1"/>
  <c r="J99" i="5" a="1"/>
  <c r="J94" i="5" a="1"/>
  <c r="G89" i="5"/>
  <c r="G88" i="5"/>
  <c r="G87" i="5"/>
  <c r="E87" i="5"/>
  <c r="J78" i="5" a="1"/>
  <c r="J79" i="5" a="1"/>
  <c r="J80" i="5" a="1"/>
  <c r="H45" i="5" a="1"/>
  <c r="J44" i="5" a="1"/>
  <c r="J75" i="5" a="1"/>
  <c r="J34" i="5" a="1"/>
  <c r="J35" i="5" a="1"/>
  <c r="J36" i="5" a="1"/>
  <c r="J37" i="5" a="1"/>
  <c r="H61" i="5" a="1"/>
  <c r="G71" i="5" a="1"/>
  <c r="H16" i="5" a="1"/>
  <c r="J60" i="5" a="1"/>
  <c r="N142" i="6"/>
  <c r="M142" i="6"/>
  <c r="L142" i="6"/>
  <c r="K142" i="6"/>
  <c r="J142" i="6"/>
  <c r="I142" i="6"/>
  <c r="H142" i="6"/>
  <c r="G142" i="6"/>
  <c r="F142" i="6"/>
  <c r="E142" i="6"/>
  <c r="N141" i="6"/>
  <c r="M141" i="6"/>
  <c r="L141" i="6"/>
  <c r="K141" i="6"/>
  <c r="J141" i="6"/>
  <c r="I141" i="6"/>
  <c r="H141" i="6"/>
  <c r="G141" i="6"/>
  <c r="F141" i="6"/>
  <c r="E141" i="6"/>
  <c r="N140" i="6"/>
  <c r="M140" i="6"/>
  <c r="L140" i="6"/>
  <c r="K140" i="6"/>
  <c r="J140" i="6"/>
  <c r="I140" i="6"/>
  <c r="H140" i="6"/>
  <c r="G140" i="6"/>
  <c r="F140" i="6"/>
  <c r="E140" i="6"/>
  <c r="N139" i="6"/>
  <c r="M139" i="6"/>
  <c r="L139" i="6"/>
  <c r="K139" i="6"/>
  <c r="J139" i="6"/>
  <c r="I139" i="6"/>
  <c r="H139" i="6"/>
  <c r="G139" i="6"/>
  <c r="F139" i="6"/>
  <c r="E139" i="6"/>
  <c r="N138" i="6"/>
  <c r="M138" i="6"/>
  <c r="L138" i="6"/>
  <c r="K138" i="6"/>
  <c r="J138" i="6"/>
  <c r="I138" i="6"/>
  <c r="H138" i="6"/>
  <c r="G138" i="6"/>
  <c r="F138" i="6"/>
  <c r="E138" i="6"/>
  <c r="N135" i="6"/>
  <c r="M135" i="6"/>
  <c r="L135" i="6"/>
  <c r="K135" i="6"/>
  <c r="J135" i="6"/>
  <c r="I135" i="6"/>
  <c r="H135" i="6"/>
  <c r="G135" i="6"/>
  <c r="F135" i="6"/>
  <c r="E135" i="6"/>
  <c r="N132" i="6"/>
  <c r="M132" i="6"/>
  <c r="L132" i="6"/>
  <c r="K132" i="6"/>
  <c r="J132" i="6"/>
  <c r="I132" i="6"/>
  <c r="H132" i="6"/>
  <c r="G132" i="6"/>
  <c r="F132" i="6"/>
  <c r="E132" i="6"/>
  <c r="N131" i="6"/>
  <c r="M131" i="6"/>
  <c r="L131" i="6"/>
  <c r="K131" i="6"/>
  <c r="J131" i="6"/>
  <c r="I131" i="6"/>
  <c r="H131" i="6"/>
  <c r="G131" i="6"/>
  <c r="F131" i="6"/>
  <c r="E131" i="6"/>
  <c r="N130" i="6"/>
  <c r="M130" i="6"/>
  <c r="L130" i="6"/>
  <c r="K130" i="6"/>
  <c r="J130" i="6"/>
  <c r="I130" i="6"/>
  <c r="H130" i="6"/>
  <c r="G130" i="6"/>
  <c r="F130" i="6"/>
  <c r="E130" i="6"/>
  <c r="N127" i="6"/>
  <c r="M127" i="6"/>
  <c r="L127" i="6"/>
  <c r="K127" i="6"/>
  <c r="J127" i="6"/>
  <c r="I127" i="6"/>
  <c r="H127" i="6"/>
  <c r="G127" i="6"/>
  <c r="F127" i="6"/>
  <c r="E127" i="6"/>
  <c r="E6" i="6"/>
  <c r="F6" i="6"/>
  <c r="G6" i="6"/>
  <c r="H6" i="6"/>
  <c r="I6" i="6"/>
  <c r="J6" i="6"/>
  <c r="K6" i="6"/>
  <c r="L6" i="6"/>
  <c r="M6" i="6"/>
  <c r="N6" i="6"/>
  <c r="N125" i="6"/>
  <c r="M125" i="6"/>
  <c r="L125" i="6"/>
  <c r="K125" i="6"/>
  <c r="J125" i="6"/>
  <c r="I125" i="6"/>
  <c r="H125" i="6"/>
  <c r="G125" i="6"/>
  <c r="F125" i="6"/>
  <c r="E125" i="6"/>
  <c r="D97" i="6"/>
  <c r="E92" i="6"/>
  <c r="E21" i="6"/>
  <c r="E93" i="6"/>
  <c r="E106" i="6"/>
  <c r="D106" i="6"/>
  <c r="C47" i="6"/>
  <c r="E59" i="6"/>
  <c r="E62" i="6"/>
  <c r="E63" i="6"/>
  <c r="E64" i="6"/>
  <c r="E94" i="6"/>
  <c r="E15" i="6"/>
  <c r="E95" i="6"/>
  <c r="E14" i="6"/>
  <c r="E18" i="6"/>
  <c r="E86" i="6"/>
  <c r="B29" i="6" a="1"/>
  <c r="B29" i="6"/>
  <c r="C29" i="6"/>
  <c r="C26" i="6"/>
  <c r="E29" i="6"/>
  <c r="E40" i="6"/>
  <c r="E87" i="6"/>
  <c r="B69" i="6" a="1"/>
  <c r="B69" i="6"/>
  <c r="C69" i="6"/>
  <c r="E69" i="6"/>
  <c r="E80" i="6"/>
  <c r="E88" i="6"/>
  <c r="E89" i="6"/>
  <c r="E96" i="6"/>
  <c r="E97" i="6"/>
  <c r="F92" i="6"/>
  <c r="F22" i="6"/>
  <c r="F21" i="6"/>
  <c r="F93" i="6"/>
  <c r="F59" i="6"/>
  <c r="B49" i="6"/>
  <c r="F62" i="6"/>
  <c r="F63" i="6"/>
  <c r="F64" i="6"/>
  <c r="F94" i="6"/>
  <c r="F15" i="6"/>
  <c r="F95" i="6"/>
  <c r="E16" i="6"/>
  <c r="F14" i="6"/>
  <c r="F18" i="6"/>
  <c r="F86" i="6"/>
  <c r="F29" i="6"/>
  <c r="B30" i="6"/>
  <c r="C30" i="6"/>
  <c r="F30" i="6"/>
  <c r="F40" i="6"/>
  <c r="F87" i="6"/>
  <c r="F69" i="6"/>
  <c r="B70" i="6"/>
  <c r="C70" i="6"/>
  <c r="F70" i="6"/>
  <c r="F80" i="6"/>
  <c r="F88" i="6"/>
  <c r="F89" i="6"/>
  <c r="F96" i="6"/>
  <c r="F97" i="6"/>
  <c r="G92" i="6"/>
  <c r="G22" i="6"/>
  <c r="G21" i="6"/>
  <c r="G93" i="6"/>
  <c r="G59" i="6"/>
  <c r="B50" i="6"/>
  <c r="G62" i="6"/>
  <c r="G63" i="6"/>
  <c r="G64" i="6"/>
  <c r="G94" i="6"/>
  <c r="D104" i="6"/>
  <c r="C11" i="6"/>
  <c r="G15" i="6"/>
  <c r="G95" i="6"/>
  <c r="F16" i="6"/>
  <c r="G14" i="6"/>
  <c r="G18" i="6"/>
  <c r="G86" i="6"/>
  <c r="G29" i="6"/>
  <c r="G30" i="6"/>
  <c r="B31" i="6"/>
  <c r="C31" i="6"/>
  <c r="G31" i="6"/>
  <c r="G40" i="6"/>
  <c r="G87" i="6"/>
  <c r="G69" i="6"/>
  <c r="G70" i="6"/>
  <c r="B71" i="6"/>
  <c r="C71" i="6"/>
  <c r="G71" i="6"/>
  <c r="G80" i="6"/>
  <c r="G88" i="6"/>
  <c r="G89" i="6"/>
  <c r="G96" i="6"/>
  <c r="G97" i="6"/>
  <c r="H92" i="6"/>
  <c r="H22" i="6"/>
  <c r="H21" i="6"/>
  <c r="H93" i="6"/>
  <c r="H59" i="6"/>
  <c r="B51" i="6"/>
  <c r="H62" i="6"/>
  <c r="H63" i="6"/>
  <c r="H64" i="6"/>
  <c r="H94" i="6"/>
  <c r="H15" i="6"/>
  <c r="H95" i="6"/>
  <c r="G16" i="6"/>
  <c r="H14" i="6"/>
  <c r="H18" i="6"/>
  <c r="H86" i="6"/>
  <c r="H29" i="6"/>
  <c r="H30" i="6"/>
  <c r="H31" i="6"/>
  <c r="B32" i="6"/>
  <c r="C32" i="6"/>
  <c r="H32" i="6"/>
  <c r="H40" i="6"/>
  <c r="H87" i="6"/>
  <c r="H69" i="6"/>
  <c r="H70" i="6"/>
  <c r="H71" i="6"/>
  <c r="B72" i="6"/>
  <c r="C72" i="6"/>
  <c r="H72" i="6"/>
  <c r="H80" i="6"/>
  <c r="H88" i="6"/>
  <c r="H89" i="6"/>
  <c r="H96" i="6"/>
  <c r="H97" i="6"/>
  <c r="I92" i="6"/>
  <c r="I22" i="6"/>
  <c r="I21" i="6"/>
  <c r="I93" i="6"/>
  <c r="I59" i="6"/>
  <c r="B52" i="6"/>
  <c r="I62" i="6"/>
  <c r="I63" i="6"/>
  <c r="I64" i="6"/>
  <c r="I94" i="6"/>
  <c r="I15" i="6"/>
  <c r="I95" i="6"/>
  <c r="H16" i="6"/>
  <c r="I14" i="6"/>
  <c r="I18" i="6"/>
  <c r="I86" i="6"/>
  <c r="I29" i="6"/>
  <c r="I30" i="6"/>
  <c r="I31" i="6"/>
  <c r="I32" i="6"/>
  <c r="B33" i="6"/>
  <c r="C33" i="6"/>
  <c r="I33" i="6"/>
  <c r="I40" i="6"/>
  <c r="I87" i="6"/>
  <c r="I69" i="6"/>
  <c r="I70" i="6"/>
  <c r="I71" i="6"/>
  <c r="I72" i="6"/>
  <c r="B73" i="6"/>
  <c r="C73" i="6"/>
  <c r="I73" i="6"/>
  <c r="I80" i="6"/>
  <c r="I88" i="6"/>
  <c r="I89" i="6"/>
  <c r="I96" i="6"/>
  <c r="I97" i="6"/>
  <c r="J92" i="6"/>
  <c r="J22" i="6"/>
  <c r="J21" i="6"/>
  <c r="J93" i="6"/>
  <c r="J59" i="6"/>
  <c r="B53" i="6"/>
  <c r="J62" i="6"/>
  <c r="J63" i="6"/>
  <c r="J64" i="6"/>
  <c r="J94" i="6"/>
  <c r="J15" i="6"/>
  <c r="J95" i="6"/>
  <c r="I16" i="6"/>
  <c r="J14" i="6"/>
  <c r="J18" i="6"/>
  <c r="J86" i="6"/>
  <c r="J29" i="6"/>
  <c r="J30" i="6"/>
  <c r="J31" i="6"/>
  <c r="J32" i="6"/>
  <c r="B34" i="6"/>
  <c r="C34" i="6"/>
  <c r="J34" i="6"/>
  <c r="J33" i="6"/>
  <c r="J40" i="6"/>
  <c r="J87" i="6"/>
  <c r="J69" i="6"/>
  <c r="J70" i="6"/>
  <c r="J71" i="6"/>
  <c r="J72" i="6"/>
  <c r="B74" i="6"/>
  <c r="C74" i="6"/>
  <c r="J74" i="6"/>
  <c r="J73" i="6"/>
  <c r="J80" i="6"/>
  <c r="J88" i="6"/>
  <c r="J89" i="6"/>
  <c r="J96" i="6"/>
  <c r="J97" i="6"/>
  <c r="K92" i="6"/>
  <c r="K22" i="6"/>
  <c r="K21" i="6"/>
  <c r="K93" i="6"/>
  <c r="K59" i="6"/>
  <c r="B54" i="6"/>
  <c r="K62" i="6"/>
  <c r="K63" i="6"/>
  <c r="K64" i="6"/>
  <c r="K94" i="6"/>
  <c r="K15" i="6"/>
  <c r="K95" i="6"/>
  <c r="J16" i="6"/>
  <c r="K14" i="6"/>
  <c r="K18" i="6"/>
  <c r="K86" i="6"/>
  <c r="K29" i="6"/>
  <c r="K30" i="6"/>
  <c r="K31" i="6"/>
  <c r="K32" i="6"/>
  <c r="B35" i="6"/>
  <c r="C35" i="6"/>
  <c r="K35" i="6"/>
  <c r="K34" i="6"/>
  <c r="K33" i="6"/>
  <c r="K40" i="6"/>
  <c r="K87" i="6"/>
  <c r="K69" i="6"/>
  <c r="K70" i="6"/>
  <c r="K71" i="6"/>
  <c r="K72" i="6"/>
  <c r="B75" i="6"/>
  <c r="C75" i="6"/>
  <c r="K75" i="6"/>
  <c r="K74" i="6"/>
  <c r="K73" i="6"/>
  <c r="K80" i="6"/>
  <c r="K88" i="6"/>
  <c r="K89" i="6"/>
  <c r="K96" i="6"/>
  <c r="K97" i="6"/>
  <c r="L92" i="6"/>
  <c r="L22" i="6"/>
  <c r="L21" i="6"/>
  <c r="L93" i="6"/>
  <c r="L59" i="6"/>
  <c r="B55" i="6"/>
  <c r="L62" i="6"/>
  <c r="L63" i="6"/>
  <c r="L64" i="6"/>
  <c r="L94" i="6"/>
  <c r="L15" i="6"/>
  <c r="L95" i="6"/>
  <c r="K16" i="6"/>
  <c r="L14" i="6"/>
  <c r="L18" i="6"/>
  <c r="L86" i="6"/>
  <c r="L29" i="6"/>
  <c r="L30" i="6"/>
  <c r="L31" i="6"/>
  <c r="L32" i="6"/>
  <c r="B36" i="6"/>
  <c r="C36" i="6"/>
  <c r="L36" i="6"/>
  <c r="L35" i="6"/>
  <c r="L34" i="6"/>
  <c r="L33" i="6"/>
  <c r="L40" i="6"/>
  <c r="L87" i="6"/>
  <c r="L69" i="6"/>
  <c r="L70" i="6"/>
  <c r="L71" i="6"/>
  <c r="L72" i="6"/>
  <c r="B76" i="6"/>
  <c r="C76" i="6"/>
  <c r="L76" i="6"/>
  <c r="L75" i="6"/>
  <c r="L74" i="6"/>
  <c r="L73" i="6"/>
  <c r="L80" i="6"/>
  <c r="L88" i="6"/>
  <c r="L89" i="6"/>
  <c r="L96" i="6"/>
  <c r="L97" i="6"/>
  <c r="M92" i="6"/>
  <c r="M22" i="6"/>
  <c r="M21" i="6"/>
  <c r="M93" i="6"/>
  <c r="M59" i="6"/>
  <c r="B56" i="6"/>
  <c r="M62" i="6"/>
  <c r="M63" i="6"/>
  <c r="M64" i="6"/>
  <c r="M94" i="6"/>
  <c r="M15" i="6"/>
  <c r="M95" i="6"/>
  <c r="L16" i="6"/>
  <c r="M14" i="6"/>
  <c r="M18" i="6"/>
  <c r="M86" i="6"/>
  <c r="M29" i="6"/>
  <c r="M30" i="6"/>
  <c r="M31" i="6"/>
  <c r="M32" i="6"/>
  <c r="B37" i="6"/>
  <c r="C37" i="6"/>
  <c r="M37" i="6"/>
  <c r="M36" i="6"/>
  <c r="M35" i="6"/>
  <c r="M34" i="6"/>
  <c r="M33" i="6"/>
  <c r="M40" i="6"/>
  <c r="M87" i="6"/>
  <c r="M69" i="6"/>
  <c r="M70" i="6"/>
  <c r="M71" i="6"/>
  <c r="M72" i="6"/>
  <c r="B77" i="6"/>
  <c r="C77" i="6"/>
  <c r="M77" i="6"/>
  <c r="M76" i="6"/>
  <c r="M75" i="6"/>
  <c r="M74" i="6"/>
  <c r="M73" i="6"/>
  <c r="M80" i="6"/>
  <c r="M88" i="6"/>
  <c r="M89" i="6"/>
  <c r="M96" i="6"/>
  <c r="M97" i="6"/>
  <c r="N92" i="6"/>
  <c r="N22" i="6"/>
  <c r="N21" i="6"/>
  <c r="N93" i="6"/>
  <c r="N59" i="6"/>
  <c r="B57" i="6"/>
  <c r="N62" i="6"/>
  <c r="N63" i="6"/>
  <c r="N64" i="6"/>
  <c r="N94" i="6"/>
  <c r="N15" i="6"/>
  <c r="N95" i="6"/>
  <c r="M16" i="6"/>
  <c r="N14" i="6"/>
  <c r="N18" i="6"/>
  <c r="N86" i="6"/>
  <c r="N29" i="6"/>
  <c r="N30" i="6"/>
  <c r="N31" i="6"/>
  <c r="N32" i="6"/>
  <c r="B38" i="6"/>
  <c r="C38" i="6"/>
  <c r="N38" i="6"/>
  <c r="N37" i="6"/>
  <c r="N36" i="6"/>
  <c r="N35" i="6"/>
  <c r="N34" i="6"/>
  <c r="N33" i="6"/>
  <c r="N40" i="6"/>
  <c r="N87" i="6"/>
  <c r="N69" i="6"/>
  <c r="N70" i="6"/>
  <c r="N71" i="6"/>
  <c r="N72" i="6"/>
  <c r="B78" i="6"/>
  <c r="C78" i="6"/>
  <c r="N78" i="6"/>
  <c r="N77" i="6"/>
  <c r="N76" i="6"/>
  <c r="N75" i="6"/>
  <c r="N74" i="6"/>
  <c r="N73" i="6"/>
  <c r="N80" i="6"/>
  <c r="N88" i="6"/>
  <c r="N89" i="6"/>
  <c r="N96" i="6"/>
  <c r="N97" i="6"/>
  <c r="N115" i="6"/>
  <c r="M115" i="6"/>
  <c r="L115" i="6"/>
  <c r="K115" i="6"/>
  <c r="J115" i="6"/>
  <c r="I115" i="6"/>
  <c r="H115" i="6"/>
  <c r="G115" i="6"/>
  <c r="F115" i="6"/>
  <c r="E115" i="6"/>
  <c r="N108" i="6"/>
  <c r="M108" i="6"/>
  <c r="L108" i="6"/>
  <c r="K108" i="6"/>
  <c r="J108" i="6"/>
  <c r="I108" i="6"/>
  <c r="H108" i="6"/>
  <c r="G108" i="6"/>
  <c r="F108" i="6"/>
  <c r="E108" i="6"/>
  <c r="I106" i="6"/>
  <c r="H106" i="6"/>
  <c r="G106" i="6"/>
  <c r="F106" i="6"/>
  <c r="D105" i="6"/>
  <c r="P78" i="6"/>
  <c r="Q78" i="6"/>
  <c r="P77" i="6"/>
  <c r="Q77" i="6"/>
  <c r="P76" i="6"/>
  <c r="Q76" i="6"/>
  <c r="P75" i="6"/>
  <c r="Q75" i="6"/>
  <c r="P74" i="6"/>
  <c r="Q74" i="6"/>
  <c r="P73" i="6"/>
  <c r="Q73" i="6"/>
  <c r="P72" i="6"/>
  <c r="Q72" i="6"/>
  <c r="P71" i="6"/>
  <c r="Q71" i="6"/>
  <c r="P70" i="6"/>
  <c r="Q70" i="6"/>
  <c r="P69" i="6"/>
  <c r="Q69" i="6"/>
  <c r="N42" i="6"/>
  <c r="M42" i="6"/>
  <c r="L42" i="6"/>
  <c r="K42" i="6"/>
  <c r="J42" i="6"/>
  <c r="I42" i="6"/>
  <c r="H42" i="6"/>
  <c r="G42" i="6"/>
  <c r="F42" i="6"/>
  <c r="E42" i="6"/>
  <c r="P38" i="6"/>
  <c r="Q38" i="6"/>
  <c r="P37" i="6"/>
  <c r="Q37" i="6"/>
  <c r="P36" i="6"/>
  <c r="Q36" i="6"/>
  <c r="P35" i="6"/>
  <c r="Q35" i="6"/>
  <c r="P34" i="6"/>
  <c r="Q34" i="6"/>
  <c r="P33" i="6"/>
  <c r="Q33" i="6"/>
  <c r="P32" i="6"/>
  <c r="Q32" i="6"/>
  <c r="P31" i="6"/>
  <c r="Q31" i="6"/>
  <c r="P30" i="6"/>
  <c r="Q30" i="6"/>
  <c r="P29" i="6"/>
  <c r="Q29" i="6"/>
  <c r="N16" i="6"/>
  <c r="J32" i="5" a="1"/>
  <c r="A2" i="5" a="1"/>
  <c r="A1" i="5" a="1"/>
  <c r="J7" i="4" a="1"/>
  <c r="A2" i="4" a="1"/>
  <c r="A1" i="4" a="1"/>
  <c r="A2" i="2" a="1"/>
  <c r="A1" i="2" a="1"/>
  <c r="A2" i="1" a="1"/>
  <c r="A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1" authorId="0" shapeId="0" xr:uid="{58580762-0A48-4D03-BC4A-14E71458EB3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Since the case says that this amount was already "spent", it therefore must be included in the Ending Asset Balnce of $2,543 above.</t>
        </r>
      </text>
    </comment>
    <comment ref="C29" authorId="0" shapeId="0" xr:uid="{370C99B0-06C1-4F0F-A3A1-597175806D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Other lookup functions would also work in these cells.</t>
        </r>
      </text>
    </comment>
    <comment ref="C69" authorId="0" shapeId="0" xr:uid="{FD783906-9707-43A4-B02A-B96004128AA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Other lookup functions would also work in these cells.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<sst xmlns="http://schemas.openxmlformats.org/spreadsheetml/2006/main" count="218" uniqueCount="146">
  <si>
    <t>TMP SCHEDULE</t>
  </si>
  <si>
    <t>End of schedule</t>
  </si>
  <si>
    <t>Model technical inputs</t>
  </si>
  <si>
    <t>Company name</t>
  </si>
  <si>
    <t>Galway Inc.</t>
  </si>
  <si>
    <t>CFM topic</t>
  </si>
  <si>
    <t>Capex and Depreciation</t>
  </si>
  <si>
    <t>label</t>
  </si>
  <si>
    <t>PP&amp;E - Buildings</t>
  </si>
  <si>
    <t>Net PP&amp;E - Buildings in 2017</t>
  </si>
  <si>
    <t>USD m</t>
  </si>
  <si>
    <t>years</t>
  </si>
  <si>
    <t>Spent in 2017 - buildings</t>
  </si>
  <si>
    <t>Annual spent on building growth factor</t>
  </si>
  <si>
    <t>%</t>
  </si>
  <si>
    <t>Duration of the building investment plan</t>
  </si>
  <si>
    <t>Estimated useful life - new bldg assets</t>
  </si>
  <si>
    <t>Estimated useful life - existing bldg</t>
  </si>
  <si>
    <t>IT Department</t>
  </si>
  <si>
    <t>Estimated useful life - IT equipment</t>
  </si>
  <si>
    <t>Method of depreciation</t>
  </si>
  <si>
    <t>method</t>
  </si>
  <si>
    <t>DD</t>
  </si>
  <si>
    <t>Annual spent on IT equipment</t>
  </si>
  <si>
    <t>Duration of the IT equipment investment plan</t>
  </si>
  <si>
    <t>Additional expansion plan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</si>
  <si>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</si>
  <si>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</si>
  <si>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</si>
  <si>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</si>
  <si>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</si>
  <si>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</si>
  <si>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</si>
  <si>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</si>
  <si>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</si>
  <si>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</si>
  <si>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ASSUMPTIONS SCHEDULE</t>
  </si>
  <si>
    <t>date</t>
  </si>
  <si>
    <t>straight line</t>
  </si>
  <si>
    <t>Start date of the additional expansion plan</t>
  </si>
  <si>
    <t>Scenario assumptions</t>
  </si>
  <si>
    <t>TIME SCHEDULE</t>
  </si>
  <si>
    <t>Model timeline</t>
  </si>
  <si>
    <t>Model period counter</t>
  </si>
  <si>
    <t>counter</t>
  </si>
  <si>
    <t>MODEL TIMELINE AND COUNTER</t>
  </si>
  <si>
    <t>MODEL FLAGS</t>
  </si>
  <si>
    <t>CALCULATIONS SCHEDULE</t>
  </si>
  <si>
    <t>BUILDINGS</t>
  </si>
  <si>
    <t>Depreciation of existing assets</t>
  </si>
  <si>
    <t>flag</t>
  </si>
  <si>
    <t>Model operating period flag</t>
  </si>
  <si>
    <t>Net PP&amp;E - buildings</t>
  </si>
  <si>
    <t>PP&amp;E initial balance</t>
  </si>
  <si>
    <t>Date of sale of building</t>
  </si>
  <si>
    <t>Carrying value of building sold</t>
  </si>
  <si>
    <t>End of first forecasting year</t>
  </si>
  <si>
    <t>PP&amp;E final balance</t>
  </si>
  <si>
    <t>CFM Sample Exam Questions</t>
  </si>
  <si>
    <t>Fully Depreciated Assets</t>
  </si>
  <si>
    <t>Depreciation on Existing Assets (Buildings)</t>
  </si>
  <si>
    <t>Useful Life</t>
  </si>
  <si>
    <t>Sale of Assets</t>
  </si>
  <si>
    <t>Year of Sale</t>
  </si>
  <si>
    <t xml:space="preserve">Opening </t>
  </si>
  <si>
    <t>Ending</t>
  </si>
  <si>
    <t>Depreciation</t>
  </si>
  <si>
    <t>Depreciation on New Assets (Buildings)</t>
  </si>
  <si>
    <t>Capex</t>
  </si>
  <si>
    <t>Growth</t>
  </si>
  <si>
    <t>Depreciation Rate (% of Book Value)</t>
  </si>
  <si>
    <t>Depreciation Expense</t>
  </si>
  <si>
    <t>Check</t>
  </si>
  <si>
    <t>Total</t>
  </si>
  <si>
    <t>Total Building Depreciation</t>
  </si>
  <si>
    <t>IT Department Assets</t>
  </si>
  <si>
    <t>Start Year of Expansion Project</t>
  </si>
  <si>
    <t>Expansion Project Year</t>
  </si>
  <si>
    <t>Capital Spending</t>
  </si>
  <si>
    <t>Expansion Project</t>
  </si>
  <si>
    <t>Base Plan</t>
  </si>
  <si>
    <t>Total Capital Spending</t>
  </si>
  <si>
    <t>Summary</t>
  </si>
  <si>
    <t>Total Depreciation</t>
  </si>
  <si>
    <t>Exisiting Buildings</t>
  </si>
  <si>
    <t>New Buildings</t>
  </si>
  <si>
    <t>Net PP&amp;E</t>
  </si>
  <si>
    <t>Opening PP&amp;E Balance</t>
  </si>
  <si>
    <t>Building Capital Spending</t>
  </si>
  <si>
    <t>IT Department Capital Spending</t>
  </si>
  <si>
    <t>Total Depreciation Expense</t>
  </si>
  <si>
    <t>Closing PP&amp;E Balance</t>
  </si>
  <si>
    <t>Scenario Analysis</t>
  </si>
  <si>
    <t>Scenario</t>
  </si>
  <si>
    <t>Building Sale Amount</t>
  </si>
  <si>
    <t>IT Spending Delay (years)</t>
  </si>
  <si>
    <t>IT Spending Start Year</t>
  </si>
  <si>
    <t>Base Case</t>
  </si>
  <si>
    <t>1 Year IT Delay</t>
  </si>
  <si>
    <t>3 Year IT Delay</t>
  </si>
  <si>
    <t>5 Year IT Delay</t>
  </si>
  <si>
    <t>Asset Sale</t>
  </si>
  <si>
    <t>Ending Net PP&amp;E</t>
  </si>
  <si>
    <t>Answers</t>
  </si>
  <si>
    <t>(1)</t>
  </si>
  <si>
    <t>(2)</t>
  </si>
  <si>
    <t>Depreciation Expense - 1 yr Delay</t>
  </si>
  <si>
    <t>Depreciation Expense - 3 yr Delay</t>
  </si>
  <si>
    <t>Depreciation Expense - 5 yr Delay</t>
  </si>
  <si>
    <t>(3)</t>
  </si>
  <si>
    <t>Depreciation Expense - with Asset Sale</t>
  </si>
  <si>
    <t>(4)</t>
  </si>
  <si>
    <t>Ending Net PP&amp;E- 1 yr Delay</t>
  </si>
  <si>
    <t>Ending Net PP&amp;E - 3 yr Delay</t>
  </si>
  <si>
    <t>Ending Net PP&amp;E - 5 yr Delay</t>
  </si>
  <si>
    <t>Ending Net PP&amp;E - with Asset Sale</t>
  </si>
  <si>
    <t>Acquisition date</t>
  </si>
  <si>
    <t>Annual spent on new assets</t>
  </si>
  <si>
    <t>IT CAPEX</t>
  </si>
  <si>
    <t>Acqusition cost</t>
  </si>
  <si>
    <t>Remaining value</t>
  </si>
  <si>
    <t>Depreciation of new building assets</t>
  </si>
  <si>
    <t>Net IT assets</t>
  </si>
  <si>
    <t>IT assets initial balance</t>
  </si>
  <si>
    <t>IT capex</t>
  </si>
  <si>
    <t>IT depreciation costs</t>
  </si>
  <si>
    <t>IT expansion plan</t>
  </si>
  <si>
    <t>Sale of building assets</t>
  </si>
  <si>
    <t>IT assets final balance</t>
  </si>
  <si>
    <t xml:space="preserve">Depreciation of IT capex - base </t>
  </si>
  <si>
    <t>Annual base investment plan</t>
  </si>
  <si>
    <t>Depreciation of IT assets - investment plan</t>
  </si>
  <si>
    <t>Forecasted investment plan</t>
  </si>
  <si>
    <t>IT depreciation costs - base</t>
  </si>
  <si>
    <t>Total depreciation costs</t>
  </si>
  <si>
    <t>Depreciation of existing building assets</t>
  </si>
  <si>
    <t>Depreciation of IT assets - base</t>
  </si>
  <si>
    <t>Depreciation of IT assets - investment</t>
  </si>
  <si>
    <t>Depreciation of new buildings</t>
  </si>
  <si>
    <t>Annual spent on new buildings</t>
  </si>
  <si>
    <t>Opening balance PP&amp;E</t>
  </si>
  <si>
    <t>Capital spending - buildings</t>
  </si>
  <si>
    <t>Capital spending - IT</t>
  </si>
  <si>
    <t>Sale of assets</t>
  </si>
  <si>
    <t>Closing balance PP&amp;E</t>
  </si>
  <si>
    <t>Depreciation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</si>
</sst>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##0_);\(#,##0\);&quot;-  &quot;;&quot; &quot;@"/>
    <numFmt numFmtId="165" formatCode="0.00%\ ;\-0.00%\ _);&quot;-  &quot;;&quot; &quot;@&quot; &quot;"/>
    <numFmt numFmtId="166" formatCode="#,##0.0000_);\(#,##0.0000\);&quot;-  &quot;;&quot; &quot;@&quot; &quot;"/>
    <numFmt numFmtId="167" formatCode="dd\ mmm\ yyyy_);\(###0\);&quot;-  &quot;;&quot; &quot;@&quot; &quot;"/>
    <numFmt numFmtId="168" formatCode="dd\ mmm\ yy_);\(###0\);&quot;-  &quot;;&quot; &quot;@&quot; &quot;"/>
    <numFmt numFmtId="169" formatCode="###0_);\(###0\);&quot;-  &quot;;&quot; &quot;@&quot; &quot;"/>
    <numFmt numFmtId="170" formatCode="#,##0.0_);\(#,##0.0\);&quot;-  &quot;;&quot; &quot;@"/>
    <numFmt numFmtId="171" formatCode="#,##0.0_);\(#,##0.0\);&quot;-  &quot;;&quot; &quot;@&quot; &quot;"/>
    <numFmt numFmtId="172" formatCode="0\A"/>
    <numFmt numFmtId="173" formatCode="0&quot; years&quot;"/>
    <numFmt numFmtId="174" formatCode="_-* #,##0.00_-;\-* #,##0.00_-;_-* &quot;-&quot;??_-;_-@_-"/>
    <numFmt numFmtId="175" formatCode="_-* #,##0.0_-;\-* #,##0.0_-;_-* &quot;-&quot;??_-;_-@_-"/>
    <numFmt numFmtId="176" formatCode="_-* #,##0_);* \(#,##0\);_-* &quot;-&quot;??_-;_-@_-"/>
    <numFmt numFmtId="177" formatCode="&quot;Year &quot;0"/>
    <numFmt numFmtId="178" formatCode="_-* #,##0_-;\-* #,##0_-;_-* &quot;-&quot;??_-;_-@_-"/>
    <numFmt numFmtId="179" formatCode="#,##0.00_);\(#,##0.00\);&quot;-  &quot;;&quot; &quot;@&quot; &quot;"/>
  </numFmts>
  <fonts count="2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11"/>
      <color theme="1"/>
      <name val="Aptos Narrow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i/>
      <sz val="10"/>
      <color rgb="FF0000FF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8">
    <xf numFmtId="164" fontId="0" fillId="0" borderId="0" applyFont="0" applyFill="0" applyBorder="0" applyProtection="0">
      <alignment vertical="top"/>
    </xf>
    <xf numFmtId="165" fontId="1" fillId="0" borderId="0" applyFont="0" applyFill="0" applyBorder="0" applyProtection="0">
      <alignment vertical="top"/>
    </xf>
    <xf numFmtId="166" fontId="1" fillId="0" borderId="0" applyFont="0" applyFill="0" applyBorder="0" applyProtection="0">
      <alignment vertical="top"/>
    </xf>
    <xf numFmtId="167" fontId="1" fillId="0" borderId="0" applyFont="0" applyFill="0" applyBorder="0" applyProtection="0">
      <alignment vertical="top"/>
    </xf>
    <xf numFmtId="168" fontId="1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0" fontId="6" fillId="0" borderId="0"/>
    <xf numFmtId="174" fontId="1" fillId="0" borderId="0" applyFont="0" applyFill="0" applyBorder="0" applyAlignment="0" applyProtection="0"/>
  </cellStyleXfs>
  <cellXfs count="109">
    <xf numFmtId="164" fontId="0" fillId="0" borderId="0" xfId="0">
      <alignment vertical="top"/>
    </xf>
    <xf numFmtId="164" fontId="0" fillId="2" borderId="0" xfId="0" applyFill="1">
      <alignment vertical="top"/>
    </xf>
    <xf numFmtId="164" fontId="3" fillId="2" borderId="0" xfId="0" applyFont="1" applyFill="1">
      <alignment vertical="top"/>
    </xf>
    <xf numFmtId="164" fontId="2" fillId="3" borderId="0" xfId="0" applyFont="1" applyFill="1">
      <alignment vertical="top"/>
    </xf>
    <xf numFmtId="164" fontId="0" fillId="4" borderId="1" xfId="0" applyFill="1" applyBorder="1">
      <alignment vertical="top"/>
    </xf>
    <xf numFmtId="164" fontId="0" fillId="4" borderId="2" xfId="0" applyFill="1" applyBorder="1">
      <alignment vertical="top"/>
    </xf>
    <xf numFmtId="164" fontId="0" fillId="4" borderId="2" xfId="0" applyFont="1" applyFill="1" applyBorder="1">
      <alignment vertical="top"/>
    </xf>
    <xf numFmtId="170" fontId="0" fillId="4" borderId="1" xfId="0" applyNumberFormat="1" applyFill="1" applyBorder="1">
      <alignment vertical="top"/>
    </xf>
    <xf numFmtId="165" fontId="0" fillId="4" borderId="3" xfId="1" applyFont="1" applyFill="1" applyBorder="1">
      <alignment vertical="top"/>
    </xf>
    <xf numFmtId="164" fontId="0" fillId="0" borderId="3" xfId="0" applyFill="1" applyBorder="1">
      <alignment vertical="top"/>
    </xf>
    <xf numFmtId="164" fontId="3" fillId="0" borderId="0" xfId="0" applyFont="1">
      <alignment vertical="top"/>
    </xf>
    <xf numFmtId="167" fontId="0" fillId="4" borderId="1" xfId="3" applyFont="1" applyFill="1" applyBorder="1">
      <alignment vertical="top"/>
    </xf>
    <xf numFmtId="164" fontId="0" fillId="0" borderId="0" xfId="0" applyFill="1" applyBorder="1">
      <alignment vertical="top"/>
    </xf>
    <xf numFmtId="167" fontId="0" fillId="0" borderId="0" xfId="3" applyFont="1">
      <alignment vertical="top"/>
    </xf>
    <xf numFmtId="168" fontId="2" fillId="3" borderId="0" xfId="4" applyFont="1" applyFill="1">
      <alignment vertical="top"/>
    </xf>
    <xf numFmtId="164" fontId="0" fillId="5" borderId="0" xfId="0" applyFill="1">
      <alignment vertical="top"/>
    </xf>
    <xf numFmtId="164" fontId="0" fillId="0" borderId="0" xfId="0" applyFont="1">
      <alignment vertical="top"/>
    </xf>
    <xf numFmtId="167" fontId="0" fillId="4" borderId="2" xfId="3" applyFont="1" applyFill="1" applyBorder="1">
      <alignment vertical="top"/>
    </xf>
    <xf numFmtId="171" fontId="0" fillId="0" borderId="0" xfId="2" applyNumberFormat="1" applyFont="1">
      <alignment vertical="top"/>
    </xf>
    <xf numFmtId="0" fontId="7" fillId="0" borderId="0" xfId="6" applyFont="1"/>
    <xf numFmtId="0" fontId="8" fillId="0" borderId="0" xfId="6" applyFont="1"/>
    <xf numFmtId="0" fontId="9" fillId="0" borderId="0" xfId="6" applyFont="1"/>
    <xf numFmtId="0" fontId="8" fillId="0" borderId="4" xfId="6" applyFont="1" applyBorder="1"/>
    <xf numFmtId="0" fontId="8" fillId="0" borderId="5" xfId="6" applyFont="1" applyBorder="1"/>
    <xf numFmtId="0" fontId="1" fillId="0" borderId="0" xfId="6" applyFont="1"/>
    <xf numFmtId="172" fontId="10" fillId="0" borderId="0" xfId="6" applyNumberFormat="1" applyFont="1"/>
    <xf numFmtId="0" fontId="10" fillId="0" borderId="0" xfId="6" applyFont="1"/>
    <xf numFmtId="0" fontId="3" fillId="0" borderId="4" xfId="6" applyFont="1" applyBorder="1"/>
    <xf numFmtId="0" fontId="1" fillId="0" borderId="4" xfId="6" applyFont="1" applyBorder="1"/>
    <xf numFmtId="173" fontId="11" fillId="0" borderId="0" xfId="6" applyNumberFormat="1" applyFont="1"/>
    <xf numFmtId="175" fontId="12" fillId="0" borderId="0" xfId="7" applyNumberFormat="1" applyFont="1" applyFill="1"/>
    <xf numFmtId="0" fontId="11" fillId="0" borderId="0" xfId="6" applyFont="1"/>
    <xf numFmtId="175" fontId="11" fillId="0" borderId="0" xfId="7" applyNumberFormat="1" applyFont="1"/>
    <xf numFmtId="175" fontId="1" fillId="0" borderId="0" xfId="6" applyNumberFormat="1" applyFont="1"/>
    <xf numFmtId="176" fontId="1" fillId="0" borderId="0" xfId="6" applyNumberFormat="1" applyFont="1"/>
    <xf numFmtId="175" fontId="11" fillId="0" borderId="5" xfId="7" applyNumberFormat="1" applyFont="1" applyBorder="1"/>
    <xf numFmtId="175" fontId="1" fillId="0" borderId="5" xfId="6" applyNumberFormat="1" applyFont="1" applyBorder="1"/>
    <xf numFmtId="0" fontId="3" fillId="0" borderId="0" xfId="6" applyFont="1"/>
    <xf numFmtId="175" fontId="3" fillId="0" borderId="6" xfId="7" applyNumberFormat="1" applyFont="1" applyBorder="1"/>
    <xf numFmtId="175" fontId="3" fillId="0" borderId="0" xfId="7" applyNumberFormat="1" applyFont="1" applyBorder="1"/>
    <xf numFmtId="0" fontId="3" fillId="0" borderId="4" xfId="6" applyFont="1" applyBorder="1" applyAlignment="1">
      <alignment vertical="center"/>
    </xf>
    <xf numFmtId="0" fontId="1" fillId="0" borderId="4" xfId="6" applyFont="1" applyBorder="1" applyAlignment="1">
      <alignment vertical="center"/>
    </xf>
    <xf numFmtId="0" fontId="1" fillId="0" borderId="0" xfId="6" applyFont="1" applyAlignment="1">
      <alignment vertical="center"/>
    </xf>
    <xf numFmtId="175" fontId="11" fillId="0" borderId="0" xfId="7" applyNumberFormat="1" applyFont="1" applyAlignment="1">
      <alignment vertical="center"/>
    </xf>
    <xf numFmtId="175" fontId="1" fillId="0" borderId="0" xfId="7" applyNumberFormat="1" applyFont="1" applyAlignment="1">
      <alignment vertical="center"/>
    </xf>
    <xf numFmtId="0" fontId="1" fillId="0" borderId="0" xfId="6" applyFont="1" applyAlignment="1">
      <alignment horizontal="left" vertical="center"/>
    </xf>
    <xf numFmtId="10" fontId="13" fillId="0" borderId="0" xfId="6" applyNumberFormat="1" applyFont="1" applyAlignment="1">
      <alignment vertical="center"/>
    </xf>
    <xf numFmtId="10" fontId="14" fillId="0" borderId="0" xfId="6" applyNumberFormat="1" applyFont="1" applyAlignment="1">
      <alignment vertical="center"/>
    </xf>
    <xf numFmtId="173" fontId="11" fillId="0" borderId="0" xfId="6" applyNumberFormat="1" applyFont="1" applyAlignment="1">
      <alignment vertical="center"/>
    </xf>
    <xf numFmtId="9" fontId="11" fillId="0" borderId="0" xfId="6" applyNumberFormat="1" applyFont="1" applyAlignment="1">
      <alignment vertical="center"/>
    </xf>
    <xf numFmtId="0" fontId="15" fillId="0" borderId="4" xfId="6" applyFont="1" applyBorder="1" applyAlignment="1">
      <alignment horizontal="centerContinuous" vertical="center"/>
    </xf>
    <xf numFmtId="0" fontId="1" fillId="0" borderId="0" xfId="6" applyFont="1" applyAlignment="1">
      <alignment horizontal="center" vertical="center"/>
    </xf>
    <xf numFmtId="175" fontId="16" fillId="0" borderId="0" xfId="6" applyNumberFormat="1" applyFont="1" applyAlignment="1">
      <alignment vertical="center"/>
    </xf>
    <xf numFmtId="174" fontId="1" fillId="0" borderId="0" xfId="6" applyNumberFormat="1" applyFont="1" applyAlignment="1">
      <alignment vertical="center"/>
    </xf>
    <xf numFmtId="175" fontId="1" fillId="0" borderId="5" xfId="6" applyNumberFormat="1" applyFont="1" applyBorder="1" applyAlignment="1">
      <alignment vertical="center"/>
    </xf>
    <xf numFmtId="0" fontId="3" fillId="0" borderId="0" xfId="6" applyFont="1" applyAlignment="1">
      <alignment vertical="center"/>
    </xf>
    <xf numFmtId="175" fontId="3" fillId="0" borderId="7" xfId="6" applyNumberFormat="1" applyFont="1" applyBorder="1" applyAlignment="1">
      <alignment vertical="center"/>
    </xf>
    <xf numFmtId="0" fontId="3" fillId="0" borderId="8" xfId="6" applyFont="1" applyBorder="1" applyAlignment="1">
      <alignment vertical="center"/>
    </xf>
    <xf numFmtId="0" fontId="17" fillId="0" borderId="9" xfId="6" applyFont="1" applyBorder="1" applyAlignment="1">
      <alignment vertical="center"/>
    </xf>
    <xf numFmtId="177" fontId="1" fillId="0" borderId="10" xfId="6" applyNumberFormat="1" applyFont="1" applyBorder="1" applyAlignment="1">
      <alignment horizontal="left" indent="1"/>
    </xf>
    <xf numFmtId="175" fontId="11" fillId="0" borderId="11" xfId="7" applyNumberFormat="1" applyFont="1" applyBorder="1"/>
    <xf numFmtId="177" fontId="1" fillId="0" borderId="12" xfId="6" applyNumberFormat="1" applyFont="1" applyBorder="1" applyAlignment="1">
      <alignment horizontal="left" indent="1"/>
    </xf>
    <xf numFmtId="175" fontId="11" fillId="0" borderId="13" xfId="7" applyNumberFormat="1" applyFont="1" applyBorder="1"/>
    <xf numFmtId="177" fontId="1" fillId="0" borderId="14" xfId="6" applyNumberFormat="1" applyFont="1" applyBorder="1" applyAlignment="1">
      <alignment horizontal="left" indent="1"/>
    </xf>
    <xf numFmtId="175" fontId="11" fillId="0" borderId="15" xfId="7" applyNumberFormat="1" applyFont="1" applyBorder="1"/>
    <xf numFmtId="0" fontId="3" fillId="0" borderId="6" xfId="6" applyFont="1" applyBorder="1" applyAlignment="1">
      <alignment horizontal="center" vertical="center"/>
    </xf>
    <xf numFmtId="175" fontId="1" fillId="0" borderId="0" xfId="6" applyNumberFormat="1" applyFont="1" applyAlignment="1">
      <alignment vertical="center"/>
    </xf>
    <xf numFmtId="175" fontId="3" fillId="0" borderId="5" xfId="6" applyNumberFormat="1" applyFont="1" applyBorder="1" applyAlignment="1">
      <alignment vertical="center"/>
    </xf>
    <xf numFmtId="175" fontId="3" fillId="0" borderId="6" xfId="6" applyNumberFormat="1" applyFont="1" applyBorder="1" applyAlignment="1">
      <alignment vertical="center"/>
    </xf>
    <xf numFmtId="0" fontId="1" fillId="0" borderId="0" xfId="6" applyFont="1" applyAlignment="1">
      <alignment horizontal="left" indent="1"/>
    </xf>
    <xf numFmtId="0" fontId="3" fillId="0" borderId="0" xfId="6" applyFont="1" applyAlignment="1">
      <alignment horizontal="left" indent="1"/>
    </xf>
    <xf numFmtId="175" fontId="3" fillId="0" borderId="5" xfId="6" applyNumberFormat="1" applyFont="1" applyBorder="1"/>
    <xf numFmtId="178" fontId="3" fillId="0" borderId="5" xfId="6" applyNumberFormat="1" applyFont="1" applyBorder="1"/>
    <xf numFmtId="0" fontId="11" fillId="0" borderId="16" xfId="6" applyFont="1" applyBorder="1" applyAlignment="1">
      <alignment horizontal="center"/>
    </xf>
    <xf numFmtId="0" fontId="1" fillId="0" borderId="0" xfId="6" applyFont="1" applyAlignment="1">
      <alignment horizontal="center"/>
    </xf>
    <xf numFmtId="0" fontId="12" fillId="0" borderId="0" xfId="6" applyFont="1" applyAlignment="1">
      <alignment horizontal="center"/>
    </xf>
    <xf numFmtId="0" fontId="11" fillId="0" borderId="0" xfId="6" applyFont="1" applyAlignment="1">
      <alignment horizontal="center"/>
    </xf>
    <xf numFmtId="175" fontId="1" fillId="0" borderId="0" xfId="6" applyNumberFormat="1" applyFont="1" applyAlignment="1">
      <alignment horizontal="center"/>
    </xf>
    <xf numFmtId="175" fontId="1" fillId="0" borderId="10" xfId="6" applyNumberFormat="1" applyFont="1" applyBorder="1" applyAlignment="1">
      <alignment horizontal="center"/>
    </xf>
    <xf numFmtId="175" fontId="1" fillId="0" borderId="5" xfId="6" applyNumberFormat="1" applyFont="1" applyBorder="1" applyAlignment="1">
      <alignment horizontal="center"/>
    </xf>
    <xf numFmtId="175" fontId="1" fillId="0" borderId="12" xfId="6" applyNumberFormat="1" applyFont="1" applyBorder="1" applyAlignment="1">
      <alignment horizontal="center"/>
    </xf>
    <xf numFmtId="0" fontId="8" fillId="0" borderId="0" xfId="6" quotePrefix="1" applyFont="1"/>
    <xf numFmtId="170" fontId="0" fillId="0" borderId="0" xfId="0" applyNumberFormat="1" applyFill="1" applyBorder="1">
      <alignment vertical="top"/>
    </xf>
    <xf numFmtId="170" fontId="0" fillId="0" borderId="0" xfId="0" applyNumberFormat="1">
      <alignment vertical="top"/>
    </xf>
    <xf numFmtId="168" fontId="0" fillId="0" borderId="0" xfId="4" applyFont="1">
      <alignment vertical="top"/>
    </xf>
    <xf numFmtId="164" fontId="0" fillId="5" borderId="0" xfId="0" applyFont="1" applyFill="1">
      <alignment vertical="top"/>
    </xf>
    <xf numFmtId="164" fontId="0" fillId="2" borderId="0" xfId="0" applyFont="1" applyFill="1">
      <alignment vertical="top"/>
    </xf>
    <xf numFmtId="167" fontId="0" fillId="0" borderId="0" xfId="3" applyFont="1" applyBorder="1">
      <alignment vertical="top"/>
    </xf>
    <xf numFmtId="171" fontId="0" fillId="0" borderId="0" xfId="2" applyNumberFormat="1" applyFont="1" applyBorder="1">
      <alignment vertical="top"/>
    </xf>
    <xf numFmtId="167" fontId="0" fillId="0" borderId="17" xfId="3" applyFont="1" applyBorder="1">
      <alignment vertical="top"/>
    </xf>
    <xf numFmtId="171" fontId="0" fillId="0" borderId="17" xfId="2" applyNumberFormat="1" applyFont="1" applyBorder="1">
      <alignment vertical="top"/>
    </xf>
    <xf numFmtId="167" fontId="0" fillId="0" borderId="18" xfId="3" applyFont="1" applyBorder="1">
      <alignment vertical="top"/>
    </xf>
    <xf numFmtId="171" fontId="0" fillId="0" borderId="18" xfId="2" applyNumberFormat="1" applyFont="1" applyBorder="1">
      <alignment vertical="top"/>
    </xf>
    <xf numFmtId="164" fontId="0" fillId="0" borderId="0" xfId="0" applyBorder="1">
      <alignment vertical="top"/>
    </xf>
    <xf numFmtId="164" fontId="5" fillId="0" borderId="0" xfId="0" applyFont="1" applyBorder="1">
      <alignment vertical="top"/>
    </xf>
    <xf numFmtId="164" fontId="0" fillId="0" borderId="17" xfId="0" applyBorder="1">
      <alignment vertical="top"/>
    </xf>
    <xf numFmtId="164" fontId="5" fillId="0" borderId="17" xfId="0" applyFont="1" applyBorder="1">
      <alignment vertical="top"/>
    </xf>
    <xf numFmtId="164" fontId="0" fillId="5" borderId="17" xfId="0" applyFill="1" applyBorder="1">
      <alignment vertical="top"/>
    </xf>
    <xf numFmtId="164" fontId="0" fillId="0" borderId="18" xfId="0" applyBorder="1">
      <alignment vertical="top"/>
    </xf>
    <xf numFmtId="164" fontId="0" fillId="5" borderId="18" xfId="0" applyFill="1" applyBorder="1">
      <alignment vertical="top"/>
    </xf>
    <xf numFmtId="179" fontId="0" fillId="0" borderId="0" xfId="2" applyNumberFormat="1" applyFont="1">
      <alignment vertical="top"/>
    </xf>
    <xf numFmtId="179" fontId="0" fillId="0" borderId="0" xfId="2" applyNumberFormat="1" applyFont="1" applyBorder="1">
      <alignment vertical="top"/>
    </xf>
    <xf numFmtId="179" fontId="0" fillId="5" borderId="17" xfId="2" applyNumberFormat="1" applyFont="1" applyFill="1" applyBorder="1">
      <alignment vertical="top"/>
    </xf>
    <xf numFmtId="179" fontId="0" fillId="0" borderId="17" xfId="2" applyNumberFormat="1" applyFont="1" applyBorder="1">
      <alignment vertical="top"/>
    </xf>
    <xf numFmtId="179" fontId="0" fillId="5" borderId="18" xfId="2" applyNumberFormat="1" applyFont="1" applyFill="1" applyBorder="1">
      <alignment vertical="top"/>
    </xf>
    <xf numFmtId="179" fontId="0" fillId="0" borderId="18" xfId="2" applyNumberFormat="1" applyFont="1" applyBorder="1">
      <alignment vertical="top"/>
    </xf>
    <xf numFmtId="167" fontId="0" fillId="5" borderId="17" xfId="3" applyFont="1" applyFill="1" applyBorder="1">
      <alignment vertical="top"/>
    </xf>
    <xf numFmtId="179" fontId="0" fillId="0" borderId="0" xfId="2" applyNumberFormat="1" applyFont="1" applyFill="1" applyBorder="1">
      <alignment vertical="top"/>
    </xf>
    <xf numFmtId="164" fontId="0" fillId="0" borderId="19" xfId="0" applyBorder="1">
      <alignment vertical="top"/>
    </xf>
  </cellXfs>
  <cellStyles count="8">
    <cellStyle name="Comma 2" xfId="7" xr:uid="{3F9C8EC6-736E-4C1D-A1EC-78B93FB4C495}"/>
    <cellStyle name="DateLong" xfId="3" xr:uid="{D136DCEC-89E3-4D35-99BE-B7FA33FCCC3D}"/>
    <cellStyle name="DateShort" xfId="4" xr:uid="{DE5EBFCD-5E3B-4590-A7A1-EFF3C7F3A9A1}"/>
    <cellStyle name="Factor" xfId="2" xr:uid="{1C0543E9-960E-42FD-8581-FCFDF6C311F5}"/>
    <cellStyle name="Normal" xfId="0" builtinId="0" customBuiltin="1"/>
    <cellStyle name="Normal 2" xfId="6" xr:uid="{F58A07C9-CDD6-4416-A8F2-24594BA88EFB}"/>
    <cellStyle name="Percent" xfId="1" builtinId="5" customBuiltin="1"/>
    <cellStyle name="Year" xfId="5" xr:uid="{EA90AA4B-0DBD-46DB-9035-4866E349F4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84F958-BFB1-46DE-B5EE-CB98E56593C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9ba2a5b-644a-478a-ad25-82bc5fa7daf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2D26-F581-45DD-BFF0-78D44594798B}">
  <sheetPr>
    <pageSetUpPr autoPageBreaks="0" fitToPage="1"/>
  </sheetPr>
  <dimension ref="A1:S99"/>
  <sheetViews>
    <sheetView tabSelected="1" zoomScale="85" zoomScaleNormal="85" workbookViewId="0">
      <pane xSplit="9" ySplit="3" topLeftCell="J70" activePane="bottomRight" state="frozen"/>
      <selection pane="topRight" activeCell="J1" sqref="J1"/>
      <selection pane="bottomLeft" activeCell="A4" sqref="A4"/>
      <selection pane="bottomRight" activeCell="J80" sqref="J80"/>
    </sheetView>
  </sheetViews>
  <sheetFormatPr defaultRowHeight="13.2" x14ac:dyDescent="0.25"/>
  <cols>
    <col min="1" max="4" width="1.88671875" customWidth="1"/>
    <col min="5" max="5" width="30.88671875" customWidth="1"/>
    <col min="6" max="6" width="15.88671875" customWidth="1"/>
    <col min="7" max="8" width="12.88671875" customWidth="1"/>
    <col min="9" max="9" width="1.88671875" customWidth="1"/>
    <col min="10" max="19" width="12.88671875" customWidth="1"/>
  </cols>
  <sheetData>
    <row r="1" spans="1:19" s="3" customFormat="1" x14ac:dyDescent="0.25">
      <c r="A1" s="3" t="str" cm="1">
        <f t="array" ref="A1">company</f>
        <v>Galway Inc.</v>
      </c>
    </row>
    <row r="2" spans="1:19" s="3" customFormat="1" x14ac:dyDescent="0.25">
      <c r="A2" s="3" t="str" cm="1">
        <f t="array" ref="A2">topic</f>
        <v>CFM topic: Capex and Depreciation</v>
      </c>
    </row>
    <row r="3" spans="1:19" s="3" customFormat="1" x14ac:dyDescent="0.25">
      <c r="A3" s="3" t="s">
        <v>47</v>
      </c>
      <c r="J3" s="14" cm="1">
        <f t="array" ref="J3:S3">EOMONTH( start_date, _xlfn.SEQUENCE( 1, MAX( periods_bldg, periods_it ), 0, 12 ) )</f>
        <v>43465</v>
      </c>
      <c r="K3" s="14">
        <v>43830</v>
      </c>
      <c r="L3" s="14">
        <v>44196</v>
      </c>
      <c r="M3" s="14">
        <v>44561</v>
      </c>
      <c r="N3" s="14">
        <v>44926</v>
      </c>
      <c r="O3" s="14">
        <v>45291</v>
      </c>
      <c r="P3" s="14">
        <v>45657</v>
      </c>
      <c r="Q3" s="14">
        <v>46022</v>
      </c>
      <c r="R3" s="14">
        <v>46387</v>
      </c>
      <c r="S3" s="14">
        <v>46752</v>
      </c>
    </row>
    <row r="5" spans="1:19" s="1" customFormat="1" x14ac:dyDescent="0.25">
      <c r="A5" s="2" t="s">
        <v>48</v>
      </c>
    </row>
    <row r="7" spans="1:19" x14ac:dyDescent="0.25">
      <c r="B7" s="10" t="s">
        <v>49</v>
      </c>
    </row>
    <row r="8" spans="1:19" x14ac:dyDescent="0.25">
      <c r="B8" s="10"/>
    </row>
    <row r="9" spans="1:19" x14ac:dyDescent="0.25">
      <c r="E9" t="s">
        <v>135</v>
      </c>
      <c r="G9" t="s">
        <v>10</v>
      </c>
      <c r="J9" s="15" cm="1">
        <f t="array" ref="J9:S9">_xlfn.LET(
     _xlpm.model_operating_flag,_xlfn.ANCHORARRAY( Time!J9),
     _xlpm.PPE, Assumptions!$F$13,
     _xlpm.useful_life, Assumptions!$F$14,
     _xlpm.depreciation, _xlpm.PPE / _xlpm.useful_life,
     _xlpm.model_operating_flag * _xlpm.depreciation )</f>
        <v>101.72</v>
      </c>
      <c r="K9">
        <v>101.72</v>
      </c>
      <c r="L9">
        <v>101.72</v>
      </c>
      <c r="M9">
        <v>101.72</v>
      </c>
      <c r="N9">
        <v>101.72</v>
      </c>
      <c r="O9">
        <v>101.72</v>
      </c>
      <c r="P9">
        <v>101.72</v>
      </c>
      <c r="Q9">
        <v>101.72</v>
      </c>
      <c r="R9">
        <v>101.72</v>
      </c>
      <c r="S9">
        <v>101.72</v>
      </c>
    </row>
    <row r="11" spans="1:19" x14ac:dyDescent="0.25">
      <c r="B11" s="10" t="s">
        <v>121</v>
      </c>
    </row>
    <row r="12" spans="1:19" x14ac:dyDescent="0.25">
      <c r="B12" s="10"/>
    </row>
    <row r="13" spans="1:19" x14ac:dyDescent="0.25">
      <c r="E13" t="s">
        <v>117</v>
      </c>
      <c r="G13" t="s">
        <v>10</v>
      </c>
      <c r="J13" s="18" cm="1">
        <f t="array" ref="J13:S13" xml:space="preserve"> _xlfn.LET(
      _xlpm.initial_spent, Assumptions!$F$16,
      _xlpm.annual_growth, Assumptions!$F$17,
      _xlpm.period,_xlfn.ANCHORARRAY( Time!J8),
      _xlpm.initial_spent * ( 1 + _xlpm.annual_growth ) ^ _xlpm.period )</f>
        <v>132.76249999999999</v>
      </c>
      <c r="K13" s="18">
        <v>142.71968749999999</v>
      </c>
      <c r="L13" s="18">
        <v>153.42366406249999</v>
      </c>
      <c r="M13" s="18">
        <v>164.93043886718749</v>
      </c>
      <c r="N13" s="18">
        <v>177.30022178222654</v>
      </c>
      <c r="O13" s="18">
        <v>190.5977384158935</v>
      </c>
      <c r="P13" s="18">
        <v>204.89256879708554</v>
      </c>
      <c r="Q13" s="18">
        <v>220.25951145686693</v>
      </c>
      <c r="R13" s="18">
        <v>236.77897481613198</v>
      </c>
      <c r="S13" s="18">
        <v>254.53739792734183</v>
      </c>
    </row>
    <row r="15" spans="1:19" x14ac:dyDescent="0.25">
      <c r="E15" t="s">
        <v>121</v>
      </c>
      <c r="F15" t="s">
        <v>116</v>
      </c>
      <c r="G15" t="s">
        <v>119</v>
      </c>
      <c r="H15" s="18" t="s">
        <v>120</v>
      </c>
      <c r="J15" s="84" cm="1">
        <f t="array" ref="J15:S15">_xlfn.ANCHORARRAY(J3)</f>
        <v>43465</v>
      </c>
      <c r="K15" s="84">
        <v>43830</v>
      </c>
      <c r="L15" s="84">
        <v>44196</v>
      </c>
      <c r="M15" s="84">
        <v>44561</v>
      </c>
      <c r="N15" s="84">
        <v>44926</v>
      </c>
      <c r="O15" s="84">
        <v>45291</v>
      </c>
      <c r="P15" s="84">
        <v>45657</v>
      </c>
      <c r="Q15" s="84">
        <v>46022</v>
      </c>
      <c r="R15" s="84">
        <v>46387</v>
      </c>
      <c r="S15" s="84">
        <v>46752</v>
      </c>
    </row>
    <row r="16" spans="1:19" x14ac:dyDescent="0.25">
      <c r="F16" s="89" cm="1">
        <f t="array" ref="F16:F25">TRANSPOSE(_xlfn.ANCHORARRAY( J3) )</f>
        <v>43465</v>
      </c>
      <c r="G16" s="90" cm="1">
        <f t="array" ref="G16:G25">TRANSPOSE(_xlfn.ANCHORARRAY( J13) )</f>
        <v>132.76249999999999</v>
      </c>
      <c r="H16" s="90" cm="1">
        <f t="array" ref="H16:H25">_xlfn.ANCHORARRAY(G16) - _xlfn.BYROW(_xlfn.ANCHORARRAY(J16), _xleta.SUM )</f>
        <v>0</v>
      </c>
      <c r="J16" s="85" cm="1">
        <f t="array" ref="J16:S25" xml:space="preserve"> _xlfn.LET(
      _xlpm.acquisition_cost,_xlfn.ANCHORARRAY(          $G$16),
      _xlpm.acquisition_date,_xlfn.ANCHORARRAY(          $F$16),
      _xlpm.current_date,_xlfn.ANCHORARRAY(              J15),
      _xlpm.useful_life,               Assumptions!$F$19,
      _xlpm.period,                    YEAR( _xlpm.current_date ) - YEAR( _xlpm.acquisition_date ),
      _xlpm.rate,                      1 / _xlpm.useful_life * 2,
      _xlpm.book_value,                _xlpm.acquisition_cost * ( 1 - _xlpm.rate / 2 ) * ( 1 - _xlpm.rate ) ^ ( _xlpm.period - 1 ),
      IF( _xlpm.period &lt; 0, 0,
          IF( _xlpm.period = 0, _xlpm.acquisition_cost * _xlpm.rate / 2,
              IF( _xlpm.period &lt; _xlpm.useful_life, _xlpm.book_value * _xlpm.rate,
                  IF( _xlpm.period = _xlpm.useful_life, _xlpm.book_value, 0 ) ) ) ) )</f>
        <v>18.966071428571425</v>
      </c>
      <c r="K16">
        <v>32.513265306122442</v>
      </c>
      <c r="L16">
        <v>23.223760932944604</v>
      </c>
      <c r="M16">
        <v>16.588400666389003</v>
      </c>
      <c r="N16">
        <v>11.848857618849289</v>
      </c>
      <c r="O16">
        <v>8.4634697277494908</v>
      </c>
      <c r="P16">
        <v>6.0453355198210659</v>
      </c>
      <c r="Q16">
        <v>15.113338799552665</v>
      </c>
      <c r="R16">
        <v>0</v>
      </c>
      <c r="S16">
        <v>0</v>
      </c>
    </row>
    <row r="17" spans="2:19" x14ac:dyDescent="0.25">
      <c r="F17" s="87">
        <v>43830</v>
      </c>
      <c r="G17" s="88">
        <v>142.71968749999999</v>
      </c>
      <c r="H17" s="88">
        <v>0</v>
      </c>
      <c r="J17">
        <v>0</v>
      </c>
      <c r="K17">
        <v>20.388526785714284</v>
      </c>
      <c r="L17">
        <v>34.95176020408163</v>
      </c>
      <c r="M17">
        <v>24.965543002915449</v>
      </c>
      <c r="N17">
        <v>17.832530716368179</v>
      </c>
      <c r="O17">
        <v>12.737521940262987</v>
      </c>
      <c r="P17">
        <v>9.0982299573307035</v>
      </c>
      <c r="Q17">
        <v>6.498735683807646</v>
      </c>
      <c r="R17">
        <v>16.246839209519116</v>
      </c>
      <c r="S17">
        <v>0</v>
      </c>
    </row>
    <row r="18" spans="2:19" x14ac:dyDescent="0.25">
      <c r="F18" s="87">
        <v>44196</v>
      </c>
      <c r="G18" s="88">
        <v>153.42366406249999</v>
      </c>
      <c r="H18" s="88">
        <v>0</v>
      </c>
      <c r="J18">
        <v>0</v>
      </c>
      <c r="K18">
        <v>0</v>
      </c>
      <c r="L18">
        <v>21.917666294642856</v>
      </c>
      <c r="M18">
        <v>37.573142219387755</v>
      </c>
      <c r="N18">
        <v>26.837958728134112</v>
      </c>
      <c r="O18">
        <v>19.169970520095791</v>
      </c>
      <c r="P18">
        <v>13.692836085782709</v>
      </c>
      <c r="Q18">
        <v>9.7805972041305065</v>
      </c>
      <c r="R18">
        <v>6.9861408600932187</v>
      </c>
      <c r="S18">
        <v>17.465352150233048</v>
      </c>
    </row>
    <row r="19" spans="2:19" x14ac:dyDescent="0.25">
      <c r="F19" s="87">
        <v>44561</v>
      </c>
      <c r="G19" s="88">
        <v>164.93043886718749</v>
      </c>
      <c r="H19" s="88">
        <v>18.775253561500506</v>
      </c>
      <c r="J19">
        <v>0</v>
      </c>
      <c r="K19">
        <v>0</v>
      </c>
      <c r="L19">
        <v>0</v>
      </c>
      <c r="M19">
        <v>23.561491266741069</v>
      </c>
      <c r="N19">
        <v>40.391127885841833</v>
      </c>
      <c r="O19">
        <v>28.850805632744169</v>
      </c>
      <c r="P19">
        <v>20.607718309102978</v>
      </c>
      <c r="Q19">
        <v>14.719798792216414</v>
      </c>
      <c r="R19">
        <v>10.514141994440296</v>
      </c>
      <c r="S19">
        <v>7.5101014246002107</v>
      </c>
    </row>
    <row r="20" spans="2:19" x14ac:dyDescent="0.25">
      <c r="F20" s="87">
        <v>44926</v>
      </c>
      <c r="G20" s="88">
        <v>177.30022178222654</v>
      </c>
      <c r="H20" s="88">
        <v>28.256756610058289</v>
      </c>
      <c r="J20">
        <v>0</v>
      </c>
      <c r="K20">
        <v>0</v>
      </c>
      <c r="L20">
        <v>0</v>
      </c>
      <c r="M20">
        <v>0</v>
      </c>
      <c r="N20">
        <v>25.328603111746649</v>
      </c>
      <c r="O20">
        <v>43.420462477279969</v>
      </c>
      <c r="P20">
        <v>31.01461605519998</v>
      </c>
      <c r="Q20">
        <v>22.153297182285698</v>
      </c>
      <c r="R20">
        <v>15.823783701632642</v>
      </c>
      <c r="S20">
        <v>11.302702644023316</v>
      </c>
    </row>
    <row r="21" spans="2:19" x14ac:dyDescent="0.25">
      <c r="F21" s="87">
        <v>45291</v>
      </c>
      <c r="G21" s="88">
        <v>190.5977384158935</v>
      </c>
      <c r="H21" s="88">
        <v>42.526418698137718</v>
      </c>
      <c r="J21">
        <v>0</v>
      </c>
      <c r="K21">
        <v>0</v>
      </c>
      <c r="L21">
        <v>0</v>
      </c>
      <c r="M21">
        <v>0</v>
      </c>
      <c r="N21">
        <v>0</v>
      </c>
      <c r="O21">
        <v>27.228248345127643</v>
      </c>
      <c r="P21">
        <v>46.67699716307596</v>
      </c>
      <c r="Q21">
        <v>33.340712259339973</v>
      </c>
      <c r="R21">
        <v>23.814794470957121</v>
      </c>
      <c r="S21">
        <v>17.010567479255087</v>
      </c>
    </row>
    <row r="22" spans="2:19" x14ac:dyDescent="0.25">
      <c r="F22" s="87">
        <v>45657</v>
      </c>
      <c r="G22" s="88">
        <v>204.89256879708554</v>
      </c>
      <c r="H22" s="88">
        <v>64.002260140697274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29.270366971012219</v>
      </c>
      <c r="Q22">
        <v>50.177771950306663</v>
      </c>
      <c r="R22">
        <v>35.841265678790478</v>
      </c>
      <c r="S22">
        <v>25.60090405627891</v>
      </c>
    </row>
    <row r="23" spans="2:19" x14ac:dyDescent="0.25">
      <c r="F23" s="87">
        <v>46022</v>
      </c>
      <c r="G23" s="88">
        <v>220.25951145686693</v>
      </c>
      <c r="H23" s="88">
        <v>96.323401511749381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31.465644493838131</v>
      </c>
      <c r="R23">
        <v>53.941104846579663</v>
      </c>
      <c r="S23">
        <v>38.529360604699754</v>
      </c>
    </row>
    <row r="24" spans="2:19" x14ac:dyDescent="0.25">
      <c r="F24" s="87">
        <v>46387</v>
      </c>
      <c r="G24" s="88">
        <v>236.77897481613198</v>
      </c>
      <c r="H24" s="88">
        <v>144.96671927518284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33.825567830875997</v>
      </c>
      <c r="S24">
        <v>57.986687710073141</v>
      </c>
    </row>
    <row r="25" spans="2:19" x14ac:dyDescent="0.25">
      <c r="F25" s="91">
        <v>46752</v>
      </c>
      <c r="G25" s="92">
        <v>254.53739792734183</v>
      </c>
      <c r="H25" s="92">
        <v>218.17491250915015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36.362485418191689</v>
      </c>
    </row>
    <row r="26" spans="2:19" x14ac:dyDescent="0.25">
      <c r="G26" t="s">
        <v>10</v>
      </c>
      <c r="J26" s="82" cm="1">
        <f t="array" ref="J26:S26">_xlfn.BYCOL(_xlfn.ANCHORARRAY(J16), _xleta.SUM )</f>
        <v>18.966071428571425</v>
      </c>
      <c r="K26" s="83">
        <v>52.901792091836725</v>
      </c>
      <c r="L26" s="83">
        <v>80.093187431669094</v>
      </c>
      <c r="M26" s="83">
        <v>102.68857715543328</v>
      </c>
      <c r="N26" s="83">
        <v>122.23907806094006</v>
      </c>
      <c r="O26" s="83">
        <v>139.87047864326004</v>
      </c>
      <c r="P26" s="83">
        <v>156.40610006132559</v>
      </c>
      <c r="Q26" s="83">
        <v>183.2498963654777</v>
      </c>
      <c r="R26" s="83">
        <v>196.99363859288852</v>
      </c>
      <c r="S26" s="83">
        <v>211.76816148735514</v>
      </c>
    </row>
    <row r="27" spans="2:19" x14ac:dyDescent="0.25">
      <c r="J27" s="82"/>
      <c r="K27" s="83"/>
      <c r="L27" s="83"/>
      <c r="M27" s="83"/>
      <c r="N27" s="83"/>
      <c r="O27" s="83"/>
      <c r="P27" s="83"/>
      <c r="Q27" s="83"/>
      <c r="R27" s="83"/>
      <c r="S27" s="83"/>
    </row>
    <row r="28" spans="2:19" x14ac:dyDescent="0.25">
      <c r="J28" s="82"/>
      <c r="K28" s="83"/>
      <c r="L28" s="83"/>
      <c r="M28" s="83"/>
      <c r="N28" s="83"/>
      <c r="O28" s="83"/>
      <c r="P28" s="83"/>
      <c r="Q28" s="83"/>
      <c r="R28" s="83"/>
      <c r="S28" s="83"/>
    </row>
    <row r="29" spans="2:19" x14ac:dyDescent="0.25">
      <c r="J29" s="82"/>
      <c r="K29" s="83"/>
      <c r="L29" s="83"/>
      <c r="M29" s="83"/>
      <c r="N29" s="83"/>
      <c r="O29" s="83"/>
      <c r="P29" s="83"/>
      <c r="Q29" s="83"/>
      <c r="R29" s="83"/>
      <c r="S29" s="83"/>
    </row>
    <row r="30" spans="2:19" x14ac:dyDescent="0.25">
      <c r="B30" s="10" t="s">
        <v>52</v>
      </c>
    </row>
    <row r="31" spans="2:19" x14ac:dyDescent="0.25">
      <c r="B31" s="10"/>
    </row>
    <row r="32" spans="2:19" x14ac:dyDescent="0.25">
      <c r="E32" s="95" t="s">
        <v>53</v>
      </c>
      <c r="F32" s="96"/>
      <c r="G32" s="95" t="s">
        <v>10</v>
      </c>
      <c r="H32" s="95"/>
      <c r="I32" s="95"/>
      <c r="J32" s="97" cm="1">
        <f t="array" ref="J32:S32" xml:space="preserve"> _xlfn.DROP( _xlfn.HSTACK( Assumptions!$F$13,_xlfn.ANCHORARRAY( J37) ), , -1 )</f>
        <v>2543</v>
      </c>
      <c r="K32" s="95">
        <v>2555.0764285714286</v>
      </c>
      <c r="L32" s="95">
        <v>2543.1743239795919</v>
      </c>
      <c r="M32" s="95">
        <v>2514.7848006104227</v>
      </c>
      <c r="N32" s="95">
        <v>2475.3066623221771</v>
      </c>
      <c r="O32" s="95">
        <v>2428.6478060434638</v>
      </c>
      <c r="P32" s="95">
        <v>1825.6550658160972</v>
      </c>
      <c r="Q32" s="95">
        <v>1772.4215345518571</v>
      </c>
      <c r="R32" s="95">
        <v>1707.7111496432462</v>
      </c>
      <c r="S32" s="95">
        <v>1645.7764858664898</v>
      </c>
    </row>
    <row r="33" spans="1:19" x14ac:dyDescent="0.25">
      <c r="E33" s="93" t="s">
        <v>127</v>
      </c>
      <c r="F33" s="94"/>
      <c r="G33" s="93" t="s">
        <v>10</v>
      </c>
      <c r="H33" s="93"/>
      <c r="I33" s="93"/>
      <c r="J33" s="93" cm="1">
        <f t="array" ref="J33:S33" xml:space="preserve"> _xlfn.LET(
      _xlpm.date_sale_assets, Assumptions!$F$45,
      _xlpm.carrying_value, Assumptions!$F$46 * -1,
      _xlpm.current_date,_xlfn.ANCHORARRAY( J3),
      IF( _xlpm.current_date = _xlpm.date_sale_assets, _xlpm.carrying_value, 0 ) )</f>
        <v>0</v>
      </c>
      <c r="K33" s="93">
        <v>0</v>
      </c>
      <c r="L33" s="93">
        <v>0</v>
      </c>
      <c r="M33" s="93">
        <v>0</v>
      </c>
      <c r="N33" s="93">
        <v>0</v>
      </c>
      <c r="O33" s="93">
        <v>-552</v>
      </c>
      <c r="P33" s="93">
        <v>0</v>
      </c>
      <c r="Q33" s="93">
        <v>0</v>
      </c>
      <c r="R33" s="93">
        <v>0</v>
      </c>
      <c r="S33" s="93">
        <v>0</v>
      </c>
    </row>
    <row r="34" spans="1:19" x14ac:dyDescent="0.25">
      <c r="E34" s="93" t="s">
        <v>49</v>
      </c>
      <c r="F34" s="93"/>
      <c r="G34" s="93" t="s">
        <v>10</v>
      </c>
      <c r="H34" s="93"/>
      <c r="I34" s="93"/>
      <c r="J34" s="93" cm="1">
        <f t="array" ref="J34:S34">_xlfn.ANCHORARRAY(J9) * -1</f>
        <v>-101.72</v>
      </c>
      <c r="K34" s="93">
        <v>-101.72</v>
      </c>
      <c r="L34" s="93">
        <v>-101.72</v>
      </c>
      <c r="M34" s="93">
        <v>-101.72</v>
      </c>
      <c r="N34" s="93">
        <v>-101.72</v>
      </c>
      <c r="O34" s="93">
        <v>-101.72</v>
      </c>
      <c r="P34" s="93">
        <v>-101.72</v>
      </c>
      <c r="Q34" s="93">
        <v>-101.72</v>
      </c>
      <c r="R34" s="93">
        <v>-101.72</v>
      </c>
      <c r="S34" s="93">
        <v>-101.72</v>
      </c>
    </row>
    <row r="35" spans="1:19" x14ac:dyDescent="0.25">
      <c r="E35" s="12" t="s">
        <v>139</v>
      </c>
      <c r="F35" s="93"/>
      <c r="G35" s="12" t="s">
        <v>10</v>
      </c>
      <c r="H35" s="93"/>
      <c r="I35" s="93"/>
      <c r="J35" s="93" cm="1">
        <f t="array" ref="J35:S35">_xlfn.ANCHORARRAY( J13)</f>
        <v>132.76249999999999</v>
      </c>
      <c r="K35" s="93">
        <v>142.71968749999999</v>
      </c>
      <c r="L35" s="93">
        <v>153.42366406249999</v>
      </c>
      <c r="M35" s="93">
        <v>164.93043886718749</v>
      </c>
      <c r="N35" s="93">
        <v>177.30022178222654</v>
      </c>
      <c r="O35" s="93">
        <v>190.5977384158935</v>
      </c>
      <c r="P35" s="93">
        <v>204.89256879708554</v>
      </c>
      <c r="Q35" s="93">
        <v>220.25951145686693</v>
      </c>
      <c r="R35" s="93">
        <v>236.77897481613198</v>
      </c>
      <c r="S35" s="93">
        <v>254.53739792734183</v>
      </c>
    </row>
    <row r="36" spans="1:19" x14ac:dyDescent="0.25">
      <c r="E36" s="12" t="s">
        <v>138</v>
      </c>
      <c r="F36" s="93"/>
      <c r="G36" s="12" t="s">
        <v>10</v>
      </c>
      <c r="H36" s="93"/>
      <c r="I36" s="93"/>
      <c r="J36" s="93" cm="1">
        <f t="array" ref="J36:S36">_xlfn.ANCHORARRAY( J26) * -1</f>
        <v>-18.966071428571425</v>
      </c>
      <c r="K36" s="93">
        <v>-52.901792091836725</v>
      </c>
      <c r="L36" s="93">
        <v>-80.093187431669094</v>
      </c>
      <c r="M36" s="93">
        <v>-102.68857715543328</v>
      </c>
      <c r="N36" s="93">
        <v>-122.23907806094006</v>
      </c>
      <c r="O36" s="93">
        <v>-139.87047864326004</v>
      </c>
      <c r="P36" s="93">
        <v>-156.40610006132559</v>
      </c>
      <c r="Q36" s="93">
        <v>-183.2498963654777</v>
      </c>
      <c r="R36" s="93">
        <v>-196.99363859288852</v>
      </c>
      <c r="S36" s="93">
        <v>-211.76816148735514</v>
      </c>
    </row>
    <row r="37" spans="1:19" x14ac:dyDescent="0.25">
      <c r="E37" s="98" t="s">
        <v>57</v>
      </c>
      <c r="F37" s="98"/>
      <c r="G37" s="98" t="s">
        <v>10</v>
      </c>
      <c r="H37" s="98"/>
      <c r="I37" s="98"/>
      <c r="J37" s="99" cm="1">
        <f t="array" ref="J37:S37" xml:space="preserve"> _xlfn.LET(
      _xlpm.initial_PPE, Assumptions!$F$13,
      _xlpm.movement,_xlfn.ANCHORARRAY( J33) +_xlfn.ANCHORARRAY( J34) +_xlfn.ANCHORARRAY( J35) +_xlfn.ANCHORARRAY( J36),
      _xlfn.SCAN( _xlpm.initial_PPE, _xlpm.movement, _xleta.SUM ) )</f>
        <v>2555.0764285714286</v>
      </c>
      <c r="K37" s="98">
        <v>2543.1743239795919</v>
      </c>
      <c r="L37" s="98">
        <v>2514.7848006104227</v>
      </c>
      <c r="M37" s="98">
        <v>2475.3066623221771</v>
      </c>
      <c r="N37" s="98">
        <v>2428.6478060434638</v>
      </c>
      <c r="O37" s="98">
        <v>1825.6550658160972</v>
      </c>
      <c r="P37" s="98">
        <v>1772.4215345518571</v>
      </c>
      <c r="Q37" s="98">
        <v>1707.7111496432462</v>
      </c>
      <c r="R37" s="98">
        <v>1645.7764858664898</v>
      </c>
      <c r="S37" s="98">
        <v>1586.8257223064766</v>
      </c>
    </row>
    <row r="38" spans="1:19" x14ac:dyDescent="0.25">
      <c r="E38" s="93"/>
      <c r="F38" s="93"/>
      <c r="G38" s="93"/>
      <c r="H38" s="93"/>
      <c r="I38" s="93"/>
      <c r="J38" s="12"/>
      <c r="K38" s="93"/>
      <c r="L38" s="93"/>
      <c r="M38" s="93"/>
      <c r="N38" s="93"/>
      <c r="O38" s="93"/>
      <c r="P38" s="93"/>
      <c r="Q38" s="93"/>
      <c r="R38" s="93"/>
      <c r="S38" s="93"/>
    </row>
    <row r="39" spans="1:19" x14ac:dyDescent="0.25">
      <c r="K39" s="16"/>
      <c r="L39" s="16"/>
      <c r="M39" s="16"/>
      <c r="N39" s="16"/>
      <c r="O39" s="16"/>
      <c r="P39" s="16"/>
      <c r="Q39" s="16"/>
      <c r="R39" s="16"/>
      <c r="S39" s="16"/>
    </row>
    <row r="40" spans="1:19" s="1" customFormat="1" x14ac:dyDescent="0.25">
      <c r="A40" s="2" t="s">
        <v>118</v>
      </c>
      <c r="J40" s="86"/>
      <c r="K40" s="86"/>
      <c r="L40" s="86"/>
      <c r="M40" s="86"/>
      <c r="N40" s="86"/>
      <c r="O40" s="86"/>
      <c r="P40" s="86"/>
      <c r="Q40" s="86"/>
      <c r="R40" s="86"/>
      <c r="S40" s="86"/>
    </row>
    <row r="41" spans="1:19" x14ac:dyDescent="0.25"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19" x14ac:dyDescent="0.25">
      <c r="B42" s="10" t="s">
        <v>129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pans="1:19" x14ac:dyDescent="0.25">
      <c r="B43" s="10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pans="1:19" x14ac:dyDescent="0.25">
      <c r="E44" t="s">
        <v>130</v>
      </c>
      <c r="F44" t="s">
        <v>116</v>
      </c>
      <c r="G44" t="s">
        <v>119</v>
      </c>
      <c r="H44" s="18" t="s">
        <v>120</v>
      </c>
      <c r="J44" s="84" cm="1">
        <f t="array" ref="J44:S44">_xlfn.ANCHORARRAY( J3)</f>
        <v>43465</v>
      </c>
      <c r="K44" s="84">
        <v>43830</v>
      </c>
      <c r="L44" s="84">
        <v>44196</v>
      </c>
      <c r="M44" s="84">
        <v>44561</v>
      </c>
      <c r="N44" s="84">
        <v>44926</v>
      </c>
      <c r="O44" s="84">
        <v>45291</v>
      </c>
      <c r="P44" s="84">
        <v>45657</v>
      </c>
      <c r="Q44" s="84">
        <v>46022</v>
      </c>
      <c r="R44" s="84">
        <v>46387</v>
      </c>
      <c r="S44" s="84">
        <v>46752</v>
      </c>
    </row>
    <row r="45" spans="1:19" x14ac:dyDescent="0.25">
      <c r="F45" s="89" cm="1">
        <f t="array" ref="F45:F54">TRANSPOSE(_xlfn.ANCHORARRAY( J3) )</f>
        <v>43465</v>
      </c>
      <c r="G45" s="95" cm="1">
        <f t="array" ref="G45:G54" xml:space="preserve"> _xlfn.SEQUENCE( COUNTA(_xlfn.ANCHORARRAY( F45) ), 1, Assumptions!$F$25, 0 )</f>
        <v>50</v>
      </c>
      <c r="H45" s="95" cm="1">
        <f t="array" ref="H45:H54">_xlfn.ANCHORARRAY( G45) - _xlfn.BYROW(_xlfn.ANCHORARRAY( J45), _xleta.SUM )</f>
        <v>0</v>
      </c>
      <c r="J45" s="16" cm="1">
        <f t="array" ref="J45:S54" xml:space="preserve"> _xlfn.LET(
      _xlpm.acquisition_cost,_xlfn.ANCHORARRAY(          $G$45),
      _xlpm.acquisition_date,_xlfn.ANCHORARRAY(          $F$45),
      _xlpm.useful_life,               Assumptions!$F$24,
      _xlpm.depreciation_cost,         _xlpm.acquisition_cost / _xlpm.useful_life,
      _xlpm.current_date,_xlfn.ANCHORARRAY(              J3),
      _xlpm.period,                    YEAR( _xlpm.current_date ) - YEAR( _xlpm.acquisition_date ),
      _xlpm.accumulated_depreciation,  _xlpm.depreciation_cost * ( _xlpm.period - 0.5 ),
      _xlpm.book_value,                _xlpm.acquisition_cost - _xlpm.accumulated_depreciation,
      IF( _xlpm.period &lt; 0, 0,
          IF( _xlpm.period = 0, _xlpm.depreciation_cost / 2,
              IF( _xlpm.period &lt; _xlpm.useful_life, _xlpm.depreciation_cost, IF( _xlpm.book_value &gt; 0, _xlpm.book_value, 0 ) ) ) ) )</f>
        <v>5</v>
      </c>
      <c r="K45" s="16">
        <v>10</v>
      </c>
      <c r="L45" s="16">
        <v>10</v>
      </c>
      <c r="M45" s="16">
        <v>10</v>
      </c>
      <c r="N45" s="16">
        <v>10</v>
      </c>
      <c r="O45" s="16">
        <v>5</v>
      </c>
      <c r="P45" s="16">
        <v>0</v>
      </c>
      <c r="Q45" s="16">
        <v>0</v>
      </c>
      <c r="R45" s="16">
        <v>0</v>
      </c>
      <c r="S45" s="16">
        <v>0</v>
      </c>
    </row>
    <row r="46" spans="1:19" x14ac:dyDescent="0.25">
      <c r="F46" s="87">
        <v>43830</v>
      </c>
      <c r="G46" s="93">
        <v>50</v>
      </c>
      <c r="H46" s="93">
        <v>0</v>
      </c>
      <c r="J46" s="16">
        <v>0</v>
      </c>
      <c r="K46" s="16">
        <v>5</v>
      </c>
      <c r="L46" s="16">
        <v>10</v>
      </c>
      <c r="M46" s="16">
        <v>10</v>
      </c>
      <c r="N46" s="16">
        <v>10</v>
      </c>
      <c r="O46" s="16">
        <v>10</v>
      </c>
      <c r="P46" s="16">
        <v>5</v>
      </c>
      <c r="Q46" s="16">
        <v>0</v>
      </c>
      <c r="R46" s="16">
        <v>0</v>
      </c>
      <c r="S46" s="16">
        <v>0</v>
      </c>
    </row>
    <row r="47" spans="1:19" x14ac:dyDescent="0.25">
      <c r="F47" s="87">
        <v>44196</v>
      </c>
      <c r="G47" s="93">
        <v>50</v>
      </c>
      <c r="H47" s="93">
        <v>0</v>
      </c>
      <c r="J47" s="16">
        <v>0</v>
      </c>
      <c r="K47" s="16">
        <v>0</v>
      </c>
      <c r="L47" s="16">
        <v>5</v>
      </c>
      <c r="M47" s="16">
        <v>10</v>
      </c>
      <c r="N47" s="16">
        <v>10</v>
      </c>
      <c r="O47" s="16">
        <v>10</v>
      </c>
      <c r="P47" s="16">
        <v>10</v>
      </c>
      <c r="Q47" s="16">
        <v>5</v>
      </c>
      <c r="R47" s="16">
        <v>0</v>
      </c>
      <c r="S47" s="16">
        <v>0</v>
      </c>
    </row>
    <row r="48" spans="1:19" x14ac:dyDescent="0.25">
      <c r="F48" s="87">
        <v>44561</v>
      </c>
      <c r="G48" s="93">
        <v>50</v>
      </c>
      <c r="H48" s="93">
        <v>0</v>
      </c>
      <c r="J48" s="16">
        <v>0</v>
      </c>
      <c r="K48" s="16">
        <v>0</v>
      </c>
      <c r="L48" s="16">
        <v>0</v>
      </c>
      <c r="M48" s="16">
        <v>5</v>
      </c>
      <c r="N48" s="16">
        <v>10</v>
      </c>
      <c r="O48" s="16">
        <v>10</v>
      </c>
      <c r="P48" s="16">
        <v>10</v>
      </c>
      <c r="Q48" s="16">
        <v>10</v>
      </c>
      <c r="R48" s="16">
        <v>5</v>
      </c>
      <c r="S48" s="16">
        <v>0</v>
      </c>
    </row>
    <row r="49" spans="2:19" x14ac:dyDescent="0.25">
      <c r="F49" s="87">
        <v>44926</v>
      </c>
      <c r="G49" s="93">
        <v>50</v>
      </c>
      <c r="H49" s="93">
        <v>0</v>
      </c>
      <c r="J49" s="16">
        <v>0</v>
      </c>
      <c r="K49" s="16">
        <v>0</v>
      </c>
      <c r="L49" s="16">
        <v>0</v>
      </c>
      <c r="M49" s="16">
        <v>0</v>
      </c>
      <c r="N49" s="16">
        <v>5</v>
      </c>
      <c r="O49" s="16">
        <v>10</v>
      </c>
      <c r="P49" s="16">
        <v>10</v>
      </c>
      <c r="Q49" s="16">
        <v>10</v>
      </c>
      <c r="R49" s="16">
        <v>10</v>
      </c>
      <c r="S49" s="16">
        <v>5</v>
      </c>
    </row>
    <row r="50" spans="2:19" x14ac:dyDescent="0.25">
      <c r="F50" s="87">
        <v>45291</v>
      </c>
      <c r="G50" s="93">
        <v>50</v>
      </c>
      <c r="H50" s="93">
        <v>5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5</v>
      </c>
      <c r="P50" s="16">
        <v>10</v>
      </c>
      <c r="Q50" s="16">
        <v>10</v>
      </c>
      <c r="R50" s="16">
        <v>10</v>
      </c>
      <c r="S50" s="16">
        <v>10</v>
      </c>
    </row>
    <row r="51" spans="2:19" x14ac:dyDescent="0.25">
      <c r="F51" s="87">
        <v>45657</v>
      </c>
      <c r="G51" s="93">
        <v>50</v>
      </c>
      <c r="H51" s="93">
        <v>15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5</v>
      </c>
      <c r="Q51" s="16">
        <v>10</v>
      </c>
      <c r="R51" s="16">
        <v>10</v>
      </c>
      <c r="S51" s="16">
        <v>10</v>
      </c>
    </row>
    <row r="52" spans="2:19" x14ac:dyDescent="0.25">
      <c r="F52" s="87">
        <v>46022</v>
      </c>
      <c r="G52" s="93">
        <v>50</v>
      </c>
      <c r="H52" s="93">
        <v>25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5</v>
      </c>
      <c r="R52" s="16">
        <v>10</v>
      </c>
      <c r="S52" s="16">
        <v>10</v>
      </c>
    </row>
    <row r="53" spans="2:19" x14ac:dyDescent="0.25">
      <c r="F53" s="87">
        <v>46387</v>
      </c>
      <c r="G53" s="93">
        <v>50</v>
      </c>
      <c r="H53" s="93">
        <v>35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5</v>
      </c>
      <c r="S53" s="16">
        <v>10</v>
      </c>
    </row>
    <row r="54" spans="2:19" x14ac:dyDescent="0.25">
      <c r="F54" s="91">
        <v>46752</v>
      </c>
      <c r="G54" s="98">
        <v>50</v>
      </c>
      <c r="H54" s="98">
        <v>45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5</v>
      </c>
    </row>
    <row r="55" spans="2:19" x14ac:dyDescent="0.25">
      <c r="F55" s="13"/>
      <c r="G55" t="s">
        <v>10</v>
      </c>
      <c r="J55" s="16" cm="1">
        <f t="array" ref="J55:S55">_xlfn.BYCOL(_xlfn.ANCHORARRAY( J45), _xleta.SUM )</f>
        <v>5</v>
      </c>
      <c r="K55" s="16">
        <v>15</v>
      </c>
      <c r="L55" s="16">
        <v>25</v>
      </c>
      <c r="M55" s="16">
        <v>35</v>
      </c>
      <c r="N55" s="16">
        <v>45</v>
      </c>
      <c r="O55" s="16">
        <v>50</v>
      </c>
      <c r="P55" s="16">
        <v>50</v>
      </c>
      <c r="Q55" s="16">
        <v>50</v>
      </c>
      <c r="R55" s="16">
        <v>50</v>
      </c>
      <c r="S55" s="16">
        <v>50</v>
      </c>
    </row>
    <row r="56" spans="2:19" x14ac:dyDescent="0.25">
      <c r="F56" s="13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spans="2:19" x14ac:dyDescent="0.25"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spans="2:19" x14ac:dyDescent="0.25">
      <c r="B58" s="10" t="s">
        <v>131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spans="2:19" x14ac:dyDescent="0.25">
      <c r="B59" s="10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pans="2:19" x14ac:dyDescent="0.25">
      <c r="E60" t="s">
        <v>132</v>
      </c>
      <c r="F60" t="s">
        <v>116</v>
      </c>
      <c r="G60" t="s">
        <v>119</v>
      </c>
      <c r="H60" s="18" t="s">
        <v>120</v>
      </c>
      <c r="J60" s="84" cm="1">
        <f t="array" ref="J60:S60">_xlfn.ANCHORARRAY($J$3)</f>
        <v>43465</v>
      </c>
      <c r="K60" s="84">
        <v>43830</v>
      </c>
      <c r="L60" s="84">
        <v>44196</v>
      </c>
      <c r="M60" s="84">
        <v>44561</v>
      </c>
      <c r="N60" s="84">
        <v>44926</v>
      </c>
      <c r="O60" s="84">
        <v>45291</v>
      </c>
      <c r="P60" s="84">
        <v>45657</v>
      </c>
      <c r="Q60" s="84">
        <v>46022</v>
      </c>
      <c r="R60" s="84">
        <v>46387</v>
      </c>
      <c r="S60" s="84">
        <v>46752</v>
      </c>
    </row>
    <row r="61" spans="2:19" x14ac:dyDescent="0.25">
      <c r="F61" s="106" cm="1">
        <f t="array" ref="F61:F70" xml:space="preserve"> EOMONTH( it_expansion_date, _xlfn.SEQUENCE( periods_it, 1, 0, 12 ) )</f>
        <v>43465</v>
      </c>
      <c r="G61" s="95" cm="1">
        <f t="array" ref="G61:G70">Assumptions!$F$30:$F$39</f>
        <v>5</v>
      </c>
      <c r="H61" s="90" cm="1">
        <f t="array" ref="H61:H70">_xlfn.ANCHORARRAY(G61) - _xlfn.BYROW(_xlfn.ANCHORARRAY(J61), _xleta.SUM )</f>
        <v>0</v>
      </c>
      <c r="J61" s="100" cm="1">
        <f t="array" ref="J61:S70" xml:space="preserve"> _xlfn.LET(
      _xlpm.acquisition_cost,_xlfn.ANCHORARRAY(         $G$61),
      _xlpm.acquisition_date,_xlfn.ANCHORARRAY(         $F$61),
      _xlpm.useful_life,              Assumptions!$F$24,
      _xlpm.depreciation_cost,        _xlpm.acquisition_cost / _xlpm.useful_life,
      _xlpm.period,                   YEAR(_xlfn.ANCHORARRAY( Calculations!J3) ) - YEAR( _xlpm.acquisition_date ),
      _xlpm.current_date,_xlfn.ANCHORARRAY(             J3),
      _xlpm.accumulated_depreciation, _xlpm.depreciation_cost * ( _xlpm.period - 0.5 ),
      _xlpm.book_value,               _xlpm.acquisition_cost - _xlpm.accumulated_depreciation,
      IF( _xlpm.period &lt; 0, 0,
          IF( _xlpm.period = 0, _xlpm.depreciation_cost / 2,
              IF( _xlpm.period &lt; _xlpm.useful_life, _xlpm.depreciation_cost, IF( _xlpm.book_value &gt; 0, _xlpm.book_value, 0 ) ) ) ) )</f>
        <v>0.5</v>
      </c>
      <c r="K61" s="100">
        <v>1</v>
      </c>
      <c r="L61" s="100">
        <v>1</v>
      </c>
      <c r="M61" s="100">
        <v>1</v>
      </c>
      <c r="N61" s="100">
        <v>1</v>
      </c>
      <c r="O61" s="100">
        <v>0.5</v>
      </c>
      <c r="P61" s="100">
        <v>0</v>
      </c>
      <c r="Q61" s="100">
        <v>0</v>
      </c>
      <c r="R61" s="100">
        <v>0</v>
      </c>
      <c r="S61" s="100">
        <v>0</v>
      </c>
    </row>
    <row r="62" spans="2:19" x14ac:dyDescent="0.25">
      <c r="F62" s="87">
        <v>43830</v>
      </c>
      <c r="G62" s="93">
        <v>15</v>
      </c>
      <c r="H62" s="93">
        <v>0</v>
      </c>
      <c r="J62" s="100">
        <v>0</v>
      </c>
      <c r="K62" s="100">
        <v>1.5</v>
      </c>
      <c r="L62" s="100">
        <v>3</v>
      </c>
      <c r="M62" s="100">
        <v>3</v>
      </c>
      <c r="N62" s="100">
        <v>3</v>
      </c>
      <c r="O62" s="100">
        <v>3</v>
      </c>
      <c r="P62" s="100">
        <v>1.5</v>
      </c>
      <c r="Q62" s="100">
        <v>0</v>
      </c>
      <c r="R62" s="100">
        <v>0</v>
      </c>
      <c r="S62" s="100">
        <v>0</v>
      </c>
    </row>
    <row r="63" spans="2:19" x14ac:dyDescent="0.25">
      <c r="F63" s="87">
        <v>44196</v>
      </c>
      <c r="G63" s="93">
        <v>7.5</v>
      </c>
      <c r="H63" s="93">
        <v>0</v>
      </c>
      <c r="J63" s="100">
        <v>0</v>
      </c>
      <c r="K63" s="100">
        <v>0</v>
      </c>
      <c r="L63" s="100">
        <v>0.75</v>
      </c>
      <c r="M63" s="100">
        <v>1.5</v>
      </c>
      <c r="N63" s="100">
        <v>1.5</v>
      </c>
      <c r="O63" s="100">
        <v>1.5</v>
      </c>
      <c r="P63" s="100">
        <v>1.5</v>
      </c>
      <c r="Q63" s="100">
        <v>0.75</v>
      </c>
      <c r="R63" s="100">
        <v>0</v>
      </c>
      <c r="S63" s="100">
        <v>0</v>
      </c>
    </row>
    <row r="64" spans="2:19" x14ac:dyDescent="0.25">
      <c r="F64" s="87">
        <v>44561</v>
      </c>
      <c r="G64" s="93">
        <v>20.2</v>
      </c>
      <c r="H64" s="93">
        <v>0</v>
      </c>
      <c r="J64" s="100">
        <v>0</v>
      </c>
      <c r="K64" s="100">
        <v>0</v>
      </c>
      <c r="L64" s="100">
        <v>0</v>
      </c>
      <c r="M64" s="100">
        <v>2.02</v>
      </c>
      <c r="N64" s="100">
        <v>4.04</v>
      </c>
      <c r="O64" s="100">
        <v>4.04</v>
      </c>
      <c r="P64" s="100">
        <v>4.04</v>
      </c>
      <c r="Q64" s="100">
        <v>4.04</v>
      </c>
      <c r="R64" s="100">
        <v>2.0199999999999996</v>
      </c>
      <c r="S64" s="100">
        <v>0</v>
      </c>
    </row>
    <row r="65" spans="2:19" x14ac:dyDescent="0.25">
      <c r="F65" s="87">
        <v>44926</v>
      </c>
      <c r="G65" s="93">
        <v>60.7</v>
      </c>
      <c r="H65" s="93">
        <v>0</v>
      </c>
      <c r="J65" s="100">
        <v>0</v>
      </c>
      <c r="K65" s="100">
        <v>0</v>
      </c>
      <c r="L65" s="100">
        <v>0</v>
      </c>
      <c r="M65" s="100">
        <v>0</v>
      </c>
      <c r="N65" s="100">
        <v>6.07</v>
      </c>
      <c r="O65" s="100">
        <v>12.14</v>
      </c>
      <c r="P65" s="100">
        <v>12.14</v>
      </c>
      <c r="Q65" s="100">
        <v>12.14</v>
      </c>
      <c r="R65" s="100">
        <v>12.14</v>
      </c>
      <c r="S65" s="100">
        <v>6.07</v>
      </c>
    </row>
    <row r="66" spans="2:19" x14ac:dyDescent="0.25">
      <c r="F66" s="87">
        <v>45291</v>
      </c>
      <c r="G66" s="93">
        <v>1</v>
      </c>
      <c r="H66" s="93">
        <v>0.10000000000000009</v>
      </c>
      <c r="J66" s="100">
        <v>0</v>
      </c>
      <c r="K66" s="100">
        <v>0</v>
      </c>
      <c r="L66" s="100">
        <v>0</v>
      </c>
      <c r="M66" s="100">
        <v>0</v>
      </c>
      <c r="N66" s="100">
        <v>0</v>
      </c>
      <c r="O66" s="100">
        <v>0.1</v>
      </c>
      <c r="P66" s="100">
        <v>0.2</v>
      </c>
      <c r="Q66" s="100">
        <v>0.2</v>
      </c>
      <c r="R66" s="100">
        <v>0.2</v>
      </c>
      <c r="S66" s="100">
        <v>0.2</v>
      </c>
    </row>
    <row r="67" spans="2:19" x14ac:dyDescent="0.25">
      <c r="F67" s="87">
        <v>45657</v>
      </c>
      <c r="G67" s="93">
        <v>0.3</v>
      </c>
      <c r="H67" s="93">
        <v>0.09</v>
      </c>
      <c r="J67" s="100">
        <v>0</v>
      </c>
      <c r="K67" s="100">
        <v>0</v>
      </c>
      <c r="L67" s="100">
        <v>0</v>
      </c>
      <c r="M67" s="100">
        <v>0</v>
      </c>
      <c r="N67" s="100">
        <v>0</v>
      </c>
      <c r="O67" s="100">
        <v>0</v>
      </c>
      <c r="P67" s="100">
        <v>0.03</v>
      </c>
      <c r="Q67" s="100">
        <v>0.06</v>
      </c>
      <c r="R67" s="100">
        <v>0.06</v>
      </c>
      <c r="S67" s="100">
        <v>0.06</v>
      </c>
    </row>
    <row r="68" spans="2:19" x14ac:dyDescent="0.25">
      <c r="F68" s="87">
        <v>46022</v>
      </c>
      <c r="G68" s="93">
        <v>0</v>
      </c>
      <c r="H68" s="93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0">
        <v>0</v>
      </c>
      <c r="P68" s="100">
        <v>0</v>
      </c>
      <c r="Q68" s="100">
        <v>0</v>
      </c>
      <c r="R68" s="100">
        <v>0</v>
      </c>
      <c r="S68" s="100">
        <v>0</v>
      </c>
    </row>
    <row r="69" spans="2:19" x14ac:dyDescent="0.25">
      <c r="F69" s="87">
        <v>46387</v>
      </c>
      <c r="G69" s="93">
        <v>0</v>
      </c>
      <c r="H69" s="93">
        <v>0</v>
      </c>
      <c r="J69" s="100">
        <v>0</v>
      </c>
      <c r="K69" s="100">
        <v>0</v>
      </c>
      <c r="L69" s="100">
        <v>0</v>
      </c>
      <c r="M69" s="100">
        <v>0</v>
      </c>
      <c r="N69" s="100">
        <v>0</v>
      </c>
      <c r="O69" s="100">
        <v>0</v>
      </c>
      <c r="P69" s="100">
        <v>0</v>
      </c>
      <c r="Q69" s="100">
        <v>0</v>
      </c>
      <c r="R69" s="100">
        <v>0</v>
      </c>
      <c r="S69" s="100">
        <v>0</v>
      </c>
    </row>
    <row r="70" spans="2:19" x14ac:dyDescent="0.25">
      <c r="F70" s="91">
        <v>46752</v>
      </c>
      <c r="G70" s="98">
        <v>0.5</v>
      </c>
      <c r="H70" s="98">
        <v>0.45</v>
      </c>
      <c r="J70" s="100">
        <v>0</v>
      </c>
      <c r="K70" s="100">
        <v>0</v>
      </c>
      <c r="L70" s="100">
        <v>0</v>
      </c>
      <c r="M70" s="100">
        <v>0</v>
      </c>
      <c r="N70" s="100">
        <v>0</v>
      </c>
      <c r="O70" s="100">
        <v>0</v>
      </c>
      <c r="P70" s="100">
        <v>0</v>
      </c>
      <c r="Q70" s="100">
        <v>0</v>
      </c>
      <c r="R70" s="100">
        <v>0</v>
      </c>
      <c r="S70" s="100">
        <v>0.05</v>
      </c>
    </row>
    <row r="71" spans="2:19" x14ac:dyDescent="0.25">
      <c r="F71" s="13"/>
      <c r="G71" cm="1">
        <f t="array" ref="G71">_xlfn.BYCOL(_xlfn.ANCHORARRAY( G61), _xleta.SUM )</f>
        <v>110.2</v>
      </c>
      <c r="J71" s="100" cm="1">
        <f t="array" ref="J71:S71">_xlfn.BYCOL(_xlfn.ANCHORARRAY( J61), _xleta.SUM )</f>
        <v>0.5</v>
      </c>
      <c r="K71" s="100">
        <v>2.5</v>
      </c>
      <c r="L71" s="100">
        <v>4.75</v>
      </c>
      <c r="M71" s="100">
        <v>7.52</v>
      </c>
      <c r="N71" s="100">
        <v>15.61</v>
      </c>
      <c r="O71" s="100">
        <v>21.28</v>
      </c>
      <c r="P71" s="100">
        <v>19.41</v>
      </c>
      <c r="Q71" s="100">
        <v>17.189999999999998</v>
      </c>
      <c r="R71" s="100">
        <v>14.42</v>
      </c>
      <c r="S71" s="100">
        <v>6.38</v>
      </c>
    </row>
    <row r="72" spans="2:19" x14ac:dyDescent="0.25">
      <c r="F72" s="13"/>
    </row>
    <row r="73" spans="2:19" x14ac:dyDescent="0.25">
      <c r="B73" s="10" t="s">
        <v>122</v>
      </c>
      <c r="F73" s="13"/>
    </row>
    <row r="74" spans="2:19" x14ac:dyDescent="0.25">
      <c r="B74" s="10"/>
      <c r="F74" s="13"/>
    </row>
    <row r="75" spans="2:19" x14ac:dyDescent="0.25">
      <c r="E75" s="95" t="s">
        <v>123</v>
      </c>
      <c r="F75" s="89"/>
      <c r="G75" s="95"/>
      <c r="H75" s="95"/>
      <c r="I75" s="95"/>
      <c r="J75" s="102" cm="1">
        <f t="array" ref="J75:S75" xml:space="preserve"> _xlfn.DROP( _xlfn.HSTACK( 0,_xlfn.ANCHORARRAY( J80) ),, -1 )</f>
        <v>0</v>
      </c>
      <c r="K75" s="103">
        <v>49.5</v>
      </c>
      <c r="L75" s="103">
        <v>97</v>
      </c>
      <c r="M75" s="103">
        <v>124.75</v>
      </c>
      <c r="N75" s="103">
        <v>152.43</v>
      </c>
      <c r="O75" s="103">
        <v>202.52</v>
      </c>
      <c r="P75" s="103">
        <v>182.24</v>
      </c>
      <c r="Q75" s="103">
        <v>163.13</v>
      </c>
      <c r="R75" s="103">
        <v>145.94</v>
      </c>
      <c r="S75" s="103">
        <v>131.52000000000001</v>
      </c>
    </row>
    <row r="76" spans="2:19" x14ac:dyDescent="0.25">
      <c r="E76" s="93" t="s">
        <v>124</v>
      </c>
      <c r="F76" s="87"/>
      <c r="G76" s="93"/>
      <c r="H76" s="93"/>
      <c r="I76" s="93"/>
      <c r="J76" s="101" cm="1">
        <f t="array" ref="J76:S76" xml:space="preserve"> _xlfn.SEQUENCE( 1, periods_it, Assumptions!$F$25, 0 )</f>
        <v>50</v>
      </c>
      <c r="K76" s="101">
        <v>50</v>
      </c>
      <c r="L76" s="101">
        <v>50</v>
      </c>
      <c r="M76" s="101">
        <v>50</v>
      </c>
      <c r="N76" s="101">
        <v>50</v>
      </c>
      <c r="O76" s="101">
        <v>50</v>
      </c>
      <c r="P76" s="101">
        <v>50</v>
      </c>
      <c r="Q76" s="101">
        <v>50</v>
      </c>
      <c r="R76" s="101">
        <v>50</v>
      </c>
      <c r="S76" s="101">
        <v>50</v>
      </c>
    </row>
    <row r="77" spans="2:19" x14ac:dyDescent="0.25">
      <c r="E77" s="93" t="s">
        <v>126</v>
      </c>
      <c r="F77" s="87"/>
      <c r="G77" s="93"/>
      <c r="H77" s="93"/>
      <c r="I77" s="93"/>
      <c r="J77" s="101" cm="1">
        <f t="array" ref="J77:S77" xml:space="preserve"> _xlfn.BYCOL( ( YEAR(_xlfn.ANCHORARRAY( $F$61) ) = YEAR(_xlfn.ANCHORARRAY( J3) ) ) *_xlfn.ANCHORARRAY( $G$61), _xleta.SUM )</f>
        <v>5</v>
      </c>
      <c r="K77" s="101">
        <v>15</v>
      </c>
      <c r="L77" s="101">
        <v>7.5</v>
      </c>
      <c r="M77" s="101">
        <v>20.2</v>
      </c>
      <c r="N77" s="101">
        <v>60.7</v>
      </c>
      <c r="O77" s="101">
        <v>1</v>
      </c>
      <c r="P77" s="101">
        <v>0.3</v>
      </c>
      <c r="Q77" s="101">
        <v>0</v>
      </c>
      <c r="R77" s="101">
        <v>0</v>
      </c>
      <c r="S77" s="101">
        <v>0.5</v>
      </c>
    </row>
    <row r="78" spans="2:19" x14ac:dyDescent="0.25">
      <c r="E78" s="12" t="s">
        <v>133</v>
      </c>
      <c r="J78" s="18" cm="1">
        <f t="array" ref="J78:S78">_xlfn.ANCHORARRAY( J55) * -1</f>
        <v>-5</v>
      </c>
      <c r="K78" s="18">
        <v>-15</v>
      </c>
      <c r="L78" s="18">
        <v>-25</v>
      </c>
      <c r="M78" s="18">
        <v>-35</v>
      </c>
      <c r="N78" s="18">
        <v>-45</v>
      </c>
      <c r="O78" s="18">
        <v>-50</v>
      </c>
      <c r="P78" s="18">
        <v>-50</v>
      </c>
      <c r="Q78" s="18">
        <v>-50</v>
      </c>
      <c r="R78" s="18">
        <v>-50</v>
      </c>
      <c r="S78" s="18">
        <v>-50</v>
      </c>
    </row>
    <row r="79" spans="2:19" x14ac:dyDescent="0.25">
      <c r="E79" s="93" t="s">
        <v>125</v>
      </c>
      <c r="F79" s="87"/>
      <c r="G79" s="93"/>
      <c r="H79" s="93"/>
      <c r="I79" s="93"/>
      <c r="J79" s="101" cm="1">
        <f t="array" ref="J79:S79">_xlfn.ANCHORARRAY( J71) * -1</f>
        <v>-0.5</v>
      </c>
      <c r="K79" s="101">
        <v>-2.5</v>
      </c>
      <c r="L79" s="101">
        <v>-4.75</v>
      </c>
      <c r="M79" s="101">
        <v>-7.52</v>
      </c>
      <c r="N79" s="101">
        <v>-15.61</v>
      </c>
      <c r="O79" s="101">
        <v>-21.28</v>
      </c>
      <c r="P79" s="101">
        <v>-19.41</v>
      </c>
      <c r="Q79" s="101">
        <v>-17.189999999999998</v>
      </c>
      <c r="R79" s="101">
        <v>-14.42</v>
      </c>
      <c r="S79" s="101">
        <v>-6.38</v>
      </c>
    </row>
    <row r="80" spans="2:19" x14ac:dyDescent="0.25">
      <c r="E80" s="98" t="s">
        <v>128</v>
      </c>
      <c r="F80" s="91"/>
      <c r="G80" s="98"/>
      <c r="H80" s="98"/>
      <c r="I80" s="98"/>
      <c r="J80" s="104" cm="1">
        <f t="array" ref="J80:S80" xml:space="preserve"> _xlfn.LET(
      _xlpm.initial_balance, 0,
      _xlpm.movements,_xlfn.ANCHORARRAY( J76) +_xlfn.ANCHORARRAY( J77) +_xlfn.ANCHORARRAY( J78) +_xlfn.ANCHORARRAY( J79),
      _xlfn.SCAN( _xlpm.initial_balance, _xlpm.movements, _xleta.SUM ) )</f>
        <v>49.5</v>
      </c>
      <c r="K80" s="105">
        <v>97</v>
      </c>
      <c r="L80" s="105">
        <v>124.75</v>
      </c>
      <c r="M80" s="105">
        <v>152.43</v>
      </c>
      <c r="N80" s="105">
        <v>202.52</v>
      </c>
      <c r="O80" s="105">
        <v>182.24</v>
      </c>
      <c r="P80" s="105">
        <v>163.13</v>
      </c>
      <c r="Q80" s="105">
        <v>145.94</v>
      </c>
      <c r="R80" s="105">
        <v>131.52000000000001</v>
      </c>
      <c r="S80" s="105">
        <v>125.64000000000001</v>
      </c>
    </row>
    <row r="81" spans="1:19" x14ac:dyDescent="0.25">
      <c r="E81" s="93"/>
      <c r="F81" s="87"/>
      <c r="G81" s="93"/>
      <c r="H81" s="93"/>
      <c r="I81" s="93"/>
      <c r="J81" s="107"/>
      <c r="K81" s="101"/>
      <c r="L81" s="101"/>
      <c r="M81" s="101"/>
      <c r="N81" s="101"/>
      <c r="O81" s="101"/>
      <c r="P81" s="101"/>
      <c r="Q81" s="101"/>
      <c r="R81" s="101"/>
      <c r="S81" s="101"/>
    </row>
    <row r="83" spans="1:19" s="1" customFormat="1" x14ac:dyDescent="0.25">
      <c r="A83" s="2" t="s">
        <v>82</v>
      </c>
    </row>
    <row r="85" spans="1:19" x14ac:dyDescent="0.25">
      <c r="B85" s="10" t="s">
        <v>134</v>
      </c>
    </row>
    <row r="87" spans="1:19" x14ac:dyDescent="0.25">
      <c r="E87" t="str">
        <f>E$9</f>
        <v>Depreciation of existing building assets</v>
      </c>
      <c r="G87" t="str">
        <f t="shared" ref="G87:S87" si="0">G$9</f>
        <v>USD m</v>
      </c>
      <c r="J87">
        <f t="shared" si="0"/>
        <v>101.72</v>
      </c>
      <c r="K87">
        <f t="shared" si="0"/>
        <v>101.72</v>
      </c>
      <c r="L87">
        <f t="shared" si="0"/>
        <v>101.72</v>
      </c>
      <c r="M87">
        <f t="shared" si="0"/>
        <v>101.72</v>
      </c>
      <c r="N87">
        <f t="shared" si="0"/>
        <v>101.72</v>
      </c>
      <c r="O87">
        <f t="shared" si="0"/>
        <v>101.72</v>
      </c>
      <c r="P87">
        <f t="shared" si="0"/>
        <v>101.72</v>
      </c>
      <c r="Q87">
        <f t="shared" si="0"/>
        <v>101.72</v>
      </c>
      <c r="R87">
        <f t="shared" si="0"/>
        <v>101.72</v>
      </c>
      <c r="S87">
        <f t="shared" si="0"/>
        <v>101.72</v>
      </c>
    </row>
    <row r="88" spans="1:19" x14ac:dyDescent="0.25">
      <c r="E88" t="s">
        <v>121</v>
      </c>
      <c r="G88" t="str">
        <f t="shared" ref="G88:S88" si="1">G$26</f>
        <v>USD m</v>
      </c>
      <c r="J88">
        <f t="shared" si="1"/>
        <v>18.966071428571425</v>
      </c>
      <c r="K88">
        <f t="shared" si="1"/>
        <v>52.901792091836725</v>
      </c>
      <c r="L88">
        <f t="shared" si="1"/>
        <v>80.093187431669094</v>
      </c>
      <c r="M88">
        <f t="shared" si="1"/>
        <v>102.68857715543328</v>
      </c>
      <c r="N88">
        <f t="shared" si="1"/>
        <v>122.23907806094006</v>
      </c>
      <c r="O88">
        <f t="shared" si="1"/>
        <v>139.87047864326004</v>
      </c>
      <c r="P88">
        <f t="shared" si="1"/>
        <v>156.40610006132559</v>
      </c>
      <c r="Q88">
        <f t="shared" si="1"/>
        <v>183.2498963654777</v>
      </c>
      <c r="R88">
        <f t="shared" si="1"/>
        <v>196.99363859288852</v>
      </c>
      <c r="S88">
        <f t="shared" si="1"/>
        <v>211.76816148735514</v>
      </c>
    </row>
    <row r="89" spans="1:19" x14ac:dyDescent="0.25">
      <c r="E89" t="s">
        <v>136</v>
      </c>
      <c r="G89" t="str">
        <f t="shared" ref="G89:S89" si="2">G$55</f>
        <v>USD m</v>
      </c>
      <c r="J89">
        <f t="shared" si="2"/>
        <v>5</v>
      </c>
      <c r="K89">
        <f t="shared" si="2"/>
        <v>15</v>
      </c>
      <c r="L89">
        <f t="shared" si="2"/>
        <v>25</v>
      </c>
      <c r="M89">
        <f t="shared" si="2"/>
        <v>35</v>
      </c>
      <c r="N89">
        <f t="shared" si="2"/>
        <v>45</v>
      </c>
      <c r="O89">
        <f t="shared" si="2"/>
        <v>50</v>
      </c>
      <c r="P89">
        <f t="shared" si="2"/>
        <v>50</v>
      </c>
      <c r="Q89">
        <f t="shared" si="2"/>
        <v>50</v>
      </c>
      <c r="R89">
        <f t="shared" si="2"/>
        <v>50</v>
      </c>
      <c r="S89">
        <f t="shared" si="2"/>
        <v>50</v>
      </c>
    </row>
    <row r="90" spans="1:19" x14ac:dyDescent="0.25">
      <c r="E90" t="s">
        <v>137</v>
      </c>
      <c r="G90" t="s">
        <v>10</v>
      </c>
      <c r="J90">
        <f t="shared" ref="J90:S90" si="3">J$71</f>
        <v>0.5</v>
      </c>
      <c r="K90">
        <f t="shared" si="3"/>
        <v>2.5</v>
      </c>
      <c r="L90">
        <f t="shared" si="3"/>
        <v>4.75</v>
      </c>
      <c r="M90">
        <f t="shared" si="3"/>
        <v>7.52</v>
      </c>
      <c r="N90">
        <f t="shared" si="3"/>
        <v>15.61</v>
      </c>
      <c r="O90">
        <f t="shared" si="3"/>
        <v>21.28</v>
      </c>
      <c r="P90">
        <f t="shared" si="3"/>
        <v>19.41</v>
      </c>
      <c r="Q90">
        <f t="shared" si="3"/>
        <v>17.189999999999998</v>
      </c>
      <c r="R90">
        <f t="shared" si="3"/>
        <v>14.42</v>
      </c>
      <c r="S90">
        <f t="shared" si="3"/>
        <v>6.38</v>
      </c>
    </row>
    <row r="91" spans="1:19" x14ac:dyDescent="0.25">
      <c r="E91" s="108" t="s">
        <v>134</v>
      </c>
      <c r="F91" s="108"/>
      <c r="G91" s="108" t="s">
        <v>10</v>
      </c>
      <c r="H91" s="108"/>
      <c r="I91" s="108"/>
      <c r="J91" s="108" cm="1">
        <f t="array" ref="J91:S91">_xlfn.BYCOL( J87:S90, _xleta.SUM )</f>
        <v>126.18607142857142</v>
      </c>
      <c r="K91" s="108">
        <v>172.12179209183671</v>
      </c>
      <c r="L91" s="108">
        <v>211.56318743166909</v>
      </c>
      <c r="M91" s="108">
        <v>246.92857715543329</v>
      </c>
      <c r="N91" s="108">
        <v>284.56907806094006</v>
      </c>
      <c r="O91" s="108">
        <v>312.87047864326007</v>
      </c>
      <c r="P91" s="108">
        <v>327.53610006132561</v>
      </c>
      <c r="Q91" s="108">
        <v>352.15989636547766</v>
      </c>
      <c r="R91" s="108">
        <v>363.13363859288853</v>
      </c>
      <c r="S91" s="108">
        <v>369.86816148735511</v>
      </c>
    </row>
    <row r="93" spans="1:19" x14ac:dyDescent="0.25">
      <c r="B93" s="10" t="s">
        <v>86</v>
      </c>
    </row>
    <row r="94" spans="1:19" x14ac:dyDescent="0.25">
      <c r="D94" t="s">
        <v>140</v>
      </c>
      <c r="G94" t="s">
        <v>10</v>
      </c>
      <c r="J94" cm="1">
        <f t="array" ref="J94:S94">_xlfn.DROP( _xlfn.HSTACK( Assumptions!$F$13,_xlfn.ANCHORARRAY( Calculations!J99) ),, -1 )</f>
        <v>2543</v>
      </c>
      <c r="K94">
        <v>2604.5764285714286</v>
      </c>
      <c r="L94">
        <v>2640.1743239795919</v>
      </c>
      <c r="M94">
        <v>2639.5348006104227</v>
      </c>
      <c r="N94">
        <v>2627.7366623221769</v>
      </c>
      <c r="O94">
        <v>2631.1678060434633</v>
      </c>
      <c r="P94">
        <v>2007.8950658160968</v>
      </c>
      <c r="Q94">
        <v>1935.5515345518568</v>
      </c>
      <c r="R94">
        <v>1853.6511496432461</v>
      </c>
      <c r="S94">
        <v>1777.2964858664895</v>
      </c>
    </row>
    <row r="95" spans="1:19" x14ac:dyDescent="0.25">
      <c r="E95" t="s">
        <v>141</v>
      </c>
      <c r="G95" t="s">
        <v>10</v>
      </c>
      <c r="J95" cm="1">
        <f t="array" ref="J95:S95">_xlfn.ANCHORARRAY( J13)</f>
        <v>132.76249999999999</v>
      </c>
      <c r="K95">
        <v>142.71968749999999</v>
      </c>
      <c r="L95">
        <v>153.42366406249999</v>
      </c>
      <c r="M95">
        <v>164.93043886718749</v>
      </c>
      <c r="N95">
        <v>177.30022178222654</v>
      </c>
      <c r="O95">
        <v>190.5977384158935</v>
      </c>
      <c r="P95">
        <v>204.89256879708554</v>
      </c>
      <c r="Q95">
        <v>220.25951145686693</v>
      </c>
      <c r="R95">
        <v>236.77897481613198</v>
      </c>
      <c r="S95">
        <v>254.53739792734183</v>
      </c>
    </row>
    <row r="96" spans="1:19" x14ac:dyDescent="0.25">
      <c r="E96" t="s">
        <v>142</v>
      </c>
      <c r="G96" t="s">
        <v>10</v>
      </c>
      <c r="J96" cm="1">
        <f t="array" ref="J96:S96">_xlfn.ANCHORARRAY( J76) +_xlfn.ANCHORARRAY( J77)</f>
        <v>55</v>
      </c>
      <c r="K96">
        <v>65</v>
      </c>
      <c r="L96">
        <v>57.5</v>
      </c>
      <c r="M96">
        <v>70.2</v>
      </c>
      <c r="N96">
        <v>110.7</v>
      </c>
      <c r="O96">
        <v>51</v>
      </c>
      <c r="P96">
        <v>50.3</v>
      </c>
      <c r="Q96">
        <v>50</v>
      </c>
      <c r="R96">
        <v>50</v>
      </c>
      <c r="S96">
        <v>50.5</v>
      </c>
    </row>
    <row r="97" spans="4:19" x14ac:dyDescent="0.25">
      <c r="E97" t="s">
        <v>143</v>
      </c>
      <c r="G97" t="s">
        <v>10</v>
      </c>
      <c r="J97" cm="1">
        <f t="array" ref="J97:S97">_xlfn.ANCHORARRAY(J33)</f>
        <v>0</v>
      </c>
      <c r="K97">
        <v>0</v>
      </c>
      <c r="L97">
        <v>0</v>
      </c>
      <c r="M97">
        <v>0</v>
      </c>
      <c r="N97">
        <v>0</v>
      </c>
      <c r="O97">
        <v>-552</v>
      </c>
      <c r="P97">
        <v>0</v>
      </c>
      <c r="Q97">
        <v>0</v>
      </c>
      <c r="R97">
        <v>0</v>
      </c>
      <c r="S97">
        <v>0</v>
      </c>
    </row>
    <row r="98" spans="4:19" x14ac:dyDescent="0.25">
      <c r="E98" t="s">
        <v>145</v>
      </c>
      <c r="G98" t="s">
        <v>10</v>
      </c>
      <c r="J98" cm="1">
        <f t="array" ref="J98:S98">_xlfn.ANCHORARRAY( J91) * -1</f>
        <v>-126.18607142857142</v>
      </c>
      <c r="K98">
        <v>-172.12179209183671</v>
      </c>
      <c r="L98">
        <v>-211.56318743166909</v>
      </c>
      <c r="M98">
        <v>-246.92857715543329</v>
      </c>
      <c r="N98">
        <v>-284.56907806094006</v>
      </c>
      <c r="O98">
        <v>-312.87047864326007</v>
      </c>
      <c r="P98">
        <v>-327.53610006132561</v>
      </c>
      <c r="Q98">
        <v>-352.15989636547766</v>
      </c>
      <c r="R98">
        <v>-363.13363859288853</v>
      </c>
      <c r="S98">
        <v>-369.86816148735511</v>
      </c>
    </row>
    <row r="99" spans="4:19" x14ac:dyDescent="0.25">
      <c r="D99" t="s">
        <v>144</v>
      </c>
      <c r="G99" t="s">
        <v>10</v>
      </c>
      <c r="J99" cm="1">
        <f t="array" ref="J99:S99" xml:space="preserve"> _xlfn.LET(
      _xlpm.initial_PPE,      Assumptions!$F$13,
      _xlpm.movements,_xlfn.ANCHORARRAY(        Calculations!J95) +_xlfn.ANCHORARRAY( Calculations!J96) +_xlfn.ANCHORARRAY( Calculations!J97) +_xlfn.ANCHORARRAY( Calculations!J98),
      _xlfn.SCAN( _xlpm.initial_PPE, _xlpm.movements, _xleta.SUM ) )</f>
        <v>2604.5764285714286</v>
      </c>
      <c r="K99">
        <v>2640.1743239795919</v>
      </c>
      <c r="L99">
        <v>2639.5348006104227</v>
      </c>
      <c r="M99">
        <v>2627.7366623221769</v>
      </c>
      <c r="N99">
        <v>2631.1678060434633</v>
      </c>
      <c r="O99">
        <v>2007.8950658160968</v>
      </c>
      <c r="P99">
        <v>1935.5515345518568</v>
      </c>
      <c r="Q99">
        <v>1853.6511496432461</v>
      </c>
      <c r="R99">
        <v>1777.2964858664895</v>
      </c>
      <c r="S99">
        <v>1712.4657223064762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paperSize="9" scale="70" fitToHeight="0" orientation="landscape" r:id="rId1"/>
  <headerFooter>
    <oddFooter>&amp;LFinancial Modelling Institute
CFM October 2026&amp;CPage &amp;P of &amp;N&amp;R&amp;D</oddFooter>
  </headerFooter>
  <rowBreaks count="1" manualBreakCount="1">
    <brk id="39" max="18" man="1"/>
  </rowBreaks>
  <colBreaks count="1" manualBreakCount="1">
    <brk id="6" max="9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1D2F-07D8-4479-804B-EEDCD68B70AC}">
  <sheetPr>
    <pageSetUpPr autoPageBreaks="0" fitToPage="1"/>
  </sheetPr>
  <dimension ref="A1:G48"/>
  <sheetViews>
    <sheetView zoomScale="79" zoomScaleNormal="85" workbookViewId="0">
      <pane xSplit="9" ySplit="3" topLeftCell="J24" activePane="bottomRight" state="frozen"/>
      <selection pane="topRight" activeCell="J1" sqref="J1"/>
      <selection pane="bottomLeft" activeCell="A4" sqref="A4"/>
      <selection pane="bottomRight" activeCell="E48" sqref="E48"/>
    </sheetView>
  </sheetViews>
  <sheetFormatPr defaultRowHeight="13.2" x14ac:dyDescent="0.25"/>
  <cols>
    <col min="1" max="4" width="1.88671875" customWidth="1"/>
    <col min="5" max="5" width="35.88671875" customWidth="1"/>
    <col min="6" max="8" width="12.88671875" customWidth="1"/>
    <col min="9" max="9" width="1.88671875" customWidth="1"/>
  </cols>
  <sheetData>
    <row r="1" spans="1:7" s="3" customFormat="1" x14ac:dyDescent="0.25">
      <c r="A1" s="3" t="str" cm="1">
        <f t="array" ref="A1">company</f>
        <v>Galway Inc.</v>
      </c>
    </row>
    <row r="2" spans="1:7" s="3" customFormat="1" x14ac:dyDescent="0.25">
      <c r="A2" s="3" t="str" cm="1">
        <f t="array" ref="A2">topic</f>
        <v>CFM topic: Capex and Depreciation</v>
      </c>
    </row>
    <row r="3" spans="1:7" s="3" customFormat="1" x14ac:dyDescent="0.25">
      <c r="A3" s="3" t="s">
        <v>36</v>
      </c>
    </row>
    <row r="5" spans="1:7" s="1" customFormat="1" x14ac:dyDescent="0.25">
      <c r="A5" s="2" t="s">
        <v>2</v>
      </c>
    </row>
    <row r="7" spans="1:7" x14ac:dyDescent="0.25">
      <c r="E7" t="s">
        <v>3</v>
      </c>
      <c r="F7" s="5" t="s">
        <v>4</v>
      </c>
      <c r="G7" t="s">
        <v>7</v>
      </c>
    </row>
    <row r="8" spans="1:7" x14ac:dyDescent="0.25">
      <c r="E8" t="s">
        <v>5</v>
      </c>
      <c r="F8" s="5" t="s">
        <v>6</v>
      </c>
      <c r="G8" t="s">
        <v>7</v>
      </c>
    </row>
    <row r="9" spans="1:7" x14ac:dyDescent="0.25">
      <c r="E9" t="s">
        <v>56</v>
      </c>
      <c r="F9" s="11">
        <v>43465</v>
      </c>
      <c r="G9" t="s">
        <v>37</v>
      </c>
    </row>
    <row r="10" spans="1:7" x14ac:dyDescent="0.25">
      <c r="F10" s="12"/>
    </row>
    <row r="11" spans="1:7" s="1" customFormat="1" x14ac:dyDescent="0.25">
      <c r="A11" s="2" t="s">
        <v>8</v>
      </c>
    </row>
    <row r="13" spans="1:7" x14ac:dyDescent="0.25">
      <c r="E13" t="s">
        <v>9</v>
      </c>
      <c r="F13" s="6">
        <v>2543</v>
      </c>
      <c r="G13" t="s">
        <v>10</v>
      </c>
    </row>
    <row r="14" spans="1:7" x14ac:dyDescent="0.25">
      <c r="E14" t="s">
        <v>17</v>
      </c>
      <c r="F14" s="4">
        <v>25</v>
      </c>
      <c r="G14" t="s">
        <v>11</v>
      </c>
    </row>
    <row r="15" spans="1:7" x14ac:dyDescent="0.25">
      <c r="F15" s="9"/>
    </row>
    <row r="16" spans="1:7" x14ac:dyDescent="0.25">
      <c r="E16" t="s">
        <v>12</v>
      </c>
      <c r="F16" s="7">
        <v>123.5</v>
      </c>
      <c r="G16" t="s">
        <v>10</v>
      </c>
    </row>
    <row r="17" spans="1:7" x14ac:dyDescent="0.25">
      <c r="E17" t="s">
        <v>13</v>
      </c>
      <c r="F17" s="8">
        <v>7.4999999999999997E-2</v>
      </c>
      <c r="G17" t="s">
        <v>14</v>
      </c>
    </row>
    <row r="18" spans="1:7" x14ac:dyDescent="0.25">
      <c r="E18" t="s">
        <v>15</v>
      </c>
      <c r="F18" s="5">
        <v>10</v>
      </c>
      <c r="G18" t="s">
        <v>11</v>
      </c>
    </row>
    <row r="19" spans="1:7" x14ac:dyDescent="0.25">
      <c r="E19" t="s">
        <v>16</v>
      </c>
      <c r="F19" s="5">
        <v>7</v>
      </c>
      <c r="G19" t="s">
        <v>11</v>
      </c>
    </row>
    <row r="20" spans="1:7" x14ac:dyDescent="0.25">
      <c r="E20" t="s">
        <v>20</v>
      </c>
      <c r="F20" s="4" t="s">
        <v>22</v>
      </c>
      <c r="G20" t="s">
        <v>21</v>
      </c>
    </row>
    <row r="21" spans="1:7" x14ac:dyDescent="0.25">
      <c r="F21" s="12"/>
    </row>
    <row r="22" spans="1:7" s="1" customFormat="1" x14ac:dyDescent="0.25">
      <c r="A22" s="2" t="s">
        <v>18</v>
      </c>
    </row>
    <row r="24" spans="1:7" x14ac:dyDescent="0.25">
      <c r="E24" t="s">
        <v>19</v>
      </c>
      <c r="F24" s="5">
        <v>5</v>
      </c>
      <c r="G24" t="s">
        <v>11</v>
      </c>
    </row>
    <row r="25" spans="1:7" x14ac:dyDescent="0.25">
      <c r="E25" t="s">
        <v>23</v>
      </c>
      <c r="F25" s="5">
        <v>50</v>
      </c>
      <c r="G25" t="s">
        <v>10</v>
      </c>
    </row>
    <row r="26" spans="1:7" x14ac:dyDescent="0.25">
      <c r="E26" t="s">
        <v>24</v>
      </c>
      <c r="F26" s="5">
        <v>10</v>
      </c>
      <c r="G26" t="s">
        <v>11</v>
      </c>
    </row>
    <row r="27" spans="1:7" x14ac:dyDescent="0.25">
      <c r="E27" t="s">
        <v>20</v>
      </c>
      <c r="F27" s="4" t="s">
        <v>38</v>
      </c>
      <c r="G27" t="s">
        <v>21</v>
      </c>
    </row>
    <row r="29" spans="1:7" x14ac:dyDescent="0.25">
      <c r="C29" s="10" t="s">
        <v>25</v>
      </c>
    </row>
    <row r="30" spans="1:7" x14ac:dyDescent="0.25">
      <c r="E30" t="s">
        <v>26</v>
      </c>
      <c r="F30" s="7">
        <v>5</v>
      </c>
      <c r="G30" t="s">
        <v>10</v>
      </c>
    </row>
    <row r="31" spans="1:7" x14ac:dyDescent="0.25">
      <c r="E31" t="s">
        <v>27</v>
      </c>
      <c r="F31" s="7">
        <v>15</v>
      </c>
      <c r="G31" t="s">
        <v>10</v>
      </c>
    </row>
    <row r="32" spans="1:7" x14ac:dyDescent="0.25">
      <c r="E32" t="s">
        <v>28</v>
      </c>
      <c r="F32" s="7">
        <v>7.5</v>
      </c>
      <c r="G32" t="s">
        <v>10</v>
      </c>
    </row>
    <row r="33" spans="1:7" x14ac:dyDescent="0.25">
      <c r="E33" t="s">
        <v>29</v>
      </c>
      <c r="F33" s="7">
        <v>20.2</v>
      </c>
      <c r="G33" t="s">
        <v>10</v>
      </c>
    </row>
    <row r="34" spans="1:7" x14ac:dyDescent="0.25">
      <c r="E34" t="s">
        <v>30</v>
      </c>
      <c r="F34" s="7">
        <v>60.7</v>
      </c>
      <c r="G34" t="s">
        <v>10</v>
      </c>
    </row>
    <row r="35" spans="1:7" x14ac:dyDescent="0.25">
      <c r="E35" t="s">
        <v>31</v>
      </c>
      <c r="F35" s="7">
        <v>1</v>
      </c>
      <c r="G35" t="s">
        <v>10</v>
      </c>
    </row>
    <row r="36" spans="1:7" x14ac:dyDescent="0.25">
      <c r="E36" t="s">
        <v>32</v>
      </c>
      <c r="F36" s="7">
        <v>0.3</v>
      </c>
      <c r="G36" t="s">
        <v>10</v>
      </c>
    </row>
    <row r="37" spans="1:7" x14ac:dyDescent="0.25">
      <c r="E37" t="s">
        <v>33</v>
      </c>
      <c r="F37" s="7">
        <v>0</v>
      </c>
      <c r="G37" t="s">
        <v>10</v>
      </c>
    </row>
    <row r="38" spans="1:7" x14ac:dyDescent="0.25">
      <c r="E38" t="s">
        <v>34</v>
      </c>
      <c r="F38" s="7">
        <v>0</v>
      </c>
      <c r="G38" t="s">
        <v>10</v>
      </c>
    </row>
    <row r="39" spans="1:7" x14ac:dyDescent="0.25">
      <c r="E39" t="s">
        <v>35</v>
      </c>
      <c r="F39" s="7">
        <v>0.5</v>
      </c>
      <c r="G39" t="s">
        <v>10</v>
      </c>
    </row>
    <row r="41" spans="1:7" x14ac:dyDescent="0.25">
      <c r="E41" t="s">
        <v>39</v>
      </c>
      <c r="F41" s="11">
        <v>43465</v>
      </c>
      <c r="G41" t="s">
        <v>37</v>
      </c>
    </row>
    <row r="43" spans="1:7" s="1" customFormat="1" x14ac:dyDescent="0.25">
      <c r="A43" s="2" t="s">
        <v>40</v>
      </c>
    </row>
    <row r="45" spans="1:7" x14ac:dyDescent="0.25">
      <c r="E45" t="s">
        <v>54</v>
      </c>
      <c r="F45" s="17">
        <v>45291</v>
      </c>
      <c r="G45" t="s">
        <v>37</v>
      </c>
    </row>
    <row r="46" spans="1:7" x14ac:dyDescent="0.25">
      <c r="E46" t="s">
        <v>55</v>
      </c>
      <c r="F46" s="4">
        <v>552</v>
      </c>
      <c r="G46" t="s">
        <v>10</v>
      </c>
    </row>
    <row r="48" spans="1:7" s="1" customFormat="1" x14ac:dyDescent="0.25">
      <c r="A48" s="2" t="s">
        <v>1</v>
      </c>
    </row>
  </sheetData>
  <phoneticPr fontId="4" type="noConversion"/>
  <printOptions horizontalCentered="1"/>
  <pageMargins left="0.15748031496062992" right="0.15748031496062992" top="0.39370078740157483" bottom="0.39370078740157483" header="0.15748031496062992" footer="0.15748031496062992"/>
  <pageSetup fitToHeight="0" orientation="landscape" r:id="rId1"/>
  <headerFooter>
    <oddFooter>&amp;LFinancial Modelling Institute
CFM October 2026&amp;CPage &amp;P of &amp;N&amp;R&amp;D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684D52-3A49-4B24-8246-ECFA88E3C6BC}">
          <x14:formula1>
            <xm:f>_xlfn.ANCHORARRAY(Time!$J$7)</xm:f>
          </x14:formula1>
          <xm:sqref>F41 F45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9114-2335-4AF4-92BE-5FEEB68482DB}">
  <sheetPr>
    <pageSetUpPr autoPageBreaks="0" fitToPage="1"/>
  </sheetPr>
  <dimension ref="A1:S48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I9" sqref="I9"/>
    </sheetView>
  </sheetViews>
  <sheetFormatPr defaultRowHeight="13.2" x14ac:dyDescent="0.25"/>
  <cols>
    <col min="1" max="4" width="1.88671875" customWidth="1"/>
    <col min="5" max="5" width="35.88671875" customWidth="1"/>
    <col min="9" max="9" width="1.88671875" customWidth="1"/>
    <col min="10" max="10" width="11.88671875" bestFit="1" customWidth="1"/>
    <col min="11" max="19" width="11.5546875" bestFit="1" customWidth="1"/>
  </cols>
  <sheetData>
    <row r="1" spans="1:19" s="3" customFormat="1" x14ac:dyDescent="0.25">
      <c r="A1" s="3" t="str" cm="1">
        <f t="array" ref="A1">company</f>
        <v>Galway Inc.</v>
      </c>
    </row>
    <row r="2" spans="1:19" s="3" customFormat="1" x14ac:dyDescent="0.25">
      <c r="A2" s="3" t="str" cm="1">
        <f t="array" ref="A2">topic</f>
        <v>CFM topic: Capex and Depreciation</v>
      </c>
    </row>
    <row r="3" spans="1:19" s="3" customFormat="1" x14ac:dyDescent="0.25">
      <c r="A3" s="3" t="s">
        <v>41</v>
      </c>
    </row>
    <row r="5" spans="1:19" s="1" customFormat="1" x14ac:dyDescent="0.25">
      <c r="A5" s="2" t="s">
        <v>45</v>
      </c>
    </row>
    <row r="7" spans="1:19" x14ac:dyDescent="0.25">
      <c r="E7" t="s">
        <v>42</v>
      </c>
      <c r="G7" t="s">
        <v>37</v>
      </c>
      <c r="J7" s="13" cm="1">
        <f t="array" ref="J7:S7">EOMONTH( start_date, _xlfn.SEQUENCE( 1, MAX( periods_bldg, periods_it ), 0, 12 ) )</f>
        <v>43465</v>
      </c>
      <c r="K7" s="13">
        <v>43830</v>
      </c>
      <c r="L7" s="13">
        <v>44196</v>
      </c>
      <c r="M7" s="13">
        <v>44561</v>
      </c>
      <c r="N7" s="13">
        <v>44926</v>
      </c>
      <c r="O7" s="13">
        <v>45291</v>
      </c>
      <c r="P7" s="13">
        <v>45657</v>
      </c>
      <c r="Q7" s="13">
        <v>46022</v>
      </c>
      <c r="R7" s="13">
        <v>46387</v>
      </c>
      <c r="S7" s="13">
        <v>46752</v>
      </c>
    </row>
    <row r="8" spans="1:19" x14ac:dyDescent="0.25">
      <c r="E8" t="s">
        <v>43</v>
      </c>
      <c r="G8" t="s">
        <v>44</v>
      </c>
      <c r="J8" cm="1">
        <f t="array" ref="J8:S8" xml:space="preserve"> _xlfn.SEQUENCE( 1, MAX( periods_bldg, periods_it ), 1, 1 )</f>
        <v>1</v>
      </c>
      <c r="K8">
        <v>2</v>
      </c>
      <c r="L8">
        <v>3</v>
      </c>
      <c r="M8">
        <v>4</v>
      </c>
      <c r="N8">
        <v>5</v>
      </c>
      <c r="O8">
        <v>6</v>
      </c>
      <c r="P8">
        <v>7</v>
      </c>
      <c r="Q8">
        <v>8</v>
      </c>
      <c r="R8">
        <v>9</v>
      </c>
      <c r="S8">
        <v>10</v>
      </c>
    </row>
    <row r="9" spans="1:19" x14ac:dyDescent="0.25">
      <c r="E9" t="s">
        <v>51</v>
      </c>
      <c r="G9" t="s">
        <v>50</v>
      </c>
      <c r="J9" cm="1">
        <f t="array" ref="J9:S9" xml:space="preserve"> _xlfn.SEQUENCE( 1, periods_bldg, 1, 0 )</f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3" spans="1:19" s="1" customFormat="1" x14ac:dyDescent="0.25">
      <c r="A13" s="2" t="s">
        <v>46</v>
      </c>
    </row>
    <row r="48" spans="1:1" s="1" customFormat="1" x14ac:dyDescent="0.25">
      <c r="A48" s="2" t="s">
        <v>1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97" fitToHeight="0" orientation="landscape" r:id="rId1"/>
  <headerFooter>
    <oddFooter>&amp;LFinancial Modelling Institute
CFM October 2026&amp;CPage &amp;P of &amp;N&amp;R&amp;D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4A592-5E07-4201-9E24-8F0F5EB88B7E}">
  <sheetPr>
    <pageSetUpPr autoPageBreaks="0" fitToPage="1"/>
  </sheetPr>
  <dimension ref="A1:A45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E8" sqref="E8"/>
    </sheetView>
  </sheetViews>
  <sheetFormatPr defaultRowHeight="13.2" x14ac:dyDescent="0.25"/>
  <cols>
    <col min="1" max="4" width="1.88671875" customWidth="1"/>
    <col min="5" max="5" width="35.88671875" customWidth="1"/>
    <col min="9" max="9" width="1.88671875" customWidth="1"/>
  </cols>
  <sheetData>
    <row r="1" spans="1:1" s="3" customFormat="1" x14ac:dyDescent="0.25">
      <c r="A1" s="3" t="str" cm="1">
        <f t="array" ref="A1">company</f>
        <v>Galway Inc.</v>
      </c>
    </row>
    <row r="2" spans="1:1" s="3" customFormat="1" x14ac:dyDescent="0.25">
      <c r="A2" s="3" t="str" cm="1">
        <f t="array" ref="A2">topic</f>
        <v>CFM topic: Capex and Depreciation</v>
      </c>
    </row>
    <row r="3" spans="1:1" s="3" customFormat="1" x14ac:dyDescent="0.25">
      <c r="A3" s="3" t="s">
        <v>0</v>
      </c>
    </row>
    <row r="45" spans="1:1" s="1" customFormat="1" x14ac:dyDescent="0.25">
      <c r="A45" s="2" t="s">
        <v>1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97" fitToHeight="0" orientation="landscape" r:id="rId1"/>
  <headerFooter>
    <oddFooter>&amp;LFinancial Modelling Institute
CFM October 2026&amp;CPage &amp;P of &amp;N&amp;R&amp;D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8384-61AF-4489-BA09-F11ECBDBA4DF}">
  <dimension ref="B2:R143"/>
  <sheetViews>
    <sheetView showGridLines="0" zoomScaleNormal="100" workbookViewId="0">
      <pane ySplit="7" topLeftCell="A134" activePane="bottomLeft" state="frozen"/>
      <selection activeCell="B10" sqref="B10"/>
      <selection pane="bottomLeft" activeCell="E138" sqref="E138"/>
    </sheetView>
  </sheetViews>
  <sheetFormatPr defaultColWidth="9.109375" defaultRowHeight="13.8" x14ac:dyDescent="0.25"/>
  <cols>
    <col min="1" max="1" width="9.109375" style="20"/>
    <col min="2" max="2" width="32" style="20" customWidth="1"/>
    <col min="3" max="16384" width="9.109375" style="20"/>
  </cols>
  <sheetData>
    <row r="2" spans="2:14" ht="21" x14ac:dyDescent="0.4">
      <c r="B2" s="19" t="s">
        <v>58</v>
      </c>
    </row>
    <row r="3" spans="2:14" ht="15.6" x14ac:dyDescent="0.3">
      <c r="B3" s="21" t="s">
        <v>59</v>
      </c>
    </row>
    <row r="4" spans="2:14" ht="3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2:14" ht="12.75" customHeight="1" x14ac:dyDescent="0.25"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2:14" s="24" customFormat="1" ht="13.2" x14ac:dyDescent="0.25">
      <c r="D6" s="25">
        <v>2017</v>
      </c>
      <c r="E6" s="26">
        <f>D6+1</f>
        <v>2018</v>
      </c>
      <c r="F6" s="26">
        <f t="shared" ref="F6:N6" si="0">E6+1</f>
        <v>2019</v>
      </c>
      <c r="G6" s="26">
        <f t="shared" si="0"/>
        <v>2020</v>
      </c>
      <c r="H6" s="26">
        <f t="shared" si="0"/>
        <v>2021</v>
      </c>
      <c r="I6" s="26">
        <f t="shared" si="0"/>
        <v>2022</v>
      </c>
      <c r="J6" s="26">
        <f t="shared" si="0"/>
        <v>2023</v>
      </c>
      <c r="K6" s="26">
        <f t="shared" si="0"/>
        <v>2024</v>
      </c>
      <c r="L6" s="26">
        <f t="shared" si="0"/>
        <v>2025</v>
      </c>
      <c r="M6" s="26">
        <f t="shared" si="0"/>
        <v>2026</v>
      </c>
      <c r="N6" s="26">
        <f t="shared" si="0"/>
        <v>2027</v>
      </c>
    </row>
    <row r="7" spans="2:14" s="24" customFormat="1" ht="13.2" x14ac:dyDescent="0.25"/>
    <row r="8" spans="2:14" s="24" customFormat="1" ht="15" customHeight="1" x14ac:dyDescent="0.25">
      <c r="B8" s="27" t="s">
        <v>60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 spans="2:14" s="24" customFormat="1" ht="14.25" customHeight="1" x14ac:dyDescent="0.25">
      <c r="B9" s="24" t="s">
        <v>61</v>
      </c>
      <c r="C9" s="29">
        <v>25</v>
      </c>
    </row>
    <row r="10" spans="2:14" s="24" customFormat="1" ht="14.25" customHeight="1" x14ac:dyDescent="0.25">
      <c r="D10" s="29"/>
    </row>
    <row r="11" spans="2:14" s="24" customFormat="1" ht="14.25" customHeight="1" x14ac:dyDescent="0.25">
      <c r="B11" s="24" t="s">
        <v>62</v>
      </c>
      <c r="C11" s="30">
        <f>$D$104</f>
        <v>0</v>
      </c>
    </row>
    <row r="12" spans="2:14" s="24" customFormat="1" ht="14.25" customHeight="1" x14ac:dyDescent="0.25">
      <c r="B12" s="24" t="s">
        <v>63</v>
      </c>
      <c r="C12" s="31">
        <v>2020</v>
      </c>
      <c r="D12" s="31"/>
    </row>
    <row r="13" spans="2:14" s="24" customFormat="1" ht="14.25" customHeight="1" x14ac:dyDescent="0.25">
      <c r="D13" s="29"/>
    </row>
    <row r="14" spans="2:14" s="24" customFormat="1" ht="14.25" customHeight="1" x14ac:dyDescent="0.25">
      <c r="B14" s="24" t="s">
        <v>64</v>
      </c>
      <c r="D14" s="32"/>
      <c r="E14" s="33">
        <f t="shared" ref="E14:N14" si="1">D16</f>
        <v>2543</v>
      </c>
      <c r="F14" s="33">
        <f t="shared" si="1"/>
        <v>2543</v>
      </c>
      <c r="G14" s="33">
        <f t="shared" si="1"/>
        <v>2543</v>
      </c>
      <c r="H14" s="33">
        <f t="shared" si="1"/>
        <v>2543</v>
      </c>
      <c r="I14" s="33">
        <f t="shared" si="1"/>
        <v>2543</v>
      </c>
      <c r="J14" s="33">
        <f t="shared" si="1"/>
        <v>2543</v>
      </c>
      <c r="K14" s="33">
        <f t="shared" si="1"/>
        <v>2543</v>
      </c>
      <c r="L14" s="33">
        <f t="shared" si="1"/>
        <v>2543</v>
      </c>
      <c r="M14" s="33">
        <f t="shared" si="1"/>
        <v>2543</v>
      </c>
      <c r="N14" s="33">
        <f t="shared" si="1"/>
        <v>2543</v>
      </c>
    </row>
    <row r="15" spans="2:14" s="24" customFormat="1" ht="14.25" customHeight="1" x14ac:dyDescent="0.25">
      <c r="B15" s="24" t="s">
        <v>62</v>
      </c>
      <c r="D15" s="32"/>
      <c r="E15" s="34">
        <f t="shared" ref="E15:N15" si="2">IF(E$6=$C$12,-$C$11,0)</f>
        <v>0</v>
      </c>
      <c r="F15" s="34">
        <f t="shared" si="2"/>
        <v>0</v>
      </c>
      <c r="G15" s="34">
        <f t="shared" si="2"/>
        <v>0</v>
      </c>
      <c r="H15" s="34">
        <f t="shared" si="2"/>
        <v>0</v>
      </c>
      <c r="I15" s="34">
        <f t="shared" si="2"/>
        <v>0</v>
      </c>
      <c r="J15" s="34">
        <f t="shared" si="2"/>
        <v>0</v>
      </c>
      <c r="K15" s="34">
        <f t="shared" si="2"/>
        <v>0</v>
      </c>
      <c r="L15" s="34">
        <f t="shared" si="2"/>
        <v>0</v>
      </c>
      <c r="M15" s="34">
        <f t="shared" si="2"/>
        <v>0</v>
      </c>
      <c r="N15" s="34">
        <f t="shared" si="2"/>
        <v>0</v>
      </c>
    </row>
    <row r="16" spans="2:14" s="24" customFormat="1" ht="14.25" customHeight="1" x14ac:dyDescent="0.25">
      <c r="B16" s="24" t="s">
        <v>65</v>
      </c>
      <c r="D16" s="35">
        <v>2543</v>
      </c>
      <c r="E16" s="36">
        <f t="shared" ref="E16:N16" si="3">SUM(E14:E15)</f>
        <v>2543</v>
      </c>
      <c r="F16" s="36">
        <f t="shared" si="3"/>
        <v>2543</v>
      </c>
      <c r="G16" s="36">
        <f t="shared" si="3"/>
        <v>2543</v>
      </c>
      <c r="H16" s="36">
        <f t="shared" si="3"/>
        <v>2543</v>
      </c>
      <c r="I16" s="36">
        <f t="shared" si="3"/>
        <v>2543</v>
      </c>
      <c r="J16" s="36">
        <f t="shared" si="3"/>
        <v>2543</v>
      </c>
      <c r="K16" s="36">
        <f t="shared" si="3"/>
        <v>2543</v>
      </c>
      <c r="L16" s="36">
        <f t="shared" si="3"/>
        <v>2543</v>
      </c>
      <c r="M16" s="36">
        <f t="shared" si="3"/>
        <v>2543</v>
      </c>
      <c r="N16" s="36">
        <f t="shared" si="3"/>
        <v>2543</v>
      </c>
    </row>
    <row r="17" spans="2:18" s="24" customFormat="1" ht="14.25" customHeight="1" x14ac:dyDescent="0.25">
      <c r="D17" s="32"/>
    </row>
    <row r="18" spans="2:18" s="24" customFormat="1" ht="14.25" customHeight="1" x14ac:dyDescent="0.25">
      <c r="B18" s="37" t="s">
        <v>66</v>
      </c>
      <c r="C18" s="37"/>
      <c r="D18" s="37"/>
      <c r="E18" s="38">
        <f t="shared" ref="E18:N18" si="4">E14/$C$9</f>
        <v>101.72</v>
      </c>
      <c r="F18" s="38">
        <f t="shared" si="4"/>
        <v>101.72</v>
      </c>
      <c r="G18" s="38">
        <f t="shared" si="4"/>
        <v>101.72</v>
      </c>
      <c r="H18" s="38">
        <f t="shared" si="4"/>
        <v>101.72</v>
      </c>
      <c r="I18" s="38">
        <f t="shared" si="4"/>
        <v>101.72</v>
      </c>
      <c r="J18" s="38">
        <f t="shared" si="4"/>
        <v>101.72</v>
      </c>
      <c r="K18" s="38">
        <f t="shared" si="4"/>
        <v>101.72</v>
      </c>
      <c r="L18" s="38">
        <f t="shared" si="4"/>
        <v>101.72</v>
      </c>
      <c r="M18" s="38">
        <f t="shared" si="4"/>
        <v>101.72</v>
      </c>
      <c r="N18" s="38">
        <f t="shared" si="4"/>
        <v>101.72</v>
      </c>
    </row>
    <row r="19" spans="2:18" s="24" customFormat="1" ht="13.2" x14ac:dyDescent="0.25">
      <c r="B19" s="37"/>
      <c r="C19" s="37"/>
      <c r="D19" s="37"/>
      <c r="E19" s="39"/>
      <c r="F19" s="39"/>
      <c r="G19" s="39"/>
      <c r="H19" s="39"/>
      <c r="I19" s="39"/>
      <c r="J19" s="39"/>
      <c r="K19" s="39"/>
      <c r="L19" s="39"/>
      <c r="M19" s="39"/>
      <c r="N19" s="39"/>
    </row>
    <row r="20" spans="2:18" s="42" customFormat="1" ht="14.25" customHeight="1" x14ac:dyDescent="0.25">
      <c r="B20" s="40" t="s">
        <v>67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</row>
    <row r="21" spans="2:18" s="42" customFormat="1" ht="14.25" customHeight="1" x14ac:dyDescent="0.25">
      <c r="B21" s="42" t="s">
        <v>68</v>
      </c>
      <c r="D21" s="43">
        <v>123.5</v>
      </c>
      <c r="E21" s="44">
        <f>D21*(1+E22)</f>
        <v>132.76249999999999</v>
      </c>
      <c r="F21" s="44">
        <f t="shared" ref="F21:N21" si="5">E21*(1+F22)</f>
        <v>142.71968749999999</v>
      </c>
      <c r="G21" s="44">
        <f t="shared" si="5"/>
        <v>153.42366406249999</v>
      </c>
      <c r="H21" s="44">
        <f t="shared" si="5"/>
        <v>164.93043886718749</v>
      </c>
      <c r="I21" s="44">
        <f t="shared" si="5"/>
        <v>177.30022178222654</v>
      </c>
      <c r="J21" s="44">
        <f t="shared" si="5"/>
        <v>190.59773841589353</v>
      </c>
      <c r="K21" s="44">
        <f t="shared" si="5"/>
        <v>204.89256879708554</v>
      </c>
      <c r="L21" s="44">
        <f t="shared" si="5"/>
        <v>220.25951145686696</v>
      </c>
      <c r="M21" s="44">
        <f t="shared" si="5"/>
        <v>236.77897481613198</v>
      </c>
      <c r="N21" s="44">
        <f t="shared" si="5"/>
        <v>254.53739792734186</v>
      </c>
    </row>
    <row r="22" spans="2:18" s="42" customFormat="1" ht="14.25" customHeight="1" x14ac:dyDescent="0.25">
      <c r="B22" s="45" t="s">
        <v>69</v>
      </c>
      <c r="C22" s="45"/>
      <c r="E22" s="46">
        <v>7.4999999999999997E-2</v>
      </c>
      <c r="F22" s="47">
        <f>E22</f>
        <v>7.4999999999999997E-2</v>
      </c>
      <c r="G22" s="47">
        <f t="shared" ref="G22:N22" si="6">F22</f>
        <v>7.4999999999999997E-2</v>
      </c>
      <c r="H22" s="47">
        <f t="shared" si="6"/>
        <v>7.4999999999999997E-2</v>
      </c>
      <c r="I22" s="47">
        <f t="shared" si="6"/>
        <v>7.4999999999999997E-2</v>
      </c>
      <c r="J22" s="47">
        <f t="shared" si="6"/>
        <v>7.4999999999999997E-2</v>
      </c>
      <c r="K22" s="47">
        <f t="shared" si="6"/>
        <v>7.4999999999999997E-2</v>
      </c>
      <c r="L22" s="47">
        <f t="shared" si="6"/>
        <v>7.4999999999999997E-2</v>
      </c>
      <c r="M22" s="47">
        <f t="shared" si="6"/>
        <v>7.4999999999999997E-2</v>
      </c>
      <c r="N22" s="47">
        <f t="shared" si="6"/>
        <v>7.4999999999999997E-2</v>
      </c>
    </row>
    <row r="23" spans="2:18" s="42" customFormat="1" ht="13.2" x14ac:dyDescent="0.25"/>
    <row r="24" spans="2:18" s="42" customFormat="1" ht="13.2" x14ac:dyDescent="0.25"/>
    <row r="25" spans="2:18" s="42" customFormat="1" ht="13.2" x14ac:dyDescent="0.25">
      <c r="B25" s="42" t="s">
        <v>61</v>
      </c>
      <c r="C25" s="48">
        <v>7</v>
      </c>
    </row>
    <row r="26" spans="2:18" s="42" customFormat="1" ht="13.2" x14ac:dyDescent="0.25">
      <c r="B26" s="42" t="s">
        <v>70</v>
      </c>
      <c r="C26" s="49">
        <f>1/C25*2</f>
        <v>0.2857142857142857</v>
      </c>
    </row>
    <row r="27" spans="2:18" s="42" customFormat="1" ht="13.2" x14ac:dyDescent="0.25"/>
    <row r="28" spans="2:18" s="42" customFormat="1" ht="13.2" x14ac:dyDescent="0.25">
      <c r="B28" s="42" t="s">
        <v>71</v>
      </c>
      <c r="P28" s="50" t="s">
        <v>72</v>
      </c>
      <c r="Q28" s="50"/>
    </row>
    <row r="29" spans="2:18" s="42" customFormat="1" ht="13.2" x14ac:dyDescent="0.25">
      <c r="B29" s="51">
        <f t="array" ref="B29:B38">TRANSPOSE(E6:N6)</f>
        <v>2018</v>
      </c>
      <c r="C29" s="44">
        <f t="shared" ref="C29:C38" si="7">INDEX($D$21:$N$21,MATCH($B29,$D$6:$N$6,0))</f>
        <v>132.76249999999999</v>
      </c>
      <c r="E29" s="44">
        <f>IF(E$6=$B29,($C29-SUM($D29:D29))*$C$26/2,IF(E$6&lt;$B29+$C$25,($C29-SUM($D29:D29))*$C$26,$C29-SUM($D29:D29)))</f>
        <v>18.966071428571425</v>
      </c>
      <c r="F29" s="44">
        <f>IF(F$6=$B29,($C29-SUM($D29:E29))*$C$26/2,IF(F$6&lt;$B29+$C$25,($C29-SUM($D29:E29))*$C$26,$C29-SUM($D29:E29)))</f>
        <v>32.513265306122442</v>
      </c>
      <c r="G29" s="44">
        <f>IF(G$6=$B29,($C29-SUM($D29:F29))*$C$26/2,IF(G$6&lt;$B29+$C$25,($C29-SUM($D29:F29))*$C$26,$C29-SUM($D29:F29)))</f>
        <v>23.223760932944604</v>
      </c>
      <c r="H29" s="44">
        <f>IF(H$6=$B29,($C29-SUM($D29:G29))*$C$26/2,IF(H$6&lt;$B29+$C$25,($C29-SUM($D29:G29))*$C$26,$C29-SUM($D29:G29)))</f>
        <v>16.588400666389003</v>
      </c>
      <c r="I29" s="44">
        <f>IF(I$6=$B29,($C29-SUM($D29:H29))*$C$26/2,IF(I$6&lt;$B29+$C$25,($C29-SUM($D29:H29))*$C$26,$C29-SUM($D29:H29)))</f>
        <v>11.848857618849287</v>
      </c>
      <c r="J29" s="44">
        <f>IF(J$6=$B29,($C29-SUM($D29:I29))*$C$26/2,IF(J$6&lt;$B29+$C$25,($C29-SUM($D29:I29))*$C$26,$C29-SUM($D29:I29)))</f>
        <v>8.463469727749489</v>
      </c>
      <c r="K29" s="44">
        <f>IF(K$6=$B29,($C29-SUM($D29:J29))*$C$26/2,IF(K$6&lt;$B29+$C$25,($C29-SUM($D29:J29))*$C$26,$C29-SUM($D29:J29)))</f>
        <v>6.0453355198210659</v>
      </c>
      <c r="L29" s="44">
        <f>IF(L$6=$B29,($C29-SUM($D29:K29))*$C$26/2,IF(L$6&lt;$B29+$C$25,($C29-SUM($D29:K29))*$C$26,$C29-SUM($D29:K29)))</f>
        <v>15.113338799552665</v>
      </c>
      <c r="M29" s="44">
        <f>IF(M$6=$B29,($C29-SUM($D29:L29))*$C$26/2,IF(M$6&lt;$B29+$C$25,($C29-SUM($D29:L29))*$C$26,$C29-SUM($D29:L29)))</f>
        <v>0</v>
      </c>
      <c r="N29" s="44">
        <f>IF(N$6=$B29,($C29-SUM($D29:M29))*$C$26/2,IF(N$6&lt;$B29+$C$25,($C29-SUM($D29:M29))*$C$26,$C29-SUM($D29:M29)))</f>
        <v>0</v>
      </c>
      <c r="P29" s="52">
        <f t="shared" ref="P29:P38" si="8">SUM(E29:N29)</f>
        <v>132.76249999999999</v>
      </c>
      <c r="Q29" s="52" t="b">
        <f t="shared" ref="Q29:Q38" si="9">P29&lt;=C29</f>
        <v>1</v>
      </c>
      <c r="R29" s="53"/>
    </row>
    <row r="30" spans="2:18" s="42" customFormat="1" ht="13.2" x14ac:dyDescent="0.25">
      <c r="B30" s="51">
        <v>2019</v>
      </c>
      <c r="C30" s="44">
        <f t="shared" si="7"/>
        <v>142.71968749999999</v>
      </c>
      <c r="F30" s="44">
        <f>IF(F$6=$B30,($C30-SUM($D30:E30))*$C$26/2,IF(F$6&lt;$B30+$C$25,($C30-SUM($D30:E30))*$C$26,$C30-SUM($D30:E30)))</f>
        <v>20.388526785714284</v>
      </c>
      <c r="G30" s="44">
        <f>IF(G$6=$B30,($C30-SUM($D30:F30))*$C$26/2,IF(G$6&lt;$B30+$C$25,($C30-SUM($D30:F30))*$C$26,$C30-SUM($D30:F30)))</f>
        <v>34.95176020408163</v>
      </c>
      <c r="H30" s="44">
        <f>IF(H$6=$B30,($C30-SUM($D30:G30))*$C$26/2,IF(H$6&lt;$B30+$C$25,($C30-SUM($D30:G30))*$C$26,$C30-SUM($D30:G30)))</f>
        <v>24.965543002915449</v>
      </c>
      <c r="I30" s="44">
        <f>IF(I$6=$B30,($C30-SUM($D30:H30))*$C$26/2,IF(I$6&lt;$B30+$C$25,($C30-SUM($D30:H30))*$C$26,$C30-SUM($D30:H30)))</f>
        <v>17.832530716368179</v>
      </c>
      <c r="J30" s="44">
        <f>IF(J$6=$B30,($C30-SUM($D30:I30))*$C$26/2,IF(J$6&lt;$B30+$C$25,($C30-SUM($D30:I30))*$C$26,$C30-SUM($D30:I30)))</f>
        <v>12.737521940262983</v>
      </c>
      <c r="K30" s="44">
        <f>IF(K$6=$B30,($C30-SUM($D30:J30))*$C$26/2,IF(K$6&lt;$B30+$C$25,($C30-SUM($D30:J30))*$C$26,$C30-SUM($D30:J30)))</f>
        <v>9.0982299573307035</v>
      </c>
      <c r="L30" s="44">
        <f>IF(L$6=$B30,($C30-SUM($D30:K30))*$C$26/2,IF(L$6&lt;$B30+$C$25,($C30-SUM($D30:K30))*$C$26,$C30-SUM($D30:K30)))</f>
        <v>6.498735683807646</v>
      </c>
      <c r="M30" s="44">
        <f>IF(M$6=$B30,($C30-SUM($D30:L30))*$C$26/2,IF(M$6&lt;$B30+$C$25,($C30-SUM($D30:L30))*$C$26,$C30-SUM($D30:L30)))</f>
        <v>16.246839209519109</v>
      </c>
      <c r="N30" s="44">
        <f>IF(N$6=$B30,($C30-SUM($D30:M30))*$C$26/2,IF(N$6&lt;$B30+$C$25,($C30-SUM($D30:M30))*$C$26,$C30-SUM($D30:M30)))</f>
        <v>0</v>
      </c>
      <c r="P30" s="52">
        <f t="shared" si="8"/>
        <v>142.71968749999999</v>
      </c>
      <c r="Q30" s="52" t="b">
        <f t="shared" si="9"/>
        <v>1</v>
      </c>
    </row>
    <row r="31" spans="2:18" s="42" customFormat="1" ht="13.2" x14ac:dyDescent="0.25">
      <c r="B31" s="51">
        <v>2020</v>
      </c>
      <c r="C31" s="44">
        <f t="shared" si="7"/>
        <v>153.42366406249999</v>
      </c>
      <c r="G31" s="44">
        <f>IF(G$6=$B31,($C31-SUM($D31:F31))*$C$26/2,IF(G$6&lt;$B31+$C$25,($C31-SUM($D31:F31))*$C$26,$C31-SUM($D31:F31)))</f>
        <v>21.917666294642856</v>
      </c>
      <c r="H31" s="44">
        <f>IF(H$6=$B31,($C31-SUM($D31:G31))*$C$26/2,IF(H$6&lt;$B31+$C$25,($C31-SUM($D31:G31))*$C$26,$C31-SUM($D31:G31)))</f>
        <v>37.573142219387755</v>
      </c>
      <c r="I31" s="44">
        <f>IF(I$6=$B31,($C31-SUM($D31:H31))*$C$26/2,IF(I$6&lt;$B31+$C$25,($C31-SUM($D31:H31))*$C$26,$C31-SUM($D31:H31)))</f>
        <v>26.837958728134105</v>
      </c>
      <c r="J31" s="44">
        <f>IF(J$6=$B31,($C31-SUM($D31:I31))*$C$26/2,IF(J$6&lt;$B31+$C$25,($C31-SUM($D31:I31))*$C$26,$C31-SUM($D31:I31)))</f>
        <v>19.169970520095791</v>
      </c>
      <c r="K31" s="44">
        <f>IF(K$6=$B31,($C31-SUM($D31:J31))*$C$26/2,IF(K$6&lt;$B31+$C$25,($C31-SUM($D31:J31))*$C$26,$C31-SUM($D31:J31)))</f>
        <v>13.69283608578271</v>
      </c>
      <c r="L31" s="44">
        <f>IF(L$6=$B31,($C31-SUM($D31:K31))*$C$26/2,IF(L$6&lt;$B31+$C$25,($C31-SUM($D31:K31))*$C$26,$C31-SUM($D31:K31)))</f>
        <v>9.7805972041305065</v>
      </c>
      <c r="M31" s="44">
        <f>IF(M$6=$B31,($C31-SUM($D31:L31))*$C$26/2,IF(M$6&lt;$B31+$C$25,($C31-SUM($D31:L31))*$C$26,$C31-SUM($D31:L31)))</f>
        <v>6.9861408600932169</v>
      </c>
      <c r="N31" s="44">
        <f>IF(N$6=$B31,($C31-SUM($D31:M31))*$C$26/2,IF(N$6&lt;$B31+$C$25,($C31-SUM($D31:M31))*$C$26,$C31-SUM($D31:M31)))</f>
        <v>17.465352150233031</v>
      </c>
      <c r="P31" s="52">
        <f t="shared" si="8"/>
        <v>153.42366406249999</v>
      </c>
      <c r="Q31" s="52" t="b">
        <f t="shared" si="9"/>
        <v>1</v>
      </c>
    </row>
    <row r="32" spans="2:18" s="42" customFormat="1" ht="13.2" x14ac:dyDescent="0.25">
      <c r="B32" s="51">
        <v>2021</v>
      </c>
      <c r="C32" s="44">
        <f t="shared" si="7"/>
        <v>164.93043886718749</v>
      </c>
      <c r="H32" s="44">
        <f>IF(H$6=$B32,($C32-SUM($D32:G32))*$C$26/2,IF(H$6&lt;$B32+$C$25,($C32-SUM($D32:G32))*$C$26,$C32-SUM($D32:G32)))</f>
        <v>23.561491266741069</v>
      </c>
      <c r="I32" s="44">
        <f>IF(I$6=$B32,($C32-SUM($D32:H32))*$C$26/2,IF(I$6&lt;$B32+$C$25,($C32-SUM($D32:H32))*$C$26,$C32-SUM($D32:H32)))</f>
        <v>40.391127885841833</v>
      </c>
      <c r="J32" s="44">
        <f>IF(J$6=$B32,($C32-SUM($D32:I32))*$C$26/2,IF(J$6&lt;$B32+$C$25,($C32-SUM($D32:I32))*$C$26,$C32-SUM($D32:I32)))</f>
        <v>28.850805632744169</v>
      </c>
      <c r="K32" s="44">
        <f>IF(K$6=$B32,($C32-SUM($D32:J32))*$C$26/2,IF(K$6&lt;$B32+$C$25,($C32-SUM($D32:J32))*$C$26,$C32-SUM($D32:J32)))</f>
        <v>20.607718309102978</v>
      </c>
      <c r="L32" s="44">
        <f>IF(L$6=$B32,($C32-SUM($D32:K32))*$C$26/2,IF(L$6&lt;$B32+$C$25,($C32-SUM($D32:K32))*$C$26,$C32-SUM($D32:K32)))</f>
        <v>14.719798792216412</v>
      </c>
      <c r="M32" s="44">
        <f>IF(M$6=$B32,($C32-SUM($D32:L32))*$C$26/2,IF(M$6&lt;$B32+$C$25,($C32-SUM($D32:L32))*$C$26,$C32-SUM($D32:L32)))</f>
        <v>10.514141994440292</v>
      </c>
      <c r="N32" s="44">
        <f>IF(N$6=$B32,($C32-SUM($D32:M32))*$C$26/2,IF(N$6&lt;$B32+$C$25,($C32-SUM($D32:M32))*$C$26,$C32-SUM($D32:M32)))</f>
        <v>7.5101014246002116</v>
      </c>
      <c r="P32" s="52">
        <f t="shared" si="8"/>
        <v>146.15518530568696</v>
      </c>
      <c r="Q32" s="52" t="b">
        <f t="shared" si="9"/>
        <v>1</v>
      </c>
    </row>
    <row r="33" spans="2:17" s="42" customFormat="1" ht="13.2" x14ac:dyDescent="0.25">
      <c r="B33" s="51">
        <v>2022</v>
      </c>
      <c r="C33" s="44">
        <f t="shared" si="7"/>
        <v>177.30022178222654</v>
      </c>
      <c r="I33" s="44">
        <f>IF(I$6=$B33,($C33-SUM($D33:H33))*$C$26/2,IF(I$6&lt;$B33+$C$25,($C33-SUM($D33:H33))*$C$26,$C33-SUM($D33:H33)))</f>
        <v>25.328603111746649</v>
      </c>
      <c r="J33" s="44">
        <f>IF(J$6=$B33,($C33-SUM($D33:I33))*$C$26/2,IF(J$6&lt;$B33+$C$25,($C33-SUM($D33:I33))*$C$26,$C33-SUM($D33:I33)))</f>
        <v>43.420462477279969</v>
      </c>
      <c r="K33" s="44">
        <f>IF(K$6=$B33,($C33-SUM($D33:J33))*$C$26/2,IF(K$6&lt;$B33+$C$25,($C33-SUM($D33:J33))*$C$26,$C33-SUM($D33:J33)))</f>
        <v>31.01461605519998</v>
      </c>
      <c r="L33" s="44">
        <f>IF(L$6=$B33,($C33-SUM($D33:K33))*$C$26/2,IF(L$6&lt;$B33+$C$25,($C33-SUM($D33:K33))*$C$26,$C33-SUM($D33:K33)))</f>
        <v>22.153297182285698</v>
      </c>
      <c r="M33" s="44">
        <f>IF(M$6=$B33,($C33-SUM($D33:L33))*$C$26/2,IF(M$6&lt;$B33+$C$25,($C33-SUM($D33:L33))*$C$26,$C33-SUM($D33:L33)))</f>
        <v>15.823783701632642</v>
      </c>
      <c r="N33" s="44">
        <f>IF(N$6=$B33,($C33-SUM($D33:M33))*$C$26/2,IF(N$6&lt;$B33+$C$25,($C33-SUM($D33:M33))*$C$26,$C33-SUM($D33:M33)))</f>
        <v>11.302702644023318</v>
      </c>
      <c r="P33" s="52">
        <f t="shared" si="8"/>
        <v>149.04346517216825</v>
      </c>
      <c r="Q33" s="52" t="b">
        <f t="shared" si="9"/>
        <v>1</v>
      </c>
    </row>
    <row r="34" spans="2:17" s="42" customFormat="1" ht="13.2" x14ac:dyDescent="0.25">
      <c r="B34" s="51">
        <v>2023</v>
      </c>
      <c r="C34" s="44">
        <f t="shared" si="7"/>
        <v>190.59773841589353</v>
      </c>
      <c r="J34" s="44">
        <f>IF(J$6=$B34,($C34-SUM($D34:I34))*$C$26/2,IF(J$6&lt;$B34+$C$25,($C34-SUM($D34:I34))*$C$26,$C34-SUM($D34:I34)))</f>
        <v>27.228248345127646</v>
      </c>
      <c r="K34" s="44">
        <f>IF(K$6=$B34,($C34-SUM($D34:J34))*$C$26/2,IF(K$6&lt;$B34+$C$25,($C34-SUM($D34:J34))*$C$26,$C34-SUM($D34:J34)))</f>
        <v>46.676997163075967</v>
      </c>
      <c r="L34" s="44">
        <f>IF(L$6=$B34,($C34-SUM($D34:K34))*$C$26/2,IF(L$6&lt;$B34+$C$25,($C34-SUM($D34:K34))*$C$26,$C34-SUM($D34:K34)))</f>
        <v>33.340712259339973</v>
      </c>
      <c r="M34" s="44">
        <f>IF(M$6=$B34,($C34-SUM($D34:L34))*$C$26/2,IF(M$6&lt;$B34+$C$25,($C34-SUM($D34:L34))*$C$26,$C34-SUM($D34:L34)))</f>
        <v>23.814794470957125</v>
      </c>
      <c r="N34" s="44">
        <f>IF(N$6=$B34,($C34-SUM($D34:M34))*$C$26/2,IF(N$6&lt;$B34+$C$25,($C34-SUM($D34:M34))*$C$26,$C34-SUM($D34:M34)))</f>
        <v>17.010567479255094</v>
      </c>
      <c r="P34" s="52">
        <f t="shared" si="8"/>
        <v>148.07131971775578</v>
      </c>
      <c r="Q34" s="52" t="b">
        <f t="shared" si="9"/>
        <v>1</v>
      </c>
    </row>
    <row r="35" spans="2:17" s="42" customFormat="1" ht="13.2" x14ac:dyDescent="0.25">
      <c r="B35" s="51">
        <v>2024</v>
      </c>
      <c r="C35" s="44">
        <f t="shared" si="7"/>
        <v>204.89256879708554</v>
      </c>
      <c r="K35" s="44">
        <f>IF(K$6=$B35,($C35-SUM($D35:J35))*$C$26/2,IF(K$6&lt;$B35+$C$25,($C35-SUM($D35:J35))*$C$26,$C35-SUM($D35:J35)))</f>
        <v>29.270366971012219</v>
      </c>
      <c r="L35" s="44">
        <f>IF(L$6=$B35,($C35-SUM($D35:K35))*$C$26/2,IF(L$6&lt;$B35+$C$25,($C35-SUM($D35:K35))*$C$26,$C35-SUM($D35:K35)))</f>
        <v>50.177771950306663</v>
      </c>
      <c r="M35" s="44">
        <f>IF(M$6=$B35,($C35-SUM($D35:L35))*$C$26/2,IF(M$6&lt;$B35+$C$25,($C35-SUM($D35:L35))*$C$26,$C35-SUM($D35:L35)))</f>
        <v>35.841265678790471</v>
      </c>
      <c r="N35" s="44">
        <f>IF(N$6=$B35,($C35-SUM($D35:M35))*$C$26/2,IF(N$6&lt;$B35+$C$25,($C35-SUM($D35:M35))*$C$26,$C35-SUM($D35:M35)))</f>
        <v>25.60090405627891</v>
      </c>
      <c r="P35" s="52">
        <f t="shared" si="8"/>
        <v>140.89030865638827</v>
      </c>
      <c r="Q35" s="52" t="b">
        <f t="shared" si="9"/>
        <v>1</v>
      </c>
    </row>
    <row r="36" spans="2:17" s="42" customFormat="1" ht="13.2" x14ac:dyDescent="0.25">
      <c r="B36" s="51">
        <v>2025</v>
      </c>
      <c r="C36" s="44">
        <f t="shared" si="7"/>
        <v>220.25951145686696</v>
      </c>
      <c r="L36" s="44">
        <f>IF(L$6=$B36,($C36-SUM($D36:K36))*$C$26/2,IF(L$6&lt;$B36+$C$25,($C36-SUM($D36:K36))*$C$26,$C36-SUM($D36:K36)))</f>
        <v>31.465644493838134</v>
      </c>
      <c r="M36" s="44">
        <f>IF(M$6=$B36,($C36-SUM($D36:L36))*$C$26/2,IF(M$6&lt;$B36+$C$25,($C36-SUM($D36:L36))*$C$26,$C36-SUM($D36:L36)))</f>
        <v>53.941104846579663</v>
      </c>
      <c r="N36" s="44">
        <f>IF(N$6=$B36,($C36-SUM($D36:M36))*$C$26/2,IF(N$6&lt;$B36+$C$25,($C36-SUM($D36:M36))*$C$26,$C36-SUM($D36:M36)))</f>
        <v>38.529360604699754</v>
      </c>
      <c r="P36" s="52">
        <f t="shared" si="8"/>
        <v>123.93610994511755</v>
      </c>
      <c r="Q36" s="52" t="b">
        <f t="shared" si="9"/>
        <v>1</v>
      </c>
    </row>
    <row r="37" spans="2:17" s="42" customFormat="1" ht="13.2" x14ac:dyDescent="0.25">
      <c r="B37" s="51">
        <v>2026</v>
      </c>
      <c r="C37" s="44">
        <f t="shared" si="7"/>
        <v>236.77897481613198</v>
      </c>
      <c r="M37" s="44">
        <f>IF(M$6=$B37,($C37-SUM($D37:L37))*$C$26/2,IF(M$6&lt;$B37+$C$25,($C37-SUM($D37:L37))*$C$26,$C37-SUM($D37:L37)))</f>
        <v>33.825567830875997</v>
      </c>
      <c r="N37" s="44">
        <f>IF(N$6=$B37,($C37-SUM($D37:M37))*$C$26/2,IF(N$6&lt;$B37+$C$25,($C37-SUM($D37:M37))*$C$26,$C37-SUM($D37:M37)))</f>
        <v>57.986687710073134</v>
      </c>
      <c r="P37" s="52">
        <f t="shared" si="8"/>
        <v>91.812255540949138</v>
      </c>
      <c r="Q37" s="52" t="b">
        <f t="shared" si="9"/>
        <v>1</v>
      </c>
    </row>
    <row r="38" spans="2:17" s="42" customFormat="1" ht="13.2" x14ac:dyDescent="0.25">
      <c r="B38" s="51">
        <v>2027</v>
      </c>
      <c r="C38" s="44">
        <f t="shared" si="7"/>
        <v>254.53739792734186</v>
      </c>
      <c r="N38" s="44">
        <f>IF(N$6=$B38,($C38-SUM($D38:M38))*$C$26/2,IF(N$6&lt;$B38+$C$25,($C38-SUM($D38:M38))*$C$26,$C38-SUM($D38:M38)))</f>
        <v>36.362485418191689</v>
      </c>
      <c r="P38" s="52">
        <f t="shared" si="8"/>
        <v>36.362485418191689</v>
      </c>
      <c r="Q38" s="52" t="b">
        <f t="shared" si="9"/>
        <v>1</v>
      </c>
    </row>
    <row r="39" spans="2:17" s="42" customFormat="1" ht="13.2" x14ac:dyDescent="0.25"/>
    <row r="40" spans="2:17" s="42" customFormat="1" ht="13.2" x14ac:dyDescent="0.25">
      <c r="B40" s="42" t="s">
        <v>73</v>
      </c>
      <c r="E40" s="54">
        <f>SUM(E29:E38)</f>
        <v>18.966071428571425</v>
      </c>
      <c r="F40" s="54">
        <f t="shared" ref="F40:N40" si="10">SUM(F29:F38)</f>
        <v>52.901792091836725</v>
      </c>
      <c r="G40" s="54">
        <f t="shared" si="10"/>
        <v>80.093187431669094</v>
      </c>
      <c r="H40" s="54">
        <f t="shared" si="10"/>
        <v>102.68857715543328</v>
      </c>
      <c r="I40" s="54">
        <f t="shared" si="10"/>
        <v>122.23907806094005</v>
      </c>
      <c r="J40" s="54">
        <f t="shared" si="10"/>
        <v>139.87047864326004</v>
      </c>
      <c r="K40" s="54">
        <f t="shared" si="10"/>
        <v>156.40610006132562</v>
      </c>
      <c r="L40" s="54">
        <f t="shared" si="10"/>
        <v>183.2498963654777</v>
      </c>
      <c r="M40" s="54">
        <f t="shared" si="10"/>
        <v>196.99363859288852</v>
      </c>
      <c r="N40" s="54">
        <f t="shared" si="10"/>
        <v>211.76816148735514</v>
      </c>
    </row>
    <row r="41" spans="2:17" s="42" customFormat="1" ht="13.2" x14ac:dyDescent="0.25"/>
    <row r="42" spans="2:17" s="42" customFormat="1" thickBot="1" x14ac:dyDescent="0.3">
      <c r="B42" s="55" t="s">
        <v>74</v>
      </c>
      <c r="E42" s="56">
        <f>E40+E18</f>
        <v>120.68607142857142</v>
      </c>
      <c r="F42" s="56">
        <f t="shared" ref="F42:N42" si="11">F40+F18</f>
        <v>154.62179209183671</v>
      </c>
      <c r="G42" s="56">
        <f t="shared" si="11"/>
        <v>181.81318743166909</v>
      </c>
      <c r="H42" s="56">
        <f t="shared" si="11"/>
        <v>204.40857715543328</v>
      </c>
      <c r="I42" s="56">
        <f t="shared" si="11"/>
        <v>223.95907806094004</v>
      </c>
      <c r="J42" s="56">
        <f t="shared" si="11"/>
        <v>241.59047864326004</v>
      </c>
      <c r="K42" s="56">
        <f t="shared" si="11"/>
        <v>258.12610006132559</v>
      </c>
      <c r="L42" s="56">
        <f t="shared" si="11"/>
        <v>284.96989636547767</v>
      </c>
      <c r="M42" s="56">
        <f t="shared" si="11"/>
        <v>298.71363859288851</v>
      </c>
      <c r="N42" s="56">
        <f t="shared" si="11"/>
        <v>313.48816148735511</v>
      </c>
    </row>
    <row r="43" spans="2:17" s="24" customFormat="1" thickTop="1" x14ac:dyDescent="0.25"/>
    <row r="44" spans="2:17" s="24" customFormat="1" ht="13.2" x14ac:dyDescent="0.25"/>
    <row r="45" spans="2:17" s="24" customFormat="1" ht="13.2" x14ac:dyDescent="0.25">
      <c r="B45" s="27" t="s">
        <v>75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2:17" s="24" customFormat="1" ht="13.2" x14ac:dyDescent="0.25"/>
    <row r="47" spans="2:17" s="42" customFormat="1" ht="14.25" customHeight="1" x14ac:dyDescent="0.25">
      <c r="B47" s="57" t="s">
        <v>76</v>
      </c>
      <c r="C47" s="58">
        <f>$D$106</f>
        <v>2018</v>
      </c>
    </row>
    <row r="48" spans="2:17" s="24" customFormat="1" ht="13.2" x14ac:dyDescent="0.25">
      <c r="B48" s="59">
        <v>1</v>
      </c>
      <c r="C48" s="60">
        <v>5</v>
      </c>
    </row>
    <row r="49" spans="2:14" s="24" customFormat="1" ht="13.2" x14ac:dyDescent="0.25">
      <c r="B49" s="61">
        <f>B48+1</f>
        <v>2</v>
      </c>
      <c r="C49" s="62">
        <v>15</v>
      </c>
    </row>
    <row r="50" spans="2:14" s="24" customFormat="1" ht="13.2" x14ac:dyDescent="0.25">
      <c r="B50" s="61">
        <f t="shared" ref="B50:B57" si="12">B49+1</f>
        <v>3</v>
      </c>
      <c r="C50" s="62">
        <v>7.5</v>
      </c>
    </row>
    <row r="51" spans="2:14" s="24" customFormat="1" ht="13.2" x14ac:dyDescent="0.25">
      <c r="B51" s="61">
        <f t="shared" si="12"/>
        <v>4</v>
      </c>
      <c r="C51" s="62">
        <v>20.2</v>
      </c>
    </row>
    <row r="52" spans="2:14" s="24" customFormat="1" ht="13.2" x14ac:dyDescent="0.25">
      <c r="B52" s="61">
        <f t="shared" si="12"/>
        <v>5</v>
      </c>
      <c r="C52" s="62">
        <v>60.7</v>
      </c>
    </row>
    <row r="53" spans="2:14" s="24" customFormat="1" ht="13.2" x14ac:dyDescent="0.25">
      <c r="B53" s="61">
        <f t="shared" si="12"/>
        <v>6</v>
      </c>
      <c r="C53" s="62">
        <v>1</v>
      </c>
    </row>
    <row r="54" spans="2:14" s="24" customFormat="1" ht="13.2" x14ac:dyDescent="0.25">
      <c r="B54" s="61">
        <f t="shared" si="12"/>
        <v>7</v>
      </c>
      <c r="C54" s="62">
        <v>0.3</v>
      </c>
    </row>
    <row r="55" spans="2:14" s="24" customFormat="1" ht="13.2" x14ac:dyDescent="0.25">
      <c r="B55" s="61">
        <f t="shared" si="12"/>
        <v>8</v>
      </c>
      <c r="C55" s="62">
        <v>0</v>
      </c>
    </row>
    <row r="56" spans="2:14" s="24" customFormat="1" ht="13.2" x14ac:dyDescent="0.25">
      <c r="B56" s="61">
        <f t="shared" si="12"/>
        <v>9</v>
      </c>
      <c r="C56" s="62">
        <v>0</v>
      </c>
    </row>
    <row r="57" spans="2:14" s="24" customFormat="1" ht="13.2" x14ac:dyDescent="0.25">
      <c r="B57" s="63">
        <f t="shared" si="12"/>
        <v>10</v>
      </c>
      <c r="C57" s="64">
        <v>0.5</v>
      </c>
    </row>
    <row r="58" spans="2:14" s="24" customFormat="1" ht="13.2" x14ac:dyDescent="0.25"/>
    <row r="59" spans="2:14" s="42" customFormat="1" ht="13.2" x14ac:dyDescent="0.25">
      <c r="B59" s="42" t="s">
        <v>77</v>
      </c>
      <c r="E59" s="65">
        <f t="shared" ref="E59:N59" si="13">IF(E$6&gt;=$C$47,D59+1,0)</f>
        <v>1</v>
      </c>
      <c r="F59" s="65">
        <f t="shared" si="13"/>
        <v>2</v>
      </c>
      <c r="G59" s="65">
        <f t="shared" si="13"/>
        <v>3</v>
      </c>
      <c r="H59" s="65">
        <f t="shared" si="13"/>
        <v>4</v>
      </c>
      <c r="I59" s="65">
        <f t="shared" si="13"/>
        <v>5</v>
      </c>
      <c r="J59" s="65">
        <f t="shared" si="13"/>
        <v>6</v>
      </c>
      <c r="K59" s="65">
        <f t="shared" si="13"/>
        <v>7</v>
      </c>
      <c r="L59" s="65">
        <f t="shared" si="13"/>
        <v>8</v>
      </c>
      <c r="M59" s="65">
        <f t="shared" si="13"/>
        <v>9</v>
      </c>
      <c r="N59" s="65">
        <f t="shared" si="13"/>
        <v>10</v>
      </c>
    </row>
    <row r="60" spans="2:14" s="42" customFormat="1" ht="13.2" x14ac:dyDescent="0.25">
      <c r="E60" s="51"/>
      <c r="F60" s="51"/>
      <c r="G60" s="51"/>
      <c r="H60" s="51"/>
      <c r="I60" s="51"/>
      <c r="J60" s="51"/>
      <c r="K60" s="51"/>
      <c r="L60" s="51"/>
      <c r="M60" s="51"/>
      <c r="N60" s="51"/>
    </row>
    <row r="61" spans="2:14" s="42" customFormat="1" ht="13.2" x14ac:dyDescent="0.25">
      <c r="B61" s="55" t="s">
        <v>78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</row>
    <row r="62" spans="2:14" s="42" customFormat="1" ht="13.2" x14ac:dyDescent="0.25">
      <c r="B62" s="42" t="s">
        <v>79</v>
      </c>
      <c r="E62" s="66">
        <f>IFERROR(VLOOKUP(E59,$B$48:$C$57,COLUMNS($B$48:$C$48),FALSE),0)</f>
        <v>5</v>
      </c>
      <c r="F62" s="66">
        <f t="shared" ref="F62:N62" si="14">IFERROR(VLOOKUP(F59,$B$48:$C$57,COLUMNS($B$48:$C$48),FALSE),0)</f>
        <v>15</v>
      </c>
      <c r="G62" s="66">
        <f t="shared" si="14"/>
        <v>7.5</v>
      </c>
      <c r="H62" s="66">
        <f t="shared" si="14"/>
        <v>20.2</v>
      </c>
      <c r="I62" s="66">
        <f t="shared" si="14"/>
        <v>60.7</v>
      </c>
      <c r="J62" s="66">
        <f t="shared" si="14"/>
        <v>1</v>
      </c>
      <c r="K62" s="66">
        <f t="shared" si="14"/>
        <v>0.3</v>
      </c>
      <c r="L62" s="66">
        <f t="shared" si="14"/>
        <v>0</v>
      </c>
      <c r="M62" s="66">
        <f t="shared" si="14"/>
        <v>0</v>
      </c>
      <c r="N62" s="66">
        <f t="shared" si="14"/>
        <v>0.5</v>
      </c>
    </row>
    <row r="63" spans="2:14" s="42" customFormat="1" ht="13.2" x14ac:dyDescent="0.25">
      <c r="B63" s="42" t="s">
        <v>80</v>
      </c>
      <c r="C63" s="43">
        <v>50</v>
      </c>
      <c r="E63" s="66">
        <f>$C63</f>
        <v>50</v>
      </c>
      <c r="F63" s="66">
        <f t="shared" ref="F63:N63" si="15">$C63</f>
        <v>50</v>
      </c>
      <c r="G63" s="66">
        <f t="shared" si="15"/>
        <v>50</v>
      </c>
      <c r="H63" s="66">
        <f t="shared" si="15"/>
        <v>50</v>
      </c>
      <c r="I63" s="66">
        <f t="shared" si="15"/>
        <v>50</v>
      </c>
      <c r="J63" s="66">
        <f t="shared" si="15"/>
        <v>50</v>
      </c>
      <c r="K63" s="66">
        <f t="shared" si="15"/>
        <v>50</v>
      </c>
      <c r="L63" s="66">
        <f t="shared" si="15"/>
        <v>50</v>
      </c>
      <c r="M63" s="66">
        <f t="shared" si="15"/>
        <v>50</v>
      </c>
      <c r="N63" s="66">
        <f t="shared" si="15"/>
        <v>50</v>
      </c>
    </row>
    <row r="64" spans="2:14" s="42" customFormat="1" ht="13.2" x14ac:dyDescent="0.25">
      <c r="B64" s="55" t="s">
        <v>81</v>
      </c>
      <c r="C64" s="55"/>
      <c r="D64" s="55"/>
      <c r="E64" s="67">
        <f>SUM(E62:E63)</f>
        <v>55</v>
      </c>
      <c r="F64" s="67">
        <f t="shared" ref="F64:N64" si="16">SUM(F62:F63)</f>
        <v>65</v>
      </c>
      <c r="G64" s="67">
        <f t="shared" si="16"/>
        <v>57.5</v>
      </c>
      <c r="H64" s="67">
        <f t="shared" si="16"/>
        <v>70.2</v>
      </c>
      <c r="I64" s="67">
        <f t="shared" si="16"/>
        <v>110.7</v>
      </c>
      <c r="J64" s="67">
        <f t="shared" si="16"/>
        <v>51</v>
      </c>
      <c r="K64" s="67">
        <f t="shared" si="16"/>
        <v>50.3</v>
      </c>
      <c r="L64" s="67">
        <f t="shared" si="16"/>
        <v>50</v>
      </c>
      <c r="M64" s="67">
        <f t="shared" si="16"/>
        <v>50</v>
      </c>
      <c r="N64" s="67">
        <f t="shared" si="16"/>
        <v>50.5</v>
      </c>
    </row>
    <row r="65" spans="2:17" s="42" customFormat="1" ht="13.2" x14ac:dyDescent="0.25"/>
    <row r="66" spans="2:17" s="42" customFormat="1" ht="13.2" x14ac:dyDescent="0.25">
      <c r="B66" s="42" t="s">
        <v>61</v>
      </c>
      <c r="C66" s="48">
        <v>5</v>
      </c>
    </row>
    <row r="67" spans="2:17" s="42" customFormat="1" ht="13.2" x14ac:dyDescent="0.25"/>
    <row r="68" spans="2:17" s="42" customFormat="1" ht="13.2" x14ac:dyDescent="0.25">
      <c r="B68" s="42" t="s">
        <v>71</v>
      </c>
      <c r="P68" s="50" t="s">
        <v>72</v>
      </c>
      <c r="Q68" s="50"/>
    </row>
    <row r="69" spans="2:17" s="42" customFormat="1" ht="13.2" x14ac:dyDescent="0.25">
      <c r="B69" s="45">
        <f t="array" ref="B69:B78">TRANSPOSE(E6:N6)</f>
        <v>2018</v>
      </c>
      <c r="C69" s="44">
        <f t="shared" ref="C69:C78" si="17">INDEX($D$64:$N$64,MATCH($B69,$D$6:$N$6,0))</f>
        <v>55</v>
      </c>
      <c r="E69" s="44">
        <f>IF(E$6=$B69,$C69/$C$66/2,MIN($C69/$C$66,$C69-SUM($D69:D69)))</f>
        <v>5.5</v>
      </c>
      <c r="F69" s="44">
        <f>IF(F$6=$B69,$C69/$C$66/2,MIN($C69/$C$66,$C69-SUM($D69:E69)))</f>
        <v>11</v>
      </c>
      <c r="G69" s="44">
        <f>IF(G$6=$B69,$C69/$C$66/2,MIN($C69/$C$66,$C69-SUM($D69:F69)))</f>
        <v>11</v>
      </c>
      <c r="H69" s="44">
        <f>IF(H$6=$B69,$C69/$C$66/2,MIN($C69/$C$66,$C69-SUM($D69:G69)))</f>
        <v>11</v>
      </c>
      <c r="I69" s="44">
        <f>IF(I$6=$B69,$C69/$C$66/2,MIN($C69/$C$66,$C69-SUM($D69:H69)))</f>
        <v>11</v>
      </c>
      <c r="J69" s="44">
        <f>IF(J$6=$B69,$C69/$C$66/2,MIN($C69/$C$66,$C69-SUM($D69:I69)))</f>
        <v>5.5</v>
      </c>
      <c r="K69" s="44">
        <f>IF(K$6=$B69,$C69/$C$66/2,MIN($C69/$C$66,$C69-SUM($D69:J69)))</f>
        <v>0</v>
      </c>
      <c r="L69" s="44">
        <f>IF(L$6=$B69,$C69/$C$66/2,MIN($C69/$C$66,$C69-SUM($D69:K69)))</f>
        <v>0</v>
      </c>
      <c r="M69" s="44">
        <f>IF(M$6=$B69,$C69/$C$66/2,MIN($C69/$C$66,$C69-SUM($D69:L69)))</f>
        <v>0</v>
      </c>
      <c r="N69" s="44">
        <f>IF(N$6=$B69,$C69/$C$66/2,MIN($C69/$C$66,$C69-SUM($D69:M69)))</f>
        <v>0</v>
      </c>
      <c r="P69" s="52">
        <f t="shared" ref="P69:P78" si="18">SUM(E69:N69)</f>
        <v>55</v>
      </c>
      <c r="Q69" s="52" t="b">
        <f t="shared" ref="Q69:Q78" si="19">P69&lt;=C69</f>
        <v>1</v>
      </c>
    </row>
    <row r="70" spans="2:17" s="42" customFormat="1" ht="13.2" x14ac:dyDescent="0.25">
      <c r="B70" s="45">
        <v>2019</v>
      </c>
      <c r="C70" s="44">
        <f t="shared" si="17"/>
        <v>65</v>
      </c>
      <c r="F70" s="44">
        <f>IF(F$6=$B70,$C70/$C$66/2,MIN($C70/$C$66,$C70-SUM($D70:E70)))</f>
        <v>6.5</v>
      </c>
      <c r="G70" s="44">
        <f>IF(G$6=$B70,$C70/$C$66/2,MIN($C70/$C$66,$C70-SUM($D70:F70)))</f>
        <v>13</v>
      </c>
      <c r="H70" s="44">
        <f>IF(H$6=$B70,$C70/$C$66/2,MIN($C70/$C$66,$C70-SUM($D70:G70)))</f>
        <v>13</v>
      </c>
      <c r="I70" s="44">
        <f>IF(I$6=$B70,$C70/$C$66/2,MIN($C70/$C$66,$C70-SUM($D70:H70)))</f>
        <v>13</v>
      </c>
      <c r="J70" s="44">
        <f>IF(J$6=$B70,$C70/$C$66/2,MIN($C70/$C$66,$C70-SUM($D70:I70)))</f>
        <v>13</v>
      </c>
      <c r="K70" s="44">
        <f>IF(K$6=$B70,$C70/$C$66/2,MIN($C70/$C$66,$C70-SUM($D70:J70)))</f>
        <v>6.5</v>
      </c>
      <c r="L70" s="44">
        <f>IF(L$6=$B70,$C70/$C$66/2,MIN($C70/$C$66,$C70-SUM($D70:K70)))</f>
        <v>0</v>
      </c>
      <c r="M70" s="44">
        <f>IF(M$6=$B70,$C70/$C$66/2,MIN($C70/$C$66,$C70-SUM($D70:L70)))</f>
        <v>0</v>
      </c>
      <c r="N70" s="44">
        <f>IF(N$6=$B70,$C70/$C$66/2,MIN($C70/$C$66,$C70-SUM($D70:M70)))</f>
        <v>0</v>
      </c>
      <c r="P70" s="52">
        <f t="shared" si="18"/>
        <v>65</v>
      </c>
      <c r="Q70" s="52" t="b">
        <f t="shared" si="19"/>
        <v>1</v>
      </c>
    </row>
    <row r="71" spans="2:17" s="42" customFormat="1" ht="13.2" x14ac:dyDescent="0.25">
      <c r="B71" s="45">
        <v>2020</v>
      </c>
      <c r="C71" s="44">
        <f t="shared" si="17"/>
        <v>57.5</v>
      </c>
      <c r="G71" s="44">
        <f>IF(G$6=$B71,$C71/$C$66/2,MIN($C71/$C$66,$C71-SUM($D71:F71)))</f>
        <v>5.75</v>
      </c>
      <c r="H71" s="44">
        <f>IF(H$6=$B71,$C71/$C$66/2,MIN($C71/$C$66,$C71-SUM($D71:G71)))</f>
        <v>11.5</v>
      </c>
      <c r="I71" s="44">
        <f>IF(I$6=$B71,$C71/$C$66/2,MIN($C71/$C$66,$C71-SUM($D71:H71)))</f>
        <v>11.5</v>
      </c>
      <c r="J71" s="44">
        <f>IF(J$6=$B71,$C71/$C$66/2,MIN($C71/$C$66,$C71-SUM($D71:I71)))</f>
        <v>11.5</v>
      </c>
      <c r="K71" s="44">
        <f>IF(K$6=$B71,$C71/$C$66/2,MIN($C71/$C$66,$C71-SUM($D71:J71)))</f>
        <v>11.5</v>
      </c>
      <c r="L71" s="44">
        <f>IF(L$6=$B71,$C71/$C$66/2,MIN($C71/$C$66,$C71-SUM($D71:K71)))</f>
        <v>5.75</v>
      </c>
      <c r="M71" s="44">
        <f>IF(M$6=$B71,$C71/$C$66/2,MIN($C71/$C$66,$C71-SUM($D71:L71)))</f>
        <v>0</v>
      </c>
      <c r="N71" s="44">
        <f>IF(N$6=$B71,$C71/$C$66/2,MIN($C71/$C$66,$C71-SUM($D71:M71)))</f>
        <v>0</v>
      </c>
      <c r="P71" s="52">
        <f t="shared" si="18"/>
        <v>57.5</v>
      </c>
      <c r="Q71" s="52" t="b">
        <f t="shared" si="19"/>
        <v>1</v>
      </c>
    </row>
    <row r="72" spans="2:17" s="42" customFormat="1" ht="13.2" x14ac:dyDescent="0.25">
      <c r="B72" s="45">
        <v>2021</v>
      </c>
      <c r="C72" s="44">
        <f t="shared" si="17"/>
        <v>70.2</v>
      </c>
      <c r="H72" s="44">
        <f>IF(H$6=$B72,$C72/$C$66/2,MIN($C72/$C$66,$C72-SUM($D72:G72)))</f>
        <v>7.0200000000000005</v>
      </c>
      <c r="I72" s="44">
        <f>IF(I$6=$B72,$C72/$C$66/2,MIN($C72/$C$66,$C72-SUM($D72:H72)))</f>
        <v>14.040000000000001</v>
      </c>
      <c r="J72" s="44">
        <f>IF(J$6=$B72,$C72/$C$66/2,MIN($C72/$C$66,$C72-SUM($D72:I72)))</f>
        <v>14.040000000000001</v>
      </c>
      <c r="K72" s="44">
        <f>IF(K$6=$B72,$C72/$C$66/2,MIN($C72/$C$66,$C72-SUM($D72:J72)))</f>
        <v>14.040000000000001</v>
      </c>
      <c r="L72" s="44">
        <f>IF(L$6=$B72,$C72/$C$66/2,MIN($C72/$C$66,$C72-SUM($D72:K72)))</f>
        <v>14.040000000000001</v>
      </c>
      <c r="M72" s="44">
        <f>IF(M$6=$B72,$C72/$C$66/2,MIN($C72/$C$66,$C72-SUM($D72:L72)))</f>
        <v>7.0200000000000031</v>
      </c>
      <c r="N72" s="44">
        <f>IF(N$6=$B72,$C72/$C$66/2,MIN($C72/$C$66,$C72-SUM($D72:M72)))</f>
        <v>0</v>
      </c>
      <c r="P72" s="52">
        <f t="shared" si="18"/>
        <v>70.2</v>
      </c>
      <c r="Q72" s="52" t="b">
        <f t="shared" si="19"/>
        <v>1</v>
      </c>
    </row>
    <row r="73" spans="2:17" s="42" customFormat="1" ht="13.2" x14ac:dyDescent="0.25">
      <c r="B73" s="45">
        <v>2022</v>
      </c>
      <c r="C73" s="44">
        <f t="shared" si="17"/>
        <v>110.7</v>
      </c>
      <c r="I73" s="44">
        <f>IF(I$6=$B73,$C73/$C$66/2,MIN($C73/$C$66,$C73-SUM($D73:H73)))</f>
        <v>11.07</v>
      </c>
      <c r="J73" s="44">
        <f>IF(J$6=$B73,$C73/$C$66/2,MIN($C73/$C$66,$C73-SUM($D73:I73)))</f>
        <v>22.14</v>
      </c>
      <c r="K73" s="44">
        <f>IF(K$6=$B73,$C73/$C$66/2,MIN($C73/$C$66,$C73-SUM($D73:J73)))</f>
        <v>22.14</v>
      </c>
      <c r="L73" s="44">
        <f>IF(L$6=$B73,$C73/$C$66/2,MIN($C73/$C$66,$C73-SUM($D73:K73)))</f>
        <v>22.14</v>
      </c>
      <c r="M73" s="44">
        <f>IF(M$6=$B73,$C73/$C$66/2,MIN($C73/$C$66,$C73-SUM($D73:L73)))</f>
        <v>22.14</v>
      </c>
      <c r="N73" s="44">
        <f>IF(N$6=$B73,$C73/$C$66/2,MIN($C73/$C$66,$C73-SUM($D73:M73)))</f>
        <v>11.069999999999993</v>
      </c>
      <c r="P73" s="52">
        <f t="shared" si="18"/>
        <v>110.7</v>
      </c>
      <c r="Q73" s="52" t="b">
        <f t="shared" si="19"/>
        <v>1</v>
      </c>
    </row>
    <row r="74" spans="2:17" s="42" customFormat="1" ht="13.2" x14ac:dyDescent="0.25">
      <c r="B74" s="45">
        <v>2023</v>
      </c>
      <c r="C74" s="44">
        <f t="shared" si="17"/>
        <v>51</v>
      </c>
      <c r="J74" s="44">
        <f>IF(J$6=$B74,$C74/$C$66/2,MIN($C74/$C$66,$C74-SUM($D74:I74)))</f>
        <v>5.0999999999999996</v>
      </c>
      <c r="K74" s="44">
        <f>IF(K$6=$B74,$C74/$C$66/2,MIN($C74/$C$66,$C74-SUM($D74:J74)))</f>
        <v>10.199999999999999</v>
      </c>
      <c r="L74" s="44">
        <f>IF(L$6=$B74,$C74/$C$66/2,MIN($C74/$C$66,$C74-SUM($D74:K74)))</f>
        <v>10.199999999999999</v>
      </c>
      <c r="M74" s="44">
        <f>IF(M$6=$B74,$C74/$C$66/2,MIN($C74/$C$66,$C74-SUM($D74:L74)))</f>
        <v>10.199999999999999</v>
      </c>
      <c r="N74" s="44">
        <f>IF(N$6=$B74,$C74/$C$66/2,MIN($C74/$C$66,$C74-SUM($D74:M74)))</f>
        <v>10.199999999999999</v>
      </c>
      <c r="P74" s="52">
        <f t="shared" si="18"/>
        <v>45.900000000000006</v>
      </c>
      <c r="Q74" s="52" t="b">
        <f t="shared" si="19"/>
        <v>1</v>
      </c>
    </row>
    <row r="75" spans="2:17" s="42" customFormat="1" ht="13.2" x14ac:dyDescent="0.25">
      <c r="B75" s="45">
        <v>2024</v>
      </c>
      <c r="C75" s="44">
        <f t="shared" si="17"/>
        <v>50.3</v>
      </c>
      <c r="K75" s="44">
        <f>IF(K$6=$B75,$C75/$C$66/2,MIN($C75/$C$66,$C75-SUM($D75:J75)))</f>
        <v>5.0299999999999994</v>
      </c>
      <c r="L75" s="44">
        <f>IF(L$6=$B75,$C75/$C$66/2,MIN($C75/$C$66,$C75-SUM($D75:K75)))</f>
        <v>10.059999999999999</v>
      </c>
      <c r="M75" s="44">
        <f>IF(M$6=$B75,$C75/$C$66/2,MIN($C75/$C$66,$C75-SUM($D75:L75)))</f>
        <v>10.059999999999999</v>
      </c>
      <c r="N75" s="44">
        <f>IF(N$6=$B75,$C75/$C$66/2,MIN($C75/$C$66,$C75-SUM($D75:M75)))</f>
        <v>10.059999999999999</v>
      </c>
      <c r="P75" s="52">
        <f t="shared" si="18"/>
        <v>35.209999999999994</v>
      </c>
      <c r="Q75" s="52" t="b">
        <f t="shared" si="19"/>
        <v>1</v>
      </c>
    </row>
    <row r="76" spans="2:17" s="42" customFormat="1" ht="13.2" x14ac:dyDescent="0.25">
      <c r="B76" s="45">
        <v>2025</v>
      </c>
      <c r="C76" s="44">
        <f t="shared" si="17"/>
        <v>50</v>
      </c>
      <c r="L76" s="44">
        <f>IF(L$6=$B76,$C76/$C$66/2,MIN($C76/$C$66,$C76-SUM($D76:K76)))</f>
        <v>5</v>
      </c>
      <c r="M76" s="44">
        <f>IF(M$6=$B76,$C76/$C$66/2,MIN($C76/$C$66,$C76-SUM($D76:L76)))</f>
        <v>10</v>
      </c>
      <c r="N76" s="44">
        <f>IF(N$6=$B76,$C76/$C$66/2,MIN($C76/$C$66,$C76-SUM($D76:M76)))</f>
        <v>10</v>
      </c>
      <c r="P76" s="52">
        <f t="shared" si="18"/>
        <v>25</v>
      </c>
      <c r="Q76" s="52" t="b">
        <f t="shared" si="19"/>
        <v>1</v>
      </c>
    </row>
    <row r="77" spans="2:17" s="42" customFormat="1" ht="13.2" x14ac:dyDescent="0.25">
      <c r="B77" s="45">
        <v>2026</v>
      </c>
      <c r="C77" s="44">
        <f t="shared" si="17"/>
        <v>50</v>
      </c>
      <c r="M77" s="44">
        <f>IF(M$6=$B77,$C77/$C$66/2,MIN($C77/$C$66,$C77-SUM($D77:L77)))</f>
        <v>5</v>
      </c>
      <c r="N77" s="44">
        <f>IF(N$6=$B77,$C77/$C$66/2,MIN($C77/$C$66,$C77-SUM($D77:M77)))</f>
        <v>10</v>
      </c>
      <c r="P77" s="52">
        <f t="shared" si="18"/>
        <v>15</v>
      </c>
      <c r="Q77" s="52" t="b">
        <f t="shared" si="19"/>
        <v>1</v>
      </c>
    </row>
    <row r="78" spans="2:17" s="42" customFormat="1" ht="13.2" x14ac:dyDescent="0.25">
      <c r="B78" s="45">
        <v>2027</v>
      </c>
      <c r="C78" s="44">
        <f t="shared" si="17"/>
        <v>50.5</v>
      </c>
      <c r="N78" s="44">
        <f>IF(N$6=$B78,$C78/$C$66/2,MIN($C78/$C$66,$C78-SUM($D78:M78)))</f>
        <v>5.05</v>
      </c>
      <c r="P78" s="52">
        <f t="shared" si="18"/>
        <v>5.05</v>
      </c>
      <c r="Q78" s="52" t="b">
        <f t="shared" si="19"/>
        <v>1</v>
      </c>
    </row>
    <row r="79" spans="2:17" s="42" customFormat="1" ht="13.2" x14ac:dyDescent="0.25"/>
    <row r="80" spans="2:17" s="42" customFormat="1" ht="13.2" x14ac:dyDescent="0.25">
      <c r="B80" s="55" t="s">
        <v>73</v>
      </c>
      <c r="C80" s="55"/>
      <c r="D80" s="55"/>
      <c r="E80" s="68">
        <f>SUM(E69:E78)</f>
        <v>5.5</v>
      </c>
      <c r="F80" s="68">
        <f t="shared" ref="F80:N80" si="20">SUM(F69:F78)</f>
        <v>17.5</v>
      </c>
      <c r="G80" s="68">
        <f t="shared" si="20"/>
        <v>29.75</v>
      </c>
      <c r="H80" s="68">
        <f t="shared" si="20"/>
        <v>42.52</v>
      </c>
      <c r="I80" s="68">
        <f t="shared" si="20"/>
        <v>60.61</v>
      </c>
      <c r="J80" s="68">
        <f t="shared" si="20"/>
        <v>71.28</v>
      </c>
      <c r="K80" s="68">
        <f t="shared" si="20"/>
        <v>69.41</v>
      </c>
      <c r="L80" s="68">
        <f t="shared" si="20"/>
        <v>67.19</v>
      </c>
      <c r="M80" s="68">
        <f t="shared" si="20"/>
        <v>64.42</v>
      </c>
      <c r="N80" s="68">
        <f t="shared" si="20"/>
        <v>56.379999999999988</v>
      </c>
    </row>
    <row r="81" spans="2:14" s="24" customFormat="1" ht="13.2" x14ac:dyDescent="0.25"/>
    <row r="82" spans="2:14" s="24" customFormat="1" ht="13.2" x14ac:dyDescent="0.25"/>
    <row r="83" spans="2:14" s="24" customFormat="1" ht="13.2" x14ac:dyDescent="0.25">
      <c r="B83" s="27" t="s">
        <v>82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</row>
    <row r="84" spans="2:14" s="24" customFormat="1" ht="13.2" x14ac:dyDescent="0.25"/>
    <row r="85" spans="2:14" s="24" customFormat="1" ht="14.25" customHeight="1" x14ac:dyDescent="0.25">
      <c r="B85" s="37" t="s">
        <v>83</v>
      </c>
    </row>
    <row r="86" spans="2:14" s="24" customFormat="1" ht="14.25" customHeight="1" x14ac:dyDescent="0.25">
      <c r="B86" s="69" t="s">
        <v>84</v>
      </c>
      <c r="E86" s="33">
        <f t="shared" ref="E86:N86" si="21">E18</f>
        <v>101.72</v>
      </c>
      <c r="F86" s="33">
        <f t="shared" si="21"/>
        <v>101.72</v>
      </c>
      <c r="G86" s="33">
        <f t="shared" si="21"/>
        <v>101.72</v>
      </c>
      <c r="H86" s="33">
        <f t="shared" si="21"/>
        <v>101.72</v>
      </c>
      <c r="I86" s="33">
        <f t="shared" si="21"/>
        <v>101.72</v>
      </c>
      <c r="J86" s="33">
        <f t="shared" si="21"/>
        <v>101.72</v>
      </c>
      <c r="K86" s="33">
        <f t="shared" si="21"/>
        <v>101.72</v>
      </c>
      <c r="L86" s="33">
        <f t="shared" si="21"/>
        <v>101.72</v>
      </c>
      <c r="M86" s="33">
        <f t="shared" si="21"/>
        <v>101.72</v>
      </c>
      <c r="N86" s="33">
        <f t="shared" si="21"/>
        <v>101.72</v>
      </c>
    </row>
    <row r="87" spans="2:14" s="24" customFormat="1" ht="14.25" customHeight="1" x14ac:dyDescent="0.25">
      <c r="B87" s="69" t="s">
        <v>85</v>
      </c>
      <c r="E87" s="33">
        <f t="shared" ref="E87:N87" si="22">E40</f>
        <v>18.966071428571425</v>
      </c>
      <c r="F87" s="33">
        <f t="shared" si="22"/>
        <v>52.901792091836725</v>
      </c>
      <c r="G87" s="33">
        <f t="shared" si="22"/>
        <v>80.093187431669094</v>
      </c>
      <c r="H87" s="33">
        <f t="shared" si="22"/>
        <v>102.68857715543328</v>
      </c>
      <c r="I87" s="33">
        <f t="shared" si="22"/>
        <v>122.23907806094005</v>
      </c>
      <c r="J87" s="33">
        <f t="shared" si="22"/>
        <v>139.87047864326004</v>
      </c>
      <c r="K87" s="33">
        <f t="shared" si="22"/>
        <v>156.40610006132562</v>
      </c>
      <c r="L87" s="33">
        <f t="shared" si="22"/>
        <v>183.2498963654777</v>
      </c>
      <c r="M87" s="33">
        <f t="shared" si="22"/>
        <v>196.99363859288852</v>
      </c>
      <c r="N87" s="33">
        <f t="shared" si="22"/>
        <v>211.76816148735514</v>
      </c>
    </row>
    <row r="88" spans="2:14" s="24" customFormat="1" ht="14.25" customHeight="1" x14ac:dyDescent="0.25">
      <c r="B88" s="69" t="s">
        <v>18</v>
      </c>
      <c r="E88" s="33">
        <f>E80</f>
        <v>5.5</v>
      </c>
      <c r="F88" s="33">
        <f t="shared" ref="F88:N88" si="23">F80</f>
        <v>17.5</v>
      </c>
      <c r="G88" s="33">
        <f t="shared" si="23"/>
        <v>29.75</v>
      </c>
      <c r="H88" s="33">
        <f t="shared" si="23"/>
        <v>42.52</v>
      </c>
      <c r="I88" s="33">
        <f t="shared" si="23"/>
        <v>60.61</v>
      </c>
      <c r="J88" s="33">
        <f t="shared" si="23"/>
        <v>71.28</v>
      </c>
      <c r="K88" s="33">
        <f t="shared" si="23"/>
        <v>69.41</v>
      </c>
      <c r="L88" s="33">
        <f t="shared" si="23"/>
        <v>67.19</v>
      </c>
      <c r="M88" s="33">
        <f t="shared" si="23"/>
        <v>64.42</v>
      </c>
      <c r="N88" s="33">
        <f t="shared" si="23"/>
        <v>56.379999999999988</v>
      </c>
    </row>
    <row r="89" spans="2:14" s="24" customFormat="1" ht="14.25" customHeight="1" x14ac:dyDescent="0.25">
      <c r="B89" s="70" t="s">
        <v>73</v>
      </c>
      <c r="E89" s="71">
        <f>SUM(E86:E88)</f>
        <v>126.18607142857142</v>
      </c>
      <c r="F89" s="71">
        <f t="shared" ref="F89:N89" si="24">SUM(F86:F88)</f>
        <v>172.12179209183671</v>
      </c>
      <c r="G89" s="71">
        <f t="shared" si="24"/>
        <v>211.56318743166909</v>
      </c>
      <c r="H89" s="71">
        <f t="shared" si="24"/>
        <v>246.92857715543329</v>
      </c>
      <c r="I89" s="71">
        <f t="shared" si="24"/>
        <v>284.56907806094006</v>
      </c>
      <c r="J89" s="71">
        <f t="shared" si="24"/>
        <v>312.87047864326007</v>
      </c>
      <c r="K89" s="71">
        <f t="shared" si="24"/>
        <v>327.53610006132556</v>
      </c>
      <c r="L89" s="71">
        <f t="shared" si="24"/>
        <v>352.15989636547766</v>
      </c>
      <c r="M89" s="71">
        <f t="shared" si="24"/>
        <v>363.13363859288853</v>
      </c>
      <c r="N89" s="71">
        <f t="shared" si="24"/>
        <v>369.86816148735511</v>
      </c>
    </row>
    <row r="90" spans="2:14" s="24" customFormat="1" ht="14.25" customHeight="1" x14ac:dyDescent="0.25"/>
    <row r="91" spans="2:14" s="24" customFormat="1" ht="14.25" customHeight="1" x14ac:dyDescent="0.25">
      <c r="B91" s="37" t="s">
        <v>86</v>
      </c>
    </row>
    <row r="92" spans="2:14" s="24" customFormat="1" ht="14.25" customHeight="1" x14ac:dyDescent="0.25">
      <c r="B92" s="24" t="s">
        <v>87</v>
      </c>
      <c r="E92" s="34">
        <f>D97</f>
        <v>2543</v>
      </c>
      <c r="F92" s="34">
        <f t="shared" ref="F92:N92" si="25">E97</f>
        <v>2604.5764285714286</v>
      </c>
      <c r="G92" s="34">
        <f t="shared" si="25"/>
        <v>2640.1743239795919</v>
      </c>
      <c r="H92" s="34">
        <f t="shared" si="25"/>
        <v>2639.5348006104227</v>
      </c>
      <c r="I92" s="34">
        <f t="shared" si="25"/>
        <v>2627.7366623221769</v>
      </c>
      <c r="J92" s="34">
        <f t="shared" si="25"/>
        <v>2631.1678060434629</v>
      </c>
      <c r="K92" s="34">
        <f t="shared" si="25"/>
        <v>2559.8950658160966</v>
      </c>
      <c r="L92" s="34">
        <f t="shared" si="25"/>
        <v>2487.5515345518565</v>
      </c>
      <c r="M92" s="34">
        <f t="shared" si="25"/>
        <v>2405.6511496432458</v>
      </c>
      <c r="N92" s="34">
        <f t="shared" si="25"/>
        <v>2329.2964858664895</v>
      </c>
    </row>
    <row r="93" spans="2:14" s="24" customFormat="1" ht="14.25" customHeight="1" x14ac:dyDescent="0.25">
      <c r="B93" s="69" t="s">
        <v>88</v>
      </c>
      <c r="E93" s="34">
        <f t="shared" ref="E93:N93" si="26">E21</f>
        <v>132.76249999999999</v>
      </c>
      <c r="F93" s="34">
        <f t="shared" si="26"/>
        <v>142.71968749999999</v>
      </c>
      <c r="G93" s="34">
        <f t="shared" si="26"/>
        <v>153.42366406249999</v>
      </c>
      <c r="H93" s="34">
        <f t="shared" si="26"/>
        <v>164.93043886718749</v>
      </c>
      <c r="I93" s="34">
        <f t="shared" si="26"/>
        <v>177.30022178222654</v>
      </c>
      <c r="J93" s="34">
        <f t="shared" si="26"/>
        <v>190.59773841589353</v>
      </c>
      <c r="K93" s="34">
        <f t="shared" si="26"/>
        <v>204.89256879708554</v>
      </c>
      <c r="L93" s="34">
        <f t="shared" si="26"/>
        <v>220.25951145686696</v>
      </c>
      <c r="M93" s="34">
        <f t="shared" si="26"/>
        <v>236.77897481613198</v>
      </c>
      <c r="N93" s="34">
        <f t="shared" si="26"/>
        <v>254.53739792734186</v>
      </c>
    </row>
    <row r="94" spans="2:14" s="24" customFormat="1" ht="14.25" customHeight="1" x14ac:dyDescent="0.25">
      <c r="B94" s="69" t="s">
        <v>89</v>
      </c>
      <c r="E94" s="34">
        <f>E64</f>
        <v>55</v>
      </c>
      <c r="F94" s="34">
        <f t="shared" ref="F94:N94" si="27">F64</f>
        <v>65</v>
      </c>
      <c r="G94" s="34">
        <f t="shared" si="27"/>
        <v>57.5</v>
      </c>
      <c r="H94" s="34">
        <f t="shared" si="27"/>
        <v>70.2</v>
      </c>
      <c r="I94" s="34">
        <f t="shared" si="27"/>
        <v>110.7</v>
      </c>
      <c r="J94" s="34">
        <f t="shared" si="27"/>
        <v>51</v>
      </c>
      <c r="K94" s="34">
        <f t="shared" si="27"/>
        <v>50.3</v>
      </c>
      <c r="L94" s="34">
        <f t="shared" si="27"/>
        <v>50</v>
      </c>
      <c r="M94" s="34">
        <f t="shared" si="27"/>
        <v>50</v>
      </c>
      <c r="N94" s="34">
        <f t="shared" si="27"/>
        <v>50.5</v>
      </c>
    </row>
    <row r="95" spans="2:14" s="24" customFormat="1" ht="14.25" customHeight="1" x14ac:dyDescent="0.25">
      <c r="B95" s="69" t="s">
        <v>62</v>
      </c>
      <c r="E95" s="34">
        <f t="shared" ref="E95:N95" si="28">E15</f>
        <v>0</v>
      </c>
      <c r="F95" s="34">
        <f t="shared" si="28"/>
        <v>0</v>
      </c>
      <c r="G95" s="34">
        <f t="shared" si="28"/>
        <v>0</v>
      </c>
      <c r="H95" s="34">
        <f t="shared" si="28"/>
        <v>0</v>
      </c>
      <c r="I95" s="34">
        <f t="shared" si="28"/>
        <v>0</v>
      </c>
      <c r="J95" s="34">
        <f t="shared" si="28"/>
        <v>0</v>
      </c>
      <c r="K95" s="34">
        <f t="shared" si="28"/>
        <v>0</v>
      </c>
      <c r="L95" s="34">
        <f t="shared" si="28"/>
        <v>0</v>
      </c>
      <c r="M95" s="34">
        <f t="shared" si="28"/>
        <v>0</v>
      </c>
      <c r="N95" s="34">
        <f t="shared" si="28"/>
        <v>0</v>
      </c>
    </row>
    <row r="96" spans="2:14" s="24" customFormat="1" ht="14.25" customHeight="1" x14ac:dyDescent="0.25">
      <c r="B96" s="69" t="s">
        <v>90</v>
      </c>
      <c r="E96" s="34">
        <f>-E89</f>
        <v>-126.18607142857142</v>
      </c>
      <c r="F96" s="34">
        <f t="shared" ref="F96:N96" si="29">-F89</f>
        <v>-172.12179209183671</v>
      </c>
      <c r="G96" s="34">
        <f t="shared" si="29"/>
        <v>-211.56318743166909</v>
      </c>
      <c r="H96" s="34">
        <f t="shared" si="29"/>
        <v>-246.92857715543329</v>
      </c>
      <c r="I96" s="34">
        <f t="shared" si="29"/>
        <v>-284.56907806094006</v>
      </c>
      <c r="J96" s="34">
        <f t="shared" si="29"/>
        <v>-312.87047864326007</v>
      </c>
      <c r="K96" s="34">
        <f t="shared" si="29"/>
        <v>-327.53610006132556</v>
      </c>
      <c r="L96" s="34">
        <f t="shared" si="29"/>
        <v>-352.15989636547766</v>
      </c>
      <c r="M96" s="34">
        <f t="shared" si="29"/>
        <v>-363.13363859288853</v>
      </c>
      <c r="N96" s="34">
        <f t="shared" si="29"/>
        <v>-369.86816148735511</v>
      </c>
    </row>
    <row r="97" spans="2:14" s="24" customFormat="1" ht="14.25" customHeight="1" x14ac:dyDescent="0.25">
      <c r="B97" s="37" t="s">
        <v>91</v>
      </c>
      <c r="D97" s="72">
        <f>D16</f>
        <v>2543</v>
      </c>
      <c r="E97" s="72">
        <f>SUM(E92:E96)</f>
        <v>2604.5764285714286</v>
      </c>
      <c r="F97" s="72">
        <f t="shared" ref="F97:N97" si="30">SUM(F92:F96)</f>
        <v>2640.1743239795919</v>
      </c>
      <c r="G97" s="72">
        <f t="shared" si="30"/>
        <v>2639.5348006104227</v>
      </c>
      <c r="H97" s="72">
        <f t="shared" si="30"/>
        <v>2627.7366623221769</v>
      </c>
      <c r="I97" s="72">
        <f t="shared" si="30"/>
        <v>2631.1678060434629</v>
      </c>
      <c r="J97" s="72">
        <f t="shared" si="30"/>
        <v>2559.8950658160966</v>
      </c>
      <c r="K97" s="72">
        <f t="shared" si="30"/>
        <v>2487.5515345518565</v>
      </c>
      <c r="L97" s="72">
        <f t="shared" si="30"/>
        <v>2405.6511496432458</v>
      </c>
      <c r="M97" s="72">
        <f t="shared" si="30"/>
        <v>2329.2964858664895</v>
      </c>
      <c r="N97" s="72">
        <f t="shared" si="30"/>
        <v>2264.465722306476</v>
      </c>
    </row>
    <row r="98" spans="2:14" s="24" customFormat="1" ht="13.2" x14ac:dyDescent="0.25"/>
    <row r="99" spans="2:14" s="24" customFormat="1" ht="13.2" x14ac:dyDescent="0.25"/>
    <row r="100" spans="2:14" s="24" customFormat="1" ht="13.2" x14ac:dyDescent="0.25">
      <c r="B100" s="27" t="s">
        <v>92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</row>
    <row r="101" spans="2:14" s="24" customFormat="1" ht="13.2" x14ac:dyDescent="0.25"/>
    <row r="102" spans="2:14" s="24" customFormat="1" ht="13.2" x14ac:dyDescent="0.25">
      <c r="B102" s="24" t="s">
        <v>93</v>
      </c>
      <c r="D102" s="73">
        <v>1</v>
      </c>
      <c r="E102" s="74">
        <v>1</v>
      </c>
      <c r="F102" s="74">
        <v>2</v>
      </c>
      <c r="G102" s="74">
        <v>3</v>
      </c>
      <c r="H102" s="74">
        <v>4</v>
      </c>
      <c r="I102" s="74">
        <v>5</v>
      </c>
    </row>
    <row r="103" spans="2:14" s="24" customFormat="1" ht="13.2" x14ac:dyDescent="0.25"/>
    <row r="104" spans="2:14" s="24" customFormat="1" ht="13.2" x14ac:dyDescent="0.25">
      <c r="B104" s="24" t="s">
        <v>94</v>
      </c>
      <c r="D104" s="75">
        <f>INDEX($E104:$I104,MATCH($D$102,$E$102:$I$102,0))</f>
        <v>0</v>
      </c>
      <c r="E104" s="76">
        <v>0</v>
      </c>
      <c r="F104" s="76">
        <v>0</v>
      </c>
      <c r="G104" s="76">
        <v>0</v>
      </c>
      <c r="H104" s="76">
        <v>0</v>
      </c>
      <c r="I104" s="76">
        <v>500</v>
      </c>
    </row>
    <row r="105" spans="2:14" s="24" customFormat="1" ht="13.2" x14ac:dyDescent="0.25">
      <c r="B105" s="24" t="s">
        <v>95</v>
      </c>
      <c r="D105" s="75">
        <f>INDEX($E105:$I105,MATCH($D$102,$E$102:$I$102,0))</f>
        <v>0</v>
      </c>
      <c r="E105" s="76">
        <v>0</v>
      </c>
      <c r="F105" s="76">
        <v>1</v>
      </c>
      <c r="G105" s="76">
        <v>3</v>
      </c>
      <c r="H105" s="76">
        <v>5</v>
      </c>
      <c r="I105" s="76">
        <v>0</v>
      </c>
    </row>
    <row r="106" spans="2:14" s="24" customFormat="1" ht="13.2" x14ac:dyDescent="0.25">
      <c r="B106" s="24" t="s">
        <v>96</v>
      </c>
      <c r="D106" s="75">
        <f>INDEX($E106:$I106,MATCH($D$102,$E$102:$I$102,0))</f>
        <v>2018</v>
      </c>
      <c r="E106" s="74">
        <f>$E$6+E105</f>
        <v>2018</v>
      </c>
      <c r="F106" s="74">
        <f t="shared" ref="F106:I106" si="31">$E$6+F105</f>
        <v>2019</v>
      </c>
      <c r="G106" s="74">
        <f t="shared" si="31"/>
        <v>2021</v>
      </c>
      <c r="H106" s="74">
        <f t="shared" si="31"/>
        <v>2023</v>
      </c>
      <c r="I106" s="74">
        <f t="shared" si="31"/>
        <v>2018</v>
      </c>
    </row>
    <row r="107" spans="2:14" s="24" customFormat="1" ht="13.2" x14ac:dyDescent="0.25">
      <c r="D107" s="75"/>
      <c r="E107" s="74"/>
      <c r="F107" s="74"/>
      <c r="G107" s="74"/>
      <c r="H107" s="74"/>
      <c r="I107" s="74"/>
    </row>
    <row r="108" spans="2:14" s="24" customFormat="1" ht="13.2" x14ac:dyDescent="0.25">
      <c r="B108" s="37" t="s">
        <v>71</v>
      </c>
      <c r="D108" s="75"/>
      <c r="E108" s="77">
        <f>E89</f>
        <v>126.18607142857142</v>
      </c>
      <c r="F108" s="77">
        <f t="shared" ref="F108:N108" si="32">F89</f>
        <v>172.12179209183671</v>
      </c>
      <c r="G108" s="77">
        <f t="shared" si="32"/>
        <v>211.56318743166909</v>
      </c>
      <c r="H108" s="77">
        <f t="shared" si="32"/>
        <v>246.92857715543329</v>
      </c>
      <c r="I108" s="77">
        <f t="shared" si="32"/>
        <v>284.56907806094006</v>
      </c>
      <c r="J108" s="77">
        <f t="shared" si="32"/>
        <v>312.87047864326007</v>
      </c>
      <c r="K108" s="77">
        <f t="shared" si="32"/>
        <v>327.53610006132556</v>
      </c>
      <c r="L108" s="77">
        <f t="shared" si="32"/>
        <v>352.15989636547766</v>
      </c>
      <c r="M108" s="77">
        <f t="shared" si="32"/>
        <v>363.13363859288853</v>
      </c>
      <c r="N108" s="77">
        <f t="shared" si="32"/>
        <v>369.86816148735511</v>
      </c>
    </row>
    <row r="109" spans="2:14" s="24" customFormat="1" ht="13.2" x14ac:dyDescent="0.25">
      <c r="B109" s="69" t="s">
        <v>97</v>
      </c>
      <c r="D109" s="76">
        <v>1</v>
      </c>
      <c r="E109" s="78">
        <f t="dataTable" ref="E109:N113" dt2D="0" dtr="0" r1="D102"/>
        <v>126.18607142857142</v>
      </c>
      <c r="F109" s="79">
        <v>172.12179209183671</v>
      </c>
      <c r="G109" s="79">
        <v>211.56318743166909</v>
      </c>
      <c r="H109" s="79">
        <v>246.92857715543329</v>
      </c>
      <c r="I109" s="79">
        <v>284.56907806094006</v>
      </c>
      <c r="J109" s="79">
        <v>312.87047864326007</v>
      </c>
      <c r="K109" s="79">
        <v>327.53610006132556</v>
      </c>
      <c r="L109" s="79">
        <v>352.15989636547766</v>
      </c>
      <c r="M109" s="79">
        <v>363.13363859288853</v>
      </c>
      <c r="N109" s="79">
        <v>369.86816148735511</v>
      </c>
    </row>
    <row r="110" spans="2:14" s="24" customFormat="1" ht="13.2" x14ac:dyDescent="0.25">
      <c r="B110" s="69" t="s">
        <v>98</v>
      </c>
      <c r="D110" s="76">
        <v>2</v>
      </c>
      <c r="E110" s="80">
        <v>125.68607142857142</v>
      </c>
      <c r="F110" s="77">
        <v>170.12179209183671</v>
      </c>
      <c r="G110" s="77">
        <v>209.31318743166909</v>
      </c>
      <c r="H110" s="77">
        <v>244.15857715543328</v>
      </c>
      <c r="I110" s="77">
        <v>276.47907806094003</v>
      </c>
      <c r="J110" s="77">
        <v>307.20047864326006</v>
      </c>
      <c r="K110" s="77">
        <v>329.40610006132556</v>
      </c>
      <c r="L110" s="77">
        <v>354.37989636547763</v>
      </c>
      <c r="M110" s="77">
        <v>365.90363859288851</v>
      </c>
      <c r="N110" s="77">
        <v>377.90816148735513</v>
      </c>
    </row>
    <row r="111" spans="2:14" s="24" customFormat="1" ht="13.2" x14ac:dyDescent="0.25">
      <c r="B111" s="69" t="s">
        <v>99</v>
      </c>
      <c r="D111" s="76">
        <v>3</v>
      </c>
      <c r="E111" s="80">
        <v>125.68607142857142</v>
      </c>
      <c r="F111" s="77">
        <v>169.62179209183671</v>
      </c>
      <c r="G111" s="77">
        <v>206.81318743166909</v>
      </c>
      <c r="H111" s="77">
        <v>239.90857715543328</v>
      </c>
      <c r="I111" s="77">
        <v>271.45907806094004</v>
      </c>
      <c r="J111" s="77">
        <v>296.34047864326004</v>
      </c>
      <c r="K111" s="77">
        <v>315.64610006132557</v>
      </c>
      <c r="L111" s="77">
        <v>350.57989636547768</v>
      </c>
      <c r="M111" s="77">
        <v>369.99363859288849</v>
      </c>
      <c r="N111" s="77">
        <v>382.89816148735508</v>
      </c>
    </row>
    <row r="112" spans="2:14" s="24" customFormat="1" ht="13.2" x14ac:dyDescent="0.25">
      <c r="B112" s="69" t="s">
        <v>100</v>
      </c>
      <c r="D112" s="76">
        <v>4</v>
      </c>
      <c r="E112" s="80">
        <v>125.68607142857142</v>
      </c>
      <c r="F112" s="77">
        <v>169.62179209183671</v>
      </c>
      <c r="G112" s="77">
        <v>206.81318743166909</v>
      </c>
      <c r="H112" s="77">
        <v>239.40857715543328</v>
      </c>
      <c r="I112" s="77">
        <v>268.95907806094004</v>
      </c>
      <c r="J112" s="77">
        <v>292.09047864326004</v>
      </c>
      <c r="K112" s="77">
        <v>310.62610006132559</v>
      </c>
      <c r="L112" s="77">
        <v>339.71989636547767</v>
      </c>
      <c r="M112" s="77">
        <v>356.2336385928885</v>
      </c>
      <c r="N112" s="77">
        <v>379.09816148735513</v>
      </c>
    </row>
    <row r="113" spans="2:14" s="24" customFormat="1" ht="13.2" x14ac:dyDescent="0.25">
      <c r="B113" s="69" t="s">
        <v>101</v>
      </c>
      <c r="D113" s="76">
        <v>5</v>
      </c>
      <c r="E113" s="80">
        <v>126.18607142857142</v>
      </c>
      <c r="F113" s="77">
        <v>172.12179209183671</v>
      </c>
      <c r="G113" s="77">
        <v>211.56318743166909</v>
      </c>
      <c r="H113" s="77">
        <v>226.92857715543329</v>
      </c>
      <c r="I113" s="77">
        <v>264.56907806094006</v>
      </c>
      <c r="J113" s="77">
        <v>292.87047864326007</v>
      </c>
      <c r="K113" s="77">
        <v>307.53610006132561</v>
      </c>
      <c r="L113" s="77">
        <v>332.15989636547766</v>
      </c>
      <c r="M113" s="77">
        <v>343.13363859288853</v>
      </c>
      <c r="N113" s="77">
        <v>349.86816148735511</v>
      </c>
    </row>
    <row r="114" spans="2:14" s="24" customFormat="1" ht="13.2" x14ac:dyDescent="0.25">
      <c r="D114" s="75"/>
      <c r="E114" s="74"/>
      <c r="F114" s="74"/>
      <c r="G114" s="74"/>
      <c r="H114" s="74"/>
      <c r="I114" s="74"/>
    </row>
    <row r="115" spans="2:14" s="24" customFormat="1" ht="13.2" x14ac:dyDescent="0.25">
      <c r="B115" s="37" t="s">
        <v>102</v>
      </c>
      <c r="D115" s="75"/>
      <c r="E115" s="77">
        <f>E97</f>
        <v>2604.5764285714286</v>
      </c>
      <c r="F115" s="77">
        <f t="shared" ref="F115:N115" si="33">F97</f>
        <v>2640.1743239795919</v>
      </c>
      <c r="G115" s="77">
        <f t="shared" si="33"/>
        <v>2639.5348006104227</v>
      </c>
      <c r="H115" s="77">
        <f t="shared" si="33"/>
        <v>2627.7366623221769</v>
      </c>
      <c r="I115" s="77">
        <f t="shared" si="33"/>
        <v>2631.1678060434629</v>
      </c>
      <c r="J115" s="77">
        <f t="shared" si="33"/>
        <v>2559.8950658160966</v>
      </c>
      <c r="K115" s="77">
        <f t="shared" si="33"/>
        <v>2487.5515345518565</v>
      </c>
      <c r="L115" s="77">
        <f t="shared" si="33"/>
        <v>2405.6511496432458</v>
      </c>
      <c r="M115" s="77">
        <f t="shared" si="33"/>
        <v>2329.2964858664895</v>
      </c>
      <c r="N115" s="77">
        <f t="shared" si="33"/>
        <v>2264.465722306476</v>
      </c>
    </row>
    <row r="116" spans="2:14" s="24" customFormat="1" ht="13.2" x14ac:dyDescent="0.25">
      <c r="B116" s="69" t="s">
        <v>97</v>
      </c>
      <c r="D116" s="76">
        <v>1</v>
      </c>
      <c r="E116" s="78">
        <f t="dataTable" ref="E116:N120" dt2D="0" dtr="0" r1="D102" ca="1"/>
        <v>2604.5764285714286</v>
      </c>
      <c r="F116" s="79">
        <v>2640.1743239795919</v>
      </c>
      <c r="G116" s="79">
        <v>2639.5348006104227</v>
      </c>
      <c r="H116" s="79">
        <v>2627.7366623221769</v>
      </c>
      <c r="I116" s="79">
        <v>2631.1678060434629</v>
      </c>
      <c r="J116" s="79">
        <v>2559.8950658160966</v>
      </c>
      <c r="K116" s="79">
        <v>2487.5515345518565</v>
      </c>
      <c r="L116" s="79">
        <v>2405.6511496432458</v>
      </c>
      <c r="M116" s="79">
        <v>2329.2964858664895</v>
      </c>
      <c r="N116" s="79">
        <v>2264.465722306476</v>
      </c>
    </row>
    <row r="117" spans="2:14" s="24" customFormat="1" ht="13.2" x14ac:dyDescent="0.25">
      <c r="B117" s="69" t="s">
        <v>98</v>
      </c>
      <c r="D117" s="76">
        <v>2</v>
      </c>
      <c r="E117" s="80">
        <v>2600.0764285714286</v>
      </c>
      <c r="F117" s="77">
        <v>2627.6743239795919</v>
      </c>
      <c r="G117" s="77">
        <v>2636.7848006104227</v>
      </c>
      <c r="H117" s="77">
        <v>2615.0566623221771</v>
      </c>
      <c r="I117" s="77">
        <v>2586.0778060434632</v>
      </c>
      <c r="J117" s="77">
        <v>2580.1750658160968</v>
      </c>
      <c r="K117" s="77">
        <v>2506.6615345518567</v>
      </c>
      <c r="L117" s="77">
        <v>2422.8411496432464</v>
      </c>
      <c r="M117" s="77">
        <v>2343.7164858664901</v>
      </c>
      <c r="N117" s="77">
        <v>2270.3457223064765</v>
      </c>
    </row>
    <row r="118" spans="2:14" s="24" customFormat="1" ht="13.2" x14ac:dyDescent="0.25">
      <c r="B118" s="69" t="s">
        <v>99</v>
      </c>
      <c r="D118" s="76">
        <v>3</v>
      </c>
      <c r="E118" s="80">
        <v>2600.0764285714286</v>
      </c>
      <c r="F118" s="77">
        <v>2623.1743239795919</v>
      </c>
      <c r="G118" s="77">
        <v>2619.7848006104227</v>
      </c>
      <c r="H118" s="77">
        <v>2599.8066623221771</v>
      </c>
      <c r="I118" s="77">
        <v>2570.6478060434633</v>
      </c>
      <c r="J118" s="77">
        <v>2522.4050658160968</v>
      </c>
      <c r="K118" s="77">
        <v>2481.8515345518563</v>
      </c>
      <c r="L118" s="77">
        <v>2462.2311496432458</v>
      </c>
      <c r="M118" s="77">
        <v>2380.0164858664893</v>
      </c>
      <c r="N118" s="77">
        <v>2301.9557223064762</v>
      </c>
    </row>
    <row r="119" spans="2:14" s="24" customFormat="1" ht="13.2" x14ac:dyDescent="0.25">
      <c r="B119" s="69" t="s">
        <v>100</v>
      </c>
      <c r="D119" s="76">
        <v>4</v>
      </c>
      <c r="E119" s="80">
        <v>2600.0764285714286</v>
      </c>
      <c r="F119" s="77">
        <v>2623.1743239795919</v>
      </c>
      <c r="G119" s="77">
        <v>2619.7848006104227</v>
      </c>
      <c r="H119" s="77">
        <v>2595.3066623221771</v>
      </c>
      <c r="I119" s="77">
        <v>2553.6478060434633</v>
      </c>
      <c r="J119" s="77">
        <v>2507.1550658160968</v>
      </c>
      <c r="K119" s="77">
        <v>2466.4215345518569</v>
      </c>
      <c r="L119" s="77">
        <v>2404.4611496432462</v>
      </c>
      <c r="M119" s="77">
        <v>2355.2064858664899</v>
      </c>
      <c r="N119" s="77">
        <v>2341.3457223064761</v>
      </c>
    </row>
    <row r="120" spans="2:14" s="24" customFormat="1" ht="13.2" x14ac:dyDescent="0.25">
      <c r="B120" s="69" t="s">
        <v>101</v>
      </c>
      <c r="D120" s="76">
        <v>5</v>
      </c>
      <c r="E120" s="80">
        <v>2604.5764285714286</v>
      </c>
      <c r="F120" s="77">
        <v>2640.1743239795919</v>
      </c>
      <c r="G120" s="77">
        <v>2139.5348006104227</v>
      </c>
      <c r="H120" s="77">
        <v>2147.7366623221769</v>
      </c>
      <c r="I120" s="77">
        <v>2171.1678060434629</v>
      </c>
      <c r="J120" s="77">
        <v>2119.8950658160966</v>
      </c>
      <c r="K120" s="77">
        <v>2067.5515345518565</v>
      </c>
      <c r="L120" s="77">
        <v>2005.6511496432461</v>
      </c>
      <c r="M120" s="77">
        <v>1949.2964858664895</v>
      </c>
      <c r="N120" s="77">
        <v>1904.4657223064762</v>
      </c>
    </row>
    <row r="121" spans="2:14" s="24" customFormat="1" ht="13.2" x14ac:dyDescent="0.25">
      <c r="D121" s="75"/>
      <c r="E121" s="74"/>
      <c r="F121" s="74"/>
      <c r="G121" s="74"/>
      <c r="H121" s="74"/>
      <c r="I121" s="74"/>
    </row>
    <row r="122" spans="2:14" s="24" customFormat="1" ht="13.2" x14ac:dyDescent="0.25">
      <c r="D122" s="75"/>
      <c r="E122" s="74"/>
      <c r="F122" s="74"/>
      <c r="G122" s="74"/>
      <c r="H122" s="74"/>
      <c r="I122" s="74"/>
    </row>
    <row r="123" spans="2:14" x14ac:dyDescent="0.25">
      <c r="B123" s="27" t="s">
        <v>103</v>
      </c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</row>
    <row r="125" spans="2:14" x14ac:dyDescent="0.25">
      <c r="E125" s="26">
        <f>E$6</f>
        <v>2018</v>
      </c>
      <c r="F125" s="26">
        <f t="shared" ref="F125:N125" si="34">F$6</f>
        <v>2019</v>
      </c>
      <c r="G125" s="26">
        <f t="shared" si="34"/>
        <v>2020</v>
      </c>
      <c r="H125" s="26">
        <f t="shared" si="34"/>
        <v>2021</v>
      </c>
      <c r="I125" s="26">
        <f t="shared" si="34"/>
        <v>2022</v>
      </c>
      <c r="J125" s="26">
        <f t="shared" si="34"/>
        <v>2023</v>
      </c>
      <c r="K125" s="26">
        <f t="shared" si="34"/>
        <v>2024</v>
      </c>
      <c r="L125" s="26">
        <f t="shared" si="34"/>
        <v>2025</v>
      </c>
      <c r="M125" s="26">
        <f t="shared" si="34"/>
        <v>2026</v>
      </c>
      <c r="N125" s="26">
        <f t="shared" si="34"/>
        <v>2027</v>
      </c>
    </row>
    <row r="126" spans="2:14" x14ac:dyDescent="0.25">
      <c r="B126" s="81" t="s">
        <v>104</v>
      </c>
    </row>
    <row r="127" spans="2:14" x14ac:dyDescent="0.25">
      <c r="B127" s="20" t="s">
        <v>71</v>
      </c>
      <c r="E127" s="34">
        <f>E109</f>
        <v>126.18607142857142</v>
      </c>
      <c r="F127" s="34">
        <f t="shared" ref="F127:N127" si="35">F109</f>
        <v>172.12179209183671</v>
      </c>
      <c r="G127" s="34">
        <f t="shared" si="35"/>
        <v>211.56318743166909</v>
      </c>
      <c r="H127" s="34">
        <f t="shared" si="35"/>
        <v>246.92857715543329</v>
      </c>
      <c r="I127" s="34">
        <f t="shared" si="35"/>
        <v>284.56907806094006</v>
      </c>
      <c r="J127" s="34">
        <f t="shared" si="35"/>
        <v>312.87047864326007</v>
      </c>
      <c r="K127" s="34">
        <f t="shared" si="35"/>
        <v>327.53610006132556</v>
      </c>
      <c r="L127" s="34">
        <f t="shared" si="35"/>
        <v>352.15989636547766</v>
      </c>
      <c r="M127" s="34">
        <f t="shared" si="35"/>
        <v>363.13363859288853</v>
      </c>
      <c r="N127" s="34">
        <f t="shared" si="35"/>
        <v>369.86816148735511</v>
      </c>
    </row>
    <row r="129" spans="2:14" x14ac:dyDescent="0.25">
      <c r="B129" s="81" t="s">
        <v>105</v>
      </c>
    </row>
    <row r="130" spans="2:14" x14ac:dyDescent="0.25">
      <c r="B130" s="20" t="s">
        <v>106</v>
      </c>
      <c r="E130" s="34">
        <f>E110</f>
        <v>125.68607142857142</v>
      </c>
      <c r="F130" s="34">
        <f t="shared" ref="F130:N130" si="36">F110</f>
        <v>170.12179209183671</v>
      </c>
      <c r="G130" s="34">
        <f t="shared" si="36"/>
        <v>209.31318743166909</v>
      </c>
      <c r="H130" s="34">
        <f t="shared" si="36"/>
        <v>244.15857715543328</v>
      </c>
      <c r="I130" s="34">
        <f t="shared" si="36"/>
        <v>276.47907806094003</v>
      </c>
      <c r="J130" s="34">
        <f t="shared" si="36"/>
        <v>307.20047864326006</v>
      </c>
      <c r="K130" s="34">
        <f t="shared" si="36"/>
        <v>329.40610006132556</v>
      </c>
      <c r="L130" s="34">
        <f t="shared" si="36"/>
        <v>354.37989636547763</v>
      </c>
      <c r="M130" s="34">
        <f t="shared" si="36"/>
        <v>365.90363859288851</v>
      </c>
      <c r="N130" s="34">
        <f t="shared" si="36"/>
        <v>377.90816148735513</v>
      </c>
    </row>
    <row r="131" spans="2:14" x14ac:dyDescent="0.25">
      <c r="B131" s="20" t="s">
        <v>107</v>
      </c>
      <c r="E131" s="34">
        <f t="shared" ref="E131:N132" si="37">E111</f>
        <v>125.68607142857142</v>
      </c>
      <c r="F131" s="34">
        <f t="shared" si="37"/>
        <v>169.62179209183671</v>
      </c>
      <c r="G131" s="34">
        <f t="shared" si="37"/>
        <v>206.81318743166909</v>
      </c>
      <c r="H131" s="34">
        <f t="shared" si="37"/>
        <v>239.90857715543328</v>
      </c>
      <c r="I131" s="34">
        <f t="shared" si="37"/>
        <v>271.45907806094004</v>
      </c>
      <c r="J131" s="34">
        <f t="shared" si="37"/>
        <v>296.34047864326004</v>
      </c>
      <c r="K131" s="34">
        <f t="shared" si="37"/>
        <v>315.64610006132557</v>
      </c>
      <c r="L131" s="34">
        <f t="shared" si="37"/>
        <v>350.57989636547768</v>
      </c>
      <c r="M131" s="34">
        <f t="shared" si="37"/>
        <v>369.99363859288849</v>
      </c>
      <c r="N131" s="34">
        <f t="shared" si="37"/>
        <v>382.89816148735508</v>
      </c>
    </row>
    <row r="132" spans="2:14" x14ac:dyDescent="0.25">
      <c r="B132" s="20" t="s">
        <v>108</v>
      </c>
      <c r="E132" s="34">
        <f t="shared" si="37"/>
        <v>125.68607142857142</v>
      </c>
      <c r="F132" s="34">
        <f t="shared" si="37"/>
        <v>169.62179209183671</v>
      </c>
      <c r="G132" s="34">
        <f t="shared" si="37"/>
        <v>206.81318743166909</v>
      </c>
      <c r="H132" s="34">
        <f t="shared" si="37"/>
        <v>239.40857715543328</v>
      </c>
      <c r="I132" s="34">
        <f t="shared" si="37"/>
        <v>268.95907806094004</v>
      </c>
      <c r="J132" s="34">
        <f t="shared" si="37"/>
        <v>292.09047864326004</v>
      </c>
      <c r="K132" s="34">
        <f t="shared" si="37"/>
        <v>310.62610006132559</v>
      </c>
      <c r="L132" s="34">
        <f t="shared" si="37"/>
        <v>339.71989636547767</v>
      </c>
      <c r="M132" s="34">
        <f t="shared" si="37"/>
        <v>356.2336385928885</v>
      </c>
      <c r="N132" s="34">
        <f t="shared" si="37"/>
        <v>379.09816148735513</v>
      </c>
    </row>
    <row r="134" spans="2:14" x14ac:dyDescent="0.25">
      <c r="B134" s="81" t="s">
        <v>109</v>
      </c>
    </row>
    <row r="135" spans="2:14" x14ac:dyDescent="0.25">
      <c r="B135" s="20" t="s">
        <v>110</v>
      </c>
      <c r="E135" s="34">
        <f>E113</f>
        <v>126.18607142857142</v>
      </c>
      <c r="F135" s="34">
        <f t="shared" ref="F135:N135" si="38">F113</f>
        <v>172.12179209183671</v>
      </c>
      <c r="G135" s="34">
        <f t="shared" si="38"/>
        <v>211.56318743166909</v>
      </c>
      <c r="H135" s="34">
        <f t="shared" si="38"/>
        <v>226.92857715543329</v>
      </c>
      <c r="I135" s="34">
        <f t="shared" si="38"/>
        <v>264.56907806094006</v>
      </c>
      <c r="J135" s="34">
        <f t="shared" si="38"/>
        <v>292.87047864326007</v>
      </c>
      <c r="K135" s="34">
        <f t="shared" si="38"/>
        <v>307.53610006132561</v>
      </c>
      <c r="L135" s="34">
        <f t="shared" si="38"/>
        <v>332.15989636547766</v>
      </c>
      <c r="M135" s="34">
        <f t="shared" si="38"/>
        <v>343.13363859288853</v>
      </c>
      <c r="N135" s="34">
        <f t="shared" si="38"/>
        <v>349.86816148735511</v>
      </c>
    </row>
    <row r="137" spans="2:14" x14ac:dyDescent="0.25">
      <c r="B137" s="81" t="s">
        <v>111</v>
      </c>
    </row>
    <row r="138" spans="2:14" x14ac:dyDescent="0.25">
      <c r="B138" s="20" t="s">
        <v>102</v>
      </c>
      <c r="E138" s="34">
        <f>E116</f>
        <v>2604.5764285714286</v>
      </c>
      <c r="F138" s="34">
        <f t="shared" ref="F138:N138" si="39">F116</f>
        <v>2640.1743239795919</v>
      </c>
      <c r="G138" s="34">
        <f t="shared" si="39"/>
        <v>2639.5348006104227</v>
      </c>
      <c r="H138" s="34">
        <f t="shared" si="39"/>
        <v>2627.7366623221769</v>
      </c>
      <c r="I138" s="34">
        <f t="shared" si="39"/>
        <v>2631.1678060434629</v>
      </c>
      <c r="J138" s="34">
        <f t="shared" si="39"/>
        <v>2559.8950658160966</v>
      </c>
      <c r="K138" s="34">
        <f t="shared" si="39"/>
        <v>2487.5515345518565</v>
      </c>
      <c r="L138" s="34">
        <f t="shared" si="39"/>
        <v>2405.6511496432458</v>
      </c>
      <c r="M138" s="34">
        <f t="shared" si="39"/>
        <v>2329.2964858664895</v>
      </c>
      <c r="N138" s="34">
        <f t="shared" si="39"/>
        <v>2264.465722306476</v>
      </c>
    </row>
    <row r="139" spans="2:14" x14ac:dyDescent="0.25">
      <c r="B139" s="20" t="s">
        <v>112</v>
      </c>
      <c r="E139" s="34">
        <f t="shared" ref="E139:N142" si="40">E117</f>
        <v>2600.0764285714286</v>
      </c>
      <c r="F139" s="34">
        <f t="shared" si="40"/>
        <v>2627.6743239795919</v>
      </c>
      <c r="G139" s="34">
        <f t="shared" si="40"/>
        <v>2636.7848006104227</v>
      </c>
      <c r="H139" s="34">
        <f t="shared" si="40"/>
        <v>2615.0566623221771</v>
      </c>
      <c r="I139" s="34">
        <f t="shared" si="40"/>
        <v>2586.0778060434632</v>
      </c>
      <c r="J139" s="34">
        <f t="shared" si="40"/>
        <v>2580.1750658160968</v>
      </c>
      <c r="K139" s="34">
        <f t="shared" si="40"/>
        <v>2506.6615345518567</v>
      </c>
      <c r="L139" s="34">
        <f t="shared" si="40"/>
        <v>2422.8411496432464</v>
      </c>
      <c r="M139" s="34">
        <f t="shared" si="40"/>
        <v>2343.7164858664901</v>
      </c>
      <c r="N139" s="34">
        <f t="shared" si="40"/>
        <v>2270.3457223064765</v>
      </c>
    </row>
    <row r="140" spans="2:14" x14ac:dyDescent="0.25">
      <c r="B140" s="20" t="s">
        <v>113</v>
      </c>
      <c r="E140" s="34">
        <f t="shared" si="40"/>
        <v>2600.0764285714286</v>
      </c>
      <c r="F140" s="34">
        <f t="shared" si="40"/>
        <v>2623.1743239795919</v>
      </c>
      <c r="G140" s="34">
        <f t="shared" si="40"/>
        <v>2619.7848006104227</v>
      </c>
      <c r="H140" s="34">
        <f t="shared" si="40"/>
        <v>2599.8066623221771</v>
      </c>
      <c r="I140" s="34">
        <f t="shared" si="40"/>
        <v>2570.6478060434633</v>
      </c>
      <c r="J140" s="34">
        <f t="shared" si="40"/>
        <v>2522.4050658160968</v>
      </c>
      <c r="K140" s="34">
        <f t="shared" si="40"/>
        <v>2481.8515345518563</v>
      </c>
      <c r="L140" s="34">
        <f t="shared" si="40"/>
        <v>2462.2311496432458</v>
      </c>
      <c r="M140" s="34">
        <f t="shared" si="40"/>
        <v>2380.0164858664893</v>
      </c>
      <c r="N140" s="34">
        <f t="shared" si="40"/>
        <v>2301.9557223064762</v>
      </c>
    </row>
    <row r="141" spans="2:14" x14ac:dyDescent="0.25">
      <c r="B141" s="20" t="s">
        <v>114</v>
      </c>
      <c r="E141" s="34">
        <f t="shared" si="40"/>
        <v>2600.0764285714286</v>
      </c>
      <c r="F141" s="34">
        <f t="shared" si="40"/>
        <v>2623.1743239795919</v>
      </c>
      <c r="G141" s="34">
        <f t="shared" si="40"/>
        <v>2619.7848006104227</v>
      </c>
      <c r="H141" s="34">
        <f t="shared" si="40"/>
        <v>2595.3066623221771</v>
      </c>
      <c r="I141" s="34">
        <f t="shared" si="40"/>
        <v>2553.6478060434633</v>
      </c>
      <c r="J141" s="34">
        <f t="shared" si="40"/>
        <v>2507.1550658160968</v>
      </c>
      <c r="K141" s="34">
        <f t="shared" si="40"/>
        <v>2466.4215345518569</v>
      </c>
      <c r="L141" s="34">
        <f t="shared" si="40"/>
        <v>2404.4611496432462</v>
      </c>
      <c r="M141" s="34">
        <f t="shared" si="40"/>
        <v>2355.2064858664899</v>
      </c>
      <c r="N141" s="34">
        <f t="shared" si="40"/>
        <v>2341.3457223064761</v>
      </c>
    </row>
    <row r="142" spans="2:14" x14ac:dyDescent="0.25">
      <c r="B142" s="20" t="s">
        <v>115</v>
      </c>
      <c r="E142" s="34">
        <f t="shared" si="40"/>
        <v>2604.5764285714286</v>
      </c>
      <c r="F142" s="34">
        <f t="shared" si="40"/>
        <v>2640.1743239795919</v>
      </c>
      <c r="G142" s="34">
        <f t="shared" si="40"/>
        <v>2139.5348006104227</v>
      </c>
      <c r="H142" s="34">
        <f t="shared" si="40"/>
        <v>2147.7366623221769</v>
      </c>
      <c r="I142" s="34">
        <f t="shared" si="40"/>
        <v>2171.1678060434629</v>
      </c>
      <c r="J142" s="34">
        <f t="shared" si="40"/>
        <v>2119.8950658160966</v>
      </c>
      <c r="K142" s="34">
        <f t="shared" si="40"/>
        <v>2067.5515345518565</v>
      </c>
      <c r="L142" s="34">
        <f t="shared" si="40"/>
        <v>2005.6511496432461</v>
      </c>
      <c r="M142" s="34">
        <f t="shared" si="40"/>
        <v>1949.2964858664895</v>
      </c>
      <c r="N142" s="34">
        <f t="shared" si="40"/>
        <v>1904.4657223064762</v>
      </c>
    </row>
    <row r="143" spans="2:14" x14ac:dyDescent="0.25"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13</vt:i4>
      </vt:variant>
    </vt:vector>
  </HeadingPairs>
  <TitlesOfParts>
    <vt:vector size="18" baseType="lpstr">
      <vt:lpstr>Calculations</vt:lpstr>
      <vt:lpstr>Assumptions</vt:lpstr>
      <vt:lpstr>Time</vt:lpstr>
      <vt:lpstr>Tmp</vt:lpstr>
      <vt:lpstr>Dep_Ans</vt:lpstr>
      <vt:lpstr>company</vt:lpstr>
      <vt:lpstr>it_expansion_date</vt:lpstr>
      <vt:lpstr>periods_bldg</vt:lpstr>
      <vt:lpstr>periods_it</vt:lpstr>
      <vt:lpstr>Assumptions!Print_Area</vt:lpstr>
      <vt:lpstr>Calculations!Print_Area</vt:lpstr>
      <vt:lpstr>Time!Print_Area</vt:lpstr>
      <vt:lpstr>Tmp!Print_Area</vt:lpstr>
      <vt:lpstr>Assumptions!Print_Titles</vt:lpstr>
      <vt:lpstr>Calculations!Print_Titles</vt:lpstr>
      <vt:lpstr>Time!Print_Titles</vt:lpstr>
      <vt:lpstr>Tmp!Print_Titles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Nicod</dc:creator>
  <cp:lastModifiedBy>Luc Nicod</cp:lastModifiedBy>
  <cp:lastPrinted>2026-07-18T19:03:28Z</cp:lastPrinted>
  <dcterms:created xsi:type="dcterms:W3CDTF">2026-06-30T06:06:42Z</dcterms:created>
  <dcterms:modified xsi:type="dcterms:W3CDTF">2026-08-19T07:35:08Z</dcterms:modified>
</cp:coreProperties>
</file>