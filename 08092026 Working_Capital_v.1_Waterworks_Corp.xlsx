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filterPrivacy="1" defaultThemeVersion="124226"/>
  <xr:revisionPtr revIDLastSave="1632" documentId="8_{0B2D48BC-2545-4F04-A4A5-ECC848C591B2}" xr6:coauthVersionLast="47" xr6:coauthVersionMax="47" xr10:uidLastSave="{771F13AA-9115-4571-9139-CE7782F92C1A}"/>
  <bookViews>
    <workbookView xWindow="28680" yWindow="-120" windowWidth="29040" windowHeight="16440" xr2:uid="{00000000-000D-0000-FFFF-FFFF00000000}"/>
  </bookViews>
  <sheets>
    <sheet name="Calculations" sheetId="44" r:id="rId1"/>
    <sheet name="CaseData" sheetId="42" r:id="rId2"/>
    <sheet name="Tmp" sheetId="43" r:id="rId3"/>
  </sheets>
  <definedNames>
    <definedName name="company">CaseData!$E$55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_xlnm.Print_Titles" localSheetId="0">Calculations!$1:$4</definedName>
    <definedName name="quarters">CaseData!$E$58</definedName>
    <definedName name="start_date">CaseData!$E$6</definedName>
    <definedName name="topic">"CFM Topic: " &amp; CaseData!$E$56</definedName>
    <definedName name="years">CaseData!$E$57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44" l="1" a="1"/>
  <c r="J42" i="44" a="1"/>
  <c r="J128" i="44" a="1"/>
  <c r="J129" i="44"/>
  <c r="J135" i="44"/>
  <c r="J131" i="44"/>
  <c r="J133" i="44"/>
  <c r="J136" i="44"/>
  <c r="J137" i="44"/>
  <c r="K127" i="44"/>
  <c r="K129" i="44"/>
  <c r="K135" i="44"/>
  <c r="K131" i="44"/>
  <c r="K133" i="44"/>
  <c r="K136" i="44"/>
  <c r="K137" i="44"/>
  <c r="L127" i="44"/>
  <c r="L129" i="44"/>
  <c r="L135" i="44"/>
  <c r="L131" i="44"/>
  <c r="L133" i="44"/>
  <c r="L136" i="44"/>
  <c r="L137" i="44"/>
  <c r="M127" i="44"/>
  <c r="M129" i="44"/>
  <c r="M135" i="44"/>
  <c r="M131" i="44"/>
  <c r="M133" i="44"/>
  <c r="M136" i="44"/>
  <c r="M137" i="44"/>
  <c r="N127" i="44"/>
  <c r="N129" i="44"/>
  <c r="N135" i="44"/>
  <c r="N131" i="44"/>
  <c r="N133" i="44"/>
  <c r="N136" i="44"/>
  <c r="N137" i="44"/>
  <c r="O127" i="44"/>
  <c r="O129" i="44"/>
  <c r="O135" i="44"/>
  <c r="O131" i="44"/>
  <c r="O133" i="44"/>
  <c r="O136" i="44"/>
  <c r="O137" i="44"/>
  <c r="P127" i="44"/>
  <c r="P129" i="44"/>
  <c r="P135" i="44"/>
  <c r="P131" i="44"/>
  <c r="P133" i="44"/>
  <c r="P136" i="44"/>
  <c r="P137" i="44"/>
  <c r="Q127" i="44"/>
  <c r="Q129" i="44"/>
  <c r="Q135" i="44"/>
  <c r="Q131" i="44"/>
  <c r="Q133" i="44"/>
  <c r="Q136" i="44"/>
  <c r="Q137" i="44"/>
  <c r="R127" i="44"/>
  <c r="R129" i="44"/>
  <c r="R135" i="44"/>
  <c r="R131" i="44"/>
  <c r="R133" i="44"/>
  <c r="R136" i="44"/>
  <c r="R137" i="44"/>
  <c r="S127" i="44"/>
  <c r="S129" i="44"/>
  <c r="S135" i="44"/>
  <c r="S131" i="44"/>
  <c r="S133" i="44"/>
  <c r="S136" i="44"/>
  <c r="S137" i="44"/>
  <c r="T127" i="44"/>
  <c r="T129" i="44"/>
  <c r="T135" i="44"/>
  <c r="T131" i="44"/>
  <c r="T133" i="44"/>
  <c r="T136" i="44"/>
  <c r="T137" i="44"/>
  <c r="U127" i="44"/>
  <c r="U129" i="44"/>
  <c r="U135" i="44"/>
  <c r="U131" i="44"/>
  <c r="U133" i="44"/>
  <c r="U136" i="44"/>
  <c r="U137" i="44"/>
  <c r="V127" i="44"/>
  <c r="V129" i="44"/>
  <c r="V135" i="44"/>
  <c r="V131" i="44"/>
  <c r="V133" i="44"/>
  <c r="V136" i="44"/>
  <c r="V137" i="44"/>
  <c r="W127" i="44"/>
  <c r="W129" i="44"/>
  <c r="W135" i="44"/>
  <c r="W131" i="44"/>
  <c r="W133" i="44"/>
  <c r="W136" i="44"/>
  <c r="W137" i="44"/>
  <c r="X127" i="44"/>
  <c r="X129" i="44"/>
  <c r="X135" i="44"/>
  <c r="X131" i="44"/>
  <c r="X133" i="44"/>
  <c r="X136" i="44"/>
  <c r="X137" i="44"/>
  <c r="Y127" i="44"/>
  <c r="Y129" i="44"/>
  <c r="Y135" i="44"/>
  <c r="Y131" i="44"/>
  <c r="Y133" i="44"/>
  <c r="Y136" i="44"/>
  <c r="Y137" i="44"/>
  <c r="Z127" i="44"/>
  <c r="Z129" i="44"/>
  <c r="Z135" i="44"/>
  <c r="Z131" i="44"/>
  <c r="Z133" i="44"/>
  <c r="Z136" i="44"/>
  <c r="Z137" i="44"/>
  <c r="AA127" i="44"/>
  <c r="AA129" i="44"/>
  <c r="AA135" i="44"/>
  <c r="AA131" i="44"/>
  <c r="AA133" i="44"/>
  <c r="AA136" i="44"/>
  <c r="AA137" i="44"/>
  <c r="AB127" i="44"/>
  <c r="AB129" i="44"/>
  <c r="AB135" i="44"/>
  <c r="AB131" i="44"/>
  <c r="AB133" i="44"/>
  <c r="AB136" i="44"/>
  <c r="AB137" i="44"/>
  <c r="AC127" i="44"/>
  <c r="AC129" i="44"/>
  <c r="AC135" i="44"/>
  <c r="AC131" i="44"/>
  <c r="AC133" i="44"/>
  <c r="AC136" i="44"/>
  <c r="AC137" i="44"/>
  <c r="AD127" i="44"/>
  <c r="AD129" i="44"/>
  <c r="AD135" i="44"/>
  <c r="AD131" i="44"/>
  <c r="AD133" i="44"/>
  <c r="AD136" i="44"/>
  <c r="AD137" i="44"/>
  <c r="AE127" i="44"/>
  <c r="AE129" i="44"/>
  <c r="AE135" i="44"/>
  <c r="AE131" i="44"/>
  <c r="AE133" i="44"/>
  <c r="AE136" i="44"/>
  <c r="AE137" i="44"/>
  <c r="AF127" i="44"/>
  <c r="AF129" i="44"/>
  <c r="AF135" i="44"/>
  <c r="AF131" i="44"/>
  <c r="AF133" i="44"/>
  <c r="AF136" i="44"/>
  <c r="AF137" i="44"/>
  <c r="AG127" i="44"/>
  <c r="AG129" i="44"/>
  <c r="AG135" i="44"/>
  <c r="AG131" i="44"/>
  <c r="AG133" i="44"/>
  <c r="AG136" i="44"/>
  <c r="AG137" i="44"/>
  <c r="AH127" i="44"/>
  <c r="AH129" i="44"/>
  <c r="AH135" i="44"/>
  <c r="AH131" i="44"/>
  <c r="AH133" i="44"/>
  <c r="AH136" i="44"/>
  <c r="AH137" i="44"/>
  <c r="AI127" i="44"/>
  <c r="AI129" i="44"/>
  <c r="AI135" i="44"/>
  <c r="AI131" i="44"/>
  <c r="AI133" i="44"/>
  <c r="AI136" i="44"/>
  <c r="AI137" i="44"/>
  <c r="AJ127" i="44"/>
  <c r="AJ129" i="44"/>
  <c r="AJ135" i="44"/>
  <c r="AJ131" i="44"/>
  <c r="AJ133" i="44"/>
  <c r="AJ136" i="44"/>
  <c r="AJ137" i="44"/>
  <c r="AK127" i="44"/>
  <c r="AK129" i="44"/>
  <c r="AK135" i="44"/>
  <c r="AK131" i="44"/>
  <c r="AK133" i="44"/>
  <c r="AK136" i="44"/>
  <c r="AK137" i="44"/>
  <c r="AK174" i="44"/>
  <c r="AJ174" i="44"/>
  <c r="AI174" i="44"/>
  <c r="AH174" i="44"/>
  <c r="AG174" i="44"/>
  <c r="AF174" i="44"/>
  <c r="AE174" i="44"/>
  <c r="AD174" i="44"/>
  <c r="AC174" i="44"/>
  <c r="AB174" i="44"/>
  <c r="AA174" i="44"/>
  <c r="Z174" i="44"/>
  <c r="Y174" i="44"/>
  <c r="X174" i="44"/>
  <c r="W174" i="44"/>
  <c r="V174" i="44"/>
  <c r="U174" i="44"/>
  <c r="T174" i="44"/>
  <c r="S174" i="44"/>
  <c r="R174" i="44"/>
  <c r="Q174" i="44"/>
  <c r="P174" i="44"/>
  <c r="O174" i="44"/>
  <c r="N174" i="44"/>
  <c r="M174" i="44"/>
  <c r="L174" i="44"/>
  <c r="K174" i="44"/>
  <c r="J174" i="44"/>
  <c r="J110" i="44" a="1"/>
  <c r="G84" i="44" a="1"/>
  <c r="J91" i="44"/>
  <c r="K91" i="44"/>
  <c r="L91" i="44"/>
  <c r="M91" i="44"/>
  <c r="N91" i="44"/>
  <c r="O91" i="44"/>
  <c r="P91" i="44"/>
  <c r="Q91" i="44"/>
  <c r="R91" i="44"/>
  <c r="S91" i="44"/>
  <c r="T91" i="44"/>
  <c r="U91" i="44"/>
  <c r="V91" i="44"/>
  <c r="W91" i="44"/>
  <c r="X91" i="44"/>
  <c r="Y91" i="44"/>
  <c r="Z91" i="44"/>
  <c r="AA91" i="44"/>
  <c r="AB91" i="44"/>
  <c r="AC91" i="44"/>
  <c r="AD91" i="44"/>
  <c r="AE91" i="44"/>
  <c r="AF91" i="44"/>
  <c r="AG91" i="44"/>
  <c r="AH91" i="44"/>
  <c r="AI91" i="44"/>
  <c r="AJ91" i="44"/>
  <c r="AK91" i="44"/>
  <c r="J111" i="44" a="1"/>
  <c r="J67" i="44" a="1"/>
  <c r="J69" i="44" a="1"/>
  <c r="J112" i="44"/>
  <c r="J113" i="44"/>
  <c r="K109" i="44"/>
  <c r="K112" i="44"/>
  <c r="K113" i="44"/>
  <c r="L109" i="44"/>
  <c r="L112" i="44"/>
  <c r="L113" i="44"/>
  <c r="M109" i="44"/>
  <c r="M112" i="44"/>
  <c r="M113" i="44"/>
  <c r="N109" i="44"/>
  <c r="N112" i="44"/>
  <c r="N113" i="44"/>
  <c r="O109" i="44"/>
  <c r="O112" i="44"/>
  <c r="O113" i="44"/>
  <c r="P109" i="44"/>
  <c r="P112" i="44"/>
  <c r="P113" i="44"/>
  <c r="Q109" i="44"/>
  <c r="Q112" i="44"/>
  <c r="Q113" i="44"/>
  <c r="R109" i="44"/>
  <c r="R112" i="44"/>
  <c r="R113" i="44"/>
  <c r="S109" i="44"/>
  <c r="S112" i="44"/>
  <c r="S113" i="44"/>
  <c r="T109" i="44"/>
  <c r="T112" i="44"/>
  <c r="T113" i="44"/>
  <c r="U109" i="44"/>
  <c r="U112" i="44"/>
  <c r="U113" i="44"/>
  <c r="V109" i="44"/>
  <c r="V112" i="44"/>
  <c r="V113" i="44"/>
  <c r="W109" i="44"/>
  <c r="W112" i="44"/>
  <c r="W113" i="44"/>
  <c r="X109" i="44"/>
  <c r="X112" i="44"/>
  <c r="X113" i="44"/>
  <c r="Y109" i="44"/>
  <c r="Y112" i="44"/>
  <c r="Y113" i="44"/>
  <c r="Z109" i="44"/>
  <c r="Z112" i="44"/>
  <c r="Z113" i="44"/>
  <c r="AA109" i="44"/>
  <c r="AA112" i="44"/>
  <c r="AA113" i="44"/>
  <c r="AB109" i="44"/>
  <c r="AB112" i="44"/>
  <c r="AB113" i="44"/>
  <c r="AC109" i="44"/>
  <c r="AC112" i="44"/>
  <c r="AC113" i="44"/>
  <c r="AD109" i="44"/>
  <c r="AD112" i="44"/>
  <c r="AD113" i="44"/>
  <c r="AE109" i="44"/>
  <c r="AE112" i="44"/>
  <c r="AE113" i="44"/>
  <c r="AF109" i="44"/>
  <c r="AF112" i="44"/>
  <c r="AF113" i="44"/>
  <c r="AG109" i="44"/>
  <c r="AG112" i="44"/>
  <c r="AG113" i="44"/>
  <c r="AH109" i="44"/>
  <c r="AH112" i="44"/>
  <c r="AH113" i="44"/>
  <c r="AI109" i="44"/>
  <c r="AI112" i="44"/>
  <c r="AI113" i="44"/>
  <c r="AJ109" i="44"/>
  <c r="AJ112" i="44"/>
  <c r="AJ113" i="44"/>
  <c r="AK109" i="44"/>
  <c r="AK112" i="44"/>
  <c r="AK113" i="44"/>
  <c r="AK173" i="44"/>
  <c r="AJ173" i="44"/>
  <c r="AI173" i="44"/>
  <c r="AH173" i="44"/>
  <c r="AG173" i="44"/>
  <c r="AF173" i="44"/>
  <c r="AE173" i="44"/>
  <c r="AD173" i="44"/>
  <c r="AC173" i="44"/>
  <c r="AB173" i="44"/>
  <c r="AA173" i="44"/>
  <c r="Z173" i="44"/>
  <c r="Y173" i="44"/>
  <c r="X173" i="44"/>
  <c r="W173" i="44"/>
  <c r="V173" i="44"/>
  <c r="U173" i="44"/>
  <c r="T173" i="44"/>
  <c r="S173" i="44"/>
  <c r="R173" i="44"/>
  <c r="Q173" i="44"/>
  <c r="P173" i="44"/>
  <c r="O173" i="44"/>
  <c r="N173" i="44"/>
  <c r="M173" i="44"/>
  <c r="L173" i="44"/>
  <c r="K173" i="44"/>
  <c r="J173" i="44"/>
  <c r="AK170" i="44"/>
  <c r="AJ170" i="44"/>
  <c r="AI170" i="44"/>
  <c r="AH170" i="44"/>
  <c r="AG170" i="44"/>
  <c r="AF170" i="44"/>
  <c r="AE170" i="44"/>
  <c r="AD170" i="44"/>
  <c r="AC170" i="44"/>
  <c r="AB170" i="44"/>
  <c r="AA170" i="44"/>
  <c r="Z170" i="44"/>
  <c r="Y170" i="44"/>
  <c r="X170" i="44"/>
  <c r="W170" i="44"/>
  <c r="V170" i="44"/>
  <c r="U170" i="44"/>
  <c r="T170" i="44"/>
  <c r="S170" i="44"/>
  <c r="R170" i="44"/>
  <c r="Q170" i="44"/>
  <c r="P170" i="44"/>
  <c r="O170" i="44"/>
  <c r="N170" i="44"/>
  <c r="M170" i="44"/>
  <c r="L170" i="44"/>
  <c r="K170" i="44"/>
  <c r="J170" i="44"/>
  <c r="AK169" i="44"/>
  <c r="AJ169" i="44"/>
  <c r="AI169" i="44"/>
  <c r="AH169" i="44"/>
  <c r="AG169" i="44"/>
  <c r="AF169" i="44"/>
  <c r="AE169" i="44"/>
  <c r="AD169" i="44"/>
  <c r="AC169" i="44"/>
  <c r="AB169" i="44"/>
  <c r="AA169" i="44"/>
  <c r="Z169" i="44"/>
  <c r="Y169" i="44"/>
  <c r="X169" i="44"/>
  <c r="W169" i="44"/>
  <c r="V169" i="44"/>
  <c r="U169" i="44"/>
  <c r="T169" i="44"/>
  <c r="S169" i="44"/>
  <c r="R169" i="44"/>
  <c r="Q169" i="44"/>
  <c r="P169" i="44"/>
  <c r="O169" i="44"/>
  <c r="N169" i="44"/>
  <c r="M169" i="44"/>
  <c r="L169" i="44"/>
  <c r="K169" i="44"/>
  <c r="J169" i="44"/>
  <c r="J47" i="44" a="1"/>
  <c r="J49" i="44" a="1"/>
  <c r="AK142" i="44"/>
  <c r="AK146" i="44"/>
  <c r="AK150" i="44"/>
  <c r="AK156" i="44"/>
  <c r="AK160" i="44"/>
  <c r="AK164" i="44"/>
  <c r="AJ142" i="44"/>
  <c r="AJ146" i="44"/>
  <c r="AJ150" i="44"/>
  <c r="AJ156" i="44"/>
  <c r="AJ160" i="44"/>
  <c r="AJ164" i="44"/>
  <c r="AI142" i="44"/>
  <c r="AI146" i="44"/>
  <c r="AI150" i="44"/>
  <c r="AI156" i="44"/>
  <c r="AI160" i="44"/>
  <c r="AI164" i="44"/>
  <c r="AH142" i="44"/>
  <c r="AH146" i="44"/>
  <c r="AH150" i="44"/>
  <c r="AH156" i="44"/>
  <c r="AH160" i="44"/>
  <c r="AH164" i="44"/>
  <c r="AG142" i="44"/>
  <c r="AG146" i="44"/>
  <c r="AG150" i="44"/>
  <c r="AG156" i="44"/>
  <c r="AG160" i="44"/>
  <c r="AG164" i="44"/>
  <c r="AF142" i="44"/>
  <c r="AF146" i="44"/>
  <c r="AF150" i="44"/>
  <c r="AF156" i="44"/>
  <c r="AF160" i="44"/>
  <c r="AF164" i="44"/>
  <c r="AE142" i="44"/>
  <c r="AE146" i="44"/>
  <c r="AE150" i="44"/>
  <c r="AE156" i="44"/>
  <c r="AE160" i="44"/>
  <c r="AE164" i="44"/>
  <c r="AD142" i="44"/>
  <c r="AD146" i="44"/>
  <c r="AD150" i="44"/>
  <c r="AD156" i="44"/>
  <c r="AD160" i="44"/>
  <c r="AD164" i="44"/>
  <c r="AC142" i="44"/>
  <c r="AC146" i="44"/>
  <c r="AC150" i="44"/>
  <c r="AC156" i="44"/>
  <c r="AC160" i="44"/>
  <c r="AC164" i="44"/>
  <c r="AB142" i="44"/>
  <c r="AB146" i="44"/>
  <c r="AB150" i="44"/>
  <c r="AB156" i="44"/>
  <c r="AB160" i="44"/>
  <c r="AB164" i="44"/>
  <c r="AA142" i="44"/>
  <c r="AA146" i="44"/>
  <c r="AA150" i="44"/>
  <c r="AA156" i="44"/>
  <c r="AA160" i="44"/>
  <c r="AA164" i="44"/>
  <c r="Z142" i="44"/>
  <c r="Z146" i="44"/>
  <c r="Z150" i="44"/>
  <c r="Z156" i="44"/>
  <c r="Z160" i="44"/>
  <c r="Z164" i="44"/>
  <c r="Y142" i="44"/>
  <c r="Y146" i="44"/>
  <c r="Y150" i="44"/>
  <c r="Y156" i="44"/>
  <c r="Y160" i="44"/>
  <c r="Y164" i="44"/>
  <c r="X142" i="44"/>
  <c r="X146" i="44"/>
  <c r="X150" i="44"/>
  <c r="X156" i="44"/>
  <c r="X160" i="44"/>
  <c r="X164" i="44"/>
  <c r="W142" i="44"/>
  <c r="W146" i="44"/>
  <c r="W150" i="44"/>
  <c r="W156" i="44"/>
  <c r="W160" i="44"/>
  <c r="W164" i="44"/>
  <c r="V142" i="44"/>
  <c r="V146" i="44"/>
  <c r="V150" i="44"/>
  <c r="V156" i="44"/>
  <c r="V160" i="44"/>
  <c r="V164" i="44"/>
  <c r="U142" i="44"/>
  <c r="U146" i="44"/>
  <c r="U150" i="44"/>
  <c r="U156" i="44"/>
  <c r="U160" i="44"/>
  <c r="U164" i="44"/>
  <c r="T142" i="44"/>
  <c r="T146" i="44"/>
  <c r="T150" i="44"/>
  <c r="T156" i="44"/>
  <c r="T160" i="44"/>
  <c r="T164" i="44"/>
  <c r="S142" i="44"/>
  <c r="S146" i="44"/>
  <c r="S150" i="44"/>
  <c r="S156" i="44"/>
  <c r="S160" i="44"/>
  <c r="S164" i="44"/>
  <c r="R142" i="44"/>
  <c r="R146" i="44"/>
  <c r="R150" i="44"/>
  <c r="R156" i="44"/>
  <c r="R160" i="44"/>
  <c r="R164" i="44"/>
  <c r="Q142" i="44"/>
  <c r="Q146" i="44"/>
  <c r="Q150" i="44"/>
  <c r="Q156" i="44"/>
  <c r="Q160" i="44"/>
  <c r="Q164" i="44"/>
  <c r="P142" i="44"/>
  <c r="P146" i="44"/>
  <c r="P150" i="44"/>
  <c r="P156" i="44"/>
  <c r="P160" i="44"/>
  <c r="P164" i="44"/>
  <c r="O142" i="44"/>
  <c r="O146" i="44"/>
  <c r="O150" i="44"/>
  <c r="O156" i="44"/>
  <c r="O160" i="44"/>
  <c r="O164" i="44"/>
  <c r="N142" i="44"/>
  <c r="N146" i="44"/>
  <c r="N150" i="44"/>
  <c r="N156" i="44"/>
  <c r="N160" i="44"/>
  <c r="N164" i="44"/>
  <c r="M142" i="44"/>
  <c r="M146" i="44"/>
  <c r="M150" i="44"/>
  <c r="M156" i="44"/>
  <c r="M160" i="44"/>
  <c r="M164" i="44"/>
  <c r="L142" i="44"/>
  <c r="L146" i="44"/>
  <c r="L150" i="44"/>
  <c r="L156" i="44"/>
  <c r="L160" i="44"/>
  <c r="L164" i="44"/>
  <c r="K142" i="44"/>
  <c r="K146" i="44"/>
  <c r="K150" i="44"/>
  <c r="K156" i="44"/>
  <c r="K160" i="44"/>
  <c r="K164" i="44"/>
  <c r="AK145" i="44"/>
  <c r="AK149" i="44"/>
  <c r="AK155" i="44"/>
  <c r="AK159" i="44"/>
  <c r="AK163" i="44"/>
  <c r="AJ145" i="44"/>
  <c r="AJ149" i="44"/>
  <c r="AJ155" i="44"/>
  <c r="AJ159" i="44"/>
  <c r="AJ163" i="44"/>
  <c r="AI145" i="44"/>
  <c r="AI149" i="44"/>
  <c r="AI155" i="44"/>
  <c r="AI159" i="44"/>
  <c r="AI163" i="44"/>
  <c r="AH145" i="44"/>
  <c r="AH149" i="44"/>
  <c r="AH155" i="44"/>
  <c r="AH159" i="44"/>
  <c r="AH163" i="44"/>
  <c r="AG145" i="44"/>
  <c r="AG149" i="44"/>
  <c r="AG155" i="44"/>
  <c r="AG159" i="44"/>
  <c r="AG163" i="44"/>
  <c r="AF145" i="44"/>
  <c r="AF149" i="44"/>
  <c r="AF155" i="44"/>
  <c r="AF159" i="44"/>
  <c r="AF163" i="44"/>
  <c r="AE145" i="44"/>
  <c r="AE149" i="44"/>
  <c r="AE155" i="44"/>
  <c r="AE159" i="44"/>
  <c r="AE163" i="44"/>
  <c r="AD145" i="44"/>
  <c r="AD149" i="44"/>
  <c r="AD155" i="44"/>
  <c r="AD159" i="44"/>
  <c r="AD163" i="44"/>
  <c r="AC145" i="44"/>
  <c r="AC149" i="44"/>
  <c r="AC155" i="44"/>
  <c r="AC159" i="44"/>
  <c r="AC163" i="44"/>
  <c r="AB145" i="44"/>
  <c r="AB149" i="44"/>
  <c r="AB155" i="44"/>
  <c r="AB159" i="44"/>
  <c r="AB163" i="44"/>
  <c r="AA145" i="44"/>
  <c r="AA149" i="44"/>
  <c r="AA155" i="44"/>
  <c r="AA159" i="44"/>
  <c r="AA163" i="44"/>
  <c r="Z145" i="44"/>
  <c r="Z149" i="44"/>
  <c r="Z155" i="44"/>
  <c r="Z159" i="44"/>
  <c r="Z163" i="44"/>
  <c r="Y145" i="44"/>
  <c r="Y149" i="44"/>
  <c r="Y155" i="44"/>
  <c r="Y159" i="44"/>
  <c r="Y163" i="44"/>
  <c r="X145" i="44"/>
  <c r="X149" i="44"/>
  <c r="X155" i="44"/>
  <c r="X159" i="44"/>
  <c r="X163" i="44"/>
  <c r="W145" i="44"/>
  <c r="W149" i="44"/>
  <c r="W155" i="44"/>
  <c r="W159" i="44"/>
  <c r="W163" i="44"/>
  <c r="V145" i="44"/>
  <c r="V149" i="44"/>
  <c r="V155" i="44"/>
  <c r="V159" i="44"/>
  <c r="V163" i="44"/>
  <c r="U145" i="44"/>
  <c r="U149" i="44"/>
  <c r="U155" i="44"/>
  <c r="U159" i="44"/>
  <c r="U163" i="44"/>
  <c r="T145" i="44"/>
  <c r="T149" i="44"/>
  <c r="T155" i="44"/>
  <c r="T159" i="44"/>
  <c r="T163" i="44"/>
  <c r="S145" i="44"/>
  <c r="S149" i="44"/>
  <c r="S155" i="44"/>
  <c r="S159" i="44"/>
  <c r="S163" i="44"/>
  <c r="R145" i="44"/>
  <c r="R149" i="44"/>
  <c r="R155" i="44"/>
  <c r="R159" i="44"/>
  <c r="R163" i="44"/>
  <c r="Q145" i="44"/>
  <c r="Q149" i="44"/>
  <c r="Q155" i="44"/>
  <c r="Q159" i="44"/>
  <c r="Q163" i="44"/>
  <c r="P145" i="44"/>
  <c r="P149" i="44"/>
  <c r="P155" i="44"/>
  <c r="P159" i="44"/>
  <c r="P163" i="44"/>
  <c r="O145" i="44"/>
  <c r="O149" i="44"/>
  <c r="O155" i="44"/>
  <c r="O159" i="44"/>
  <c r="O163" i="44"/>
  <c r="N145" i="44"/>
  <c r="N149" i="44"/>
  <c r="N155" i="44"/>
  <c r="N159" i="44"/>
  <c r="N163" i="44"/>
  <c r="M145" i="44"/>
  <c r="M149" i="44"/>
  <c r="M155" i="44"/>
  <c r="M159" i="44"/>
  <c r="M163" i="44"/>
  <c r="L145" i="44"/>
  <c r="L149" i="44"/>
  <c r="L155" i="44"/>
  <c r="L159" i="44"/>
  <c r="L163" i="44"/>
  <c r="K145" i="44"/>
  <c r="K149" i="44"/>
  <c r="K155" i="44"/>
  <c r="K159" i="44"/>
  <c r="K163" i="44"/>
  <c r="J142" i="44"/>
  <c r="J146" i="44"/>
  <c r="J150" i="44"/>
  <c r="J156" i="44"/>
  <c r="J160" i="44"/>
  <c r="J164" i="44"/>
  <c r="J145" i="44"/>
  <c r="J149" i="44"/>
  <c r="J155" i="44"/>
  <c r="J159" i="44"/>
  <c r="J163" i="44"/>
  <c r="AK152" i="44"/>
  <c r="AJ152" i="44"/>
  <c r="AI152" i="44"/>
  <c r="AH152" i="44"/>
  <c r="AG152" i="44"/>
  <c r="AF152" i="44"/>
  <c r="AE152" i="44"/>
  <c r="AD152" i="44"/>
  <c r="AC152" i="44"/>
  <c r="AB152" i="44"/>
  <c r="AA152" i="44"/>
  <c r="Z152" i="44"/>
  <c r="Y152" i="44"/>
  <c r="X152" i="44"/>
  <c r="W152" i="44"/>
  <c r="V152" i="44"/>
  <c r="U152" i="44"/>
  <c r="T152" i="44"/>
  <c r="S152" i="44"/>
  <c r="R152" i="44"/>
  <c r="Q152" i="44"/>
  <c r="P152" i="44"/>
  <c r="O152" i="44"/>
  <c r="N152" i="44"/>
  <c r="M152" i="44"/>
  <c r="L152" i="44"/>
  <c r="K152" i="44"/>
  <c r="J152" i="44"/>
  <c r="I142" i="44"/>
  <c r="H142" i="44"/>
  <c r="G142" i="44"/>
  <c r="F142" i="44"/>
  <c r="E142" i="44"/>
  <c r="J127" i="44"/>
  <c r="J22" i="44" a="1"/>
  <c r="J8" i="44" a="1"/>
  <c r="J11" i="44" a="1"/>
  <c r="J34" i="44" a="1"/>
  <c r="J35" i="44" a="1"/>
  <c r="J38" i="44" a="1"/>
  <c r="J36" i="44" a="1"/>
  <c r="J39" i="44" a="1"/>
  <c r="J120" i="44"/>
  <c r="J121" i="44" a="1"/>
  <c r="J122" i="44"/>
  <c r="J21" i="44"/>
  <c r="J23" i="44"/>
  <c r="J10" i="44" a="1"/>
  <c r="J17" i="44" a="1"/>
  <c r="J18" i="44"/>
  <c r="J19" i="44"/>
  <c r="J24" i="44"/>
  <c r="J30" i="44"/>
  <c r="J132" i="44"/>
  <c r="J25" i="44"/>
  <c r="K21" i="44"/>
  <c r="K23" i="44"/>
  <c r="J27" i="44"/>
  <c r="K18" i="44"/>
  <c r="K19" i="44"/>
  <c r="K24" i="44"/>
  <c r="K30" i="44"/>
  <c r="K25" i="44"/>
  <c r="L21" i="44"/>
  <c r="L23" i="44"/>
  <c r="K27" i="44"/>
  <c r="L18" i="44"/>
  <c r="L19" i="44"/>
  <c r="L24" i="44"/>
  <c r="L30" i="44"/>
  <c r="L25" i="44"/>
  <c r="M21" i="44"/>
  <c r="M23" i="44"/>
  <c r="L27" i="44"/>
  <c r="M18" i="44"/>
  <c r="M19" i="44"/>
  <c r="M24" i="44"/>
  <c r="M30" i="44"/>
  <c r="M25" i="44"/>
  <c r="N21" i="44"/>
  <c r="N23" i="44"/>
  <c r="M27" i="44"/>
  <c r="N18" i="44"/>
  <c r="N19" i="44"/>
  <c r="N24" i="44"/>
  <c r="N30" i="44"/>
  <c r="N25" i="44"/>
  <c r="O21" i="44"/>
  <c r="O23" i="44"/>
  <c r="N27" i="44"/>
  <c r="O18" i="44"/>
  <c r="O19" i="44"/>
  <c r="O24" i="44"/>
  <c r="O30" i="44"/>
  <c r="O25" i="44"/>
  <c r="P21" i="44"/>
  <c r="P23" i="44"/>
  <c r="O27" i="44"/>
  <c r="P18" i="44"/>
  <c r="P19" i="44"/>
  <c r="P24" i="44"/>
  <c r="P30" i="44"/>
  <c r="P25" i="44"/>
  <c r="Q21" i="44"/>
  <c r="Q23" i="44"/>
  <c r="P27" i="44"/>
  <c r="Q18" i="44"/>
  <c r="Q19" i="44"/>
  <c r="Q24" i="44"/>
  <c r="Q30" i="44"/>
  <c r="Q25" i="44"/>
  <c r="R21" i="44"/>
  <c r="R23" i="44"/>
  <c r="Q27" i="44"/>
  <c r="R18" i="44"/>
  <c r="R19" i="44"/>
  <c r="R24" i="44"/>
  <c r="R30" i="44"/>
  <c r="R25" i="44"/>
  <c r="S21" i="44"/>
  <c r="S23" i="44"/>
  <c r="R27" i="44"/>
  <c r="S18" i="44"/>
  <c r="S19" i="44"/>
  <c r="S24" i="44"/>
  <c r="S30" i="44"/>
  <c r="S25" i="44"/>
  <c r="T21" i="44"/>
  <c r="T23" i="44"/>
  <c r="S27" i="44"/>
  <c r="T18" i="44"/>
  <c r="T19" i="44"/>
  <c r="T24" i="44"/>
  <c r="T30" i="44"/>
  <c r="T25" i="44"/>
  <c r="U21" i="44"/>
  <c r="U23" i="44"/>
  <c r="T27" i="44"/>
  <c r="U18" i="44"/>
  <c r="U19" i="44"/>
  <c r="U24" i="44"/>
  <c r="U30" i="44"/>
  <c r="U25" i="44"/>
  <c r="V21" i="44"/>
  <c r="V23" i="44"/>
  <c r="U27" i="44"/>
  <c r="V18" i="44"/>
  <c r="V19" i="44"/>
  <c r="V24" i="44"/>
  <c r="V30" i="44"/>
  <c r="V25" i="44"/>
  <c r="W21" i="44"/>
  <c r="W23" i="44"/>
  <c r="V27" i="44"/>
  <c r="W18" i="44"/>
  <c r="W19" i="44"/>
  <c r="W24" i="44"/>
  <c r="W30" i="44"/>
  <c r="W25" i="44"/>
  <c r="X21" i="44"/>
  <c r="X23" i="44"/>
  <c r="W27" i="44"/>
  <c r="X18" i="44"/>
  <c r="X19" i="44"/>
  <c r="X24" i="44"/>
  <c r="X30" i="44"/>
  <c r="X25" i="44"/>
  <c r="Y21" i="44"/>
  <c r="Y23" i="44"/>
  <c r="X27" i="44"/>
  <c r="Y18" i="44"/>
  <c r="Y19" i="44"/>
  <c r="Y24" i="44"/>
  <c r="Y30" i="44"/>
  <c r="Y25" i="44"/>
  <c r="Z21" i="44"/>
  <c r="Z23" i="44"/>
  <c r="Y27" i="44"/>
  <c r="Z18" i="44"/>
  <c r="Z19" i="44"/>
  <c r="Z24" i="44"/>
  <c r="Z30" i="44"/>
  <c r="Z25" i="44"/>
  <c r="AA21" i="44"/>
  <c r="AA23" i="44"/>
  <c r="Z27" i="44"/>
  <c r="AA18" i="44"/>
  <c r="AA19" i="44"/>
  <c r="AA24" i="44"/>
  <c r="AA30" i="44"/>
  <c r="AA25" i="44"/>
  <c r="AB21" i="44"/>
  <c r="AB23" i="44"/>
  <c r="AA27" i="44"/>
  <c r="AB18" i="44"/>
  <c r="AB19" i="44"/>
  <c r="AB24" i="44"/>
  <c r="AB30" i="44"/>
  <c r="AB25" i="44"/>
  <c r="AC21" i="44"/>
  <c r="AC23" i="44"/>
  <c r="AB27" i="44"/>
  <c r="AC18" i="44"/>
  <c r="AC19" i="44"/>
  <c r="AC24" i="44"/>
  <c r="AC30" i="44"/>
  <c r="AC25" i="44"/>
  <c r="AD21" i="44"/>
  <c r="AD23" i="44"/>
  <c r="AC27" i="44"/>
  <c r="AD18" i="44"/>
  <c r="AD19" i="44"/>
  <c r="AD24" i="44"/>
  <c r="AD30" i="44"/>
  <c r="AD25" i="44"/>
  <c r="AE21" i="44"/>
  <c r="AE23" i="44"/>
  <c r="AD27" i="44"/>
  <c r="AE18" i="44"/>
  <c r="AE19" i="44"/>
  <c r="AE24" i="44"/>
  <c r="AE30" i="44"/>
  <c r="AE25" i="44"/>
  <c r="AF21" i="44"/>
  <c r="AF23" i="44"/>
  <c r="AE27" i="44"/>
  <c r="AF18" i="44"/>
  <c r="AF19" i="44"/>
  <c r="AF24" i="44"/>
  <c r="AF30" i="44"/>
  <c r="AF25" i="44"/>
  <c r="AG21" i="44"/>
  <c r="AG23" i="44"/>
  <c r="AF27" i="44"/>
  <c r="AG18" i="44"/>
  <c r="AG19" i="44"/>
  <c r="AG24" i="44"/>
  <c r="AG30" i="44"/>
  <c r="AG25" i="44"/>
  <c r="AH21" i="44"/>
  <c r="AH23" i="44"/>
  <c r="AG27" i="44"/>
  <c r="AH18" i="44"/>
  <c r="AH19" i="44"/>
  <c r="AH24" i="44"/>
  <c r="AH30" i="44"/>
  <c r="AH25" i="44"/>
  <c r="AI21" i="44"/>
  <c r="AI23" i="44"/>
  <c r="AH27" i="44"/>
  <c r="AI18" i="44"/>
  <c r="AI19" i="44"/>
  <c r="AI24" i="44"/>
  <c r="AI30" i="44"/>
  <c r="AI25" i="44"/>
  <c r="AJ21" i="44"/>
  <c r="AJ23" i="44"/>
  <c r="AI27" i="44"/>
  <c r="AJ18" i="44"/>
  <c r="AJ19" i="44"/>
  <c r="AJ24" i="44"/>
  <c r="AJ30" i="44"/>
  <c r="AJ25" i="44"/>
  <c r="AK21" i="44"/>
  <c r="AK23" i="44"/>
  <c r="AJ27" i="44"/>
  <c r="AK18" i="44"/>
  <c r="AK19" i="44"/>
  <c r="AK24" i="44"/>
  <c r="AK30" i="44"/>
  <c r="J123" i="44" a="1"/>
  <c r="J124" i="44"/>
  <c r="K120" i="44"/>
  <c r="K122" i="44"/>
  <c r="K132" i="44"/>
  <c r="K124" i="44"/>
  <c r="L120" i="44"/>
  <c r="L122" i="44"/>
  <c r="L132" i="44"/>
  <c r="L124" i="44"/>
  <c r="M120" i="44"/>
  <c r="M122" i="44"/>
  <c r="M132" i="44"/>
  <c r="M124" i="44"/>
  <c r="N120" i="44"/>
  <c r="N122" i="44"/>
  <c r="N132" i="44"/>
  <c r="N124" i="44"/>
  <c r="O120" i="44"/>
  <c r="O122" i="44"/>
  <c r="O132" i="44"/>
  <c r="O124" i="44"/>
  <c r="P120" i="44"/>
  <c r="P122" i="44"/>
  <c r="P132" i="44"/>
  <c r="P124" i="44"/>
  <c r="Q120" i="44"/>
  <c r="Q122" i="44"/>
  <c r="Q132" i="44"/>
  <c r="Q124" i="44"/>
  <c r="R120" i="44"/>
  <c r="R122" i="44"/>
  <c r="R132" i="44"/>
  <c r="R124" i="44"/>
  <c r="S120" i="44"/>
  <c r="S122" i="44"/>
  <c r="S132" i="44"/>
  <c r="S124" i="44"/>
  <c r="T120" i="44"/>
  <c r="T122" i="44"/>
  <c r="T132" i="44"/>
  <c r="T124" i="44"/>
  <c r="U120" i="44"/>
  <c r="U122" i="44"/>
  <c r="U132" i="44"/>
  <c r="U124" i="44"/>
  <c r="V120" i="44"/>
  <c r="V122" i="44"/>
  <c r="V132" i="44"/>
  <c r="V124" i="44"/>
  <c r="W120" i="44"/>
  <c r="W122" i="44"/>
  <c r="W132" i="44"/>
  <c r="W124" i="44"/>
  <c r="X120" i="44"/>
  <c r="X122" i="44"/>
  <c r="X132" i="44"/>
  <c r="X124" i="44"/>
  <c r="Y120" i="44"/>
  <c r="Y122" i="44"/>
  <c r="Y132" i="44"/>
  <c r="Y124" i="44"/>
  <c r="Z120" i="44"/>
  <c r="Z122" i="44"/>
  <c r="Z132" i="44"/>
  <c r="Z124" i="44"/>
  <c r="AA120" i="44"/>
  <c r="AA122" i="44"/>
  <c r="AA132" i="44"/>
  <c r="AA124" i="44"/>
  <c r="AB120" i="44"/>
  <c r="AB122" i="44"/>
  <c r="AB132" i="44"/>
  <c r="AB124" i="44"/>
  <c r="AC120" i="44"/>
  <c r="AC122" i="44"/>
  <c r="AC132" i="44"/>
  <c r="AC124" i="44"/>
  <c r="AD120" i="44"/>
  <c r="AD122" i="44"/>
  <c r="AD132" i="44"/>
  <c r="AD124" i="44"/>
  <c r="AE120" i="44"/>
  <c r="AE122" i="44"/>
  <c r="AE132" i="44"/>
  <c r="AE124" i="44"/>
  <c r="AF120" i="44"/>
  <c r="AF122" i="44"/>
  <c r="AF132" i="44"/>
  <c r="AF124" i="44"/>
  <c r="AG120" i="44"/>
  <c r="AG122" i="44"/>
  <c r="AG132" i="44"/>
  <c r="AG124" i="44"/>
  <c r="AH120" i="44"/>
  <c r="AH122" i="44"/>
  <c r="AH132" i="44"/>
  <c r="AH124" i="44"/>
  <c r="AI120" i="44"/>
  <c r="AI122" i="44"/>
  <c r="AI132" i="44"/>
  <c r="AI124" i="44"/>
  <c r="AJ120" i="44"/>
  <c r="AJ122" i="44"/>
  <c r="AJ132" i="44"/>
  <c r="AJ124" i="44"/>
  <c r="AK120" i="44"/>
  <c r="AK122" i="44"/>
  <c r="AK132" i="44"/>
  <c r="J58" i="44"/>
  <c r="J57" i="44"/>
  <c r="K58" i="44"/>
  <c r="K57" i="44"/>
  <c r="AK57" i="44"/>
  <c r="AJ57" i="44"/>
  <c r="AI57" i="44"/>
  <c r="AH57" i="44"/>
  <c r="AG57" i="44"/>
  <c r="AF57" i="44"/>
  <c r="AE57" i="44"/>
  <c r="AD57" i="44"/>
  <c r="AC57" i="44"/>
  <c r="AB57" i="44"/>
  <c r="AA57" i="44"/>
  <c r="Z57" i="44"/>
  <c r="Y57" i="44"/>
  <c r="X57" i="44"/>
  <c r="W57" i="44"/>
  <c r="V57" i="44"/>
  <c r="U57" i="44"/>
  <c r="T57" i="44"/>
  <c r="S57" i="44"/>
  <c r="R57" i="44"/>
  <c r="Q57" i="44"/>
  <c r="P57" i="44"/>
  <c r="O57" i="44"/>
  <c r="N57" i="44"/>
  <c r="M57" i="44"/>
  <c r="L57" i="44"/>
  <c r="AK58" i="44"/>
  <c r="AJ58" i="44"/>
  <c r="AI58" i="44"/>
  <c r="AH58" i="44"/>
  <c r="AG58" i="44"/>
  <c r="AF58" i="44"/>
  <c r="AE58" i="44"/>
  <c r="AD58" i="44"/>
  <c r="AC58" i="44"/>
  <c r="AB58" i="44"/>
  <c r="AA58" i="44"/>
  <c r="Z58" i="44"/>
  <c r="Y58" i="44"/>
  <c r="X58" i="44"/>
  <c r="W58" i="44"/>
  <c r="V58" i="44"/>
  <c r="U58" i="44"/>
  <c r="T58" i="44"/>
  <c r="S58" i="44"/>
  <c r="R58" i="44"/>
  <c r="Q58" i="44"/>
  <c r="P58" i="44"/>
  <c r="O58" i="44"/>
  <c r="N58" i="44"/>
  <c r="M58" i="44"/>
  <c r="L58" i="44"/>
  <c r="J60" i="44" a="1"/>
  <c r="J61" i="44" a="1"/>
  <c r="J68" i="44" a="1"/>
  <c r="J109" i="44"/>
  <c r="AK124" i="44"/>
  <c r="G96" i="44" a="1"/>
  <c r="J56" i="44" a="1"/>
  <c r="F75" i="44" a="1"/>
  <c r="J75" i="44" a="1"/>
  <c r="J84" i="44"/>
  <c r="J96" i="44"/>
  <c r="J85" i="44"/>
  <c r="J97" i="44"/>
  <c r="J86" i="44"/>
  <c r="J98" i="44"/>
  <c r="J87" i="44"/>
  <c r="J88" i="44"/>
  <c r="J89" i="44"/>
  <c r="F96" i="44" a="1"/>
  <c r="F84" i="44" a="1"/>
  <c r="J3" i="44" a="1"/>
  <c r="J7" i="44" a="1"/>
  <c r="J2" i="44" a="1"/>
  <c r="J62" i="44" a="1"/>
  <c r="J48" i="44"/>
  <c r="K48" i="44"/>
  <c r="L48" i="44"/>
  <c r="M48" i="44"/>
  <c r="N48" i="44"/>
  <c r="O48" i="44"/>
  <c r="P48" i="44"/>
  <c r="Q48" i="44"/>
  <c r="R48" i="44"/>
  <c r="S48" i="44"/>
  <c r="T48" i="44"/>
  <c r="U48" i="44"/>
  <c r="V48" i="44"/>
  <c r="W48" i="44"/>
  <c r="X48" i="44"/>
  <c r="Y48" i="44"/>
  <c r="Z48" i="44"/>
  <c r="AA48" i="44"/>
  <c r="AB48" i="44"/>
  <c r="AC48" i="44"/>
  <c r="AD48" i="44"/>
  <c r="AE48" i="44"/>
  <c r="AF48" i="44"/>
  <c r="AG48" i="44"/>
  <c r="AH48" i="44"/>
  <c r="AI48" i="44"/>
  <c r="AJ48" i="44"/>
  <c r="AK48" i="44"/>
  <c r="E48" i="44"/>
  <c r="J43" i="44" a="1"/>
  <c r="E30" i="44"/>
  <c r="AK28" i="44"/>
  <c r="AJ28" i="44"/>
  <c r="AI28" i="44"/>
  <c r="AH28" i="44"/>
  <c r="AG28" i="44"/>
  <c r="AF28" i="44"/>
  <c r="AE28" i="44"/>
  <c r="AD28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AK27" i="44"/>
  <c r="AK25" i="44"/>
  <c r="K28" i="44"/>
  <c r="A2" i="44" a="1"/>
  <c r="A1" i="44"/>
  <c r="A2" i="43" a="1"/>
  <c r="A1" i="43"/>
  <c r="F47" i="42"/>
  <c r="F39" i="42"/>
  <c r="J90" i="44"/>
  <c r="J102" i="44"/>
  <c r="K84" i="44"/>
  <c r="K85" i="44"/>
  <c r="K86" i="44"/>
  <c r="J99" i="44"/>
  <c r="K87" i="44"/>
  <c r="J101" i="44"/>
  <c r="J100" i="44"/>
  <c r="K99" i="44"/>
  <c r="K96" i="44"/>
  <c r="L84" i="44"/>
  <c r="K97" i="44"/>
  <c r="L85" i="44"/>
  <c r="K98" i="44"/>
  <c r="L86" i="44"/>
  <c r="L87" i="44"/>
  <c r="L99" i="44"/>
  <c r="L96" i="44"/>
  <c r="M84" i="44"/>
  <c r="L97" i="44"/>
  <c r="M85" i="44"/>
  <c r="L98" i="44"/>
  <c r="M86" i="44"/>
  <c r="M87" i="44"/>
  <c r="M99" i="44"/>
  <c r="M96" i="44"/>
  <c r="N84" i="44"/>
  <c r="M97" i="44"/>
  <c r="N85" i="44"/>
  <c r="M98" i="44"/>
  <c r="N86" i="44"/>
  <c r="N87" i="44"/>
  <c r="N99" i="44"/>
  <c r="N96" i="44"/>
  <c r="O84" i="44"/>
  <c r="N97" i="44"/>
  <c r="O85" i="44"/>
  <c r="N98" i="44"/>
  <c r="O86" i="44"/>
  <c r="O87" i="44"/>
  <c r="O99" i="44"/>
  <c r="O96" i="44"/>
  <c r="P84" i="44"/>
  <c r="O97" i="44"/>
  <c r="P85" i="44"/>
  <c r="O98" i="44"/>
  <c r="P86" i="44"/>
  <c r="P87" i="44"/>
  <c r="P99" i="44"/>
  <c r="P96" i="44"/>
  <c r="Q84" i="44"/>
  <c r="P97" i="44"/>
  <c r="Q85" i="44"/>
  <c r="P98" i="44"/>
  <c r="Q86" i="44"/>
  <c r="Q87" i="44"/>
  <c r="Q99" i="44"/>
  <c r="Q96" i="44"/>
  <c r="R84" i="44"/>
  <c r="Q97" i="44"/>
  <c r="R85" i="44"/>
  <c r="Q98" i="44"/>
  <c r="R86" i="44"/>
  <c r="R87" i="44"/>
  <c r="R99" i="44"/>
  <c r="R96" i="44"/>
  <c r="S84" i="44"/>
  <c r="R97" i="44"/>
  <c r="S85" i="44"/>
  <c r="R98" i="44"/>
  <c r="S86" i="44"/>
  <c r="S87" i="44"/>
  <c r="S99" i="44"/>
  <c r="S96" i="44"/>
  <c r="T84" i="44"/>
  <c r="S97" i="44"/>
  <c r="T85" i="44"/>
  <c r="S98" i="44"/>
  <c r="T86" i="44"/>
  <c r="T87" i="44"/>
  <c r="T99" i="44"/>
  <c r="T96" i="44"/>
  <c r="U84" i="44"/>
  <c r="T97" i="44"/>
  <c r="U85" i="44"/>
  <c r="T98" i="44"/>
  <c r="U86" i="44"/>
  <c r="U87" i="44"/>
  <c r="U99" i="44"/>
  <c r="U96" i="44"/>
  <c r="V84" i="44"/>
  <c r="U97" i="44"/>
  <c r="V85" i="44"/>
  <c r="U98" i="44"/>
  <c r="V86" i="44"/>
  <c r="V87" i="44"/>
  <c r="V99" i="44"/>
  <c r="V96" i="44"/>
  <c r="W84" i="44"/>
  <c r="V97" i="44"/>
  <c r="W85" i="44"/>
  <c r="V98" i="44"/>
  <c r="W86" i="44"/>
  <c r="W87" i="44"/>
  <c r="W99" i="44"/>
  <c r="W96" i="44"/>
  <c r="X84" i="44"/>
  <c r="W97" i="44"/>
  <c r="X85" i="44"/>
  <c r="W98" i="44"/>
  <c r="X86" i="44"/>
  <c r="X87" i="44"/>
  <c r="X99" i="44"/>
  <c r="X96" i="44"/>
  <c r="Y84" i="44"/>
  <c r="X97" i="44"/>
  <c r="Y85" i="44"/>
  <c r="X98" i="44"/>
  <c r="Y86" i="44"/>
  <c r="Y87" i="44"/>
  <c r="Y99" i="44"/>
  <c r="Y96" i="44"/>
  <c r="Z84" i="44"/>
  <c r="Y97" i="44"/>
  <c r="Z85" i="44"/>
  <c r="Y98" i="44"/>
  <c r="Z86" i="44"/>
  <c r="Z87" i="44"/>
  <c r="Z99" i="44"/>
  <c r="Z96" i="44"/>
  <c r="AA84" i="44"/>
  <c r="Z97" i="44"/>
  <c r="AA85" i="44"/>
  <c r="Z98" i="44"/>
  <c r="AA86" i="44"/>
  <c r="AA87" i="44"/>
  <c r="AA99" i="44"/>
  <c r="AA96" i="44"/>
  <c r="AB84" i="44"/>
  <c r="AA97" i="44"/>
  <c r="AB85" i="44"/>
  <c r="AA98" i="44"/>
  <c r="AB86" i="44"/>
  <c r="AB87" i="44"/>
  <c r="AB99" i="44"/>
  <c r="AB96" i="44"/>
  <c r="AC84" i="44"/>
  <c r="AB97" i="44"/>
  <c r="AC85" i="44"/>
  <c r="AB98" i="44"/>
  <c r="AC86" i="44"/>
  <c r="AC87" i="44"/>
  <c r="AC99" i="44"/>
  <c r="AC96" i="44"/>
  <c r="AD84" i="44"/>
  <c r="AC97" i="44"/>
  <c r="AD85" i="44"/>
  <c r="AC98" i="44"/>
  <c r="AD86" i="44"/>
  <c r="AD87" i="44"/>
  <c r="AD99" i="44"/>
  <c r="AD96" i="44"/>
  <c r="AE84" i="44"/>
  <c r="AD97" i="44"/>
  <c r="AE85" i="44"/>
  <c r="AD98" i="44"/>
  <c r="AE86" i="44"/>
  <c r="AE87" i="44"/>
  <c r="AE99" i="44"/>
  <c r="AE96" i="44"/>
  <c r="AF84" i="44"/>
  <c r="AE97" i="44"/>
  <c r="AF85" i="44"/>
  <c r="AE98" i="44"/>
  <c r="AF86" i="44"/>
  <c r="AF87" i="44"/>
  <c r="AF99" i="44"/>
  <c r="AF96" i="44"/>
  <c r="AG84" i="44"/>
  <c r="AF97" i="44"/>
  <c r="AG85" i="44"/>
  <c r="AF98" i="44"/>
  <c r="AG86" i="44"/>
  <c r="AG87" i="44"/>
  <c r="AG99" i="44"/>
  <c r="AG98" i="44"/>
  <c r="AG97" i="44"/>
  <c r="AG96" i="44"/>
  <c r="J103" i="44"/>
  <c r="AH84" i="44"/>
  <c r="AH96" i="44"/>
  <c r="AI84" i="44"/>
  <c r="AI96" i="44"/>
  <c r="AJ84" i="44"/>
  <c r="AJ96" i="44"/>
  <c r="AK84" i="44"/>
  <c r="AH85" i="44"/>
  <c r="AH97" i="44"/>
  <c r="AI85" i="44"/>
  <c r="AI97" i="44"/>
  <c r="AJ85" i="44"/>
  <c r="AJ97" i="44"/>
  <c r="AK85" i="44"/>
  <c r="AH86" i="44"/>
  <c r="AH98" i="44"/>
  <c r="AI86" i="44"/>
  <c r="AI98" i="44"/>
  <c r="AJ86" i="44"/>
  <c r="AJ98" i="44"/>
  <c r="AK86" i="44"/>
  <c r="AH87" i="44"/>
  <c r="AH99" i="44"/>
  <c r="AI87" i="44"/>
  <c r="AI99" i="44"/>
  <c r="AJ87" i="44"/>
  <c r="AJ99" i="44"/>
  <c r="AK87" i="44"/>
  <c r="AK99" i="44"/>
  <c r="AK98" i="44"/>
  <c r="AK97" i="44"/>
  <c r="AK96" i="44"/>
  <c r="K88" i="44"/>
  <c r="K89" i="44"/>
  <c r="K90" i="44"/>
  <c r="K102" i="44"/>
  <c r="K100" i="44"/>
  <c r="L88" i="44"/>
  <c r="K101" i="44"/>
  <c r="L89" i="44"/>
  <c r="L90" i="44"/>
  <c r="L102" i="44"/>
  <c r="L100" i="44"/>
  <c r="M88" i="44"/>
  <c r="L101" i="44"/>
  <c r="M89" i="44"/>
  <c r="M90" i="44"/>
  <c r="M102" i="44"/>
  <c r="M100" i="44"/>
  <c r="N88" i="44"/>
  <c r="M101" i="44"/>
  <c r="N89" i="44"/>
  <c r="N90" i="44"/>
  <c r="N102" i="44"/>
  <c r="N100" i="44"/>
  <c r="O88" i="44"/>
  <c r="N101" i="44"/>
  <c r="O89" i="44"/>
  <c r="O90" i="44"/>
  <c r="O102" i="44"/>
  <c r="O100" i="44"/>
  <c r="P88" i="44"/>
  <c r="O101" i="44"/>
  <c r="P89" i="44"/>
  <c r="P90" i="44"/>
  <c r="P102" i="44"/>
  <c r="P100" i="44"/>
  <c r="Q88" i="44"/>
  <c r="P101" i="44"/>
  <c r="Q89" i="44"/>
  <c r="Q90" i="44"/>
  <c r="Q102" i="44"/>
  <c r="Q100" i="44"/>
  <c r="R88" i="44"/>
  <c r="Q101" i="44"/>
  <c r="R89" i="44"/>
  <c r="R90" i="44"/>
  <c r="R102" i="44"/>
  <c r="R100" i="44"/>
  <c r="S88" i="44"/>
  <c r="R101" i="44"/>
  <c r="S89" i="44"/>
  <c r="S90" i="44"/>
  <c r="S102" i="44"/>
  <c r="S100" i="44"/>
  <c r="T88" i="44"/>
  <c r="S101" i="44"/>
  <c r="T89" i="44"/>
  <c r="T90" i="44"/>
  <c r="T102" i="44"/>
  <c r="T100" i="44"/>
  <c r="U88" i="44"/>
  <c r="T101" i="44"/>
  <c r="U89" i="44"/>
  <c r="U90" i="44"/>
  <c r="U102" i="44"/>
  <c r="U100" i="44"/>
  <c r="V88" i="44"/>
  <c r="U101" i="44"/>
  <c r="V89" i="44"/>
  <c r="V90" i="44"/>
  <c r="V102" i="44"/>
  <c r="V100" i="44"/>
  <c r="W88" i="44"/>
  <c r="V101" i="44"/>
  <c r="W89" i="44"/>
  <c r="W90" i="44"/>
  <c r="W102" i="44"/>
  <c r="W100" i="44"/>
  <c r="X88" i="44"/>
  <c r="W101" i="44"/>
  <c r="X89" i="44"/>
  <c r="X90" i="44"/>
  <c r="X102" i="44"/>
  <c r="X100" i="44"/>
  <c r="Y88" i="44"/>
  <c r="X101" i="44"/>
  <c r="Y89" i="44"/>
  <c r="Y90" i="44"/>
  <c r="Y102" i="44"/>
  <c r="Y100" i="44"/>
  <c r="Z88" i="44"/>
  <c r="Y101" i="44"/>
  <c r="Z89" i="44"/>
  <c r="Z90" i="44"/>
  <c r="Z102" i="44"/>
  <c r="Z100" i="44"/>
  <c r="AA88" i="44"/>
  <c r="Z101" i="44"/>
  <c r="AA89" i="44"/>
  <c r="AA90" i="44"/>
  <c r="AA102" i="44"/>
  <c r="AA100" i="44"/>
  <c r="AB88" i="44"/>
  <c r="AA101" i="44"/>
  <c r="AB89" i="44"/>
  <c r="AB90" i="44"/>
  <c r="AB102" i="44"/>
  <c r="AB100" i="44"/>
  <c r="AC88" i="44"/>
  <c r="AB101" i="44"/>
  <c r="AC89" i="44"/>
  <c r="AC90" i="44"/>
  <c r="AC102" i="44"/>
  <c r="AC100" i="44"/>
  <c r="AD88" i="44"/>
  <c r="AC101" i="44"/>
  <c r="AD89" i="44"/>
  <c r="AD90" i="44"/>
  <c r="AD102" i="44"/>
  <c r="AD100" i="44"/>
  <c r="AE88" i="44"/>
  <c r="AD101" i="44"/>
  <c r="AE89" i="44"/>
  <c r="AE90" i="44"/>
  <c r="AE102" i="44"/>
  <c r="AE100" i="44"/>
  <c r="AF88" i="44"/>
  <c r="AE101" i="44"/>
  <c r="AF89" i="44"/>
  <c r="AF90" i="44"/>
  <c r="AF102" i="44"/>
  <c r="AF100" i="44"/>
  <c r="AG88" i="44"/>
  <c r="AF101" i="44"/>
  <c r="AG89" i="44"/>
  <c r="AG90" i="44"/>
  <c r="AG102" i="44"/>
  <c r="AG101" i="44"/>
  <c r="AG100" i="44"/>
  <c r="J104" i="44" a="1"/>
  <c r="AH88" i="44"/>
  <c r="AH100" i="44"/>
  <c r="AI88" i="44"/>
  <c r="AI100" i="44"/>
  <c r="AJ88" i="44"/>
  <c r="AJ100" i="44"/>
  <c r="AK88" i="44"/>
  <c r="AK100" i="44"/>
  <c r="AH89" i="44"/>
  <c r="AH101" i="44"/>
  <c r="AI89" i="44"/>
  <c r="AI101" i="44"/>
  <c r="AJ89" i="44"/>
  <c r="AJ101" i="44"/>
  <c r="AK89" i="44"/>
  <c r="AK101" i="44"/>
  <c r="AH90" i="44"/>
  <c r="AH102" i="44"/>
  <c r="AI90" i="44"/>
  <c r="AI102" i="44"/>
  <c r="AJ90" i="44"/>
  <c r="AJ102" i="44"/>
  <c r="AK90" i="44"/>
  <c r="AK102" i="44"/>
  <c r="AK103" i="44"/>
  <c r="AJ103" i="44"/>
  <c r="AI103" i="44"/>
  <c r="AH103" i="44"/>
  <c r="AG103" i="44"/>
  <c r="AF103" i="44"/>
  <c r="AE103" i="44"/>
  <c r="AD103" i="44"/>
  <c r="AC103" i="44"/>
  <c r="AB103" i="44"/>
  <c r="AA103" i="44"/>
  <c r="Z103" i="44"/>
  <c r="Y103" i="44"/>
  <c r="X103" i="44"/>
  <c r="W103" i="44"/>
  <c r="V103" i="44"/>
  <c r="U103" i="44"/>
  <c r="T103" i="44"/>
  <c r="S103" i="44"/>
  <c r="R103" i="44"/>
  <c r="Q103" i="44"/>
  <c r="P103" i="44"/>
  <c r="O103" i="44"/>
  <c r="N103" i="44"/>
  <c r="M103" i="44"/>
  <c r="L103" i="44"/>
  <c r="K103" i="44"/>
  <c r="J92" i="4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<sst xmlns="http://schemas.openxmlformats.org/spreadsheetml/2006/main" count="268" uniqueCount="125">
  <si>
    <t>Waterworks Corp forecast model - Assumptions</t>
  </si>
  <si>
    <t>Assumption</t>
  </si>
  <si>
    <t>Units</t>
  </si>
  <si>
    <t>Value</t>
  </si>
  <si>
    <t>Model start date</t>
  </si>
  <si>
    <t>[date]</t>
  </si>
  <si>
    <t>Production</t>
  </si>
  <si>
    <t>[units / quarter]</t>
  </si>
  <si>
    <t>Q1</t>
  </si>
  <si>
    <t>Q2</t>
  </si>
  <si>
    <t>Q3</t>
  </si>
  <si>
    <t>Q4</t>
  </si>
  <si>
    <t>Year 1 demand</t>
  </si>
  <si>
    <t>[units]</t>
  </si>
  <si>
    <t>New demand growth YoY</t>
  </si>
  <si>
    <t>[%]</t>
  </si>
  <si>
    <t>Unmet Demand Rollover</t>
  </si>
  <si>
    <t>Production costs</t>
  </si>
  <si>
    <t>Year 1</t>
  </si>
  <si>
    <r>
      <t xml:space="preserve">% </t>
    </r>
    <r>
      <rPr>
        <b/>
        <sz val="12"/>
        <color theme="1"/>
        <rFont val="Calibri"/>
        <family val="2"/>
      </rPr>
      <t>∆ YoY</t>
    </r>
  </si>
  <si>
    <t>Note</t>
  </si>
  <si>
    <t>Salaries</t>
  </si>
  <si>
    <t>[$ / hr]</t>
  </si>
  <si>
    <t>Rounded to nearest $0.01</t>
  </si>
  <si>
    <t>Production time</t>
  </si>
  <si>
    <t>[hrs / unit]</t>
  </si>
  <si>
    <t>Not rounded</t>
  </si>
  <si>
    <t>Materials</t>
  </si>
  <si>
    <t>[$ / unit]</t>
  </si>
  <si>
    <t>Mark-up</t>
  </si>
  <si>
    <t>Year 1 mark-up</t>
  </si>
  <si>
    <t>YoY change</t>
  </si>
  <si>
    <t>[% pts]</t>
  </si>
  <si>
    <t>Note: final sale price rounded to nearest $0.01</t>
  </si>
  <si>
    <t>Overhead</t>
  </si>
  <si>
    <t>[$ / quarter]</t>
  </si>
  <si>
    <t>Tax rate</t>
  </si>
  <si>
    <t>Example of Weighted Average Cost Accounting Methodology</t>
  </si>
  <si>
    <t>Year 2</t>
  </si>
  <si>
    <t>Beginning Inventory</t>
  </si>
  <si>
    <t>Units Available for Sale</t>
  </si>
  <si>
    <t>A</t>
  </si>
  <si>
    <t>Units Sold</t>
  </si>
  <si>
    <t>Ending Inventory</t>
  </si>
  <si>
    <t>Production Cost</t>
  </si>
  <si>
    <t>[$/unit]</t>
  </si>
  <si>
    <t>[$]</t>
  </si>
  <si>
    <t>Production Costs</t>
  </si>
  <si>
    <t>Cost of Available Units</t>
  </si>
  <si>
    <t>B</t>
  </si>
  <si>
    <t>WAC</t>
  </si>
  <si>
    <t>B/A</t>
  </si>
  <si>
    <t>COGS Period</t>
  </si>
  <si>
    <t>Company name</t>
  </si>
  <si>
    <t>Waterworks Corp</t>
  </si>
  <si>
    <t>CFM Topic</t>
  </si>
  <si>
    <t>Working capital</t>
  </si>
  <si>
    <t>years</t>
  </si>
  <si>
    <t>quarters</t>
  </si>
  <si>
    <t>Model years</t>
  </si>
  <si>
    <t>Number of periods</t>
  </si>
  <si>
    <t>TMP SCHEDULE</t>
  </si>
  <si>
    <t>Constant</t>
  </si>
  <si>
    <t>Unit</t>
  </si>
  <si>
    <t>Total</t>
  </si>
  <si>
    <t>Model timeline</t>
  </si>
  <si>
    <t>Model period beginning</t>
  </si>
  <si>
    <t>date</t>
  </si>
  <si>
    <t>Model period ending</t>
  </si>
  <si>
    <t>Quarter</t>
  </si>
  <si>
    <t>label</t>
  </si>
  <si>
    <t>Year</t>
  </si>
  <si>
    <t>Revenue</t>
  </si>
  <si>
    <t>Volume</t>
  </si>
  <si>
    <t>Demand</t>
  </si>
  <si>
    <t>units</t>
  </si>
  <si>
    <t>CALCULATIONS SCHEDULE</t>
  </si>
  <si>
    <t>Inventory opening balance</t>
  </si>
  <si>
    <t>Units sold</t>
  </si>
  <si>
    <t>Inventory closing balance</t>
  </si>
  <si>
    <t>Total demand</t>
  </si>
  <si>
    <t>Rollover-in demand</t>
  </si>
  <si>
    <t>Inventory available for sale</t>
  </si>
  <si>
    <t>Sale of units permanently lost to other suppliers</t>
  </si>
  <si>
    <t>Demand not met in the current quarter</t>
  </si>
  <si>
    <t>Production cost</t>
  </si>
  <si>
    <t>Hourly salary rate</t>
  </si>
  <si>
    <t>USD / hr</t>
  </si>
  <si>
    <t xml:space="preserve"> </t>
  </si>
  <si>
    <t>hr / unit</t>
  </si>
  <si>
    <t>USD / unit</t>
  </si>
  <si>
    <t>USD</t>
  </si>
  <si>
    <t>USD m</t>
  </si>
  <si>
    <t>Check</t>
  </si>
  <si>
    <t>Cost per unit</t>
  </si>
  <si>
    <t>Sell price</t>
  </si>
  <si>
    <t>FIFO Cost of Goods Sold and Inventory</t>
  </si>
  <si>
    <t>FIFO units sold</t>
  </si>
  <si>
    <t>Inventory beginning balance</t>
  </si>
  <si>
    <t>Units sold from inventory</t>
  </si>
  <si>
    <t>Units sold from current production</t>
  </si>
  <si>
    <t>FIFO COGS from current production</t>
  </si>
  <si>
    <t>FIFO COGS from inventory</t>
  </si>
  <si>
    <t>Units added in the quarters</t>
  </si>
  <si>
    <t>Units sold in the quarter by vintage</t>
  </si>
  <si>
    <t>Inventory ending balance by vintage</t>
  </si>
  <si>
    <t>Average FIFO cost per unit</t>
  </si>
  <si>
    <t>FIFO inventory</t>
  </si>
  <si>
    <t>WAC Cost of Goods Sold and Inventory</t>
  </si>
  <si>
    <t>Average cost per unit</t>
  </si>
  <si>
    <t>Inventory ending balance</t>
  </si>
  <si>
    <t>Available for sale</t>
  </si>
  <si>
    <t>Weighted average cost</t>
  </si>
  <si>
    <t>WAC Cost of Goods Sold</t>
  </si>
  <si>
    <t>Ending inventory</t>
  </si>
  <si>
    <t>End of schedule</t>
  </si>
  <si>
    <t>Income statement</t>
  </si>
  <si>
    <t>Cost of Goods Sold</t>
  </si>
  <si>
    <t>FIFO</t>
  </si>
  <si>
    <t>Gross profit</t>
  </si>
  <si>
    <t>Overhead costs</t>
  </si>
  <si>
    <t>EBT</t>
  </si>
  <si>
    <t>Taxes / (Tax benefit )</t>
  </si>
  <si>
    <t>Net profit</t>
  </si>
  <si>
    <t>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</si>
</sst>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_-* #,##0_-;\-* #,##0_-;_-* &quot;-&quot;??_-;_-@_-"/>
    <numFmt numFmtId="168" formatCode="#,##0_);\(#,##0\);\-"/>
    <numFmt numFmtId="169" formatCode="#,##0_);\(#,##0\);\-_)"/>
    <numFmt numFmtId="170" formatCode="#,##0.00_);\(#,##0.00\);\-_)"/>
    <numFmt numFmtId="171" formatCode="0.00%_);\(0.00%\);\-_)"/>
    <numFmt numFmtId="172" formatCode="d/mmm/yy;d/mmm/yy;\-"/>
    <numFmt numFmtId="173" formatCode="[Red]&quot;Error&quot;;[Red]&quot;Error&quot;;&quot;OK&quot;;[Red]General"/>
    <numFmt numFmtId="174" formatCode="&quot;On&quot;;[Black]\(#,##0\);[Red]&quot;Off&quot;;[Black]General"/>
    <numFmt numFmtId="175" formatCode="&quot;Yes&quot;;[Black]\(#,##0\);[Red]&quot;No&quot;;[Black]General"/>
    <numFmt numFmtId="176" formatCode="d\-mmm\-yy;d\-mmm\-yy;\-"/>
    <numFmt numFmtId="177" formatCode="###0_);\(###0\);\-_)"/>
    <numFmt numFmtId="178" formatCode="0.0%"/>
    <numFmt numFmtId="179" formatCode="#,##0;\-#,##0;\-"/>
    <numFmt numFmtId="180" formatCode="#,##0.0_);\(#,##0.0\);\–_);General_)"/>
    <numFmt numFmtId="181" formatCode="#,##0_);\(#,##0\);\–_);General_)"/>
    <numFmt numFmtId="182" formatCode="&quot;$&quot;#,##0_);\(&quot;$&quot;#,##0\);\–_);General_)"/>
    <numFmt numFmtId="183" formatCode="#,##0_);\(#,##0\);&quot;-  &quot;;&quot; &quot;@"/>
    <numFmt numFmtId="184" formatCode="0.00%\ ;\-0.00%\ _);&quot;-  &quot;;&quot; &quot;@&quot; &quot;"/>
    <numFmt numFmtId="185" formatCode="#,##0.0000_);\(#,##0.0000\);&quot;-  &quot;;&quot; &quot;@&quot; &quot;"/>
    <numFmt numFmtId="186" formatCode="dd\ mmm\ yyyy_);\(###0\);&quot;-  &quot;;&quot; &quot;@&quot; &quot;"/>
    <numFmt numFmtId="187" formatCode="dd\ mmm\ yy_);\(###0\);&quot;-  &quot;;&quot; &quot;@&quot; &quot;"/>
    <numFmt numFmtId="188" formatCode="###0_);\(###0\);&quot;-  &quot;;&quot; &quot;@&quot; &quot;"/>
    <numFmt numFmtId="189" formatCode="\Q#"/>
    <numFmt numFmtId="190" formatCode="#,##0.00_);\(#,##0.00\);&quot;-  &quot;;&quot; &quot;@"/>
    <numFmt numFmtId="191" formatCode="###0.00_);\(###0.00\);&quot;-  &quot;;&quot; &quot;@&quot; &quot;"/>
    <numFmt numFmtId="192" formatCode="#,##0.00_);\(#,##0.00\);&quot;-  &quot;;&quot; &quot;@&quot; &quot;"/>
    <numFmt numFmtId="193" formatCode="#,##0.0_);\(#,##0.0\);&quot;-  &quot;;&quot; &quot;@&quot; &quot;"/>
    <numFmt numFmtId="194" formatCode="#,##0_);\(#,##0\);&quot;-  &quot;;&quot; &quot;@&quot; &quot;"/>
  </numFmts>
  <fonts count="4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theme="1"/>
      <name val="Calibri"/>
      <family val="2"/>
    </font>
    <font>
      <sz val="12"/>
      <color indexed="12"/>
      <name val="Calibri"/>
      <family val="2"/>
      <scheme val="minor"/>
    </font>
    <font>
      <b/>
      <i/>
      <sz val="12"/>
      <color indexed="20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55">
    <xf numFmtId="183" fontId="0" fillId="0" borderId="0" applyFont="0" applyFill="0" applyBorder="0" applyProtection="0">
      <alignment vertical="top"/>
    </xf>
    <xf numFmtId="0" fontId="2" fillId="0" borderId="0"/>
    <xf numFmtId="166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5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7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9" fontId="1" fillId="0" borderId="0" applyBorder="0"/>
    <xf numFmtId="4" fontId="7" fillId="4" borderId="2">
      <alignment horizontal="left"/>
    </xf>
    <xf numFmtId="168" fontId="11" fillId="0" borderId="0" applyFill="0" applyBorder="0"/>
    <xf numFmtId="169" fontId="9" fillId="0" borderId="0" applyBorder="0"/>
    <xf numFmtId="0" fontId="12" fillId="0" borderId="0" applyNumberFormat="0" applyFill="0" applyBorder="0">
      <alignment horizontal="right"/>
    </xf>
    <xf numFmtId="169" fontId="12" fillId="5" borderId="8">
      <protection locked="0"/>
    </xf>
    <xf numFmtId="170" fontId="12" fillId="5" borderId="8">
      <protection locked="0"/>
    </xf>
    <xf numFmtId="171" fontId="12" fillId="5" borderId="8">
      <protection locked="0"/>
    </xf>
    <xf numFmtId="172" fontId="1" fillId="0" borderId="0" applyBorder="0"/>
    <xf numFmtId="172" fontId="12" fillId="5" borderId="8">
      <protection locked="0"/>
    </xf>
    <xf numFmtId="169" fontId="12" fillId="0" borderId="8"/>
    <xf numFmtId="15" fontId="8" fillId="0" borderId="0" applyFill="0" applyBorder="0" applyAlignment="0"/>
    <xf numFmtId="173" fontId="13" fillId="0" borderId="9">
      <alignment horizontal="center"/>
    </xf>
    <xf numFmtId="169" fontId="14" fillId="7" borderId="0" applyBorder="0" applyAlignment="0"/>
    <xf numFmtId="173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8" fontId="18" fillId="6" borderId="8" applyNumberFormat="0" applyAlignment="0">
      <protection locked="0"/>
    </xf>
    <xf numFmtId="174" fontId="19" fillId="5" borderId="8">
      <alignment horizontal="center"/>
      <protection locked="0"/>
    </xf>
    <xf numFmtId="175" fontId="19" fillId="5" borderId="8">
      <alignment horizontal="center"/>
      <protection locked="0"/>
    </xf>
    <xf numFmtId="170" fontId="1" fillId="0" borderId="0" applyBorder="0"/>
    <xf numFmtId="175" fontId="20" fillId="0" borderId="11" applyFill="0">
      <alignment horizontal="center"/>
    </xf>
    <xf numFmtId="174" fontId="19" fillId="0" borderId="11">
      <alignment horizontal="center"/>
    </xf>
    <xf numFmtId="171" fontId="2" fillId="0" borderId="0" applyFill="0" applyBorder="0" applyAlignment="0"/>
    <xf numFmtId="169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6" fontId="1" fillId="0" borderId="0" applyBorder="0"/>
    <xf numFmtId="177" fontId="1" fillId="0" borderId="0" applyBorder="0"/>
    <xf numFmtId="176" fontId="12" fillId="5" borderId="8">
      <protection locked="0"/>
    </xf>
    <xf numFmtId="166" fontId="22" fillId="0" borderId="0" applyFont="0" applyFill="0" applyBorder="0" applyAlignment="0" applyProtection="0"/>
    <xf numFmtId="0" fontId="25" fillId="2" borderId="7" applyNumberFormat="0" applyAlignment="0" applyProtection="0"/>
    <xf numFmtId="0" fontId="26" fillId="0" borderId="0"/>
    <xf numFmtId="184" fontId="24" fillId="0" borderId="0" applyFont="0" applyFill="0" applyBorder="0" applyProtection="0">
      <alignment vertical="top"/>
    </xf>
    <xf numFmtId="185" fontId="26" fillId="0" borderId="0" applyFont="0" applyFill="0" applyBorder="0" applyProtection="0">
      <alignment vertical="top"/>
    </xf>
    <xf numFmtId="186" fontId="26" fillId="0" borderId="0" applyFont="0" applyFill="0" applyBorder="0" applyProtection="0">
      <alignment vertical="top"/>
    </xf>
    <xf numFmtId="187" fontId="26" fillId="0" borderId="0" applyFont="0" applyFill="0" applyBorder="0" applyProtection="0">
      <alignment vertical="top"/>
    </xf>
    <xf numFmtId="188" fontId="26" fillId="0" borderId="0" applyFont="0" applyFill="0" applyBorder="0" applyProtection="0">
      <alignment vertical="top"/>
    </xf>
  </cellStyleXfs>
  <cellXfs count="65">
    <xf numFmtId="183" fontId="0" fillId="0" borderId="0" xfId="0">
      <alignment vertical="top"/>
    </xf>
    <xf numFmtId="0" fontId="22" fillId="0" borderId="0" xfId="39"/>
    <xf numFmtId="0" fontId="28" fillId="0" borderId="0" xfId="39" applyFont="1"/>
    <xf numFmtId="0" fontId="27" fillId="0" borderId="0" xfId="39" applyFont="1"/>
    <xf numFmtId="0" fontId="21" fillId="0" borderId="6" xfId="38" applyFill="1"/>
    <xf numFmtId="0" fontId="21" fillId="0" borderId="6" xfId="38"/>
    <xf numFmtId="14" fontId="29" fillId="10" borderId="7" xfId="40" applyNumberFormat="1" applyFont="1" applyFill="1"/>
    <xf numFmtId="179" fontId="29" fillId="10" borderId="7" xfId="40" applyNumberFormat="1" applyFont="1" applyFill="1"/>
    <xf numFmtId="0" fontId="27" fillId="0" borderId="0" xfId="39" applyFont="1" applyAlignment="1">
      <alignment horizontal="right"/>
    </xf>
    <xf numFmtId="178" fontId="29" fillId="10" borderId="7" xfId="40" applyNumberFormat="1" applyFont="1" applyFill="1"/>
    <xf numFmtId="4" fontId="31" fillId="10" borderId="7" xfId="40" applyNumberFormat="1" applyFont="1" applyFill="1"/>
    <xf numFmtId="178" fontId="31" fillId="10" borderId="7" xfId="40" applyNumberFormat="1" applyFont="1" applyFill="1"/>
    <xf numFmtId="180" fontId="22" fillId="0" borderId="0" xfId="39" applyNumberFormat="1"/>
    <xf numFmtId="181" fontId="22" fillId="0" borderId="0" xfId="39" applyNumberFormat="1"/>
    <xf numFmtId="182" fontId="22" fillId="0" borderId="0" xfId="39" applyNumberFormat="1"/>
    <xf numFmtId="181" fontId="22" fillId="0" borderId="12" xfId="39" applyNumberFormat="1" applyBorder="1"/>
    <xf numFmtId="0" fontId="32" fillId="0" borderId="0" xfId="39" applyFont="1"/>
    <xf numFmtId="164" fontId="22" fillId="0" borderId="0" xfId="39" applyNumberFormat="1"/>
    <xf numFmtId="182" fontId="22" fillId="0" borderId="12" xfId="39" applyNumberFormat="1" applyBorder="1"/>
    <xf numFmtId="0" fontId="22" fillId="11" borderId="13" xfId="39" applyFill="1" applyBorder="1"/>
    <xf numFmtId="0" fontId="29" fillId="11" borderId="13" xfId="39" applyFont="1" applyFill="1" applyBorder="1"/>
    <xf numFmtId="0" fontId="29" fillId="11" borderId="14" xfId="39" applyFont="1" applyFill="1" applyBorder="1"/>
    <xf numFmtId="183" fontId="33" fillId="12" borderId="0" xfId="0" applyFont="1" applyFill="1">
      <alignment vertical="top"/>
    </xf>
    <xf numFmtId="183" fontId="0" fillId="13" borderId="0" xfId="0" applyFill="1">
      <alignment vertical="top"/>
    </xf>
    <xf numFmtId="183" fontId="34" fillId="13" borderId="0" xfId="0" applyFont="1" applyFill="1">
      <alignment vertical="top"/>
    </xf>
    <xf numFmtId="187" fontId="0" fillId="0" borderId="0" xfId="53" applyFont="1">
      <alignment vertical="top"/>
    </xf>
    <xf numFmtId="189" fontId="0" fillId="0" borderId="0" xfId="0" applyNumberFormat="1">
      <alignment vertical="top"/>
    </xf>
    <xf numFmtId="188" fontId="0" fillId="0" borderId="0" xfId="54" applyFont="1">
      <alignment vertical="top"/>
    </xf>
    <xf numFmtId="183" fontId="35" fillId="0" borderId="0" xfId="0" applyFont="1">
      <alignment vertical="top"/>
    </xf>
    <xf numFmtId="183" fontId="0" fillId="0" borderId="0" xfId="0" applyBorder="1">
      <alignment vertical="top"/>
    </xf>
    <xf numFmtId="183" fontId="34" fillId="0" borderId="0" xfId="0" applyFont="1">
      <alignment vertical="top"/>
    </xf>
    <xf numFmtId="183" fontId="0" fillId="0" borderId="15" xfId="0" applyBorder="1">
      <alignment vertical="top"/>
    </xf>
    <xf numFmtId="183" fontId="36" fillId="0" borderId="0" xfId="0" applyFont="1">
      <alignment vertical="top"/>
    </xf>
    <xf numFmtId="183" fontId="38" fillId="0" borderId="0" xfId="0" applyFont="1">
      <alignment vertical="top"/>
    </xf>
    <xf numFmtId="183" fontId="39" fillId="0" borderId="0" xfId="0" applyFont="1">
      <alignment vertical="top"/>
    </xf>
    <xf numFmtId="183" fontId="36" fillId="0" borderId="0" xfId="0" applyFont="1" applyAlignment="1">
      <alignment horizontal="left" vertical="top" indent="1"/>
    </xf>
    <xf numFmtId="183" fontId="36" fillId="0" borderId="0" xfId="0" applyFont="1" applyFill="1" applyAlignment="1">
      <alignment horizontal="left" vertical="top" indent="1"/>
    </xf>
    <xf numFmtId="183" fontId="0" fillId="0" borderId="0" xfId="0" applyFont="1" applyFill="1">
      <alignment vertical="top"/>
    </xf>
    <xf numFmtId="183" fontId="36" fillId="0" borderId="0" xfId="0" applyFont="1" applyFill="1">
      <alignment vertical="top"/>
    </xf>
    <xf numFmtId="183" fontId="36" fillId="0" borderId="0" xfId="0" applyFont="1" applyFill="1" applyBorder="1">
      <alignment vertical="top"/>
    </xf>
    <xf numFmtId="183" fontId="37" fillId="0" borderId="0" xfId="0" applyFont="1" applyBorder="1">
      <alignment vertical="top"/>
    </xf>
    <xf numFmtId="190" fontId="0" fillId="0" borderId="0" xfId="0" applyNumberFormat="1">
      <alignment vertical="top"/>
    </xf>
    <xf numFmtId="191" fontId="0" fillId="0" borderId="0" xfId="54" applyNumberFormat="1" applyFont="1">
      <alignment vertical="top"/>
    </xf>
    <xf numFmtId="183" fontId="0" fillId="0" borderId="0" xfId="0" applyFont="1">
      <alignment vertical="top"/>
    </xf>
    <xf numFmtId="192" fontId="0" fillId="0" borderId="0" xfId="51" applyNumberFormat="1" applyFont="1">
      <alignment vertical="top"/>
    </xf>
    <xf numFmtId="183" fontId="0" fillId="0" borderId="0" xfId="0" applyAlignment="1">
      <alignment horizontal="left" vertical="top" indent="1"/>
    </xf>
    <xf numFmtId="183" fontId="40" fillId="0" borderId="0" xfId="0" applyFont="1" applyAlignment="1">
      <alignment horizontal="left" vertical="top" indent="1"/>
    </xf>
    <xf numFmtId="193" fontId="0" fillId="0" borderId="0" xfId="51" applyNumberFormat="1" applyFont="1">
      <alignment vertical="top"/>
    </xf>
    <xf numFmtId="183" fontId="34" fillId="0" borderId="15" xfId="0" applyFont="1" applyBorder="1">
      <alignment vertical="top"/>
    </xf>
    <xf numFmtId="183" fontId="36" fillId="14" borderId="0" xfId="0" applyFont="1" applyFill="1" applyBorder="1">
      <alignment vertical="top"/>
    </xf>
    <xf numFmtId="183" fontId="36" fillId="14" borderId="0" xfId="0" applyFont="1" applyFill="1">
      <alignment vertical="top"/>
    </xf>
    <xf numFmtId="183" fontId="36" fillId="0" borderId="15" xfId="0" applyFont="1" applyBorder="1">
      <alignment vertical="top"/>
    </xf>
    <xf numFmtId="183" fontId="0" fillId="0" borderId="15" xfId="0" applyFont="1" applyBorder="1">
      <alignment vertical="top"/>
    </xf>
    <xf numFmtId="183" fontId="0" fillId="13" borderId="15" xfId="0" applyFont="1" applyFill="1" applyBorder="1">
      <alignment vertical="top"/>
    </xf>
    <xf numFmtId="194" fontId="0" fillId="0" borderId="0" xfId="51" applyNumberFormat="1" applyFont="1">
      <alignment vertical="top"/>
    </xf>
    <xf numFmtId="187" fontId="33" fillId="12" borderId="0" xfId="53" applyFont="1" applyFill="1">
      <alignment vertical="top"/>
    </xf>
    <xf numFmtId="183" fontId="0" fillId="0" borderId="0" xfId="0" applyFont="1" applyBorder="1">
      <alignment vertical="top"/>
    </xf>
    <xf numFmtId="183" fontId="0" fillId="0" borderId="0" xfId="0" applyAlignment="1">
      <alignment horizontal="center" vertical="top"/>
    </xf>
    <xf numFmtId="188" fontId="34" fillId="0" borderId="15" xfId="54" applyFont="1" applyBorder="1">
      <alignment vertical="top"/>
    </xf>
    <xf numFmtId="188" fontId="26" fillId="0" borderId="0" xfId="54" applyFont="1" applyBorder="1">
      <alignment vertical="top"/>
    </xf>
    <xf numFmtId="183" fontId="0" fillId="14" borderId="0" xfId="0" applyFont="1" applyFill="1" applyBorder="1">
      <alignment vertical="top"/>
    </xf>
    <xf numFmtId="183" fontId="34" fillId="14" borderId="15" xfId="0" applyFont="1" applyFill="1" applyBorder="1">
      <alignment vertical="top"/>
    </xf>
    <xf numFmtId="183" fontId="34" fillId="0" borderId="12" xfId="0" applyFont="1" applyBorder="1">
      <alignment vertical="top"/>
    </xf>
    <xf numFmtId="183" fontId="34" fillId="0" borderId="15" xfId="0" applyFont="1" applyBorder="1" applyAlignment="1">
      <alignment horizontal="left" vertical="top"/>
    </xf>
    <xf numFmtId="183" fontId="34" fillId="0" borderId="0" xfId="0" applyFont="1" applyAlignment="1">
      <alignment horizontal="left" vertical="top" indent="1"/>
    </xf>
  </cellXfs>
  <cellStyles count="55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2" xr:uid="{2FD860D7-6C26-4429-BE52-1DC7D4293679}"/>
    <cellStyle name="DateShort" xfId="53" xr:uid="{AB61F27F-5FCD-471B-8216-3E69C27663CE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1" xr:uid="{1818B283-58F4-4C27-AC25-8CD9B13A2FE0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49" xr:uid="{FE7DFB65-E3AE-45C6-9A20-4A72803111BD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0" builtinId="5" customBuiltin="1"/>
    <cellStyle name="Percent 2" xfId="11" xr:uid="{00000000-0005-0000-0000-00002E000000}"/>
    <cellStyle name="Year" xfId="54" xr:uid="{E5CCED29-DD3E-4F9A-A60C-68ABBF60B96E}"/>
  </cellStyles>
  <dxfs count="0"/>
  <tableStyles count="0" defaultTableStyle="TableStyleMedium2" defaultPivotStyle="PivotStyleLight16"/>
  <colors>
    <mruColors>
      <color rgb="FF0000FF"/>
      <color rgb="FFFFD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907A7B-15F9-499F-BEF3-33FAA5A177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29dbbae-3aae-4737-8e7d-c74ed680c4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F4FA-47F3-4095-B097-76E8FF0472C7}">
  <sheetPr>
    <pageSetUpPr autoPageBreaks="0"/>
  </sheetPr>
  <dimension ref="A1:AK196"/>
  <sheetViews>
    <sheetView showGridLines="0" tabSelected="1" zoomScale="85" zoomScaleNormal="85" workbookViewId="0">
      <pane xSplit="9" ySplit="3" topLeftCell="J127" activePane="bottomRight" state="frozen"/>
      <selection pane="topRight" activeCell="J1" sqref="J1"/>
      <selection pane="bottomLeft" activeCell="A4" sqref="A4"/>
      <selection pane="bottomRight" activeCell="J179" sqref="J179"/>
    </sheetView>
  </sheetViews>
  <sheetFormatPr defaultColWidth="10.69921875" defaultRowHeight="13.8"/>
  <cols>
    <col min="1" max="1" width="1.69921875" customWidth="1"/>
    <col min="2" max="4" width="1.59765625" customWidth="1"/>
    <col min="5" max="5" width="32.19921875" customWidth="1"/>
    <col min="6" max="8" width="9.69921875" customWidth="1"/>
    <col min="9" max="9" width="1.59765625" customWidth="1"/>
    <col min="10" max="10" width="14.5" bestFit="1" customWidth="1"/>
    <col min="11" max="37" width="12.69921875" bestFit="1" customWidth="1"/>
  </cols>
  <sheetData>
    <row r="1" spans="1:37" s="22" customFormat="1">
      <c r="A1" s="22" t="str">
        <f>company</f>
        <v>Waterworks Corp</v>
      </c>
    </row>
    <row r="2" spans="1:37" s="22" customFormat="1">
      <c r="A2" s="22" t="str" cm="1">
        <f t="array" ref="A2">topic</f>
        <v>CFM Topic: Working capital</v>
      </c>
      <c r="J2" s="55" cm="1">
        <f t="array" ref="J2:AK2">_xlfn.ANCHORARRAY(J7)</f>
        <v>44927</v>
      </c>
      <c r="K2" s="55">
        <v>45017</v>
      </c>
      <c r="L2" s="55">
        <v>45108</v>
      </c>
      <c r="M2" s="55">
        <v>45200</v>
      </c>
      <c r="N2" s="55">
        <v>45292</v>
      </c>
      <c r="O2" s="55">
        <v>45383</v>
      </c>
      <c r="P2" s="55">
        <v>45474</v>
      </c>
      <c r="Q2" s="55">
        <v>45566</v>
      </c>
      <c r="R2" s="55">
        <v>45658</v>
      </c>
      <c r="S2" s="55">
        <v>45748</v>
      </c>
      <c r="T2" s="55">
        <v>45839</v>
      </c>
      <c r="U2" s="55">
        <v>45931</v>
      </c>
      <c r="V2" s="55">
        <v>46023</v>
      </c>
      <c r="W2" s="55">
        <v>46113</v>
      </c>
      <c r="X2" s="55">
        <v>46204</v>
      </c>
      <c r="Y2" s="55">
        <v>46296</v>
      </c>
      <c r="Z2" s="55">
        <v>46388</v>
      </c>
      <c r="AA2" s="55">
        <v>46478</v>
      </c>
      <c r="AB2" s="55">
        <v>46569</v>
      </c>
      <c r="AC2" s="55">
        <v>46661</v>
      </c>
      <c r="AD2" s="55">
        <v>46753</v>
      </c>
      <c r="AE2" s="55">
        <v>46844</v>
      </c>
      <c r="AF2" s="55">
        <v>46935</v>
      </c>
      <c r="AG2" s="55">
        <v>47027</v>
      </c>
      <c r="AH2" s="55">
        <v>47119</v>
      </c>
      <c r="AI2" s="55">
        <v>47209</v>
      </c>
      <c r="AJ2" s="55">
        <v>47300</v>
      </c>
      <c r="AK2" s="55">
        <v>47392</v>
      </c>
    </row>
    <row r="3" spans="1:37" s="22" customFormat="1">
      <c r="A3" s="22" t="s">
        <v>76</v>
      </c>
      <c r="F3" s="22" t="s">
        <v>62</v>
      </c>
      <c r="G3" s="22" t="s">
        <v>63</v>
      </c>
      <c r="H3" s="22" t="s">
        <v>64</v>
      </c>
      <c r="J3" s="55" cm="1">
        <f t="array" ref="J3:AK3">_xlfn.ANCHORARRAY(J8)</f>
        <v>45016</v>
      </c>
      <c r="K3" s="55">
        <v>45107</v>
      </c>
      <c r="L3" s="55">
        <v>45199</v>
      </c>
      <c r="M3" s="55">
        <v>45291</v>
      </c>
      <c r="N3" s="55">
        <v>45382</v>
      </c>
      <c r="O3" s="55">
        <v>45473</v>
      </c>
      <c r="P3" s="55">
        <v>45565</v>
      </c>
      <c r="Q3" s="55">
        <v>45657</v>
      </c>
      <c r="R3" s="55">
        <v>45747</v>
      </c>
      <c r="S3" s="55">
        <v>45838</v>
      </c>
      <c r="T3" s="55">
        <v>45930</v>
      </c>
      <c r="U3" s="55">
        <v>46022</v>
      </c>
      <c r="V3" s="55">
        <v>46112</v>
      </c>
      <c r="W3" s="55">
        <v>46203</v>
      </c>
      <c r="X3" s="55">
        <v>46295</v>
      </c>
      <c r="Y3" s="55">
        <v>46387</v>
      </c>
      <c r="Z3" s="55">
        <v>46477</v>
      </c>
      <c r="AA3" s="55">
        <v>46568</v>
      </c>
      <c r="AB3" s="55">
        <v>46660</v>
      </c>
      <c r="AC3" s="55">
        <v>46752</v>
      </c>
      <c r="AD3" s="55">
        <v>46843</v>
      </c>
      <c r="AE3" s="55">
        <v>46934</v>
      </c>
      <c r="AF3" s="55">
        <v>47026</v>
      </c>
      <c r="AG3" s="55">
        <v>47118</v>
      </c>
      <c r="AH3" s="55">
        <v>47208</v>
      </c>
      <c r="AI3" s="55">
        <v>47299</v>
      </c>
      <c r="AJ3" s="55">
        <v>47391</v>
      </c>
      <c r="AK3" s="55">
        <v>47483</v>
      </c>
    </row>
    <row r="5" spans="1:37" s="23" customFormat="1">
      <c r="A5" s="24" t="s">
        <v>65</v>
      </c>
    </row>
    <row r="7" spans="1:37">
      <c r="E7" t="s">
        <v>66</v>
      </c>
      <c r="G7" t="s">
        <v>67</v>
      </c>
      <c r="J7" s="25" cm="1">
        <f t="array" ref="J7:AK7" xml:space="preserve"> EDATE( start_date, _xlfn.SEQUENCE( 1, years * quarters, 0, 3 ) )</f>
        <v>44927</v>
      </c>
      <c r="K7" s="25">
        <v>45017</v>
      </c>
      <c r="L7" s="25">
        <v>45108</v>
      </c>
      <c r="M7" s="25">
        <v>45200</v>
      </c>
      <c r="N7" s="25">
        <v>45292</v>
      </c>
      <c r="O7" s="25">
        <v>45383</v>
      </c>
      <c r="P7" s="25">
        <v>45474</v>
      </c>
      <c r="Q7" s="25">
        <v>45566</v>
      </c>
      <c r="R7" s="25">
        <v>45658</v>
      </c>
      <c r="S7" s="25">
        <v>45748</v>
      </c>
      <c r="T7" s="25">
        <v>45839</v>
      </c>
      <c r="U7" s="25">
        <v>45931</v>
      </c>
      <c r="V7" s="25">
        <v>46023</v>
      </c>
      <c r="W7" s="25">
        <v>46113</v>
      </c>
      <c r="X7" s="25">
        <v>46204</v>
      </c>
      <c r="Y7" s="25">
        <v>46296</v>
      </c>
      <c r="Z7" s="25">
        <v>46388</v>
      </c>
      <c r="AA7" s="25">
        <v>46478</v>
      </c>
      <c r="AB7" s="25">
        <v>46569</v>
      </c>
      <c r="AC7" s="25">
        <v>46661</v>
      </c>
      <c r="AD7" s="25">
        <v>46753</v>
      </c>
      <c r="AE7" s="25">
        <v>46844</v>
      </c>
      <c r="AF7" s="25">
        <v>46935</v>
      </c>
      <c r="AG7" s="25">
        <v>47027</v>
      </c>
      <c r="AH7" s="25">
        <v>47119</v>
      </c>
      <c r="AI7" s="25">
        <v>47209</v>
      </c>
      <c r="AJ7" s="25">
        <v>47300</v>
      </c>
      <c r="AK7" s="25">
        <v>47392</v>
      </c>
    </row>
    <row r="8" spans="1:37">
      <c r="E8" t="s">
        <v>68</v>
      </c>
      <c r="G8" t="s">
        <v>67</v>
      </c>
      <c r="J8" s="25" cm="1">
        <f t="array" ref="J8:AK8">EOMONTH( start_date, _xlfn.SEQUENCE( 1, years * quarters, 2, 3 ) )</f>
        <v>45016</v>
      </c>
      <c r="K8" s="25">
        <v>45107</v>
      </c>
      <c r="L8" s="25">
        <v>45199</v>
      </c>
      <c r="M8" s="25">
        <v>45291</v>
      </c>
      <c r="N8" s="25">
        <v>45382</v>
      </c>
      <c r="O8" s="25">
        <v>45473</v>
      </c>
      <c r="P8" s="25">
        <v>45565</v>
      </c>
      <c r="Q8" s="25">
        <v>45657</v>
      </c>
      <c r="R8" s="25">
        <v>45747</v>
      </c>
      <c r="S8" s="25">
        <v>45838</v>
      </c>
      <c r="T8" s="25">
        <v>45930</v>
      </c>
      <c r="U8" s="25">
        <v>46022</v>
      </c>
      <c r="V8" s="25">
        <v>46112</v>
      </c>
      <c r="W8" s="25">
        <v>46203</v>
      </c>
      <c r="X8" s="25">
        <v>46295</v>
      </c>
      <c r="Y8" s="25">
        <v>46387</v>
      </c>
      <c r="Z8" s="25">
        <v>46477</v>
      </c>
      <c r="AA8" s="25">
        <v>46568</v>
      </c>
      <c r="AB8" s="25">
        <v>46660</v>
      </c>
      <c r="AC8" s="25">
        <v>46752</v>
      </c>
      <c r="AD8" s="25">
        <v>46843</v>
      </c>
      <c r="AE8" s="25">
        <v>46934</v>
      </c>
      <c r="AF8" s="25">
        <v>47026</v>
      </c>
      <c r="AG8" s="25">
        <v>47118</v>
      </c>
      <c r="AH8" s="25">
        <v>47208</v>
      </c>
      <c r="AI8" s="25">
        <v>47299</v>
      </c>
      <c r="AJ8" s="25">
        <v>47391</v>
      </c>
      <c r="AK8" s="25">
        <v>47483</v>
      </c>
    </row>
    <row r="10" spans="1:37">
      <c r="E10" t="s">
        <v>69</v>
      </c>
      <c r="G10" t="s">
        <v>70</v>
      </c>
      <c r="J10" s="26" cm="1">
        <f t="array" ref="J10:AK10" xml:space="preserve"> MONTH(_xlfn.ANCHORARRAY( J8) ) / 3</f>
        <v>1</v>
      </c>
      <c r="K10" s="26">
        <v>2</v>
      </c>
      <c r="L10" s="26">
        <v>3</v>
      </c>
      <c r="M10" s="26">
        <v>4</v>
      </c>
      <c r="N10" s="26">
        <v>1</v>
      </c>
      <c r="O10" s="26">
        <v>2</v>
      </c>
      <c r="P10" s="26">
        <v>3</v>
      </c>
      <c r="Q10" s="26">
        <v>4</v>
      </c>
      <c r="R10" s="26">
        <v>1</v>
      </c>
      <c r="S10" s="26">
        <v>2</v>
      </c>
      <c r="T10" s="26">
        <v>3</v>
      </c>
      <c r="U10" s="26">
        <v>4</v>
      </c>
      <c r="V10" s="26">
        <v>1</v>
      </c>
      <c r="W10" s="26">
        <v>2</v>
      </c>
      <c r="X10" s="26">
        <v>3</v>
      </c>
      <c r="Y10" s="26">
        <v>4</v>
      </c>
      <c r="Z10" s="26">
        <v>1</v>
      </c>
      <c r="AA10" s="26">
        <v>2</v>
      </c>
      <c r="AB10" s="26">
        <v>3</v>
      </c>
      <c r="AC10" s="26">
        <v>4</v>
      </c>
      <c r="AD10" s="26">
        <v>1</v>
      </c>
      <c r="AE10" s="26">
        <v>2</v>
      </c>
      <c r="AF10" s="26">
        <v>3</v>
      </c>
      <c r="AG10" s="26">
        <v>4</v>
      </c>
      <c r="AH10" s="26">
        <v>1</v>
      </c>
      <c r="AI10" s="26">
        <v>2</v>
      </c>
      <c r="AJ10" s="26">
        <v>3</v>
      </c>
      <c r="AK10" s="26">
        <v>4</v>
      </c>
    </row>
    <row r="11" spans="1:37">
      <c r="E11" t="s">
        <v>71</v>
      </c>
      <c r="G11" t="s">
        <v>70</v>
      </c>
      <c r="J11" s="27" cm="1">
        <f t="array" ref="J11:AK11" xml:space="preserve"> YEAR(_xlfn.ANCHORARRAY( J8) )</f>
        <v>2023</v>
      </c>
      <c r="K11" s="27">
        <v>2023</v>
      </c>
      <c r="L11" s="27">
        <v>2023</v>
      </c>
      <c r="M11" s="27">
        <v>2023</v>
      </c>
      <c r="N11" s="27">
        <v>2024</v>
      </c>
      <c r="O11" s="27">
        <v>2024</v>
      </c>
      <c r="P11" s="27">
        <v>2024</v>
      </c>
      <c r="Q11" s="27">
        <v>2024</v>
      </c>
      <c r="R11" s="27">
        <v>2025</v>
      </c>
      <c r="S11" s="27">
        <v>2025</v>
      </c>
      <c r="T11" s="27">
        <v>2025</v>
      </c>
      <c r="U11" s="27">
        <v>2025</v>
      </c>
      <c r="V11" s="27">
        <v>2026</v>
      </c>
      <c r="W11" s="27">
        <v>2026</v>
      </c>
      <c r="X11" s="27">
        <v>2026</v>
      </c>
      <c r="Y11" s="27">
        <v>2026</v>
      </c>
      <c r="Z11" s="27">
        <v>2027</v>
      </c>
      <c r="AA11" s="27">
        <v>2027</v>
      </c>
      <c r="AB11" s="27">
        <v>2027</v>
      </c>
      <c r="AC11" s="27">
        <v>2027</v>
      </c>
      <c r="AD11" s="27">
        <v>2028</v>
      </c>
      <c r="AE11" s="27">
        <v>2028</v>
      </c>
      <c r="AF11" s="27">
        <v>2028</v>
      </c>
      <c r="AG11" s="27">
        <v>2028</v>
      </c>
      <c r="AH11" s="27">
        <v>2029</v>
      </c>
      <c r="AI11" s="27">
        <v>2029</v>
      </c>
      <c r="AJ11" s="27">
        <v>2029</v>
      </c>
      <c r="AK11" s="27">
        <v>2029</v>
      </c>
    </row>
    <row r="13" spans="1:37" s="23" customFormat="1">
      <c r="A13" s="24" t="s">
        <v>72</v>
      </c>
    </row>
    <row r="15" spans="1:37">
      <c r="B15" s="30" t="s">
        <v>73</v>
      </c>
    </row>
    <row r="17" spans="2:37">
      <c r="D17" s="34"/>
      <c r="E17" t="s">
        <v>74</v>
      </c>
      <c r="G17" t="s">
        <v>75</v>
      </c>
      <c r="J17" cm="1">
        <f t="array" ref="J17:AK17" xml:space="preserve"> _xlfn.LET(
      _xlpm.first_year_demand,    CaseData!$E$11:$H$11,
      _xlpm.first_year_quarters,  CaseData!$E$10:$H$10,
      _xlpm.current_quarter,      "Q" &amp;_xlfn.ANCHORARRAY( J$10),
      _xlpm.demand,               INDEX( _xlpm.first_year_demand, MATCH( _xlpm.current_quarter, _xlpm.first_year_quarters, 0 ) ),
      _xlpm.growth_rate,          CaseData!$E$13,
      _xlpm.current_year,_xlfn.ANCHORARRAY(         $J$11),
      _xlpm.period,               _xlpm.current_year - YEAR( start_date ),
      _xlpm.growth_factor,        IF( _xlpm.period = 0, 1, ( 1 + _xlpm.growth_rate ) ^ _xlpm.period ),
      _xlpm.demand * _xlpm.growth_factor )</f>
        <v>225000</v>
      </c>
      <c r="K17">
        <v>375000</v>
      </c>
      <c r="L17">
        <v>300000</v>
      </c>
      <c r="M17">
        <v>600000</v>
      </c>
      <c r="N17">
        <v>236250</v>
      </c>
      <c r="O17">
        <v>393750</v>
      </c>
      <c r="P17">
        <v>315000</v>
      </c>
      <c r="Q17">
        <v>630000</v>
      </c>
      <c r="R17">
        <v>248062.5</v>
      </c>
      <c r="S17">
        <v>413437.5</v>
      </c>
      <c r="T17">
        <v>330750</v>
      </c>
      <c r="U17">
        <v>661500</v>
      </c>
      <c r="V17">
        <v>260465.62500000003</v>
      </c>
      <c r="W17">
        <v>434109.37500000006</v>
      </c>
      <c r="X17">
        <v>347287.50000000006</v>
      </c>
      <c r="Y17">
        <v>694575.00000000012</v>
      </c>
      <c r="Z17">
        <v>273488.90625</v>
      </c>
      <c r="AA17">
        <v>455814.84375</v>
      </c>
      <c r="AB17">
        <v>364651.875</v>
      </c>
      <c r="AC17">
        <v>729303.75</v>
      </c>
      <c r="AD17">
        <v>287163.35156250006</v>
      </c>
      <c r="AE17">
        <v>478605.58593750006</v>
      </c>
      <c r="AF17">
        <v>382884.46875000006</v>
      </c>
      <c r="AG17">
        <v>765768.93750000012</v>
      </c>
      <c r="AH17">
        <v>301521.51914062497</v>
      </c>
      <c r="AI17">
        <v>502535.865234375</v>
      </c>
      <c r="AJ17">
        <v>402028.69218750001</v>
      </c>
      <c r="AK17">
        <v>804057.38437500002</v>
      </c>
    </row>
    <row r="18" spans="2:37">
      <c r="E18" s="32" t="s">
        <v>81</v>
      </c>
      <c r="G18" s="32" t="s">
        <v>75</v>
      </c>
      <c r="J18" s="50">
        <f>CaseData!$E$15*I27</f>
        <v>0</v>
      </c>
      <c r="K18" s="32">
        <f>CaseData!$E$15*J27</f>
        <v>0</v>
      </c>
      <c r="L18" s="32">
        <f>CaseData!$E$15*K27</f>
        <v>0</v>
      </c>
      <c r="M18" s="32">
        <f>CaseData!$E$15*L27</f>
        <v>0</v>
      </c>
      <c r="N18" s="32">
        <f>CaseData!$E$15*M27</f>
        <v>0</v>
      </c>
      <c r="O18" s="32">
        <f>CaseData!$E$15*N27</f>
        <v>0</v>
      </c>
      <c r="P18" s="32">
        <f>CaseData!$E$15*O27</f>
        <v>0</v>
      </c>
      <c r="Q18" s="32">
        <f>CaseData!$E$15*P27</f>
        <v>0</v>
      </c>
      <c r="R18" s="32">
        <f>CaseData!$E$15*Q27</f>
        <v>0</v>
      </c>
      <c r="S18" s="32">
        <f>CaseData!$E$15*R27</f>
        <v>0</v>
      </c>
      <c r="T18" s="32">
        <f>CaseData!$E$15*S27</f>
        <v>0</v>
      </c>
      <c r="U18" s="32">
        <f>CaseData!$E$15*T27</f>
        <v>0</v>
      </c>
      <c r="V18" s="32">
        <f>CaseData!$E$15*U27</f>
        <v>0</v>
      </c>
      <c r="W18" s="32">
        <f>CaseData!$E$15*V27</f>
        <v>0</v>
      </c>
      <c r="X18" s="32">
        <f>CaseData!$E$15*W27</f>
        <v>0</v>
      </c>
      <c r="Y18" s="32">
        <f>CaseData!$E$15*X27</f>
        <v>0</v>
      </c>
      <c r="Z18" s="32">
        <f>CaseData!$E$15*Y27</f>
        <v>0</v>
      </c>
      <c r="AA18" s="32">
        <f>CaseData!$E$15*Z27</f>
        <v>0</v>
      </c>
      <c r="AB18" s="32">
        <f>CaseData!$E$15*AA27</f>
        <v>0</v>
      </c>
      <c r="AC18" s="32">
        <f>CaseData!$E$15*AB27</f>
        <v>0</v>
      </c>
      <c r="AD18" s="32">
        <f>CaseData!$E$15*AC27</f>
        <v>88446.875000000116</v>
      </c>
      <c r="AE18" s="32">
        <f>CaseData!$E$15*AD27</f>
        <v>0</v>
      </c>
      <c r="AF18" s="32">
        <f>CaseData!$E$15*AE27</f>
        <v>34215.812500000233</v>
      </c>
      <c r="AG18" s="32">
        <f>CaseData!$E$15*AF27</f>
        <v>7100.281250000291</v>
      </c>
      <c r="AH18" s="32">
        <f>CaseData!$E$15*AG27</f>
        <v>362869.21875000047</v>
      </c>
      <c r="AI18" s="32">
        <f>CaseData!$E$15*AH27</f>
        <v>254390.73789062537</v>
      </c>
      <c r="AJ18" s="32">
        <f>CaseData!$E$15*AI27</f>
        <v>346926.60312500037</v>
      </c>
      <c r="AK18" s="32">
        <f>CaseData!$E$15*AJ27</f>
        <v>338955.29531250033</v>
      </c>
    </row>
    <row r="19" spans="2:37">
      <c r="E19" s="32" t="s">
        <v>80</v>
      </c>
      <c r="G19" s="32" t="s">
        <v>75</v>
      </c>
      <c r="J19" s="32">
        <f>J17+J18</f>
        <v>225000</v>
      </c>
      <c r="K19" s="32">
        <f>K17+K18</f>
        <v>375000</v>
      </c>
      <c r="L19" s="32">
        <f t="shared" ref="L19:AK19" si="0">L17+L18</f>
        <v>300000</v>
      </c>
      <c r="M19" s="32">
        <f t="shared" si="0"/>
        <v>600000</v>
      </c>
      <c r="N19" s="32">
        <f t="shared" si="0"/>
        <v>236250</v>
      </c>
      <c r="O19" s="32">
        <f t="shared" si="0"/>
        <v>393750</v>
      </c>
      <c r="P19" s="32">
        <f t="shared" si="0"/>
        <v>315000</v>
      </c>
      <c r="Q19" s="32">
        <f t="shared" si="0"/>
        <v>630000</v>
      </c>
      <c r="R19" s="32">
        <f t="shared" si="0"/>
        <v>248062.5</v>
      </c>
      <c r="S19" s="32">
        <f t="shared" si="0"/>
        <v>413437.5</v>
      </c>
      <c r="T19" s="32">
        <f t="shared" si="0"/>
        <v>330750</v>
      </c>
      <c r="U19" s="32">
        <f t="shared" si="0"/>
        <v>661500</v>
      </c>
      <c r="V19" s="32">
        <f t="shared" si="0"/>
        <v>260465.62500000003</v>
      </c>
      <c r="W19" s="32">
        <f t="shared" si="0"/>
        <v>434109.37500000006</v>
      </c>
      <c r="X19" s="32">
        <f t="shared" si="0"/>
        <v>347287.50000000006</v>
      </c>
      <c r="Y19" s="32">
        <f t="shared" si="0"/>
        <v>694575.00000000012</v>
      </c>
      <c r="Z19" s="32">
        <f t="shared" si="0"/>
        <v>273488.90625</v>
      </c>
      <c r="AA19" s="32">
        <f t="shared" si="0"/>
        <v>455814.84375</v>
      </c>
      <c r="AB19" s="32">
        <f t="shared" si="0"/>
        <v>364651.875</v>
      </c>
      <c r="AC19" s="32">
        <f t="shared" si="0"/>
        <v>729303.75</v>
      </c>
      <c r="AD19" s="32">
        <f t="shared" si="0"/>
        <v>375610.22656250017</v>
      </c>
      <c r="AE19" s="32">
        <f t="shared" si="0"/>
        <v>478605.58593750006</v>
      </c>
      <c r="AF19" s="32">
        <f t="shared" si="0"/>
        <v>417100.28125000029</v>
      </c>
      <c r="AG19" s="32">
        <f t="shared" si="0"/>
        <v>772869.21875000047</v>
      </c>
      <c r="AH19" s="32">
        <f t="shared" si="0"/>
        <v>664390.73789062537</v>
      </c>
      <c r="AI19" s="32">
        <f t="shared" si="0"/>
        <v>756926.60312500037</v>
      </c>
      <c r="AJ19" s="32">
        <f t="shared" si="0"/>
        <v>748955.29531250033</v>
      </c>
      <c r="AK19" s="32">
        <f t="shared" si="0"/>
        <v>1143012.6796875005</v>
      </c>
    </row>
    <row r="21" spans="2:37">
      <c r="D21" s="34"/>
      <c r="E21" s="32" t="s">
        <v>77</v>
      </c>
      <c r="G21" s="32" t="s">
        <v>75</v>
      </c>
      <c r="J21" s="32">
        <f>I25</f>
        <v>0</v>
      </c>
      <c r="K21" s="32">
        <f>J25</f>
        <v>185000</v>
      </c>
      <c r="L21" s="32">
        <f t="shared" ref="L21:AK21" si="1">K25</f>
        <v>220000</v>
      </c>
      <c r="M21" s="32">
        <f t="shared" si="1"/>
        <v>330000</v>
      </c>
      <c r="N21" s="32">
        <f t="shared" si="1"/>
        <v>140000</v>
      </c>
      <c r="O21" s="32">
        <f t="shared" si="1"/>
        <v>313750</v>
      </c>
      <c r="P21" s="32">
        <f t="shared" si="1"/>
        <v>330000</v>
      </c>
      <c r="Q21" s="32">
        <f t="shared" si="1"/>
        <v>425000</v>
      </c>
      <c r="R21" s="32">
        <f t="shared" si="1"/>
        <v>205000</v>
      </c>
      <c r="S21" s="32">
        <f t="shared" si="1"/>
        <v>366937.5</v>
      </c>
      <c r="T21" s="32">
        <f t="shared" si="1"/>
        <v>363500</v>
      </c>
      <c r="U21" s="32">
        <f t="shared" si="1"/>
        <v>442750</v>
      </c>
      <c r="V21" s="32">
        <f t="shared" si="1"/>
        <v>191250</v>
      </c>
      <c r="W21" s="32">
        <f t="shared" si="1"/>
        <v>340784.375</v>
      </c>
      <c r="X21" s="32">
        <f t="shared" si="1"/>
        <v>316674.99999999994</v>
      </c>
      <c r="Y21" s="32">
        <f t="shared" si="1"/>
        <v>379387.49999999994</v>
      </c>
      <c r="Z21" s="32">
        <f t="shared" si="1"/>
        <v>94812.499999999884</v>
      </c>
      <c r="AA21" s="32">
        <f t="shared" si="1"/>
        <v>231323.59374999988</v>
      </c>
      <c r="AB21" s="32">
        <f t="shared" si="1"/>
        <v>185508.74999999988</v>
      </c>
      <c r="AC21" s="32">
        <f t="shared" si="1"/>
        <v>230856.87499999988</v>
      </c>
      <c r="AD21" s="32">
        <f t="shared" si="1"/>
        <v>0</v>
      </c>
      <c r="AE21" s="32">
        <f t="shared" si="1"/>
        <v>34389.773437499825</v>
      </c>
      <c r="AF21" s="32">
        <f t="shared" si="1"/>
        <v>0</v>
      </c>
      <c r="AG21" s="32">
        <f t="shared" si="1"/>
        <v>0</v>
      </c>
      <c r="AH21" s="32">
        <f t="shared" si="1"/>
        <v>0</v>
      </c>
      <c r="AI21" s="32">
        <f t="shared" si="1"/>
        <v>0</v>
      </c>
      <c r="AJ21" s="32">
        <f t="shared" si="1"/>
        <v>0</v>
      </c>
      <c r="AK21" s="32">
        <f t="shared" si="1"/>
        <v>0</v>
      </c>
    </row>
    <row r="22" spans="2:37">
      <c r="E22" s="35" t="s">
        <v>6</v>
      </c>
      <c r="G22" s="32" t="s">
        <v>75</v>
      </c>
      <c r="J22" s="32" cm="1">
        <f t="array" ref="J22:AK22">_xlfn.SEQUENCE(1, years*quarters, CaseData!$E$8, 0)</f>
        <v>410000</v>
      </c>
      <c r="K22">
        <v>410000</v>
      </c>
      <c r="L22">
        <v>410000</v>
      </c>
      <c r="M22">
        <v>410000</v>
      </c>
      <c r="N22">
        <v>410000</v>
      </c>
      <c r="O22">
        <v>410000</v>
      </c>
      <c r="P22">
        <v>410000</v>
      </c>
      <c r="Q22">
        <v>410000</v>
      </c>
      <c r="R22">
        <v>410000</v>
      </c>
      <c r="S22">
        <v>410000</v>
      </c>
      <c r="T22">
        <v>410000</v>
      </c>
      <c r="U22">
        <v>410000</v>
      </c>
      <c r="V22">
        <v>410000</v>
      </c>
      <c r="W22">
        <v>410000</v>
      </c>
      <c r="X22">
        <v>410000</v>
      </c>
      <c r="Y22">
        <v>410000</v>
      </c>
      <c r="Z22">
        <v>410000</v>
      </c>
      <c r="AA22">
        <v>410000</v>
      </c>
      <c r="AB22">
        <v>410000</v>
      </c>
      <c r="AC22">
        <v>410000</v>
      </c>
      <c r="AD22">
        <v>410000</v>
      </c>
      <c r="AE22">
        <v>410000</v>
      </c>
      <c r="AF22">
        <v>410000</v>
      </c>
      <c r="AG22">
        <v>410000</v>
      </c>
      <c r="AH22">
        <v>410000</v>
      </c>
      <c r="AI22">
        <v>410000</v>
      </c>
      <c r="AJ22">
        <v>410000</v>
      </c>
      <c r="AK22">
        <v>410000</v>
      </c>
    </row>
    <row r="23" spans="2:37">
      <c r="E23" s="35" t="s">
        <v>82</v>
      </c>
      <c r="G23" s="32" t="s">
        <v>75</v>
      </c>
      <c r="J23" s="32">
        <f>J21+J22</f>
        <v>410000</v>
      </c>
      <c r="K23" s="32">
        <f>K21+K22</f>
        <v>595000</v>
      </c>
      <c r="L23" s="32">
        <f t="shared" ref="L23:AK23" si="2">L21+L22</f>
        <v>630000</v>
      </c>
      <c r="M23" s="32">
        <f t="shared" si="2"/>
        <v>740000</v>
      </c>
      <c r="N23" s="32">
        <f t="shared" si="2"/>
        <v>550000</v>
      </c>
      <c r="O23" s="32">
        <f t="shared" si="2"/>
        <v>723750</v>
      </c>
      <c r="P23" s="32">
        <f t="shared" si="2"/>
        <v>740000</v>
      </c>
      <c r="Q23" s="32">
        <f t="shared" si="2"/>
        <v>835000</v>
      </c>
      <c r="R23" s="32">
        <f t="shared" si="2"/>
        <v>615000</v>
      </c>
      <c r="S23" s="32">
        <f t="shared" si="2"/>
        <v>776937.5</v>
      </c>
      <c r="T23" s="32">
        <f t="shared" si="2"/>
        <v>773500</v>
      </c>
      <c r="U23" s="32">
        <f t="shared" si="2"/>
        <v>852750</v>
      </c>
      <c r="V23" s="32">
        <f t="shared" si="2"/>
        <v>601250</v>
      </c>
      <c r="W23" s="32">
        <f t="shared" si="2"/>
        <v>750784.375</v>
      </c>
      <c r="X23" s="32">
        <f t="shared" si="2"/>
        <v>726675</v>
      </c>
      <c r="Y23" s="32">
        <f t="shared" si="2"/>
        <v>789387.5</v>
      </c>
      <c r="Z23" s="32">
        <f t="shared" si="2"/>
        <v>504812.49999999988</v>
      </c>
      <c r="AA23" s="32">
        <f t="shared" si="2"/>
        <v>641323.59374999988</v>
      </c>
      <c r="AB23" s="32">
        <f t="shared" si="2"/>
        <v>595508.74999999988</v>
      </c>
      <c r="AC23" s="32">
        <f t="shared" si="2"/>
        <v>640856.87499999988</v>
      </c>
      <c r="AD23" s="32">
        <f t="shared" si="2"/>
        <v>410000</v>
      </c>
      <c r="AE23" s="32">
        <f t="shared" si="2"/>
        <v>444389.77343749983</v>
      </c>
      <c r="AF23" s="32">
        <f t="shared" si="2"/>
        <v>410000</v>
      </c>
      <c r="AG23" s="32">
        <f t="shared" si="2"/>
        <v>410000</v>
      </c>
      <c r="AH23" s="32">
        <f t="shared" si="2"/>
        <v>410000</v>
      </c>
      <c r="AI23" s="32">
        <f t="shared" si="2"/>
        <v>410000</v>
      </c>
      <c r="AJ23" s="32">
        <f t="shared" si="2"/>
        <v>410000</v>
      </c>
      <c r="AK23" s="32">
        <f t="shared" si="2"/>
        <v>410000</v>
      </c>
    </row>
    <row r="24" spans="2:37">
      <c r="E24" s="36" t="s">
        <v>78</v>
      </c>
      <c r="F24" s="37"/>
      <c r="G24" s="38" t="s">
        <v>75</v>
      </c>
      <c r="H24" s="37"/>
      <c r="I24" s="37"/>
      <c r="J24" s="49">
        <f>MIN(J23,J19)</f>
        <v>225000</v>
      </c>
      <c r="K24" s="39">
        <f>MIN(K23,K19)</f>
        <v>375000</v>
      </c>
      <c r="L24" s="39">
        <f t="shared" ref="L24:AK24" si="3">MIN(L23,L19)</f>
        <v>300000</v>
      </c>
      <c r="M24" s="39">
        <f t="shared" si="3"/>
        <v>600000</v>
      </c>
      <c r="N24" s="39">
        <f t="shared" si="3"/>
        <v>236250</v>
      </c>
      <c r="O24" s="39">
        <f t="shared" si="3"/>
        <v>393750</v>
      </c>
      <c r="P24" s="39">
        <f t="shared" si="3"/>
        <v>315000</v>
      </c>
      <c r="Q24" s="39">
        <f t="shared" si="3"/>
        <v>630000</v>
      </c>
      <c r="R24" s="39">
        <f t="shared" si="3"/>
        <v>248062.5</v>
      </c>
      <c r="S24" s="39">
        <f t="shared" si="3"/>
        <v>413437.5</v>
      </c>
      <c r="T24" s="39">
        <f t="shared" si="3"/>
        <v>330750</v>
      </c>
      <c r="U24" s="39">
        <f t="shared" si="3"/>
        <v>661500</v>
      </c>
      <c r="V24" s="39">
        <f t="shared" si="3"/>
        <v>260465.62500000003</v>
      </c>
      <c r="W24" s="39">
        <f t="shared" si="3"/>
        <v>434109.37500000006</v>
      </c>
      <c r="X24" s="39">
        <f t="shared" si="3"/>
        <v>347287.50000000006</v>
      </c>
      <c r="Y24" s="39">
        <f t="shared" si="3"/>
        <v>694575.00000000012</v>
      </c>
      <c r="Z24" s="39">
        <f t="shared" si="3"/>
        <v>273488.90625</v>
      </c>
      <c r="AA24" s="39">
        <f t="shared" si="3"/>
        <v>455814.84375</v>
      </c>
      <c r="AB24" s="39">
        <f t="shared" si="3"/>
        <v>364651.875</v>
      </c>
      <c r="AC24" s="39">
        <f t="shared" si="3"/>
        <v>640856.87499999988</v>
      </c>
      <c r="AD24" s="39">
        <f t="shared" si="3"/>
        <v>375610.22656250017</v>
      </c>
      <c r="AE24" s="39">
        <f t="shared" si="3"/>
        <v>444389.77343749983</v>
      </c>
      <c r="AF24" s="39">
        <f t="shared" si="3"/>
        <v>410000</v>
      </c>
      <c r="AG24" s="39">
        <f t="shared" si="3"/>
        <v>410000</v>
      </c>
      <c r="AH24" s="39">
        <f t="shared" si="3"/>
        <v>410000</v>
      </c>
      <c r="AI24" s="39">
        <f t="shared" si="3"/>
        <v>410000</v>
      </c>
      <c r="AJ24" s="39">
        <f t="shared" si="3"/>
        <v>410000</v>
      </c>
      <c r="AK24" s="39">
        <f t="shared" si="3"/>
        <v>410000</v>
      </c>
    </row>
    <row r="25" spans="2:37">
      <c r="E25" s="51" t="s">
        <v>79</v>
      </c>
      <c r="F25" s="52"/>
      <c r="G25" s="51" t="s">
        <v>75</v>
      </c>
      <c r="H25" s="52"/>
      <c r="I25" s="53"/>
      <c r="J25" s="51">
        <f>J23-J24</f>
        <v>185000</v>
      </c>
      <c r="K25" s="51">
        <f>K23-K24</f>
        <v>220000</v>
      </c>
      <c r="L25" s="51">
        <f t="shared" ref="L25:AK25" si="4">L23-L24</f>
        <v>330000</v>
      </c>
      <c r="M25" s="51">
        <f t="shared" si="4"/>
        <v>140000</v>
      </c>
      <c r="N25" s="51">
        <f t="shared" si="4"/>
        <v>313750</v>
      </c>
      <c r="O25" s="51">
        <f t="shared" si="4"/>
        <v>330000</v>
      </c>
      <c r="P25" s="51">
        <f t="shared" si="4"/>
        <v>425000</v>
      </c>
      <c r="Q25" s="51">
        <f t="shared" si="4"/>
        <v>205000</v>
      </c>
      <c r="R25" s="51">
        <f t="shared" si="4"/>
        <v>366937.5</v>
      </c>
      <c r="S25" s="51">
        <f t="shared" si="4"/>
        <v>363500</v>
      </c>
      <c r="T25" s="51">
        <f t="shared" si="4"/>
        <v>442750</v>
      </c>
      <c r="U25" s="51">
        <f t="shared" si="4"/>
        <v>191250</v>
      </c>
      <c r="V25" s="51">
        <f t="shared" si="4"/>
        <v>340784.375</v>
      </c>
      <c r="W25" s="51">
        <f t="shared" si="4"/>
        <v>316674.99999999994</v>
      </c>
      <c r="X25" s="51">
        <f t="shared" si="4"/>
        <v>379387.49999999994</v>
      </c>
      <c r="Y25" s="51">
        <f t="shared" si="4"/>
        <v>94812.499999999884</v>
      </c>
      <c r="Z25" s="51">
        <f t="shared" si="4"/>
        <v>231323.59374999988</v>
      </c>
      <c r="AA25" s="51">
        <f t="shared" si="4"/>
        <v>185508.74999999988</v>
      </c>
      <c r="AB25" s="51">
        <f t="shared" si="4"/>
        <v>230856.87499999988</v>
      </c>
      <c r="AC25" s="51">
        <f t="shared" si="4"/>
        <v>0</v>
      </c>
      <c r="AD25" s="51">
        <f t="shared" si="4"/>
        <v>34389.773437499825</v>
      </c>
      <c r="AE25" s="51">
        <f t="shared" si="4"/>
        <v>0</v>
      </c>
      <c r="AF25" s="51">
        <f t="shared" si="4"/>
        <v>0</v>
      </c>
      <c r="AG25" s="51">
        <f t="shared" si="4"/>
        <v>0</v>
      </c>
      <c r="AH25" s="51">
        <f t="shared" si="4"/>
        <v>0</v>
      </c>
      <c r="AI25" s="51">
        <f t="shared" si="4"/>
        <v>0</v>
      </c>
      <c r="AJ25" s="51">
        <f t="shared" si="4"/>
        <v>0</v>
      </c>
      <c r="AK25" s="51">
        <f t="shared" si="4"/>
        <v>0</v>
      </c>
    </row>
    <row r="26" spans="2:37">
      <c r="E26" s="40"/>
      <c r="F26" s="29"/>
      <c r="G26" s="40"/>
      <c r="H26" s="29"/>
      <c r="I26" s="2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</row>
    <row r="27" spans="2:37">
      <c r="E27" s="32" t="s">
        <v>84</v>
      </c>
      <c r="G27" s="32" t="s">
        <v>75</v>
      </c>
      <c r="I27" s="23"/>
      <c r="J27" s="32">
        <f>J19-J24</f>
        <v>0</v>
      </c>
      <c r="K27" s="32">
        <f>K19-K24</f>
        <v>0</v>
      </c>
      <c r="L27" s="32">
        <f t="shared" ref="L27:AK27" si="5">L19-L24</f>
        <v>0</v>
      </c>
      <c r="M27" s="32">
        <f t="shared" si="5"/>
        <v>0</v>
      </c>
      <c r="N27" s="32">
        <f t="shared" si="5"/>
        <v>0</v>
      </c>
      <c r="O27" s="32">
        <f t="shared" si="5"/>
        <v>0</v>
      </c>
      <c r="P27" s="32">
        <f t="shared" si="5"/>
        <v>0</v>
      </c>
      <c r="Q27" s="32">
        <f t="shared" si="5"/>
        <v>0</v>
      </c>
      <c r="R27" s="32">
        <f t="shared" si="5"/>
        <v>0</v>
      </c>
      <c r="S27" s="32">
        <f t="shared" si="5"/>
        <v>0</v>
      </c>
      <c r="T27" s="32">
        <f t="shared" si="5"/>
        <v>0</v>
      </c>
      <c r="U27" s="32">
        <f t="shared" si="5"/>
        <v>0</v>
      </c>
      <c r="V27" s="32">
        <f t="shared" si="5"/>
        <v>0</v>
      </c>
      <c r="W27" s="32">
        <f t="shared" si="5"/>
        <v>0</v>
      </c>
      <c r="X27" s="32">
        <f t="shared" si="5"/>
        <v>0</v>
      </c>
      <c r="Y27" s="32">
        <f t="shared" si="5"/>
        <v>0</v>
      </c>
      <c r="Z27" s="32">
        <f t="shared" si="5"/>
        <v>0</v>
      </c>
      <c r="AA27" s="32">
        <f t="shared" si="5"/>
        <v>0</v>
      </c>
      <c r="AB27" s="32">
        <f t="shared" si="5"/>
        <v>0</v>
      </c>
      <c r="AC27" s="32">
        <f t="shared" si="5"/>
        <v>88446.875000000116</v>
      </c>
      <c r="AD27" s="32">
        <f t="shared" si="5"/>
        <v>0</v>
      </c>
      <c r="AE27" s="32">
        <f t="shared" si="5"/>
        <v>34215.812500000233</v>
      </c>
      <c r="AF27" s="32">
        <f t="shared" si="5"/>
        <v>7100.281250000291</v>
      </c>
      <c r="AG27" s="32">
        <f t="shared" si="5"/>
        <v>362869.21875000047</v>
      </c>
      <c r="AH27" s="32">
        <f t="shared" si="5"/>
        <v>254390.73789062537</v>
      </c>
      <c r="AI27" s="32">
        <f t="shared" si="5"/>
        <v>346926.60312500037</v>
      </c>
      <c r="AJ27" s="32">
        <f t="shared" si="5"/>
        <v>338955.29531250033</v>
      </c>
      <c r="AK27" s="32">
        <f t="shared" si="5"/>
        <v>733012.67968750047</v>
      </c>
    </row>
    <row r="28" spans="2:37">
      <c r="E28" s="32" t="s">
        <v>83</v>
      </c>
      <c r="G28" s="32" t="s">
        <v>75</v>
      </c>
      <c r="J28" s="33">
        <v>0</v>
      </c>
      <c r="K28" s="32">
        <f>(1-CaseData!$E$15)*J27</f>
        <v>0</v>
      </c>
      <c r="L28" s="32">
        <f>(1-CaseData!$E$15)*K27</f>
        <v>0</v>
      </c>
      <c r="M28" s="32">
        <f>(1-CaseData!$E$15)*L27</f>
        <v>0</v>
      </c>
      <c r="N28" s="32">
        <f>(1-CaseData!$E$15)*M27</f>
        <v>0</v>
      </c>
      <c r="O28" s="32">
        <f>(1-CaseData!$E$15)*N27</f>
        <v>0</v>
      </c>
      <c r="P28" s="32">
        <f>(1-CaseData!$E$15)*O27</f>
        <v>0</v>
      </c>
      <c r="Q28" s="32">
        <f>(1-CaseData!$E$15)*P27</f>
        <v>0</v>
      </c>
      <c r="R28" s="32">
        <f>(1-CaseData!$E$15)*Q27</f>
        <v>0</v>
      </c>
      <c r="S28" s="32">
        <f>(1-CaseData!$E$15)*R27</f>
        <v>0</v>
      </c>
      <c r="T28" s="32">
        <f>(1-CaseData!$E$15)*S27</f>
        <v>0</v>
      </c>
      <c r="U28" s="32">
        <f>(1-CaseData!$E$15)*T27</f>
        <v>0</v>
      </c>
      <c r="V28" s="32">
        <f>(1-CaseData!$E$15)*U27</f>
        <v>0</v>
      </c>
      <c r="W28" s="32">
        <f>(1-CaseData!$E$15)*V27</f>
        <v>0</v>
      </c>
      <c r="X28" s="32">
        <f>(1-CaseData!$E$15)*W27</f>
        <v>0</v>
      </c>
      <c r="Y28" s="32">
        <f>(1-CaseData!$E$15)*X27</f>
        <v>0</v>
      </c>
      <c r="Z28" s="32">
        <f>(1-CaseData!$E$15)*Y27</f>
        <v>0</v>
      </c>
      <c r="AA28" s="32">
        <f>(1-CaseData!$E$15)*Z27</f>
        <v>0</v>
      </c>
      <c r="AB28" s="32">
        <f>(1-CaseData!$E$15)*AA27</f>
        <v>0</v>
      </c>
      <c r="AC28" s="32">
        <f>(1-CaseData!$E$15)*AB27</f>
        <v>0</v>
      </c>
      <c r="AD28" s="32">
        <f>(1-CaseData!$E$15)*AC27</f>
        <v>0</v>
      </c>
      <c r="AE28" s="32">
        <f>(1-CaseData!$E$15)*AD27</f>
        <v>0</v>
      </c>
      <c r="AF28" s="32">
        <f>(1-CaseData!$E$15)*AE27</f>
        <v>0</v>
      </c>
      <c r="AG28" s="32">
        <f>(1-CaseData!$E$15)*AF27</f>
        <v>0</v>
      </c>
      <c r="AH28" s="32">
        <f>(1-CaseData!$E$15)*AG27</f>
        <v>0</v>
      </c>
      <c r="AI28" s="32">
        <f>(1-CaseData!$E$15)*AH27</f>
        <v>0</v>
      </c>
      <c r="AJ28" s="32">
        <f>(1-CaseData!$E$15)*AI27</f>
        <v>0</v>
      </c>
      <c r="AK28" s="32">
        <f>(1-CaseData!$E$15)*AJ27</f>
        <v>0</v>
      </c>
    </row>
    <row r="30" spans="2:37">
      <c r="E30" s="30" t="str">
        <f>E$24</f>
        <v>Units sold</v>
      </c>
      <c r="F30" s="30"/>
      <c r="G30" s="30" t="s">
        <v>75</v>
      </c>
      <c r="H30" s="30"/>
      <c r="I30" s="30"/>
      <c r="J30" s="30">
        <f t="shared" ref="J30:AK30" si="6">J$24</f>
        <v>225000</v>
      </c>
      <c r="K30" s="30">
        <f t="shared" si="6"/>
        <v>375000</v>
      </c>
      <c r="L30" s="30">
        <f t="shared" si="6"/>
        <v>300000</v>
      </c>
      <c r="M30" s="30">
        <f t="shared" si="6"/>
        <v>600000</v>
      </c>
      <c r="N30" s="30">
        <f t="shared" si="6"/>
        <v>236250</v>
      </c>
      <c r="O30" s="30">
        <f t="shared" si="6"/>
        <v>393750</v>
      </c>
      <c r="P30" s="30">
        <f t="shared" si="6"/>
        <v>315000</v>
      </c>
      <c r="Q30" s="30">
        <f t="shared" si="6"/>
        <v>630000</v>
      </c>
      <c r="R30" s="30">
        <f t="shared" si="6"/>
        <v>248062.5</v>
      </c>
      <c r="S30" s="30">
        <f t="shared" si="6"/>
        <v>413437.5</v>
      </c>
      <c r="T30" s="30">
        <f t="shared" si="6"/>
        <v>330750</v>
      </c>
      <c r="U30" s="30">
        <f t="shared" si="6"/>
        <v>661500</v>
      </c>
      <c r="V30" s="30">
        <f t="shared" si="6"/>
        <v>260465.62500000003</v>
      </c>
      <c r="W30" s="30">
        <f t="shared" si="6"/>
        <v>434109.37500000006</v>
      </c>
      <c r="X30" s="30">
        <f t="shared" si="6"/>
        <v>347287.50000000006</v>
      </c>
      <c r="Y30" s="30">
        <f t="shared" si="6"/>
        <v>694575.00000000012</v>
      </c>
      <c r="Z30" s="30">
        <f t="shared" si="6"/>
        <v>273488.90625</v>
      </c>
      <c r="AA30" s="30">
        <f t="shared" si="6"/>
        <v>455814.84375</v>
      </c>
      <c r="AB30" s="30">
        <f t="shared" si="6"/>
        <v>364651.875</v>
      </c>
      <c r="AC30" s="30">
        <f t="shared" si="6"/>
        <v>640856.87499999988</v>
      </c>
      <c r="AD30" s="30">
        <f t="shared" si="6"/>
        <v>375610.22656250017</v>
      </c>
      <c r="AE30" s="30">
        <f t="shared" si="6"/>
        <v>444389.77343749983</v>
      </c>
      <c r="AF30" s="30">
        <f t="shared" si="6"/>
        <v>410000</v>
      </c>
      <c r="AG30" s="30">
        <f t="shared" si="6"/>
        <v>410000</v>
      </c>
      <c r="AH30" s="30">
        <f t="shared" si="6"/>
        <v>410000</v>
      </c>
      <c r="AI30" s="30">
        <f t="shared" si="6"/>
        <v>410000</v>
      </c>
      <c r="AJ30" s="30">
        <f t="shared" si="6"/>
        <v>410000</v>
      </c>
      <c r="AK30" s="30">
        <f t="shared" si="6"/>
        <v>410000</v>
      </c>
    </row>
    <row r="32" spans="2:37">
      <c r="B32" s="30" t="s">
        <v>85</v>
      </c>
    </row>
    <row r="34" spans="2:37">
      <c r="E34" t="s">
        <v>86</v>
      </c>
      <c r="G34" t="s">
        <v>87</v>
      </c>
      <c r="H34" t="s">
        <v>88</v>
      </c>
      <c r="J34" s="41" cm="1">
        <f t="array" ref="J34:AK34" xml:space="preserve"> _xlfn.LET(
      _xlpm.hourly_salary_rate,    CaseData!$E$18,
      _xlpm.year_on_year_pct,      CaseData!$F$18,
      _xlpm.period,_xlfn.ANCHORARRAY(                J11) - YEAR( start_date ),
      ROUND( IF( _xlpm.period = 0, _xlpm.hourly_salary_rate, _xlpm.hourly_salary_rate * ( 1 + _xlpm.year_on_year_pct ) ^ _xlpm.period ), 2 ) )</f>
        <v>27.75</v>
      </c>
      <c r="K34" s="41">
        <v>27.75</v>
      </c>
      <c r="L34" s="41">
        <v>27.75</v>
      </c>
      <c r="M34" s="41">
        <v>27.75</v>
      </c>
      <c r="N34" s="41">
        <v>29.69</v>
      </c>
      <c r="O34" s="41">
        <v>29.69</v>
      </c>
      <c r="P34" s="41">
        <v>29.69</v>
      </c>
      <c r="Q34" s="41">
        <v>29.69</v>
      </c>
      <c r="R34" s="41">
        <v>31.77</v>
      </c>
      <c r="S34" s="41">
        <v>31.77</v>
      </c>
      <c r="T34" s="41">
        <v>31.77</v>
      </c>
      <c r="U34" s="41">
        <v>31.77</v>
      </c>
      <c r="V34" s="41">
        <v>33.99</v>
      </c>
      <c r="W34" s="41">
        <v>33.99</v>
      </c>
      <c r="X34" s="41">
        <v>33.99</v>
      </c>
      <c r="Y34" s="41">
        <v>33.99</v>
      </c>
      <c r="Z34" s="41">
        <v>36.369999999999997</v>
      </c>
      <c r="AA34" s="41">
        <v>36.369999999999997</v>
      </c>
      <c r="AB34" s="41">
        <v>36.369999999999997</v>
      </c>
      <c r="AC34" s="41">
        <v>36.369999999999997</v>
      </c>
      <c r="AD34" s="41">
        <v>38.92</v>
      </c>
      <c r="AE34" s="41">
        <v>38.92</v>
      </c>
      <c r="AF34" s="41">
        <v>38.92</v>
      </c>
      <c r="AG34" s="41">
        <v>38.92</v>
      </c>
      <c r="AH34" s="41">
        <v>41.65</v>
      </c>
      <c r="AI34" s="41">
        <v>41.65</v>
      </c>
      <c r="AJ34" s="41">
        <v>41.65</v>
      </c>
      <c r="AK34" s="41">
        <v>41.65</v>
      </c>
    </row>
    <row r="35" spans="2:37">
      <c r="E35" t="s">
        <v>24</v>
      </c>
      <c r="G35" t="s">
        <v>89</v>
      </c>
      <c r="J35" s="42" cm="1">
        <f t="array" ref="J35:AK35" xml:space="preserve"> _xlfn.LET(
      _xlpm.production_time,       CaseData!$E$19,
      _xlpm.year_on_year_pct,      CaseData!$F$19,
      _xlpm.period,_xlfn.ANCHORARRAY(                J11) - YEAR( start_date ),
      IF( _xlpm.period = 0, _xlpm.production_time, _xlpm.production_time * ( 1 + _xlpm.year_on_year_pct ) ^ _xlpm.period ) )</f>
        <v>21.9</v>
      </c>
      <c r="K35" s="42">
        <v>21.9</v>
      </c>
      <c r="L35" s="42">
        <v>21.9</v>
      </c>
      <c r="M35" s="42">
        <v>21.9</v>
      </c>
      <c r="N35" s="42">
        <v>21.462</v>
      </c>
      <c r="O35" s="42">
        <v>21.462</v>
      </c>
      <c r="P35" s="42">
        <v>21.462</v>
      </c>
      <c r="Q35" s="42">
        <v>21.462</v>
      </c>
      <c r="R35" s="42">
        <v>21.032759999999996</v>
      </c>
      <c r="S35" s="42">
        <v>21.032759999999996</v>
      </c>
      <c r="T35" s="42">
        <v>21.032759999999996</v>
      </c>
      <c r="U35" s="42">
        <v>21.032759999999996</v>
      </c>
      <c r="V35" s="42">
        <v>20.612104799999997</v>
      </c>
      <c r="W35" s="42">
        <v>20.612104799999997</v>
      </c>
      <c r="X35" s="42">
        <v>20.612104799999997</v>
      </c>
      <c r="Y35" s="42">
        <v>20.612104799999997</v>
      </c>
      <c r="Z35" s="42">
        <v>20.199862703999997</v>
      </c>
      <c r="AA35" s="42">
        <v>20.199862703999997</v>
      </c>
      <c r="AB35" s="42">
        <v>20.199862703999997</v>
      </c>
      <c r="AC35" s="42">
        <v>20.199862703999997</v>
      </c>
      <c r="AD35" s="42">
        <v>19.795865449919994</v>
      </c>
      <c r="AE35" s="42">
        <v>19.795865449919994</v>
      </c>
      <c r="AF35" s="42">
        <v>19.795865449919994</v>
      </c>
      <c r="AG35" s="42">
        <v>19.795865449919994</v>
      </c>
      <c r="AH35" s="42">
        <v>19.399948140921595</v>
      </c>
      <c r="AI35" s="42">
        <v>19.399948140921595</v>
      </c>
      <c r="AJ35" s="42">
        <v>19.399948140921595</v>
      </c>
      <c r="AK35" s="42">
        <v>19.399948140921595</v>
      </c>
    </row>
    <row r="36" spans="2:37">
      <c r="E36" t="s">
        <v>27</v>
      </c>
      <c r="G36" t="s">
        <v>90</v>
      </c>
      <c r="J36" s="44" cm="1">
        <f t="array" ref="J36:AK36" xml:space="preserve"> _xlfn.LET(
      _xlpm.material_cost,         CaseData!$E$20,
      _xlpm.year_on_year_pct,      CaseData!$F$20,
      _xlpm.period,_xlfn.ANCHORARRAY(                J11) - YEAR( start_date ),
      IF( _xlpm.period = 0, _xlpm.material_cost, _xlpm.material_cost * ( 1 + _xlpm.year_on_year_pct ) ^ _xlpm.period ) )</f>
        <v>480</v>
      </c>
      <c r="K36" s="44">
        <v>480</v>
      </c>
      <c r="L36" s="44">
        <v>480</v>
      </c>
      <c r="M36" s="44">
        <v>480</v>
      </c>
      <c r="N36" s="44">
        <v>499.20000000000005</v>
      </c>
      <c r="O36" s="44">
        <v>499.20000000000005</v>
      </c>
      <c r="P36" s="44">
        <v>499.20000000000005</v>
      </c>
      <c r="Q36" s="44">
        <v>499.20000000000005</v>
      </c>
      <c r="R36" s="44">
        <v>519.16800000000001</v>
      </c>
      <c r="S36" s="44">
        <v>519.16800000000001</v>
      </c>
      <c r="T36" s="44">
        <v>519.16800000000001</v>
      </c>
      <c r="U36" s="44">
        <v>519.16800000000001</v>
      </c>
      <c r="V36" s="44">
        <v>539.93472000000008</v>
      </c>
      <c r="W36" s="44">
        <v>539.93472000000008</v>
      </c>
      <c r="X36" s="44">
        <v>539.93472000000008</v>
      </c>
      <c r="Y36" s="44">
        <v>539.93472000000008</v>
      </c>
      <c r="Z36" s="44">
        <v>561.53210880000006</v>
      </c>
      <c r="AA36" s="44">
        <v>561.53210880000006</v>
      </c>
      <c r="AB36" s="44">
        <v>561.53210880000006</v>
      </c>
      <c r="AC36" s="44">
        <v>561.53210880000006</v>
      </c>
      <c r="AD36" s="44">
        <v>583.99339315200018</v>
      </c>
      <c r="AE36" s="44">
        <v>583.99339315200018</v>
      </c>
      <c r="AF36" s="44">
        <v>583.99339315200018</v>
      </c>
      <c r="AG36" s="44">
        <v>583.99339315200018</v>
      </c>
      <c r="AH36" s="44">
        <v>607.35312887808016</v>
      </c>
      <c r="AI36" s="44">
        <v>607.35312887808016</v>
      </c>
      <c r="AJ36" s="44">
        <v>607.35312887808016</v>
      </c>
      <c r="AK36" s="44">
        <v>607.35312887808016</v>
      </c>
    </row>
    <row r="38" spans="2:37">
      <c r="E38" t="s">
        <v>21</v>
      </c>
      <c r="G38" t="s">
        <v>92</v>
      </c>
      <c r="J38" cm="1">
        <f t="array" ref="J38:AK38" xml:space="preserve"> _xlfn.LET(
      _xlpm.hourly_salary_rate,_xlfn.ANCHORARRAY(    J34),
      _xlpm.unit_production_time,_xlfn.ANCHORARRAY(  J35),
      _xlpm.production,_xlfn.ANCHORARRAY(            J22),
      _xlpm.hourly_salary_rate * _xlpm.unit_production_time * _xlpm.production / 1000 )</f>
        <v>249167.24999999997</v>
      </c>
      <c r="K38">
        <v>249167.24999999997</v>
      </c>
      <c r="L38">
        <v>249167.24999999997</v>
      </c>
      <c r="M38">
        <v>249167.24999999997</v>
      </c>
      <c r="N38">
        <v>261254.77979999999</v>
      </c>
      <c r="O38">
        <v>261254.77979999999</v>
      </c>
      <c r="P38">
        <v>261254.77979999999</v>
      </c>
      <c r="Q38">
        <v>261254.77979999999</v>
      </c>
      <c r="R38">
        <v>273966.42193199997</v>
      </c>
      <c r="S38">
        <v>273966.42193199997</v>
      </c>
      <c r="T38">
        <v>273966.42193199997</v>
      </c>
      <c r="U38">
        <v>273966.42193199997</v>
      </c>
      <c r="V38">
        <v>287248.23128231999</v>
      </c>
      <c r="W38">
        <v>287248.23128231999</v>
      </c>
      <c r="X38">
        <v>287248.23128231999</v>
      </c>
      <c r="Y38">
        <v>287248.23128231999</v>
      </c>
      <c r="Z38">
        <v>301214.29268323677</v>
      </c>
      <c r="AA38">
        <v>301214.29268323677</v>
      </c>
      <c r="AB38">
        <v>301214.29268323677</v>
      </c>
      <c r="AC38">
        <v>301214.29268323677</v>
      </c>
      <c r="AD38">
        <v>315886.58415746334</v>
      </c>
      <c r="AE38">
        <v>315886.58415746334</v>
      </c>
      <c r="AF38">
        <v>315886.58415746334</v>
      </c>
      <c r="AG38">
        <v>315886.58415746334</v>
      </c>
      <c r="AH38">
        <v>331283.21442844759</v>
      </c>
      <c r="AI38">
        <v>331283.21442844759</v>
      </c>
      <c r="AJ38">
        <v>331283.21442844759</v>
      </c>
      <c r="AK38">
        <v>331283.21442844759</v>
      </c>
    </row>
    <row r="39" spans="2:37">
      <c r="E39" t="s">
        <v>27</v>
      </c>
      <c r="G39" t="s">
        <v>92</v>
      </c>
      <c r="J39" cm="1">
        <f t="array" ref="J39:AK39" xml:space="preserve"> _xlfn.LET(
      _xlpm.production,_xlfn.ANCHORARRAY(     J22),
      _xlpm.material_costs,_xlfn.ANCHORARRAY( J36),
      _xlpm.production * _xlpm.material_costs / 1000 )</f>
        <v>196800</v>
      </c>
      <c r="K39">
        <v>196800</v>
      </c>
      <c r="L39">
        <v>196800</v>
      </c>
      <c r="M39">
        <v>196800</v>
      </c>
      <c r="N39">
        <v>204672.00000000003</v>
      </c>
      <c r="O39">
        <v>204672.00000000003</v>
      </c>
      <c r="P39">
        <v>204672.00000000003</v>
      </c>
      <c r="Q39">
        <v>204672.00000000003</v>
      </c>
      <c r="R39">
        <v>212858.88</v>
      </c>
      <c r="S39">
        <v>212858.88</v>
      </c>
      <c r="T39">
        <v>212858.88</v>
      </c>
      <c r="U39">
        <v>212858.88</v>
      </c>
      <c r="V39">
        <v>221373.23520000005</v>
      </c>
      <c r="W39">
        <v>221373.23520000005</v>
      </c>
      <c r="X39">
        <v>221373.23520000005</v>
      </c>
      <c r="Y39">
        <v>221373.23520000005</v>
      </c>
      <c r="Z39">
        <v>230228.16460800002</v>
      </c>
      <c r="AA39">
        <v>230228.16460800002</v>
      </c>
      <c r="AB39">
        <v>230228.16460800002</v>
      </c>
      <c r="AC39">
        <v>230228.16460800002</v>
      </c>
      <c r="AD39">
        <v>239437.29119232009</v>
      </c>
      <c r="AE39">
        <v>239437.29119232009</v>
      </c>
      <c r="AF39">
        <v>239437.29119232009</v>
      </c>
      <c r="AG39">
        <v>239437.29119232009</v>
      </c>
      <c r="AH39">
        <v>249014.78284001286</v>
      </c>
      <c r="AI39">
        <v>249014.78284001286</v>
      </c>
      <c r="AJ39">
        <v>249014.78284001286</v>
      </c>
      <c r="AK39">
        <v>249014.78284001286</v>
      </c>
    </row>
    <row r="40" spans="2:37">
      <c r="E40" s="48" t="s">
        <v>17</v>
      </c>
      <c r="F40" s="48"/>
      <c r="G40" s="48" t="s">
        <v>92</v>
      </c>
      <c r="H40" s="48"/>
      <c r="I40" s="48"/>
      <c r="J40" s="48" cm="1">
        <f t="array" ref="J40:AK40" xml:space="preserve"> _xlfn.BYCOL(_xlfn.ANCHORARRAY( J38):_xlfn.ANCHORARRAY(J39), _xleta.SUM )</f>
        <v>445967.25</v>
      </c>
      <c r="K40" s="48">
        <v>445967.25</v>
      </c>
      <c r="L40" s="48">
        <v>445967.25</v>
      </c>
      <c r="M40" s="48">
        <v>445967.25</v>
      </c>
      <c r="N40" s="48">
        <v>465926.77980000002</v>
      </c>
      <c r="O40" s="48">
        <v>465926.77980000002</v>
      </c>
      <c r="P40" s="48">
        <v>465926.77980000002</v>
      </c>
      <c r="Q40" s="48">
        <v>465926.77980000002</v>
      </c>
      <c r="R40" s="48">
        <v>486825.30193199997</v>
      </c>
      <c r="S40" s="48">
        <v>486825.30193199997</v>
      </c>
      <c r="T40" s="48">
        <v>486825.30193199997</v>
      </c>
      <c r="U40" s="48">
        <v>486825.30193199997</v>
      </c>
      <c r="V40" s="48">
        <v>508621.46648232004</v>
      </c>
      <c r="W40" s="48">
        <v>508621.46648232004</v>
      </c>
      <c r="X40" s="48">
        <v>508621.46648232004</v>
      </c>
      <c r="Y40" s="48">
        <v>508621.46648232004</v>
      </c>
      <c r="Z40" s="48">
        <v>531442.45729123685</v>
      </c>
      <c r="AA40" s="48">
        <v>531442.45729123685</v>
      </c>
      <c r="AB40" s="48">
        <v>531442.45729123685</v>
      </c>
      <c r="AC40" s="48">
        <v>531442.45729123685</v>
      </c>
      <c r="AD40" s="48">
        <v>555323.87534978346</v>
      </c>
      <c r="AE40" s="48">
        <v>555323.87534978346</v>
      </c>
      <c r="AF40" s="48">
        <v>555323.87534978346</v>
      </c>
      <c r="AG40" s="48">
        <v>555323.87534978346</v>
      </c>
      <c r="AH40" s="48">
        <v>580297.99726846046</v>
      </c>
      <c r="AI40" s="48">
        <v>580297.99726846046</v>
      </c>
      <c r="AJ40" s="48">
        <v>580297.99726846046</v>
      </c>
      <c r="AK40" s="48">
        <v>580297.99726846046</v>
      </c>
    </row>
    <row r="42" spans="2:37">
      <c r="E42" t="s">
        <v>109</v>
      </c>
      <c r="G42" t="s">
        <v>91</v>
      </c>
      <c r="J42" s="54" cm="1">
        <f t="array" ref="J42:AK42" xml:space="preserve"> _xlfn.LET(
      _xlpm.production,_xlfn.ANCHORARRAY(  J22),
      _xlpm.costs,_xlfn.ANCHORARRAY(       J40),
      _xlpm.costs / _xlpm.production * 1000 )</f>
        <v>1087.7250000000001</v>
      </c>
      <c r="K42" s="54">
        <v>1087.7250000000001</v>
      </c>
      <c r="L42" s="54">
        <v>1087.7250000000001</v>
      </c>
      <c r="M42" s="54">
        <v>1087.7250000000001</v>
      </c>
      <c r="N42" s="54">
        <v>1136.40678</v>
      </c>
      <c r="O42" s="54">
        <v>1136.40678</v>
      </c>
      <c r="P42" s="54">
        <v>1136.40678</v>
      </c>
      <c r="Q42" s="54">
        <v>1136.40678</v>
      </c>
      <c r="R42" s="54">
        <v>1187.3787852</v>
      </c>
      <c r="S42" s="54">
        <v>1187.3787852</v>
      </c>
      <c r="T42" s="54">
        <v>1187.3787852</v>
      </c>
      <c r="U42" s="54">
        <v>1187.3787852</v>
      </c>
      <c r="V42" s="54">
        <v>1240.540162152</v>
      </c>
      <c r="W42" s="54">
        <v>1240.540162152</v>
      </c>
      <c r="X42" s="54">
        <v>1240.540162152</v>
      </c>
      <c r="Y42" s="54">
        <v>1240.540162152</v>
      </c>
      <c r="Z42" s="54">
        <v>1296.2011153444801</v>
      </c>
      <c r="AA42" s="54">
        <v>1296.2011153444801</v>
      </c>
      <c r="AB42" s="54">
        <v>1296.2011153444801</v>
      </c>
      <c r="AC42" s="54">
        <v>1296.2011153444801</v>
      </c>
      <c r="AD42" s="54">
        <v>1354.4484764628867</v>
      </c>
      <c r="AE42" s="54">
        <v>1354.4484764628867</v>
      </c>
      <c r="AF42" s="54">
        <v>1354.4484764628867</v>
      </c>
      <c r="AG42" s="54">
        <v>1354.4484764628867</v>
      </c>
      <c r="AH42" s="54">
        <v>1415.3609689474645</v>
      </c>
      <c r="AI42" s="54">
        <v>1415.3609689474645</v>
      </c>
      <c r="AJ42" s="54">
        <v>1415.3609689474645</v>
      </c>
      <c r="AK42" s="54">
        <v>1415.3609689474645</v>
      </c>
    </row>
    <row r="43" spans="2:37" ht="14.4">
      <c r="E43" s="46" t="s">
        <v>93</v>
      </c>
      <c r="G43" t="s">
        <v>91</v>
      </c>
      <c r="J43" s="47" cm="1">
        <f t="array" ref="J43:AK43" xml:space="preserve"> _xlfn.LET(
      _xlpm.hourly_salary_rate,_xlfn.ANCHORARRAY(    J34),
      _xlpm.production_time,_xlfn.ANCHORARRAY(       J35),
      _xlpm.material_cost,_xlfn.ANCHORARRAY(         J36),
      _xlpm.cost_per_unit,_xlfn.ANCHORARRAY(         J42),
      ROUNDDOWN( _xlpm.cost_per_unit - ( (_xlpm.hourly_salary_rate * _xlpm.production_time ) + _xlpm.material_cost ), 2 ) )</f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</row>
    <row r="45" spans="2:37">
      <c r="B45" s="30" t="s">
        <v>72</v>
      </c>
    </row>
    <row r="47" spans="2:37">
      <c r="E47" t="s">
        <v>95</v>
      </c>
      <c r="G47" t="s">
        <v>91</v>
      </c>
      <c r="J47" cm="1">
        <f t="array" ref="J47:AK47" xml:space="preserve"> _xlfn.LET(
      _xlpm.cost_per_unit,_xlfn.ANCHORARRAY(     J42),
      _xlpm.mark_up,           CaseData!$E$23,
      _xlpm.year_on_year_pct,  CaseData!$E$24,
      _xlpm.period,_xlfn.ANCHORARRAY(            $J$11) - YEAR( start_date ),
      _xlpm.growth_rate,        1 + ( _xlpm.mark_up + ( _xlpm.year_on_year_pct * _xlpm.period ) ),
      ROUND( _xlpm.cost_per_unit * _xlpm.growth_rate, 2 ) )</f>
        <v>1414.04</v>
      </c>
      <c r="K47">
        <v>1414.04</v>
      </c>
      <c r="L47">
        <v>1414.04</v>
      </c>
      <c r="M47">
        <v>1414.04</v>
      </c>
      <c r="N47">
        <v>1471.65</v>
      </c>
      <c r="O47">
        <v>1471.65</v>
      </c>
      <c r="P47">
        <v>1471.65</v>
      </c>
      <c r="Q47">
        <v>1471.65</v>
      </c>
      <c r="R47">
        <v>1531.72</v>
      </c>
      <c r="S47">
        <v>1531.72</v>
      </c>
      <c r="T47">
        <v>1531.72</v>
      </c>
      <c r="U47">
        <v>1531.72</v>
      </c>
      <c r="V47">
        <v>1594.09</v>
      </c>
      <c r="W47">
        <v>1594.09</v>
      </c>
      <c r="X47">
        <v>1594.09</v>
      </c>
      <c r="Y47">
        <v>1594.09</v>
      </c>
      <c r="Z47">
        <v>1659.14</v>
      </c>
      <c r="AA47">
        <v>1659.14</v>
      </c>
      <c r="AB47">
        <v>1659.14</v>
      </c>
      <c r="AC47">
        <v>1659.14</v>
      </c>
      <c r="AD47">
        <v>1726.92</v>
      </c>
      <c r="AE47">
        <v>1726.92</v>
      </c>
      <c r="AF47">
        <v>1726.92</v>
      </c>
      <c r="AG47">
        <v>1726.92</v>
      </c>
      <c r="AH47">
        <v>1797.51</v>
      </c>
      <c r="AI47">
        <v>1797.51</v>
      </c>
      <c r="AJ47">
        <v>1797.51</v>
      </c>
      <c r="AK47">
        <v>1797.51</v>
      </c>
    </row>
    <row r="48" spans="2:37">
      <c r="E48" t="str">
        <f>E$24</f>
        <v>Units sold</v>
      </c>
      <c r="G48" t="s">
        <v>75</v>
      </c>
      <c r="J48">
        <f t="shared" ref="J48:AK48" si="7">J$24</f>
        <v>225000</v>
      </c>
      <c r="K48">
        <f t="shared" si="7"/>
        <v>375000</v>
      </c>
      <c r="L48">
        <f t="shared" si="7"/>
        <v>300000</v>
      </c>
      <c r="M48">
        <f t="shared" si="7"/>
        <v>600000</v>
      </c>
      <c r="N48">
        <f t="shared" si="7"/>
        <v>236250</v>
      </c>
      <c r="O48">
        <f t="shared" si="7"/>
        <v>393750</v>
      </c>
      <c r="P48">
        <f t="shared" si="7"/>
        <v>315000</v>
      </c>
      <c r="Q48">
        <f t="shared" si="7"/>
        <v>630000</v>
      </c>
      <c r="R48">
        <f t="shared" si="7"/>
        <v>248062.5</v>
      </c>
      <c r="S48">
        <f t="shared" si="7"/>
        <v>413437.5</v>
      </c>
      <c r="T48">
        <f t="shared" si="7"/>
        <v>330750</v>
      </c>
      <c r="U48">
        <f t="shared" si="7"/>
        <v>661500</v>
      </c>
      <c r="V48">
        <f t="shared" si="7"/>
        <v>260465.62500000003</v>
      </c>
      <c r="W48">
        <f t="shared" si="7"/>
        <v>434109.37500000006</v>
      </c>
      <c r="X48">
        <f t="shared" si="7"/>
        <v>347287.50000000006</v>
      </c>
      <c r="Y48">
        <f t="shared" si="7"/>
        <v>694575.00000000012</v>
      </c>
      <c r="Z48">
        <f t="shared" si="7"/>
        <v>273488.90625</v>
      </c>
      <c r="AA48">
        <f t="shared" si="7"/>
        <v>455814.84375</v>
      </c>
      <c r="AB48">
        <f t="shared" si="7"/>
        <v>364651.875</v>
      </c>
      <c r="AC48">
        <f t="shared" si="7"/>
        <v>640856.87499999988</v>
      </c>
      <c r="AD48">
        <f t="shared" si="7"/>
        <v>375610.22656250017</v>
      </c>
      <c r="AE48">
        <f t="shared" si="7"/>
        <v>444389.77343749983</v>
      </c>
      <c r="AF48">
        <f t="shared" si="7"/>
        <v>410000</v>
      </c>
      <c r="AG48">
        <f t="shared" si="7"/>
        <v>410000</v>
      </c>
      <c r="AH48">
        <f t="shared" si="7"/>
        <v>410000</v>
      </c>
      <c r="AI48">
        <f t="shared" si="7"/>
        <v>410000</v>
      </c>
      <c r="AJ48">
        <f t="shared" si="7"/>
        <v>410000</v>
      </c>
      <c r="AK48">
        <f t="shared" si="7"/>
        <v>410000</v>
      </c>
    </row>
    <row r="49" spans="2:37">
      <c r="E49" s="48" t="s">
        <v>72</v>
      </c>
      <c r="F49" s="48"/>
      <c r="G49" s="48" t="s">
        <v>92</v>
      </c>
      <c r="H49" s="48"/>
      <c r="I49" s="48"/>
      <c r="J49" s="48" cm="1">
        <f t="array" ref="J49:AK49">_xlfn.ANCHORARRAY( J47) * $J$48:$AK$48 / 1000</f>
        <v>318159</v>
      </c>
      <c r="K49" s="48">
        <v>530265</v>
      </c>
      <c r="L49" s="48">
        <v>424212</v>
      </c>
      <c r="M49" s="48">
        <v>848424</v>
      </c>
      <c r="N49" s="48">
        <v>347677.3125</v>
      </c>
      <c r="O49" s="48">
        <v>579462.1875</v>
      </c>
      <c r="P49" s="48">
        <v>463569.75</v>
      </c>
      <c r="Q49" s="48">
        <v>927139.5</v>
      </c>
      <c r="R49" s="48">
        <v>379962.29249999998</v>
      </c>
      <c r="S49" s="48">
        <v>633270.48750000005</v>
      </c>
      <c r="T49" s="48">
        <v>506616.39</v>
      </c>
      <c r="U49" s="48">
        <v>1013232.78</v>
      </c>
      <c r="V49" s="48">
        <v>415205.64815625001</v>
      </c>
      <c r="W49" s="48">
        <v>692009.41359374998</v>
      </c>
      <c r="X49" s="48">
        <v>553607.53087500017</v>
      </c>
      <c r="Y49" s="48">
        <v>1107215.0617500003</v>
      </c>
      <c r="Z49" s="48">
        <v>453756.38391562505</v>
      </c>
      <c r="AA49" s="48">
        <v>756260.63985937496</v>
      </c>
      <c r="AB49" s="48">
        <v>605008.51188750006</v>
      </c>
      <c r="AC49" s="48">
        <v>1063271.2755874998</v>
      </c>
      <c r="AD49" s="48">
        <v>648648.81245531281</v>
      </c>
      <c r="AE49" s="48">
        <v>767425.58754468733</v>
      </c>
      <c r="AF49" s="48">
        <v>708037.2</v>
      </c>
      <c r="AG49" s="48">
        <v>708037.2</v>
      </c>
      <c r="AH49" s="48">
        <v>736979.1</v>
      </c>
      <c r="AI49" s="48">
        <v>736979.1</v>
      </c>
      <c r="AJ49" s="48">
        <v>736979.1</v>
      </c>
      <c r="AK49" s="48">
        <v>736979.1</v>
      </c>
    </row>
    <row r="52" spans="2:37" s="23" customFormat="1">
      <c r="B52" s="24" t="s">
        <v>96</v>
      </c>
    </row>
    <row r="54" spans="2:37">
      <c r="B54" s="30" t="s">
        <v>97</v>
      </c>
    </row>
    <row r="55" spans="2:37">
      <c r="D55" s="30"/>
    </row>
    <row r="56" spans="2:37">
      <c r="E56" t="s">
        <v>6</v>
      </c>
      <c r="G56" t="s">
        <v>75</v>
      </c>
      <c r="J56" cm="1">
        <f t="array" ref="J56:AK56">_xlfn.ANCHORARRAY( J22)</f>
        <v>410000</v>
      </c>
      <c r="K56">
        <v>410000</v>
      </c>
      <c r="L56">
        <v>410000</v>
      </c>
      <c r="M56">
        <v>410000</v>
      </c>
      <c r="N56">
        <v>410000</v>
      </c>
      <c r="O56">
        <v>410000</v>
      </c>
      <c r="P56">
        <v>410000</v>
      </c>
      <c r="Q56">
        <v>410000</v>
      </c>
      <c r="R56">
        <v>410000</v>
      </c>
      <c r="S56">
        <v>410000</v>
      </c>
      <c r="T56">
        <v>410000</v>
      </c>
      <c r="U56">
        <v>410000</v>
      </c>
      <c r="V56">
        <v>410000</v>
      </c>
      <c r="W56">
        <v>410000</v>
      </c>
      <c r="X56">
        <v>410000</v>
      </c>
      <c r="Y56">
        <v>410000</v>
      </c>
      <c r="Z56">
        <v>410000</v>
      </c>
      <c r="AA56">
        <v>410000</v>
      </c>
      <c r="AB56">
        <v>410000</v>
      </c>
      <c r="AC56">
        <v>410000</v>
      </c>
      <c r="AD56">
        <v>410000</v>
      </c>
      <c r="AE56">
        <v>410000</v>
      </c>
      <c r="AF56">
        <v>410000</v>
      </c>
      <c r="AG56">
        <v>410000</v>
      </c>
      <c r="AH56">
        <v>410000</v>
      </c>
      <c r="AI56">
        <v>410000</v>
      </c>
      <c r="AJ56">
        <v>410000</v>
      </c>
      <c r="AK56">
        <v>410000</v>
      </c>
    </row>
    <row r="57" spans="2:37">
      <c r="E57" t="s">
        <v>78</v>
      </c>
      <c r="G57" t="s">
        <v>75</v>
      </c>
      <c r="J57">
        <f>J$30</f>
        <v>225000</v>
      </c>
      <c r="K57">
        <f t="shared" ref="K57:AK57" si="8">K$30</f>
        <v>375000</v>
      </c>
      <c r="L57">
        <f t="shared" si="8"/>
        <v>300000</v>
      </c>
      <c r="M57">
        <f t="shared" si="8"/>
        <v>600000</v>
      </c>
      <c r="N57">
        <f t="shared" si="8"/>
        <v>236250</v>
      </c>
      <c r="O57">
        <f t="shared" si="8"/>
        <v>393750</v>
      </c>
      <c r="P57">
        <f t="shared" si="8"/>
        <v>315000</v>
      </c>
      <c r="Q57">
        <f t="shared" si="8"/>
        <v>630000</v>
      </c>
      <c r="R57">
        <f t="shared" si="8"/>
        <v>248062.5</v>
      </c>
      <c r="S57">
        <f t="shared" si="8"/>
        <v>413437.5</v>
      </c>
      <c r="T57">
        <f t="shared" si="8"/>
        <v>330750</v>
      </c>
      <c r="U57">
        <f t="shared" si="8"/>
        <v>661500</v>
      </c>
      <c r="V57">
        <f t="shared" si="8"/>
        <v>260465.62500000003</v>
      </c>
      <c r="W57">
        <f t="shared" si="8"/>
        <v>434109.37500000006</v>
      </c>
      <c r="X57">
        <f t="shared" si="8"/>
        <v>347287.50000000006</v>
      </c>
      <c r="Y57">
        <f t="shared" si="8"/>
        <v>694575.00000000012</v>
      </c>
      <c r="Z57">
        <f t="shared" si="8"/>
        <v>273488.90625</v>
      </c>
      <c r="AA57">
        <f t="shared" si="8"/>
        <v>455814.84375</v>
      </c>
      <c r="AB57">
        <f t="shared" si="8"/>
        <v>364651.875</v>
      </c>
      <c r="AC57">
        <f t="shared" si="8"/>
        <v>640856.87499999988</v>
      </c>
      <c r="AD57">
        <f t="shared" si="8"/>
        <v>375610.22656250017</v>
      </c>
      <c r="AE57">
        <f t="shared" si="8"/>
        <v>444389.77343749983</v>
      </c>
      <c r="AF57">
        <f t="shared" si="8"/>
        <v>410000</v>
      </c>
      <c r="AG57">
        <f t="shared" si="8"/>
        <v>410000</v>
      </c>
      <c r="AH57">
        <f t="shared" si="8"/>
        <v>410000</v>
      </c>
      <c r="AI57">
        <f t="shared" si="8"/>
        <v>410000</v>
      </c>
      <c r="AJ57">
        <f t="shared" si="8"/>
        <v>410000</v>
      </c>
      <c r="AK57">
        <f t="shared" si="8"/>
        <v>410000</v>
      </c>
    </row>
    <row r="58" spans="2:37">
      <c r="E58" t="s">
        <v>98</v>
      </c>
      <c r="G58" t="s">
        <v>75</v>
      </c>
      <c r="J58">
        <f>J$21</f>
        <v>0</v>
      </c>
      <c r="K58">
        <f t="shared" ref="K58:AK58" si="9">K$21</f>
        <v>185000</v>
      </c>
      <c r="L58">
        <f t="shared" si="9"/>
        <v>220000</v>
      </c>
      <c r="M58">
        <f t="shared" si="9"/>
        <v>330000</v>
      </c>
      <c r="N58">
        <f t="shared" si="9"/>
        <v>140000</v>
      </c>
      <c r="O58">
        <f t="shared" si="9"/>
        <v>313750</v>
      </c>
      <c r="P58">
        <f t="shared" si="9"/>
        <v>330000</v>
      </c>
      <c r="Q58">
        <f t="shared" si="9"/>
        <v>425000</v>
      </c>
      <c r="R58">
        <f t="shared" si="9"/>
        <v>205000</v>
      </c>
      <c r="S58">
        <f t="shared" si="9"/>
        <v>366937.5</v>
      </c>
      <c r="T58">
        <f t="shared" si="9"/>
        <v>363500</v>
      </c>
      <c r="U58">
        <f t="shared" si="9"/>
        <v>442750</v>
      </c>
      <c r="V58">
        <f t="shared" si="9"/>
        <v>191250</v>
      </c>
      <c r="W58">
        <f t="shared" si="9"/>
        <v>340784.375</v>
      </c>
      <c r="X58">
        <f t="shared" si="9"/>
        <v>316674.99999999994</v>
      </c>
      <c r="Y58">
        <f t="shared" si="9"/>
        <v>379387.49999999994</v>
      </c>
      <c r="Z58">
        <f t="shared" si="9"/>
        <v>94812.499999999884</v>
      </c>
      <c r="AA58">
        <f t="shared" si="9"/>
        <v>231323.59374999988</v>
      </c>
      <c r="AB58">
        <f t="shared" si="9"/>
        <v>185508.74999999988</v>
      </c>
      <c r="AC58">
        <f t="shared" si="9"/>
        <v>230856.87499999988</v>
      </c>
      <c r="AD58">
        <f t="shared" si="9"/>
        <v>0</v>
      </c>
      <c r="AE58">
        <f t="shared" si="9"/>
        <v>34389.773437499825</v>
      </c>
      <c r="AF58">
        <f t="shared" si="9"/>
        <v>0</v>
      </c>
      <c r="AG58">
        <f t="shared" si="9"/>
        <v>0</v>
      </c>
      <c r="AH58">
        <f t="shared" si="9"/>
        <v>0</v>
      </c>
      <c r="AI58">
        <f t="shared" si="9"/>
        <v>0</v>
      </c>
      <c r="AJ58">
        <f t="shared" si="9"/>
        <v>0</v>
      </c>
      <c r="AK58">
        <f t="shared" si="9"/>
        <v>0</v>
      </c>
    </row>
    <row r="60" spans="2:37">
      <c r="E60" t="s">
        <v>99</v>
      </c>
      <c r="G60" t="s">
        <v>75</v>
      </c>
      <c r="J60" cm="1">
        <f t="array" ref="J60:AK60" xml:space="preserve"> _xlfn.LET(
      _xlpm.units_sold,                  $J$57:$AK$57,
      _xlpm.inventory_beginning_balance, $J$58:$AK$58,
      _xlpm.period,_xlfn.ANCHORARRAY(                      J11) - YEAR( start_date ),
      IF( _xlpm.inventory_beginning_balance &lt; _xlpm.units_sold,
           _xlpm.inventory_beginning_balance,
           _xlpm.units_sold ) )</f>
        <v>0</v>
      </c>
      <c r="K60">
        <v>185000</v>
      </c>
      <c r="L60">
        <v>220000</v>
      </c>
      <c r="M60">
        <v>330000</v>
      </c>
      <c r="N60">
        <v>140000</v>
      </c>
      <c r="O60">
        <v>313750</v>
      </c>
      <c r="P60">
        <v>315000</v>
      </c>
      <c r="Q60">
        <v>425000</v>
      </c>
      <c r="R60">
        <v>205000</v>
      </c>
      <c r="S60">
        <v>366937.5</v>
      </c>
      <c r="T60">
        <v>330750</v>
      </c>
      <c r="U60">
        <v>442750</v>
      </c>
      <c r="V60">
        <v>191250</v>
      </c>
      <c r="W60">
        <v>340784.375</v>
      </c>
      <c r="X60">
        <v>316674.99999999994</v>
      </c>
      <c r="Y60">
        <v>379387.49999999994</v>
      </c>
      <c r="Z60">
        <v>94812.499999999884</v>
      </c>
      <c r="AA60">
        <v>231323.59374999988</v>
      </c>
      <c r="AB60">
        <v>185508.74999999988</v>
      </c>
      <c r="AC60">
        <v>230856.87499999988</v>
      </c>
      <c r="AD60">
        <v>0</v>
      </c>
      <c r="AE60">
        <v>34389.773437499825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2:37">
      <c r="E61" t="s">
        <v>100</v>
      </c>
      <c r="G61" t="s">
        <v>75</v>
      </c>
      <c r="J61" cm="1">
        <f t="array" ref="J61:AK61" xml:space="preserve"> _xlfn.LET(
      _xlpm.units_sold,     $J$57:$AK$57,
      _xlpm.units_sold_from_inventory,_xlfn.ANCHORARRAY( J60),
      _xlpm.units_sold - _xlpm.units_sold_from_inventory )</f>
        <v>225000</v>
      </c>
      <c r="K61">
        <v>190000</v>
      </c>
      <c r="L61">
        <v>80000</v>
      </c>
      <c r="M61">
        <v>270000</v>
      </c>
      <c r="N61">
        <v>96250</v>
      </c>
      <c r="O61">
        <v>80000</v>
      </c>
      <c r="P61">
        <v>0</v>
      </c>
      <c r="Q61">
        <v>205000</v>
      </c>
      <c r="R61">
        <v>43062.5</v>
      </c>
      <c r="S61">
        <v>46500</v>
      </c>
      <c r="T61">
        <v>0</v>
      </c>
      <c r="U61">
        <v>218750</v>
      </c>
      <c r="V61">
        <v>69215.625000000029</v>
      </c>
      <c r="W61">
        <v>93325.000000000058</v>
      </c>
      <c r="X61">
        <v>30612.500000000116</v>
      </c>
      <c r="Y61">
        <v>315187.50000000017</v>
      </c>
      <c r="Z61">
        <v>178676.40625000012</v>
      </c>
      <c r="AA61">
        <v>224491.25000000012</v>
      </c>
      <c r="AB61">
        <v>179143.12500000012</v>
      </c>
      <c r="AC61">
        <v>410000</v>
      </c>
      <c r="AD61">
        <v>375610.22656250017</v>
      </c>
      <c r="AE61">
        <v>410000</v>
      </c>
      <c r="AF61">
        <v>410000</v>
      </c>
      <c r="AG61">
        <v>410000</v>
      </c>
      <c r="AH61">
        <v>410000</v>
      </c>
      <c r="AI61">
        <v>410000</v>
      </c>
      <c r="AJ61">
        <v>410000</v>
      </c>
      <c r="AK61">
        <v>410000</v>
      </c>
    </row>
    <row r="62" spans="2:37">
      <c r="E62" s="31" t="s">
        <v>97</v>
      </c>
      <c r="F62" s="31"/>
      <c r="G62" s="31" t="s">
        <v>75</v>
      </c>
      <c r="H62" s="31"/>
      <c r="I62" s="31"/>
      <c r="J62" s="31" cm="1">
        <f t="array" ref="J62:AK62" xml:space="preserve"> _xlfn.BYCOL( $J$60:$AK$61, _xleta.SUM )</f>
        <v>225000</v>
      </c>
      <c r="K62" s="31">
        <v>375000</v>
      </c>
      <c r="L62" s="31">
        <v>300000</v>
      </c>
      <c r="M62" s="31">
        <v>600000</v>
      </c>
      <c r="N62" s="31">
        <v>236250</v>
      </c>
      <c r="O62" s="31">
        <v>393750</v>
      </c>
      <c r="P62" s="31">
        <v>315000</v>
      </c>
      <c r="Q62" s="31">
        <v>630000</v>
      </c>
      <c r="R62" s="31">
        <v>248062.5</v>
      </c>
      <c r="S62" s="31">
        <v>413437.5</v>
      </c>
      <c r="T62" s="31">
        <v>330750</v>
      </c>
      <c r="U62" s="31">
        <v>661500</v>
      </c>
      <c r="V62" s="31">
        <v>260465.62500000003</v>
      </c>
      <c r="W62" s="31">
        <v>434109.37500000006</v>
      </c>
      <c r="X62" s="31">
        <v>347287.50000000006</v>
      </c>
      <c r="Y62" s="31">
        <v>694575.00000000012</v>
      </c>
      <c r="Z62" s="31">
        <v>273488.90625</v>
      </c>
      <c r="AA62" s="31">
        <v>455814.84375</v>
      </c>
      <c r="AB62" s="31">
        <v>364651.875</v>
      </c>
      <c r="AC62" s="31">
        <v>640856.87499999988</v>
      </c>
      <c r="AD62" s="31">
        <v>375610.22656250017</v>
      </c>
      <c r="AE62" s="31">
        <v>444389.77343749983</v>
      </c>
      <c r="AF62" s="31">
        <v>410000</v>
      </c>
      <c r="AG62" s="31">
        <v>410000</v>
      </c>
      <c r="AH62" s="31">
        <v>410000</v>
      </c>
      <c r="AI62" s="31">
        <v>410000</v>
      </c>
      <c r="AJ62" s="31">
        <v>410000</v>
      </c>
      <c r="AK62" s="31">
        <v>410000</v>
      </c>
    </row>
    <row r="65" spans="2:37">
      <c r="B65" s="30" t="s">
        <v>101</v>
      </c>
    </row>
    <row r="67" spans="2:37">
      <c r="E67" t="s">
        <v>94</v>
      </c>
      <c r="G67" t="s">
        <v>91</v>
      </c>
      <c r="J67" s="43" cm="1">
        <f t="array" ref="J67:AK67">_xlfn.ANCHORARRAY( J42)</f>
        <v>1087.7250000000001</v>
      </c>
      <c r="K67" s="43">
        <v>1087.7250000000001</v>
      </c>
      <c r="L67" s="43">
        <v>1087.7250000000001</v>
      </c>
      <c r="M67" s="43">
        <v>1087.7250000000001</v>
      </c>
      <c r="N67" s="43">
        <v>1136.40678</v>
      </c>
      <c r="O67" s="43">
        <v>1136.40678</v>
      </c>
      <c r="P67" s="43">
        <v>1136.40678</v>
      </c>
      <c r="Q67" s="43">
        <v>1136.40678</v>
      </c>
      <c r="R67" s="43">
        <v>1187.3787852</v>
      </c>
      <c r="S67" s="43">
        <v>1187.3787852</v>
      </c>
      <c r="T67" s="43">
        <v>1187.3787852</v>
      </c>
      <c r="U67" s="43">
        <v>1187.3787852</v>
      </c>
      <c r="V67" s="43">
        <v>1240.540162152</v>
      </c>
      <c r="W67" s="43">
        <v>1240.540162152</v>
      </c>
      <c r="X67" s="43">
        <v>1240.540162152</v>
      </c>
      <c r="Y67" s="43">
        <v>1240.540162152</v>
      </c>
      <c r="Z67" s="43">
        <v>1296.2011153444801</v>
      </c>
      <c r="AA67" s="43">
        <v>1296.2011153444801</v>
      </c>
      <c r="AB67" s="43">
        <v>1296.2011153444801</v>
      </c>
      <c r="AC67" s="43">
        <v>1296.2011153444801</v>
      </c>
      <c r="AD67" s="43">
        <v>1354.4484764628867</v>
      </c>
      <c r="AE67" s="43">
        <v>1354.4484764628867</v>
      </c>
      <c r="AF67" s="43">
        <v>1354.4484764628867</v>
      </c>
      <c r="AG67" s="43">
        <v>1354.4484764628867</v>
      </c>
      <c r="AH67" s="43">
        <v>1415.3609689474645</v>
      </c>
      <c r="AI67" s="43">
        <v>1415.3609689474645</v>
      </c>
      <c r="AJ67" s="43">
        <v>1415.3609689474645</v>
      </c>
      <c r="AK67" s="43">
        <v>1415.3609689474645</v>
      </c>
    </row>
    <row r="68" spans="2:37">
      <c r="E68" t="s">
        <v>100</v>
      </c>
      <c r="G68" t="s">
        <v>75</v>
      </c>
      <c r="J68" cm="1">
        <f t="array" ref="J68:AK68">_xlfn.ANCHORARRAY( J61)</f>
        <v>225000</v>
      </c>
      <c r="K68">
        <v>190000</v>
      </c>
      <c r="L68">
        <v>80000</v>
      </c>
      <c r="M68">
        <v>270000</v>
      </c>
      <c r="N68">
        <v>96250</v>
      </c>
      <c r="O68">
        <v>80000</v>
      </c>
      <c r="P68">
        <v>0</v>
      </c>
      <c r="Q68">
        <v>205000</v>
      </c>
      <c r="R68">
        <v>43062.5</v>
      </c>
      <c r="S68">
        <v>46500</v>
      </c>
      <c r="T68">
        <v>0</v>
      </c>
      <c r="U68">
        <v>218750</v>
      </c>
      <c r="V68">
        <v>69215.625000000029</v>
      </c>
      <c r="W68">
        <v>93325.000000000058</v>
      </c>
      <c r="X68">
        <v>30612.500000000116</v>
      </c>
      <c r="Y68">
        <v>315187.50000000017</v>
      </c>
      <c r="Z68">
        <v>178676.40625000012</v>
      </c>
      <c r="AA68">
        <v>224491.25000000012</v>
      </c>
      <c r="AB68">
        <v>179143.12500000012</v>
      </c>
      <c r="AC68">
        <v>410000</v>
      </c>
      <c r="AD68">
        <v>375610.22656250017</v>
      </c>
      <c r="AE68">
        <v>410000</v>
      </c>
      <c r="AF68">
        <v>410000</v>
      </c>
      <c r="AG68">
        <v>410000</v>
      </c>
      <c r="AH68">
        <v>410000</v>
      </c>
      <c r="AI68">
        <v>410000</v>
      </c>
      <c r="AJ68">
        <v>410000</v>
      </c>
      <c r="AK68">
        <v>410000</v>
      </c>
    </row>
    <row r="69" spans="2:37">
      <c r="E69" s="31" t="s">
        <v>101</v>
      </c>
      <c r="F69" s="31"/>
      <c r="G69" s="31" t="s">
        <v>92</v>
      </c>
      <c r="H69" s="31"/>
      <c r="I69" s="31"/>
      <c r="J69" s="31" cm="1">
        <f t="array" ref="J69:AK69">_xlfn.ANCHORARRAY( J67) *_xlfn.ANCHORARRAY( J68) / 1000</f>
        <v>244738.12500000003</v>
      </c>
      <c r="K69" s="31">
        <v>206667.75000000003</v>
      </c>
      <c r="L69" s="31">
        <v>87018.000000000015</v>
      </c>
      <c r="M69" s="31">
        <v>293685.75000000006</v>
      </c>
      <c r="N69" s="31">
        <v>109379.152575</v>
      </c>
      <c r="O69" s="31">
        <v>90912.542400000006</v>
      </c>
      <c r="P69" s="31">
        <v>0</v>
      </c>
      <c r="Q69" s="31">
        <v>232963.38990000001</v>
      </c>
      <c r="R69" s="31">
        <v>51131.498937675002</v>
      </c>
      <c r="S69" s="31">
        <v>55213.113511800002</v>
      </c>
      <c r="T69" s="31">
        <v>0</v>
      </c>
      <c r="U69" s="31">
        <v>259739.10926250002</v>
      </c>
      <c r="V69" s="31">
        <v>85864.762660952067</v>
      </c>
      <c r="W69" s="31">
        <v>115773.41063283548</v>
      </c>
      <c r="X69" s="31">
        <v>37976.035713878242</v>
      </c>
      <c r="Y69" s="31">
        <v>391002.75235828367</v>
      </c>
      <c r="Z69" s="31">
        <v>231600.55706699356</v>
      </c>
      <c r="AA69" s="31">
        <v>290985.80863507662</v>
      </c>
      <c r="AB69" s="31">
        <v>232205.51843129576</v>
      </c>
      <c r="AC69" s="31">
        <v>531442.45729123685</v>
      </c>
      <c r="AD69" s="31">
        <v>508744.69911145809</v>
      </c>
      <c r="AE69" s="31">
        <v>555323.87534978357</v>
      </c>
      <c r="AF69" s="31">
        <v>555323.87534978357</v>
      </c>
      <c r="AG69" s="31">
        <v>555323.87534978357</v>
      </c>
      <c r="AH69" s="31">
        <v>580297.99726846034</v>
      </c>
      <c r="AI69" s="31">
        <v>580297.99726846034</v>
      </c>
      <c r="AJ69" s="31">
        <v>580297.99726846034</v>
      </c>
      <c r="AK69" s="31">
        <v>580297.99726846034</v>
      </c>
    </row>
    <row r="72" spans="2:37">
      <c r="B72" s="30" t="s">
        <v>102</v>
      </c>
    </row>
    <row r="74" spans="2:37">
      <c r="E74" s="28" t="s">
        <v>103</v>
      </c>
    </row>
    <row r="75" spans="2:37">
      <c r="F75" s="27" cm="1">
        <f t="array" ref="F75:F81">TRANSPOSE(_xlfn.UNIQUE(_xlfn.ANCHORARRAY($J$11),TRUE))</f>
        <v>2023</v>
      </c>
      <c r="G75" t="s">
        <v>75</v>
      </c>
      <c r="J75" cm="1">
        <f t="array" ref="J75:AK81">_xlfn.LET(
     _xlpm.production,_xlfn.ANCHORARRAY(                 J56),
     _xlpm.units_sold_from_production,_xlfn.ANCHORARRAY( J61),
     _xlpm.units_added_in_quarter,     _xlpm.production - _xlpm.units_sold_from_production,
     _xlpm.periods,_xlfn.ANCHORARRAY(                     $J$11) -_xlfn.ANCHORARRAY( F75),
     IF( _xlpm.periods = 0, _xlpm.units_added_in_quarter, 0 ) )</f>
        <v>185000</v>
      </c>
      <c r="K75">
        <v>220000</v>
      </c>
      <c r="L75">
        <v>330000</v>
      </c>
      <c r="M75">
        <v>140000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2:37">
      <c r="F76" s="27">
        <v>2024</v>
      </c>
      <c r="G76" t="s">
        <v>75</v>
      </c>
      <c r="J76">
        <v>0</v>
      </c>
      <c r="K76">
        <v>0</v>
      </c>
      <c r="L76">
        <v>0</v>
      </c>
      <c r="M76">
        <v>0</v>
      </c>
      <c r="N76">
        <v>313750</v>
      </c>
      <c r="O76">
        <v>330000</v>
      </c>
      <c r="P76">
        <v>410000</v>
      </c>
      <c r="Q76">
        <v>205000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2:37">
      <c r="F77" s="27">
        <v>2025</v>
      </c>
      <c r="G77" t="s">
        <v>75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366937.5</v>
      </c>
      <c r="S77">
        <v>363500</v>
      </c>
      <c r="T77">
        <v>410000</v>
      </c>
      <c r="U77">
        <v>191250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2:37">
      <c r="F78" s="27">
        <v>2026</v>
      </c>
      <c r="G78" t="s">
        <v>75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340784.375</v>
      </c>
      <c r="W78">
        <v>316674.99999999994</v>
      </c>
      <c r="X78">
        <v>379387.49999999988</v>
      </c>
      <c r="Y78">
        <v>94812.499999999825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2:37">
      <c r="F79" s="27">
        <v>2027</v>
      </c>
      <c r="G79" t="s">
        <v>75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231323.59374999988</v>
      </c>
      <c r="AA79">
        <v>185508.74999999988</v>
      </c>
      <c r="AB79">
        <v>230856.87499999988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2:37">
      <c r="F80" s="27">
        <v>2028</v>
      </c>
      <c r="G80" t="s">
        <v>75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34389.773437499825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5:37">
      <c r="F81" s="27">
        <v>2029</v>
      </c>
      <c r="G81" t="s">
        <v>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3" spans="5:37">
      <c r="E83" s="28" t="s">
        <v>104</v>
      </c>
      <c r="G83" s="57" t="s">
        <v>94</v>
      </c>
    </row>
    <row r="84" spans="5:37">
      <c r="F84" s="27" cm="1">
        <f t="array" ref="F84:F90">TRANSPOSE(_xlfn.UNIQUE(_xlfn.ANCHORARRAY($J$11),TRUE))</f>
        <v>2023</v>
      </c>
      <c r="G84" s="43" cm="1">
        <f t="array" ref="G84:G90">TRANSPOSE(_xlfn.UNIQUE(_xlfn.ANCHORARRAY( $J$42), TRUE))</f>
        <v>1087.7250000000001</v>
      </c>
      <c r="J84">
        <f xml:space="preserve"> MIN( I96, J$60 - SUM( J$83:J83 ) )</f>
        <v>0</v>
      </c>
      <c r="K84">
        <f xml:space="preserve"> MIN( J96, K$60 - SUM( K$83:K83 ) )</f>
        <v>185000</v>
      </c>
      <c r="L84">
        <f xml:space="preserve"> MIN( K96, L$60 - SUM( L$83:L83 ) )</f>
        <v>220000</v>
      </c>
      <c r="M84">
        <f xml:space="preserve"> MIN( L96, M$60 - SUM( M$83:M83 ) )</f>
        <v>330000</v>
      </c>
      <c r="N84">
        <f xml:space="preserve"> MIN( M96, N$60 - SUM( N$83:N83 ) )</f>
        <v>140000</v>
      </c>
      <c r="O84">
        <f xml:space="preserve"> MIN( N96, O$60 - SUM( O$83:O83 ) )</f>
        <v>0</v>
      </c>
      <c r="P84">
        <f xml:space="preserve"> MIN( O96, P$60 - SUM( P$83:P83 ) )</f>
        <v>0</v>
      </c>
      <c r="Q84">
        <f xml:space="preserve"> MIN( P96, Q$60 - SUM( Q$83:Q83 ) )</f>
        <v>0</v>
      </c>
      <c r="R84">
        <f xml:space="preserve"> MIN( Q96, R$60 - SUM( R$83:R83 ) )</f>
        <v>0</v>
      </c>
      <c r="S84">
        <f xml:space="preserve"> MIN( R96, S$60 - SUM( S$83:S83 ) )</f>
        <v>0</v>
      </c>
      <c r="T84">
        <f xml:space="preserve"> MIN( S96, T$60 - SUM( T$83:T83 ) )</f>
        <v>0</v>
      </c>
      <c r="U84">
        <f xml:space="preserve"> MIN( T96, U$60 - SUM( U$83:U83 ) )</f>
        <v>0</v>
      </c>
      <c r="V84">
        <f xml:space="preserve"> MIN( U96, V$60 - SUM( V$83:V83 ) )</f>
        <v>0</v>
      </c>
      <c r="W84">
        <f xml:space="preserve"> MIN( V96, W$60 - SUM( W$83:W83 ) )</f>
        <v>0</v>
      </c>
      <c r="X84">
        <f xml:space="preserve"> MIN( W96, X$60 - SUM( X$83:X83 ) )</f>
        <v>0</v>
      </c>
      <c r="Y84">
        <f xml:space="preserve"> MIN( X96, Y$60 - SUM( Y$83:Y83 ) )</f>
        <v>0</v>
      </c>
      <c r="Z84">
        <f xml:space="preserve"> MIN( Y96, Z$60 - SUM( Z$83:Z83 ) )</f>
        <v>0</v>
      </c>
      <c r="AA84">
        <f xml:space="preserve"> MIN( Z96, AA$60 - SUM( AA$83:AA83 ) )</f>
        <v>0</v>
      </c>
      <c r="AB84">
        <f xml:space="preserve"> MIN( AA96, AB$60 - SUM( AB$83:AB83 ) )</f>
        <v>0</v>
      </c>
      <c r="AC84">
        <f xml:space="preserve"> MIN( AB96, AC$60 - SUM( AC$83:AC83 ) )</f>
        <v>0</v>
      </c>
      <c r="AD84">
        <f xml:space="preserve"> MIN( AC96, AD$60 - SUM( AD$83:AD83 ) )</f>
        <v>0</v>
      </c>
      <c r="AE84">
        <f xml:space="preserve"> MIN( AD96, AE$60 - SUM( AE$83:AE83 ) )</f>
        <v>0</v>
      </c>
      <c r="AF84">
        <f xml:space="preserve"> MIN( AE96, AF$60 - SUM( AF$83:AF83 ) )</f>
        <v>0</v>
      </c>
      <c r="AG84">
        <f xml:space="preserve"> MIN( AF96, AG$60 - SUM( AG$83:AG83 ) )</f>
        <v>0</v>
      </c>
      <c r="AH84">
        <f xml:space="preserve"> MIN( AG96, AH$60 - SUM( AH$83:AH83 ) )</f>
        <v>0</v>
      </c>
      <c r="AI84">
        <f xml:space="preserve"> MIN( AH96, AI$60 - SUM( AI$83:AI83 ) )</f>
        <v>0</v>
      </c>
      <c r="AJ84">
        <f xml:space="preserve"> MIN( AI96, AJ$60 - SUM( AJ$83:AJ83 ) )</f>
        <v>0</v>
      </c>
      <c r="AK84">
        <f xml:space="preserve"> MIN( AJ96, AK$60 - SUM( AK$83:AK83 ) )</f>
        <v>0</v>
      </c>
    </row>
    <row r="85" spans="5:37">
      <c r="F85" s="27">
        <v>2024</v>
      </c>
      <c r="G85">
        <v>1136.40678</v>
      </c>
      <c r="J85">
        <f xml:space="preserve"> MIN( I97, J$60 - SUM( J$83:J84 ) )</f>
        <v>0</v>
      </c>
      <c r="K85">
        <f xml:space="preserve"> MIN( J97, K$60 - SUM( K$83:K84 ) )</f>
        <v>0</v>
      </c>
      <c r="L85">
        <f xml:space="preserve"> MIN( K97, L$60 - SUM( L$83:L84 ) )</f>
        <v>0</v>
      </c>
      <c r="M85">
        <f xml:space="preserve"> MIN( L97, M$60 - SUM( M$83:M84 ) )</f>
        <v>0</v>
      </c>
      <c r="N85">
        <f xml:space="preserve"> MIN( M97, N$60 - SUM( N$83:N84 ) )</f>
        <v>0</v>
      </c>
      <c r="O85">
        <f xml:space="preserve"> MIN( N97, O$60 - SUM( O$83:O84 ) )</f>
        <v>313750</v>
      </c>
      <c r="P85">
        <f xml:space="preserve"> MIN( O97, P$60 - SUM( P$83:P84 ) )</f>
        <v>315000</v>
      </c>
      <c r="Q85">
        <f xml:space="preserve"> MIN( P97, Q$60 - SUM( Q$83:Q84 ) )</f>
        <v>425000</v>
      </c>
      <c r="R85">
        <f xml:space="preserve"> MIN( Q97, R$60 - SUM( R$83:R84 ) )</f>
        <v>205000</v>
      </c>
      <c r="S85">
        <f xml:space="preserve"> MIN( R97, S$60 - SUM( S$83:S84 ) )</f>
        <v>0</v>
      </c>
      <c r="T85">
        <f xml:space="preserve"> MIN( S97, T$60 - SUM( T$83:T84 ) )</f>
        <v>0</v>
      </c>
      <c r="U85">
        <f xml:space="preserve"> MIN( T97, U$60 - SUM( U$83:U84 ) )</f>
        <v>0</v>
      </c>
      <c r="V85">
        <f xml:space="preserve"> MIN( U97, V$60 - SUM( V$83:V84 ) )</f>
        <v>0</v>
      </c>
      <c r="W85">
        <f xml:space="preserve"> MIN( V97, W$60 - SUM( W$83:W84 ) )</f>
        <v>0</v>
      </c>
      <c r="X85">
        <f xml:space="preserve"> MIN( W97, X$60 - SUM( X$83:X84 ) )</f>
        <v>0</v>
      </c>
      <c r="Y85">
        <f xml:space="preserve"> MIN( X97, Y$60 - SUM( Y$83:Y84 ) )</f>
        <v>0</v>
      </c>
      <c r="Z85">
        <f xml:space="preserve"> MIN( Y97, Z$60 - SUM( Z$83:Z84 ) )</f>
        <v>0</v>
      </c>
      <c r="AA85">
        <f xml:space="preserve"> MIN( Z97, AA$60 - SUM( AA$83:AA84 ) )</f>
        <v>0</v>
      </c>
      <c r="AB85">
        <f xml:space="preserve"> MIN( AA97, AB$60 - SUM( AB$83:AB84 ) )</f>
        <v>0</v>
      </c>
      <c r="AC85">
        <f xml:space="preserve"> MIN( AB97, AC$60 - SUM( AC$83:AC84 ) )</f>
        <v>0</v>
      </c>
      <c r="AD85">
        <f xml:space="preserve"> MIN( AC97, AD$60 - SUM( AD$83:AD84 ) )</f>
        <v>0</v>
      </c>
      <c r="AE85">
        <f xml:space="preserve"> MIN( AD97, AE$60 - SUM( AE$83:AE84 ) )</f>
        <v>0</v>
      </c>
      <c r="AF85">
        <f xml:space="preserve"> MIN( AE97, AF$60 - SUM( AF$83:AF84 ) )</f>
        <v>0</v>
      </c>
      <c r="AG85">
        <f xml:space="preserve"> MIN( AF97, AG$60 - SUM( AG$83:AG84 ) )</f>
        <v>0</v>
      </c>
      <c r="AH85">
        <f xml:space="preserve"> MIN( AG97, AH$60 - SUM( AH$83:AH84 ) )</f>
        <v>0</v>
      </c>
      <c r="AI85">
        <f xml:space="preserve"> MIN( AH97, AI$60 - SUM( AI$83:AI84 ) )</f>
        <v>0</v>
      </c>
      <c r="AJ85">
        <f xml:space="preserve"> MIN( AI97, AJ$60 - SUM( AJ$83:AJ84 ) )</f>
        <v>0</v>
      </c>
      <c r="AK85">
        <f xml:space="preserve"> MIN( AJ97, AK$60 - SUM( AK$83:AK84 ) )</f>
        <v>0</v>
      </c>
    </row>
    <row r="86" spans="5:37">
      <c r="F86" s="27">
        <v>2025</v>
      </c>
      <c r="G86">
        <v>1187.3787852</v>
      </c>
      <c r="J86">
        <f xml:space="preserve"> MIN( I98, J$60 - SUM( J$83:J85 ) )</f>
        <v>0</v>
      </c>
      <c r="K86">
        <f xml:space="preserve"> MIN( J98, K$60 - SUM( K$83:K85 ) )</f>
        <v>0</v>
      </c>
      <c r="L86">
        <f xml:space="preserve"> MIN( K98, L$60 - SUM( L$83:L85 ) )</f>
        <v>0</v>
      </c>
      <c r="M86">
        <f xml:space="preserve"> MIN( L98, M$60 - SUM( M$83:M85 ) )</f>
        <v>0</v>
      </c>
      <c r="N86">
        <f xml:space="preserve"> MIN( M98, N$60 - SUM( N$83:N85 ) )</f>
        <v>0</v>
      </c>
      <c r="O86">
        <f xml:space="preserve"> MIN( N98, O$60 - SUM( O$83:O85 ) )</f>
        <v>0</v>
      </c>
      <c r="P86">
        <f xml:space="preserve"> MIN( O98, P$60 - SUM( P$83:P85 ) )</f>
        <v>0</v>
      </c>
      <c r="Q86">
        <f xml:space="preserve"> MIN( P98, Q$60 - SUM( Q$83:Q85 ) )</f>
        <v>0</v>
      </c>
      <c r="R86">
        <f xml:space="preserve"> MIN( Q98, R$60 - SUM( R$83:R85 ) )</f>
        <v>0</v>
      </c>
      <c r="S86">
        <f xml:space="preserve"> MIN( R98, S$60 - SUM( S$83:S85 ) )</f>
        <v>366937.5</v>
      </c>
      <c r="T86">
        <f xml:space="preserve"> MIN( S98, T$60 - SUM( T$83:T85 ) )</f>
        <v>330750</v>
      </c>
      <c r="U86">
        <f xml:space="preserve"> MIN( T98, U$60 - SUM( U$83:U85 ) )</f>
        <v>442750</v>
      </c>
      <c r="V86">
        <f xml:space="preserve"> MIN( U98, V$60 - SUM( V$83:V85 ) )</f>
        <v>191250</v>
      </c>
      <c r="W86">
        <f xml:space="preserve"> MIN( V98, W$60 - SUM( W$83:W85 ) )</f>
        <v>0</v>
      </c>
      <c r="X86">
        <f xml:space="preserve"> MIN( W98, X$60 - SUM( X$83:X85 ) )</f>
        <v>0</v>
      </c>
      <c r="Y86">
        <f xml:space="preserve"> MIN( X98, Y$60 - SUM( Y$83:Y85 ) )</f>
        <v>0</v>
      </c>
      <c r="Z86">
        <f xml:space="preserve"> MIN( Y98, Z$60 - SUM( Z$83:Z85 ) )</f>
        <v>0</v>
      </c>
      <c r="AA86">
        <f xml:space="preserve"> MIN( Z98, AA$60 - SUM( AA$83:AA85 ) )</f>
        <v>0</v>
      </c>
      <c r="AB86">
        <f xml:space="preserve"> MIN( AA98, AB$60 - SUM( AB$83:AB85 ) )</f>
        <v>0</v>
      </c>
      <c r="AC86">
        <f xml:space="preserve"> MIN( AB98, AC$60 - SUM( AC$83:AC85 ) )</f>
        <v>0</v>
      </c>
      <c r="AD86">
        <f xml:space="preserve"> MIN( AC98, AD$60 - SUM( AD$83:AD85 ) )</f>
        <v>0</v>
      </c>
      <c r="AE86">
        <f xml:space="preserve"> MIN( AD98, AE$60 - SUM( AE$83:AE85 ) )</f>
        <v>0</v>
      </c>
      <c r="AF86">
        <f xml:space="preserve"> MIN( AE98, AF$60 - SUM( AF$83:AF85 ) )</f>
        <v>0</v>
      </c>
      <c r="AG86">
        <f xml:space="preserve"> MIN( AF98, AG$60 - SUM( AG$83:AG85 ) )</f>
        <v>0</v>
      </c>
      <c r="AH86">
        <f xml:space="preserve"> MIN( AG98, AH$60 - SUM( AH$83:AH85 ) )</f>
        <v>0</v>
      </c>
      <c r="AI86">
        <f xml:space="preserve"> MIN( AH98, AI$60 - SUM( AI$83:AI85 ) )</f>
        <v>0</v>
      </c>
      <c r="AJ86">
        <f xml:space="preserve"> MIN( AI98, AJ$60 - SUM( AJ$83:AJ85 ) )</f>
        <v>0</v>
      </c>
      <c r="AK86">
        <f xml:space="preserve"> MIN( AJ98, AK$60 - SUM( AK$83:AK85 ) )</f>
        <v>0</v>
      </c>
    </row>
    <row r="87" spans="5:37">
      <c r="F87" s="27">
        <v>2026</v>
      </c>
      <c r="G87">
        <v>1240.540162152</v>
      </c>
      <c r="J87">
        <f xml:space="preserve"> MIN( I99, J$60 - SUM( J$83:J86 ) )</f>
        <v>0</v>
      </c>
      <c r="K87">
        <f xml:space="preserve"> MIN( J99, K$60 - SUM( K$83:K86 ) )</f>
        <v>0</v>
      </c>
      <c r="L87">
        <f xml:space="preserve"> MIN( K99, L$60 - SUM( L$83:L86 ) )</f>
        <v>0</v>
      </c>
      <c r="M87">
        <f xml:space="preserve"> MIN( L99, M$60 - SUM( M$83:M86 ) )</f>
        <v>0</v>
      </c>
      <c r="N87">
        <f xml:space="preserve"> MIN( M99, N$60 - SUM( N$83:N86 ) )</f>
        <v>0</v>
      </c>
      <c r="O87">
        <f xml:space="preserve"> MIN( N99, O$60 - SUM( O$83:O86 ) )</f>
        <v>0</v>
      </c>
      <c r="P87">
        <f xml:space="preserve"> MIN( O99, P$60 - SUM( P$83:P86 ) )</f>
        <v>0</v>
      </c>
      <c r="Q87">
        <f xml:space="preserve"> MIN( P99, Q$60 - SUM( Q$83:Q86 ) )</f>
        <v>0</v>
      </c>
      <c r="R87">
        <f xml:space="preserve"> MIN( Q99, R$60 - SUM( R$83:R86 ) )</f>
        <v>0</v>
      </c>
      <c r="S87">
        <f xml:space="preserve"> MIN( R99, S$60 - SUM( S$83:S86 ) )</f>
        <v>0</v>
      </c>
      <c r="T87">
        <f xml:space="preserve"> MIN( S99, T$60 - SUM( T$83:T86 ) )</f>
        <v>0</v>
      </c>
      <c r="U87">
        <f xml:space="preserve"> MIN( T99, U$60 - SUM( U$83:U86 ) )</f>
        <v>0</v>
      </c>
      <c r="V87">
        <f xml:space="preserve"> MIN( U99, V$60 - SUM( V$83:V86 ) )</f>
        <v>0</v>
      </c>
      <c r="W87">
        <f xml:space="preserve"> MIN( V99, W$60 - SUM( W$83:W86 ) )</f>
        <v>340784.375</v>
      </c>
      <c r="X87">
        <f xml:space="preserve"> MIN( W99, X$60 - SUM( X$83:X86 ) )</f>
        <v>316674.99999999994</v>
      </c>
      <c r="Y87">
        <f xml:space="preserve"> MIN( X99, Y$60 - SUM( Y$83:Y86 ) )</f>
        <v>379387.49999999994</v>
      </c>
      <c r="Z87">
        <f xml:space="preserve"> MIN( Y99, Z$60 - SUM( Z$83:Z86 ) )</f>
        <v>94812.499999999825</v>
      </c>
      <c r="AA87">
        <f xml:space="preserve"> MIN( Z99, AA$60 - SUM( AA$83:AA86 ) )</f>
        <v>0</v>
      </c>
      <c r="AB87">
        <f xml:space="preserve"> MIN( AA99, AB$60 - SUM( AB$83:AB86 ) )</f>
        <v>0</v>
      </c>
      <c r="AC87">
        <f xml:space="preserve"> MIN( AB99, AC$60 - SUM( AC$83:AC86 ) )</f>
        <v>0</v>
      </c>
      <c r="AD87">
        <f xml:space="preserve"> MIN( AC99, AD$60 - SUM( AD$83:AD86 ) )</f>
        <v>0</v>
      </c>
      <c r="AE87">
        <f xml:space="preserve"> MIN( AD99, AE$60 - SUM( AE$83:AE86 ) )</f>
        <v>0</v>
      </c>
      <c r="AF87">
        <f xml:space="preserve"> MIN( AE99, AF$60 - SUM( AF$83:AF86 ) )</f>
        <v>0</v>
      </c>
      <c r="AG87">
        <f xml:space="preserve"> MIN( AF99, AG$60 - SUM( AG$83:AG86 ) )</f>
        <v>0</v>
      </c>
      <c r="AH87">
        <f xml:space="preserve"> MIN( AG99, AH$60 - SUM( AH$83:AH86 ) )</f>
        <v>0</v>
      </c>
      <c r="AI87">
        <f xml:space="preserve"> MIN( AH99, AI$60 - SUM( AI$83:AI86 ) )</f>
        <v>0</v>
      </c>
      <c r="AJ87">
        <f xml:space="preserve"> MIN( AI99, AJ$60 - SUM( AJ$83:AJ86 ) )</f>
        <v>0</v>
      </c>
      <c r="AK87">
        <f xml:space="preserve"> MIN( AJ99, AK$60 - SUM( AK$83:AK86 ) )</f>
        <v>0</v>
      </c>
    </row>
    <row r="88" spans="5:37">
      <c r="F88" s="27">
        <v>2027</v>
      </c>
      <c r="G88">
        <v>1296.2011153444801</v>
      </c>
      <c r="J88">
        <f xml:space="preserve"> MIN( I100, J$60 - SUM( J$83:J87 ) )</f>
        <v>0</v>
      </c>
      <c r="K88">
        <f xml:space="preserve"> MIN( J100, K$60 - SUM( K$83:K87 ) )</f>
        <v>0</v>
      </c>
      <c r="L88">
        <f xml:space="preserve"> MIN( K100, L$60 - SUM( L$83:L87 ) )</f>
        <v>0</v>
      </c>
      <c r="M88">
        <f xml:space="preserve"> MIN( L100, M$60 - SUM( M$83:M87 ) )</f>
        <v>0</v>
      </c>
      <c r="N88">
        <f xml:space="preserve"> MIN( M100, N$60 - SUM( N$83:N87 ) )</f>
        <v>0</v>
      </c>
      <c r="O88">
        <f xml:space="preserve"> MIN( N100, O$60 - SUM( O$83:O87 ) )</f>
        <v>0</v>
      </c>
      <c r="P88">
        <f xml:space="preserve"> MIN( O100, P$60 - SUM( P$83:P87 ) )</f>
        <v>0</v>
      </c>
      <c r="Q88">
        <f xml:space="preserve"> MIN( P100, Q$60 - SUM( Q$83:Q87 ) )</f>
        <v>0</v>
      </c>
      <c r="R88">
        <f xml:space="preserve"> MIN( Q100, R$60 - SUM( R$83:R87 ) )</f>
        <v>0</v>
      </c>
      <c r="S88">
        <f xml:space="preserve"> MIN( R100, S$60 - SUM( S$83:S87 ) )</f>
        <v>0</v>
      </c>
      <c r="T88">
        <f xml:space="preserve"> MIN( S100, T$60 - SUM( T$83:T87 ) )</f>
        <v>0</v>
      </c>
      <c r="U88">
        <f xml:space="preserve"> MIN( T100, U$60 - SUM( U$83:U87 ) )</f>
        <v>0</v>
      </c>
      <c r="V88">
        <f xml:space="preserve"> MIN( U100, V$60 - SUM( V$83:V87 ) )</f>
        <v>0</v>
      </c>
      <c r="W88">
        <f xml:space="preserve"> MIN( V100, W$60 - SUM( W$83:W87 ) )</f>
        <v>0</v>
      </c>
      <c r="X88">
        <f xml:space="preserve"> MIN( W100, X$60 - SUM( X$83:X87 ) )</f>
        <v>0</v>
      </c>
      <c r="Y88">
        <f xml:space="preserve"> MIN( X100, Y$60 - SUM( Y$83:Y87 ) )</f>
        <v>0</v>
      </c>
      <c r="Z88">
        <f xml:space="preserve"> MIN( Y100, Z$60 - SUM( Z$83:Z87 ) )</f>
        <v>0</v>
      </c>
      <c r="AA88">
        <f xml:space="preserve"> MIN( Z100, AA$60 - SUM( AA$83:AA87 ) )</f>
        <v>231323.59374999988</v>
      </c>
      <c r="AB88">
        <f xml:space="preserve"> MIN( AA100, AB$60 - SUM( AB$83:AB87 ) )</f>
        <v>185508.74999999988</v>
      </c>
      <c r="AC88">
        <f xml:space="preserve"> MIN( AB100, AC$60 - SUM( AC$83:AC87 ) )</f>
        <v>230856.87499999988</v>
      </c>
      <c r="AD88">
        <f xml:space="preserve"> MIN( AC100, AD$60 - SUM( AD$83:AD87 ) )</f>
        <v>0</v>
      </c>
      <c r="AE88">
        <f xml:space="preserve"> MIN( AD100, AE$60 - SUM( AE$83:AE87 ) )</f>
        <v>0</v>
      </c>
      <c r="AF88">
        <f xml:space="preserve"> MIN( AE100, AF$60 - SUM( AF$83:AF87 ) )</f>
        <v>0</v>
      </c>
      <c r="AG88">
        <f xml:space="preserve"> MIN( AF100, AG$60 - SUM( AG$83:AG87 ) )</f>
        <v>0</v>
      </c>
      <c r="AH88">
        <f xml:space="preserve"> MIN( AG100, AH$60 - SUM( AH$83:AH87 ) )</f>
        <v>0</v>
      </c>
      <c r="AI88">
        <f xml:space="preserve"> MIN( AH100, AI$60 - SUM( AI$83:AI87 ) )</f>
        <v>0</v>
      </c>
      <c r="AJ88">
        <f xml:space="preserve"> MIN( AI100, AJ$60 - SUM( AJ$83:AJ87 ) )</f>
        <v>0</v>
      </c>
      <c r="AK88">
        <f xml:space="preserve"> MIN( AJ100, AK$60 - SUM( AK$83:AK87 ) )</f>
        <v>0</v>
      </c>
    </row>
    <row r="89" spans="5:37">
      <c r="F89" s="27">
        <v>2028</v>
      </c>
      <c r="G89">
        <v>1354.4484764628867</v>
      </c>
      <c r="J89">
        <f xml:space="preserve"> MIN( I101, J$60 - SUM( J$83:J88 ) )</f>
        <v>0</v>
      </c>
      <c r="K89">
        <f xml:space="preserve"> MIN( J101, K$60 - SUM( K$83:K88 ) )</f>
        <v>0</v>
      </c>
      <c r="L89">
        <f xml:space="preserve"> MIN( K101, L$60 - SUM( L$83:L88 ) )</f>
        <v>0</v>
      </c>
      <c r="M89">
        <f xml:space="preserve"> MIN( L101, M$60 - SUM( M$83:M88 ) )</f>
        <v>0</v>
      </c>
      <c r="N89">
        <f xml:space="preserve"> MIN( M101, N$60 - SUM( N$83:N88 ) )</f>
        <v>0</v>
      </c>
      <c r="O89">
        <f xml:space="preserve"> MIN( N101, O$60 - SUM( O$83:O88 ) )</f>
        <v>0</v>
      </c>
      <c r="P89">
        <f xml:space="preserve"> MIN( O101, P$60 - SUM( P$83:P88 ) )</f>
        <v>0</v>
      </c>
      <c r="Q89">
        <f xml:space="preserve"> MIN( P101, Q$60 - SUM( Q$83:Q88 ) )</f>
        <v>0</v>
      </c>
      <c r="R89">
        <f xml:space="preserve"> MIN( Q101, R$60 - SUM( R$83:R88 ) )</f>
        <v>0</v>
      </c>
      <c r="S89">
        <f xml:space="preserve"> MIN( R101, S$60 - SUM( S$83:S88 ) )</f>
        <v>0</v>
      </c>
      <c r="T89">
        <f xml:space="preserve"> MIN( S101, T$60 - SUM( T$83:T88 ) )</f>
        <v>0</v>
      </c>
      <c r="U89">
        <f xml:space="preserve"> MIN( T101, U$60 - SUM( U$83:U88 ) )</f>
        <v>0</v>
      </c>
      <c r="V89">
        <f xml:space="preserve"> MIN( U101, V$60 - SUM( V$83:V88 ) )</f>
        <v>0</v>
      </c>
      <c r="W89">
        <f xml:space="preserve"> MIN( V101, W$60 - SUM( W$83:W88 ) )</f>
        <v>0</v>
      </c>
      <c r="X89">
        <f xml:space="preserve"> MIN( W101, X$60 - SUM( X$83:X88 ) )</f>
        <v>0</v>
      </c>
      <c r="Y89">
        <f xml:space="preserve"> MIN( X101, Y$60 - SUM( Y$83:Y88 ) )</f>
        <v>0</v>
      </c>
      <c r="Z89">
        <f xml:space="preserve"> MIN( Y101, Z$60 - SUM( Z$83:Z88 ) )</f>
        <v>0</v>
      </c>
      <c r="AA89">
        <f xml:space="preserve"> MIN( Z101, AA$60 - SUM( AA$83:AA88 ) )</f>
        <v>0</v>
      </c>
      <c r="AB89">
        <f xml:space="preserve"> MIN( AA101, AB$60 - SUM( AB$83:AB88 ) )</f>
        <v>0</v>
      </c>
      <c r="AC89">
        <f xml:space="preserve"> MIN( AB101, AC$60 - SUM( AC$83:AC88 ) )</f>
        <v>0</v>
      </c>
      <c r="AD89">
        <f xml:space="preserve"> MIN( AC101, AD$60 - SUM( AD$83:AD88 ) )</f>
        <v>0</v>
      </c>
      <c r="AE89">
        <f xml:space="preserve"> MIN( AD101, AE$60 - SUM( AE$83:AE88 ) )</f>
        <v>34389.773437499825</v>
      </c>
      <c r="AF89">
        <f xml:space="preserve"> MIN( AE101, AF$60 - SUM( AF$83:AF88 ) )</f>
        <v>0</v>
      </c>
      <c r="AG89">
        <f xml:space="preserve"> MIN( AF101, AG$60 - SUM( AG$83:AG88 ) )</f>
        <v>0</v>
      </c>
      <c r="AH89">
        <f xml:space="preserve"> MIN( AG101, AH$60 - SUM( AH$83:AH88 ) )</f>
        <v>0</v>
      </c>
      <c r="AI89">
        <f xml:space="preserve"> MIN( AH101, AI$60 - SUM( AI$83:AI88 ) )</f>
        <v>0</v>
      </c>
      <c r="AJ89">
        <f xml:space="preserve"> MIN( AI101, AJ$60 - SUM( AJ$83:AJ88 ) )</f>
        <v>0</v>
      </c>
      <c r="AK89">
        <f xml:space="preserve"> MIN( AJ101, AK$60 - SUM( AK$83:AK88 ) )</f>
        <v>0</v>
      </c>
    </row>
    <row r="90" spans="5:37">
      <c r="F90" s="27">
        <v>2029</v>
      </c>
      <c r="G90">
        <v>1415.3609689474645</v>
      </c>
      <c r="J90">
        <f xml:space="preserve"> MIN( I102, J$60 - SUM( J$83:J89 ) )</f>
        <v>0</v>
      </c>
      <c r="K90">
        <f xml:space="preserve"> MIN( J102, K$60 - SUM( K$83:K89 ) )</f>
        <v>0</v>
      </c>
      <c r="L90">
        <f xml:space="preserve"> MIN( K102, L$60 - SUM( L$83:L89 ) )</f>
        <v>0</v>
      </c>
      <c r="M90">
        <f xml:space="preserve"> MIN( L102, M$60 - SUM( M$83:M89 ) )</f>
        <v>0</v>
      </c>
      <c r="N90">
        <f xml:space="preserve"> MIN( M102, N$60 - SUM( N$83:N89 ) )</f>
        <v>0</v>
      </c>
      <c r="O90">
        <f xml:space="preserve"> MIN( N102, O$60 - SUM( O$83:O89 ) )</f>
        <v>0</v>
      </c>
      <c r="P90">
        <f xml:space="preserve"> MIN( O102, P$60 - SUM( P$83:P89 ) )</f>
        <v>0</v>
      </c>
      <c r="Q90">
        <f xml:space="preserve"> MIN( P102, Q$60 - SUM( Q$83:Q89 ) )</f>
        <v>0</v>
      </c>
      <c r="R90">
        <f xml:space="preserve"> MIN( Q102, R$60 - SUM( R$83:R89 ) )</f>
        <v>0</v>
      </c>
      <c r="S90">
        <f xml:space="preserve"> MIN( R102, S$60 - SUM( S$83:S89 ) )</f>
        <v>0</v>
      </c>
      <c r="T90">
        <f xml:space="preserve"> MIN( S102, T$60 - SUM( T$83:T89 ) )</f>
        <v>0</v>
      </c>
      <c r="U90">
        <f xml:space="preserve"> MIN( T102, U$60 - SUM( U$83:U89 ) )</f>
        <v>0</v>
      </c>
      <c r="V90">
        <f xml:space="preserve"> MIN( U102, V$60 - SUM( V$83:V89 ) )</f>
        <v>0</v>
      </c>
      <c r="W90">
        <f xml:space="preserve"> MIN( V102, W$60 - SUM( W$83:W89 ) )</f>
        <v>0</v>
      </c>
      <c r="X90">
        <f xml:space="preserve"> MIN( W102, X$60 - SUM( X$83:X89 ) )</f>
        <v>0</v>
      </c>
      <c r="Y90">
        <f xml:space="preserve"> MIN( X102, Y$60 - SUM( Y$83:Y89 ) )</f>
        <v>0</v>
      </c>
      <c r="Z90">
        <f xml:space="preserve"> MIN( Y102, Z$60 - SUM( Z$83:Z89 ) )</f>
        <v>0</v>
      </c>
      <c r="AA90">
        <f xml:space="preserve"> MIN( Z102, AA$60 - SUM( AA$83:AA89 ) )</f>
        <v>0</v>
      </c>
      <c r="AB90">
        <f xml:space="preserve"> MIN( AA102, AB$60 - SUM( AB$83:AB89 ) )</f>
        <v>0</v>
      </c>
      <c r="AC90">
        <f xml:space="preserve"> MIN( AB102, AC$60 - SUM( AC$83:AC89 ) )</f>
        <v>0</v>
      </c>
      <c r="AD90">
        <f xml:space="preserve"> MIN( AC102, AD$60 - SUM( AD$83:AD89 ) )</f>
        <v>0</v>
      </c>
      <c r="AE90">
        <f xml:space="preserve"> MIN( AD102, AE$60 - SUM( AE$83:AE89 ) )</f>
        <v>0</v>
      </c>
      <c r="AF90">
        <f xml:space="preserve"> MIN( AE102, AF$60 - SUM( AF$83:AF89 ) )</f>
        <v>0</v>
      </c>
      <c r="AG90">
        <f xml:space="preserve"> MIN( AF102, AG$60 - SUM( AG$83:AG89 ) )</f>
        <v>0</v>
      </c>
      <c r="AH90">
        <f xml:space="preserve"> MIN( AG102, AH$60 - SUM( AH$83:AH89 ) )</f>
        <v>0</v>
      </c>
      <c r="AI90">
        <f xml:space="preserve"> MIN( AH102, AI$60 - SUM( AI$83:AI89 ) )</f>
        <v>0</v>
      </c>
      <c r="AJ90">
        <f xml:space="preserve"> MIN( AI102, AJ$60 - SUM( AJ$83:AJ89 ) )</f>
        <v>0</v>
      </c>
      <c r="AK90">
        <f xml:space="preserve"> MIN( AJ102, AK$60 - SUM( AK$83:AK89 ) )</f>
        <v>0</v>
      </c>
    </row>
    <row r="91" spans="5:37">
      <c r="E91" s="48" t="s">
        <v>102</v>
      </c>
      <c r="F91" s="58"/>
      <c r="G91" s="48" t="s">
        <v>92</v>
      </c>
      <c r="H91" s="48"/>
      <c r="I91" s="48"/>
      <c r="J91" s="48">
        <f xml:space="preserve"> _xlfn.LET(
      _xlpm.volume,   J84:J90,
      _xlpm.cost,_xlfn.ANCHORARRAY(     $G$84),
      SUMPRODUCT( _xlpm.volume, _xlpm.cost ) / 1000 )</f>
        <v>0</v>
      </c>
      <c r="K91" s="48">
        <f t="shared" ref="K91:AK91" si="10" xml:space="preserve"> _xlfn.LET(
      _xlpm.volume,   K84:K90,
      _xlpm.cost,_xlfn.ANCHORARRAY(     $G$84),
      SUMPRODUCT( _xlpm.volume, _xlpm.cost ) / 1000 )</f>
        <v>201229.12500000003</v>
      </c>
      <c r="L91" s="48">
        <f t="shared" si="10"/>
        <v>239299.50000000003</v>
      </c>
      <c r="M91" s="48">
        <f t="shared" si="10"/>
        <v>358949.25000000006</v>
      </c>
      <c r="N91" s="48">
        <f t="shared" si="10"/>
        <v>152281.50000000003</v>
      </c>
      <c r="O91" s="48">
        <f t="shared" si="10"/>
        <v>356547.627225</v>
      </c>
      <c r="P91" s="48">
        <f t="shared" si="10"/>
        <v>357968.13569999998</v>
      </c>
      <c r="Q91" s="48">
        <f t="shared" si="10"/>
        <v>482972.88150000002</v>
      </c>
      <c r="R91" s="48">
        <f t="shared" si="10"/>
        <v>232963.38990000001</v>
      </c>
      <c r="S91" s="48">
        <f t="shared" si="10"/>
        <v>435693.80299432506</v>
      </c>
      <c r="T91" s="48">
        <f t="shared" si="10"/>
        <v>392725.53320490004</v>
      </c>
      <c r="U91" s="48">
        <f t="shared" si="10"/>
        <v>525711.95714730001</v>
      </c>
      <c r="V91" s="48">
        <f t="shared" si="10"/>
        <v>227086.19266949999</v>
      </c>
      <c r="W91" s="48">
        <f t="shared" si="10"/>
        <v>422756.70382136799</v>
      </c>
      <c r="X91" s="48">
        <f t="shared" si="10"/>
        <v>392848.05584948452</v>
      </c>
      <c r="Y91" s="48">
        <f t="shared" si="10"/>
        <v>470645.43076844182</v>
      </c>
      <c r="Z91" s="48">
        <f t="shared" si="10"/>
        <v>117618.71412403628</v>
      </c>
      <c r="AA91" s="48">
        <f t="shared" si="10"/>
        <v>299841.90022424323</v>
      </c>
      <c r="AB91" s="48">
        <f t="shared" si="10"/>
        <v>240456.64865616016</v>
      </c>
      <c r="AC91" s="48">
        <f t="shared" si="10"/>
        <v>299236.93885994109</v>
      </c>
      <c r="AD91" s="48">
        <f t="shared" si="10"/>
        <v>0</v>
      </c>
      <c r="AE91" s="48">
        <f t="shared" si="10"/>
        <v>46579.176238325483</v>
      </c>
      <c r="AF91" s="48">
        <f t="shared" si="10"/>
        <v>0</v>
      </c>
      <c r="AG91" s="48">
        <f t="shared" si="10"/>
        <v>0</v>
      </c>
      <c r="AH91" s="48">
        <f t="shared" si="10"/>
        <v>0</v>
      </c>
      <c r="AI91" s="48">
        <f t="shared" si="10"/>
        <v>0</v>
      </c>
      <c r="AJ91" s="48">
        <f t="shared" si="10"/>
        <v>0</v>
      </c>
      <c r="AK91" s="48">
        <f t="shared" si="10"/>
        <v>0</v>
      </c>
    </row>
    <row r="92" spans="5:37" s="43" customFormat="1">
      <c r="E92" s="56" t="s">
        <v>106</v>
      </c>
      <c r="F92" s="59"/>
      <c r="G92" s="56" t="s">
        <v>90</v>
      </c>
      <c r="H92" s="56"/>
      <c r="I92" s="56"/>
      <c r="J92" s="60" cm="1">
        <f t="array" ref="J92:AG92">_xlfn.LET(
      _xlpm.units_sold, $J$84:$AG$90,
      _xlpm.cost,_xlfn.ANCHORARRAY(       G84),
      _xlpm.avg_cost,   _xlfn.LAMBDA(_xlpm.units_col, IFERROR( SUMPRODUCT( _xlpm.units_col, _xlpm.cost ) / SUM( _xlpm.units_col ), 0 ) ),
      _xlfn.BYCOL( _xlpm.units_sold, _xlpm.avg_cost ) )</f>
        <v>0</v>
      </c>
      <c r="K92" s="56">
        <v>1087.7250000000001</v>
      </c>
      <c r="L92" s="56">
        <v>1087.7250000000001</v>
      </c>
      <c r="M92" s="56">
        <v>1087.7250000000001</v>
      </c>
      <c r="N92" s="56">
        <v>1087.7250000000001</v>
      </c>
      <c r="O92" s="56">
        <v>1136.40678</v>
      </c>
      <c r="P92" s="56">
        <v>1136.40678</v>
      </c>
      <c r="Q92" s="56">
        <v>1136.40678</v>
      </c>
      <c r="R92" s="56">
        <v>1136.40678</v>
      </c>
      <c r="S92" s="56">
        <v>1187.3787852</v>
      </c>
      <c r="T92" s="56">
        <v>1187.3787852</v>
      </c>
      <c r="U92" s="56">
        <v>1187.3787852</v>
      </c>
      <c r="V92" s="56">
        <v>1187.3787852</v>
      </c>
      <c r="W92" s="56">
        <v>1240.540162152</v>
      </c>
      <c r="X92" s="56">
        <v>1240.540162152</v>
      </c>
      <c r="Y92" s="56">
        <v>1240.540162152</v>
      </c>
      <c r="Z92" s="56">
        <v>1240.540162152</v>
      </c>
      <c r="AA92" s="56">
        <v>1296.2011153444801</v>
      </c>
      <c r="AB92" s="56">
        <v>1296.2011153444801</v>
      </c>
      <c r="AC92" s="56">
        <v>1296.2011153444801</v>
      </c>
      <c r="AD92" s="56">
        <v>0</v>
      </c>
      <c r="AE92" s="56">
        <v>1354.4484764628867</v>
      </c>
      <c r="AF92" s="56">
        <v>0</v>
      </c>
      <c r="AG92" s="56">
        <v>0</v>
      </c>
      <c r="AH92" s="56"/>
      <c r="AI92" s="56"/>
      <c r="AJ92" s="56"/>
      <c r="AK92" s="56"/>
    </row>
    <row r="95" spans="5:37">
      <c r="E95" s="28" t="s">
        <v>105</v>
      </c>
      <c r="G95" s="57" t="s">
        <v>94</v>
      </c>
    </row>
    <row r="96" spans="5:37">
      <c r="F96" s="27" cm="1">
        <f t="array" ref="F96:F102">TRANSPOSE(_xlfn.UNIQUE(_xlfn.ANCHORARRAY($J$11),TRUE))</f>
        <v>2023</v>
      </c>
      <c r="G96" s="43" cm="1">
        <f t="array" ref="G96:G102">TRANSPOSE(_xlfn.UNIQUE(_xlfn.ANCHORARRAY( $J$42), TRUE))</f>
        <v>1087.7250000000001</v>
      </c>
      <c r="J96">
        <f xml:space="preserve"> I96 + J75 - J84</f>
        <v>185000</v>
      </c>
      <c r="K96">
        <f xml:space="preserve"> J96 + K75 - K84</f>
        <v>220000</v>
      </c>
      <c r="L96">
        <f t="shared" ref="L96:AK96" si="11" xml:space="preserve"> K96 + L75 - L84</f>
        <v>330000</v>
      </c>
      <c r="M96">
        <f t="shared" si="11"/>
        <v>140000</v>
      </c>
      <c r="N96">
        <f t="shared" si="11"/>
        <v>0</v>
      </c>
      <c r="O96">
        <f t="shared" si="11"/>
        <v>0</v>
      </c>
      <c r="P96">
        <f t="shared" si="11"/>
        <v>0</v>
      </c>
      <c r="Q96">
        <f t="shared" si="11"/>
        <v>0</v>
      </c>
      <c r="R96">
        <f t="shared" si="11"/>
        <v>0</v>
      </c>
      <c r="S96">
        <f t="shared" si="11"/>
        <v>0</v>
      </c>
      <c r="T96">
        <f t="shared" si="11"/>
        <v>0</v>
      </c>
      <c r="U96">
        <f t="shared" si="11"/>
        <v>0</v>
      </c>
      <c r="V96">
        <f t="shared" si="11"/>
        <v>0</v>
      </c>
      <c r="W96">
        <f t="shared" si="11"/>
        <v>0</v>
      </c>
      <c r="X96">
        <f t="shared" si="11"/>
        <v>0</v>
      </c>
      <c r="Y96">
        <f t="shared" si="11"/>
        <v>0</v>
      </c>
      <c r="Z96">
        <f t="shared" si="11"/>
        <v>0</v>
      </c>
      <c r="AA96">
        <f t="shared" si="11"/>
        <v>0</v>
      </c>
      <c r="AB96">
        <f t="shared" si="11"/>
        <v>0</v>
      </c>
      <c r="AC96">
        <f t="shared" si="11"/>
        <v>0</v>
      </c>
      <c r="AD96">
        <f t="shared" si="11"/>
        <v>0</v>
      </c>
      <c r="AE96">
        <f t="shared" si="11"/>
        <v>0</v>
      </c>
      <c r="AF96">
        <f t="shared" si="11"/>
        <v>0</v>
      </c>
      <c r="AG96">
        <f t="shared" si="11"/>
        <v>0</v>
      </c>
      <c r="AH96">
        <f t="shared" si="11"/>
        <v>0</v>
      </c>
      <c r="AI96">
        <f t="shared" si="11"/>
        <v>0</v>
      </c>
      <c r="AJ96">
        <f t="shared" si="11"/>
        <v>0</v>
      </c>
      <c r="AK96">
        <f t="shared" si="11"/>
        <v>0</v>
      </c>
    </row>
    <row r="97" spans="2:37">
      <c r="F97" s="27">
        <v>2024</v>
      </c>
      <c r="G97">
        <v>1136.40678</v>
      </c>
      <c r="J97">
        <f t="shared" ref="J97:AK97" si="12" xml:space="preserve"> I97 + J76 - J85</f>
        <v>0</v>
      </c>
      <c r="K97">
        <f t="shared" si="12"/>
        <v>0</v>
      </c>
      <c r="L97">
        <f t="shared" si="12"/>
        <v>0</v>
      </c>
      <c r="M97">
        <f t="shared" si="12"/>
        <v>0</v>
      </c>
      <c r="N97">
        <f t="shared" si="12"/>
        <v>313750</v>
      </c>
      <c r="O97">
        <f t="shared" si="12"/>
        <v>330000</v>
      </c>
      <c r="P97">
        <f t="shared" si="12"/>
        <v>425000</v>
      </c>
      <c r="Q97">
        <f t="shared" si="12"/>
        <v>205000</v>
      </c>
      <c r="R97">
        <f t="shared" si="12"/>
        <v>0</v>
      </c>
      <c r="S97">
        <f t="shared" si="12"/>
        <v>0</v>
      </c>
      <c r="T97">
        <f t="shared" si="12"/>
        <v>0</v>
      </c>
      <c r="U97">
        <f t="shared" si="12"/>
        <v>0</v>
      </c>
      <c r="V97">
        <f t="shared" si="12"/>
        <v>0</v>
      </c>
      <c r="W97">
        <f t="shared" si="12"/>
        <v>0</v>
      </c>
      <c r="X97">
        <f t="shared" si="12"/>
        <v>0</v>
      </c>
      <c r="Y97">
        <f t="shared" si="12"/>
        <v>0</v>
      </c>
      <c r="Z97">
        <f t="shared" si="12"/>
        <v>0</v>
      </c>
      <c r="AA97">
        <f t="shared" si="12"/>
        <v>0</v>
      </c>
      <c r="AB97">
        <f t="shared" si="12"/>
        <v>0</v>
      </c>
      <c r="AC97">
        <f t="shared" si="12"/>
        <v>0</v>
      </c>
      <c r="AD97">
        <f t="shared" si="12"/>
        <v>0</v>
      </c>
      <c r="AE97">
        <f t="shared" si="12"/>
        <v>0</v>
      </c>
      <c r="AF97">
        <f t="shared" si="12"/>
        <v>0</v>
      </c>
      <c r="AG97">
        <f t="shared" si="12"/>
        <v>0</v>
      </c>
      <c r="AH97">
        <f t="shared" si="12"/>
        <v>0</v>
      </c>
      <c r="AI97">
        <f t="shared" si="12"/>
        <v>0</v>
      </c>
      <c r="AJ97">
        <f t="shared" si="12"/>
        <v>0</v>
      </c>
      <c r="AK97">
        <f t="shared" si="12"/>
        <v>0</v>
      </c>
    </row>
    <row r="98" spans="2:37">
      <c r="F98" s="27">
        <v>2025</v>
      </c>
      <c r="G98">
        <v>1187.3787852</v>
      </c>
      <c r="J98">
        <f t="shared" ref="J98:AK98" si="13" xml:space="preserve"> I98 + J77 - J86</f>
        <v>0</v>
      </c>
      <c r="K98">
        <f t="shared" si="13"/>
        <v>0</v>
      </c>
      <c r="L98">
        <f t="shared" si="13"/>
        <v>0</v>
      </c>
      <c r="M98">
        <f t="shared" si="13"/>
        <v>0</v>
      </c>
      <c r="N98">
        <f t="shared" si="13"/>
        <v>0</v>
      </c>
      <c r="O98">
        <f t="shared" si="13"/>
        <v>0</v>
      </c>
      <c r="P98">
        <f t="shared" si="13"/>
        <v>0</v>
      </c>
      <c r="Q98">
        <f t="shared" si="13"/>
        <v>0</v>
      </c>
      <c r="R98">
        <f t="shared" si="13"/>
        <v>366937.5</v>
      </c>
      <c r="S98">
        <f t="shared" si="13"/>
        <v>363500</v>
      </c>
      <c r="T98">
        <f t="shared" si="13"/>
        <v>442750</v>
      </c>
      <c r="U98">
        <f t="shared" si="13"/>
        <v>191250</v>
      </c>
      <c r="V98">
        <f t="shared" si="13"/>
        <v>0</v>
      </c>
      <c r="W98">
        <f t="shared" si="13"/>
        <v>0</v>
      </c>
      <c r="X98">
        <f t="shared" si="13"/>
        <v>0</v>
      </c>
      <c r="Y98">
        <f t="shared" si="13"/>
        <v>0</v>
      </c>
      <c r="Z98">
        <f t="shared" si="13"/>
        <v>0</v>
      </c>
      <c r="AA98">
        <f t="shared" si="13"/>
        <v>0</v>
      </c>
      <c r="AB98">
        <f t="shared" si="13"/>
        <v>0</v>
      </c>
      <c r="AC98">
        <f t="shared" si="13"/>
        <v>0</v>
      </c>
      <c r="AD98">
        <f t="shared" si="13"/>
        <v>0</v>
      </c>
      <c r="AE98">
        <f t="shared" si="13"/>
        <v>0</v>
      </c>
      <c r="AF98">
        <f t="shared" si="13"/>
        <v>0</v>
      </c>
      <c r="AG98">
        <f t="shared" si="13"/>
        <v>0</v>
      </c>
      <c r="AH98">
        <f t="shared" si="13"/>
        <v>0</v>
      </c>
      <c r="AI98">
        <f t="shared" si="13"/>
        <v>0</v>
      </c>
      <c r="AJ98">
        <f t="shared" si="13"/>
        <v>0</v>
      </c>
      <c r="AK98">
        <f t="shared" si="13"/>
        <v>0</v>
      </c>
    </row>
    <row r="99" spans="2:37">
      <c r="F99" s="27">
        <v>2026</v>
      </c>
      <c r="G99">
        <v>1240.540162152</v>
      </c>
      <c r="J99">
        <f t="shared" ref="J99:AK99" si="14" xml:space="preserve"> I99 + J78 - J87</f>
        <v>0</v>
      </c>
      <c r="K99">
        <f t="shared" si="14"/>
        <v>0</v>
      </c>
      <c r="L99">
        <f t="shared" si="14"/>
        <v>0</v>
      </c>
      <c r="M99">
        <f t="shared" si="14"/>
        <v>0</v>
      </c>
      <c r="N99">
        <f t="shared" si="14"/>
        <v>0</v>
      </c>
      <c r="O99">
        <f t="shared" si="14"/>
        <v>0</v>
      </c>
      <c r="P99">
        <f t="shared" si="14"/>
        <v>0</v>
      </c>
      <c r="Q99">
        <f t="shared" si="14"/>
        <v>0</v>
      </c>
      <c r="R99">
        <f t="shared" si="14"/>
        <v>0</v>
      </c>
      <c r="S99">
        <f t="shared" si="14"/>
        <v>0</v>
      </c>
      <c r="T99">
        <f t="shared" si="14"/>
        <v>0</v>
      </c>
      <c r="U99">
        <f t="shared" si="14"/>
        <v>0</v>
      </c>
      <c r="V99">
        <f t="shared" si="14"/>
        <v>340784.375</v>
      </c>
      <c r="W99">
        <f t="shared" si="14"/>
        <v>316675</v>
      </c>
      <c r="X99">
        <f t="shared" si="14"/>
        <v>379387.49999999994</v>
      </c>
      <c r="Y99">
        <f t="shared" si="14"/>
        <v>94812.499999999825</v>
      </c>
      <c r="Z99">
        <f t="shared" si="14"/>
        <v>0</v>
      </c>
      <c r="AA99">
        <f t="shared" si="14"/>
        <v>0</v>
      </c>
      <c r="AB99">
        <f t="shared" si="14"/>
        <v>0</v>
      </c>
      <c r="AC99">
        <f t="shared" si="14"/>
        <v>0</v>
      </c>
      <c r="AD99">
        <f t="shared" si="14"/>
        <v>0</v>
      </c>
      <c r="AE99">
        <f t="shared" si="14"/>
        <v>0</v>
      </c>
      <c r="AF99">
        <f t="shared" si="14"/>
        <v>0</v>
      </c>
      <c r="AG99">
        <f t="shared" si="14"/>
        <v>0</v>
      </c>
      <c r="AH99">
        <f t="shared" si="14"/>
        <v>0</v>
      </c>
      <c r="AI99">
        <f t="shared" si="14"/>
        <v>0</v>
      </c>
      <c r="AJ99">
        <f t="shared" si="14"/>
        <v>0</v>
      </c>
      <c r="AK99">
        <f t="shared" si="14"/>
        <v>0</v>
      </c>
    </row>
    <row r="100" spans="2:37">
      <c r="F100" s="27">
        <v>2027</v>
      </c>
      <c r="G100">
        <v>1296.2011153444801</v>
      </c>
      <c r="J100">
        <f t="shared" ref="J100:AK100" si="15" xml:space="preserve"> I100 + J79 - J88</f>
        <v>0</v>
      </c>
      <c r="K100">
        <f t="shared" si="15"/>
        <v>0</v>
      </c>
      <c r="L100">
        <f t="shared" si="15"/>
        <v>0</v>
      </c>
      <c r="M100">
        <f t="shared" si="15"/>
        <v>0</v>
      </c>
      <c r="N100">
        <f t="shared" si="15"/>
        <v>0</v>
      </c>
      <c r="O100">
        <f t="shared" si="15"/>
        <v>0</v>
      </c>
      <c r="P100">
        <f t="shared" si="15"/>
        <v>0</v>
      </c>
      <c r="Q100">
        <f t="shared" si="15"/>
        <v>0</v>
      </c>
      <c r="R100">
        <f t="shared" si="15"/>
        <v>0</v>
      </c>
      <c r="S100">
        <f t="shared" si="15"/>
        <v>0</v>
      </c>
      <c r="T100">
        <f t="shared" si="15"/>
        <v>0</v>
      </c>
      <c r="U100">
        <f t="shared" si="15"/>
        <v>0</v>
      </c>
      <c r="V100">
        <f t="shared" si="15"/>
        <v>0</v>
      </c>
      <c r="W100">
        <f t="shared" si="15"/>
        <v>0</v>
      </c>
      <c r="X100">
        <f t="shared" si="15"/>
        <v>0</v>
      </c>
      <c r="Y100">
        <f t="shared" si="15"/>
        <v>0</v>
      </c>
      <c r="Z100">
        <f t="shared" si="15"/>
        <v>231323.59374999988</v>
      </c>
      <c r="AA100">
        <f t="shared" si="15"/>
        <v>185508.74999999988</v>
      </c>
      <c r="AB100">
        <f t="shared" si="15"/>
        <v>230856.87499999988</v>
      </c>
      <c r="AC100">
        <f t="shared" si="15"/>
        <v>0</v>
      </c>
      <c r="AD100">
        <f t="shared" si="15"/>
        <v>0</v>
      </c>
      <c r="AE100">
        <f t="shared" si="15"/>
        <v>0</v>
      </c>
      <c r="AF100">
        <f t="shared" si="15"/>
        <v>0</v>
      </c>
      <c r="AG100">
        <f t="shared" si="15"/>
        <v>0</v>
      </c>
      <c r="AH100">
        <f t="shared" si="15"/>
        <v>0</v>
      </c>
      <c r="AI100">
        <f t="shared" si="15"/>
        <v>0</v>
      </c>
      <c r="AJ100">
        <f t="shared" si="15"/>
        <v>0</v>
      </c>
      <c r="AK100">
        <f t="shared" si="15"/>
        <v>0</v>
      </c>
    </row>
    <row r="101" spans="2:37">
      <c r="F101" s="27">
        <v>2028</v>
      </c>
      <c r="G101">
        <v>1354.4484764628867</v>
      </c>
      <c r="J101">
        <f t="shared" ref="J101:AK101" si="16" xml:space="preserve"> I101 + J80 - J89</f>
        <v>0</v>
      </c>
      <c r="K101">
        <f t="shared" si="16"/>
        <v>0</v>
      </c>
      <c r="L101">
        <f t="shared" si="16"/>
        <v>0</v>
      </c>
      <c r="M101">
        <f t="shared" si="16"/>
        <v>0</v>
      </c>
      <c r="N101">
        <f t="shared" si="16"/>
        <v>0</v>
      </c>
      <c r="O101">
        <f t="shared" si="16"/>
        <v>0</v>
      </c>
      <c r="P101">
        <f t="shared" si="16"/>
        <v>0</v>
      </c>
      <c r="Q101">
        <f t="shared" si="16"/>
        <v>0</v>
      </c>
      <c r="R101">
        <f t="shared" si="16"/>
        <v>0</v>
      </c>
      <c r="S101">
        <f t="shared" si="16"/>
        <v>0</v>
      </c>
      <c r="T101">
        <f t="shared" si="16"/>
        <v>0</v>
      </c>
      <c r="U101">
        <f t="shared" si="16"/>
        <v>0</v>
      </c>
      <c r="V101">
        <f t="shared" si="16"/>
        <v>0</v>
      </c>
      <c r="W101">
        <f t="shared" si="16"/>
        <v>0</v>
      </c>
      <c r="X101">
        <f t="shared" si="16"/>
        <v>0</v>
      </c>
      <c r="Y101">
        <f t="shared" si="16"/>
        <v>0</v>
      </c>
      <c r="Z101">
        <f t="shared" si="16"/>
        <v>0</v>
      </c>
      <c r="AA101">
        <f t="shared" si="16"/>
        <v>0</v>
      </c>
      <c r="AB101">
        <f t="shared" si="16"/>
        <v>0</v>
      </c>
      <c r="AC101">
        <f t="shared" si="16"/>
        <v>0</v>
      </c>
      <c r="AD101">
        <f t="shared" si="16"/>
        <v>34389.773437499825</v>
      </c>
      <c r="AE101">
        <f t="shared" si="16"/>
        <v>0</v>
      </c>
      <c r="AF101">
        <f t="shared" si="16"/>
        <v>0</v>
      </c>
      <c r="AG101">
        <f t="shared" si="16"/>
        <v>0</v>
      </c>
      <c r="AH101">
        <f t="shared" si="16"/>
        <v>0</v>
      </c>
      <c r="AI101">
        <f t="shared" si="16"/>
        <v>0</v>
      </c>
      <c r="AJ101">
        <f t="shared" si="16"/>
        <v>0</v>
      </c>
      <c r="AK101">
        <f t="shared" si="16"/>
        <v>0</v>
      </c>
    </row>
    <row r="102" spans="2:37">
      <c r="F102" s="27">
        <v>2029</v>
      </c>
      <c r="G102">
        <v>1415.3609689474645</v>
      </c>
      <c r="J102">
        <f t="shared" ref="J102:AK102" si="17" xml:space="preserve"> I102 + J81 - J90</f>
        <v>0</v>
      </c>
      <c r="K102">
        <f t="shared" si="17"/>
        <v>0</v>
      </c>
      <c r="L102">
        <f t="shared" si="17"/>
        <v>0</v>
      </c>
      <c r="M102">
        <f t="shared" si="17"/>
        <v>0</v>
      </c>
      <c r="N102">
        <f t="shared" si="17"/>
        <v>0</v>
      </c>
      <c r="O102">
        <f t="shared" si="17"/>
        <v>0</v>
      </c>
      <c r="P102">
        <f t="shared" si="17"/>
        <v>0</v>
      </c>
      <c r="Q102">
        <f t="shared" si="17"/>
        <v>0</v>
      </c>
      <c r="R102">
        <f t="shared" si="17"/>
        <v>0</v>
      </c>
      <c r="S102">
        <f t="shared" si="17"/>
        <v>0</v>
      </c>
      <c r="T102">
        <f t="shared" si="17"/>
        <v>0</v>
      </c>
      <c r="U102">
        <f t="shared" si="17"/>
        <v>0</v>
      </c>
      <c r="V102">
        <f t="shared" si="17"/>
        <v>0</v>
      </c>
      <c r="W102">
        <f t="shared" si="17"/>
        <v>0</v>
      </c>
      <c r="X102">
        <f t="shared" si="17"/>
        <v>0</v>
      </c>
      <c r="Y102">
        <f t="shared" si="17"/>
        <v>0</v>
      </c>
      <c r="Z102">
        <f t="shared" si="17"/>
        <v>0</v>
      </c>
      <c r="AA102">
        <f t="shared" si="17"/>
        <v>0</v>
      </c>
      <c r="AB102">
        <f t="shared" si="17"/>
        <v>0</v>
      </c>
      <c r="AC102">
        <f t="shared" si="17"/>
        <v>0</v>
      </c>
      <c r="AD102">
        <f t="shared" si="17"/>
        <v>0</v>
      </c>
      <c r="AE102">
        <f t="shared" si="17"/>
        <v>0</v>
      </c>
      <c r="AF102">
        <f t="shared" si="17"/>
        <v>0</v>
      </c>
      <c r="AG102">
        <f t="shared" si="17"/>
        <v>0</v>
      </c>
      <c r="AH102">
        <f t="shared" si="17"/>
        <v>0</v>
      </c>
      <c r="AI102">
        <f t="shared" si="17"/>
        <v>0</v>
      </c>
      <c r="AJ102">
        <f t="shared" si="17"/>
        <v>0</v>
      </c>
      <c r="AK102">
        <f t="shared" si="17"/>
        <v>0</v>
      </c>
    </row>
    <row r="103" spans="2:37">
      <c r="E103" s="48" t="s">
        <v>107</v>
      </c>
      <c r="F103" s="48"/>
      <c r="G103" s="48" t="s">
        <v>92</v>
      </c>
      <c r="H103" s="48"/>
      <c r="I103" s="48"/>
      <c r="J103" s="61">
        <f xml:space="preserve"> _xlfn.LET(
      _xlpm.volume,   J96:J102,
      _xlpm.cost,_xlfn.ANCHORARRAY(     $G$96),
      SUMPRODUCT( _xlpm.volume, _xlpm.cost ) / 1000 )</f>
        <v>201229.12500000003</v>
      </c>
      <c r="K103" s="48">
        <f t="shared" ref="K103:AK103" si="18" xml:space="preserve"> _xlfn.LET(
      _xlpm.volume,   K96:K102,
      _xlpm.cost,_xlfn.ANCHORARRAY(     $G$96),
      SUMPRODUCT( _xlpm.volume, _xlpm.cost ) / 1000 )</f>
        <v>239299.50000000003</v>
      </c>
      <c r="L103" s="48">
        <f t="shared" si="18"/>
        <v>358949.25000000006</v>
      </c>
      <c r="M103" s="48">
        <f t="shared" si="18"/>
        <v>152281.50000000003</v>
      </c>
      <c r="N103" s="48">
        <f t="shared" si="18"/>
        <v>356547.627225</v>
      </c>
      <c r="O103" s="48">
        <f t="shared" si="18"/>
        <v>375014.23740000004</v>
      </c>
      <c r="P103" s="48">
        <f t="shared" si="18"/>
        <v>482972.88150000002</v>
      </c>
      <c r="Q103" s="48">
        <f t="shared" si="18"/>
        <v>232963.38990000001</v>
      </c>
      <c r="R103" s="48">
        <f t="shared" si="18"/>
        <v>435693.80299432506</v>
      </c>
      <c r="S103" s="48">
        <f t="shared" si="18"/>
        <v>431612.18842019996</v>
      </c>
      <c r="T103" s="48">
        <f t="shared" si="18"/>
        <v>525711.95714730001</v>
      </c>
      <c r="U103" s="48">
        <f t="shared" si="18"/>
        <v>227086.19266949999</v>
      </c>
      <c r="V103" s="48">
        <f t="shared" si="18"/>
        <v>422756.70382136799</v>
      </c>
      <c r="W103" s="48">
        <f t="shared" si="18"/>
        <v>392848.05584948463</v>
      </c>
      <c r="X103" s="48">
        <f t="shared" si="18"/>
        <v>470645.43076844182</v>
      </c>
      <c r="Y103" s="48">
        <f t="shared" si="18"/>
        <v>117618.71412403628</v>
      </c>
      <c r="Z103" s="48">
        <f t="shared" si="18"/>
        <v>299841.90022424323</v>
      </c>
      <c r="AA103" s="48">
        <f t="shared" si="18"/>
        <v>240456.64865616016</v>
      </c>
      <c r="AB103" s="48">
        <f t="shared" si="18"/>
        <v>299236.93885994109</v>
      </c>
      <c r="AC103" s="48">
        <f t="shared" si="18"/>
        <v>0</v>
      </c>
      <c r="AD103" s="48">
        <f t="shared" si="18"/>
        <v>46579.176238325483</v>
      </c>
      <c r="AE103" s="48">
        <f t="shared" si="18"/>
        <v>0</v>
      </c>
      <c r="AF103" s="48">
        <f t="shared" si="18"/>
        <v>0</v>
      </c>
      <c r="AG103" s="48">
        <f t="shared" si="18"/>
        <v>0</v>
      </c>
      <c r="AH103" s="48">
        <f t="shared" si="18"/>
        <v>0</v>
      </c>
      <c r="AI103" s="48">
        <f t="shared" si="18"/>
        <v>0</v>
      </c>
      <c r="AJ103" s="48">
        <f t="shared" si="18"/>
        <v>0</v>
      </c>
      <c r="AK103" s="48">
        <f t="shared" si="18"/>
        <v>0</v>
      </c>
    </row>
    <row r="104" spans="2:37" s="43" customFormat="1">
      <c r="E104" s="56" t="s">
        <v>106</v>
      </c>
      <c r="F104" s="59"/>
      <c r="G104" s="56" t="s">
        <v>90</v>
      </c>
      <c r="H104" s="56"/>
      <c r="I104" s="56"/>
      <c r="J104" s="56" cm="1">
        <f t="array" ref="J104:AG104">_xlfn.LET(
      _xlpm.units_sold, $J$96:$AG$102,
      _xlpm.cost,_xlfn.ANCHORARRAY(       G96),
      _xlpm.avg_cost,   _xlfn.LAMBDA(_xlpm.units_col, IFERROR( SUMPRODUCT( _xlpm.units_col, _xlpm.cost ) / SUM( _xlpm.units_col ), 0 ) ),
      _xlfn.BYCOL( _xlpm.units_sold, _xlpm.avg_cost ) )</f>
        <v>1087.7250000000001</v>
      </c>
      <c r="K104" s="56">
        <v>1087.7250000000001</v>
      </c>
      <c r="L104" s="56">
        <v>1087.7250000000001</v>
      </c>
      <c r="M104" s="56">
        <v>1087.7250000000001</v>
      </c>
      <c r="N104" s="56">
        <v>1136.40678</v>
      </c>
      <c r="O104" s="56">
        <v>1136.40678</v>
      </c>
      <c r="P104" s="56">
        <v>1136.40678</v>
      </c>
      <c r="Q104" s="56">
        <v>1136.40678</v>
      </c>
      <c r="R104" s="56">
        <v>1187.3787852</v>
      </c>
      <c r="S104" s="56">
        <v>1187.3787852</v>
      </c>
      <c r="T104" s="56">
        <v>1187.3787852</v>
      </c>
      <c r="U104" s="56">
        <v>1187.3787852</v>
      </c>
      <c r="V104" s="56">
        <v>1240.540162152</v>
      </c>
      <c r="W104" s="56">
        <v>1240.540162152</v>
      </c>
      <c r="X104" s="56">
        <v>1240.540162152</v>
      </c>
      <c r="Y104" s="56">
        <v>1240.540162152</v>
      </c>
      <c r="Z104" s="56">
        <v>1296.2011153444801</v>
      </c>
      <c r="AA104" s="56">
        <v>1296.2011153444801</v>
      </c>
      <c r="AB104" s="56">
        <v>1296.2011153444801</v>
      </c>
      <c r="AC104" s="56">
        <v>0</v>
      </c>
      <c r="AD104" s="56">
        <v>1354.4484764628867</v>
      </c>
      <c r="AE104" s="56">
        <v>0</v>
      </c>
      <c r="AF104" s="56">
        <v>0</v>
      </c>
      <c r="AG104" s="56">
        <v>0</v>
      </c>
      <c r="AH104" s="56"/>
      <c r="AI104" s="56"/>
      <c r="AJ104" s="56"/>
      <c r="AK104" s="56"/>
    </row>
    <row r="107" spans="2:37">
      <c r="B107" s="30" t="s">
        <v>107</v>
      </c>
    </row>
    <row r="109" spans="2:37">
      <c r="E109" t="s">
        <v>77</v>
      </c>
      <c r="G109" t="s">
        <v>92</v>
      </c>
      <c r="J109">
        <f>I113</f>
        <v>0</v>
      </c>
      <c r="K109">
        <f t="shared" ref="K109:AK109" si="19">J113</f>
        <v>201229.12500000003</v>
      </c>
      <c r="L109">
        <f t="shared" si="19"/>
        <v>239299.50000000009</v>
      </c>
      <c r="M109">
        <f t="shared" si="19"/>
        <v>358949.25000000012</v>
      </c>
      <c r="N109">
        <f t="shared" si="19"/>
        <v>152281.50000000012</v>
      </c>
      <c r="O109">
        <f t="shared" si="19"/>
        <v>356547.62722500012</v>
      </c>
      <c r="P109">
        <f t="shared" si="19"/>
        <v>375014.2374000001</v>
      </c>
      <c r="Q109">
        <f t="shared" si="19"/>
        <v>482972.88150000013</v>
      </c>
      <c r="R109">
        <f t="shared" si="19"/>
        <v>232963.38990000013</v>
      </c>
      <c r="S109">
        <f t="shared" si="19"/>
        <v>435693.80299432517</v>
      </c>
      <c r="T109">
        <f t="shared" si="19"/>
        <v>431612.18842020008</v>
      </c>
      <c r="U109">
        <f t="shared" si="19"/>
        <v>525711.95714730001</v>
      </c>
      <c r="V109">
        <f t="shared" si="19"/>
        <v>227086.19266950007</v>
      </c>
      <c r="W109">
        <f t="shared" si="19"/>
        <v>422756.70382136793</v>
      </c>
      <c r="X109">
        <f t="shared" si="19"/>
        <v>392848.05584948446</v>
      </c>
      <c r="Y109">
        <f t="shared" si="19"/>
        <v>470645.43076844176</v>
      </c>
      <c r="Z109">
        <f t="shared" si="19"/>
        <v>117618.71412403625</v>
      </c>
      <c r="AA109">
        <f t="shared" si="19"/>
        <v>299841.90022424329</v>
      </c>
      <c r="AB109">
        <f t="shared" si="19"/>
        <v>240456.64865616022</v>
      </c>
      <c r="AC109">
        <f t="shared" si="19"/>
        <v>299236.93885994109</v>
      </c>
      <c r="AD109">
        <f t="shared" si="19"/>
        <v>0</v>
      </c>
      <c r="AE109">
        <f t="shared" si="19"/>
        <v>46579.176238325483</v>
      </c>
      <c r="AF109">
        <f t="shared" si="19"/>
        <v>0</v>
      </c>
      <c r="AG109">
        <f t="shared" si="19"/>
        <v>0</v>
      </c>
      <c r="AH109">
        <f t="shared" si="19"/>
        <v>0</v>
      </c>
      <c r="AI109">
        <f t="shared" si="19"/>
        <v>0</v>
      </c>
      <c r="AJ109">
        <f t="shared" si="19"/>
        <v>0</v>
      </c>
      <c r="AK109">
        <f t="shared" si="19"/>
        <v>0</v>
      </c>
    </row>
    <row r="110" spans="2:37">
      <c r="E110" s="45" t="s">
        <v>6</v>
      </c>
      <c r="G110" t="s">
        <v>92</v>
      </c>
      <c r="J110" cm="1">
        <f t="array" ref="J110:AK110">_xlfn.ANCHORARRAY( J22) *_xlfn.ANCHORARRAY( J42) / 1000</f>
        <v>445967.25000000006</v>
      </c>
      <c r="K110">
        <v>445967.25000000006</v>
      </c>
      <c r="L110">
        <v>445967.25000000006</v>
      </c>
      <c r="M110">
        <v>445967.25000000006</v>
      </c>
      <c r="N110">
        <v>465926.77980000002</v>
      </c>
      <c r="O110">
        <v>465926.77980000002</v>
      </c>
      <c r="P110">
        <v>465926.77980000002</v>
      </c>
      <c r="Q110">
        <v>465926.77980000002</v>
      </c>
      <c r="R110">
        <v>486825.30193200003</v>
      </c>
      <c r="S110">
        <v>486825.30193200003</v>
      </c>
      <c r="T110">
        <v>486825.30193200003</v>
      </c>
      <c r="U110">
        <v>486825.30193200003</v>
      </c>
      <c r="V110">
        <v>508621.46648231999</v>
      </c>
      <c r="W110">
        <v>508621.46648231999</v>
      </c>
      <c r="X110">
        <v>508621.46648231999</v>
      </c>
      <c r="Y110">
        <v>508621.46648231999</v>
      </c>
      <c r="Z110">
        <v>531442.45729123685</v>
      </c>
      <c r="AA110">
        <v>531442.45729123685</v>
      </c>
      <c r="AB110">
        <v>531442.45729123685</v>
      </c>
      <c r="AC110">
        <v>531442.45729123685</v>
      </c>
      <c r="AD110">
        <v>555323.87534978357</v>
      </c>
      <c r="AE110">
        <v>555323.87534978357</v>
      </c>
      <c r="AF110">
        <v>555323.87534978357</v>
      </c>
      <c r="AG110">
        <v>555323.87534978357</v>
      </c>
      <c r="AH110">
        <v>580297.99726846034</v>
      </c>
      <c r="AI110">
        <v>580297.99726846034</v>
      </c>
      <c r="AJ110">
        <v>580297.99726846034</v>
      </c>
      <c r="AK110">
        <v>580297.99726846034</v>
      </c>
    </row>
    <row r="111" spans="2:37">
      <c r="E111" s="45" t="s">
        <v>99</v>
      </c>
      <c r="G111" t="s">
        <v>92</v>
      </c>
      <c r="J111" cm="1">
        <f t="array" ref="J111:AK111" xml:space="preserve"> $J$91:$AK$91 * -1</f>
        <v>0</v>
      </c>
      <c r="K111">
        <v>-201229.12500000003</v>
      </c>
      <c r="L111">
        <v>-239299.50000000003</v>
      </c>
      <c r="M111">
        <v>-358949.25000000006</v>
      </c>
      <c r="N111">
        <v>-152281.50000000003</v>
      </c>
      <c r="O111">
        <v>-356547.627225</v>
      </c>
      <c r="P111">
        <v>-357968.13569999998</v>
      </c>
      <c r="Q111">
        <v>-482972.88150000002</v>
      </c>
      <c r="R111">
        <v>-232963.38990000001</v>
      </c>
      <c r="S111">
        <v>-435693.80299432506</v>
      </c>
      <c r="T111">
        <v>-392725.53320490004</v>
      </c>
      <c r="U111">
        <v>-525711.95714730001</v>
      </c>
      <c r="V111">
        <v>-227086.19266949999</v>
      </c>
      <c r="W111">
        <v>-422756.70382136799</v>
      </c>
      <c r="X111">
        <v>-392848.05584948452</v>
      </c>
      <c r="Y111">
        <v>-470645.43076844182</v>
      </c>
      <c r="Z111">
        <v>-117618.71412403628</v>
      </c>
      <c r="AA111">
        <v>-299841.90022424323</v>
      </c>
      <c r="AB111">
        <v>-240456.64865616016</v>
      </c>
      <c r="AC111">
        <v>-299236.93885994109</v>
      </c>
      <c r="AD111">
        <v>0</v>
      </c>
      <c r="AE111">
        <v>-46579.176238325483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2:37">
      <c r="E112" s="45" t="s">
        <v>100</v>
      </c>
      <c r="G112" t="s">
        <v>92</v>
      </c>
      <c r="J112">
        <f xml:space="preserve"> J69 * -1</f>
        <v>-244738.12500000003</v>
      </c>
      <c r="K112">
        <f t="shared" ref="K112:AK112" si="20" xml:space="preserve"> K69 * -1</f>
        <v>-206667.75000000003</v>
      </c>
      <c r="L112">
        <f t="shared" si="20"/>
        <v>-87018.000000000015</v>
      </c>
      <c r="M112">
        <f t="shared" si="20"/>
        <v>-293685.75000000006</v>
      </c>
      <c r="N112">
        <f t="shared" si="20"/>
        <v>-109379.152575</v>
      </c>
      <c r="O112">
        <f t="shared" si="20"/>
        <v>-90912.542400000006</v>
      </c>
      <c r="P112">
        <f t="shared" si="20"/>
        <v>0</v>
      </c>
      <c r="Q112">
        <f t="shared" si="20"/>
        <v>-232963.38990000001</v>
      </c>
      <c r="R112">
        <f t="shared" si="20"/>
        <v>-51131.498937675002</v>
      </c>
      <c r="S112">
        <f t="shared" si="20"/>
        <v>-55213.113511800002</v>
      </c>
      <c r="T112">
        <f t="shared" si="20"/>
        <v>0</v>
      </c>
      <c r="U112">
        <f t="shared" si="20"/>
        <v>-259739.10926250002</v>
      </c>
      <c r="V112">
        <f t="shared" si="20"/>
        <v>-85864.762660952067</v>
      </c>
      <c r="W112">
        <f t="shared" si="20"/>
        <v>-115773.41063283548</v>
      </c>
      <c r="X112">
        <f t="shared" si="20"/>
        <v>-37976.035713878242</v>
      </c>
      <c r="Y112">
        <f t="shared" si="20"/>
        <v>-391002.75235828367</v>
      </c>
      <c r="Z112">
        <f t="shared" si="20"/>
        <v>-231600.55706699356</v>
      </c>
      <c r="AA112">
        <f t="shared" si="20"/>
        <v>-290985.80863507662</v>
      </c>
      <c r="AB112">
        <f t="shared" si="20"/>
        <v>-232205.51843129576</v>
      </c>
      <c r="AC112">
        <f t="shared" si="20"/>
        <v>-531442.45729123685</v>
      </c>
      <c r="AD112">
        <f t="shared" si="20"/>
        <v>-508744.69911145809</v>
      </c>
      <c r="AE112">
        <f t="shared" si="20"/>
        <v>-555323.87534978357</v>
      </c>
      <c r="AF112">
        <f t="shared" si="20"/>
        <v>-555323.87534978357</v>
      </c>
      <c r="AG112">
        <f t="shared" si="20"/>
        <v>-555323.87534978357</v>
      </c>
      <c r="AH112">
        <f t="shared" si="20"/>
        <v>-580297.99726846034</v>
      </c>
      <c r="AI112">
        <f t="shared" si="20"/>
        <v>-580297.99726846034</v>
      </c>
      <c r="AJ112">
        <f t="shared" si="20"/>
        <v>-580297.99726846034</v>
      </c>
      <c r="AK112">
        <f t="shared" si="20"/>
        <v>-580297.99726846034</v>
      </c>
    </row>
    <row r="113" spans="1:37">
      <c r="E113" s="63" t="s">
        <v>79</v>
      </c>
      <c r="F113" s="48"/>
      <c r="G113" s="48" t="s">
        <v>92</v>
      </c>
      <c r="H113" s="48"/>
      <c r="I113" s="48"/>
      <c r="J113" s="48">
        <f t="shared" ref="J113:AK113" si="21">SUM( J109:J112)</f>
        <v>201229.12500000003</v>
      </c>
      <c r="K113" s="48">
        <f t="shared" si="21"/>
        <v>239299.50000000009</v>
      </c>
      <c r="L113" s="48">
        <f t="shared" si="21"/>
        <v>358949.25000000012</v>
      </c>
      <c r="M113" s="48">
        <f t="shared" si="21"/>
        <v>152281.50000000012</v>
      </c>
      <c r="N113" s="48">
        <f t="shared" si="21"/>
        <v>356547.62722500012</v>
      </c>
      <c r="O113" s="48">
        <f t="shared" si="21"/>
        <v>375014.2374000001</v>
      </c>
      <c r="P113" s="48">
        <f t="shared" si="21"/>
        <v>482972.88150000013</v>
      </c>
      <c r="Q113" s="48">
        <f t="shared" si="21"/>
        <v>232963.38990000013</v>
      </c>
      <c r="R113" s="48">
        <f t="shared" si="21"/>
        <v>435693.80299432517</v>
      </c>
      <c r="S113" s="48">
        <f t="shared" si="21"/>
        <v>431612.18842020008</v>
      </c>
      <c r="T113" s="48">
        <f t="shared" si="21"/>
        <v>525711.95714730001</v>
      </c>
      <c r="U113" s="48">
        <f t="shared" si="21"/>
        <v>227086.19266950007</v>
      </c>
      <c r="V113" s="48">
        <f t="shared" si="21"/>
        <v>422756.70382136793</v>
      </c>
      <c r="W113" s="48">
        <f t="shared" si="21"/>
        <v>392848.05584948446</v>
      </c>
      <c r="X113" s="48">
        <f t="shared" si="21"/>
        <v>470645.43076844176</v>
      </c>
      <c r="Y113" s="48">
        <f t="shared" si="21"/>
        <v>117618.71412403625</v>
      </c>
      <c r="Z113" s="48">
        <f t="shared" si="21"/>
        <v>299841.90022424329</v>
      </c>
      <c r="AA113" s="48">
        <f t="shared" si="21"/>
        <v>240456.64865616022</v>
      </c>
      <c r="AB113" s="48">
        <f t="shared" si="21"/>
        <v>299236.93885994109</v>
      </c>
      <c r="AC113" s="48">
        <f t="shared" si="21"/>
        <v>0</v>
      </c>
      <c r="AD113" s="48">
        <f t="shared" si="21"/>
        <v>46579.176238325483</v>
      </c>
      <c r="AE113" s="48">
        <f t="shared" si="21"/>
        <v>0</v>
      </c>
      <c r="AF113" s="48">
        <f t="shared" si="21"/>
        <v>0</v>
      </c>
      <c r="AG113" s="48">
        <f t="shared" si="21"/>
        <v>0</v>
      </c>
      <c r="AH113" s="48">
        <f t="shared" si="21"/>
        <v>0</v>
      </c>
      <c r="AI113" s="48">
        <f t="shared" si="21"/>
        <v>0</v>
      </c>
      <c r="AJ113" s="48">
        <f t="shared" si="21"/>
        <v>0</v>
      </c>
      <c r="AK113" s="48">
        <f t="shared" si="21"/>
        <v>0</v>
      </c>
    </row>
    <row r="117" spans="1:37" s="23" customFormat="1">
      <c r="A117" s="24" t="s">
        <v>108</v>
      </c>
    </row>
    <row r="120" spans="1:37">
      <c r="E120" t="s">
        <v>98</v>
      </c>
      <c r="G120" t="s">
        <v>75</v>
      </c>
      <c r="J120">
        <f>I124</f>
        <v>0</v>
      </c>
      <c r="K120">
        <f t="shared" ref="K120:AK120" si="22">J124</f>
        <v>185000</v>
      </c>
      <c r="L120">
        <f t="shared" si="22"/>
        <v>220000</v>
      </c>
      <c r="M120">
        <f t="shared" si="22"/>
        <v>330000</v>
      </c>
      <c r="N120">
        <f t="shared" si="22"/>
        <v>140000</v>
      </c>
      <c r="O120">
        <f t="shared" si="22"/>
        <v>313750</v>
      </c>
      <c r="P120">
        <f t="shared" si="22"/>
        <v>330000</v>
      </c>
      <c r="Q120">
        <f t="shared" si="22"/>
        <v>425000</v>
      </c>
      <c r="R120">
        <f t="shared" si="22"/>
        <v>205000</v>
      </c>
      <c r="S120">
        <f t="shared" si="22"/>
        <v>366937.5</v>
      </c>
      <c r="T120">
        <f t="shared" si="22"/>
        <v>363500</v>
      </c>
      <c r="U120">
        <f t="shared" si="22"/>
        <v>442750</v>
      </c>
      <c r="V120">
        <f t="shared" si="22"/>
        <v>191250</v>
      </c>
      <c r="W120">
        <f t="shared" si="22"/>
        <v>340784.375</v>
      </c>
      <c r="X120">
        <f t="shared" si="22"/>
        <v>316674.99999999994</v>
      </c>
      <c r="Y120">
        <f t="shared" si="22"/>
        <v>379387.49999999994</v>
      </c>
      <c r="Z120">
        <f t="shared" si="22"/>
        <v>94812.499999999884</v>
      </c>
      <c r="AA120">
        <f t="shared" si="22"/>
        <v>231323.59374999988</v>
      </c>
      <c r="AB120">
        <f t="shared" si="22"/>
        <v>185508.74999999988</v>
      </c>
      <c r="AC120">
        <f t="shared" si="22"/>
        <v>230856.87499999988</v>
      </c>
      <c r="AD120">
        <f t="shared" si="22"/>
        <v>0</v>
      </c>
      <c r="AE120">
        <f t="shared" si="22"/>
        <v>34389.773437499825</v>
      </c>
      <c r="AF120">
        <f t="shared" si="22"/>
        <v>0</v>
      </c>
      <c r="AG120">
        <f t="shared" si="22"/>
        <v>0</v>
      </c>
      <c r="AH120">
        <f t="shared" si="22"/>
        <v>0</v>
      </c>
      <c r="AI120">
        <f t="shared" si="22"/>
        <v>0</v>
      </c>
      <c r="AJ120">
        <f t="shared" si="22"/>
        <v>0</v>
      </c>
      <c r="AK120">
        <f t="shared" si="22"/>
        <v>0</v>
      </c>
    </row>
    <row r="121" spans="1:37">
      <c r="E121" s="45" t="s">
        <v>6</v>
      </c>
      <c r="G121" t="s">
        <v>75</v>
      </c>
      <c r="J121" cm="1">
        <f t="array" ref="J121:AK121">_xlfn.ANCHORARRAY( J22)</f>
        <v>410000</v>
      </c>
      <c r="K121">
        <v>410000</v>
      </c>
      <c r="L121">
        <v>410000</v>
      </c>
      <c r="M121">
        <v>410000</v>
      </c>
      <c r="N121">
        <v>410000</v>
      </c>
      <c r="O121">
        <v>410000</v>
      </c>
      <c r="P121">
        <v>410000</v>
      </c>
      <c r="Q121">
        <v>410000</v>
      </c>
      <c r="R121">
        <v>410000</v>
      </c>
      <c r="S121">
        <v>410000</v>
      </c>
      <c r="T121">
        <v>410000</v>
      </c>
      <c r="U121">
        <v>410000</v>
      </c>
      <c r="V121">
        <v>410000</v>
      </c>
      <c r="W121">
        <v>410000</v>
      </c>
      <c r="X121">
        <v>410000</v>
      </c>
      <c r="Y121">
        <v>410000</v>
      </c>
      <c r="Z121">
        <v>410000</v>
      </c>
      <c r="AA121">
        <v>410000</v>
      </c>
      <c r="AB121">
        <v>410000</v>
      </c>
      <c r="AC121">
        <v>410000</v>
      </c>
      <c r="AD121">
        <v>410000</v>
      </c>
      <c r="AE121">
        <v>410000</v>
      </c>
      <c r="AF121">
        <v>410000</v>
      </c>
      <c r="AG121">
        <v>410000</v>
      </c>
      <c r="AH121">
        <v>410000</v>
      </c>
      <c r="AI121">
        <v>410000</v>
      </c>
      <c r="AJ121">
        <v>410000</v>
      </c>
      <c r="AK121">
        <v>410000</v>
      </c>
    </row>
    <row r="122" spans="1:37">
      <c r="E122" s="62" t="s">
        <v>111</v>
      </c>
      <c r="F122" s="62"/>
      <c r="G122" s="62" t="s">
        <v>75</v>
      </c>
      <c r="H122" s="62"/>
      <c r="I122" s="62"/>
      <c r="J122" s="62">
        <f>SUM( J120:J121)</f>
        <v>410000</v>
      </c>
      <c r="K122" s="62">
        <f t="shared" ref="K122:AK122" si="23">SUM( K120:K121)</f>
        <v>595000</v>
      </c>
      <c r="L122" s="62">
        <f t="shared" si="23"/>
        <v>630000</v>
      </c>
      <c r="M122" s="62">
        <f t="shared" si="23"/>
        <v>740000</v>
      </c>
      <c r="N122" s="62">
        <f t="shared" si="23"/>
        <v>550000</v>
      </c>
      <c r="O122" s="62">
        <f t="shared" si="23"/>
        <v>723750</v>
      </c>
      <c r="P122" s="62">
        <f t="shared" si="23"/>
        <v>740000</v>
      </c>
      <c r="Q122" s="62">
        <f t="shared" si="23"/>
        <v>835000</v>
      </c>
      <c r="R122" s="62">
        <f t="shared" si="23"/>
        <v>615000</v>
      </c>
      <c r="S122" s="62">
        <f t="shared" si="23"/>
        <v>776937.5</v>
      </c>
      <c r="T122" s="62">
        <f t="shared" si="23"/>
        <v>773500</v>
      </c>
      <c r="U122" s="62">
        <f t="shared" si="23"/>
        <v>852750</v>
      </c>
      <c r="V122" s="62">
        <f t="shared" si="23"/>
        <v>601250</v>
      </c>
      <c r="W122" s="62">
        <f t="shared" si="23"/>
        <v>750784.375</v>
      </c>
      <c r="X122" s="62">
        <f t="shared" si="23"/>
        <v>726675</v>
      </c>
      <c r="Y122" s="62">
        <f t="shared" si="23"/>
        <v>789387.5</v>
      </c>
      <c r="Z122" s="62">
        <f t="shared" si="23"/>
        <v>504812.49999999988</v>
      </c>
      <c r="AA122" s="62">
        <f t="shared" si="23"/>
        <v>641323.59374999988</v>
      </c>
      <c r="AB122" s="62">
        <f t="shared" si="23"/>
        <v>595508.74999999988</v>
      </c>
      <c r="AC122" s="62">
        <f t="shared" si="23"/>
        <v>640856.87499999988</v>
      </c>
      <c r="AD122" s="62">
        <f t="shared" si="23"/>
        <v>410000</v>
      </c>
      <c r="AE122" s="62">
        <f t="shared" si="23"/>
        <v>444389.77343749983</v>
      </c>
      <c r="AF122" s="62">
        <f t="shared" si="23"/>
        <v>410000</v>
      </c>
      <c r="AG122" s="62">
        <f t="shared" si="23"/>
        <v>410000</v>
      </c>
      <c r="AH122" s="62">
        <f t="shared" si="23"/>
        <v>410000</v>
      </c>
      <c r="AI122" s="62">
        <f t="shared" si="23"/>
        <v>410000</v>
      </c>
      <c r="AJ122" s="62">
        <f t="shared" si="23"/>
        <v>410000</v>
      </c>
      <c r="AK122" s="62">
        <f t="shared" si="23"/>
        <v>410000</v>
      </c>
    </row>
    <row r="123" spans="1:37">
      <c r="E123" s="45" t="s">
        <v>78</v>
      </c>
      <c r="G123" t="s">
        <v>75</v>
      </c>
      <c r="J123" cm="1">
        <f t="array" ref="J123:AK123" xml:space="preserve"> $J$30:$AK$30 * - 1</f>
        <v>-225000</v>
      </c>
      <c r="K123">
        <v>-375000</v>
      </c>
      <c r="L123">
        <v>-300000</v>
      </c>
      <c r="M123">
        <v>-600000</v>
      </c>
      <c r="N123">
        <v>-236250</v>
      </c>
      <c r="O123">
        <v>-393750</v>
      </c>
      <c r="P123">
        <v>-315000</v>
      </c>
      <c r="Q123">
        <v>-630000</v>
      </c>
      <c r="R123">
        <v>-248062.5</v>
      </c>
      <c r="S123">
        <v>-413437.5</v>
      </c>
      <c r="T123">
        <v>-330750</v>
      </c>
      <c r="U123">
        <v>-661500</v>
      </c>
      <c r="V123">
        <v>-260465.62500000003</v>
      </c>
      <c r="W123">
        <v>-434109.37500000006</v>
      </c>
      <c r="X123">
        <v>-347287.50000000006</v>
      </c>
      <c r="Y123">
        <v>-694575.00000000012</v>
      </c>
      <c r="Z123">
        <v>-273488.90625</v>
      </c>
      <c r="AA123">
        <v>-455814.84375</v>
      </c>
      <c r="AB123">
        <v>-364651.875</v>
      </c>
      <c r="AC123">
        <v>-640856.87499999988</v>
      </c>
      <c r="AD123">
        <v>-375610.22656250017</v>
      </c>
      <c r="AE123">
        <v>-444389.77343749983</v>
      </c>
      <c r="AF123">
        <v>-410000</v>
      </c>
      <c r="AG123">
        <v>-410000</v>
      </c>
      <c r="AH123">
        <v>-410000</v>
      </c>
      <c r="AI123">
        <v>-410000</v>
      </c>
      <c r="AJ123">
        <v>-410000</v>
      </c>
      <c r="AK123">
        <v>-410000</v>
      </c>
    </row>
    <row r="124" spans="1:37">
      <c r="E124" s="62" t="s">
        <v>110</v>
      </c>
      <c r="F124" s="62"/>
      <c r="G124" s="62" t="s">
        <v>75</v>
      </c>
      <c r="H124" s="62"/>
      <c r="I124" s="62"/>
      <c r="J124" s="62">
        <f>SUM( J122:J123)</f>
        <v>185000</v>
      </c>
      <c r="K124" s="62">
        <f t="shared" ref="K124:AK124" si="24">SUM( K122:K123)</f>
        <v>220000</v>
      </c>
      <c r="L124" s="62">
        <f t="shared" si="24"/>
        <v>330000</v>
      </c>
      <c r="M124" s="62">
        <f t="shared" si="24"/>
        <v>140000</v>
      </c>
      <c r="N124" s="62">
        <f t="shared" si="24"/>
        <v>313750</v>
      </c>
      <c r="O124" s="62">
        <f t="shared" si="24"/>
        <v>330000</v>
      </c>
      <c r="P124" s="62">
        <f t="shared" si="24"/>
        <v>425000</v>
      </c>
      <c r="Q124" s="62">
        <f t="shared" si="24"/>
        <v>205000</v>
      </c>
      <c r="R124" s="62">
        <f t="shared" si="24"/>
        <v>366937.5</v>
      </c>
      <c r="S124" s="62">
        <f t="shared" si="24"/>
        <v>363500</v>
      </c>
      <c r="T124" s="62">
        <f t="shared" si="24"/>
        <v>442750</v>
      </c>
      <c r="U124" s="62">
        <f t="shared" si="24"/>
        <v>191250</v>
      </c>
      <c r="V124" s="62">
        <f t="shared" si="24"/>
        <v>340784.375</v>
      </c>
      <c r="W124" s="62">
        <f t="shared" si="24"/>
        <v>316674.99999999994</v>
      </c>
      <c r="X124" s="62">
        <f t="shared" si="24"/>
        <v>379387.49999999994</v>
      </c>
      <c r="Y124" s="62">
        <f t="shared" si="24"/>
        <v>94812.499999999884</v>
      </c>
      <c r="Z124" s="62">
        <f t="shared" si="24"/>
        <v>231323.59374999988</v>
      </c>
      <c r="AA124" s="62">
        <f t="shared" si="24"/>
        <v>185508.74999999988</v>
      </c>
      <c r="AB124" s="62">
        <f t="shared" si="24"/>
        <v>230856.87499999988</v>
      </c>
      <c r="AC124" s="62">
        <f t="shared" si="24"/>
        <v>0</v>
      </c>
      <c r="AD124" s="62">
        <f t="shared" si="24"/>
        <v>34389.773437499825</v>
      </c>
      <c r="AE124" s="62">
        <f t="shared" si="24"/>
        <v>0</v>
      </c>
      <c r="AF124" s="62">
        <f t="shared" si="24"/>
        <v>0</v>
      </c>
      <c r="AG124" s="62">
        <f t="shared" si="24"/>
        <v>0</v>
      </c>
      <c r="AH124" s="62">
        <f t="shared" si="24"/>
        <v>0</v>
      </c>
      <c r="AI124" s="62">
        <f t="shared" si="24"/>
        <v>0</v>
      </c>
      <c r="AJ124" s="62">
        <f t="shared" si="24"/>
        <v>0</v>
      </c>
      <c r="AK124" s="62">
        <f t="shared" si="24"/>
        <v>0</v>
      </c>
    </row>
    <row r="127" spans="1:37">
      <c r="E127" t="s">
        <v>98</v>
      </c>
      <c r="G127" t="s">
        <v>92</v>
      </c>
      <c r="J127">
        <f>I137</f>
        <v>0</v>
      </c>
      <c r="K127">
        <f t="shared" ref="K127:AK127" si="25">J137</f>
        <v>201229.12500000003</v>
      </c>
      <c r="L127">
        <f t="shared" si="25"/>
        <v>239299.5</v>
      </c>
      <c r="M127">
        <f t="shared" si="25"/>
        <v>358949.24999999994</v>
      </c>
      <c r="N127">
        <f t="shared" si="25"/>
        <v>152281.49999999988</v>
      </c>
      <c r="O127">
        <f t="shared" si="25"/>
        <v>352659.72324954538</v>
      </c>
      <c r="P127">
        <f t="shared" si="25"/>
        <v>373241.51434383419</v>
      </c>
      <c r="Q127">
        <f t="shared" si="25"/>
        <v>481954.76352855342</v>
      </c>
      <c r="R127">
        <f t="shared" si="25"/>
        <v>232713.43279323773</v>
      </c>
      <c r="S127">
        <f t="shared" si="25"/>
        <v>429310.15361502761</v>
      </c>
      <c r="T127">
        <f t="shared" si="25"/>
        <v>428625.51761415112</v>
      </c>
      <c r="U127">
        <f t="shared" si="25"/>
        <v>524002.39218365675</v>
      </c>
      <c r="V127">
        <f t="shared" si="25"/>
        <v>226702.78100219218</v>
      </c>
      <c r="W127">
        <f t="shared" si="25"/>
        <v>416776.73863011191</v>
      </c>
      <c r="X127">
        <f t="shared" si="25"/>
        <v>390325.75312183239</v>
      </c>
      <c r="Y127">
        <f t="shared" si="25"/>
        <v>469328.56954975787</v>
      </c>
      <c r="Z127">
        <f t="shared" si="25"/>
        <v>117460.54731205048</v>
      </c>
      <c r="AA127">
        <f t="shared" si="25"/>
        <v>297351.14526681718</v>
      </c>
      <c r="AB127">
        <f t="shared" si="25"/>
        <v>239736.17486849462</v>
      </c>
      <c r="AC127">
        <f t="shared" si="25"/>
        <v>298957.63762861601</v>
      </c>
      <c r="AD127">
        <f t="shared" si="25"/>
        <v>0</v>
      </c>
      <c r="AE127">
        <f t="shared" si="25"/>
        <v>46579.176238325424</v>
      </c>
      <c r="AF127">
        <f t="shared" si="25"/>
        <v>0</v>
      </c>
      <c r="AG127">
        <f t="shared" si="25"/>
        <v>0</v>
      </c>
      <c r="AH127">
        <f t="shared" si="25"/>
        <v>0</v>
      </c>
      <c r="AI127">
        <f t="shared" si="25"/>
        <v>0</v>
      </c>
      <c r="AJ127">
        <f t="shared" si="25"/>
        <v>0</v>
      </c>
      <c r="AK127">
        <f t="shared" si="25"/>
        <v>0</v>
      </c>
    </row>
    <row r="128" spans="1:37">
      <c r="E128" s="45" t="s">
        <v>17</v>
      </c>
      <c r="G128" t="s">
        <v>92</v>
      </c>
      <c r="H128" t="s">
        <v>88</v>
      </c>
      <c r="J128" cm="1">
        <f t="array" ref="J128:AK128">_xlfn.ANCHORARRAY( J22) *_xlfn.ANCHORARRAY( J42) / 1000</f>
        <v>445967.25000000006</v>
      </c>
      <c r="K128">
        <v>445967.25000000006</v>
      </c>
      <c r="L128">
        <v>445967.25000000006</v>
      </c>
      <c r="M128">
        <v>445967.25000000006</v>
      </c>
      <c r="N128">
        <v>465926.77980000002</v>
      </c>
      <c r="O128">
        <v>465926.77980000002</v>
      </c>
      <c r="P128">
        <v>465926.77980000002</v>
      </c>
      <c r="Q128">
        <v>465926.77980000002</v>
      </c>
      <c r="R128">
        <v>486825.30193200003</v>
      </c>
      <c r="S128">
        <v>486825.30193200003</v>
      </c>
      <c r="T128">
        <v>486825.30193200003</v>
      </c>
      <c r="U128">
        <v>486825.30193200003</v>
      </c>
      <c r="V128">
        <v>508621.46648231999</v>
      </c>
      <c r="W128">
        <v>508621.46648231999</v>
      </c>
      <c r="X128">
        <v>508621.46648231999</v>
      </c>
      <c r="Y128">
        <v>508621.46648231999</v>
      </c>
      <c r="Z128">
        <v>531442.45729123685</v>
      </c>
      <c r="AA128">
        <v>531442.45729123685</v>
      </c>
      <c r="AB128">
        <v>531442.45729123685</v>
      </c>
      <c r="AC128">
        <v>531442.45729123685</v>
      </c>
      <c r="AD128">
        <v>555323.87534978357</v>
      </c>
      <c r="AE128">
        <v>555323.87534978357</v>
      </c>
      <c r="AF128">
        <v>555323.87534978357</v>
      </c>
      <c r="AG128">
        <v>555323.87534978357</v>
      </c>
      <c r="AH128">
        <v>580297.99726846034</v>
      </c>
      <c r="AI128">
        <v>580297.99726846034</v>
      </c>
      <c r="AJ128">
        <v>580297.99726846034</v>
      </c>
      <c r="AK128">
        <v>580297.99726846034</v>
      </c>
    </row>
    <row r="129" spans="1:37">
      <c r="E129" s="62" t="s">
        <v>111</v>
      </c>
      <c r="F129" s="62"/>
      <c r="G129" s="62" t="s">
        <v>92</v>
      </c>
      <c r="H129" s="62"/>
      <c r="I129" s="62"/>
      <c r="J129" s="62">
        <f>SUM( J127:J128)</f>
        <v>445967.25000000006</v>
      </c>
      <c r="K129" s="62">
        <f t="shared" ref="K129:AK129" si="26">SUM( K127:K128)</f>
        <v>647196.37500000012</v>
      </c>
      <c r="L129" s="62">
        <f t="shared" si="26"/>
        <v>685266.75</v>
      </c>
      <c r="M129" s="62">
        <f t="shared" si="26"/>
        <v>804916.5</v>
      </c>
      <c r="N129" s="62">
        <f t="shared" si="26"/>
        <v>618208.2797999999</v>
      </c>
      <c r="O129" s="62">
        <f t="shared" si="26"/>
        <v>818586.50304954546</v>
      </c>
      <c r="P129" s="62">
        <f t="shared" si="26"/>
        <v>839168.29414383415</v>
      </c>
      <c r="Q129" s="62">
        <f t="shared" si="26"/>
        <v>947881.54332855344</v>
      </c>
      <c r="R129" s="62">
        <f t="shared" si="26"/>
        <v>719538.73472523782</v>
      </c>
      <c r="S129" s="62">
        <f t="shared" si="26"/>
        <v>916135.45554702764</v>
      </c>
      <c r="T129" s="62">
        <f t="shared" si="26"/>
        <v>915450.81954615121</v>
      </c>
      <c r="U129" s="62">
        <f t="shared" si="26"/>
        <v>1010827.6941156568</v>
      </c>
      <c r="V129" s="62">
        <f t="shared" si="26"/>
        <v>735324.24748451216</v>
      </c>
      <c r="W129" s="62">
        <f t="shared" si="26"/>
        <v>925398.2051124319</v>
      </c>
      <c r="X129" s="62">
        <f t="shared" si="26"/>
        <v>898947.21960415237</v>
      </c>
      <c r="Y129" s="62">
        <f t="shared" si="26"/>
        <v>977950.03603207786</v>
      </c>
      <c r="Z129" s="62">
        <f t="shared" si="26"/>
        <v>648903.00460328732</v>
      </c>
      <c r="AA129" s="62">
        <f t="shared" si="26"/>
        <v>828793.60255805403</v>
      </c>
      <c r="AB129" s="62">
        <f t="shared" si="26"/>
        <v>771178.63215973147</v>
      </c>
      <c r="AC129" s="62">
        <f t="shared" si="26"/>
        <v>830400.09491985291</v>
      </c>
      <c r="AD129" s="62">
        <f t="shared" si="26"/>
        <v>555323.87534978357</v>
      </c>
      <c r="AE129" s="62">
        <f t="shared" si="26"/>
        <v>601903.051588109</v>
      </c>
      <c r="AF129" s="62">
        <f t="shared" si="26"/>
        <v>555323.87534978357</v>
      </c>
      <c r="AG129" s="62">
        <f t="shared" si="26"/>
        <v>555323.87534978357</v>
      </c>
      <c r="AH129" s="62">
        <f t="shared" si="26"/>
        <v>580297.99726846034</v>
      </c>
      <c r="AI129" s="62">
        <f t="shared" si="26"/>
        <v>580297.99726846034</v>
      </c>
      <c r="AJ129" s="62">
        <f t="shared" si="26"/>
        <v>580297.99726846034</v>
      </c>
      <c r="AK129" s="62">
        <f t="shared" si="26"/>
        <v>580297.99726846034</v>
      </c>
    </row>
    <row r="131" spans="1:37">
      <c r="E131" t="s">
        <v>112</v>
      </c>
      <c r="G131" t="s">
        <v>92</v>
      </c>
      <c r="J131">
        <f>J129/J122*1000</f>
        <v>1087.7250000000001</v>
      </c>
      <c r="K131">
        <f t="shared" ref="K131:AK131" si="27">K129/K122*1000</f>
        <v>1087.7250000000004</v>
      </c>
      <c r="L131">
        <f t="shared" si="27"/>
        <v>1087.7250000000001</v>
      </c>
      <c r="M131">
        <f t="shared" si="27"/>
        <v>1087.7250000000001</v>
      </c>
      <c r="N131">
        <f t="shared" si="27"/>
        <v>1124.015054181818</v>
      </c>
      <c r="O131">
        <f t="shared" si="27"/>
        <v>1131.0348919510127</v>
      </c>
      <c r="P131">
        <f t="shared" si="27"/>
        <v>1134.0112083024785</v>
      </c>
      <c r="Q131">
        <f t="shared" si="27"/>
        <v>1135.1874770401837</v>
      </c>
      <c r="R131">
        <f t="shared" si="27"/>
        <v>1169.9816824800614</v>
      </c>
      <c r="S131">
        <f t="shared" si="27"/>
        <v>1179.162359323662</v>
      </c>
      <c r="T131">
        <f t="shared" si="27"/>
        <v>1183.5175430460906</v>
      </c>
      <c r="U131">
        <f t="shared" si="27"/>
        <v>1185.3740183121158</v>
      </c>
      <c r="V131">
        <f t="shared" si="27"/>
        <v>1222.9925114087521</v>
      </c>
      <c r="W131">
        <f t="shared" si="27"/>
        <v>1232.5752052477544</v>
      </c>
      <c r="X131">
        <f t="shared" si="27"/>
        <v>1237.0691431577422</v>
      </c>
      <c r="Y131">
        <f t="shared" si="27"/>
        <v>1238.8719558291432</v>
      </c>
      <c r="Z131">
        <f t="shared" si="27"/>
        <v>1285.4337097502291</v>
      </c>
      <c r="AA131">
        <f t="shared" si="27"/>
        <v>1292.3173428126418</v>
      </c>
      <c r="AB131">
        <f t="shared" si="27"/>
        <v>1294.9912694981083</v>
      </c>
      <c r="AC131">
        <f t="shared" si="27"/>
        <v>1295.7652906818751</v>
      </c>
      <c r="AD131">
        <f t="shared" si="27"/>
        <v>1354.4484764628869</v>
      </c>
      <c r="AE131">
        <f t="shared" si="27"/>
        <v>1354.4484764628867</v>
      </c>
      <c r="AF131">
        <f t="shared" si="27"/>
        <v>1354.4484764628869</v>
      </c>
      <c r="AG131">
        <f t="shared" si="27"/>
        <v>1354.4484764628869</v>
      </c>
      <c r="AH131">
        <f t="shared" si="27"/>
        <v>1415.3609689474642</v>
      </c>
      <c r="AI131">
        <f t="shared" si="27"/>
        <v>1415.3609689474642</v>
      </c>
      <c r="AJ131">
        <f t="shared" si="27"/>
        <v>1415.3609689474642</v>
      </c>
      <c r="AK131">
        <f t="shared" si="27"/>
        <v>1415.3609689474642</v>
      </c>
    </row>
    <row r="132" spans="1:37">
      <c r="E132" t="s">
        <v>78</v>
      </c>
      <c r="G132" t="s">
        <v>75</v>
      </c>
      <c r="J132">
        <f>J30</f>
        <v>225000</v>
      </c>
      <c r="K132">
        <f t="shared" ref="K132:AK132" si="28">K30</f>
        <v>375000</v>
      </c>
      <c r="L132">
        <f t="shared" si="28"/>
        <v>300000</v>
      </c>
      <c r="M132">
        <f t="shared" si="28"/>
        <v>600000</v>
      </c>
      <c r="N132">
        <f t="shared" si="28"/>
        <v>236250</v>
      </c>
      <c r="O132">
        <f t="shared" si="28"/>
        <v>393750</v>
      </c>
      <c r="P132">
        <f t="shared" si="28"/>
        <v>315000</v>
      </c>
      <c r="Q132">
        <f t="shared" si="28"/>
        <v>630000</v>
      </c>
      <c r="R132">
        <f t="shared" si="28"/>
        <v>248062.5</v>
      </c>
      <c r="S132">
        <f t="shared" si="28"/>
        <v>413437.5</v>
      </c>
      <c r="T132">
        <f t="shared" si="28"/>
        <v>330750</v>
      </c>
      <c r="U132">
        <f t="shared" si="28"/>
        <v>661500</v>
      </c>
      <c r="V132">
        <f t="shared" si="28"/>
        <v>260465.62500000003</v>
      </c>
      <c r="W132">
        <f t="shared" si="28"/>
        <v>434109.37500000006</v>
      </c>
      <c r="X132">
        <f t="shared" si="28"/>
        <v>347287.50000000006</v>
      </c>
      <c r="Y132">
        <f t="shared" si="28"/>
        <v>694575.00000000012</v>
      </c>
      <c r="Z132">
        <f t="shared" si="28"/>
        <v>273488.90625</v>
      </c>
      <c r="AA132">
        <f t="shared" si="28"/>
        <v>455814.84375</v>
      </c>
      <c r="AB132">
        <f t="shared" si="28"/>
        <v>364651.875</v>
      </c>
      <c r="AC132">
        <f t="shared" si="28"/>
        <v>640856.87499999988</v>
      </c>
      <c r="AD132">
        <f t="shared" si="28"/>
        <v>375610.22656250017</v>
      </c>
      <c r="AE132">
        <f t="shared" si="28"/>
        <v>444389.77343749983</v>
      </c>
      <c r="AF132">
        <f t="shared" si="28"/>
        <v>410000</v>
      </c>
      <c r="AG132">
        <f t="shared" si="28"/>
        <v>410000</v>
      </c>
      <c r="AH132">
        <f t="shared" si="28"/>
        <v>410000</v>
      </c>
      <c r="AI132">
        <f t="shared" si="28"/>
        <v>410000</v>
      </c>
      <c r="AJ132">
        <f t="shared" si="28"/>
        <v>410000</v>
      </c>
      <c r="AK132">
        <f t="shared" si="28"/>
        <v>410000</v>
      </c>
    </row>
    <row r="133" spans="1:37">
      <c r="E133" t="s">
        <v>113</v>
      </c>
      <c r="G133" t="s">
        <v>92</v>
      </c>
      <c r="J133">
        <f>J131*J132/1000</f>
        <v>244738.12500000003</v>
      </c>
      <c r="K133">
        <f t="shared" ref="K133:AK133" si="29">K131*K132/1000</f>
        <v>407896.87500000012</v>
      </c>
      <c r="L133">
        <f t="shared" si="29"/>
        <v>326317.50000000006</v>
      </c>
      <c r="M133">
        <f t="shared" si="29"/>
        <v>652635.00000000012</v>
      </c>
      <c r="N133">
        <f t="shared" si="29"/>
        <v>265548.55655045452</v>
      </c>
      <c r="O133">
        <f t="shared" si="29"/>
        <v>445344.98870571126</v>
      </c>
      <c r="P133">
        <f t="shared" si="29"/>
        <v>357213.53061528073</v>
      </c>
      <c r="Q133">
        <f t="shared" si="29"/>
        <v>715168.1105353157</v>
      </c>
      <c r="R133">
        <f t="shared" si="29"/>
        <v>290228.58111021022</v>
      </c>
      <c r="S133">
        <f t="shared" si="29"/>
        <v>487509.93793287652</v>
      </c>
      <c r="T133">
        <f t="shared" si="29"/>
        <v>391448.42736249446</v>
      </c>
      <c r="U133">
        <f t="shared" si="29"/>
        <v>784124.9131134646</v>
      </c>
      <c r="V133">
        <f t="shared" si="29"/>
        <v>318547.50885440025</v>
      </c>
      <c r="W133">
        <f t="shared" si="29"/>
        <v>535072.45199059951</v>
      </c>
      <c r="X133">
        <f t="shared" si="29"/>
        <v>429618.6500543945</v>
      </c>
      <c r="Y133">
        <f t="shared" si="29"/>
        <v>860489.48872002738</v>
      </c>
      <c r="Z133">
        <f t="shared" si="29"/>
        <v>351551.85933647014</v>
      </c>
      <c r="AA133">
        <f t="shared" si="29"/>
        <v>589057.42768955941</v>
      </c>
      <c r="AB133">
        <f t="shared" si="29"/>
        <v>472220.99453111546</v>
      </c>
      <c r="AC133">
        <f t="shared" si="29"/>
        <v>830400.09491985303</v>
      </c>
      <c r="AD133">
        <f t="shared" si="29"/>
        <v>508744.69911145815</v>
      </c>
      <c r="AE133">
        <f t="shared" si="29"/>
        <v>601903.051588109</v>
      </c>
      <c r="AF133">
        <f t="shared" si="29"/>
        <v>555323.87534978369</v>
      </c>
      <c r="AG133">
        <f t="shared" si="29"/>
        <v>555323.87534978369</v>
      </c>
      <c r="AH133">
        <f t="shared" si="29"/>
        <v>580297.99726846034</v>
      </c>
      <c r="AI133">
        <f t="shared" si="29"/>
        <v>580297.99726846034</v>
      </c>
      <c r="AJ133">
        <f t="shared" si="29"/>
        <v>580297.99726846034</v>
      </c>
      <c r="AK133">
        <f t="shared" si="29"/>
        <v>580297.99726846034</v>
      </c>
    </row>
    <row r="135" spans="1:37">
      <c r="E135" t="s">
        <v>111</v>
      </c>
      <c r="G135" t="s">
        <v>92</v>
      </c>
      <c r="J135">
        <f>J129</f>
        <v>445967.25000000006</v>
      </c>
      <c r="K135">
        <f t="shared" ref="K135:AK135" si="30">K129</f>
        <v>647196.37500000012</v>
      </c>
      <c r="L135">
        <f t="shared" si="30"/>
        <v>685266.75</v>
      </c>
      <c r="M135">
        <f t="shared" si="30"/>
        <v>804916.5</v>
      </c>
      <c r="N135">
        <f t="shared" si="30"/>
        <v>618208.2797999999</v>
      </c>
      <c r="O135">
        <f t="shared" si="30"/>
        <v>818586.50304954546</v>
      </c>
      <c r="P135">
        <f t="shared" si="30"/>
        <v>839168.29414383415</v>
      </c>
      <c r="Q135">
        <f t="shared" si="30"/>
        <v>947881.54332855344</v>
      </c>
      <c r="R135">
        <f t="shared" si="30"/>
        <v>719538.73472523782</v>
      </c>
      <c r="S135">
        <f t="shared" si="30"/>
        <v>916135.45554702764</v>
      </c>
      <c r="T135">
        <f t="shared" si="30"/>
        <v>915450.81954615121</v>
      </c>
      <c r="U135">
        <f t="shared" si="30"/>
        <v>1010827.6941156568</v>
      </c>
      <c r="V135">
        <f t="shared" si="30"/>
        <v>735324.24748451216</v>
      </c>
      <c r="W135">
        <f t="shared" si="30"/>
        <v>925398.2051124319</v>
      </c>
      <c r="X135">
        <f t="shared" si="30"/>
        <v>898947.21960415237</v>
      </c>
      <c r="Y135">
        <f t="shared" si="30"/>
        <v>977950.03603207786</v>
      </c>
      <c r="Z135">
        <f t="shared" si="30"/>
        <v>648903.00460328732</v>
      </c>
      <c r="AA135">
        <f t="shared" si="30"/>
        <v>828793.60255805403</v>
      </c>
      <c r="AB135">
        <f t="shared" si="30"/>
        <v>771178.63215973147</v>
      </c>
      <c r="AC135">
        <f t="shared" si="30"/>
        <v>830400.09491985291</v>
      </c>
      <c r="AD135">
        <f t="shared" si="30"/>
        <v>555323.87534978357</v>
      </c>
      <c r="AE135">
        <f t="shared" si="30"/>
        <v>601903.051588109</v>
      </c>
      <c r="AF135">
        <f t="shared" si="30"/>
        <v>555323.87534978357</v>
      </c>
      <c r="AG135">
        <f t="shared" si="30"/>
        <v>555323.87534978357</v>
      </c>
      <c r="AH135">
        <f t="shared" si="30"/>
        <v>580297.99726846034</v>
      </c>
      <c r="AI135">
        <f t="shared" si="30"/>
        <v>580297.99726846034</v>
      </c>
      <c r="AJ135">
        <f t="shared" si="30"/>
        <v>580297.99726846034</v>
      </c>
      <c r="AK135">
        <f t="shared" si="30"/>
        <v>580297.99726846034</v>
      </c>
    </row>
    <row r="136" spans="1:37">
      <c r="E136" t="s">
        <v>113</v>
      </c>
      <c r="G136" t="s">
        <v>92</v>
      </c>
      <c r="J136">
        <f>J133*-1</f>
        <v>-244738.12500000003</v>
      </c>
      <c r="K136">
        <f t="shared" ref="K136:AK136" si="31">K133*-1</f>
        <v>-407896.87500000012</v>
      </c>
      <c r="L136">
        <f t="shared" si="31"/>
        <v>-326317.50000000006</v>
      </c>
      <c r="M136">
        <f t="shared" si="31"/>
        <v>-652635.00000000012</v>
      </c>
      <c r="N136">
        <f t="shared" si="31"/>
        <v>-265548.55655045452</v>
      </c>
      <c r="O136">
        <f t="shared" si="31"/>
        <v>-445344.98870571126</v>
      </c>
      <c r="P136">
        <f t="shared" si="31"/>
        <v>-357213.53061528073</v>
      </c>
      <c r="Q136">
        <f t="shared" si="31"/>
        <v>-715168.1105353157</v>
      </c>
      <c r="R136">
        <f t="shared" si="31"/>
        <v>-290228.58111021022</v>
      </c>
      <c r="S136">
        <f t="shared" si="31"/>
        <v>-487509.93793287652</v>
      </c>
      <c r="T136">
        <f t="shared" si="31"/>
        <v>-391448.42736249446</v>
      </c>
      <c r="U136">
        <f t="shared" si="31"/>
        <v>-784124.9131134646</v>
      </c>
      <c r="V136">
        <f t="shared" si="31"/>
        <v>-318547.50885440025</v>
      </c>
      <c r="W136">
        <f t="shared" si="31"/>
        <v>-535072.45199059951</v>
      </c>
      <c r="X136">
        <f t="shared" si="31"/>
        <v>-429618.6500543945</v>
      </c>
      <c r="Y136">
        <f t="shared" si="31"/>
        <v>-860489.48872002738</v>
      </c>
      <c r="Z136">
        <f t="shared" si="31"/>
        <v>-351551.85933647014</v>
      </c>
      <c r="AA136">
        <f t="shared" si="31"/>
        <v>-589057.42768955941</v>
      </c>
      <c r="AB136">
        <f t="shared" si="31"/>
        <v>-472220.99453111546</v>
      </c>
      <c r="AC136">
        <f t="shared" si="31"/>
        <v>-830400.09491985303</v>
      </c>
      <c r="AD136">
        <f t="shared" si="31"/>
        <v>-508744.69911145815</v>
      </c>
      <c r="AE136">
        <f t="shared" si="31"/>
        <v>-601903.051588109</v>
      </c>
      <c r="AF136">
        <f t="shared" si="31"/>
        <v>-555323.87534978369</v>
      </c>
      <c r="AG136">
        <f t="shared" si="31"/>
        <v>-555323.87534978369</v>
      </c>
      <c r="AH136">
        <f t="shared" si="31"/>
        <v>-580297.99726846034</v>
      </c>
      <c r="AI136">
        <f t="shared" si="31"/>
        <v>-580297.99726846034</v>
      </c>
      <c r="AJ136">
        <f t="shared" si="31"/>
        <v>-580297.99726846034</v>
      </c>
      <c r="AK136">
        <f t="shared" si="31"/>
        <v>-580297.99726846034</v>
      </c>
    </row>
    <row r="137" spans="1:37">
      <c r="E137" t="s">
        <v>114</v>
      </c>
      <c r="G137" t="s">
        <v>92</v>
      </c>
      <c r="J137">
        <f>SUM( J135:J136)</f>
        <v>201229.12500000003</v>
      </c>
      <c r="K137">
        <f t="shared" ref="K137:AK137" si="32">SUM( K135:K136)</f>
        <v>239299.5</v>
      </c>
      <c r="L137">
        <f t="shared" si="32"/>
        <v>358949.24999999994</v>
      </c>
      <c r="M137">
        <f t="shared" si="32"/>
        <v>152281.49999999988</v>
      </c>
      <c r="N137">
        <f t="shared" si="32"/>
        <v>352659.72324954538</v>
      </c>
      <c r="O137">
        <f t="shared" si="32"/>
        <v>373241.51434383419</v>
      </c>
      <c r="P137">
        <f t="shared" si="32"/>
        <v>481954.76352855342</v>
      </c>
      <c r="Q137">
        <f t="shared" si="32"/>
        <v>232713.43279323773</v>
      </c>
      <c r="R137">
        <f t="shared" si="32"/>
        <v>429310.15361502761</v>
      </c>
      <c r="S137">
        <f t="shared" si="32"/>
        <v>428625.51761415112</v>
      </c>
      <c r="T137">
        <f t="shared" si="32"/>
        <v>524002.39218365675</v>
      </c>
      <c r="U137">
        <f t="shared" si="32"/>
        <v>226702.78100219218</v>
      </c>
      <c r="V137">
        <f t="shared" si="32"/>
        <v>416776.73863011191</v>
      </c>
      <c r="W137">
        <f t="shared" si="32"/>
        <v>390325.75312183239</v>
      </c>
      <c r="X137">
        <f t="shared" si="32"/>
        <v>469328.56954975787</v>
      </c>
      <c r="Y137">
        <f t="shared" si="32"/>
        <v>117460.54731205048</v>
      </c>
      <c r="Z137">
        <f t="shared" si="32"/>
        <v>297351.14526681718</v>
      </c>
      <c r="AA137">
        <f t="shared" si="32"/>
        <v>239736.17486849462</v>
      </c>
      <c r="AB137">
        <f t="shared" si="32"/>
        <v>298957.63762861601</v>
      </c>
      <c r="AC137">
        <f t="shared" si="32"/>
        <v>0</v>
      </c>
      <c r="AD137">
        <f t="shared" si="32"/>
        <v>46579.176238325424</v>
      </c>
      <c r="AE137">
        <f t="shared" si="32"/>
        <v>0</v>
      </c>
      <c r="AF137">
        <f t="shared" si="32"/>
        <v>0</v>
      </c>
      <c r="AG137">
        <f t="shared" si="32"/>
        <v>0</v>
      </c>
      <c r="AH137">
        <f t="shared" si="32"/>
        <v>0</v>
      </c>
      <c r="AI137">
        <f t="shared" si="32"/>
        <v>0</v>
      </c>
      <c r="AJ137">
        <f t="shared" si="32"/>
        <v>0</v>
      </c>
      <c r="AK137">
        <f t="shared" si="32"/>
        <v>0</v>
      </c>
    </row>
    <row r="140" spans="1:37" s="23" customFormat="1">
      <c r="A140" s="24" t="s">
        <v>116</v>
      </c>
    </row>
    <row r="142" spans="1:37">
      <c r="E142" s="48" t="str">
        <f>E$49</f>
        <v>Revenue</v>
      </c>
      <c r="F142" s="48">
        <f t="shared" ref="F142:AK142" si="33">F$49</f>
        <v>0</v>
      </c>
      <c r="G142" s="48" t="str">
        <f t="shared" si="33"/>
        <v>USD m</v>
      </c>
      <c r="H142" s="48">
        <f t="shared" si="33"/>
        <v>0</v>
      </c>
      <c r="I142" s="48">
        <f t="shared" si="33"/>
        <v>0</v>
      </c>
      <c r="J142" s="48">
        <f t="shared" si="33"/>
        <v>318159</v>
      </c>
      <c r="K142" s="48">
        <f t="shared" si="33"/>
        <v>530265</v>
      </c>
      <c r="L142" s="48">
        <f t="shared" si="33"/>
        <v>424212</v>
      </c>
      <c r="M142" s="48">
        <f t="shared" si="33"/>
        <v>848424</v>
      </c>
      <c r="N142" s="48">
        <f t="shared" si="33"/>
        <v>347677.3125</v>
      </c>
      <c r="O142" s="48">
        <f t="shared" si="33"/>
        <v>579462.1875</v>
      </c>
      <c r="P142" s="48">
        <f t="shared" si="33"/>
        <v>463569.75</v>
      </c>
      <c r="Q142" s="48">
        <f t="shared" si="33"/>
        <v>927139.5</v>
      </c>
      <c r="R142" s="48">
        <f t="shared" si="33"/>
        <v>379962.29249999998</v>
      </c>
      <c r="S142" s="48">
        <f t="shared" si="33"/>
        <v>633270.48750000005</v>
      </c>
      <c r="T142" s="48">
        <f t="shared" si="33"/>
        <v>506616.39</v>
      </c>
      <c r="U142" s="48">
        <f t="shared" si="33"/>
        <v>1013232.78</v>
      </c>
      <c r="V142" s="48">
        <f t="shared" si="33"/>
        <v>415205.64815625001</v>
      </c>
      <c r="W142" s="48">
        <f t="shared" si="33"/>
        <v>692009.41359374998</v>
      </c>
      <c r="X142" s="48">
        <f t="shared" si="33"/>
        <v>553607.53087500017</v>
      </c>
      <c r="Y142" s="48">
        <f t="shared" si="33"/>
        <v>1107215.0617500003</v>
      </c>
      <c r="Z142" s="48">
        <f t="shared" si="33"/>
        <v>453756.38391562505</v>
      </c>
      <c r="AA142" s="48">
        <f t="shared" si="33"/>
        <v>756260.63985937496</v>
      </c>
      <c r="AB142" s="48">
        <f t="shared" si="33"/>
        <v>605008.51188750006</v>
      </c>
      <c r="AC142" s="48">
        <f t="shared" si="33"/>
        <v>1063271.2755874998</v>
      </c>
      <c r="AD142" s="48">
        <f t="shared" si="33"/>
        <v>648648.81245531281</v>
      </c>
      <c r="AE142" s="48">
        <f t="shared" si="33"/>
        <v>767425.58754468733</v>
      </c>
      <c r="AF142" s="48">
        <f t="shared" si="33"/>
        <v>708037.2</v>
      </c>
      <c r="AG142" s="48">
        <f t="shared" si="33"/>
        <v>708037.2</v>
      </c>
      <c r="AH142" s="48">
        <f t="shared" si="33"/>
        <v>736979.1</v>
      </c>
      <c r="AI142" s="48">
        <f t="shared" si="33"/>
        <v>736979.1</v>
      </c>
      <c r="AJ142" s="48">
        <f t="shared" si="33"/>
        <v>736979.1</v>
      </c>
      <c r="AK142" s="48">
        <f t="shared" si="33"/>
        <v>736979.1</v>
      </c>
    </row>
    <row r="144" spans="1:37">
      <c r="E144" t="s">
        <v>117</v>
      </c>
    </row>
    <row r="145" spans="5:37">
      <c r="E145" s="45" t="s">
        <v>118</v>
      </c>
      <c r="G145" t="s">
        <v>92</v>
      </c>
      <c r="J145">
        <f xml:space="preserve"> SUM( J$111, J$112 )</f>
        <v>-244738.12500000003</v>
      </c>
      <c r="K145">
        <f t="shared" ref="K145:AK145" si="34" xml:space="preserve"> SUM( K$111, K$112 )</f>
        <v>-407896.87500000006</v>
      </c>
      <c r="L145">
        <f t="shared" si="34"/>
        <v>-326317.50000000006</v>
      </c>
      <c r="M145">
        <f t="shared" si="34"/>
        <v>-652635.00000000012</v>
      </c>
      <c r="N145">
        <f t="shared" si="34"/>
        <v>-261660.65257500001</v>
      </c>
      <c r="O145">
        <f t="shared" si="34"/>
        <v>-447460.16962499998</v>
      </c>
      <c r="P145">
        <f t="shared" si="34"/>
        <v>-357968.13569999998</v>
      </c>
      <c r="Q145">
        <f t="shared" si="34"/>
        <v>-715936.27139999997</v>
      </c>
      <c r="R145">
        <f t="shared" si="34"/>
        <v>-284094.88883767498</v>
      </c>
      <c r="S145">
        <f t="shared" si="34"/>
        <v>-490906.91650612507</v>
      </c>
      <c r="T145">
        <f t="shared" si="34"/>
        <v>-392725.53320490004</v>
      </c>
      <c r="U145">
        <f t="shared" si="34"/>
        <v>-785451.06640979997</v>
      </c>
      <c r="V145">
        <f t="shared" si="34"/>
        <v>-312950.95533045207</v>
      </c>
      <c r="W145">
        <f t="shared" si="34"/>
        <v>-538530.11445420352</v>
      </c>
      <c r="X145">
        <f t="shared" si="34"/>
        <v>-430824.09156336274</v>
      </c>
      <c r="Y145">
        <f t="shared" si="34"/>
        <v>-861648.18312672549</v>
      </c>
      <c r="Z145">
        <f t="shared" si="34"/>
        <v>-349219.27119102981</v>
      </c>
      <c r="AA145">
        <f t="shared" si="34"/>
        <v>-590827.7088593198</v>
      </c>
      <c r="AB145">
        <f t="shared" si="34"/>
        <v>-472662.16708745592</v>
      </c>
      <c r="AC145">
        <f t="shared" si="34"/>
        <v>-830679.39615117793</v>
      </c>
      <c r="AD145">
        <f t="shared" si="34"/>
        <v>-508744.69911145809</v>
      </c>
      <c r="AE145">
        <f t="shared" si="34"/>
        <v>-601903.051588109</v>
      </c>
      <c r="AF145">
        <f t="shared" si="34"/>
        <v>-555323.87534978357</v>
      </c>
      <c r="AG145">
        <f t="shared" si="34"/>
        <v>-555323.87534978357</v>
      </c>
      <c r="AH145">
        <f t="shared" si="34"/>
        <v>-580297.99726846034</v>
      </c>
      <c r="AI145">
        <f t="shared" si="34"/>
        <v>-580297.99726846034</v>
      </c>
      <c r="AJ145">
        <f t="shared" si="34"/>
        <v>-580297.99726846034</v>
      </c>
      <c r="AK145">
        <f t="shared" si="34"/>
        <v>-580297.99726846034</v>
      </c>
    </row>
    <row r="146" spans="5:37">
      <c r="E146" s="45" t="s">
        <v>50</v>
      </c>
      <c r="G146" t="s">
        <v>92</v>
      </c>
      <c r="J146">
        <f xml:space="preserve"> J$136</f>
        <v>-244738.12500000003</v>
      </c>
      <c r="K146">
        <f t="shared" ref="K146:AK146" si="35" xml:space="preserve"> K$136</f>
        <v>-407896.87500000012</v>
      </c>
      <c r="L146">
        <f t="shared" si="35"/>
        <v>-326317.50000000006</v>
      </c>
      <c r="M146">
        <f t="shared" si="35"/>
        <v>-652635.00000000012</v>
      </c>
      <c r="N146">
        <f t="shared" si="35"/>
        <v>-265548.55655045452</v>
      </c>
      <c r="O146">
        <f t="shared" si="35"/>
        <v>-445344.98870571126</v>
      </c>
      <c r="P146">
        <f t="shared" si="35"/>
        <v>-357213.53061528073</v>
      </c>
      <c r="Q146">
        <f t="shared" si="35"/>
        <v>-715168.1105353157</v>
      </c>
      <c r="R146">
        <f t="shared" si="35"/>
        <v>-290228.58111021022</v>
      </c>
      <c r="S146">
        <f t="shared" si="35"/>
        <v>-487509.93793287652</v>
      </c>
      <c r="T146">
        <f t="shared" si="35"/>
        <v>-391448.42736249446</v>
      </c>
      <c r="U146">
        <f t="shared" si="35"/>
        <v>-784124.9131134646</v>
      </c>
      <c r="V146">
        <f t="shared" si="35"/>
        <v>-318547.50885440025</v>
      </c>
      <c r="W146">
        <f t="shared" si="35"/>
        <v>-535072.45199059951</v>
      </c>
      <c r="X146">
        <f t="shared" si="35"/>
        <v>-429618.6500543945</v>
      </c>
      <c r="Y146">
        <f t="shared" si="35"/>
        <v>-860489.48872002738</v>
      </c>
      <c r="Z146">
        <f t="shared" si="35"/>
        <v>-351551.85933647014</v>
      </c>
      <c r="AA146">
        <f t="shared" si="35"/>
        <v>-589057.42768955941</v>
      </c>
      <c r="AB146">
        <f t="shared" si="35"/>
        <v>-472220.99453111546</v>
      </c>
      <c r="AC146">
        <f t="shared" si="35"/>
        <v>-830400.09491985303</v>
      </c>
      <c r="AD146">
        <f t="shared" si="35"/>
        <v>-508744.69911145815</v>
      </c>
      <c r="AE146">
        <f t="shared" si="35"/>
        <v>-601903.051588109</v>
      </c>
      <c r="AF146">
        <f t="shared" si="35"/>
        <v>-555323.87534978369</v>
      </c>
      <c r="AG146">
        <f t="shared" si="35"/>
        <v>-555323.87534978369</v>
      </c>
      <c r="AH146">
        <f t="shared" si="35"/>
        <v>-580297.99726846034</v>
      </c>
      <c r="AI146">
        <f t="shared" si="35"/>
        <v>-580297.99726846034</v>
      </c>
      <c r="AJ146">
        <f t="shared" si="35"/>
        <v>-580297.99726846034</v>
      </c>
      <c r="AK146">
        <f t="shared" si="35"/>
        <v>-580297.99726846034</v>
      </c>
    </row>
    <row r="148" spans="5:37">
      <c r="E148" t="s">
        <v>119</v>
      </c>
    </row>
    <row r="149" spans="5:37">
      <c r="E149" s="45" t="s">
        <v>118</v>
      </c>
      <c r="G149" t="s">
        <v>92</v>
      </c>
      <c r="J149">
        <f xml:space="preserve"> J$142 + J$145</f>
        <v>73420.874999999971</v>
      </c>
      <c r="K149">
        <f t="shared" ref="K149:AK149" si="36" xml:space="preserve"> K$142 + K$145</f>
        <v>122368.12499999994</v>
      </c>
      <c r="L149">
        <f t="shared" si="36"/>
        <v>97894.499999999942</v>
      </c>
      <c r="M149">
        <f t="shared" si="36"/>
        <v>195788.99999999988</v>
      </c>
      <c r="N149">
        <f t="shared" si="36"/>
        <v>86016.659924999985</v>
      </c>
      <c r="O149">
        <f t="shared" si="36"/>
        <v>132002.01787500002</v>
      </c>
      <c r="P149">
        <f t="shared" si="36"/>
        <v>105601.61430000002</v>
      </c>
      <c r="Q149">
        <f t="shared" si="36"/>
        <v>211203.22860000003</v>
      </c>
      <c r="R149">
        <f t="shared" si="36"/>
        <v>95867.403662324999</v>
      </c>
      <c r="S149">
        <f t="shared" si="36"/>
        <v>142363.57099387498</v>
      </c>
      <c r="T149">
        <f t="shared" si="36"/>
        <v>113890.85679509997</v>
      </c>
      <c r="U149">
        <f t="shared" si="36"/>
        <v>227781.71359020006</v>
      </c>
      <c r="V149">
        <f t="shared" si="36"/>
        <v>102254.69282579795</v>
      </c>
      <c r="W149">
        <f t="shared" si="36"/>
        <v>153479.29913954646</v>
      </c>
      <c r="X149">
        <f t="shared" si="36"/>
        <v>122783.43931163743</v>
      </c>
      <c r="Y149">
        <f t="shared" si="36"/>
        <v>245566.87862327485</v>
      </c>
      <c r="Z149">
        <f t="shared" si="36"/>
        <v>104537.11272459524</v>
      </c>
      <c r="AA149">
        <f t="shared" si="36"/>
        <v>165432.93100005516</v>
      </c>
      <c r="AB149">
        <f t="shared" si="36"/>
        <v>132346.34480004414</v>
      </c>
      <c r="AC149">
        <f t="shared" si="36"/>
        <v>232591.87943632191</v>
      </c>
      <c r="AD149">
        <f t="shared" si="36"/>
        <v>139904.11334385473</v>
      </c>
      <c r="AE149">
        <f t="shared" si="36"/>
        <v>165522.53595657833</v>
      </c>
      <c r="AF149">
        <f t="shared" si="36"/>
        <v>152713.32465021638</v>
      </c>
      <c r="AG149">
        <f t="shared" si="36"/>
        <v>152713.32465021638</v>
      </c>
      <c r="AH149">
        <f t="shared" si="36"/>
        <v>156681.10273153963</v>
      </c>
      <c r="AI149">
        <f t="shared" si="36"/>
        <v>156681.10273153963</v>
      </c>
      <c r="AJ149">
        <f t="shared" si="36"/>
        <v>156681.10273153963</v>
      </c>
      <c r="AK149">
        <f t="shared" si="36"/>
        <v>156681.10273153963</v>
      </c>
    </row>
    <row r="150" spans="5:37">
      <c r="E150" s="45" t="s">
        <v>50</v>
      </c>
      <c r="G150" t="s">
        <v>92</v>
      </c>
      <c r="J150">
        <f xml:space="preserve"> J$142 + J$146</f>
        <v>73420.874999999971</v>
      </c>
      <c r="K150">
        <f t="shared" ref="K150:AK150" si="37" xml:space="preserve"> K$142 + K$146</f>
        <v>122368.12499999988</v>
      </c>
      <c r="L150">
        <f t="shared" si="37"/>
        <v>97894.499999999942</v>
      </c>
      <c r="M150">
        <f t="shared" si="37"/>
        <v>195788.99999999988</v>
      </c>
      <c r="N150">
        <f t="shared" si="37"/>
        <v>82128.755949545477</v>
      </c>
      <c r="O150">
        <f t="shared" si="37"/>
        <v>134117.19879428874</v>
      </c>
      <c r="P150">
        <f t="shared" si="37"/>
        <v>106356.21938471927</v>
      </c>
      <c r="Q150">
        <f t="shared" si="37"/>
        <v>211971.3894646843</v>
      </c>
      <c r="R150">
        <f t="shared" si="37"/>
        <v>89733.711389789765</v>
      </c>
      <c r="S150">
        <f t="shared" si="37"/>
        <v>145760.54956712353</v>
      </c>
      <c r="T150">
        <f t="shared" si="37"/>
        <v>115167.96263750555</v>
      </c>
      <c r="U150">
        <f t="shared" si="37"/>
        <v>229107.86688653543</v>
      </c>
      <c r="V150">
        <f t="shared" si="37"/>
        <v>96658.139301849762</v>
      </c>
      <c r="W150">
        <f t="shared" si="37"/>
        <v>156936.96160315047</v>
      </c>
      <c r="X150">
        <f t="shared" si="37"/>
        <v>123988.88082060567</v>
      </c>
      <c r="Y150">
        <f t="shared" si="37"/>
        <v>246725.57302997296</v>
      </c>
      <c r="Z150">
        <f t="shared" si="37"/>
        <v>102204.52457915491</v>
      </c>
      <c r="AA150">
        <f t="shared" si="37"/>
        <v>167203.21216981555</v>
      </c>
      <c r="AB150">
        <f t="shared" si="37"/>
        <v>132787.5173563846</v>
      </c>
      <c r="AC150">
        <f t="shared" si="37"/>
        <v>232871.18066764681</v>
      </c>
      <c r="AD150">
        <f t="shared" si="37"/>
        <v>139904.11334385467</v>
      </c>
      <c r="AE150">
        <f t="shared" si="37"/>
        <v>165522.53595657833</v>
      </c>
      <c r="AF150">
        <f t="shared" si="37"/>
        <v>152713.32465021627</v>
      </c>
      <c r="AG150">
        <f t="shared" si="37"/>
        <v>152713.32465021627</v>
      </c>
      <c r="AH150">
        <f t="shared" si="37"/>
        <v>156681.10273153963</v>
      </c>
      <c r="AI150">
        <f t="shared" si="37"/>
        <v>156681.10273153963</v>
      </c>
      <c r="AJ150">
        <f t="shared" si="37"/>
        <v>156681.10273153963</v>
      </c>
      <c r="AK150">
        <f t="shared" si="37"/>
        <v>156681.10273153963</v>
      </c>
    </row>
    <row r="152" spans="5:37">
      <c r="E152" t="s">
        <v>120</v>
      </c>
      <c r="G152" t="s">
        <v>92</v>
      </c>
      <c r="J152">
        <f xml:space="preserve"> CaseData!$E$27 / 1000 * - 1</f>
        <v>-37500</v>
      </c>
      <c r="K152">
        <f xml:space="preserve"> CaseData!$E$27 / 1000 * - 1</f>
        <v>-37500</v>
      </c>
      <c r="L152">
        <f xml:space="preserve"> CaseData!$E$27 / 1000 * - 1</f>
        <v>-37500</v>
      </c>
      <c r="M152">
        <f xml:space="preserve"> CaseData!$E$27 / 1000 * - 1</f>
        <v>-37500</v>
      </c>
      <c r="N152">
        <f xml:space="preserve"> CaseData!$E$27 / 1000 * - 1</f>
        <v>-37500</v>
      </c>
      <c r="O152">
        <f xml:space="preserve"> CaseData!$E$27 / 1000 * - 1</f>
        <v>-37500</v>
      </c>
      <c r="P152">
        <f xml:space="preserve"> CaseData!$E$27 / 1000 * - 1</f>
        <v>-37500</v>
      </c>
      <c r="Q152">
        <f xml:space="preserve"> CaseData!$E$27 / 1000 * - 1</f>
        <v>-37500</v>
      </c>
      <c r="R152">
        <f xml:space="preserve"> CaseData!$E$27 / 1000 * - 1</f>
        <v>-37500</v>
      </c>
      <c r="S152">
        <f xml:space="preserve"> CaseData!$E$27 / 1000 * - 1</f>
        <v>-37500</v>
      </c>
      <c r="T152">
        <f xml:space="preserve"> CaseData!$E$27 / 1000 * - 1</f>
        <v>-37500</v>
      </c>
      <c r="U152">
        <f xml:space="preserve"> CaseData!$E$27 / 1000 * - 1</f>
        <v>-37500</v>
      </c>
      <c r="V152">
        <f xml:space="preserve"> CaseData!$E$27 / 1000 * - 1</f>
        <v>-37500</v>
      </c>
      <c r="W152">
        <f xml:space="preserve"> CaseData!$E$27 / 1000 * - 1</f>
        <v>-37500</v>
      </c>
      <c r="X152">
        <f xml:space="preserve"> CaseData!$E$27 / 1000 * - 1</f>
        <v>-37500</v>
      </c>
      <c r="Y152">
        <f xml:space="preserve"> CaseData!$E$27 / 1000 * - 1</f>
        <v>-37500</v>
      </c>
      <c r="Z152">
        <f xml:space="preserve"> CaseData!$E$27 / 1000 * - 1</f>
        <v>-37500</v>
      </c>
      <c r="AA152">
        <f xml:space="preserve"> CaseData!$E$27 / 1000 * - 1</f>
        <v>-37500</v>
      </c>
      <c r="AB152">
        <f xml:space="preserve"> CaseData!$E$27 / 1000 * - 1</f>
        <v>-37500</v>
      </c>
      <c r="AC152">
        <f xml:space="preserve"> CaseData!$E$27 / 1000 * - 1</f>
        <v>-37500</v>
      </c>
      <c r="AD152">
        <f xml:space="preserve"> CaseData!$E$27 / 1000 * - 1</f>
        <v>-37500</v>
      </c>
      <c r="AE152">
        <f xml:space="preserve"> CaseData!$E$27 / 1000 * - 1</f>
        <v>-37500</v>
      </c>
      <c r="AF152">
        <f xml:space="preserve"> CaseData!$E$27 / 1000 * - 1</f>
        <v>-37500</v>
      </c>
      <c r="AG152">
        <f xml:space="preserve"> CaseData!$E$27 / 1000 * - 1</f>
        <v>-37500</v>
      </c>
      <c r="AH152">
        <f xml:space="preserve"> CaseData!$E$27 / 1000 * - 1</f>
        <v>-37500</v>
      </c>
      <c r="AI152">
        <f xml:space="preserve"> CaseData!$E$27 / 1000 * - 1</f>
        <v>-37500</v>
      </c>
      <c r="AJ152">
        <f xml:space="preserve"> CaseData!$E$27 / 1000 * - 1</f>
        <v>-37500</v>
      </c>
      <c r="AK152">
        <f xml:space="preserve"> CaseData!$E$27 / 1000 * - 1</f>
        <v>-37500</v>
      </c>
    </row>
    <row r="154" spans="5:37">
      <c r="E154" t="s">
        <v>121</v>
      </c>
      <c r="G154" t="s">
        <v>92</v>
      </c>
    </row>
    <row r="155" spans="5:37">
      <c r="E155" s="45" t="s">
        <v>118</v>
      </c>
      <c r="G155" t="s">
        <v>92</v>
      </c>
      <c r="J155">
        <f xml:space="preserve"> J$149 + J$152</f>
        <v>35920.874999999971</v>
      </c>
      <c r="K155">
        <f t="shared" ref="K155:AK155" si="38" xml:space="preserve"> K$149 + K$152</f>
        <v>84868.124999999942</v>
      </c>
      <c r="L155">
        <f t="shared" si="38"/>
        <v>60394.499999999942</v>
      </c>
      <c r="M155">
        <f t="shared" si="38"/>
        <v>158288.99999999988</v>
      </c>
      <c r="N155">
        <f t="shared" si="38"/>
        <v>48516.659924999985</v>
      </c>
      <c r="O155">
        <f t="shared" si="38"/>
        <v>94502.01787500002</v>
      </c>
      <c r="P155">
        <f t="shared" si="38"/>
        <v>68101.614300000016</v>
      </c>
      <c r="Q155">
        <f t="shared" si="38"/>
        <v>173703.22860000003</v>
      </c>
      <c r="R155">
        <f t="shared" si="38"/>
        <v>58367.403662324999</v>
      </c>
      <c r="S155">
        <f t="shared" si="38"/>
        <v>104863.57099387498</v>
      </c>
      <c r="T155">
        <f t="shared" si="38"/>
        <v>76390.856795099971</v>
      </c>
      <c r="U155">
        <f t="shared" si="38"/>
        <v>190281.71359020006</v>
      </c>
      <c r="V155">
        <f t="shared" si="38"/>
        <v>64754.692825797945</v>
      </c>
      <c r="W155">
        <f t="shared" si="38"/>
        <v>115979.29913954646</v>
      </c>
      <c r="X155">
        <f t="shared" si="38"/>
        <v>85283.439311637427</v>
      </c>
      <c r="Y155">
        <f t="shared" si="38"/>
        <v>208066.87862327485</v>
      </c>
      <c r="Z155">
        <f t="shared" si="38"/>
        <v>67037.112724595238</v>
      </c>
      <c r="AA155">
        <f t="shared" si="38"/>
        <v>127932.93100005516</v>
      </c>
      <c r="AB155">
        <f t="shared" si="38"/>
        <v>94846.344800044142</v>
      </c>
      <c r="AC155">
        <f t="shared" si="38"/>
        <v>195091.87943632191</v>
      </c>
      <c r="AD155">
        <f t="shared" si="38"/>
        <v>102404.11334385473</v>
      </c>
      <c r="AE155">
        <f t="shared" si="38"/>
        <v>128022.53595657833</v>
      </c>
      <c r="AF155">
        <f t="shared" si="38"/>
        <v>115213.32465021638</v>
      </c>
      <c r="AG155">
        <f t="shared" si="38"/>
        <v>115213.32465021638</v>
      </c>
      <c r="AH155">
        <f t="shared" si="38"/>
        <v>119181.10273153963</v>
      </c>
      <c r="AI155">
        <f t="shared" si="38"/>
        <v>119181.10273153963</v>
      </c>
      <c r="AJ155">
        <f t="shared" si="38"/>
        <v>119181.10273153963</v>
      </c>
      <c r="AK155">
        <f t="shared" si="38"/>
        <v>119181.10273153963</v>
      </c>
    </row>
    <row r="156" spans="5:37">
      <c r="E156" s="45" t="s">
        <v>50</v>
      </c>
      <c r="G156" t="s">
        <v>92</v>
      </c>
      <c r="J156">
        <f xml:space="preserve"> J$150 + J$152</f>
        <v>35920.874999999971</v>
      </c>
      <c r="K156">
        <f t="shared" ref="K156:AK156" si="39" xml:space="preserve"> K$150 + K$152</f>
        <v>84868.124999999884</v>
      </c>
      <c r="L156">
        <f t="shared" si="39"/>
        <v>60394.499999999942</v>
      </c>
      <c r="M156">
        <f t="shared" si="39"/>
        <v>158288.99999999988</v>
      </c>
      <c r="N156">
        <f t="shared" si="39"/>
        <v>44628.755949545477</v>
      </c>
      <c r="O156">
        <f t="shared" si="39"/>
        <v>96617.198794288735</v>
      </c>
      <c r="P156">
        <f t="shared" si="39"/>
        <v>68856.219384719268</v>
      </c>
      <c r="Q156">
        <f t="shared" si="39"/>
        <v>174471.3894646843</v>
      </c>
      <c r="R156">
        <f t="shared" si="39"/>
        <v>52233.711389789765</v>
      </c>
      <c r="S156">
        <f t="shared" si="39"/>
        <v>108260.54956712353</v>
      </c>
      <c r="T156">
        <f t="shared" si="39"/>
        <v>77667.962637505552</v>
      </c>
      <c r="U156">
        <f t="shared" si="39"/>
        <v>191607.86688653543</v>
      </c>
      <c r="V156">
        <f t="shared" si="39"/>
        <v>59158.139301849762</v>
      </c>
      <c r="W156">
        <f t="shared" si="39"/>
        <v>119436.96160315047</v>
      </c>
      <c r="X156">
        <f t="shared" si="39"/>
        <v>86488.880820605671</v>
      </c>
      <c r="Y156">
        <f t="shared" si="39"/>
        <v>209225.57302997296</v>
      </c>
      <c r="Z156">
        <f t="shared" si="39"/>
        <v>64704.52457915491</v>
      </c>
      <c r="AA156">
        <f t="shared" si="39"/>
        <v>129703.21216981555</v>
      </c>
      <c r="AB156">
        <f t="shared" si="39"/>
        <v>95287.517356384604</v>
      </c>
      <c r="AC156">
        <f t="shared" si="39"/>
        <v>195371.18066764681</v>
      </c>
      <c r="AD156">
        <f t="shared" si="39"/>
        <v>102404.11334385467</v>
      </c>
      <c r="AE156">
        <f t="shared" si="39"/>
        <v>128022.53595657833</v>
      </c>
      <c r="AF156">
        <f t="shared" si="39"/>
        <v>115213.32465021627</v>
      </c>
      <c r="AG156">
        <f t="shared" si="39"/>
        <v>115213.32465021627</v>
      </c>
      <c r="AH156">
        <f t="shared" si="39"/>
        <v>119181.10273153963</v>
      </c>
      <c r="AI156">
        <f t="shared" si="39"/>
        <v>119181.10273153963</v>
      </c>
      <c r="AJ156">
        <f t="shared" si="39"/>
        <v>119181.10273153963</v>
      </c>
      <c r="AK156">
        <f t="shared" si="39"/>
        <v>119181.10273153963</v>
      </c>
    </row>
    <row r="158" spans="5:37">
      <c r="E158" t="s">
        <v>122</v>
      </c>
    </row>
    <row r="159" spans="5:37">
      <c r="E159" s="45" t="s">
        <v>118</v>
      </c>
      <c r="G159" t="s">
        <v>92</v>
      </c>
      <c r="J159">
        <f xml:space="preserve"> J$155 * CaseData!$E$29 * - 1</f>
        <v>-12572.306249999989</v>
      </c>
      <c r="K159">
        <f xml:space="preserve"> K$155 * CaseData!$E$29 * - 1</f>
        <v>-29703.843749999978</v>
      </c>
      <c r="L159">
        <f xml:space="preserve"> L$155 * CaseData!$E$29 * - 1</f>
        <v>-21138.074999999979</v>
      </c>
      <c r="M159">
        <f xml:space="preserve"> M$155 * CaseData!$E$29 * - 1</f>
        <v>-55401.149999999958</v>
      </c>
      <c r="N159">
        <f xml:space="preserve"> N$155 * CaseData!$E$29 * - 1</f>
        <v>-16980.830973749995</v>
      </c>
      <c r="O159">
        <f xml:space="preserve"> O$155 * CaseData!$E$29 * - 1</f>
        <v>-33075.706256250007</v>
      </c>
      <c r="P159">
        <f xml:space="preserve"> P$155 * CaseData!$E$29 * - 1</f>
        <v>-23835.565005000004</v>
      </c>
      <c r="Q159">
        <f xml:space="preserve"> Q$155 * CaseData!$E$29 * - 1</f>
        <v>-60796.130010000008</v>
      </c>
      <c r="R159">
        <f xml:space="preserve"> R$155 * CaseData!$E$29 * - 1</f>
        <v>-20428.591281813748</v>
      </c>
      <c r="S159">
        <f xml:space="preserve"> S$155 * CaseData!$E$29 * - 1</f>
        <v>-36702.249847856241</v>
      </c>
      <c r="T159">
        <f xml:space="preserve"> T$155 * CaseData!$E$29 * - 1</f>
        <v>-26736.79987828499</v>
      </c>
      <c r="U159">
        <f xml:space="preserve"> U$155 * CaseData!$E$29 * - 1</f>
        <v>-66598.599756570024</v>
      </c>
      <c r="V159">
        <f xml:space="preserve"> V$155 * CaseData!$E$29 * - 1</f>
        <v>-22664.14248902928</v>
      </c>
      <c r="W159">
        <f xml:space="preserve"> W$155 * CaseData!$E$29 * - 1</f>
        <v>-40592.754698841258</v>
      </c>
      <c r="X159">
        <f xml:space="preserve"> X$155 * CaseData!$E$29 * - 1</f>
        <v>-29849.203759073098</v>
      </c>
      <c r="Y159">
        <f xml:space="preserve"> Y$155 * CaseData!$E$29 * - 1</f>
        <v>-72823.407518146196</v>
      </c>
      <c r="Z159">
        <f xml:space="preserve"> Z$155 * CaseData!$E$29 * - 1</f>
        <v>-23462.98945360833</v>
      </c>
      <c r="AA159">
        <f xml:space="preserve"> AA$155 * CaseData!$E$29 * - 1</f>
        <v>-44776.525850019301</v>
      </c>
      <c r="AB159">
        <f xml:space="preserve"> AB$155 * CaseData!$E$29 * - 1</f>
        <v>-33196.220680015445</v>
      </c>
      <c r="AC159">
        <f xml:space="preserve"> AC$155 * CaseData!$E$29 * - 1</f>
        <v>-68282.157802712667</v>
      </c>
      <c r="AD159">
        <f xml:space="preserve"> AD$155 * CaseData!$E$29 * - 1</f>
        <v>-35841.439670349151</v>
      </c>
      <c r="AE159">
        <f xml:space="preserve"> AE$155 * CaseData!$E$29 * - 1</f>
        <v>-44807.887584802411</v>
      </c>
      <c r="AF159">
        <f xml:space="preserve"> AF$155 * CaseData!$E$29 * - 1</f>
        <v>-40324.663627575734</v>
      </c>
      <c r="AG159">
        <f xml:space="preserve"> AG$155 * CaseData!$E$29 * - 1</f>
        <v>-40324.663627575734</v>
      </c>
      <c r="AH159">
        <f xml:space="preserve"> AH$155 * CaseData!$E$29 * - 1</f>
        <v>-41713.385956038866</v>
      </c>
      <c r="AI159">
        <f xml:space="preserve"> AI$155 * CaseData!$E$29 * - 1</f>
        <v>-41713.385956038866</v>
      </c>
      <c r="AJ159">
        <f xml:space="preserve"> AJ$155 * CaseData!$E$29 * - 1</f>
        <v>-41713.385956038866</v>
      </c>
      <c r="AK159">
        <f xml:space="preserve"> AK$155 * CaseData!$E$29 * - 1</f>
        <v>-41713.385956038866</v>
      </c>
    </row>
    <row r="160" spans="5:37">
      <c r="E160" s="45" t="s">
        <v>50</v>
      </c>
      <c r="G160" t="s">
        <v>92</v>
      </c>
      <c r="J160">
        <f xml:space="preserve"> J$156 * CaseData!$E$29 * - 1</f>
        <v>-12572.306249999989</v>
      </c>
      <c r="K160">
        <f xml:space="preserve"> K$156 * CaseData!$E$29 * - 1</f>
        <v>-29703.843749999956</v>
      </c>
      <c r="L160">
        <f xml:space="preserve"> L$156 * CaseData!$E$29 * - 1</f>
        <v>-21138.074999999979</v>
      </c>
      <c r="M160">
        <f xml:space="preserve"> M$156 * CaseData!$E$29 * - 1</f>
        <v>-55401.149999999958</v>
      </c>
      <c r="N160">
        <f xml:space="preserve"> N$156 * CaseData!$E$29 * - 1</f>
        <v>-15620.064582340916</v>
      </c>
      <c r="O160">
        <f xml:space="preserve"> O$156 * CaseData!$E$29 * - 1</f>
        <v>-33816.019578001054</v>
      </c>
      <c r="P160">
        <f xml:space="preserve"> P$156 * CaseData!$E$29 * - 1</f>
        <v>-24099.676784651743</v>
      </c>
      <c r="Q160">
        <f xml:space="preserve"> Q$156 * CaseData!$E$29 * - 1</f>
        <v>-61064.986312639499</v>
      </c>
      <c r="R160">
        <f xml:space="preserve"> R$156 * CaseData!$E$29 * - 1</f>
        <v>-18281.798986426416</v>
      </c>
      <c r="S160">
        <f xml:space="preserve"> S$156 * CaseData!$E$29 * - 1</f>
        <v>-37891.192348493234</v>
      </c>
      <c r="T160">
        <f xml:space="preserve"> T$156 * CaseData!$E$29 * - 1</f>
        <v>-27183.786923126943</v>
      </c>
      <c r="U160">
        <f xml:space="preserve"> U$156 * CaseData!$E$29 * - 1</f>
        <v>-67062.753410287391</v>
      </c>
      <c r="V160">
        <f xml:space="preserve"> V$156 * CaseData!$E$29 * - 1</f>
        <v>-20705.348755647414</v>
      </c>
      <c r="W160">
        <f xml:space="preserve"> W$156 * CaseData!$E$29 * - 1</f>
        <v>-41802.936561102659</v>
      </c>
      <c r="X160">
        <f xml:space="preserve"> X$156 * CaseData!$E$29 * - 1</f>
        <v>-30271.108287211984</v>
      </c>
      <c r="Y160">
        <f xml:space="preserve"> Y$156 * CaseData!$E$29 * - 1</f>
        <v>-73228.950560490528</v>
      </c>
      <c r="Z160">
        <f xml:space="preserve"> Z$156 * CaseData!$E$29 * - 1</f>
        <v>-22646.583602704217</v>
      </c>
      <c r="AA160">
        <f xml:space="preserve"> AA$156 * CaseData!$E$29 * - 1</f>
        <v>-45396.124259435441</v>
      </c>
      <c r="AB160">
        <f xml:space="preserve"> AB$156 * CaseData!$E$29 * - 1</f>
        <v>-33350.631074734607</v>
      </c>
      <c r="AC160">
        <f xml:space="preserve"> AC$156 * CaseData!$E$29 * - 1</f>
        <v>-68379.913233676387</v>
      </c>
      <c r="AD160">
        <f xml:space="preserve"> AD$156 * CaseData!$E$29 * - 1</f>
        <v>-35841.439670349129</v>
      </c>
      <c r="AE160">
        <f xml:space="preserve"> AE$156 * CaseData!$E$29 * - 1</f>
        <v>-44807.887584802411</v>
      </c>
      <c r="AF160">
        <f xml:space="preserve"> AF$156 * CaseData!$E$29 * - 1</f>
        <v>-40324.66362757569</v>
      </c>
      <c r="AG160">
        <f xml:space="preserve"> AG$156 * CaseData!$E$29 * - 1</f>
        <v>-40324.66362757569</v>
      </c>
      <c r="AH160">
        <f xml:space="preserve"> AH$156 * CaseData!$E$29 * - 1</f>
        <v>-41713.385956038866</v>
      </c>
      <c r="AI160">
        <f xml:space="preserve"> AI$156 * CaseData!$E$29 * - 1</f>
        <v>-41713.385956038866</v>
      </c>
      <c r="AJ160">
        <f xml:space="preserve"> AJ$156 * CaseData!$E$29 * - 1</f>
        <v>-41713.385956038866</v>
      </c>
      <c r="AK160">
        <f xml:space="preserve"> AK$156 * CaseData!$E$29 * - 1</f>
        <v>-41713.385956038866</v>
      </c>
    </row>
    <row r="162" spans="1:37">
      <c r="E162" t="s">
        <v>123</v>
      </c>
    </row>
    <row r="163" spans="1:37">
      <c r="E163" s="64" t="s">
        <v>118</v>
      </c>
      <c r="F163" s="30"/>
      <c r="G163" s="30" t="s">
        <v>92</v>
      </c>
      <c r="H163" s="30"/>
      <c r="I163" s="30"/>
      <c r="J163" s="30">
        <f xml:space="preserve"> J$155 + J$159</f>
        <v>23348.568749999984</v>
      </c>
      <c r="K163" s="30">
        <f t="shared" ref="K163:AK163" si="40" xml:space="preserve"> K$155 + K$159</f>
        <v>55164.281249999964</v>
      </c>
      <c r="L163" s="30">
        <f t="shared" si="40"/>
        <v>39256.424999999959</v>
      </c>
      <c r="M163" s="30">
        <f t="shared" si="40"/>
        <v>102887.84999999992</v>
      </c>
      <c r="N163" s="30">
        <f t="shared" si="40"/>
        <v>31535.82895124999</v>
      </c>
      <c r="O163" s="30">
        <f t="shared" si="40"/>
        <v>61426.311618750013</v>
      </c>
      <c r="P163" s="30">
        <f t="shared" si="40"/>
        <v>44266.049295000012</v>
      </c>
      <c r="Q163" s="30">
        <f t="shared" si="40"/>
        <v>112907.09859000002</v>
      </c>
      <c r="R163" s="30">
        <f t="shared" si="40"/>
        <v>37938.812380511255</v>
      </c>
      <c r="S163" s="30">
        <f t="shared" si="40"/>
        <v>68161.321146018745</v>
      </c>
      <c r="T163" s="30">
        <f t="shared" si="40"/>
        <v>49654.056916814981</v>
      </c>
      <c r="U163" s="30">
        <f t="shared" si="40"/>
        <v>123683.11383363004</v>
      </c>
      <c r="V163" s="30">
        <f t="shared" si="40"/>
        <v>42090.550336768662</v>
      </c>
      <c r="W163" s="30">
        <f t="shared" si="40"/>
        <v>75386.544440705213</v>
      </c>
      <c r="X163" s="30">
        <f t="shared" si="40"/>
        <v>55434.235552564329</v>
      </c>
      <c r="Y163" s="30">
        <f t="shared" si="40"/>
        <v>135243.47110512864</v>
      </c>
      <c r="Z163" s="30">
        <f t="shared" si="40"/>
        <v>43574.123270986907</v>
      </c>
      <c r="AA163" s="30">
        <f t="shared" si="40"/>
        <v>83156.405150035862</v>
      </c>
      <c r="AB163" s="30">
        <f t="shared" si="40"/>
        <v>61650.124120028697</v>
      </c>
      <c r="AC163" s="30">
        <f t="shared" si="40"/>
        <v>126809.72163360924</v>
      </c>
      <c r="AD163" s="30">
        <f t="shared" si="40"/>
        <v>66562.673673505575</v>
      </c>
      <c r="AE163" s="30">
        <f t="shared" si="40"/>
        <v>83214.648371775926</v>
      </c>
      <c r="AF163" s="30">
        <f t="shared" si="40"/>
        <v>74888.661022640648</v>
      </c>
      <c r="AG163" s="30">
        <f t="shared" si="40"/>
        <v>74888.661022640648</v>
      </c>
      <c r="AH163" s="30">
        <f t="shared" si="40"/>
        <v>77467.716775500769</v>
      </c>
      <c r="AI163" s="30">
        <f t="shared" si="40"/>
        <v>77467.716775500769</v>
      </c>
      <c r="AJ163" s="30">
        <f t="shared" si="40"/>
        <v>77467.716775500769</v>
      </c>
      <c r="AK163" s="30">
        <f t="shared" si="40"/>
        <v>77467.716775500769</v>
      </c>
    </row>
    <row r="164" spans="1:37">
      <c r="E164" s="64" t="s">
        <v>50</v>
      </c>
      <c r="F164" s="30"/>
      <c r="G164" s="30" t="s">
        <v>92</v>
      </c>
      <c r="H164" s="30"/>
      <c r="I164" s="30"/>
      <c r="J164" s="30">
        <f xml:space="preserve"> J$156 + J$160</f>
        <v>23348.568749999984</v>
      </c>
      <c r="K164" s="30">
        <f t="shared" ref="K164:AK164" si="41" xml:space="preserve"> K$156 + K$160</f>
        <v>55164.281249999927</v>
      </c>
      <c r="L164" s="30">
        <f t="shared" si="41"/>
        <v>39256.424999999959</v>
      </c>
      <c r="M164" s="30">
        <f t="shared" si="41"/>
        <v>102887.84999999992</v>
      </c>
      <c r="N164" s="30">
        <f t="shared" si="41"/>
        <v>29008.691367204563</v>
      </c>
      <c r="O164" s="30">
        <f t="shared" si="41"/>
        <v>62801.179216287681</v>
      </c>
      <c r="P164" s="30">
        <f t="shared" si="41"/>
        <v>44756.542600067522</v>
      </c>
      <c r="Q164" s="30">
        <f t="shared" si="41"/>
        <v>113406.4031520448</v>
      </c>
      <c r="R164" s="30">
        <f t="shared" si="41"/>
        <v>33951.912403363349</v>
      </c>
      <c r="S164" s="30">
        <f t="shared" si="41"/>
        <v>70369.357218630292</v>
      </c>
      <c r="T164" s="30">
        <f t="shared" si="41"/>
        <v>50484.175714378609</v>
      </c>
      <c r="U164" s="30">
        <f t="shared" si="41"/>
        <v>124545.11347624804</v>
      </c>
      <c r="V164" s="30">
        <f t="shared" si="41"/>
        <v>38452.790546202348</v>
      </c>
      <c r="W164" s="30">
        <f t="shared" si="41"/>
        <v>77634.025042047811</v>
      </c>
      <c r="X164" s="30">
        <f t="shared" si="41"/>
        <v>56217.772533393683</v>
      </c>
      <c r="Y164" s="30">
        <f t="shared" si="41"/>
        <v>135996.62246948242</v>
      </c>
      <c r="Z164" s="30">
        <f t="shared" si="41"/>
        <v>42057.940976450693</v>
      </c>
      <c r="AA164" s="30">
        <f t="shared" si="41"/>
        <v>84307.087910380113</v>
      </c>
      <c r="AB164" s="30">
        <f t="shared" si="41"/>
        <v>61936.886281649997</v>
      </c>
      <c r="AC164" s="30">
        <f t="shared" si="41"/>
        <v>126991.26743397042</v>
      </c>
      <c r="AD164" s="30">
        <f t="shared" si="41"/>
        <v>66562.673673505546</v>
      </c>
      <c r="AE164" s="30">
        <f t="shared" si="41"/>
        <v>83214.648371775926</v>
      </c>
      <c r="AF164" s="30">
        <f t="shared" si="41"/>
        <v>74888.661022640576</v>
      </c>
      <c r="AG164" s="30">
        <f t="shared" si="41"/>
        <v>74888.661022640576</v>
      </c>
      <c r="AH164" s="30">
        <f t="shared" si="41"/>
        <v>77467.716775500769</v>
      </c>
      <c r="AI164" s="30">
        <f t="shared" si="41"/>
        <v>77467.716775500769</v>
      </c>
      <c r="AJ164" s="30">
        <f t="shared" si="41"/>
        <v>77467.716775500769</v>
      </c>
      <c r="AK164" s="30">
        <f t="shared" si="41"/>
        <v>77467.716775500769</v>
      </c>
    </row>
    <row r="166" spans="1:37" s="23" customFormat="1">
      <c r="A166" s="24" t="s">
        <v>124</v>
      </c>
    </row>
    <row r="168" spans="1:37">
      <c r="E168" t="s">
        <v>77</v>
      </c>
    </row>
    <row r="169" spans="1:37">
      <c r="E169" s="45" t="s">
        <v>118</v>
      </c>
      <c r="G169" t="s">
        <v>92</v>
      </c>
      <c r="J169">
        <f xml:space="preserve"> J$109</f>
        <v>0</v>
      </c>
      <c r="K169">
        <f t="shared" ref="K169:AK169" si="42" xml:space="preserve"> K$109</f>
        <v>201229.12500000003</v>
      </c>
      <c r="L169">
        <f t="shared" si="42"/>
        <v>239299.50000000009</v>
      </c>
      <c r="M169">
        <f t="shared" si="42"/>
        <v>358949.25000000012</v>
      </c>
      <c r="N169">
        <f t="shared" si="42"/>
        <v>152281.50000000012</v>
      </c>
      <c r="O169">
        <f t="shared" si="42"/>
        <v>356547.62722500012</v>
      </c>
      <c r="P169">
        <f t="shared" si="42"/>
        <v>375014.2374000001</v>
      </c>
      <c r="Q169">
        <f t="shared" si="42"/>
        <v>482972.88150000013</v>
      </c>
      <c r="R169">
        <f t="shared" si="42"/>
        <v>232963.38990000013</v>
      </c>
      <c r="S169">
        <f t="shared" si="42"/>
        <v>435693.80299432517</v>
      </c>
      <c r="T169">
        <f t="shared" si="42"/>
        <v>431612.18842020008</v>
      </c>
      <c r="U169">
        <f t="shared" si="42"/>
        <v>525711.95714730001</v>
      </c>
      <c r="V169">
        <f t="shared" si="42"/>
        <v>227086.19266950007</v>
      </c>
      <c r="W169">
        <f t="shared" si="42"/>
        <v>422756.70382136793</v>
      </c>
      <c r="X169">
        <f t="shared" si="42"/>
        <v>392848.05584948446</v>
      </c>
      <c r="Y169">
        <f t="shared" si="42"/>
        <v>470645.43076844176</v>
      </c>
      <c r="Z169">
        <f t="shared" si="42"/>
        <v>117618.71412403625</v>
      </c>
      <c r="AA169">
        <f t="shared" si="42"/>
        <v>299841.90022424329</v>
      </c>
      <c r="AB169">
        <f t="shared" si="42"/>
        <v>240456.64865616022</v>
      </c>
      <c r="AC169">
        <f t="shared" si="42"/>
        <v>299236.93885994109</v>
      </c>
      <c r="AD169">
        <f t="shared" si="42"/>
        <v>0</v>
      </c>
      <c r="AE169">
        <f t="shared" si="42"/>
        <v>46579.176238325483</v>
      </c>
      <c r="AF169">
        <f t="shared" si="42"/>
        <v>0</v>
      </c>
      <c r="AG169">
        <f t="shared" si="42"/>
        <v>0</v>
      </c>
      <c r="AH169">
        <f t="shared" si="42"/>
        <v>0</v>
      </c>
      <c r="AI169">
        <f t="shared" si="42"/>
        <v>0</v>
      </c>
      <c r="AJ169">
        <f t="shared" si="42"/>
        <v>0</v>
      </c>
      <c r="AK169">
        <f t="shared" si="42"/>
        <v>0</v>
      </c>
    </row>
    <row r="170" spans="1:37">
      <c r="E170" s="45" t="s">
        <v>50</v>
      </c>
      <c r="G170" t="s">
        <v>92</v>
      </c>
      <c r="J170">
        <f xml:space="preserve"> J$127</f>
        <v>0</v>
      </c>
      <c r="K170">
        <f t="shared" ref="K170:AK170" si="43" xml:space="preserve"> K$127</f>
        <v>201229.12500000003</v>
      </c>
      <c r="L170">
        <f t="shared" si="43"/>
        <v>239299.5</v>
      </c>
      <c r="M170">
        <f t="shared" si="43"/>
        <v>358949.24999999994</v>
      </c>
      <c r="N170">
        <f t="shared" si="43"/>
        <v>152281.49999999988</v>
      </c>
      <c r="O170">
        <f t="shared" si="43"/>
        <v>352659.72324954538</v>
      </c>
      <c r="P170">
        <f t="shared" si="43"/>
        <v>373241.51434383419</v>
      </c>
      <c r="Q170">
        <f t="shared" si="43"/>
        <v>481954.76352855342</v>
      </c>
      <c r="R170">
        <f t="shared" si="43"/>
        <v>232713.43279323773</v>
      </c>
      <c r="S170">
        <f t="shared" si="43"/>
        <v>429310.15361502761</v>
      </c>
      <c r="T170">
        <f t="shared" si="43"/>
        <v>428625.51761415112</v>
      </c>
      <c r="U170">
        <f t="shared" si="43"/>
        <v>524002.39218365675</v>
      </c>
      <c r="V170">
        <f t="shared" si="43"/>
        <v>226702.78100219218</v>
      </c>
      <c r="W170">
        <f t="shared" si="43"/>
        <v>416776.73863011191</v>
      </c>
      <c r="X170">
        <f t="shared" si="43"/>
        <v>390325.75312183239</v>
      </c>
      <c r="Y170">
        <f t="shared" si="43"/>
        <v>469328.56954975787</v>
      </c>
      <c r="Z170">
        <f t="shared" si="43"/>
        <v>117460.54731205048</v>
      </c>
      <c r="AA170">
        <f t="shared" si="43"/>
        <v>297351.14526681718</v>
      </c>
      <c r="AB170">
        <f t="shared" si="43"/>
        <v>239736.17486849462</v>
      </c>
      <c r="AC170">
        <f t="shared" si="43"/>
        <v>298957.63762861601</v>
      </c>
      <c r="AD170">
        <f t="shared" si="43"/>
        <v>0</v>
      </c>
      <c r="AE170">
        <f t="shared" si="43"/>
        <v>46579.176238325424</v>
      </c>
      <c r="AF170">
        <f t="shared" si="43"/>
        <v>0</v>
      </c>
      <c r="AG170">
        <f t="shared" si="43"/>
        <v>0</v>
      </c>
      <c r="AH170">
        <f t="shared" si="43"/>
        <v>0</v>
      </c>
      <c r="AI170">
        <f t="shared" si="43"/>
        <v>0</v>
      </c>
      <c r="AJ170">
        <f t="shared" si="43"/>
        <v>0</v>
      </c>
      <c r="AK170">
        <f t="shared" si="43"/>
        <v>0</v>
      </c>
    </row>
    <row r="172" spans="1:37">
      <c r="E172" t="s">
        <v>79</v>
      </c>
    </row>
    <row r="173" spans="1:37">
      <c r="E173" s="45" t="s">
        <v>118</v>
      </c>
      <c r="G173" t="s">
        <v>92</v>
      </c>
      <c r="J173">
        <f>J$113</f>
        <v>201229.12500000003</v>
      </c>
      <c r="K173">
        <f t="shared" ref="K173:AK173" si="44">K$113</f>
        <v>239299.50000000009</v>
      </c>
      <c r="L173">
        <f t="shared" si="44"/>
        <v>358949.25000000012</v>
      </c>
      <c r="M173">
        <f t="shared" si="44"/>
        <v>152281.50000000012</v>
      </c>
      <c r="N173">
        <f t="shared" si="44"/>
        <v>356547.62722500012</v>
      </c>
      <c r="O173">
        <f t="shared" si="44"/>
        <v>375014.2374000001</v>
      </c>
      <c r="P173">
        <f t="shared" si="44"/>
        <v>482972.88150000013</v>
      </c>
      <c r="Q173">
        <f t="shared" si="44"/>
        <v>232963.38990000013</v>
      </c>
      <c r="R173">
        <f t="shared" si="44"/>
        <v>435693.80299432517</v>
      </c>
      <c r="S173">
        <f t="shared" si="44"/>
        <v>431612.18842020008</v>
      </c>
      <c r="T173">
        <f t="shared" si="44"/>
        <v>525711.95714730001</v>
      </c>
      <c r="U173">
        <f t="shared" si="44"/>
        <v>227086.19266950007</v>
      </c>
      <c r="V173">
        <f t="shared" si="44"/>
        <v>422756.70382136793</v>
      </c>
      <c r="W173">
        <f t="shared" si="44"/>
        <v>392848.05584948446</v>
      </c>
      <c r="X173">
        <f t="shared" si="44"/>
        <v>470645.43076844176</v>
      </c>
      <c r="Y173">
        <f t="shared" si="44"/>
        <v>117618.71412403625</v>
      </c>
      <c r="Z173">
        <f t="shared" si="44"/>
        <v>299841.90022424329</v>
      </c>
      <c r="AA173">
        <f t="shared" si="44"/>
        <v>240456.64865616022</v>
      </c>
      <c r="AB173">
        <f t="shared" si="44"/>
        <v>299236.93885994109</v>
      </c>
      <c r="AC173">
        <f t="shared" si="44"/>
        <v>0</v>
      </c>
      <c r="AD173">
        <f t="shared" si="44"/>
        <v>46579.176238325483</v>
      </c>
      <c r="AE173">
        <f t="shared" si="44"/>
        <v>0</v>
      </c>
      <c r="AF173">
        <f t="shared" si="44"/>
        <v>0</v>
      </c>
      <c r="AG173">
        <f t="shared" si="44"/>
        <v>0</v>
      </c>
      <c r="AH173">
        <f t="shared" si="44"/>
        <v>0</v>
      </c>
      <c r="AI173">
        <f t="shared" si="44"/>
        <v>0</v>
      </c>
      <c r="AJ173">
        <f t="shared" si="44"/>
        <v>0</v>
      </c>
      <c r="AK173">
        <f t="shared" si="44"/>
        <v>0</v>
      </c>
    </row>
    <row r="174" spans="1:37">
      <c r="E174" s="45" t="s">
        <v>50</v>
      </c>
      <c r="G174" t="s">
        <v>92</v>
      </c>
      <c r="J174">
        <f>J137</f>
        <v>201229.12500000003</v>
      </c>
      <c r="K174">
        <f t="shared" ref="K174:AK174" si="45">K137</f>
        <v>239299.5</v>
      </c>
      <c r="L174">
        <f t="shared" si="45"/>
        <v>358949.24999999994</v>
      </c>
      <c r="M174">
        <f t="shared" si="45"/>
        <v>152281.49999999988</v>
      </c>
      <c r="N174">
        <f t="shared" si="45"/>
        <v>352659.72324954538</v>
      </c>
      <c r="O174">
        <f t="shared" si="45"/>
        <v>373241.51434383419</v>
      </c>
      <c r="P174">
        <f t="shared" si="45"/>
        <v>481954.76352855342</v>
      </c>
      <c r="Q174">
        <f t="shared" si="45"/>
        <v>232713.43279323773</v>
      </c>
      <c r="R174">
        <f t="shared" si="45"/>
        <v>429310.15361502761</v>
      </c>
      <c r="S174">
        <f t="shared" si="45"/>
        <v>428625.51761415112</v>
      </c>
      <c r="T174">
        <f t="shared" si="45"/>
        <v>524002.39218365675</v>
      </c>
      <c r="U174">
        <f t="shared" si="45"/>
        <v>226702.78100219218</v>
      </c>
      <c r="V174">
        <f t="shared" si="45"/>
        <v>416776.73863011191</v>
      </c>
      <c r="W174">
        <f t="shared" si="45"/>
        <v>390325.75312183239</v>
      </c>
      <c r="X174">
        <f t="shared" si="45"/>
        <v>469328.56954975787</v>
      </c>
      <c r="Y174">
        <f t="shared" si="45"/>
        <v>117460.54731205048</v>
      </c>
      <c r="Z174">
        <f t="shared" si="45"/>
        <v>297351.14526681718</v>
      </c>
      <c r="AA174">
        <f t="shared" si="45"/>
        <v>239736.17486849462</v>
      </c>
      <c r="AB174">
        <f t="shared" si="45"/>
        <v>298957.63762861601</v>
      </c>
      <c r="AC174">
        <f t="shared" si="45"/>
        <v>0</v>
      </c>
      <c r="AD174">
        <f t="shared" si="45"/>
        <v>46579.176238325424</v>
      </c>
      <c r="AE174">
        <f t="shared" si="45"/>
        <v>0</v>
      </c>
      <c r="AF174">
        <f t="shared" si="45"/>
        <v>0</v>
      </c>
      <c r="AG174">
        <f t="shared" si="45"/>
        <v>0</v>
      </c>
      <c r="AH174">
        <f t="shared" si="45"/>
        <v>0</v>
      </c>
      <c r="AI174">
        <f t="shared" si="45"/>
        <v>0</v>
      </c>
      <c r="AJ174">
        <f t="shared" si="45"/>
        <v>0</v>
      </c>
      <c r="AK174">
        <f t="shared" si="45"/>
        <v>0</v>
      </c>
    </row>
    <row r="196" spans="1:1" s="23" customFormat="1">
      <c r="A196" s="24" t="s">
        <v>115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40" fitToWidth="0" orientation="landscape" r:id="rId1"/>
  <headerFooter>
    <oddFooter>&amp;LFinancial Modeling Institute
CFM October 2026&amp;CPage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B378-FDD3-4A24-97C9-605C8C57D1F7}">
  <dimension ref="B2:I58"/>
  <sheetViews>
    <sheetView showGridLines="0" topLeftCell="A6" zoomScaleNormal="100" workbookViewId="0">
      <selection activeCell="E19" sqref="E19"/>
    </sheetView>
  </sheetViews>
  <sheetFormatPr defaultColWidth="9" defaultRowHeight="15.6"/>
  <cols>
    <col min="1" max="1" width="2.296875" style="1" customWidth="1"/>
    <col min="2" max="2" width="2.8984375" style="3" customWidth="1"/>
    <col min="3" max="3" width="20.59765625" style="1" customWidth="1"/>
    <col min="4" max="4" width="16.59765625" style="2" customWidth="1"/>
    <col min="5" max="5" width="10.8984375" style="1" customWidth="1"/>
    <col min="6" max="8" width="10.5" style="1" customWidth="1"/>
    <col min="9" max="16384" width="9" style="1"/>
  </cols>
  <sheetData>
    <row r="2" spans="2:9" ht="20.399999999999999" thickBot="1">
      <c r="B2" s="4" t="s">
        <v>0</v>
      </c>
      <c r="C2" s="5"/>
      <c r="D2" s="5"/>
      <c r="E2" s="5"/>
      <c r="F2" s="5"/>
      <c r="G2" s="5"/>
      <c r="H2" s="5"/>
      <c r="I2" s="5"/>
    </row>
    <row r="3" spans="2:9" ht="16.2" thickTop="1"/>
    <row r="4" spans="2:9">
      <c r="B4" s="3" t="s">
        <v>1</v>
      </c>
      <c r="D4" s="3" t="s">
        <v>2</v>
      </c>
      <c r="E4" s="3" t="s">
        <v>3</v>
      </c>
    </row>
    <row r="6" spans="2:9">
      <c r="B6" s="3" t="s">
        <v>4</v>
      </c>
      <c r="D6" s="2" t="s">
        <v>5</v>
      </c>
      <c r="E6" s="6">
        <v>44927</v>
      </c>
    </row>
    <row r="7" spans="2:9">
      <c r="B7" s="1"/>
    </row>
    <row r="8" spans="2:9">
      <c r="B8" s="3" t="s">
        <v>6</v>
      </c>
      <c r="D8" s="2" t="s">
        <v>7</v>
      </c>
      <c r="E8" s="7">
        <v>410000</v>
      </c>
    </row>
    <row r="10" spans="2:9">
      <c r="E10" s="8" t="s">
        <v>8</v>
      </c>
      <c r="F10" s="8" t="s">
        <v>9</v>
      </c>
      <c r="G10" s="8" t="s">
        <v>10</v>
      </c>
      <c r="H10" s="8" t="s">
        <v>11</v>
      </c>
    </row>
    <row r="11" spans="2:9">
      <c r="B11" s="3" t="s">
        <v>12</v>
      </c>
      <c r="D11" s="2" t="s">
        <v>13</v>
      </c>
      <c r="E11" s="7">
        <v>225000</v>
      </c>
      <c r="F11" s="7">
        <v>375000</v>
      </c>
      <c r="G11" s="7">
        <v>300000</v>
      </c>
      <c r="H11" s="7">
        <v>600000</v>
      </c>
    </row>
    <row r="13" spans="2:9">
      <c r="B13" s="3" t="s">
        <v>14</v>
      </c>
      <c r="D13" s="2" t="s">
        <v>15</v>
      </c>
      <c r="E13" s="9">
        <v>0.05</v>
      </c>
    </row>
    <row r="15" spans="2:9">
      <c r="B15" s="3" t="s">
        <v>16</v>
      </c>
      <c r="D15" s="2" t="s">
        <v>15</v>
      </c>
      <c r="E15" s="9">
        <v>1</v>
      </c>
    </row>
    <row r="17" spans="2:7">
      <c r="B17" s="3" t="s">
        <v>17</v>
      </c>
      <c r="E17" s="3" t="s">
        <v>18</v>
      </c>
      <c r="F17" s="3" t="s">
        <v>19</v>
      </c>
      <c r="G17" s="3" t="s">
        <v>20</v>
      </c>
    </row>
    <row r="18" spans="2:7">
      <c r="C18" s="1" t="s">
        <v>21</v>
      </c>
      <c r="D18" s="2" t="s">
        <v>22</v>
      </c>
      <c r="E18" s="10">
        <v>27.75</v>
      </c>
      <c r="F18" s="11">
        <v>7.0000000000000007E-2</v>
      </c>
      <c r="G18" s="1" t="s">
        <v>23</v>
      </c>
    </row>
    <row r="19" spans="2:7">
      <c r="C19" s="1" t="s">
        <v>24</v>
      </c>
      <c r="D19" s="2" t="s">
        <v>25</v>
      </c>
      <c r="E19" s="10">
        <v>21.9</v>
      </c>
      <c r="F19" s="11">
        <v>-0.02</v>
      </c>
      <c r="G19" s="1" t="s">
        <v>26</v>
      </c>
    </row>
    <row r="20" spans="2:7">
      <c r="C20" s="1" t="s">
        <v>27</v>
      </c>
      <c r="D20" s="2" t="s">
        <v>28</v>
      </c>
      <c r="E20" s="10">
        <v>480</v>
      </c>
      <c r="F20" s="11">
        <v>0.04</v>
      </c>
      <c r="G20" s="1" t="s">
        <v>26</v>
      </c>
    </row>
    <row r="22" spans="2:7">
      <c r="B22" s="3" t="s">
        <v>29</v>
      </c>
    </row>
    <row r="23" spans="2:7">
      <c r="C23" s="1" t="s">
        <v>30</v>
      </c>
      <c r="D23" s="2" t="s">
        <v>15</v>
      </c>
      <c r="E23" s="9">
        <v>0.3</v>
      </c>
    </row>
    <row r="24" spans="2:7">
      <c r="C24" s="1" t="s">
        <v>31</v>
      </c>
      <c r="D24" s="2" t="s">
        <v>32</v>
      </c>
      <c r="E24" s="9">
        <v>-5.0000000000000001E-3</v>
      </c>
    </row>
    <row r="25" spans="2:7">
      <c r="C25" s="1" t="s">
        <v>33</v>
      </c>
    </row>
    <row r="27" spans="2:7">
      <c r="B27" s="3" t="s">
        <v>34</v>
      </c>
      <c r="D27" s="2" t="s">
        <v>35</v>
      </c>
      <c r="E27" s="7">
        <v>37500000</v>
      </c>
    </row>
    <row r="29" spans="2:7">
      <c r="B29" s="3" t="s">
        <v>36</v>
      </c>
      <c r="D29" s="2" t="s">
        <v>15</v>
      </c>
      <c r="E29" s="9">
        <v>0.35</v>
      </c>
    </row>
    <row r="31" spans="2:7">
      <c r="B31" s="3" t="s">
        <v>77</v>
      </c>
      <c r="D31" s="2" t="s">
        <v>13</v>
      </c>
      <c r="E31" s="19">
        <v>0</v>
      </c>
    </row>
    <row r="32" spans="2:7">
      <c r="D32" s="2" t="s">
        <v>35</v>
      </c>
      <c r="E32" s="19">
        <v>0</v>
      </c>
    </row>
    <row r="34" spans="2:9" ht="20.399999999999999" thickBot="1">
      <c r="B34" s="4" t="s">
        <v>37</v>
      </c>
      <c r="C34" s="5"/>
      <c r="D34" s="5"/>
      <c r="E34" s="5"/>
      <c r="F34" s="5"/>
      <c r="G34" s="5"/>
      <c r="H34" s="5"/>
      <c r="I34" s="5"/>
    </row>
    <row r="35" spans="2:9" ht="16.2" thickTop="1"/>
    <row r="36" spans="2:9">
      <c r="E36" s="8" t="s">
        <v>18</v>
      </c>
      <c r="F36" s="8" t="s">
        <v>38</v>
      </c>
    </row>
    <row r="37" spans="2:9">
      <c r="C37" s="1" t="s">
        <v>39</v>
      </c>
      <c r="D37" s="2" t="s">
        <v>13</v>
      </c>
      <c r="E37" s="12">
        <v>0</v>
      </c>
      <c r="F37" s="13">
        <v>500</v>
      </c>
      <c r="H37" s="14"/>
    </row>
    <row r="38" spans="2:9">
      <c r="C38" s="1" t="s">
        <v>6</v>
      </c>
      <c r="D38" s="2" t="s">
        <v>13</v>
      </c>
      <c r="E38" s="13">
        <v>1000</v>
      </c>
      <c r="F38" s="13">
        <v>500</v>
      </c>
    </row>
    <row r="39" spans="2:9">
      <c r="C39" s="1" t="s">
        <v>40</v>
      </c>
      <c r="D39" s="2" t="s">
        <v>13</v>
      </c>
      <c r="E39" s="15">
        <v>1000</v>
      </c>
      <c r="F39" s="15">
        <f>SUM(F37:F38)</f>
        <v>1000</v>
      </c>
      <c r="G39" s="16" t="s">
        <v>41</v>
      </c>
    </row>
    <row r="41" spans="2:9">
      <c r="C41" s="1" t="s">
        <v>42</v>
      </c>
      <c r="D41" s="2" t="s">
        <v>13</v>
      </c>
      <c r="E41" s="13">
        <v>500</v>
      </c>
      <c r="F41" s="13">
        <v>500</v>
      </c>
    </row>
    <row r="42" spans="2:9">
      <c r="C42" s="1" t="s">
        <v>43</v>
      </c>
      <c r="D42" s="2" t="s">
        <v>13</v>
      </c>
      <c r="E42" s="13">
        <v>500</v>
      </c>
      <c r="F42" s="13">
        <v>500</v>
      </c>
    </row>
    <row r="44" spans="2:9">
      <c r="C44" s="1" t="s">
        <v>44</v>
      </c>
      <c r="D44" s="2" t="s">
        <v>45</v>
      </c>
      <c r="E44" s="17">
        <v>150</v>
      </c>
      <c r="F44" s="17">
        <v>100</v>
      </c>
    </row>
    <row r="45" spans="2:9">
      <c r="E45" s="17"/>
    </row>
    <row r="46" spans="2:9">
      <c r="C46" s="1" t="s">
        <v>39</v>
      </c>
      <c r="D46" s="2" t="s">
        <v>46</v>
      </c>
      <c r="E46" s="14">
        <v>0</v>
      </c>
      <c r="F46" s="14">
        <v>75000</v>
      </c>
    </row>
    <row r="47" spans="2:9">
      <c r="C47" s="1" t="s">
        <v>47</v>
      </c>
      <c r="D47" s="2" t="s">
        <v>46</v>
      </c>
      <c r="E47" s="14">
        <v>150000</v>
      </c>
      <c r="F47" s="17">
        <f>F38*F44</f>
        <v>50000</v>
      </c>
      <c r="G47" s="17"/>
    </row>
    <row r="48" spans="2:9">
      <c r="C48" s="1" t="s">
        <v>48</v>
      </c>
      <c r="D48" s="2" t="s">
        <v>46</v>
      </c>
      <c r="E48" s="18">
        <v>150000</v>
      </c>
      <c r="F48" s="18">
        <v>125000</v>
      </c>
      <c r="G48" s="16" t="s">
        <v>49</v>
      </c>
    </row>
    <row r="50" spans="3:7">
      <c r="C50" s="1" t="s">
        <v>50</v>
      </c>
      <c r="D50" s="2" t="s">
        <v>45</v>
      </c>
      <c r="E50" s="14">
        <v>150</v>
      </c>
      <c r="F50" s="14">
        <v>125</v>
      </c>
      <c r="G50" s="16" t="s">
        <v>51</v>
      </c>
    </row>
    <row r="52" spans="3:7">
      <c r="C52" s="1" t="s">
        <v>52</v>
      </c>
      <c r="E52" s="14">
        <v>75000</v>
      </c>
      <c r="F52" s="14">
        <v>62500</v>
      </c>
    </row>
    <row r="53" spans="3:7">
      <c r="C53" s="1" t="s">
        <v>43</v>
      </c>
      <c r="E53" s="14">
        <v>75000</v>
      </c>
      <c r="F53" s="14">
        <v>62500</v>
      </c>
    </row>
    <row r="55" spans="3:7">
      <c r="C55" s="1" t="s">
        <v>53</v>
      </c>
      <c r="E55" s="21" t="s">
        <v>54</v>
      </c>
    </row>
    <row r="56" spans="3:7">
      <c r="C56" s="1" t="s">
        <v>55</v>
      </c>
      <c r="E56" s="21" t="s">
        <v>56</v>
      </c>
    </row>
    <row r="57" spans="3:7">
      <c r="C57" s="1" t="s">
        <v>59</v>
      </c>
      <c r="E57" s="21">
        <v>7</v>
      </c>
      <c r="F57" s="1" t="s">
        <v>57</v>
      </c>
    </row>
    <row r="58" spans="3:7">
      <c r="C58" s="1" t="s">
        <v>60</v>
      </c>
      <c r="E58" s="20">
        <v>4</v>
      </c>
      <c r="F58" s="1" t="s">
        <v>58</v>
      </c>
    </row>
  </sheetData>
  <pageMargins left="0.4" right="0.4" top="0.5" bottom="0.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245A-B7B6-49F3-8535-60336AAA31C8}">
  <dimension ref="A1:H3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5" sqref="A5:XFD17"/>
    </sheetView>
  </sheetViews>
  <sheetFormatPr defaultColWidth="10.69921875" defaultRowHeight="13.8"/>
  <cols>
    <col min="1" max="1" width="1.69921875" customWidth="1"/>
    <col min="2" max="4" width="1.59765625" customWidth="1"/>
    <col min="5" max="5" width="32.19921875" customWidth="1"/>
    <col min="6" max="8" width="9.69921875" customWidth="1"/>
    <col min="9" max="9" width="1.59765625" customWidth="1"/>
    <col min="10" max="10" width="11.69921875" bestFit="1" customWidth="1"/>
    <col min="11" max="11" width="11.796875" bestFit="1" customWidth="1"/>
    <col min="12" max="12" width="11.8984375" bestFit="1" customWidth="1"/>
    <col min="13" max="13" width="11.59765625" bestFit="1" customWidth="1"/>
    <col min="14" max="14" width="12" bestFit="1" customWidth="1"/>
    <col min="15" max="15" width="11.69921875" bestFit="1" customWidth="1"/>
    <col min="16" max="16" width="12.3984375" bestFit="1" customWidth="1"/>
    <col min="17" max="17" width="11.796875" bestFit="1" customWidth="1"/>
    <col min="18" max="18" width="12.5" bestFit="1" customWidth="1"/>
    <col min="19" max="19" width="11.8984375" bestFit="1" customWidth="1"/>
    <col min="20" max="20" width="11.796875" bestFit="1" customWidth="1"/>
    <col min="21" max="21" width="12" bestFit="1" customWidth="1"/>
    <col min="22" max="22" width="11.69921875" bestFit="1" customWidth="1"/>
    <col min="23" max="23" width="11.796875" bestFit="1" customWidth="1"/>
    <col min="24" max="24" width="11.8984375" bestFit="1" customWidth="1"/>
    <col min="25" max="25" width="11.59765625" bestFit="1" customWidth="1"/>
    <col min="26" max="26" width="12" bestFit="1" customWidth="1"/>
    <col min="27" max="27" width="11.69921875" bestFit="1" customWidth="1"/>
    <col min="28" max="28" width="12.3984375" bestFit="1" customWidth="1"/>
    <col min="29" max="29" width="11.796875" bestFit="1" customWidth="1"/>
    <col min="30" max="30" width="12.5" bestFit="1" customWidth="1"/>
    <col min="31" max="31" width="11.8984375" bestFit="1" customWidth="1"/>
    <col min="32" max="32" width="11.796875" bestFit="1" customWidth="1"/>
    <col min="33" max="33" width="12" bestFit="1" customWidth="1"/>
    <col min="34" max="34" width="11.69921875" bestFit="1" customWidth="1"/>
    <col min="35" max="35" width="11.796875" bestFit="1" customWidth="1"/>
    <col min="36" max="36" width="11.8984375" bestFit="1" customWidth="1"/>
    <col min="37" max="37" width="11.59765625" bestFit="1" customWidth="1"/>
  </cols>
  <sheetData>
    <row r="1" spans="1:8" s="22" customFormat="1">
      <c r="A1" s="22" t="str">
        <f>company</f>
        <v>Waterworks Corp</v>
      </c>
    </row>
    <row r="2" spans="1:8" s="22" customFormat="1">
      <c r="A2" s="22" t="str" cm="1">
        <f t="array" ref="A2">topic</f>
        <v>CFM Topic: Working capital</v>
      </c>
    </row>
    <row r="3" spans="1:8" s="22" customFormat="1">
      <c r="A3" s="22" t="s">
        <v>61</v>
      </c>
      <c r="F3" s="22" t="s">
        <v>62</v>
      </c>
      <c r="G3" s="22" t="s">
        <v>63</v>
      </c>
      <c r="H3" s="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Calculations</vt:lpstr>
      <vt:lpstr>CaseData</vt:lpstr>
      <vt:lpstr>Tmp</vt:lpstr>
      <vt:lpstr>company</vt:lpstr>
      <vt:lpstr>Calculations!Print_Titles</vt:lpstr>
      <vt:lpstr>quarters</vt:lpstr>
      <vt:lpstr>start_date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2026-08-12T07:09:36Z</dcterms:modified>
</cp:coreProperties>
</file>