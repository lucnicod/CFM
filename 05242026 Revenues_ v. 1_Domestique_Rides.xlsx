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namedSheetViews/namedSheetView1.xml" ContentType="application/vnd.ms-excel.namedsheetviews+xml"/>
  <Override PartName="/xl/drawings/drawing3.xml" ContentType="application/vnd.openxmlformats-officedocument.drawing+xml"/>
  <Override PartName="/xl/ctrlProps/ctrlProp4.xml" ContentType="application/vnd.ms-excel.controlpropertie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drawings/drawing4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3"/>
  <workbookPr filterPrivacy="1" defaultThemeVersion="124226"/>
  <xr:revisionPtr revIDLastSave="409" documentId="13_ncr:1_{054880D1-8267-40DA-97F1-BF4E0A2E033C}" xr6:coauthVersionLast="47" xr6:coauthVersionMax="47" xr10:uidLastSave="{3D6E6C5D-6DCD-41A0-A79E-6E68550B5DF5}"/>
  <bookViews>
    <workbookView xWindow="28680" yWindow="-120" windowWidth="29040" windowHeight="16440" tabRatio="833" activeTab="5" xr2:uid="{00000000-000D-0000-FFFF-FFFF00000000}"/>
  </bookViews>
  <sheets>
    <sheet name="Cover" sheetId="51" r:id="rId1"/>
    <sheet name="Executive Summary" sheetId="50" r:id="rId2"/>
    <sheet name="Subscription" sheetId="49" r:id="rId3"/>
    <sheet name="Production" sheetId="48" r:id="rId4"/>
    <sheet name="Time" sheetId="47" r:id="rId5"/>
    <sheet name="CaseData" sheetId="45" r:id="rId6"/>
    <sheet name="Tmp" sheetId="46" r:id="rId7"/>
  </sheets>
  <definedNames>
    <definedName name="company">CaseData!$B$2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ModelStartDate">CaseData!$H$8</definedName>
    <definedName name="periods">CaseData!$H$9</definedName>
    <definedName name="production">Time!$F$28:$F$30</definedName>
    <definedName name="production_selector">Time!$F$31</definedName>
    <definedName name="subscription">Time!$F$33:$F$35</definedName>
    <definedName name="subscription_selector">Time!$F$36</definedName>
    <definedName name="topic">"CFM Topic: " &amp; CaseData!$Q$2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48" l="1" a="1"/>
  <c r="J8" i="48" a="1"/>
  <c r="J15" i="48" a="1"/>
  <c r="F20" i="47"/>
  <c r="J21" i="47" a="1"/>
  <c r="J31" i="48" a="1"/>
  <c r="J6" i="46" a="1"/>
  <c r="E16" i="51" a="1"/>
  <c r="E15" i="51"/>
  <c r="E48" i="50" a="1"/>
  <c r="J12" i="47" a="1"/>
  <c r="J13" i="47" a="1"/>
  <c r="J15" i="47" a="1"/>
  <c r="J24" i="47" a="1"/>
  <c r="J14" i="47" a="1"/>
  <c r="J49" i="50" a="1"/>
  <c r="J8" i="49" a="1"/>
  <c r="J52" i="50" a="1"/>
  <c r="J56" i="50" a="1"/>
  <c r="J27" i="48" a="1"/>
  <c r="J34" i="48" a="1"/>
  <c r="J39" i="48" a="1"/>
  <c r="J9" i="47" a="1"/>
  <c r="J18" i="47" a="1"/>
  <c r="J11" i="48" a="1"/>
  <c r="J18" i="48" a="1"/>
  <c r="J38" i="48" a="1"/>
  <c r="J40" i="48" a="1"/>
  <c r="J7" i="50" a="1"/>
  <c r="J57" i="50"/>
  <c r="K57" i="50"/>
  <c r="L57" i="50"/>
  <c r="N57" i="50"/>
  <c r="M57" i="50"/>
  <c r="J18" i="49" a="1"/>
  <c r="J28" i="49" a="1"/>
  <c r="J12" i="50" a="1"/>
  <c r="J58" i="50"/>
  <c r="K58" i="50"/>
  <c r="L58" i="50"/>
  <c r="M58" i="50"/>
  <c r="N58" i="50"/>
  <c r="J59" i="50" a="1"/>
  <c r="H59" i="50" a="1"/>
  <c r="I58" i="50"/>
  <c r="J11" i="50" a="1"/>
  <c r="J34" i="49" a="1"/>
  <c r="J13" i="50" a="1"/>
  <c r="H11" i="50" a="1"/>
  <c r="H58" i="50"/>
  <c r="G58" i="50"/>
  <c r="F58" i="50"/>
  <c r="F57" i="50"/>
  <c r="G57" i="50"/>
  <c r="H7" i="50" a="1"/>
  <c r="H57" i="50"/>
  <c r="I57" i="50"/>
  <c r="H56" i="50" a="1"/>
  <c r="G46" i="50"/>
  <c r="F46" i="50"/>
  <c r="E46" i="50"/>
  <c r="M15" i="50"/>
  <c r="E28" i="50"/>
  <c r="J29" i="50" a="1"/>
  <c r="H29" i="50" a="1"/>
  <c r="E25" i="50"/>
  <c r="J26" i="50" a="1"/>
  <c r="H26" i="50" a="1"/>
  <c r="G28" i="50"/>
  <c r="H28" i="50"/>
  <c r="I28" i="50"/>
  <c r="J28" i="50"/>
  <c r="K28" i="50"/>
  <c r="L28" i="50"/>
  <c r="M28" i="50"/>
  <c r="N28" i="50"/>
  <c r="G25" i="50"/>
  <c r="H25" i="50"/>
  <c r="I25" i="50"/>
  <c r="J25" i="50"/>
  <c r="K25" i="50"/>
  <c r="L25" i="50"/>
  <c r="M25" i="50"/>
  <c r="N25" i="50"/>
  <c r="E23" i="50"/>
  <c r="G23" i="50"/>
  <c r="H27" i="48" a="1"/>
  <c r="H23" i="50"/>
  <c r="I23" i="50"/>
  <c r="J23" i="50"/>
  <c r="K23" i="50"/>
  <c r="L23" i="50"/>
  <c r="M23" i="50"/>
  <c r="N23" i="50"/>
  <c r="E22" i="50"/>
  <c r="G22" i="50"/>
  <c r="H22" i="50"/>
  <c r="I22" i="50"/>
  <c r="J22" i="50"/>
  <c r="K22" i="50"/>
  <c r="L22" i="50"/>
  <c r="M22" i="50"/>
  <c r="N22" i="50"/>
  <c r="E20" i="50"/>
  <c r="G20" i="50"/>
  <c r="H11" i="48" a="1"/>
  <c r="H20" i="50"/>
  <c r="I20" i="50"/>
  <c r="J20" i="50"/>
  <c r="K20" i="50"/>
  <c r="L20" i="50"/>
  <c r="M20" i="50"/>
  <c r="N20" i="50"/>
  <c r="E19" i="50"/>
  <c r="G19" i="50"/>
  <c r="H19" i="50"/>
  <c r="I19" i="50"/>
  <c r="J19" i="50"/>
  <c r="K19" i="50"/>
  <c r="L19" i="50"/>
  <c r="M19" i="50"/>
  <c r="N19" i="50"/>
  <c r="J3" i="47" a="1"/>
  <c r="J3" i="50" a="1"/>
  <c r="J2" i="47" a="1"/>
  <c r="J2" i="50" a="1"/>
  <c r="A2" i="47" a="1"/>
  <c r="A2" i="48" a="1"/>
  <c r="A2" i="49" a="1"/>
  <c r="A2" i="50" a="1"/>
  <c r="A1" i="50"/>
  <c r="S7" i="45" a="1"/>
  <c r="E27" i="49" a="1"/>
  <c r="E7" i="49" a="1"/>
  <c r="E17" i="49" a="1"/>
  <c r="A1" i="49"/>
  <c r="E38" i="48"/>
  <c r="G38" i="48"/>
  <c r="G30" i="48"/>
  <c r="F30" i="48"/>
  <c r="E30" i="48"/>
  <c r="G14" i="48"/>
  <c r="F14" i="48"/>
  <c r="E14" i="48"/>
  <c r="F23" i="48"/>
  <c r="G26" i="48"/>
  <c r="F26" i="48"/>
  <c r="E26" i="48"/>
  <c r="G10" i="48"/>
  <c r="F10" i="48"/>
  <c r="E10" i="48"/>
  <c r="G23" i="48"/>
  <c r="E23" i="48"/>
  <c r="A1" i="48"/>
  <c r="G20" i="47"/>
  <c r="E20" i="47"/>
  <c r="F8" i="47"/>
  <c r="F7" i="47"/>
  <c r="A1" i="47"/>
  <c r="A1" i="46"/>
  <c r="D11" i="45"/>
  <c r="D10" i="45"/>
  <c r="D9" i="45"/>
  <c r="D8" i="45"/>
  <c r="H24" i="48" a="1"/>
  <c r="J3" i="49" a="1"/>
  <c r="J3" i="48" a="1"/>
  <c r="J2" i="49" a="1"/>
  <c r="J2" i="48" a="1"/>
  <c r="H8" i="48" a="1"/>
  <c r="H39" i="48" a="1"/>
  <c r="H34" i="48" a="1"/>
  <c r="H18" i="48" a="1"/>
  <c r="H38" i="48" a="1"/>
  <c r="H40" i="48" a="1"/>
  <c r="J15" i="50"/>
  <c r="K15" i="50"/>
  <c r="L15" i="50"/>
  <c r="N15" i="50"/>
  <c r="H15" i="50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<sst xmlns="http://schemas.openxmlformats.org/spreadsheetml/2006/main" count="1567" uniqueCount="110">
  <si>
    <t>Domestique Rides Inc.</t>
  </si>
  <si>
    <t>ASSUMPTIONS</t>
  </si>
  <si>
    <t>2020 SUBSCRIPTION PRICING GRID</t>
  </si>
  <si>
    <t>2020 SUBSCRIPTION REVENUE INFORMATION</t>
  </si>
  <si>
    <t>Number of Subscriptions</t>
  </si>
  <si>
    <t>Price (Local)</t>
  </si>
  <si>
    <t>Client</t>
  </si>
  <si>
    <t>Subscription Number</t>
  </si>
  <si>
    <t>FX Rate (x/EUR)</t>
  </si>
  <si>
    <t>Client #2</t>
  </si>
  <si>
    <t>n.a.</t>
  </si>
  <si>
    <t>Client #1</t>
  </si>
  <si>
    <t>SCENARIO ANALYSIS</t>
  </si>
  <si>
    <t>ALP PRODUCTION REVENUE SCENARIOS</t>
  </si>
  <si>
    <t>Forecast</t>
  </si>
  <si>
    <t>Annual Price Growth</t>
  </si>
  <si>
    <t>Base Case</t>
  </si>
  <si>
    <t>Best Case</t>
  </si>
  <si>
    <t>Worst Case</t>
  </si>
  <si>
    <t>Annual Production Growth</t>
  </si>
  <si>
    <t>SUBSCRIPTION REVENUE SCENARIOS</t>
  </si>
  <si>
    <t>All Clients - Price Growth</t>
  </si>
  <si>
    <t>All Clients - Subscription Growth</t>
  </si>
  <si>
    <t>End of schedule</t>
  </si>
  <si>
    <t>TMP SCHEDULE</t>
  </si>
  <si>
    <t>Constant</t>
  </si>
  <si>
    <t>Unit</t>
  </si>
  <si>
    <t>Total</t>
  </si>
  <si>
    <t>date</t>
  </si>
  <si>
    <t>years</t>
  </si>
  <si>
    <t>Model periods</t>
  </si>
  <si>
    <t>Model technical inputs</t>
  </si>
  <si>
    <t>Model start date</t>
  </si>
  <si>
    <t>Model timeline</t>
  </si>
  <si>
    <t>Units produced</t>
  </si>
  <si>
    <t>units</t>
  </si>
  <si>
    <t>EUR / unit</t>
  </si>
  <si>
    <t>Maximum capacity - Alp</t>
  </si>
  <si>
    <t>PYRENEES PRODUCTION REVENUE SCENARIOS</t>
  </si>
  <si>
    <t>First year production forecast</t>
  </si>
  <si>
    <t>Start date</t>
  </si>
  <si>
    <t>TIME SCHEDULE</t>
  </si>
  <si>
    <t>Model period beginning</t>
  </si>
  <si>
    <t>Model period end</t>
  </si>
  <si>
    <t>Operating flags</t>
  </si>
  <si>
    <t>Model period counter</t>
  </si>
  <si>
    <t>counter</t>
  </si>
  <si>
    <t>Effective number of days</t>
  </si>
  <si>
    <t>days</t>
  </si>
  <si>
    <t>Alp operating flag</t>
  </si>
  <si>
    <t>flag</t>
  </si>
  <si>
    <t>MODEL ASSUMPTIONS</t>
  </si>
  <si>
    <t>Maximum capacity - Pyrenees</t>
  </si>
  <si>
    <t>Start of production - Pyrenees</t>
  </si>
  <si>
    <t>Pyrenees operating flag</t>
  </si>
  <si>
    <t>PRODUCTION SCHEDULE</t>
  </si>
  <si>
    <t>Alp</t>
  </si>
  <si>
    <t>Alp unit sales - unconstrained by capacity</t>
  </si>
  <si>
    <t>Scenarios</t>
  </si>
  <si>
    <t>Production</t>
  </si>
  <si>
    <t>Production scenario selector</t>
  </si>
  <si>
    <t>Subscription</t>
  </si>
  <si>
    <t>Suscription scenario selector</t>
  </si>
  <si>
    <t>Production scenarios</t>
  </si>
  <si>
    <t>Subscription scenarios</t>
  </si>
  <si>
    <t>Annual timeline</t>
  </si>
  <si>
    <t>Pyrenées</t>
  </si>
  <si>
    <t>Pyrenées unit sales - unconstrained by capacity</t>
  </si>
  <si>
    <t>Unit price</t>
  </si>
  <si>
    <t>Revenue</t>
  </si>
  <si>
    <t>Alp revenue</t>
  </si>
  <si>
    <t>EUR</t>
  </si>
  <si>
    <t>Unit price in 2020 - Alp</t>
  </si>
  <si>
    <t>Units produced in 2020 - Alp</t>
  </si>
  <si>
    <t>Forecasted unit price - Alp</t>
  </si>
  <si>
    <t>Forecasted unit sales - Alp</t>
  </si>
  <si>
    <t>Forecasted unit sales - Pyrenées</t>
  </si>
  <si>
    <t>First year unit price - Pyrenées</t>
  </si>
  <si>
    <t>Forecasted unit price - Pyrenées</t>
  </si>
  <si>
    <t>Pyrenées revenue</t>
  </si>
  <si>
    <t>Production revenue</t>
  </si>
  <si>
    <t>SUBSCRIPTION SCHEDULE</t>
  </si>
  <si>
    <t>Subscription operating flag</t>
  </si>
  <si>
    <t>Subscriptions</t>
  </si>
  <si>
    <t>Price</t>
  </si>
  <si>
    <t>Subscription revenue</t>
  </si>
  <si>
    <t>EXECUTIVE SUMMARY</t>
  </si>
  <si>
    <t>Scenario selectors</t>
  </si>
  <si>
    <t>a) 5-year revenue forecast</t>
  </si>
  <si>
    <t>Total revenue</t>
  </si>
  <si>
    <t>b) Revenue and volume executive summary</t>
  </si>
  <si>
    <t>Forecasted subscriptions</t>
  </si>
  <si>
    <t>c) Key metrics</t>
  </si>
  <si>
    <t>i. Percentage of total 2024 revenue derived from production revenue if Pyrenées is started in 2022</t>
  </si>
  <si>
    <t>Total revenue in 2024</t>
  </si>
  <si>
    <t>Production revenue if Pyrenées is launched in 2022</t>
  </si>
  <si>
    <t>Percentage of revenue derived from production</t>
  </si>
  <si>
    <t>ii. How many subscriptions has Client #1 in 2025 and what is their average price</t>
  </si>
  <si>
    <t>Numer of subscribers at the end of 2025</t>
  </si>
  <si>
    <t>Average price in client's local currency</t>
  </si>
  <si>
    <t>LC</t>
  </si>
  <si>
    <t>FX fluctuation</t>
  </si>
  <si>
    <t>%</t>
  </si>
  <si>
    <t>iii. What is the impact to Total Revenue of a 10% increase in the fx rate of Client #1 and Pyrenée launch in 2023</t>
  </si>
  <si>
    <t>Revenue from Client #1 subjected to fx fluctuation</t>
  </si>
  <si>
    <t>Revenue from Pyrenée launch in 2023</t>
  </si>
  <si>
    <t>Revenue from Client #2</t>
  </si>
  <si>
    <t>Revenue from Alp production</t>
  </si>
  <si>
    <t>iv. Scenario impact</t>
  </si>
  <si>
    <t>iv. Scenario impact 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</si>
</sst>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0;[Red]0"/>
    <numFmt numFmtId="178" formatCode="\&gt;\=#,##0;[Red]#,##0"/>
    <numFmt numFmtId="179" formatCode="\&lt;\=#,##0;[Red]#,##0"/>
    <numFmt numFmtId="180" formatCode="&quot;$&quot;#,##0.00;[Red]&quot;$&quot;#,##0.00"/>
    <numFmt numFmtId="181" formatCode="0_ ;[Red]\-0\ "/>
    <numFmt numFmtId="182" formatCode="0.000;[Red]0.000"/>
    <numFmt numFmtId="183" formatCode="\&gt;#,##0;[Red]#,##0"/>
    <numFmt numFmtId="184" formatCode="&quot;$&quot;#,##0;[Red]&quot;$&quot;#,##0"/>
    <numFmt numFmtId="185" formatCode="0.0;[Red]0.0"/>
    <numFmt numFmtId="186" formatCode="#,##0_);\(#,##0\);&quot;-  &quot;;&quot; &quot;@"/>
    <numFmt numFmtId="187" formatCode="0.00%\ ;\-0.00%\ _);&quot;-  &quot;;&quot; &quot;@&quot; &quot;"/>
    <numFmt numFmtId="188" formatCode="#,##0.0000_);\(#,##0.0000\);&quot;-  &quot;;&quot; &quot;@&quot; &quot;"/>
    <numFmt numFmtId="189" formatCode="dd\ mmm\ yyyy_);\(###0\);&quot;-  &quot;;&quot; &quot;@&quot; &quot;"/>
    <numFmt numFmtId="190" formatCode="dd\ mmm\ yy_);\(###0\);&quot;-  &quot;;&quot; &quot;@&quot; &quot;"/>
    <numFmt numFmtId="191" formatCode="###0_);\(###0\);&quot;-  &quot;;&quot; &quot;@&quot; &quot;"/>
  </numFmts>
  <fonts count="45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11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u/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0000FF"/>
      <name val="Arial"/>
      <family val="2"/>
    </font>
    <font>
      <b/>
      <sz val="45"/>
      <color theme="3"/>
      <name val="Arial"/>
      <family val="2"/>
    </font>
    <font>
      <b/>
      <sz val="35"/>
      <color theme="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56">
    <xf numFmtId="186" fontId="0" fillId="0" borderId="0" applyFont="0" applyFill="0" applyBorder="0" applyProtection="0">
      <alignment vertical="top"/>
    </xf>
    <xf numFmtId="0" fontId="3" fillId="0" borderId="0"/>
    <xf numFmtId="165" fontId="4" fillId="0" borderId="0" applyFont="0" applyFill="0" applyBorder="0" applyAlignment="0" applyProtection="0"/>
    <xf numFmtId="0" fontId="5" fillId="0" borderId="0" applyNumberFormat="0" applyFont="0" applyFill="0" applyBorder="0" applyProtection="0">
      <alignment horizontal="centerContinuous"/>
    </xf>
    <xf numFmtId="0" fontId="5" fillId="0" borderId="1" applyNumberFormat="0" applyFont="0" applyFill="0" applyAlignment="0" applyProtection="0"/>
    <xf numFmtId="0" fontId="5" fillId="0" borderId="0" applyNumberFormat="0" applyFont="0" applyFill="0" applyBorder="0" applyProtection="0">
      <alignment horizontal="center"/>
    </xf>
    <xf numFmtId="164" fontId="6" fillId="0" borderId="4">
      <protection locked="0"/>
    </xf>
    <xf numFmtId="0" fontId="5" fillId="0" borderId="5" applyNumberFormat="0" applyFont="0" applyFill="0" applyAlignment="0" applyProtection="0"/>
    <xf numFmtId="0" fontId="7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0" fontId="5" fillId="0" borderId="3" applyNumberFormat="0" applyFont="0" applyFill="0" applyAlignment="0" applyProtection="0"/>
    <xf numFmtId="9" fontId="3" fillId="0" borderId="0" applyFont="0" applyFill="0" applyBorder="0" applyAlignment="0" applyProtection="0"/>
    <xf numFmtId="0" fontId="11" fillId="3" borderId="0" applyNumberFormat="0" applyAlignment="0"/>
    <xf numFmtId="168" fontId="2" fillId="0" borderId="0" applyBorder="0"/>
    <xf numFmtId="4" fontId="8" fillId="4" borderId="2">
      <alignment horizontal="left"/>
    </xf>
    <xf numFmtId="167" fontId="12" fillId="0" borderId="0" applyFill="0" applyBorder="0"/>
    <xf numFmtId="168" fontId="10" fillId="0" borderId="0" applyBorder="0"/>
    <xf numFmtId="0" fontId="13" fillId="0" borderId="0" applyNumberFormat="0" applyFill="0" applyBorder="0">
      <alignment horizontal="right"/>
    </xf>
    <xf numFmtId="168" fontId="13" fillId="5" borderId="8">
      <protection locked="0"/>
    </xf>
    <xf numFmtId="169" fontId="13" fillId="5" borderId="8">
      <protection locked="0"/>
    </xf>
    <xf numFmtId="170" fontId="13" fillId="5" borderId="8">
      <protection locked="0"/>
    </xf>
    <xf numFmtId="171" fontId="2" fillId="0" borderId="0" applyBorder="0"/>
    <xf numFmtId="171" fontId="13" fillId="5" borderId="8">
      <protection locked="0"/>
    </xf>
    <xf numFmtId="168" fontId="13" fillId="0" borderId="8"/>
    <xf numFmtId="15" fontId="9" fillId="0" borderId="0" applyFill="0" applyBorder="0" applyAlignment="0"/>
    <xf numFmtId="172" fontId="14" fillId="0" borderId="9">
      <alignment horizontal="center"/>
    </xf>
    <xf numFmtId="168" fontId="15" fillId="7" borderId="0" applyBorder="0" applyAlignment="0"/>
    <xf numFmtId="172" fontId="16" fillId="8" borderId="10">
      <alignment horizontal="center"/>
    </xf>
    <xf numFmtId="0" fontId="17" fillId="0" borderId="0" applyNumberFormat="0" applyFill="0" applyBorder="0" applyAlignment="0"/>
    <xf numFmtId="0" fontId="18" fillId="0" borderId="0" applyNumberFormat="0" applyFill="0" applyBorder="0" applyAlignment="0"/>
    <xf numFmtId="167" fontId="19" fillId="6" borderId="8" applyNumberFormat="0" applyAlignment="0">
      <protection locked="0"/>
    </xf>
    <xf numFmtId="173" fontId="20" fillId="5" borderId="8">
      <alignment horizontal="center"/>
      <protection locked="0"/>
    </xf>
    <xf numFmtId="174" fontId="20" fillId="5" borderId="8">
      <alignment horizontal="center"/>
      <protection locked="0"/>
    </xf>
    <xf numFmtId="169" fontId="2" fillId="0" borderId="0" applyBorder="0"/>
    <xf numFmtId="174" fontId="21" fillId="0" borderId="11" applyFill="0">
      <alignment horizontal="center"/>
    </xf>
    <xf numFmtId="173" fontId="20" fillId="0" borderId="11">
      <alignment horizontal="center"/>
    </xf>
    <xf numFmtId="170" fontId="3" fillId="0" borderId="0" applyFill="0" applyBorder="0" applyAlignment="0"/>
    <xf numFmtId="168" fontId="2" fillId="9" borderId="11"/>
    <xf numFmtId="0" fontId="22" fillId="0" borderId="6" applyNumberFormat="0" applyFill="0" applyAlignment="0" applyProtection="0"/>
    <xf numFmtId="0" fontId="23" fillId="0" borderId="0"/>
    <xf numFmtId="0" fontId="24" fillId="2" borderId="7" applyNumberFormat="0" applyAlignment="0" applyProtection="0"/>
    <xf numFmtId="0" fontId="24" fillId="2" borderId="7" applyFill="0" applyAlignment="0" applyProtection="0"/>
    <xf numFmtId="0" fontId="2" fillId="0" borderId="0"/>
    <xf numFmtId="0" fontId="25" fillId="0" borderId="0"/>
    <xf numFmtId="175" fontId="2" fillId="0" borderId="0" applyBorder="0"/>
    <xf numFmtId="176" fontId="2" fillId="0" borderId="0" applyBorder="0"/>
    <xf numFmtId="175" fontId="13" fillId="5" borderId="8">
      <protection locked="0"/>
    </xf>
    <xf numFmtId="165" fontId="23" fillId="0" borderId="0" applyFont="0" applyFill="0" applyBorder="0" applyAlignment="0" applyProtection="0"/>
    <xf numFmtId="0" fontId="26" fillId="2" borderId="7" applyNumberFormat="0" applyAlignment="0" applyProtection="0"/>
    <xf numFmtId="4" fontId="8" fillId="4" borderId="12">
      <alignment horizontal="left"/>
    </xf>
    <xf numFmtId="0" fontId="27" fillId="0" borderId="0"/>
    <xf numFmtId="187" fontId="25" fillId="0" borderId="0" applyFont="0" applyFill="0" applyBorder="0" applyProtection="0">
      <alignment vertical="top"/>
    </xf>
    <xf numFmtId="188" fontId="27" fillId="0" borderId="0" applyFont="0" applyFill="0" applyBorder="0" applyProtection="0">
      <alignment vertical="top"/>
    </xf>
    <xf numFmtId="189" fontId="27" fillId="0" borderId="0" applyFont="0" applyFill="0" applyBorder="0" applyProtection="0">
      <alignment vertical="top"/>
    </xf>
    <xf numFmtId="190" fontId="27" fillId="0" borderId="0" applyFont="0" applyFill="0" applyBorder="0" applyProtection="0">
      <alignment vertical="top"/>
    </xf>
    <xf numFmtId="191" fontId="27" fillId="0" borderId="0" applyFont="0" applyFill="0" applyBorder="0" applyProtection="0">
      <alignment vertical="top"/>
    </xf>
  </cellStyleXfs>
  <cellXfs count="116">
    <xf numFmtId="186" fontId="0" fillId="0" borderId="0" xfId="0">
      <alignment vertical="top"/>
    </xf>
    <xf numFmtId="0" fontId="27" fillId="0" borderId="0" xfId="50"/>
    <xf numFmtId="0" fontId="28" fillId="11" borderId="14" xfId="50" applyFont="1" applyFill="1" applyBorder="1" applyAlignment="1">
      <alignment vertical="center"/>
    </xf>
    <xf numFmtId="0" fontId="8" fillId="11" borderId="13" xfId="50" applyFont="1" applyFill="1" applyBorder="1"/>
    <xf numFmtId="0" fontId="29" fillId="11" borderId="13" xfId="50" applyFont="1" applyFill="1" applyBorder="1"/>
    <xf numFmtId="0" fontId="8" fillId="11" borderId="14" xfId="50" applyFont="1" applyFill="1" applyBorder="1"/>
    <xf numFmtId="0" fontId="8" fillId="11" borderId="15" xfId="50" applyFont="1" applyFill="1" applyBorder="1" applyAlignment="1">
      <alignment horizontal="left"/>
    </xf>
    <xf numFmtId="0" fontId="8" fillId="11" borderId="2" xfId="50" applyFont="1" applyFill="1" applyBorder="1" applyAlignment="1">
      <alignment horizontal="centerContinuous"/>
    </xf>
    <xf numFmtId="0" fontId="29" fillId="11" borderId="16" xfId="50" applyFont="1" applyFill="1" applyBorder="1" applyAlignment="1">
      <alignment horizontal="centerContinuous"/>
    </xf>
    <xf numFmtId="177" fontId="8" fillId="11" borderId="14" xfId="50" applyNumberFormat="1" applyFont="1" applyFill="1" applyBorder="1" applyAlignment="1">
      <alignment horizontal="left"/>
    </xf>
    <xf numFmtId="0" fontId="8" fillId="11" borderId="13" xfId="50" applyFont="1" applyFill="1" applyBorder="1" applyAlignment="1">
      <alignment horizontal="centerContinuous"/>
    </xf>
    <xf numFmtId="0" fontId="8" fillId="11" borderId="17" xfId="50" applyFont="1" applyFill="1" applyBorder="1" applyAlignment="1">
      <alignment horizontal="centerContinuous"/>
    </xf>
    <xf numFmtId="0" fontId="27" fillId="0" borderId="14" xfId="50" applyBorder="1"/>
    <xf numFmtId="0" fontId="30" fillId="0" borderId="18" xfId="50" applyFont="1" applyBorder="1"/>
    <xf numFmtId="0" fontId="30" fillId="0" borderId="13" xfId="50" applyFont="1" applyBorder="1" applyAlignment="1">
      <alignment horizontal="right"/>
    </xf>
    <xf numFmtId="0" fontId="30" fillId="0" borderId="17" xfId="50" applyFont="1" applyBorder="1" applyAlignment="1">
      <alignment horizontal="right"/>
    </xf>
    <xf numFmtId="0" fontId="30" fillId="0" borderId="14" xfId="50" applyFont="1" applyBorder="1" applyAlignment="1">
      <alignment horizontal="center"/>
    </xf>
    <xf numFmtId="0" fontId="30" fillId="0" borderId="13" xfId="50" applyFont="1" applyBorder="1" applyAlignment="1">
      <alignment horizontal="center"/>
    </xf>
    <xf numFmtId="0" fontId="30" fillId="0" borderId="17" xfId="50" applyFont="1" applyBorder="1" applyAlignment="1">
      <alignment horizontal="center"/>
    </xf>
    <xf numFmtId="0" fontId="27" fillId="0" borderId="19" xfId="50" applyBorder="1"/>
    <xf numFmtId="178" fontId="31" fillId="0" borderId="0" xfId="50" applyNumberFormat="1" applyFont="1"/>
    <xf numFmtId="179" fontId="7" fillId="0" borderId="20" xfId="50" applyNumberFormat="1" applyFont="1" applyBorder="1"/>
    <xf numFmtId="180" fontId="31" fillId="0" borderId="21" xfId="50" applyNumberFormat="1" applyFont="1" applyBorder="1"/>
    <xf numFmtId="0" fontId="31" fillId="0" borderId="19" xfId="50" applyFont="1" applyBorder="1" applyAlignment="1">
      <alignment horizontal="center"/>
    </xf>
    <xf numFmtId="181" fontId="31" fillId="0" borderId="0" xfId="50" applyNumberFormat="1" applyFont="1" applyAlignment="1">
      <alignment horizontal="center"/>
    </xf>
    <xf numFmtId="180" fontId="31" fillId="0" borderId="0" xfId="50" applyNumberFormat="1" applyFont="1" applyAlignment="1">
      <alignment horizontal="center"/>
    </xf>
    <xf numFmtId="182" fontId="31" fillId="0" borderId="22" xfId="50" applyNumberFormat="1" applyFont="1" applyBorder="1" applyAlignment="1">
      <alignment horizontal="center"/>
    </xf>
    <xf numFmtId="179" fontId="7" fillId="0" borderId="23" xfId="50" applyNumberFormat="1" applyFont="1" applyBorder="1"/>
    <xf numFmtId="180" fontId="31" fillId="0" borderId="24" xfId="50" applyNumberFormat="1" applyFont="1" applyBorder="1"/>
    <xf numFmtId="183" fontId="31" fillId="0" borderId="0" xfId="50" applyNumberFormat="1" applyFont="1" applyAlignment="1">
      <alignment horizontal="right"/>
    </xf>
    <xf numFmtId="0" fontId="27" fillId="0" borderId="25" xfId="50" applyBorder="1"/>
    <xf numFmtId="178" fontId="31" fillId="0" borderId="1" xfId="50" applyNumberFormat="1" applyFont="1" applyBorder="1"/>
    <xf numFmtId="184" fontId="31" fillId="0" borderId="1" xfId="50" applyNumberFormat="1" applyFont="1" applyBorder="1"/>
    <xf numFmtId="0" fontId="27" fillId="0" borderId="26" xfId="50" applyBorder="1"/>
    <xf numFmtId="0" fontId="29" fillId="11" borderId="17" xfId="50" applyFont="1" applyFill="1" applyBorder="1"/>
    <xf numFmtId="0" fontId="8" fillId="11" borderId="15" xfId="50" applyFont="1" applyFill="1" applyBorder="1"/>
    <xf numFmtId="0" fontId="8" fillId="11" borderId="2" xfId="50" applyFont="1" applyFill="1" applyBorder="1"/>
    <xf numFmtId="0" fontId="29" fillId="11" borderId="2" xfId="50" applyFont="1" applyFill="1" applyBorder="1"/>
    <xf numFmtId="0" fontId="29" fillId="11" borderId="16" xfId="50" applyFont="1" applyFill="1" applyBorder="1"/>
    <xf numFmtId="0" fontId="27" fillId="0" borderId="13" xfId="50" applyBorder="1"/>
    <xf numFmtId="0" fontId="27" fillId="0" borderId="17" xfId="50" applyBorder="1"/>
    <xf numFmtId="0" fontId="32" fillId="0" borderId="0" xfId="50" applyFont="1" applyAlignment="1">
      <alignment horizontal="centerContinuous"/>
    </xf>
    <xf numFmtId="0" fontId="33" fillId="0" borderId="0" xfId="50" applyFont="1" applyAlignment="1">
      <alignment horizontal="centerContinuous"/>
    </xf>
    <xf numFmtId="0" fontId="27" fillId="0" borderId="22" xfId="50" applyBorder="1"/>
    <xf numFmtId="177" fontId="34" fillId="0" borderId="0" xfId="50" applyNumberFormat="1" applyFont="1"/>
    <xf numFmtId="177" fontId="35" fillId="0" borderId="0" xfId="50" applyNumberFormat="1" applyFont="1"/>
    <xf numFmtId="177" fontId="35" fillId="0" borderId="27" xfId="50" applyNumberFormat="1" applyFont="1" applyBorder="1"/>
    <xf numFmtId="177" fontId="35" fillId="0" borderId="28" xfId="50" applyNumberFormat="1" applyFont="1" applyBorder="1"/>
    <xf numFmtId="177" fontId="31" fillId="0" borderId="0" xfId="50" applyNumberFormat="1" applyFont="1"/>
    <xf numFmtId="185" fontId="35" fillId="0" borderId="0" xfId="50" applyNumberFormat="1" applyFont="1"/>
    <xf numFmtId="0" fontId="34" fillId="0" borderId="0" xfId="50" applyFont="1"/>
    <xf numFmtId="10" fontId="31" fillId="10" borderId="0" xfId="50" applyNumberFormat="1" applyFont="1" applyFill="1"/>
    <xf numFmtId="0" fontId="36" fillId="0" borderId="0" xfId="50" applyFont="1"/>
    <xf numFmtId="0" fontId="34" fillId="0" borderId="25" xfId="50" applyFont="1" applyBorder="1"/>
    <xf numFmtId="0" fontId="34" fillId="0" borderId="1" xfId="50" applyFont="1" applyBorder="1"/>
    <xf numFmtId="177" fontId="31" fillId="0" borderId="1" xfId="50" applyNumberFormat="1" applyFont="1" applyBorder="1"/>
    <xf numFmtId="0" fontId="27" fillId="0" borderId="1" xfId="50" applyBorder="1"/>
    <xf numFmtId="177" fontId="30" fillId="0" borderId="0" xfId="50" applyNumberFormat="1" applyFont="1"/>
    <xf numFmtId="10" fontId="35" fillId="0" borderId="0" xfId="50" applyNumberFormat="1" applyFont="1"/>
    <xf numFmtId="186" fontId="37" fillId="12" borderId="0" xfId="0" applyFont="1" applyFill="1">
      <alignment vertical="top"/>
    </xf>
    <xf numFmtId="186" fontId="0" fillId="13" borderId="0" xfId="0" applyFill="1">
      <alignment vertical="top"/>
    </xf>
    <xf numFmtId="186" fontId="38" fillId="13" borderId="0" xfId="0" applyFont="1" applyFill="1">
      <alignment vertical="top"/>
    </xf>
    <xf numFmtId="0" fontId="34" fillId="14" borderId="29" xfId="50" applyFont="1" applyFill="1" applyBorder="1"/>
    <xf numFmtId="186" fontId="34" fillId="14" borderId="29" xfId="0" applyFont="1" applyFill="1" applyBorder="1">
      <alignment vertical="top"/>
    </xf>
    <xf numFmtId="186" fontId="34" fillId="14" borderId="30" xfId="0" applyFont="1" applyFill="1" applyBorder="1">
      <alignment vertical="top"/>
    </xf>
    <xf numFmtId="0" fontId="34" fillId="0" borderId="19" xfId="50" applyFont="1" applyBorder="1"/>
    <xf numFmtId="0" fontId="8" fillId="11" borderId="14" xfId="50" applyFont="1" applyFill="1" applyBorder="1" applyAlignment="1">
      <alignment horizontal="left"/>
    </xf>
    <xf numFmtId="0" fontId="29" fillId="11" borderId="17" xfId="50" applyFont="1" applyFill="1" applyBorder="1" applyAlignment="1">
      <alignment horizontal="centerContinuous"/>
    </xf>
    <xf numFmtId="186" fontId="0" fillId="0" borderId="0" xfId="0" applyBorder="1">
      <alignment vertical="top"/>
    </xf>
    <xf numFmtId="186" fontId="0" fillId="0" borderId="17" xfId="0" applyBorder="1">
      <alignment vertical="top"/>
    </xf>
    <xf numFmtId="186" fontId="0" fillId="0" borderId="19" xfId="0" applyBorder="1">
      <alignment vertical="top"/>
    </xf>
    <xf numFmtId="186" fontId="0" fillId="0" borderId="22" xfId="0" applyBorder="1">
      <alignment vertical="top"/>
    </xf>
    <xf numFmtId="186" fontId="0" fillId="0" borderId="25" xfId="0" applyBorder="1">
      <alignment vertical="top"/>
    </xf>
    <xf numFmtId="186" fontId="0" fillId="0" borderId="1" xfId="0" applyBorder="1">
      <alignment vertical="top"/>
    </xf>
    <xf numFmtId="186" fontId="0" fillId="0" borderId="26" xfId="0" applyBorder="1">
      <alignment vertical="top"/>
    </xf>
    <xf numFmtId="186" fontId="34" fillId="0" borderId="19" xfId="0" applyFont="1" applyBorder="1">
      <alignment vertical="top"/>
    </xf>
    <xf numFmtId="189" fontId="34" fillId="14" borderId="29" xfId="53" applyFont="1" applyFill="1" applyBorder="1">
      <alignment vertical="top"/>
    </xf>
    <xf numFmtId="186" fontId="39" fillId="0" borderId="0" xfId="0" applyFont="1">
      <alignment vertical="top"/>
    </xf>
    <xf numFmtId="189" fontId="39" fillId="0" borderId="0" xfId="53" applyFont="1">
      <alignment vertical="top"/>
    </xf>
    <xf numFmtId="186" fontId="38" fillId="0" borderId="0" xfId="0" applyFont="1">
      <alignment vertical="top"/>
    </xf>
    <xf numFmtId="186" fontId="37" fillId="0" borderId="0" xfId="0" applyFont="1" applyFill="1">
      <alignment vertical="top"/>
    </xf>
    <xf numFmtId="0" fontId="34" fillId="14" borderId="30" xfId="50" applyFont="1" applyFill="1" applyBorder="1"/>
    <xf numFmtId="190" fontId="39" fillId="0" borderId="0" xfId="54" applyFont="1">
      <alignment vertical="top"/>
    </xf>
    <xf numFmtId="190" fontId="37" fillId="0" borderId="0" xfId="54" applyFont="1" applyFill="1">
      <alignment vertical="top"/>
    </xf>
    <xf numFmtId="186" fontId="40" fillId="0" borderId="0" xfId="0" applyFont="1">
      <alignment vertical="top"/>
    </xf>
    <xf numFmtId="186" fontId="41" fillId="0" borderId="0" xfId="0" applyFont="1">
      <alignment vertical="top"/>
    </xf>
    <xf numFmtId="186" fontId="42" fillId="13" borderId="29" xfId="0" applyFont="1" applyFill="1" applyBorder="1">
      <alignment vertical="top"/>
    </xf>
    <xf numFmtId="191" fontId="42" fillId="13" borderId="29" xfId="55" applyFont="1" applyFill="1" applyBorder="1">
      <alignment vertical="top"/>
    </xf>
    <xf numFmtId="186" fontId="0" fillId="0" borderId="0" xfId="0" applyBorder="1" applyAlignment="1">
      <alignment horizontal="centerContinuous" vertical="top"/>
    </xf>
    <xf numFmtId="0" fontId="34" fillId="0" borderId="22" xfId="50" applyFont="1" applyBorder="1" applyAlignment="1">
      <alignment horizontal="centerContinuous"/>
    </xf>
    <xf numFmtId="0" fontId="30" fillId="0" borderId="19" xfId="50" applyFont="1" applyBorder="1" applyAlignment="1">
      <alignment horizontal="centerContinuous"/>
    </xf>
    <xf numFmtId="0" fontId="30" fillId="0" borderId="0" xfId="50" applyFont="1" applyAlignment="1">
      <alignment horizontal="centerContinuous"/>
    </xf>
    <xf numFmtId="191" fontId="0" fillId="0" borderId="0" xfId="55" applyFont="1">
      <alignment vertical="top"/>
    </xf>
    <xf numFmtId="188" fontId="0" fillId="0" borderId="0" xfId="52" applyFont="1">
      <alignment vertical="top"/>
    </xf>
    <xf numFmtId="186" fontId="0" fillId="0" borderId="0" xfId="0" applyFont="1">
      <alignment vertical="top"/>
    </xf>
    <xf numFmtId="191" fontId="39" fillId="0" borderId="0" xfId="55" applyFont="1">
      <alignment vertical="top"/>
    </xf>
    <xf numFmtId="186" fontId="0" fillId="15" borderId="0" xfId="0" applyFill="1">
      <alignment vertical="top"/>
    </xf>
    <xf numFmtId="191" fontId="0" fillId="15" borderId="0" xfId="55" applyFont="1" applyFill="1">
      <alignment vertical="top"/>
    </xf>
    <xf numFmtId="186" fontId="0" fillId="15" borderId="0" xfId="0" applyFont="1" applyFill="1">
      <alignment vertical="top"/>
    </xf>
    <xf numFmtId="186" fontId="0" fillId="16" borderId="0" xfId="0" applyFill="1">
      <alignment vertical="top"/>
    </xf>
    <xf numFmtId="190" fontId="0" fillId="16" borderId="0" xfId="54" applyFont="1" applyFill="1">
      <alignment vertical="top"/>
    </xf>
    <xf numFmtId="186" fontId="1" fillId="0" borderId="0" xfId="0" applyFont="1" applyBorder="1" applyAlignment="1">
      <alignment horizontal="center" vertical="top" wrapText="1"/>
    </xf>
    <xf numFmtId="186" fontId="0" fillId="0" borderId="1" xfId="0" applyFont="1" applyBorder="1" applyAlignment="1">
      <alignment horizontal="center" vertical="top" wrapText="1"/>
    </xf>
    <xf numFmtId="186" fontId="40" fillId="13" borderId="0" xfId="0" applyFont="1" applyFill="1">
      <alignment vertical="top"/>
    </xf>
    <xf numFmtId="186" fontId="0" fillId="0" borderId="1" xfId="0" applyBorder="1" applyAlignment="1">
      <alignment horizontal="center" vertical="top"/>
    </xf>
    <xf numFmtId="186" fontId="37" fillId="12" borderId="31" xfId="0" applyFont="1" applyFill="1" applyBorder="1" applyAlignment="1">
      <alignment horizontal="centerContinuous" vertical="top"/>
    </xf>
    <xf numFmtId="190" fontId="37" fillId="12" borderId="0" xfId="54" applyFont="1" applyFill="1">
      <alignment vertical="top"/>
    </xf>
    <xf numFmtId="186" fontId="38" fillId="0" borderId="32" xfId="0" applyFont="1" applyBorder="1">
      <alignment vertical="top"/>
    </xf>
    <xf numFmtId="186" fontId="0" fillId="0" borderId="33" xfId="0" applyBorder="1">
      <alignment vertical="top"/>
    </xf>
    <xf numFmtId="186" fontId="0" fillId="0" borderId="34" xfId="0" applyBorder="1">
      <alignment vertical="top"/>
    </xf>
    <xf numFmtId="187" fontId="0" fillId="0" borderId="0" xfId="51" applyFont="1">
      <alignment vertical="top"/>
    </xf>
    <xf numFmtId="187" fontId="34" fillId="14" borderId="29" xfId="51" applyFont="1" applyFill="1" applyBorder="1">
      <alignment vertical="top"/>
    </xf>
    <xf numFmtId="187" fontId="39" fillId="0" borderId="0" xfId="51" applyFont="1">
      <alignment vertical="top"/>
    </xf>
    <xf numFmtId="188" fontId="0" fillId="0" borderId="0" xfId="52" applyFont="1" applyBorder="1">
      <alignment vertical="top"/>
    </xf>
    <xf numFmtId="0" fontId="43" fillId="0" borderId="0" xfId="0" applyNumberFormat="1" applyFont="1">
      <alignment vertical="top"/>
    </xf>
    <xf numFmtId="0" fontId="44" fillId="0" borderId="0" xfId="0" applyNumberFormat="1" applyFont="1">
      <alignment vertical="top"/>
    </xf>
  </cellXfs>
  <cellStyles count="56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7" xr:uid="{3570D88B-62A3-40C8-909A-C17A3140EBF0}"/>
    <cellStyle name="Currency [2]" xfId="6" xr:uid="{00000000-0005-0000-0000-000004000000}"/>
    <cellStyle name="DateLong" xfId="53" xr:uid="{710934CF-039F-4B93-A3C1-B0446653D4C1}"/>
    <cellStyle name="DateShort" xfId="54" xr:uid="{D85FE599-0518-40E0-B5F5-3EC81425A9EC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49" xr:uid="{18B3665B-19FF-46C4-8B82-732D8E4E6C6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2" xr:uid="{9DFD522C-ECF2-4132-B225-26957562214D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ormal 5" xfId="50" xr:uid="{1C775B2B-0598-46C6-BD92-10F7105A3C16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1" builtinId="5" customBuiltin="1"/>
    <cellStyle name="Percent 2" xfId="11" xr:uid="{00000000-0005-0000-0000-00002E000000}"/>
    <cellStyle name="Year" xfId="55" xr:uid="{00CA8188-4DB7-43C2-A22A-827A6AEA69EF}"/>
  </cellStyles>
  <dxfs count="4"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</dxfs>
  <tableStyles count="0" defaultTableStyle="TableStyleMedium2" defaultPivotStyle="PivotStyleLight16"/>
  <colors>
    <mruColors>
      <color rgb="FFFFD966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6" fmlaLink="production_selector" fmlaRange="production" noThreeD="1" sel="1" val="0"/>
</file>

<file path=xl/ctrlProps/ctrlProp2.xml><?xml version="1.0" encoding="utf-8"?>
<formControlPr xmlns="http://schemas.microsoft.com/office/spreadsheetml/2009/9/main" objectType="Drop" dropStyle="combo" dx="26" fmlaLink="subscription_selector" fmlaRange="subscription" noThreeD="1" sel="1" val="0"/>
</file>

<file path=xl/ctrlProps/ctrlProp3.xml><?xml version="1.0" encoding="utf-8"?>
<formControlPr xmlns="http://schemas.microsoft.com/office/spreadsheetml/2009/9/main" objectType="Drop" dropStyle="combo" dx="26" fmlaLink="subscription_selector" fmlaRange="subscription" noThreeD="1" sel="1" val="0"/>
</file>

<file path=xl/ctrlProps/ctrlProp4.xml><?xml version="1.0" encoding="utf-8"?>
<formControlPr xmlns="http://schemas.microsoft.com/office/spreadsheetml/2009/9/main" objectType="Drop" dropStyle="combo" dx="26" fmlaLink="production_selector" fmlaRange="production" noThreeD="1" sel="1" val="0"/>
</file>

<file path=xl/ctrlProps/ctrlProp5.xml><?xml version="1.0" encoding="utf-8"?>
<formControlPr xmlns="http://schemas.microsoft.com/office/spreadsheetml/2009/9/main" objectType="Drop" dropStyle="combo" dx="26" fmlaLink="production_selector" fmlaRange="production" noThreeD="1" sel="1" val="0"/>
</file>

<file path=xl/ctrlProps/ctrlProp6.xml><?xml version="1.0" encoding="utf-8"?>
<formControlPr xmlns="http://schemas.microsoft.com/office/spreadsheetml/2009/9/main" objectType="Drop" dropStyle="combo" dx="26" fmlaLink="subscription_selector" fmlaRange="subscription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2537460</xdr:colOff>
          <xdr:row>1</xdr:row>
          <xdr:rowOff>182880</xdr:rowOff>
        </xdr:from>
        <xdr:to>
          <xdr:col>5</xdr:col>
          <xdr:colOff>792480</xdr:colOff>
          <xdr:row>2</xdr:row>
          <xdr:rowOff>175260</xdr:rowOff>
        </xdr:to>
        <xdr:sp macro="" textlink="">
          <xdr:nvSpPr>
            <xdr:cNvPr id="13313" name="Drop Dow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</xdr:row>
          <xdr:rowOff>182880</xdr:rowOff>
        </xdr:from>
        <xdr:to>
          <xdr:col>7</xdr:col>
          <xdr:colOff>266700</xdr:colOff>
          <xdr:row>2</xdr:row>
          <xdr:rowOff>182880</xdr:rowOff>
        </xdr:to>
        <xdr:sp macro="" textlink="">
          <xdr:nvSpPr>
            <xdr:cNvPr id="13314" name="Drop Dow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1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2636520</xdr:colOff>
          <xdr:row>1</xdr:row>
          <xdr:rowOff>106680</xdr:rowOff>
        </xdr:from>
        <xdr:to>
          <xdr:col>6</xdr:col>
          <xdr:colOff>22860</xdr:colOff>
          <xdr:row>2</xdr:row>
          <xdr:rowOff>144780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2956560</xdr:colOff>
          <xdr:row>1</xdr:row>
          <xdr:rowOff>137160</xdr:rowOff>
        </xdr:from>
        <xdr:to>
          <xdr:col>6</xdr:col>
          <xdr:colOff>30480</xdr:colOff>
          <xdr:row>2</xdr:row>
          <xdr:rowOff>152400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11</xdr:row>
          <xdr:rowOff>30480</xdr:rowOff>
        </xdr:from>
        <xdr:to>
          <xdr:col>7</xdr:col>
          <xdr:colOff>556260</xdr:colOff>
          <xdr:row>12</xdr:row>
          <xdr:rowOff>68580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365760</xdr:colOff>
          <xdr:row>11</xdr:row>
          <xdr:rowOff>30480</xdr:rowOff>
        </xdr:from>
        <xdr:to>
          <xdr:col>9</xdr:col>
          <xdr:colOff>556260</xdr:colOff>
          <xdr:row>12</xdr:row>
          <xdr:rowOff>68580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5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85 View" id="{BD080AB8-D9C9-4A1F-9ED3-D00BADE88E7F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85 View" id="{55EF3415-3695-4C22-B2EB-C0BF10E499A4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85 View" id="{460EB9DD-778E-45F3-AB44-4AC76FC54759}"/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7AC095C-563F-437E-A29E-3C5610DC2FB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ce09153-9cdc-4e3b-9b4a-3226b07af1a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920E22A-903F-42A1-B853-56969D9A35EC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2.xml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36B2-D623-4950-9006-3405810125F0}">
  <sheetPr codeName="Sheet2"/>
  <dimension ref="A1:E30"/>
  <sheetViews>
    <sheetView showGridLines="0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H23" sqref="H23"/>
    </sheetView>
  </sheetViews>
  <sheetFormatPr defaultRowHeight="13.8"/>
  <cols>
    <col min="1" max="1" width="1.69921875" customWidth="1"/>
    <col min="2" max="4" width="1.59765625" customWidth="1"/>
    <col min="5" max="5" width="36.69921875" customWidth="1"/>
    <col min="6" max="8" width="11.5" customWidth="1"/>
    <col min="9" max="9" width="1.59765625" customWidth="1"/>
    <col min="10" max="15" width="11.5" customWidth="1"/>
  </cols>
  <sheetData>
    <row r="1" spans="5:5" s="59" customFormat="1"/>
    <row r="2" spans="5:5" s="59" customFormat="1"/>
    <row r="3" spans="5:5" s="59" customFormat="1"/>
    <row r="15" spans="5:5" ht="49.95" customHeight="1">
      <c r="E15" s="114" t="str">
        <f>company</f>
        <v>Domestique Rides Inc.</v>
      </c>
    </row>
    <row r="16" spans="5:5" ht="40.049999999999997" customHeight="1">
      <c r="E16" s="115" t="str" cm="1">
        <f t="array" ref="E16">topic</f>
        <v>CFM Topic: Revenue</v>
      </c>
    </row>
    <row r="30" spans="1:1" s="60" customFormat="1">
      <c r="A30" s="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164A-A487-42EF-99B9-358A17D63C2C}">
  <sheetPr codeName="Sheet3">
    <tabColor theme="3"/>
  </sheetPr>
  <dimension ref="A1:N88"/>
  <sheetViews>
    <sheetView showGridLines="0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M36" sqref="M36"/>
    </sheetView>
  </sheetViews>
  <sheetFormatPr defaultRowHeight="13.8"/>
  <cols>
    <col min="1" max="1" width="1.69921875" customWidth="1"/>
    <col min="2" max="4" width="1.59765625" customWidth="1"/>
    <col min="5" max="5" width="36.69921875" customWidth="1"/>
    <col min="6" max="8" width="11.5" customWidth="1"/>
    <col min="9" max="9" width="1.59765625" customWidth="1"/>
    <col min="10" max="15" width="11.5" customWidth="1"/>
  </cols>
  <sheetData>
    <row r="1" spans="1:14" s="59" customFormat="1">
      <c r="A1" s="59" t="str">
        <f>company</f>
        <v>Domestique Rides Inc.</v>
      </c>
      <c r="F1" s="105" t="s">
        <v>87</v>
      </c>
      <c r="G1" s="105"/>
    </row>
    <row r="2" spans="1:14" s="59" customFormat="1">
      <c r="A2" s="59" t="str" cm="1">
        <f t="array" ref="A2">topic</f>
        <v>CFM Topic: Revenue</v>
      </c>
      <c r="F2" s="59" t="s">
        <v>59</v>
      </c>
      <c r="G2" s="59" t="s">
        <v>61</v>
      </c>
      <c r="J2" s="83" cm="1">
        <f t="array" ref="J2:N2">_xlfn.ANCHORARRAY(Time!J2)</f>
        <v>44197</v>
      </c>
      <c r="K2" s="106">
        <v>44562</v>
      </c>
      <c r="L2" s="106">
        <v>44927</v>
      </c>
      <c r="M2" s="106">
        <v>45292</v>
      </c>
      <c r="N2" s="106">
        <v>45658</v>
      </c>
    </row>
    <row r="3" spans="1:14" s="59" customFormat="1">
      <c r="A3" s="59" t="s">
        <v>86</v>
      </c>
      <c r="J3" s="83" cm="1">
        <f t="array" ref="J3:N3">_xlfn.ANCHORARRAY(Time!J3)</f>
        <v>44561</v>
      </c>
      <c r="K3" s="106">
        <v>44926</v>
      </c>
      <c r="L3" s="106">
        <v>45291</v>
      </c>
      <c r="M3" s="106">
        <v>45657</v>
      </c>
      <c r="N3" s="106">
        <v>46022</v>
      </c>
    </row>
    <row r="5" spans="1:14">
      <c r="B5" s="79" t="s">
        <v>88</v>
      </c>
    </row>
    <row r="7" spans="1:14">
      <c r="E7" t="s">
        <v>70</v>
      </c>
      <c r="G7" t="s">
        <v>71</v>
      </c>
      <c r="H7" cm="1">
        <f t="array" aca="1" ref="H7:H9" ca="1">_xlfn.BYROW(_xlfn.ANCHORARRAY( J7), _xleta.SUM )</f>
        <v>23095192.311263997</v>
      </c>
      <c r="J7" cm="1">
        <f t="array" aca="1" ref="J7:N9" ca="1">OFFSET( Production!$J$38, 0, 0, COUNTA( Production!E38:$E$40 ), periods )</f>
        <v>4202400</v>
      </c>
      <c r="K7">
        <f ca="1"/>
        <v>4415041.4399999995</v>
      </c>
      <c r="L7">
        <f ca="1"/>
        <v>4638442.5368640004</v>
      </c>
      <c r="M7">
        <f ca="1"/>
        <v>4870944.72</v>
      </c>
      <c r="N7">
        <f ca="1"/>
        <v>4968363.6144000003</v>
      </c>
    </row>
    <row r="8" spans="1:14">
      <c r="E8" t="s">
        <v>79</v>
      </c>
      <c r="G8" t="s">
        <v>71</v>
      </c>
      <c r="H8">
        <f ca="1"/>
        <v>13936921.875</v>
      </c>
      <c r="J8">
        <f ca="1"/>
        <v>0</v>
      </c>
      <c r="K8">
        <f ca="1"/>
        <v>2812500</v>
      </c>
      <c r="L8">
        <f ca="1"/>
        <v>3248437.5000000005</v>
      </c>
      <c r="M8">
        <f ca="1"/>
        <v>3751945.3125000005</v>
      </c>
      <c r="N8">
        <f ca="1"/>
        <v>4124039.0625000009</v>
      </c>
    </row>
    <row r="9" spans="1:14">
      <c r="E9" s="107" t="s">
        <v>80</v>
      </c>
      <c r="F9" s="107"/>
      <c r="G9" s="107" t="s">
        <v>71</v>
      </c>
      <c r="H9" s="107">
        <f ca="1"/>
        <v>37032114.186264001</v>
      </c>
      <c r="I9" s="107"/>
      <c r="J9" s="107">
        <f ca="1"/>
        <v>4202400</v>
      </c>
      <c r="K9" s="107">
        <f ca="1"/>
        <v>7227541.4399999995</v>
      </c>
      <c r="L9" s="107">
        <f ca="1"/>
        <v>7886880.0368640013</v>
      </c>
      <c r="M9" s="107">
        <f ca="1"/>
        <v>8622890.0325000007</v>
      </c>
      <c r="N9" s="107">
        <f ca="1"/>
        <v>9092402.6769000012</v>
      </c>
    </row>
    <row r="11" spans="1:14">
      <c r="E11" t="s">
        <v>11</v>
      </c>
      <c r="G11" t="s">
        <v>71</v>
      </c>
      <c r="H11" cm="1">
        <f t="array" ref="H11:H13">_xlfn.BYROW(J11:N13, _xleta.SUM )</f>
        <v>353989.07015716331</v>
      </c>
      <c r="J11" cm="1">
        <f t="array" ref="J11:N11">_xlfn.BYCOL(_xlfn.ANCHORARRAY(Subscription!J28), _xlfn.LAMBDA(_xlpm.col, SUMIFS(_xlpm.col, Subscription!$E$28:$E$33, 'Executive Summary'!$E11)))</f>
        <v>57738.249999999985</v>
      </c>
      <c r="K11">
        <v>63620.334218749995</v>
      </c>
      <c r="L11">
        <v>70115.970342484361</v>
      </c>
      <c r="M11">
        <v>77295.845705554791</v>
      </c>
      <c r="N11">
        <v>85218.669890374149</v>
      </c>
    </row>
    <row r="12" spans="1:14">
      <c r="E12" t="s">
        <v>9</v>
      </c>
      <c r="G12" t="s">
        <v>71</v>
      </c>
      <c r="H12">
        <v>809851.33073360182</v>
      </c>
      <c r="J12" cm="1">
        <f t="array" ref="J12:N12">_xlfn.BYCOL(_xlfn.ANCHORARRAY(Subscription!J28), _xlfn.LAMBDA(_xlpm.col, SUMIFS(_xlpm.col, Subscription!$E$28:$E$33, 'Executive Summary'!$E12)))</f>
        <v>132092.77499999999</v>
      </c>
      <c r="K12">
        <v>145549.72645312501</v>
      </c>
      <c r="L12">
        <v>160410.35352398903</v>
      </c>
      <c r="M12">
        <v>176836.37372484556</v>
      </c>
      <c r="N12">
        <v>194962.10203164222</v>
      </c>
    </row>
    <row r="13" spans="1:14">
      <c r="E13" s="107" t="s">
        <v>85</v>
      </c>
      <c r="F13" s="107"/>
      <c r="G13" s="107" t="s">
        <v>71</v>
      </c>
      <c r="H13" s="107">
        <v>1163840.400890765</v>
      </c>
      <c r="I13" s="107"/>
      <c r="J13" s="107" cm="1">
        <f t="array" ref="J13:N13">_xlfn.ANCHORARRAY( Subscription!J34)</f>
        <v>189831.02499999999</v>
      </c>
      <c r="K13" s="107">
        <v>209170.06067187496</v>
      </c>
      <c r="L13" s="107">
        <v>230526.32386647339</v>
      </c>
      <c r="M13" s="107">
        <v>254132.21943040032</v>
      </c>
      <c r="N13" s="107">
        <v>280180.7719220164</v>
      </c>
    </row>
    <row r="15" spans="1:14">
      <c r="E15" s="107" t="s">
        <v>89</v>
      </c>
      <c r="F15" s="107"/>
      <c r="G15" s="107" t="s">
        <v>71</v>
      </c>
      <c r="H15" s="107" cm="1">
        <f t="array" aca="1" ref="H15" ca="1">_xlfn.BYROW(J15:N15, _xleta.SUM )</f>
        <v>38195954.587154768</v>
      </c>
      <c r="I15" s="107"/>
      <c r="J15" s="107">
        <f ca="1" xml:space="preserve"> J9 + J13</f>
        <v>4392231.0250000004</v>
      </c>
      <c r="K15" s="107">
        <f t="shared" ref="K15:N15" ca="1" si="0" xml:space="preserve"> K9 + K13</f>
        <v>7436711.5006718747</v>
      </c>
      <c r="L15" s="107">
        <f t="shared" ca="1" si="0"/>
        <v>8117406.3607304748</v>
      </c>
      <c r="M15" s="107">
        <f t="shared" ca="1" si="0"/>
        <v>8877022.2519304007</v>
      </c>
      <c r="N15" s="107">
        <f t="shared" ca="1" si="0"/>
        <v>9372583.4488220178</v>
      </c>
    </row>
    <row r="17" spans="2:14">
      <c r="B17" s="79" t="s">
        <v>90</v>
      </c>
    </row>
    <row r="19" spans="2:14">
      <c r="E19" s="108" t="str">
        <f t="shared" ref="E19:N19" si="1">E7</f>
        <v>Alp revenue</v>
      </c>
      <c r="F19" s="108"/>
      <c r="G19" s="108" t="str">
        <f t="shared" si="1"/>
        <v>EUR</v>
      </c>
      <c r="H19" s="108">
        <f t="shared" ca="1" si="1"/>
        <v>23095192.311263997</v>
      </c>
      <c r="I19" s="108">
        <f t="shared" si="1"/>
        <v>0</v>
      </c>
      <c r="J19" s="108">
        <f t="shared" ca="1" si="1"/>
        <v>4202400</v>
      </c>
      <c r="K19" s="108">
        <f t="shared" ca="1" si="1"/>
        <v>4415041.4399999995</v>
      </c>
      <c r="L19" s="108">
        <f t="shared" ca="1" si="1"/>
        <v>4638442.5368640004</v>
      </c>
      <c r="M19" s="108">
        <f t="shared" ca="1" si="1"/>
        <v>4870944.72</v>
      </c>
      <c r="N19" s="108">
        <f t="shared" ca="1" si="1"/>
        <v>4968363.6144000003</v>
      </c>
    </row>
    <row r="20" spans="2:14">
      <c r="E20" s="109" t="str">
        <f>Production!E11</f>
        <v>Forecasted unit sales - Alp</v>
      </c>
      <c r="F20" s="109"/>
      <c r="G20" s="109" t="str">
        <f>Production!G11</f>
        <v>units</v>
      </c>
      <c r="H20" s="109">
        <f>Production!H11</f>
        <v>4346.9015999999992</v>
      </c>
      <c r="I20" s="109">
        <f>Production!I11</f>
        <v>0</v>
      </c>
      <c r="J20" s="109">
        <f>Production!J11</f>
        <v>824</v>
      </c>
      <c r="K20" s="109">
        <f>Production!K11</f>
        <v>848.71999999999991</v>
      </c>
      <c r="L20" s="109">
        <f>Production!L11</f>
        <v>874.1816</v>
      </c>
      <c r="M20" s="109">
        <f>Production!M11</f>
        <v>900</v>
      </c>
      <c r="N20" s="109">
        <f>Production!N11</f>
        <v>900</v>
      </c>
    </row>
    <row r="22" spans="2:14">
      <c r="E22" s="108" t="str">
        <f t="shared" ref="E22:N22" si="2">E8</f>
        <v>Pyrenées revenue</v>
      </c>
      <c r="F22" s="108"/>
      <c r="G22" s="108" t="str">
        <f t="shared" si="2"/>
        <v>EUR</v>
      </c>
      <c r="H22" s="108">
        <f t="shared" ca="1" si="2"/>
        <v>13936921.875</v>
      </c>
      <c r="I22" s="108">
        <f t="shared" si="2"/>
        <v>0</v>
      </c>
      <c r="J22" s="108">
        <f t="shared" ca="1" si="2"/>
        <v>0</v>
      </c>
      <c r="K22" s="108">
        <f t="shared" ca="1" si="2"/>
        <v>2812500</v>
      </c>
      <c r="L22" s="108">
        <f t="shared" ca="1" si="2"/>
        <v>3248437.5000000005</v>
      </c>
      <c r="M22" s="108">
        <f t="shared" ca="1" si="2"/>
        <v>3751945.3125000005</v>
      </c>
      <c r="N22" s="108">
        <f t="shared" ca="1" si="2"/>
        <v>4124039.0625000009</v>
      </c>
    </row>
    <row r="23" spans="2:14">
      <c r="E23" s="109" t="str">
        <f>Production!E27</f>
        <v>Forecasted unit sales - Pyrenées</v>
      </c>
      <c r="F23" s="109"/>
      <c r="G23" s="109" t="str">
        <f>Production!G27</f>
        <v>units</v>
      </c>
      <c r="H23" s="109">
        <f>Production!H27</f>
        <v>1716.25</v>
      </c>
      <c r="I23" s="109">
        <f>Production!I27</f>
        <v>0</v>
      </c>
      <c r="J23" s="109">
        <f>Production!J27</f>
        <v>0</v>
      </c>
      <c r="K23" s="109">
        <f>Production!K27</f>
        <v>375</v>
      </c>
      <c r="L23" s="109">
        <f>Production!L27</f>
        <v>412.50000000000006</v>
      </c>
      <c r="M23" s="109">
        <f>Production!M27</f>
        <v>453.75000000000006</v>
      </c>
      <c r="N23" s="109">
        <f>Production!N27</f>
        <v>475</v>
      </c>
    </row>
    <row r="25" spans="2:14">
      <c r="E25" s="108" t="str">
        <f t="shared" ref="E25:N25" si="3">E11</f>
        <v>Client #1</v>
      </c>
      <c r="F25" s="108"/>
      <c r="G25" s="108" t="str">
        <f t="shared" si="3"/>
        <v>EUR</v>
      </c>
      <c r="H25" s="108">
        <f t="shared" si="3"/>
        <v>353989.07015716331</v>
      </c>
      <c r="I25" s="108">
        <f t="shared" si="3"/>
        <v>0</v>
      </c>
      <c r="J25" s="108">
        <f t="shared" si="3"/>
        <v>57738.249999999985</v>
      </c>
      <c r="K25" s="108">
        <f t="shared" si="3"/>
        <v>63620.334218749995</v>
      </c>
      <c r="L25" s="108">
        <f t="shared" si="3"/>
        <v>70115.970342484361</v>
      </c>
      <c r="M25" s="108">
        <f t="shared" si="3"/>
        <v>77295.845705554791</v>
      </c>
      <c r="N25" s="108">
        <f t="shared" si="3"/>
        <v>85218.669890374149</v>
      </c>
    </row>
    <row r="26" spans="2:14">
      <c r="E26" s="109" t="s">
        <v>91</v>
      </c>
      <c r="F26" s="109"/>
      <c r="G26" s="109" t="s">
        <v>35</v>
      </c>
      <c r="H26" s="109" cm="1">
        <f t="array" ref="H26">_xlfn.BYROW(_xlfn.ANCHORARRAY( $J$26), _xleta.SUM )</f>
        <v>2769.3445471875002</v>
      </c>
      <c r="I26" s="109"/>
      <c r="J26" s="109" cm="1">
        <f t="array" ref="J26:N26">_xlfn.BYCOL(_xlfn.ANCHORARRAY(Subscription!$J$8), _xlfn.LAMBDA(_xlpm.col, SUMIFS(_xlpm.col, Subscription!$E$8:$E$13, 'Executive Summary'!$E25)))</f>
        <v>483.75</v>
      </c>
      <c r="K26" s="109">
        <v>520.03125</v>
      </c>
      <c r="L26" s="109">
        <v>556.43343749999997</v>
      </c>
      <c r="M26" s="109">
        <v>589.81944375</v>
      </c>
      <c r="N26" s="109">
        <v>619.31041593750001</v>
      </c>
    </row>
    <row r="28" spans="2:14">
      <c r="E28" s="108" t="str">
        <f t="shared" ref="E28:N28" si="4">E12</f>
        <v>Client #2</v>
      </c>
      <c r="F28" s="108"/>
      <c r="G28" s="108" t="str">
        <f t="shared" si="4"/>
        <v>EUR</v>
      </c>
      <c r="H28" s="108">
        <f t="shared" si="4"/>
        <v>809851.33073360182</v>
      </c>
      <c r="I28" s="108">
        <f t="shared" si="4"/>
        <v>0</v>
      </c>
      <c r="J28" s="108">
        <f t="shared" si="4"/>
        <v>132092.77499999999</v>
      </c>
      <c r="K28" s="108">
        <f t="shared" si="4"/>
        <v>145549.72645312501</v>
      </c>
      <c r="L28" s="108">
        <f t="shared" si="4"/>
        <v>160410.35352398903</v>
      </c>
      <c r="M28" s="108">
        <f t="shared" si="4"/>
        <v>176836.37372484556</v>
      </c>
      <c r="N28" s="108">
        <f t="shared" si="4"/>
        <v>194962.10203164222</v>
      </c>
    </row>
    <row r="29" spans="2:14">
      <c r="E29" s="109" t="s">
        <v>91</v>
      </c>
      <c r="F29" s="109"/>
      <c r="G29" s="109" t="s">
        <v>35</v>
      </c>
      <c r="H29" s="109" cm="1">
        <f t="array" ref="H29" xml:space="preserve"> _xlfn.BYROW(_xlfn.ANCHORARRAY( $J$29), _xleta.SUM )</f>
        <v>5378.6825205374998</v>
      </c>
      <c r="I29" s="109"/>
      <c r="J29" s="109" cm="1">
        <f t="array" ref="J29:N29">_xlfn.BYCOL(_xlfn.ANCHORARRAY(Subscription!$J$8), _xlfn.LAMBDA(_xlpm.col, SUMIFS(_xlpm.col, Subscription!$E$8:$E$13, 'Executive Summary'!$E28)))</f>
        <v>939.55</v>
      </c>
      <c r="K29" s="109">
        <v>1010.01625</v>
      </c>
      <c r="L29" s="109">
        <v>1080.7173874999999</v>
      </c>
      <c r="M29" s="109">
        <v>1145.56043075</v>
      </c>
      <c r="N29" s="109">
        <v>1202.8384522875001</v>
      </c>
    </row>
    <row r="31" spans="2:14">
      <c r="B31" s="79" t="s">
        <v>92</v>
      </c>
    </row>
    <row r="33" spans="4:10">
      <c r="D33" s="84" t="s">
        <v>93</v>
      </c>
    </row>
    <row r="35" spans="4:10">
      <c r="E35" t="s">
        <v>94</v>
      </c>
      <c r="G35" t="s">
        <v>71</v>
      </c>
      <c r="J35">
        <v>9058550.9934394639</v>
      </c>
    </row>
    <row r="36" spans="4:10">
      <c r="E36" t="s">
        <v>95</v>
      </c>
      <c r="G36" t="s">
        <v>71</v>
      </c>
      <c r="J36">
        <v>8804418.7740090638</v>
      </c>
    </row>
    <row r="37" spans="4:10">
      <c r="E37" t="s">
        <v>96</v>
      </c>
      <c r="G37" t="s">
        <v>71</v>
      </c>
      <c r="J37" s="110">
        <v>0.97194559928906377</v>
      </c>
    </row>
    <row r="39" spans="4:10">
      <c r="D39" s="84" t="s">
        <v>97</v>
      </c>
    </row>
    <row r="41" spans="4:10">
      <c r="E41" t="s">
        <v>98</v>
      </c>
      <c r="G41" t="s">
        <v>35</v>
      </c>
      <c r="J41">
        <v>619.31041593750001</v>
      </c>
    </row>
    <row r="42" spans="4:10">
      <c r="E42" t="s">
        <v>99</v>
      </c>
      <c r="G42" t="s">
        <v>100</v>
      </c>
      <c r="J42">
        <v>553.86890943750006</v>
      </c>
    </row>
    <row r="44" spans="4:10">
      <c r="D44" s="84" t="s">
        <v>103</v>
      </c>
    </row>
    <row r="46" spans="4:10">
      <c r="E46" t="str">
        <f>CaseData!C$58</f>
        <v>FX fluctuation</v>
      </c>
      <c r="F46" s="112">
        <f>CaseData!D$58</f>
        <v>0</v>
      </c>
      <c r="G46" t="str">
        <f>CaseData!E$58</f>
        <v>%</v>
      </c>
    </row>
    <row r="48" spans="4:10" ht="27.6">
      <c r="E48" s="102" t="str" cm="1">
        <f t="array" ref="E48:H50" xml:space="preserve"> _xlfn.LET(
      _xlpm.clients, _xlfn._xlws.FILTER( CaseData!$N$8:$N$1331, CaseData!$N$8:$N$1331 = "Client #1"),
      _xlpm.prices_local, _xlfn._xlws.FILTER( CaseData!$P$8:$P$1331, CaseData!$N$8:$N$1331 = "Client #1"),
      _xlpm.fx_EUR, _xlfn._xlws.FILTER( CaseData!$Q$8:$Q$1331, CaseData!$N$8:$N$1331 = "Client #1"),
      _xlpm.fx_fluctuation, CaseData!$D$58,
      _xlpm.fx_rate_applied, _xlpm.fx_EUR * (1 + _xlpm.fx_fluctuation ),
      _xlpm.prices_EUR, _xlpm.prices_local / _xlpm.fx_rate_applied,
      _xlpm.pricing_table, _xlfn._xlws.SORT( _xlfn.UNIQUE( _xlfn.HSTACK( _xlpm.clients, _xlpm.prices_local, _xlpm.prices_EUR, _xlpm.fx_rate_applied ) ),{1,2},{1,-1}),
      _xlfn.VSTACK( _xlfn.HSTACK( "Client", "Price (Local)", "Price (EUR)", "FX rate applied" ), _xlfn.HSTACK( _xlpm.pricing_table ) ) )</f>
        <v>Client</v>
      </c>
      <c r="F48" s="102" t="str">
        <v>Price (Local)</v>
      </c>
      <c r="G48" s="102" t="str">
        <v>Price (EUR)</v>
      </c>
      <c r="H48" s="102" t="str">
        <v>FX rate applied</v>
      </c>
    </row>
    <row r="49" spans="4:14">
      <c r="E49" t="str">
        <v>Client #1</v>
      </c>
      <c r="F49">
        <v>150</v>
      </c>
      <c r="G49">
        <v>120</v>
      </c>
      <c r="H49" s="93">
        <v>1.25</v>
      </c>
      <c r="J49" s="94" cm="1">
        <f t="array" ref="J49:N50">_xlfn.LET( _xlpm.operating_flag,_xlfn.ANCHORARRAY( Time!$J$24),
      _xlpm.price_2020, _xlfn.DROP(INDEX(_xlfn.ANCHORARRAY( E48),,3), 1),
      _xlpm.current_year,_xlfn.ANCHORARRAY(Time!$J$14),
      _xlpm.current_scenario, INDEX( subscription, subscription_selector ),
      _xlpm.growth_rates, CaseData!$G$62:$K$64,
      _xlpm.compounded_rates, _xlfn.MAKEARRAY( ROWS( _xlpm.growth_rates ), COLUMNS( _xlpm.growth_rates ),
                            _xlfn.LAMBDA(_xlpm.i,_xlpm.j, INDEX( _xlfn.SCAN( 1, INDEX( _xlpm.growth_rates, _xlpm.i, 0 ), _xlfn.LAMBDA(_xlpm.s,_xlpm.c, _xlpm.s * ( 1 + _xlpm.c ) ) ), _xlpm.j ) ) ),
      _xlpm.compounded_rows, CaseData!$C$62:$C$64,
      _xlpm.compounded_columns, CaseData!$F$59:$K$59,
      _xlpm.compounded_table, _xlfn.VSTACK( _xlpm.compounded_columns, _xlfn.HSTACK( _xlpm.compounded_rows, _xlpm.compounded_rates ) ),
      _xlpm.compounded_growth, INDEX( _xlpm.compounded_table, _xlfn.XMATCH( _xlpm.current_scenario, _xlpm.compounded_rows, 0, 1 ) + 1, _xlfn.XMATCH( _xlpm.current_year, _xlpm.compounded_columns, 0, 1 ) ),
      _xlpm.operating_flag * _xlpm.price_2020 * _xlpm.compounded_growth )</f>
        <v>122.99999999999999</v>
      </c>
      <c r="K49">
        <v>126.07499999999999</v>
      </c>
      <c r="L49">
        <v>129.85724999999999</v>
      </c>
      <c r="M49">
        <v>135.05154000000002</v>
      </c>
      <c r="N49">
        <v>141.80411700000002</v>
      </c>
    </row>
    <row r="50" spans="4:14">
      <c r="E50" t="str">
        <v>Client #1</v>
      </c>
      <c r="F50">
        <v>140</v>
      </c>
      <c r="G50">
        <v>112</v>
      </c>
      <c r="H50" s="93">
        <v>1.25</v>
      </c>
      <c r="J50">
        <v>114.79999999999998</v>
      </c>
      <c r="K50">
        <v>117.66999999999999</v>
      </c>
      <c r="L50">
        <v>121.20009999999999</v>
      </c>
      <c r="M50">
        <v>126.04810400000001</v>
      </c>
      <c r="N50">
        <v>132.3505092</v>
      </c>
    </row>
    <row r="52" spans="4:14">
      <c r="E52" s="113" t="s">
        <v>11</v>
      </c>
      <c r="G52" t="s">
        <v>35</v>
      </c>
      <c r="J52" cm="1">
        <f t="array" ref="J52:N53">Subscription!J8:N9</f>
        <v>268.75</v>
      </c>
      <c r="K52">
        <v>288.90625</v>
      </c>
      <c r="L52">
        <v>309.12968749999999</v>
      </c>
      <c r="M52">
        <v>327.67746875</v>
      </c>
      <c r="N52">
        <v>344.06134218750003</v>
      </c>
    </row>
    <row r="53" spans="4:14">
      <c r="J53">
        <v>215</v>
      </c>
      <c r="K53">
        <v>231.12499999999997</v>
      </c>
      <c r="L53">
        <v>247.30374999999998</v>
      </c>
      <c r="M53">
        <v>262.141975</v>
      </c>
      <c r="N53">
        <v>275.24907374999998</v>
      </c>
    </row>
    <row r="55" spans="4:14">
      <c r="E55" t="s">
        <v>105</v>
      </c>
      <c r="G55" t="s">
        <v>71</v>
      </c>
      <c r="H55">
        <v>10333406.250000002</v>
      </c>
      <c r="J55">
        <v>0</v>
      </c>
      <c r="K55">
        <v>0</v>
      </c>
      <c r="L55">
        <v>2812500</v>
      </c>
      <c r="M55">
        <v>3403125.0000000005</v>
      </c>
      <c r="N55">
        <v>4117781.2500000014</v>
      </c>
    </row>
    <row r="56" spans="4:14">
      <c r="E56" t="s">
        <v>104</v>
      </c>
      <c r="G56" t="s">
        <v>71</v>
      </c>
      <c r="H56" cm="1">
        <f t="array" aca="1" ref="H56" ca="1">_xlfn.BYROW(_xlfn.ANCHORARRAY(J56), _xleta.SUM )</f>
        <v>353989.07015716331</v>
      </c>
      <c r="J56" cm="1">
        <f t="array" aca="1" ref="J56:N56" ca="1" xml:space="preserve"> _xlfn.LET(
      _xlpm.price_anchor, $J$49,
      _xlpm.price_block, OFFSET( _xlpm.price_anchor, 0, 0, 2, periods ),
      _xlpm.volume_anchor, $J$52,
      _xlpm.volume_block, OFFSET( _xlpm.volume_anchor, 0, 0, 2, periods ),
      _xlfn.BYCOL( _xlpm.price_block * _xlpm.volume_block, _xleta.SUM ) )</f>
        <v>57738.249999999985</v>
      </c>
      <c r="K56">
        <f ca="1"/>
        <v>63620.334218749995</v>
      </c>
      <c r="L56">
        <f ca="1"/>
        <v>70115.970342484361</v>
      </c>
      <c r="M56">
        <f ca="1"/>
        <v>77295.845705554791</v>
      </c>
      <c r="N56">
        <f ca="1"/>
        <v>85218.669890374149</v>
      </c>
    </row>
    <row r="57" spans="4:14">
      <c r="E57" t="s">
        <v>107</v>
      </c>
      <c r="F57">
        <f t="shared" ref="F57:N57" si="5">F7</f>
        <v>0</v>
      </c>
      <c r="G57" t="str">
        <f t="shared" si="5"/>
        <v>EUR</v>
      </c>
      <c r="H57">
        <f t="shared" ca="1" si="5"/>
        <v>23095192.311263997</v>
      </c>
      <c r="I57">
        <f t="shared" si="5"/>
        <v>0</v>
      </c>
      <c r="J57">
        <f t="shared" ca="1" si="5"/>
        <v>4202400</v>
      </c>
      <c r="K57">
        <f t="shared" ca="1" si="5"/>
        <v>4415041.4399999995</v>
      </c>
      <c r="L57">
        <f t="shared" ca="1" si="5"/>
        <v>4638442.5368640004</v>
      </c>
      <c r="M57">
        <f t="shared" ca="1" si="5"/>
        <v>4870944.72</v>
      </c>
      <c r="N57">
        <f t="shared" ca="1" si="5"/>
        <v>4968363.6144000003</v>
      </c>
    </row>
    <row r="58" spans="4:14">
      <c r="E58" t="s">
        <v>106</v>
      </c>
      <c r="F58">
        <f t="shared" ref="F58:N58" si="6">F$12</f>
        <v>0</v>
      </c>
      <c r="G58" t="str">
        <f t="shared" si="6"/>
        <v>EUR</v>
      </c>
      <c r="H58">
        <f t="shared" si="6"/>
        <v>809851.33073360182</v>
      </c>
      <c r="I58">
        <f t="shared" si="6"/>
        <v>0</v>
      </c>
      <c r="J58">
        <f t="shared" si="6"/>
        <v>132092.77499999999</v>
      </c>
      <c r="K58">
        <f t="shared" si="6"/>
        <v>145549.72645312501</v>
      </c>
      <c r="L58">
        <f t="shared" si="6"/>
        <v>160410.35352398903</v>
      </c>
      <c r="M58">
        <f t="shared" si="6"/>
        <v>176836.37372484556</v>
      </c>
      <c r="N58">
        <f t="shared" si="6"/>
        <v>194962.10203164222</v>
      </c>
    </row>
    <row r="59" spans="4:14">
      <c r="E59" s="107" t="s">
        <v>89</v>
      </c>
      <c r="F59" s="107"/>
      <c r="G59" s="107" t="s">
        <v>71</v>
      </c>
      <c r="H59" s="107" cm="1">
        <f t="array" aca="1" ref="H59" ca="1">_xlfn.BYROW(_xlfn.ANCHORARRAY( J59), _xleta.SUM)</f>
        <v>24259032.712154768</v>
      </c>
      <c r="I59" s="107"/>
      <c r="J59" s="107" cm="1">
        <f t="array" aca="1" ref="J59:N59" ca="1">_xlfn.BYCOL(_xlfn.ANCHORARRAY( J56) :_xlfn.ANCHORARRAY( N58), _xleta.SUM)</f>
        <v>4392231.0250000004</v>
      </c>
      <c r="K59" s="107">
        <f ca="1"/>
        <v>4624211.5006718747</v>
      </c>
      <c r="L59" s="107">
        <f ca="1"/>
        <v>4868968.8607304739</v>
      </c>
      <c r="M59" s="107">
        <f ca="1"/>
        <v>5125076.9394303998</v>
      </c>
      <c r="N59" s="107">
        <f ca="1"/>
        <v>5248544.3863220168</v>
      </c>
    </row>
    <row r="61" spans="4:14">
      <c r="D61" s="84" t="s">
        <v>108</v>
      </c>
    </row>
    <row r="63" spans="4:14">
      <c r="E63" t="s">
        <v>70</v>
      </c>
      <c r="G63" t="s">
        <v>71</v>
      </c>
      <c r="H63">
        <v>22558593.521044094</v>
      </c>
      <c r="J63">
        <v>4161600</v>
      </c>
      <c r="K63">
        <v>4329728.6399999997</v>
      </c>
      <c r="L63">
        <v>4504649.6770559996</v>
      </c>
      <c r="M63">
        <v>4686637.524009062</v>
      </c>
      <c r="N63">
        <v>4875977.6799790291</v>
      </c>
    </row>
    <row r="64" spans="4:14">
      <c r="E64" t="s">
        <v>79</v>
      </c>
      <c r="G64" t="s">
        <v>71</v>
      </c>
      <c r="H64">
        <v>15075093.750000004</v>
      </c>
      <c r="J64">
        <v>0</v>
      </c>
      <c r="K64">
        <v>2812500</v>
      </c>
      <c r="L64">
        <v>3403125.0000000005</v>
      </c>
      <c r="M64">
        <v>4117781.2500000014</v>
      </c>
      <c r="N64">
        <v>4741687.5000000019</v>
      </c>
    </row>
    <row r="65" spans="4:14">
      <c r="E65" s="107" t="s">
        <v>80</v>
      </c>
      <c r="F65" s="107"/>
      <c r="G65" s="107" t="s">
        <v>71</v>
      </c>
      <c r="H65" s="107">
        <v>37633687.27104409</v>
      </c>
      <c r="I65" s="107"/>
      <c r="J65" s="107">
        <v>4161600</v>
      </c>
      <c r="K65" s="107">
        <v>7142228.6399999997</v>
      </c>
      <c r="L65" s="107">
        <v>7907774.6770559996</v>
      </c>
      <c r="M65" s="107">
        <v>8804418.7740090638</v>
      </c>
      <c r="N65" s="107">
        <v>9617665.17997903</v>
      </c>
    </row>
    <row r="67" spans="4:14">
      <c r="E67" t="s">
        <v>11</v>
      </c>
      <c r="G67" t="s">
        <v>71</v>
      </c>
      <c r="H67">
        <v>313673.26796201902</v>
      </c>
      <c r="J67">
        <v>55570.2</v>
      </c>
      <c r="K67">
        <v>58932.197100000005</v>
      </c>
      <c r="L67">
        <v>62507.90815904249</v>
      </c>
      <c r="M67">
        <v>66313.0770682242</v>
      </c>
      <c r="N67">
        <v>70349.88563475234</v>
      </c>
    </row>
    <row r="68" spans="4:14">
      <c r="E68" t="s">
        <v>9</v>
      </c>
      <c r="G68" t="s">
        <v>71</v>
      </c>
      <c r="H68">
        <v>717617.39242913807</v>
      </c>
      <c r="J68">
        <v>127132.74</v>
      </c>
      <c r="K68">
        <v>134824.27077</v>
      </c>
      <c r="L68">
        <v>143004.73339896969</v>
      </c>
      <c r="M68">
        <v>151710.14654463198</v>
      </c>
      <c r="N68">
        <v>160945.50171553646</v>
      </c>
    </row>
    <row r="69" spans="4:14">
      <c r="E69" s="107" t="s">
        <v>85</v>
      </c>
      <c r="F69" s="107"/>
      <c r="G69" s="107" t="s">
        <v>71</v>
      </c>
      <c r="H69" s="107">
        <v>1031290.6603911571</v>
      </c>
      <c r="I69" s="107"/>
      <c r="J69" s="107">
        <v>182702.94</v>
      </c>
      <c r="K69" s="107">
        <v>193756.46787000002</v>
      </c>
      <c r="L69" s="107">
        <v>205512.6415580122</v>
      </c>
      <c r="M69" s="107">
        <v>218023.22361285618</v>
      </c>
      <c r="N69" s="107">
        <v>231295.3873502888</v>
      </c>
    </row>
    <row r="71" spans="4:14">
      <c r="E71" s="107" t="s">
        <v>89</v>
      </c>
      <c r="F71" s="107"/>
      <c r="G71" s="107" t="s">
        <v>71</v>
      </c>
      <c r="H71" s="107">
        <v>38664977.93143525</v>
      </c>
      <c r="I71" s="107"/>
      <c r="J71" s="107">
        <v>4344302.9400000004</v>
      </c>
      <c r="K71" s="107">
        <v>7335985.1078699995</v>
      </c>
      <c r="L71" s="107">
        <v>8113287.3186140116</v>
      </c>
      <c r="M71" s="107">
        <v>9022441.99762192</v>
      </c>
      <c r="N71" s="107">
        <v>9848960.5673293192</v>
      </c>
    </row>
    <row r="73" spans="4:14">
      <c r="D73" s="84" t="s">
        <v>109</v>
      </c>
    </row>
    <row r="75" spans="4:14">
      <c r="E75" t="s">
        <v>70</v>
      </c>
      <c r="G75" t="s">
        <v>71</v>
      </c>
      <c r="H75">
        <v>20609600.743939962</v>
      </c>
      <c r="J75">
        <v>4040099.9999999986</v>
      </c>
      <c r="K75">
        <v>4080602.0024999981</v>
      </c>
      <c r="L75">
        <v>4121510.0375750591</v>
      </c>
      <c r="M75">
        <v>4162828.175701749</v>
      </c>
      <c r="N75">
        <v>4204560.5281631574</v>
      </c>
    </row>
    <row r="76" spans="4:14">
      <c r="E76" t="s">
        <v>79</v>
      </c>
      <c r="G76" t="s">
        <v>71</v>
      </c>
      <c r="H76">
        <v>5913281.25</v>
      </c>
      <c r="J76">
        <v>0</v>
      </c>
      <c r="K76">
        <v>0</v>
      </c>
      <c r="L76">
        <v>0</v>
      </c>
      <c r="M76">
        <v>2812500</v>
      </c>
      <c r="N76">
        <v>3100781.25</v>
      </c>
    </row>
    <row r="77" spans="4:14">
      <c r="E77" s="107" t="s">
        <v>80</v>
      </c>
      <c r="F77" s="107"/>
      <c r="G77" s="107" t="s">
        <v>71</v>
      </c>
      <c r="H77" s="107">
        <v>26522881.993939962</v>
      </c>
      <c r="I77" s="107"/>
      <c r="J77" s="107">
        <v>4040099.9999999986</v>
      </c>
      <c r="K77" s="107">
        <v>4080602.0024999981</v>
      </c>
      <c r="L77" s="107">
        <v>4121510.0375750591</v>
      </c>
      <c r="M77" s="107">
        <v>6975328.1757017486</v>
      </c>
      <c r="N77" s="107">
        <v>7305341.7781631574</v>
      </c>
    </row>
    <row r="79" spans="4:14">
      <c r="E79" t="s">
        <v>11</v>
      </c>
      <c r="G79" t="s">
        <v>71</v>
      </c>
      <c r="H79">
        <v>353989.07015716331</v>
      </c>
      <c r="J79">
        <v>57738.249999999985</v>
      </c>
      <c r="K79">
        <v>63620.334218749995</v>
      </c>
      <c r="L79">
        <v>70115.970342484361</v>
      </c>
      <c r="M79">
        <v>77295.845705554791</v>
      </c>
      <c r="N79">
        <v>85218.669890374149</v>
      </c>
    </row>
    <row r="80" spans="4:14">
      <c r="E80" t="s">
        <v>9</v>
      </c>
      <c r="G80" t="s">
        <v>71</v>
      </c>
      <c r="H80">
        <v>809851.33073360182</v>
      </c>
      <c r="J80">
        <v>132092.77499999999</v>
      </c>
      <c r="K80">
        <v>145549.72645312501</v>
      </c>
      <c r="L80">
        <v>160410.35352398903</v>
      </c>
      <c r="M80">
        <v>176836.37372484556</v>
      </c>
      <c r="N80">
        <v>194962.10203164222</v>
      </c>
    </row>
    <row r="81" spans="1:14">
      <c r="E81" s="107" t="s">
        <v>85</v>
      </c>
      <c r="F81" s="107"/>
      <c r="G81" s="107" t="s">
        <v>71</v>
      </c>
      <c r="H81" s="107">
        <v>1163840.400890765</v>
      </c>
      <c r="I81" s="107"/>
      <c r="J81" s="107">
        <v>189831.02499999999</v>
      </c>
      <c r="K81" s="107">
        <v>209170.06067187496</v>
      </c>
      <c r="L81" s="107">
        <v>230526.32386647339</v>
      </c>
      <c r="M81" s="107">
        <v>254132.21943040032</v>
      </c>
      <c r="N81" s="107">
        <v>280180.7719220164</v>
      </c>
    </row>
    <row r="83" spans="1:14">
      <c r="E83" s="107" t="s">
        <v>89</v>
      </c>
      <c r="F83" s="107"/>
      <c r="G83" s="107" t="s">
        <v>71</v>
      </c>
      <c r="H83" s="107">
        <v>27686722.394830726</v>
      </c>
      <c r="I83" s="107"/>
      <c r="J83" s="107">
        <v>4229931.0249999985</v>
      </c>
      <c r="K83" s="107">
        <v>4289772.0631718729</v>
      </c>
      <c r="L83" s="107">
        <v>4352036.3614415321</v>
      </c>
      <c r="M83" s="107">
        <v>7229460.3951321486</v>
      </c>
      <c r="N83" s="107">
        <v>7585522.5500851739</v>
      </c>
    </row>
    <row r="88" spans="1:14" s="60" customFormat="1">
      <c r="A88" s="61" t="s">
        <v>23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Drop Down 1">
              <controlPr defaultSize="0" autoLine="0" autoPict="0">
                <anchor moveWithCells="1">
                  <from>
                    <xdr:col>4</xdr:col>
                    <xdr:colOff>2537460</xdr:colOff>
                    <xdr:row>1</xdr:row>
                    <xdr:rowOff>182880</xdr:rowOff>
                  </from>
                  <to>
                    <xdr:col>5</xdr:col>
                    <xdr:colOff>792480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4" name="Drop Down 2">
              <controlPr defaultSize="0" autoLine="0" autoPict="0">
                <anchor moveWithCells="1">
                  <from>
                    <xdr:col>6</xdr:col>
                    <xdr:colOff>76200</xdr:colOff>
                    <xdr:row>1</xdr:row>
                    <xdr:rowOff>182880</xdr:rowOff>
                  </from>
                  <to>
                    <xdr:col>7</xdr:col>
                    <xdr:colOff>266700</xdr:colOff>
                    <xdr:row>2</xdr:row>
                    <xdr:rowOff>182880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3011335-33E7-43C1-A517-A8C28B85E1AF}">
            <xm:f>NOT( ISBLANK(Time!J$13))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J2:J3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9BAB-9093-4B98-BFBF-8487F3660979}">
  <sheetPr codeName="Sheet4"/>
  <dimension ref="A1:P36"/>
  <sheetViews>
    <sheetView zoomScale="85" zoomScaleNormal="85" workbookViewId="0">
      <pane xSplit="9" ySplit="3" topLeftCell="J5" activePane="bottomRight" state="frozen"/>
      <selection pane="topRight" activeCell="J1" sqref="J1"/>
      <selection pane="bottomLeft" activeCell="A4" sqref="A4"/>
      <selection pane="bottomRight" activeCell="J8" sqref="J8"/>
    </sheetView>
  </sheetViews>
  <sheetFormatPr defaultRowHeight="13.8"/>
  <cols>
    <col min="1" max="1" width="1.69921875" customWidth="1"/>
    <col min="2" max="4" width="1.59765625" customWidth="1"/>
    <col min="5" max="5" width="36.69921875" customWidth="1"/>
    <col min="6" max="6" width="11.5" customWidth="1"/>
    <col min="7" max="7" width="12.19921875" customWidth="1"/>
    <col min="8" max="8" width="11.5" customWidth="1"/>
    <col min="9" max="9" width="1.59765625" customWidth="1"/>
    <col min="10" max="19" width="11.69921875" customWidth="1"/>
  </cols>
  <sheetData>
    <row r="1" spans="1:16" s="80" customFormat="1">
      <c r="A1" s="59" t="str">
        <f>company</f>
        <v>Domestique Rides Inc.</v>
      </c>
      <c r="B1" s="59"/>
      <c r="C1" s="59"/>
      <c r="D1" s="59"/>
      <c r="E1" s="59"/>
      <c r="F1" s="59"/>
      <c r="G1" s="59"/>
      <c r="H1" s="59"/>
      <c r="I1" s="59"/>
    </row>
    <row r="2" spans="1:16" s="80" customFormat="1">
      <c r="A2" s="59" t="str" cm="1">
        <f t="array" ref="A2">topic</f>
        <v>CFM Topic: Revenue</v>
      </c>
      <c r="B2" s="59"/>
      <c r="C2" s="59"/>
      <c r="D2" s="59"/>
      <c r="E2" s="59"/>
      <c r="F2" s="59"/>
      <c r="G2" s="59"/>
      <c r="H2" s="59"/>
      <c r="I2" s="59"/>
      <c r="J2" s="83" cm="1">
        <f t="array" ref="J2:N2">_xlfn.ANCHORARRAY(Time!J2)</f>
        <v>44197</v>
      </c>
      <c r="K2" s="83">
        <v>44562</v>
      </c>
      <c r="L2" s="83">
        <v>44927</v>
      </c>
      <c r="M2" s="83">
        <v>45292</v>
      </c>
      <c r="N2" s="83">
        <v>45658</v>
      </c>
      <c r="O2" s="83"/>
      <c r="P2" s="83"/>
    </row>
    <row r="3" spans="1:16" s="80" customFormat="1">
      <c r="A3" s="59" t="s">
        <v>81</v>
      </c>
      <c r="B3" s="59"/>
      <c r="C3" s="59"/>
      <c r="D3" s="59"/>
      <c r="E3" s="59"/>
      <c r="F3" s="59" t="s">
        <v>25</v>
      </c>
      <c r="G3" s="59" t="s">
        <v>26</v>
      </c>
      <c r="H3" s="59"/>
      <c r="I3" s="59"/>
      <c r="J3" s="83" cm="1">
        <f t="array" ref="J3:N3">_xlfn.ANCHORARRAY(Time!J3)</f>
        <v>44561</v>
      </c>
      <c r="K3" s="83">
        <v>44926</v>
      </c>
      <c r="L3" s="83">
        <v>45291</v>
      </c>
      <c r="M3" s="83">
        <v>45657</v>
      </c>
      <c r="N3" s="83">
        <v>46022</v>
      </c>
      <c r="O3" s="83"/>
      <c r="P3" s="83"/>
    </row>
    <row r="5" spans="1:16" s="60" customFormat="1">
      <c r="A5" s="61" t="s">
        <v>83</v>
      </c>
    </row>
    <row r="7" spans="1:16" ht="41.4">
      <c r="E7" s="102" t="str" cm="1">
        <f t="array" ref="E7:G13" xml:space="preserve"> _xlfn.LET(
      _xlpm.clients, CaseData!$N$8:$N$1331,
      _xlpm.prices_local, CaseData!$P$8:$P$1331,
      _xlpm.fx_EUR, CaseData!$Q$8:$Q$1331,
      _xlpm.prices_EUR, _xlpm.prices_local / _xlpm.fx_EUR,
      _xlpm.pricing_table, _xlfn._xlws.SORT( _xlfn.UNIQUE( _xlfn.HSTACK( _xlpm.clients, _xlpm.prices_local, _xlpm.prices_EUR )),{1,2},{1,-1}),
      _xlpm.cu, INDEX( _xlpm.pricing_table,,1),
      _xlpm.pu, INDEX( _xlpm.pricing_table,,2),
      _xlpm.pe, INDEX( _xlpm.pricing_table,,3),
      _xlpm.cnt, _xlfn.MAP( _xlpm.cu, _xlpm.pu, _xlfn.LAMBDA(_xlpm.x,_xlpm.y, SUMPRODUCT( (_xlpm.x = _xlpm.clients) * (_xlpm.y = _xlpm.prices_local) ) ) ),
      _xlpm.tot, _xlfn.MAP( _xlpm.cu, _xlpm.pe, _xlfn.LAMBDA(_xlpm.x,_xlpm.y, SUMPRODUCT( (_xlpm.x = _xlpm.clients) * (_xlpm.y = _xlpm.prices_EUR) * _xlpm.prices_EUR ))),
      _xlfn.VSTACK( _xlfn.HSTACK("Clients", "Price (Local) ", "Number of Subscriptions in 2020"), _xlfn.HSTACK(_xlpm.cu, _xlpm.pu, _xlpm.cnt) ) )</f>
        <v>Clients</v>
      </c>
      <c r="F7" s="102" t="str">
        <v xml:space="preserve">Price (Local) </v>
      </c>
      <c r="G7" s="102" t="str">
        <v>Number of Subscriptions in 2020</v>
      </c>
      <c r="H7" s="101"/>
    </row>
    <row r="8" spans="1:16">
      <c r="E8" s="94" t="str">
        <v>Client #1</v>
      </c>
      <c r="F8" s="94">
        <v>150</v>
      </c>
      <c r="G8" s="94">
        <v>250</v>
      </c>
      <c r="H8" s="94" t="s">
        <v>35</v>
      </c>
      <c r="J8" s="94" cm="1">
        <f t="array" ref="J8:N13">_xlfn.LET( _xlpm.operating_flag,_xlfn.ANCHORARRAY( Time!$J$24),
      _xlpm.subscription_2020, _xlfn.DROP(INDEX(_xlfn.ANCHORARRAY( E7),,3), 1),
      _xlpm.current_year,_xlfn.ANCHORARRAY(Time!$J$14),
      _xlpm.current_scenario, INDEX( subscription, subscription_selector ),
      _xlpm.growth_rates, CaseData!$G$67:$K$69,
      _xlpm.compounded_rates, _xlfn.MAKEARRAY( ROWS( _xlpm.growth_rates ), COLUMNS( _xlpm.growth_rates ),
                            _xlfn.LAMBDA(_xlpm.i,_xlpm.j, INDEX( _xlfn.SCAN( 1, INDEX( _xlpm.growth_rates, _xlpm.i, 0 ), _xlfn.LAMBDA(_xlpm.s,_xlpm.c, _xlpm.s * ( 1 + _xlpm.c ) ) ), _xlpm.j ) ) ),
      _xlpm.compounded_rows, CaseData!$C$67:$C$69,
      _xlpm.compounded_columns, CaseData!$F$59:$K$59,
      _xlpm.compounded_table, _xlfn.VSTACK( _xlpm.compounded_columns, _xlfn.HSTACK( _xlpm.compounded_rows, _xlpm.compounded_rates ) ),
      _xlpm.compounded_growth, INDEX( _xlpm.compounded_table, _xlfn.XMATCH( _xlpm.current_scenario, _xlpm.compounded_rows, 0, 1 ) + 1, _xlfn.XMATCH( _xlpm.current_year, _xlpm.compounded_columns, 0, 1 ) ),
      _xlpm.operating_flag * _xlpm.subscription_2020 * _xlpm.compounded_growth )</f>
        <v>268.75</v>
      </c>
      <c r="K8" s="94">
        <v>288.90625</v>
      </c>
      <c r="L8" s="94">
        <v>309.12968749999999</v>
      </c>
      <c r="M8" s="94">
        <v>327.67746875</v>
      </c>
      <c r="N8" s="94">
        <v>344.06134218750003</v>
      </c>
    </row>
    <row r="9" spans="1:16">
      <c r="E9" s="94" t="str">
        <v>Client #1</v>
      </c>
      <c r="F9" s="94">
        <v>140</v>
      </c>
      <c r="G9" s="94">
        <v>200</v>
      </c>
      <c r="H9" s="94" t="s">
        <v>35</v>
      </c>
      <c r="J9">
        <v>215</v>
      </c>
      <c r="K9">
        <v>231.12499999999997</v>
      </c>
      <c r="L9">
        <v>247.30374999999998</v>
      </c>
      <c r="M9">
        <v>262.141975</v>
      </c>
      <c r="N9">
        <v>275.24907374999998</v>
      </c>
    </row>
    <row r="10" spans="1:16">
      <c r="E10" s="94" t="str">
        <v>Client #2</v>
      </c>
      <c r="F10" s="94">
        <v>150</v>
      </c>
      <c r="G10" s="94">
        <v>250</v>
      </c>
      <c r="H10" s="94" t="s">
        <v>35</v>
      </c>
      <c r="J10">
        <v>268.75</v>
      </c>
      <c r="K10">
        <v>288.90625</v>
      </c>
      <c r="L10">
        <v>309.12968749999999</v>
      </c>
      <c r="M10">
        <v>327.67746875</v>
      </c>
      <c r="N10">
        <v>344.06134218750003</v>
      </c>
    </row>
    <row r="11" spans="1:16">
      <c r="E11" s="94" t="str">
        <v>Client #2</v>
      </c>
      <c r="F11" s="94">
        <v>140</v>
      </c>
      <c r="G11" s="94">
        <v>250</v>
      </c>
      <c r="H11" s="94" t="s">
        <v>35</v>
      </c>
      <c r="J11">
        <v>268.75</v>
      </c>
      <c r="K11">
        <v>288.90625</v>
      </c>
      <c r="L11">
        <v>309.12968749999999</v>
      </c>
      <c r="M11">
        <v>327.67746875</v>
      </c>
      <c r="N11">
        <v>344.06134218750003</v>
      </c>
    </row>
    <row r="12" spans="1:16">
      <c r="E12" s="94" t="str">
        <v>Client #2</v>
      </c>
      <c r="F12" s="94">
        <v>130</v>
      </c>
      <c r="G12" s="94">
        <v>250</v>
      </c>
      <c r="H12" s="94" t="s">
        <v>35</v>
      </c>
      <c r="J12">
        <v>268.75</v>
      </c>
      <c r="K12">
        <v>288.90625</v>
      </c>
      <c r="L12">
        <v>309.12968749999999</v>
      </c>
      <c r="M12">
        <v>327.67746875</v>
      </c>
      <c r="N12">
        <v>344.06134218750003</v>
      </c>
    </row>
    <row r="13" spans="1:16">
      <c r="E13" s="94" t="str">
        <v>Client #2</v>
      </c>
      <c r="F13" s="94">
        <v>120</v>
      </c>
      <c r="G13" s="94">
        <v>124</v>
      </c>
      <c r="H13" s="94" t="s">
        <v>35</v>
      </c>
      <c r="J13">
        <v>133.29999999999998</v>
      </c>
      <c r="K13">
        <v>143.29749999999999</v>
      </c>
      <c r="L13">
        <v>153.32832499999998</v>
      </c>
      <c r="M13">
        <v>162.52802449999999</v>
      </c>
      <c r="N13">
        <v>170.65442572500001</v>
      </c>
    </row>
    <row r="15" spans="1:16" s="60" customFormat="1">
      <c r="A15" s="61" t="s">
        <v>84</v>
      </c>
      <c r="B15" s="103"/>
    </row>
    <row r="17" spans="1:14" ht="41.4">
      <c r="D17" s="84"/>
      <c r="E17" s="102" t="str" cm="1">
        <f t="array" ref="E17:G23" xml:space="preserve"> _xlfn.LET(
      _xlpm.clients, CaseData!$N$8:$N$1331,
      _xlpm.prices_local, CaseData!$P$8:$P$1331,
      _xlpm.fx_EUR, CaseData!$Q$8:$Q$1331,
      _xlpm.prices_EUR, _xlpm.prices_local / _xlpm.fx_EUR,
      _xlpm.pricing_table, _xlfn._xlws.SORT( _xlfn.UNIQUE( _xlfn.HSTACK( _xlpm.clients, _xlpm.prices_local, _xlpm.prices_EUR )),{1,2},{1,-1}),
      _xlpm.cu, INDEX( _xlpm.pricing_table,,1),
      _xlpm.pu, INDEX( _xlpm.pricing_table,,2),
      _xlpm.pe, INDEX( _xlpm.pricing_table,,3),
      _xlpm.cnt, _xlfn.MAP( _xlpm.cu, _xlpm.pu, _xlfn.LAMBDA(_xlpm.x,_xlpm.y, SUMPRODUCT( (_xlpm.x = _xlpm.clients) * (_xlpm.y = _xlpm.prices_local) ) ) ),
      _xlpm.tot, _xlfn.MAP( _xlpm.cu, _xlpm.pe, _xlfn.LAMBDA(_xlpm.x,_xlpm.y, SUMPRODUCT( (_xlpm.x = _xlpm.clients) * (_xlpm.y = _xlpm.prices_EUR) * _xlpm.prices_EUR ))),
      _xlfn.VSTACK( _xlfn.HSTACK("Clients", "Price (EUR)", "Number of Subscriptions in 2020"), _xlfn.HSTACK(_xlpm.cu, _xlpm.pe, _xlpm.cnt) ) )</f>
        <v>Clients</v>
      </c>
      <c r="F17" s="102" t="str">
        <v>Price (EUR)</v>
      </c>
      <c r="G17" s="102" t="str">
        <v>Number of Subscriptions in 2020</v>
      </c>
    </row>
    <row r="18" spans="1:14">
      <c r="E18" s="94" t="str">
        <v>Client #1</v>
      </c>
      <c r="F18" s="94">
        <v>120</v>
      </c>
      <c r="G18" s="94">
        <v>250</v>
      </c>
      <c r="H18" t="s">
        <v>71</v>
      </c>
      <c r="J18" s="94" cm="1">
        <f t="array" ref="J18:N23">_xlfn.LET( _xlpm.operating_flag,_xlfn.ANCHORARRAY( Time!$J$24),
      _xlpm.price_2020, _xlfn.DROP(INDEX(_xlfn.ANCHORARRAY( E17),,2), 1),
      _xlpm.current_year,_xlfn.ANCHORARRAY(Time!$J$14),
      _xlpm.current_scenario, INDEX( subscription, subscription_selector ),
      _xlpm.growth_rates, CaseData!$G$62:$K$64,
      _xlpm.compounded_rates, _xlfn.MAKEARRAY( ROWS( _xlpm.growth_rates ), COLUMNS( _xlpm.growth_rates ),
                            _xlfn.LAMBDA(_xlpm.i,_xlpm.j, INDEX( _xlfn.SCAN( 1, INDEX( _xlpm.growth_rates, _xlpm.i, 0 ), _xlfn.LAMBDA(_xlpm.s,_xlpm.c, _xlpm.s * ( 1 + _xlpm.c ) ) ), _xlpm.j ) ) ),
      _xlpm.compounded_rows, CaseData!$C$62:$C$64,
      _xlpm.compounded_columns, CaseData!$F$59:$K$59,
      _xlpm.compounded_table, _xlfn.VSTACK( _xlpm.compounded_columns, _xlfn.HSTACK( _xlpm.compounded_rows, _xlpm.compounded_rates ) ),
      _xlpm.compounded_growth, INDEX( _xlpm.compounded_table, _xlfn.XMATCH( _xlpm.current_scenario, _xlpm.compounded_rows, 0, 1 ) + 1, _xlfn.XMATCH( _xlpm.current_year, _xlpm.compounded_columns, 0, 1 ) ),
      _xlpm.operating_flag * _xlpm.price_2020 * _xlpm.compounded_growth )</f>
        <v>122.99999999999999</v>
      </c>
      <c r="K18">
        <v>126.07499999999999</v>
      </c>
      <c r="L18">
        <v>129.85724999999999</v>
      </c>
      <c r="M18">
        <v>135.05154000000002</v>
      </c>
      <c r="N18">
        <v>141.80411700000002</v>
      </c>
    </row>
    <row r="19" spans="1:14">
      <c r="E19" s="94" t="str">
        <v>Client #1</v>
      </c>
      <c r="F19" s="94">
        <v>112</v>
      </c>
      <c r="G19" s="94">
        <v>200</v>
      </c>
      <c r="H19" t="s">
        <v>71</v>
      </c>
      <c r="J19">
        <v>114.79999999999998</v>
      </c>
      <c r="K19">
        <v>117.66999999999999</v>
      </c>
      <c r="L19">
        <v>121.20009999999999</v>
      </c>
      <c r="M19">
        <v>126.04810400000001</v>
      </c>
      <c r="N19">
        <v>132.3505092</v>
      </c>
    </row>
    <row r="20" spans="1:14">
      <c r="E20" s="94" t="str">
        <v>Client #2</v>
      </c>
      <c r="F20" s="94">
        <v>150</v>
      </c>
      <c r="G20" s="94">
        <v>250</v>
      </c>
      <c r="H20" t="s">
        <v>71</v>
      </c>
      <c r="J20">
        <v>153.75</v>
      </c>
      <c r="K20">
        <v>157.59375</v>
      </c>
      <c r="L20">
        <v>162.3215625</v>
      </c>
      <c r="M20">
        <v>168.814425</v>
      </c>
      <c r="N20">
        <v>177.25514625</v>
      </c>
    </row>
    <row r="21" spans="1:14">
      <c r="E21" s="94" t="str">
        <v>Client #2</v>
      </c>
      <c r="F21" s="94">
        <v>140</v>
      </c>
      <c r="G21" s="94">
        <v>250</v>
      </c>
      <c r="H21" t="s">
        <v>71</v>
      </c>
      <c r="J21">
        <v>143.5</v>
      </c>
      <c r="K21">
        <v>147.08749999999998</v>
      </c>
      <c r="L21">
        <v>151.500125</v>
      </c>
      <c r="M21">
        <v>157.56013000000002</v>
      </c>
      <c r="N21">
        <v>165.43813650000001</v>
      </c>
    </row>
    <row r="22" spans="1:14">
      <c r="E22" s="94" t="str">
        <v>Client #2</v>
      </c>
      <c r="F22" s="94">
        <v>130</v>
      </c>
      <c r="G22" s="94">
        <v>250</v>
      </c>
      <c r="H22" t="s">
        <v>71</v>
      </c>
      <c r="J22">
        <v>133.25</v>
      </c>
      <c r="K22">
        <v>136.58124999999998</v>
      </c>
      <c r="L22">
        <v>140.6786875</v>
      </c>
      <c r="M22">
        <v>146.305835</v>
      </c>
      <c r="N22">
        <v>153.62112675</v>
      </c>
    </row>
    <row r="23" spans="1:14">
      <c r="E23" s="94" t="str">
        <v>Client #2</v>
      </c>
      <c r="F23" s="94">
        <v>120</v>
      </c>
      <c r="G23" s="94">
        <v>124</v>
      </c>
      <c r="H23" t="s">
        <v>71</v>
      </c>
      <c r="J23">
        <v>122.99999999999999</v>
      </c>
      <c r="K23">
        <v>126.07499999999999</v>
      </c>
      <c r="L23">
        <v>129.85724999999999</v>
      </c>
      <c r="M23">
        <v>135.05154000000002</v>
      </c>
      <c r="N23">
        <v>141.80411700000002</v>
      </c>
    </row>
    <row r="25" spans="1:14" s="60" customFormat="1">
      <c r="A25" s="61" t="s">
        <v>85</v>
      </c>
    </row>
    <row r="27" spans="1:14" ht="41.4">
      <c r="E27" s="102" t="str" cm="1">
        <f t="array" ref="E27:H34" xml:space="preserve"> _xlfn.LET(
      _xlpm.clients, CaseData!$N$8:$N$1331,
      _xlpm.prices_local, CaseData!$P$8:$P$1331,
      _xlpm.fx_EUR, CaseData!$Q$8:$Q$1331,
      _xlpm.prices_EUR, _xlpm.prices_local / _xlpm.fx_EUR,
      _xlpm.pricing_table, _xlfn._xlws.SORT( _xlfn.UNIQUE( _xlfn.HSTACK( _xlpm.clients, _xlpm.prices_local, _xlpm.prices_EUR )),{1,2},{1,-1}),
      _xlpm.cu, INDEX( _xlpm.pricing_table,,1),
      _xlpm.pu, INDEX( _xlpm.pricing_table,,2),
      _xlpm.pe, INDEX( _xlpm.pricing_table,,3),
      _xlpm.cnt, _xlfn.MAP( _xlpm.cu, _xlpm.pu, _xlfn.LAMBDA(_xlpm.x,_xlpm.y, SUMPRODUCT( (_xlpm.x = _xlpm.clients) * (_xlpm.y = _xlpm.prices_local) ) ) ),
      _xlpm.tot, _xlfn.MAP( _xlpm.cu, _xlpm.pe, _xlfn.LAMBDA(_xlpm.x,_xlpm.y, SUMPRODUCT( (_xlpm.x = _xlpm.clients) * (_xlpm.y = _xlpm.prices_EUR) * _xlpm.prices_EUR ))),
      _xlfn.VSTACK( _xlfn.HSTACK("Clients", "Price (EUR) ", "Number of Subscriptions in 2020", "Total"), _xlfn.HSTACK(_xlpm.cu, _xlpm.pe, _xlpm.cnt, _xlpm.tot), _xlfn.HSTACK("Subscription Revenue", "", "", SUM(_xlpm.tot)) ) )</f>
        <v>Clients</v>
      </c>
      <c r="F27" s="102" t="str">
        <v xml:space="preserve">Price (EUR) </v>
      </c>
      <c r="G27" s="102" t="str">
        <v>Number of Subscriptions in 2020</v>
      </c>
      <c r="H27" s="104" t="str">
        <v>Total</v>
      </c>
    </row>
    <row r="28" spans="1:14">
      <c r="E28" s="94" t="str">
        <v>Client #1</v>
      </c>
      <c r="F28" s="94">
        <v>120</v>
      </c>
      <c r="G28" s="94">
        <v>250</v>
      </c>
      <c r="H28">
        <v>30000</v>
      </c>
      <c r="J28" cm="1">
        <f t="array" ref="J28:N33">_xlfn.ANCHORARRAY( J8) *_xlfn.ANCHORARRAY( J18)</f>
        <v>33056.249999999993</v>
      </c>
      <c r="K28">
        <v>36423.85546875</v>
      </c>
      <c r="L28">
        <v>40142.731112109373</v>
      </c>
      <c r="M28">
        <v>44253.346777989384</v>
      </c>
      <c r="N28">
        <v>48789.3148227333</v>
      </c>
    </row>
    <row r="29" spans="1:14">
      <c r="E29" s="94" t="str">
        <v>Client #1</v>
      </c>
      <c r="F29" s="94">
        <v>112</v>
      </c>
      <c r="G29" s="94">
        <v>200</v>
      </c>
      <c r="H29">
        <v>22400</v>
      </c>
      <c r="J29">
        <v>24681.999999999996</v>
      </c>
      <c r="K29">
        <v>27196.478749999995</v>
      </c>
      <c r="L29">
        <v>29973.239230374995</v>
      </c>
      <c r="M29">
        <v>33042.498927565401</v>
      </c>
      <c r="N29">
        <v>36429.355067640849</v>
      </c>
    </row>
    <row r="30" spans="1:14">
      <c r="E30" s="94" t="str">
        <v>Client #2</v>
      </c>
      <c r="F30" s="94">
        <v>150</v>
      </c>
      <c r="G30" s="94">
        <v>250</v>
      </c>
      <c r="H30">
        <v>37500</v>
      </c>
      <c r="J30">
        <v>41320.3125</v>
      </c>
      <c r="K30">
        <v>45529.8193359375</v>
      </c>
      <c r="L30">
        <v>50178.413890136719</v>
      </c>
      <c r="M30">
        <v>55316.683472486722</v>
      </c>
      <c r="N30">
        <v>60986.643528416615</v>
      </c>
    </row>
    <row r="31" spans="1:14">
      <c r="E31" s="94" t="str">
        <v>Client #2</v>
      </c>
      <c r="F31" s="94">
        <v>140</v>
      </c>
      <c r="G31" s="94">
        <v>250</v>
      </c>
      <c r="H31">
        <v>35000</v>
      </c>
      <c r="J31">
        <v>38565.625</v>
      </c>
      <c r="K31">
        <v>42494.498046874993</v>
      </c>
      <c r="L31">
        <v>46833.186297460932</v>
      </c>
      <c r="M31">
        <v>51628.904574320943</v>
      </c>
      <c r="N31">
        <v>56920.867293188843</v>
      </c>
    </row>
    <row r="32" spans="1:14">
      <c r="E32" s="94" t="str">
        <v>Client #2</v>
      </c>
      <c r="F32" s="94">
        <v>130</v>
      </c>
      <c r="G32" s="94">
        <v>250</v>
      </c>
      <c r="H32">
        <v>32500</v>
      </c>
      <c r="J32">
        <v>35810.9375</v>
      </c>
      <c r="K32">
        <v>39459.176757812493</v>
      </c>
      <c r="L32">
        <v>43487.958704785153</v>
      </c>
      <c r="M32">
        <v>47941.125676155156</v>
      </c>
      <c r="N32">
        <v>52855.091057961065</v>
      </c>
    </row>
    <row r="33" spans="1:14">
      <c r="E33" s="94" t="str">
        <v>Client #2</v>
      </c>
      <c r="F33" s="94">
        <v>120</v>
      </c>
      <c r="G33" s="94">
        <v>124</v>
      </c>
      <c r="H33">
        <v>14880</v>
      </c>
      <c r="J33">
        <v>16395.899999999998</v>
      </c>
      <c r="K33">
        <v>18066.232312499997</v>
      </c>
      <c r="L33">
        <v>19910.794631606244</v>
      </c>
      <c r="M33">
        <v>21949.66000188273</v>
      </c>
      <c r="N33">
        <v>24199.500152075714</v>
      </c>
    </row>
    <row r="34" spans="1:14">
      <c r="E34" t="str">
        <v>Subscription Revenue</v>
      </c>
      <c r="F34" t="str">
        <v/>
      </c>
      <c r="G34" t="str">
        <v/>
      </c>
      <c r="H34">
        <v>172280</v>
      </c>
      <c r="J34" cm="1">
        <f t="array" ref="J34:N34">_xlfn.BYCOL(_xlfn.ANCHORARRAY( J28), _xleta.SUM )</f>
        <v>189831.02499999999</v>
      </c>
      <c r="K34">
        <v>209170.06067187496</v>
      </c>
      <c r="L34">
        <v>230526.32386647339</v>
      </c>
      <c r="M34">
        <v>254132.21943040032</v>
      </c>
      <c r="N34">
        <v>280180.7719220164</v>
      </c>
    </row>
    <row r="36" spans="1:14" s="60" customFormat="1">
      <c r="A36" s="61" t="s">
        <v>23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Drop Down 1">
              <controlPr defaultSize="0" autoLine="0" autoPict="0">
                <anchor moveWithCells="1">
                  <from>
                    <xdr:col>4</xdr:col>
                    <xdr:colOff>2636520</xdr:colOff>
                    <xdr:row>1</xdr:row>
                    <xdr:rowOff>106680</xdr:rowOff>
                  </from>
                  <to>
                    <xdr:col>6</xdr:col>
                    <xdr:colOff>22860</xdr:colOff>
                    <xdr:row>2</xdr:row>
                    <xdr:rowOff>144780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9A7A402-AEBA-4919-ABF3-DC9019852136}">
            <xm:f>NOT( ISBLANK(Time!J$13))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J1:P3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1635-EF0C-4CEB-850E-8A290840BAC0}">
  <sheetPr codeName="Sheet1"/>
  <dimension ref="A1:S42"/>
  <sheetViews>
    <sheetView showGridLines="0" zoomScale="85" zoomScaleNormal="85" workbookViewId="0">
      <pane xSplit="9" ySplit="3" topLeftCell="J6" activePane="bottomRight" state="frozen"/>
      <selection pane="topRight" activeCell="J1" sqref="J1"/>
      <selection pane="bottomLeft" activeCell="A4" sqref="A4"/>
      <selection pane="bottomRight" activeCell="J11" sqref="J11"/>
    </sheetView>
  </sheetViews>
  <sheetFormatPr defaultRowHeight="13.8"/>
  <cols>
    <col min="1" max="1" width="1.69921875" customWidth="1"/>
    <col min="2" max="4" width="1.59765625" customWidth="1"/>
    <col min="5" max="5" width="40.69921875" bestFit="1" customWidth="1"/>
    <col min="6" max="8" width="11.5" customWidth="1"/>
    <col min="9" max="9" width="1.59765625" customWidth="1"/>
    <col min="10" max="15" width="11.5" customWidth="1"/>
    <col min="16" max="17" width="9.8984375" bestFit="1" customWidth="1"/>
  </cols>
  <sheetData>
    <row r="1" spans="1:19" s="80" customFormat="1">
      <c r="A1" s="59" t="str">
        <f>company</f>
        <v>Domestique Rides Inc.</v>
      </c>
      <c r="B1" s="59"/>
      <c r="C1" s="59"/>
      <c r="D1" s="59"/>
      <c r="E1" s="59"/>
      <c r="F1" s="59"/>
      <c r="G1" s="59"/>
      <c r="H1" s="59"/>
      <c r="I1" s="59"/>
    </row>
    <row r="2" spans="1:19" s="80" customFormat="1">
      <c r="A2" s="59" t="str" cm="1">
        <f t="array" ref="A2">topic</f>
        <v>CFM Topic: Revenue</v>
      </c>
      <c r="B2" s="59"/>
      <c r="C2" s="59"/>
      <c r="D2" s="59"/>
      <c r="E2" s="59"/>
      <c r="F2" s="59"/>
      <c r="G2" s="59"/>
      <c r="H2" s="59"/>
      <c r="I2" s="59"/>
      <c r="J2" s="83" cm="1">
        <f t="array" ref="J2:N2">_xlfn.ANCHORARRAY(Time!J2)</f>
        <v>44197</v>
      </c>
      <c r="K2" s="83">
        <v>44562</v>
      </c>
      <c r="L2" s="83">
        <v>44927</v>
      </c>
      <c r="M2" s="83">
        <v>45292</v>
      </c>
      <c r="N2" s="83">
        <v>45658</v>
      </c>
      <c r="O2" s="83"/>
      <c r="P2" s="83"/>
      <c r="Q2" s="83"/>
      <c r="R2" s="83"/>
      <c r="S2" s="83"/>
    </row>
    <row r="3" spans="1:19" s="80" customFormat="1">
      <c r="A3" s="59" t="s">
        <v>55</v>
      </c>
      <c r="B3" s="59"/>
      <c r="C3" s="59"/>
      <c r="D3" s="59"/>
      <c r="E3" s="59"/>
      <c r="F3" s="59" t="s">
        <v>25</v>
      </c>
      <c r="G3" s="59" t="s">
        <v>26</v>
      </c>
      <c r="H3" s="59" t="s">
        <v>27</v>
      </c>
      <c r="I3" s="59"/>
      <c r="J3" s="83" cm="1">
        <f t="array" ref="J3:N3">_xlfn.ANCHORARRAY(Time!J3)</f>
        <v>44561</v>
      </c>
      <c r="K3" s="83">
        <v>44926</v>
      </c>
      <c r="L3" s="83">
        <v>45291</v>
      </c>
      <c r="M3" s="83">
        <v>45657</v>
      </c>
      <c r="N3" s="83">
        <v>46022</v>
      </c>
      <c r="O3" s="83"/>
      <c r="P3" s="83"/>
      <c r="Q3" s="83"/>
      <c r="R3" s="83"/>
      <c r="S3" s="83"/>
    </row>
    <row r="5" spans="1:19" s="60" customFormat="1">
      <c r="A5" s="61" t="s">
        <v>56</v>
      </c>
    </row>
    <row r="7" spans="1:19">
      <c r="B7" s="84" t="s">
        <v>34</v>
      </c>
    </row>
    <row r="8" spans="1:19">
      <c r="E8" t="s">
        <v>57</v>
      </c>
      <c r="G8" t="s">
        <v>35</v>
      </c>
      <c r="H8" cm="1">
        <f t="array" ref="H8" xml:space="preserve"> _xlfn.BYROW(_xlfn.ANCHORARRAY( J8), _xleta.SUM )</f>
        <v>4374.7279074399994</v>
      </c>
      <c r="J8" s="94" cm="1">
        <f t="array" ref="J8:N8" xml:space="preserve"> _xlfn.LET(
      _xlpm.operating_flag,_xlfn.ANCHORARRAY( Time!J18),
      _xlpm.unit_sales_2020, CaseData!$D$19,
      _xlpm.current_year,_xlfn.ANCHORARRAY(Time!$J$14),
      _xlpm.current_scenario, INDEX( production, production_selector ),
      _xlpm.growth_rates, CaseData!$G$31:$K$33,
      _xlpm.compounded_rates, _xlfn.MAKEARRAY( ROWS( _xlpm.growth_rates ), COLUMNS( _xlpm.growth_rates ),
                            _xlfn.LAMBDA(_xlpm.i,_xlpm.j, INDEX( _xlfn.SCAN( 1, INDEX( _xlpm.growth_rates, _xlpm.i, 0 ), _xlfn.LAMBDA(_xlpm.s,_xlpm.c, _xlpm.s * ( 1 + _xlpm.c ) ) ), _xlpm.j ) ) ),
      _xlpm.compounded_rows, CaseData!$C$26:$C$28,
      _xlpm.compounded_columns, CaseData!$F$23:$K$23,
      _xlpm.compounded_table, _xlfn.VSTACK( _xlpm.compounded_columns, _xlfn.HSTACK( _xlpm.compounded_rows, _xlpm.compounded_rates ) ),
      _xlpm.compounded_growth, INDEX( _xlpm.compounded_table, _xlfn.XMATCH( _xlpm.current_scenario, _xlpm.compounded_rows, 0, 1 ) + 1, _xlfn.XMATCH( _xlpm.current_year, _xlpm.compounded_columns, 0, 1 ) ),
      _xlpm.operating_flag * _xlpm.unit_sales_2020 * _xlpm.compounded_growth )</f>
        <v>824</v>
      </c>
      <c r="K8" s="94">
        <v>848.71999999999991</v>
      </c>
      <c r="L8" s="94">
        <v>874.1816</v>
      </c>
      <c r="M8" s="94">
        <v>900.40704800000015</v>
      </c>
      <c r="N8" s="94">
        <v>927.41925944000002</v>
      </c>
    </row>
    <row r="9" spans="1:19">
      <c r="J9" s="94"/>
      <c r="K9" s="94"/>
      <c r="L9" s="94"/>
      <c r="M9" s="94"/>
      <c r="N9" s="94"/>
    </row>
    <row r="10" spans="1:19">
      <c r="E10" t="str">
        <f>CaseData!C$21</f>
        <v>Maximum capacity - Alp</v>
      </c>
      <c r="F10" s="77">
        <f>CaseData!D$21</f>
        <v>900</v>
      </c>
      <c r="G10" t="str">
        <f>CaseData!E$21</f>
        <v>units</v>
      </c>
      <c r="J10" s="94"/>
      <c r="K10" s="94"/>
      <c r="L10" s="94"/>
      <c r="M10" s="94"/>
      <c r="N10" s="94"/>
    </row>
    <row r="11" spans="1:19">
      <c r="E11" t="s">
        <v>75</v>
      </c>
      <c r="G11" t="s">
        <v>35</v>
      </c>
      <c r="H11" cm="1">
        <f t="array" ref="H11" xml:space="preserve"> _xlfn.BYROW(_xlfn.ANCHORARRAY( J11), _xleta.SUM )</f>
        <v>4346.9015999999992</v>
      </c>
      <c r="J11" cm="1">
        <f t="array" ref="J11:N11">_xlfn.LET(
     _xlpm.max_capacity, CaseData!$D$21,
     _xlfn.BYCOL(_xlfn.ANCHORARRAY( Production!J8), _xlfn.LAMBDA(_xlpm.d, MIN( _xlpm.max_capacity, _xlpm.d ) ) ) )</f>
        <v>824</v>
      </c>
      <c r="K11">
        <v>848.71999999999991</v>
      </c>
      <c r="L11">
        <v>874.1816</v>
      </c>
      <c r="M11">
        <v>900</v>
      </c>
      <c r="N11">
        <v>900</v>
      </c>
    </row>
    <row r="13" spans="1:19">
      <c r="B13" s="84" t="s">
        <v>68</v>
      </c>
    </row>
    <row r="14" spans="1:19">
      <c r="B14" s="84"/>
      <c r="E14" t="str">
        <f>CaseData!C$20</f>
        <v>Unit price in 2020 - Alp</v>
      </c>
      <c r="F14" s="77">
        <f>CaseData!D$20</f>
        <v>5000</v>
      </c>
      <c r="G14" t="str">
        <f>CaseData!E$20</f>
        <v>EUR / unit</v>
      </c>
    </row>
    <row r="15" spans="1:19">
      <c r="B15" s="84"/>
      <c r="E15" t="s">
        <v>74</v>
      </c>
      <c r="G15" t="s">
        <v>36</v>
      </c>
      <c r="J15" s="96" cm="1">
        <f t="array" ref="J15:N15" xml:space="preserve"> _xlfn.LET(
      _xlpm.operating_flag,_xlfn.ANCHORARRAY( Time!$J$18),
      _xlpm.unit_price, CaseData!$D$20,
      _xlpm.current_year,_xlfn.ANCHORARRAY(Time!$J$14),
      _xlpm.current_scenario, INDEX( production, production_selector ),
      _xlpm.growth_rates, CaseData!$G$26:$K$28,
      _xlpm.compounded_rates, _xlfn.MAKEARRAY( ROWS( _xlpm.growth_rates ), COLUMNS( _xlpm.growth_rates ),
                            _xlfn.LAMBDA(_xlpm.i,_xlpm.j, INDEX( _xlfn.SCAN( 1, INDEX( _xlpm.growth_rates, _xlpm.i, 0 ), _xlfn.LAMBDA(_xlpm.s,_xlpm.c, _xlpm.s * ( 1 + _xlpm.c ) ) ), _xlpm.j ) ) ),
      _xlpm.compounded_rows, CaseData!$C$26:$C$28,
      _xlpm.compounded_columns, CaseData!$F$23:$K$23,
      _xlpm.compounded_table, _xlfn.VSTACK( _xlpm.compounded_columns, _xlfn.HSTACK( _xlpm.compounded_rows, _xlpm.compounded_rates ) ),
      _xlpm.compounded_growth, INDEX( _xlpm.compounded_table, _xlfn.XMATCH( _xlpm.current_scenario, _xlpm.compounded_rows, 0, 1 ) + 1, _xlfn.XMATCH( _xlpm.current_year, _xlpm.compounded_columns, 0, 1 ) ),
      _xlpm.operating_flag * _xlpm.unit_price * _xlpm.compounded_growth)</f>
        <v>5100</v>
      </c>
      <c r="K15">
        <v>5202</v>
      </c>
      <c r="L15">
        <v>5306.04</v>
      </c>
      <c r="M15">
        <v>5412.1607999999997</v>
      </c>
      <c r="N15">
        <v>5520.4040160000004</v>
      </c>
    </row>
    <row r="17" spans="1:15">
      <c r="B17" s="84" t="s">
        <v>69</v>
      </c>
    </row>
    <row r="18" spans="1:15">
      <c r="E18" t="s">
        <v>70</v>
      </c>
      <c r="G18" t="s">
        <v>71</v>
      </c>
      <c r="H18" cm="1">
        <f t="array" ref="H18" xml:space="preserve"> _xlfn.BYROW(_xlfn.ANCHORARRAY( J18), _xleta.SUM )</f>
        <v>23095192.311263997</v>
      </c>
      <c r="J18" cm="1">
        <f t="array" ref="J18:N18">_xlfn.ANCHORARRAY( $J$11) *_xlfn.ANCHORARRAY( $J$15)</f>
        <v>4202400</v>
      </c>
      <c r="K18">
        <v>4415041.4399999995</v>
      </c>
      <c r="L18">
        <v>4638442.5368640004</v>
      </c>
      <c r="M18">
        <v>4870944.72</v>
      </c>
      <c r="N18">
        <v>4968363.6144000003</v>
      </c>
    </row>
    <row r="20" spans="1:15" s="60" customFormat="1">
      <c r="A20" s="61" t="s">
        <v>66</v>
      </c>
    </row>
    <row r="22" spans="1:15">
      <c r="B22" s="84" t="s">
        <v>34</v>
      </c>
    </row>
    <row r="23" spans="1:15">
      <c r="E23" t="str">
        <f>CaseData!C$41</f>
        <v>Start of production - Pyrenees</v>
      </c>
      <c r="F23" s="95">
        <f>YEAR( CaseData!D$41 )</f>
        <v>2022</v>
      </c>
      <c r="G23" t="str">
        <f>CaseData!E$41</f>
        <v>date</v>
      </c>
    </row>
    <row r="24" spans="1:15">
      <c r="E24" t="s">
        <v>67</v>
      </c>
      <c r="G24" t="s">
        <v>35</v>
      </c>
      <c r="H24" cm="1">
        <f t="array" ref="H24" xml:space="preserve"> _xlfn.BYROW(_xlfn.ANCHORARRAY( J24), _xleta.SUM )</f>
        <v>1740.3750000000002</v>
      </c>
      <c r="J24" s="92" cm="1">
        <f t="array" ref="J24:N24" xml:space="preserve"> _xlfn.LET(
      _xlpm.operating_flag,_xlfn.ANCHORARRAY( Time!$J$21),
      _xlpm.first_year_unit_sales, CaseData!$D$38,
      _xlpm.start_of_production_date, YEAR( CaseData!$D$41 ),
      _xlpm.current_year,_xlfn.ANCHORARRAY(Time!$J$14),
      _xlpm.current_scenario, INDEX( production, production_selector ),
      _xlpm.growth_rates, IF( CaseData!$G$42:$K$42 &lt;= _xlpm.start_of_production_date, 0, CaseData!$G$50:$K$52 ),
      _xlpm.compounded_rates, _xlfn.MAKEARRAY( ROWS( _xlpm.growth_rates ), COLUMNS( _xlpm.growth_rates ),
                            _xlfn.LAMBDA(_xlpm.i,_xlpm.j, INDEX( _xlfn.SCAN( 1, INDEX( _xlpm.growth_rates, _xlpm.i, 0 ), _xlfn.LAMBDA(_xlpm.s,_xlpm.c, _xlpm.s * ( 1 + _xlpm.c ) ) ), _xlpm.j ) ) ),
      _xlpm.compounded_rows, CaseData!$C$50:$C$52,
      _xlpm.compounded_columns, CaseData!$F$42:$K$42,
      _xlpm.compounded_table, _xlfn.VSTACK( _xlpm.compounded_columns, _xlfn.HSTACK( _xlpm.compounded_rows, _xlpm.compounded_rates ) ),
      _xlpm.compounded_growth, IF( _xlpm.start_of_production_date = _xlpm.current_year, 1, INDEX( _xlpm.compounded_table, _xlfn.XMATCH( _xlpm.current_scenario, _xlpm.compounded_rows, 0, 1 ) + 1, _xlfn.XMATCH( _xlpm.current_year, _xlpm.compounded_columns, 0, 1 ) ) ),
      _xlpm.operating_flag * _xlpm.first_year_unit_sales * _xlpm.compounded_growth )</f>
        <v>0</v>
      </c>
      <c r="K24" s="92">
        <v>375</v>
      </c>
      <c r="L24" s="92">
        <v>412.50000000000006</v>
      </c>
      <c r="M24" s="92">
        <v>453.75000000000006</v>
      </c>
      <c r="N24" s="92">
        <v>499.12500000000017</v>
      </c>
      <c r="O24" s="92"/>
    </row>
    <row r="25" spans="1:15">
      <c r="J25" s="92"/>
      <c r="K25" s="93"/>
      <c r="L25" s="93"/>
      <c r="M25" s="93"/>
      <c r="N25" s="93"/>
      <c r="O25" s="93"/>
    </row>
    <row r="26" spans="1:15">
      <c r="E26" t="str">
        <f>CaseData!C$40</f>
        <v>Maximum capacity - Pyrenees</v>
      </c>
      <c r="F26" s="77">
        <f>CaseData!D$40</f>
        <v>475</v>
      </c>
      <c r="G26" t="str">
        <f>CaseData!E$40</f>
        <v>units</v>
      </c>
    </row>
    <row r="27" spans="1:15">
      <c r="E27" t="s">
        <v>76</v>
      </c>
      <c r="G27" t="s">
        <v>35</v>
      </c>
      <c r="H27" cm="1">
        <f t="array" ref="H27" xml:space="preserve"> _xlfn.BYROW(_xlfn.ANCHORARRAY( J27), _xleta.SUM )</f>
        <v>1716.25</v>
      </c>
      <c r="J27" s="97" cm="1">
        <f t="array" ref="J27:N27">_xlfn.LET(
     _xlpm.max_capacity, CaseData!$D$40,
     _xlfn.BYCOL(_xlfn.ANCHORARRAY( Production!J24), _xlfn.LAMBDA(_xlpm.d, MIN( _xlpm.max_capacity, _xlpm.d ) ) ) )</f>
        <v>0</v>
      </c>
      <c r="K27" s="92">
        <v>375</v>
      </c>
      <c r="L27" s="92">
        <v>412.50000000000006</v>
      </c>
      <c r="M27" s="92">
        <v>453.75000000000006</v>
      </c>
      <c r="N27" s="92">
        <v>475</v>
      </c>
      <c r="O27" s="93"/>
    </row>
    <row r="28" spans="1:15">
      <c r="J28" s="92"/>
      <c r="K28" s="92"/>
      <c r="L28" s="92"/>
      <c r="M28" s="92"/>
      <c r="N28" s="92"/>
      <c r="O28" s="93"/>
    </row>
    <row r="29" spans="1:15">
      <c r="B29" s="84" t="s">
        <v>68</v>
      </c>
      <c r="J29" s="92"/>
      <c r="K29" s="92"/>
      <c r="L29" s="92"/>
      <c r="M29" s="92"/>
      <c r="N29" s="92"/>
      <c r="O29" s="93"/>
    </row>
    <row r="30" spans="1:15">
      <c r="B30" s="84"/>
      <c r="E30" t="str">
        <f>CaseData!C$39</f>
        <v>First year unit price - Pyrenées</v>
      </c>
      <c r="F30" s="77">
        <f>CaseData!D$39</f>
        <v>7500</v>
      </c>
      <c r="G30" t="str">
        <f>CaseData!E$39</f>
        <v>EUR / unit</v>
      </c>
      <c r="J30" s="92"/>
      <c r="K30" s="92"/>
      <c r="L30" s="92"/>
      <c r="M30" s="92"/>
      <c r="N30" s="92"/>
      <c r="O30" s="93"/>
    </row>
    <row r="31" spans="1:15">
      <c r="B31" s="84"/>
      <c r="E31" t="s">
        <v>78</v>
      </c>
      <c r="G31" t="s">
        <v>36</v>
      </c>
      <c r="J31" s="98" cm="1">
        <f t="array" ref="J31:N31" xml:space="preserve"> _xlfn.LET(
      _xlpm.operating_flag,_xlfn.ANCHORARRAY( Time!$J$21),
      _xlpm.first_year_unit_sales, CaseData!$D$39,
      _xlpm.start_of_production_date, YEAR( CaseData!$D$41 ),
      _xlpm.current_year,_xlfn.ANCHORARRAY(Time!$J$14),
      _xlpm.current_scenario, INDEX( production, production_selector ),
      _xlpm.growth_rates, IF( CaseData!$G$42:$K$42 &lt;= _xlpm.start_of_production_date, 0, CaseData!$G$45:$K$47 ),
      _xlpm.compounded_rates, _xlfn.MAKEARRAY( ROWS( _xlpm.growth_rates ), COLUMNS( _xlpm.growth_rates ),
                            _xlfn.LAMBDA(_xlpm.i,_xlpm.j, INDEX( _xlfn.SCAN( 1, INDEX( _xlpm.growth_rates, _xlpm.i, 0 ), _xlfn.LAMBDA(_xlpm.s,_xlpm.c, _xlpm.s * ( 1 + _xlpm.c ) ) ), _xlpm.j ) ) ),
      _xlpm.compounded_rows, CaseData!$C$50:$C$52,
      _xlpm.compounded_columns, CaseData!$F$42:$K$42,
      _xlpm.compounded_table, _xlfn.VSTACK( _xlpm.compounded_columns, _xlfn.HSTACK( _xlpm.compounded_rows, _xlpm.compounded_rates ) ),
      _xlpm.compounded_growth, IF( _xlpm.start_of_production_date = _xlpm.current_year, 1, INDEX( _xlpm.compounded_table, _xlfn.XMATCH( _xlpm.current_scenario, _xlpm.compounded_rows, 0, 1 ) + 1, _xlfn.XMATCH( _xlpm.current_year, _xlpm.compounded_columns, 0, 1 ) ) ),
      _xlpm.operating_flag * _xlpm.first_year_unit_sales * _xlpm.compounded_growth )</f>
        <v>0</v>
      </c>
      <c r="K31" s="94">
        <v>7500</v>
      </c>
      <c r="L31" s="94">
        <v>7875</v>
      </c>
      <c r="M31" s="94">
        <v>8268.75</v>
      </c>
      <c r="N31" s="94">
        <v>8682.1875000000018</v>
      </c>
      <c r="O31" s="93"/>
    </row>
    <row r="32" spans="1:15">
      <c r="B32" s="84"/>
      <c r="J32" s="92"/>
      <c r="K32" s="92"/>
      <c r="L32" s="110"/>
      <c r="M32" s="92"/>
      <c r="N32" s="92"/>
      <c r="O32" s="93"/>
    </row>
    <row r="33" spans="1:15">
      <c r="B33" s="84" t="s">
        <v>69</v>
      </c>
      <c r="J33" s="92"/>
      <c r="K33" s="92"/>
      <c r="L33" s="92"/>
      <c r="M33" s="92"/>
      <c r="N33" s="92"/>
      <c r="O33" s="93"/>
    </row>
    <row r="34" spans="1:15">
      <c r="E34" t="s">
        <v>79</v>
      </c>
      <c r="G34" t="s">
        <v>71</v>
      </c>
      <c r="H34" cm="1">
        <f t="array" ref="H34" xml:space="preserve"> _xlfn.BYROW(_xlfn.ANCHORARRAY( J34), _xleta.SUM )</f>
        <v>13936921.875</v>
      </c>
      <c r="J34" s="94" cm="1">
        <f t="array" ref="J34:N34">_xlfn.ANCHORARRAY( J27) *_xlfn.ANCHORARRAY( J31)</f>
        <v>0</v>
      </c>
      <c r="K34" s="94">
        <v>2812500</v>
      </c>
      <c r="L34" s="94">
        <v>3248437.5000000005</v>
      </c>
      <c r="M34" s="94">
        <v>3751945.3125000005</v>
      </c>
      <c r="N34" s="94">
        <v>4124039.0625000009</v>
      </c>
      <c r="O34" s="93"/>
    </row>
    <row r="35" spans="1:15">
      <c r="K35" s="93"/>
      <c r="L35" s="93"/>
      <c r="M35" s="93"/>
      <c r="N35" s="93"/>
      <c r="O35" s="93"/>
    </row>
    <row r="36" spans="1:15" s="60" customFormat="1">
      <c r="A36" s="61" t="s">
        <v>80</v>
      </c>
    </row>
    <row r="38" spans="1:15">
      <c r="E38" t="str">
        <f t="shared" ref="E38:G38" si="0">E18</f>
        <v>Alp revenue</v>
      </c>
      <c r="G38" t="str">
        <f t="shared" si="0"/>
        <v>EUR</v>
      </c>
      <c r="H38" cm="1">
        <f t="array" ref="H38" xml:space="preserve"> _xlfn.BYROW(_xlfn.ANCHORARRAY( J38), _xleta.SUM )</f>
        <v>23095192.311263997</v>
      </c>
      <c r="J38" cm="1">
        <f t="array" ref="J38:N38">_xlfn.ANCHORARRAY($J$18)</f>
        <v>4202400</v>
      </c>
      <c r="K38">
        <v>4415041.4399999995</v>
      </c>
      <c r="L38">
        <v>4638442.5368640004</v>
      </c>
      <c r="M38">
        <v>4870944.72</v>
      </c>
      <c r="N38">
        <v>4968363.6144000003</v>
      </c>
    </row>
    <row r="39" spans="1:15">
      <c r="E39" t="s">
        <v>79</v>
      </c>
      <c r="G39" t="s">
        <v>71</v>
      </c>
      <c r="H39" cm="1">
        <f t="array" ref="H39" xml:space="preserve"> _xlfn.BYROW(_xlfn.ANCHORARRAY( J39), _xleta.SUM )</f>
        <v>13936921.875</v>
      </c>
      <c r="J39" cm="1">
        <f t="array" ref="J39:N39">_xlfn.ANCHORARRAY($J$34)</f>
        <v>0</v>
      </c>
      <c r="K39">
        <v>2812500</v>
      </c>
      <c r="L39">
        <v>3248437.5000000005</v>
      </c>
      <c r="M39">
        <v>3751945.3125000005</v>
      </c>
      <c r="N39">
        <v>4124039.0625000009</v>
      </c>
    </row>
    <row r="40" spans="1:15">
      <c r="E40" t="s">
        <v>80</v>
      </c>
      <c r="G40" t="s">
        <v>71</v>
      </c>
      <c r="H40" cm="1">
        <f t="array" ref="H40" xml:space="preserve"> _xlfn.BYROW(_xlfn.ANCHORARRAY( J40), _xleta.SUM )</f>
        <v>37032114.186264001</v>
      </c>
      <c r="J40" cm="1">
        <f t="array" ref="J40:N40" xml:space="preserve"> _xlfn.BYCOL(_xlfn.ANCHORARRAY( $J$38):_xlfn.ANCHORARRAY($J$39), _xlfn.LAMBDA(_xlpm.c, SUM( _xlpm.c ) ) )</f>
        <v>4202400</v>
      </c>
      <c r="K40">
        <v>7227541.4399999995</v>
      </c>
      <c r="L40">
        <v>7886880.0368640013</v>
      </c>
      <c r="M40">
        <v>8622890.0325000007</v>
      </c>
      <c r="N40">
        <v>9092402.6769000012</v>
      </c>
    </row>
    <row r="42" spans="1:15" s="60" customFormat="1">
      <c r="A42" s="61" t="s">
        <v>23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4" name="Drop Down 3">
              <controlPr defaultSize="0" autoLine="0" autoPict="0">
                <anchor moveWithCells="1">
                  <from>
                    <xdr:col>4</xdr:col>
                    <xdr:colOff>2956560</xdr:colOff>
                    <xdr:row>1</xdr:row>
                    <xdr:rowOff>137160</xdr:rowOff>
                  </from>
                  <to>
                    <xdr:col>6</xdr:col>
                    <xdr:colOff>30480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ED26595-2775-4061-A9CA-DCD6601A0907}">
            <xm:f>NOT( ISBLANK(Time!J$13))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J1:S3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4E8C-FDCF-488C-927D-BBCEAE4F6ADA}">
  <sheetPr codeName="Sheet5"/>
  <dimension ref="A1:N41"/>
  <sheetViews>
    <sheetView zoomScale="85" zoomScaleNormal="85" workbookViewId="0">
      <pane xSplit="9" ySplit="3" topLeftCell="J9" activePane="bottomRight" state="frozen"/>
      <selection pane="topRight" activeCell="J1" sqref="J1"/>
      <selection pane="bottomLeft" activeCell="A4" sqref="A4"/>
      <selection pane="bottomRight" activeCell="F33" sqref="F33:F35"/>
    </sheetView>
  </sheetViews>
  <sheetFormatPr defaultRowHeight="13.8"/>
  <cols>
    <col min="1" max="1" width="1.69921875" customWidth="1"/>
    <col min="2" max="4" width="1.59765625" customWidth="1"/>
    <col min="5" max="5" width="36.69921875" customWidth="1"/>
    <col min="6" max="8" width="11.5" customWidth="1"/>
    <col min="9" max="9" width="1.59765625" customWidth="1"/>
    <col min="10" max="19" width="11.69921875" customWidth="1"/>
  </cols>
  <sheetData>
    <row r="1" spans="1:14" s="80" customFormat="1">
      <c r="A1" s="59" t="str">
        <f>company</f>
        <v>Domestique Rides Inc.</v>
      </c>
      <c r="B1" s="59"/>
      <c r="C1" s="59"/>
      <c r="D1" s="59"/>
      <c r="E1" s="59"/>
      <c r="F1" s="59"/>
      <c r="G1" s="59"/>
      <c r="H1" s="59"/>
      <c r="I1" s="59"/>
    </row>
    <row r="2" spans="1:14" s="80" customFormat="1">
      <c r="A2" s="59" t="str" cm="1">
        <f t="array" ref="A2">topic</f>
        <v>CFM Topic: Revenue</v>
      </c>
      <c r="B2" s="59"/>
      <c r="C2" s="59"/>
      <c r="D2" s="59"/>
      <c r="E2" s="59"/>
      <c r="F2" s="59"/>
      <c r="G2" s="59"/>
      <c r="H2" s="59"/>
      <c r="I2" s="59"/>
      <c r="J2" s="83" cm="1">
        <f t="array" ref="J2:N2">_xlfn.ANCHORARRAY(J12)</f>
        <v>44197</v>
      </c>
      <c r="K2" s="83">
        <v>44562</v>
      </c>
      <c r="L2" s="83">
        <v>44927</v>
      </c>
      <c r="M2" s="83">
        <v>45292</v>
      </c>
      <c r="N2" s="83">
        <v>45658</v>
      </c>
    </row>
    <row r="3" spans="1:14" s="80" customFormat="1">
      <c r="A3" s="59" t="s">
        <v>41</v>
      </c>
      <c r="B3" s="59"/>
      <c r="C3" s="59"/>
      <c r="D3" s="59"/>
      <c r="E3" s="59"/>
      <c r="F3" s="59" t="s">
        <v>25</v>
      </c>
      <c r="G3" s="59" t="s">
        <v>26</v>
      </c>
      <c r="H3" s="59" t="s">
        <v>27</v>
      </c>
      <c r="I3" s="59"/>
      <c r="J3" s="83" cm="1">
        <f t="array" ref="J3:N3">_xlfn.ANCHORARRAY(J13)</f>
        <v>44561</v>
      </c>
      <c r="K3" s="83">
        <v>44926</v>
      </c>
      <c r="L3" s="83">
        <v>45291</v>
      </c>
      <c r="M3" s="83">
        <v>45657</v>
      </c>
      <c r="N3" s="83">
        <v>46022</v>
      </c>
    </row>
    <row r="5" spans="1:14" s="60" customFormat="1">
      <c r="A5" s="61" t="s">
        <v>31</v>
      </c>
    </row>
    <row r="7" spans="1:14">
      <c r="E7" t="s">
        <v>32</v>
      </c>
      <c r="F7" s="78">
        <f>ModelStartDate</f>
        <v>44197</v>
      </c>
      <c r="G7" t="s">
        <v>28</v>
      </c>
    </row>
    <row r="8" spans="1:14">
      <c r="E8" t="s">
        <v>30</v>
      </c>
      <c r="F8" s="77">
        <f>periods</f>
        <v>5</v>
      </c>
      <c r="G8" t="s">
        <v>29</v>
      </c>
    </row>
    <row r="9" spans="1:14">
      <c r="E9" t="s">
        <v>45</v>
      </c>
      <c r="F9" s="77"/>
      <c r="G9" t="s">
        <v>46</v>
      </c>
      <c r="J9" cm="1">
        <f t="array" ref="J9:N9" xml:space="preserve"> _xlfn.SEQUENCE( 1, periods, 1, 1 )</f>
        <v>1</v>
      </c>
      <c r="K9">
        <v>2</v>
      </c>
      <c r="L9">
        <v>3</v>
      </c>
      <c r="M9">
        <v>4</v>
      </c>
      <c r="N9">
        <v>5</v>
      </c>
    </row>
    <row r="10" spans="1:14">
      <c r="F10" s="77"/>
    </row>
    <row r="11" spans="1:14">
      <c r="B11" s="79" t="s">
        <v>33</v>
      </c>
    </row>
    <row r="12" spans="1:14">
      <c r="E12" s="99" t="s">
        <v>42</v>
      </c>
      <c r="F12" s="99"/>
      <c r="G12" s="99" t="s">
        <v>28</v>
      </c>
      <c r="H12" s="99"/>
      <c r="I12" s="99"/>
      <c r="J12" s="100" cm="1">
        <f t="array" ref="J12:N12" xml:space="preserve"> EDATE( ModelStartDate, _xlfn.SEQUENCE( 1, periods, 0, 12  ) )</f>
        <v>44197</v>
      </c>
      <c r="K12" s="100">
        <v>44562</v>
      </c>
      <c r="L12" s="100">
        <v>44927</v>
      </c>
      <c r="M12" s="100">
        <v>45292</v>
      </c>
      <c r="N12" s="100">
        <v>45658</v>
      </c>
    </row>
    <row r="13" spans="1:14">
      <c r="E13" s="99" t="s">
        <v>43</v>
      </c>
      <c r="F13" s="99"/>
      <c r="G13" s="99" t="s">
        <v>28</v>
      </c>
      <c r="H13" s="99"/>
      <c r="I13" s="99"/>
      <c r="J13" s="100" cm="1">
        <f t="array" ref="J13:N13">_xlfn.BYCOL(_xlfn.ANCHORARRAY( J12), _xlfn.LAMBDA(_xlpm.d, EOMONTH( _xlpm.d,  11 )))</f>
        <v>44561</v>
      </c>
      <c r="K13" s="100">
        <v>44926</v>
      </c>
      <c r="L13" s="100">
        <v>45291</v>
      </c>
      <c r="M13" s="100">
        <v>45657</v>
      </c>
      <c r="N13" s="100">
        <v>46022</v>
      </c>
    </row>
    <row r="14" spans="1:14">
      <c r="E14" t="s">
        <v>65</v>
      </c>
      <c r="G14" t="s">
        <v>29</v>
      </c>
      <c r="J14" s="92" cm="1">
        <f t="array" ref="J14:N14" xml:space="preserve"> YEAR(_xlfn.ANCHORARRAY( J13) )</f>
        <v>2021</v>
      </c>
      <c r="K14" s="92">
        <v>2022</v>
      </c>
      <c r="L14" s="92">
        <v>2023</v>
      </c>
      <c r="M14" s="92">
        <v>2024</v>
      </c>
      <c r="N14" s="92">
        <v>2025</v>
      </c>
    </row>
    <row r="15" spans="1:14">
      <c r="E15" t="s">
        <v>47</v>
      </c>
      <c r="G15" t="s">
        <v>48</v>
      </c>
      <c r="J15" cm="1">
        <f t="array" ref="J15:N15">_xlfn.ANCHORARRAY( J13) -_xlfn.ANCHORARRAY( J12) + 1</f>
        <v>365</v>
      </c>
      <c r="K15">
        <v>365</v>
      </c>
      <c r="L15">
        <v>365</v>
      </c>
      <c r="M15">
        <v>366</v>
      </c>
      <c r="N15">
        <v>365</v>
      </c>
    </row>
    <row r="17" spans="2:14">
      <c r="B17" s="79" t="s">
        <v>44</v>
      </c>
    </row>
    <row r="18" spans="2:14">
      <c r="E18" t="s">
        <v>49</v>
      </c>
      <c r="G18" t="s">
        <v>50</v>
      </c>
      <c r="J18" cm="1">
        <f t="array" ref="J18:N18">IF( NOT( ISBLANK(_xlfn.ANCHORARRAY( J9) ) ), 1, 0 )</f>
        <v>1</v>
      </c>
      <c r="K18">
        <v>1</v>
      </c>
      <c r="L18">
        <v>1</v>
      </c>
      <c r="M18">
        <v>1</v>
      </c>
      <c r="N18">
        <v>1</v>
      </c>
    </row>
    <row r="20" spans="2:14">
      <c r="E20" t="str">
        <f>CaseData!C$41</f>
        <v>Start of production - Pyrenees</v>
      </c>
      <c r="F20" s="82">
        <f>CaseData!D$41</f>
        <v>44562</v>
      </c>
      <c r="G20" t="str">
        <f>CaseData!E$41</f>
        <v>date</v>
      </c>
    </row>
    <row r="21" spans="2:14">
      <c r="E21" t="s">
        <v>54</v>
      </c>
      <c r="G21" t="s">
        <v>50</v>
      </c>
      <c r="J21" cm="1">
        <f t="array" ref="J21:N21" xml:space="preserve"> IF( $F$20 &lt;=_xlfn.ANCHORARRAY( J12), 1, 0 )</f>
        <v>0</v>
      </c>
      <c r="K21">
        <v>1</v>
      </c>
      <c r="L21">
        <v>1</v>
      </c>
      <c r="M21">
        <v>1</v>
      </c>
      <c r="N21">
        <v>1</v>
      </c>
    </row>
    <row r="23" spans="2:14">
      <c r="B23" s="79" t="s">
        <v>82</v>
      </c>
    </row>
    <row r="24" spans="2:14">
      <c r="E24" t="s">
        <v>82</v>
      </c>
      <c r="G24" t="s">
        <v>50</v>
      </c>
      <c r="J24" cm="1">
        <f t="array" ref="J24:N24">IF( NOT( ISBLANK(_xlfn.ANCHORARRAY( J15) ) ), 1, 0 )</f>
        <v>1</v>
      </c>
      <c r="K24">
        <v>1</v>
      </c>
      <c r="L24">
        <v>1</v>
      </c>
      <c r="M24">
        <v>1</v>
      </c>
      <c r="N24">
        <v>1</v>
      </c>
    </row>
    <row r="26" spans="2:14">
      <c r="B26" s="79" t="s">
        <v>58</v>
      </c>
    </row>
    <row r="27" spans="2:14">
      <c r="D27" s="84"/>
    </row>
    <row r="28" spans="2:14">
      <c r="E28" t="s">
        <v>59</v>
      </c>
      <c r="F28" s="85" t="s">
        <v>16</v>
      </c>
    </row>
    <row r="29" spans="2:14">
      <c r="F29" s="85" t="s">
        <v>17</v>
      </c>
    </row>
    <row r="30" spans="2:14">
      <c r="F30" s="85" t="s">
        <v>18</v>
      </c>
    </row>
    <row r="31" spans="2:14">
      <c r="E31" t="s">
        <v>60</v>
      </c>
      <c r="F31" s="86">
        <v>1</v>
      </c>
    </row>
    <row r="33" spans="1:6">
      <c r="E33" t="s">
        <v>61</v>
      </c>
      <c r="F33" s="85" t="s">
        <v>16</v>
      </c>
    </row>
    <row r="34" spans="1:6">
      <c r="F34" s="85" t="s">
        <v>17</v>
      </c>
    </row>
    <row r="35" spans="1:6">
      <c r="F35" s="85" t="s">
        <v>18</v>
      </c>
    </row>
    <row r="36" spans="1:6">
      <c r="E36" t="s">
        <v>62</v>
      </c>
      <c r="F36" s="87">
        <v>1</v>
      </c>
    </row>
    <row r="41" spans="1:6" s="60" customFormat="1">
      <c r="A41" s="61" t="s">
        <v>23</v>
      </c>
    </row>
  </sheetData>
  <conditionalFormatting sqref="J1:XFD3">
    <cfRule type="expression" dxfId="0" priority="1">
      <formula>NOT( ISBLANK(J$13))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92A0-CB7C-4E5F-A638-63D9F80B97EC}">
  <sheetPr codeName="Sheet6">
    <tabColor rgb="FFFFFF00"/>
  </sheetPr>
  <dimension ref="B2:W1332"/>
  <sheetViews>
    <sheetView showGridLines="0" tabSelected="1" topLeftCell="A41" zoomScaleNormal="100" workbookViewId="0">
      <selection activeCell="D41" sqref="D41"/>
    </sheetView>
  </sheetViews>
  <sheetFormatPr defaultColWidth="8.69921875" defaultRowHeight="13.8"/>
  <cols>
    <col min="1" max="1" width="2.5" style="1" customWidth="1"/>
    <col min="2" max="2" width="1.69921875" style="1" customWidth="1"/>
    <col min="3" max="3" width="20.69921875" style="1" customWidth="1"/>
    <col min="4" max="11" width="11.5" style="1" customWidth="1"/>
    <col min="12" max="12" width="1.69921875" style="1" customWidth="1"/>
    <col min="13" max="13" width="8.69921875" style="1"/>
    <col min="14" max="17" width="16.8984375" style="1" customWidth="1"/>
    <col min="18" max="16384" width="8.69921875" style="1"/>
  </cols>
  <sheetData>
    <row r="2" spans="2:23" ht="28.2" customHeight="1">
      <c r="B2" s="2" t="s">
        <v>0</v>
      </c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 t="s">
        <v>69</v>
      </c>
    </row>
    <row r="4" spans="2:23">
      <c r="B4" s="5" t="s">
        <v>1</v>
      </c>
      <c r="C4" s="3"/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</row>
    <row r="6" spans="2:23">
      <c r="B6" s="6" t="s">
        <v>2</v>
      </c>
      <c r="C6" s="7"/>
      <c r="D6" s="7"/>
      <c r="E6" s="8"/>
      <c r="G6" s="66" t="s">
        <v>51</v>
      </c>
      <c r="H6" s="10"/>
      <c r="I6" s="10"/>
      <c r="J6" s="67"/>
      <c r="K6"/>
      <c r="N6" s="9" t="s">
        <v>3</v>
      </c>
      <c r="O6" s="10"/>
      <c r="P6" s="10"/>
      <c r="Q6" s="11"/>
    </row>
    <row r="7" spans="2:23">
      <c r="B7" s="12"/>
      <c r="C7" s="13"/>
      <c r="D7" s="14" t="s">
        <v>4</v>
      </c>
      <c r="E7" s="15" t="s">
        <v>5</v>
      </c>
      <c r="G7" s="19"/>
      <c r="J7" s="69"/>
      <c r="K7"/>
      <c r="N7" s="16" t="s">
        <v>6</v>
      </c>
      <c r="O7" s="17" t="s">
        <v>7</v>
      </c>
      <c r="P7" s="17" t="s">
        <v>5</v>
      </c>
      <c r="Q7" s="18" t="s">
        <v>8</v>
      </c>
      <c r="S7" t="str" cm="1">
        <f t="array" ref="S7:W14">_xlfn.LET(
     _xlpm.c,CaseData!N8:N1331,
     _xlpm.pl,CaseData!P8:P1331,
     _xlpm.fx,CaseData!Q8:Q1331,
     _xlpm.pe,_xlpm.pl/_xlpm.fx,
     _xlpm.u,_xlfn._xlws.SORT(_xlfn.UNIQUE(_xlfn.HSTACK(_xlpm.c,_xlpm.pl,_xlpm.pe)),{1,2},{1,-1}),
     _xlpm.cu,INDEX(_xlpm.u,,1),
     _xlpm.plu,INDEX(_xlpm.u,,2),
     _xlpm.peu,INDEX(_xlpm.u,,3),
     _xlpm.cnt,_xlfn.MAP(_xlpm.cu,_xlpm.plu,_xlfn.LAMBDA(_xlpm.x,_xlpm.y,SUMPRODUCT((_xlpm.c=_xlpm.x)*(_xlpm.pl=_xlpm.y)))),
     _xlpm.sm,_xlfn.MAP(_xlpm.cu,_xlpm.peu,_xlfn.LAMBDA(_xlpm.x,_xlpm.y,SUMPRODUCT((_xlpm.c=_xlpm.x)*(_xlpm.pe=_xlpm.y)*_xlpm.pe))),
     _xlfn.VSTACK( _xlfn.HSTACK( "Client","Price (Local)","Number of subscriptions","Price (EUR)","Sum (EUR)" ), _xlfn.HSTACK( _xlpm.cu, _xlpm.plu, _xlpm.cnt, _xlpm.peu, _xlpm.sm ), _xlfn.HSTACK( "Grand Total","","",SUM( _xlpm.cnt ),SUM( _xlpm.sm ) ) ) )</f>
        <v>Client</v>
      </c>
      <c r="T7" s="1" t="str">
        <v>Price (Local)</v>
      </c>
      <c r="U7" s="1" t="str">
        <v>Number of subscriptions</v>
      </c>
      <c r="V7" s="1" t="str">
        <v>Price (EUR)</v>
      </c>
      <c r="W7" s="1" t="str">
        <v>Sum (EUR)</v>
      </c>
    </row>
    <row r="8" spans="2:23">
      <c r="B8" s="19"/>
      <c r="C8" s="20">
        <v>0</v>
      </c>
      <c r="D8" s="21">
        <f>C9-1</f>
        <v>250</v>
      </c>
      <c r="E8" s="22">
        <v>150</v>
      </c>
      <c r="G8" s="65" t="s">
        <v>40</v>
      </c>
      <c r="H8" s="76">
        <v>44197</v>
      </c>
      <c r="I8" s="50" t="s">
        <v>28</v>
      </c>
      <c r="J8" s="71"/>
      <c r="K8"/>
      <c r="N8" s="23" t="s">
        <v>9</v>
      </c>
      <c r="O8" s="24">
        <v>5195760</v>
      </c>
      <c r="P8" s="25">
        <v>150</v>
      </c>
      <c r="Q8" s="26">
        <v>1</v>
      </c>
      <c r="S8" s="1" t="str">
        <v>Client #1</v>
      </c>
      <c r="T8" s="1">
        <v>150</v>
      </c>
      <c r="U8" s="1">
        <v>250</v>
      </c>
      <c r="V8" s="1">
        <v>120</v>
      </c>
      <c r="W8" s="1">
        <v>30000</v>
      </c>
    </row>
    <row r="9" spans="2:23">
      <c r="B9" s="19"/>
      <c r="C9" s="20">
        <v>251</v>
      </c>
      <c r="D9" s="27">
        <f t="shared" ref="D9:D11" si="0">C10-1</f>
        <v>500</v>
      </c>
      <c r="E9" s="28">
        <v>140</v>
      </c>
      <c r="G9" s="65" t="s">
        <v>30</v>
      </c>
      <c r="H9" s="63">
        <v>5</v>
      </c>
      <c r="I9" s="50" t="s">
        <v>29</v>
      </c>
      <c r="J9" s="71"/>
      <c r="K9"/>
      <c r="N9" s="23" t="s">
        <v>9</v>
      </c>
      <c r="O9" s="24">
        <v>4015428</v>
      </c>
      <c r="P9" s="25">
        <v>140</v>
      </c>
      <c r="Q9" s="26">
        <v>1</v>
      </c>
      <c r="S9" s="1" t="str">
        <v>Client #1</v>
      </c>
      <c r="T9" s="1">
        <v>140</v>
      </c>
      <c r="U9" s="1">
        <v>200</v>
      </c>
      <c r="V9" s="1">
        <v>112</v>
      </c>
      <c r="W9" s="1">
        <v>22400</v>
      </c>
    </row>
    <row r="10" spans="2:23">
      <c r="B10" s="19"/>
      <c r="C10" s="20">
        <v>501</v>
      </c>
      <c r="D10" s="27">
        <f t="shared" si="0"/>
        <v>750</v>
      </c>
      <c r="E10" s="28">
        <v>130</v>
      </c>
      <c r="G10" s="70"/>
      <c r="H10" s="68"/>
      <c r="I10" s="68"/>
      <c r="J10" s="71"/>
      <c r="K10"/>
      <c r="N10" s="23" t="s">
        <v>9</v>
      </c>
      <c r="O10" s="24">
        <v>6288858</v>
      </c>
      <c r="P10" s="25">
        <v>140</v>
      </c>
      <c r="Q10" s="26">
        <v>1</v>
      </c>
      <c r="S10" s="1" t="str">
        <v>Client #2</v>
      </c>
      <c r="T10" s="1">
        <v>150</v>
      </c>
      <c r="U10" s="1">
        <v>250</v>
      </c>
      <c r="V10" s="1">
        <v>150</v>
      </c>
      <c r="W10" s="1">
        <v>37500</v>
      </c>
    </row>
    <row r="11" spans="2:23">
      <c r="B11" s="19"/>
      <c r="C11" s="20">
        <v>751</v>
      </c>
      <c r="D11" s="27">
        <f t="shared" si="0"/>
        <v>1000</v>
      </c>
      <c r="E11" s="28">
        <v>120</v>
      </c>
      <c r="G11" s="90" t="s">
        <v>63</v>
      </c>
      <c r="H11" s="88"/>
      <c r="I11" s="91" t="s">
        <v>64</v>
      </c>
      <c r="J11" s="89"/>
      <c r="K11"/>
      <c r="N11" s="23" t="s">
        <v>9</v>
      </c>
      <c r="O11" s="24">
        <v>5970638</v>
      </c>
      <c r="P11" s="25">
        <v>130</v>
      </c>
      <c r="Q11" s="26">
        <v>1</v>
      </c>
      <c r="S11" s="1" t="str">
        <v>Client #2</v>
      </c>
      <c r="T11" s="1">
        <v>140</v>
      </c>
      <c r="U11" s="1">
        <v>250</v>
      </c>
      <c r="V11" s="1">
        <v>140</v>
      </c>
      <c r="W11" s="1">
        <v>35000</v>
      </c>
    </row>
    <row r="12" spans="2:23">
      <c r="B12" s="19"/>
      <c r="C12" s="20">
        <v>1001</v>
      </c>
      <c r="D12" s="29" t="s">
        <v>10</v>
      </c>
      <c r="E12" s="28">
        <v>110</v>
      </c>
      <c r="G12" s="75"/>
      <c r="H12" s="68"/>
      <c r="I12" s="68"/>
      <c r="J12" s="71"/>
      <c r="K12"/>
      <c r="N12" s="23" t="s">
        <v>11</v>
      </c>
      <c r="O12" s="24">
        <v>6677359</v>
      </c>
      <c r="P12" s="25">
        <v>150</v>
      </c>
      <c r="Q12" s="26">
        <v>1.25</v>
      </c>
      <c r="S12" s="1" t="str">
        <v>Client #2</v>
      </c>
      <c r="T12" s="1">
        <v>130</v>
      </c>
      <c r="U12" s="1">
        <v>250</v>
      </c>
      <c r="V12" s="1">
        <v>130</v>
      </c>
      <c r="W12" s="1">
        <v>32500</v>
      </c>
    </row>
    <row r="13" spans="2:23">
      <c r="B13" s="30"/>
      <c r="C13" s="31"/>
      <c r="D13" s="32"/>
      <c r="E13" s="33"/>
      <c r="G13" s="72"/>
      <c r="H13" s="73"/>
      <c r="I13" s="73"/>
      <c r="J13" s="74"/>
      <c r="K13"/>
      <c r="N13" s="23" t="s">
        <v>11</v>
      </c>
      <c r="O13" s="24">
        <v>7996896</v>
      </c>
      <c r="P13" s="25">
        <v>150</v>
      </c>
      <c r="Q13" s="26">
        <v>1.25</v>
      </c>
      <c r="S13" s="1" t="str">
        <v>Client #2</v>
      </c>
      <c r="T13" s="1">
        <v>120</v>
      </c>
      <c r="U13" s="1">
        <v>124</v>
      </c>
      <c r="V13" s="1">
        <v>120</v>
      </c>
      <c r="W13" s="1">
        <v>14880</v>
      </c>
    </row>
    <row r="14" spans="2:23">
      <c r="N14" s="23" t="s">
        <v>11</v>
      </c>
      <c r="O14" s="24">
        <v>9523830</v>
      </c>
      <c r="P14" s="25">
        <v>140</v>
      </c>
      <c r="Q14" s="26">
        <v>1.25</v>
      </c>
      <c r="S14" s="1" t="str">
        <v>Grand Total</v>
      </c>
      <c r="T14" s="1" t="str">
        <v/>
      </c>
      <c r="U14" s="1" t="str">
        <v/>
      </c>
      <c r="V14" s="1">
        <v>1324</v>
      </c>
      <c r="W14" s="1">
        <v>172280</v>
      </c>
    </row>
    <row r="15" spans="2:23">
      <c r="B15" s="5" t="s">
        <v>12</v>
      </c>
      <c r="C15" s="3"/>
      <c r="D15" s="3"/>
      <c r="E15" s="3"/>
      <c r="F15" s="3"/>
      <c r="G15" s="3"/>
      <c r="H15" s="4"/>
      <c r="I15" s="4"/>
      <c r="J15" s="4"/>
      <c r="K15" s="4"/>
      <c r="L15" s="34"/>
      <c r="N15" s="23" t="s">
        <v>11</v>
      </c>
      <c r="O15" s="24">
        <v>9041668</v>
      </c>
      <c r="P15" s="25">
        <v>140</v>
      </c>
      <c r="Q15" s="26">
        <v>1.25</v>
      </c>
    </row>
    <row r="16" spans="2:23">
      <c r="N16" s="23" t="s">
        <v>9</v>
      </c>
      <c r="O16" s="24">
        <v>5902110</v>
      </c>
      <c r="P16" s="25">
        <v>130</v>
      </c>
      <c r="Q16" s="26">
        <v>1</v>
      </c>
    </row>
    <row r="17" spans="2:17">
      <c r="B17" s="35" t="s">
        <v>13</v>
      </c>
      <c r="C17" s="36"/>
      <c r="D17" s="36"/>
      <c r="E17" s="36"/>
      <c r="F17" s="36"/>
      <c r="G17" s="36"/>
      <c r="H17" s="37"/>
      <c r="I17" s="37"/>
      <c r="J17" s="37"/>
      <c r="K17" s="37"/>
      <c r="L17" s="38"/>
      <c r="N17" s="23" t="s">
        <v>9</v>
      </c>
      <c r="O17" s="24">
        <v>7740826</v>
      </c>
      <c r="P17" s="25">
        <v>150</v>
      </c>
      <c r="Q17" s="26">
        <v>1</v>
      </c>
    </row>
    <row r="18" spans="2:17">
      <c r="B18" s="12"/>
      <c r="C18" s="39"/>
      <c r="D18" s="39"/>
      <c r="E18" s="39"/>
      <c r="F18" s="39"/>
      <c r="G18" s="39"/>
      <c r="H18" s="39"/>
      <c r="I18" s="39"/>
      <c r="J18" s="39"/>
      <c r="K18" s="39"/>
      <c r="L18" s="40"/>
      <c r="N18" s="23" t="s">
        <v>9</v>
      </c>
      <c r="O18" s="24">
        <v>3169246</v>
      </c>
      <c r="P18" s="25">
        <v>120</v>
      </c>
      <c r="Q18" s="26">
        <v>1</v>
      </c>
    </row>
    <row r="19" spans="2:17">
      <c r="B19" s="19"/>
      <c r="C19" s="50" t="s">
        <v>73</v>
      </c>
      <c r="D19" s="63">
        <v>800</v>
      </c>
      <c r="E19" s="50" t="s">
        <v>35</v>
      </c>
      <c r="L19" s="43"/>
      <c r="N19" s="23" t="s">
        <v>9</v>
      </c>
      <c r="O19" s="24">
        <v>3507520</v>
      </c>
      <c r="P19" s="25">
        <v>130</v>
      </c>
      <c r="Q19" s="26">
        <v>1</v>
      </c>
    </row>
    <row r="20" spans="2:17">
      <c r="B20" s="19"/>
      <c r="C20" s="50" t="s">
        <v>72</v>
      </c>
      <c r="D20" s="64">
        <v>5000</v>
      </c>
      <c r="E20" s="50" t="s">
        <v>36</v>
      </c>
      <c r="L20" s="43"/>
      <c r="N20" s="23" t="s">
        <v>9</v>
      </c>
      <c r="O20" s="24">
        <v>4093772</v>
      </c>
      <c r="P20" s="25">
        <v>150</v>
      </c>
      <c r="Q20" s="26">
        <v>1</v>
      </c>
    </row>
    <row r="21" spans="2:17">
      <c r="B21" s="65"/>
      <c r="C21" s="50" t="s">
        <v>37</v>
      </c>
      <c r="D21" s="62">
        <v>900</v>
      </c>
      <c r="E21" s="50" t="s">
        <v>35</v>
      </c>
      <c r="L21" s="43"/>
      <c r="N21" s="23" t="s">
        <v>9</v>
      </c>
      <c r="O21" s="24">
        <v>5198881</v>
      </c>
      <c r="P21" s="25">
        <v>140</v>
      </c>
      <c r="Q21" s="26">
        <v>1</v>
      </c>
    </row>
    <row r="22" spans="2:17">
      <c r="B22" s="19"/>
      <c r="G22" s="41" t="s">
        <v>14</v>
      </c>
      <c r="H22" s="42"/>
      <c r="I22" s="42"/>
      <c r="J22" s="42"/>
      <c r="K22" s="42"/>
      <c r="L22" s="43"/>
      <c r="N22" s="23" t="s">
        <v>9</v>
      </c>
      <c r="O22" s="24">
        <v>7554664</v>
      </c>
      <c r="P22" s="25">
        <v>130</v>
      </c>
      <c r="Q22" s="26">
        <v>1</v>
      </c>
    </row>
    <row r="23" spans="2:17">
      <c r="B23" s="19"/>
      <c r="C23" s="44"/>
      <c r="F23" s="45">
        <v>2020</v>
      </c>
      <c r="G23" s="46">
        <v>2021</v>
      </c>
      <c r="H23" s="47">
        <v>2022</v>
      </c>
      <c r="I23" s="47">
        <v>2023</v>
      </c>
      <c r="J23" s="47">
        <v>2024</v>
      </c>
      <c r="K23" s="47">
        <v>2025</v>
      </c>
      <c r="L23" s="43"/>
      <c r="N23" s="23" t="s">
        <v>9</v>
      </c>
      <c r="O23" s="24">
        <v>3557630</v>
      </c>
      <c r="P23" s="25">
        <v>130</v>
      </c>
      <c r="Q23" s="26">
        <v>1</v>
      </c>
    </row>
    <row r="24" spans="2:17">
      <c r="B24" s="19"/>
      <c r="C24" s="48"/>
      <c r="G24" s="49"/>
      <c r="H24" s="45"/>
      <c r="I24" s="45"/>
      <c r="J24" s="45"/>
      <c r="K24" s="45"/>
      <c r="L24" s="43"/>
      <c r="N24" s="23" t="s">
        <v>9</v>
      </c>
      <c r="O24" s="24">
        <v>3131810</v>
      </c>
      <c r="P24" s="25">
        <v>120</v>
      </c>
      <c r="Q24" s="26">
        <v>1</v>
      </c>
    </row>
    <row r="25" spans="2:17">
      <c r="B25" s="19"/>
      <c r="C25" s="57" t="s">
        <v>15</v>
      </c>
      <c r="G25" s="58"/>
      <c r="H25" s="58"/>
      <c r="I25" s="58"/>
      <c r="J25" s="58"/>
      <c r="K25" s="58"/>
      <c r="L25" s="43"/>
      <c r="N25" s="23" t="s">
        <v>11</v>
      </c>
      <c r="O25" s="24">
        <v>8917986</v>
      </c>
      <c r="P25" s="25">
        <v>150</v>
      </c>
      <c r="Q25" s="26">
        <v>1.25</v>
      </c>
    </row>
    <row r="26" spans="2:17">
      <c r="B26" s="19"/>
      <c r="C26" s="50" t="s">
        <v>16</v>
      </c>
      <c r="G26" s="51">
        <v>0.02</v>
      </c>
      <c r="H26" s="51">
        <v>0.02</v>
      </c>
      <c r="I26" s="51">
        <v>0.02</v>
      </c>
      <c r="J26" s="51">
        <v>0.02</v>
      </c>
      <c r="K26" s="51">
        <v>0.02</v>
      </c>
      <c r="L26" s="43"/>
      <c r="N26" s="23" t="s">
        <v>11</v>
      </c>
      <c r="O26" s="24">
        <v>6804324</v>
      </c>
      <c r="P26" s="25">
        <v>140</v>
      </c>
      <c r="Q26" s="26">
        <v>1.25</v>
      </c>
    </row>
    <row r="27" spans="2:17">
      <c r="B27" s="19"/>
      <c r="C27" s="50" t="s">
        <v>17</v>
      </c>
      <c r="G27" s="51">
        <v>3.5000000000000003E-2</v>
      </c>
      <c r="H27" s="51">
        <v>3.5000000000000003E-2</v>
      </c>
      <c r="I27" s="51">
        <v>3.5000000000000003E-2</v>
      </c>
      <c r="J27" s="51">
        <v>3.5000000000000003E-2</v>
      </c>
      <c r="K27" s="51">
        <v>3.5000000000000003E-2</v>
      </c>
      <c r="L27" s="43"/>
      <c r="N27" s="23" t="s">
        <v>11</v>
      </c>
      <c r="O27" s="24">
        <v>6607306</v>
      </c>
      <c r="P27" s="25">
        <v>150</v>
      </c>
      <c r="Q27" s="26">
        <v>1.25</v>
      </c>
    </row>
    <row r="28" spans="2:17">
      <c r="B28" s="19"/>
      <c r="C28" s="50" t="s">
        <v>18</v>
      </c>
      <c r="G28" s="51">
        <v>5.0000000000000001E-3</v>
      </c>
      <c r="H28" s="51">
        <v>5.0000000000000001E-3</v>
      </c>
      <c r="I28" s="51">
        <v>5.0000000000000001E-3</v>
      </c>
      <c r="J28" s="51">
        <v>5.0000000000000001E-3</v>
      </c>
      <c r="K28" s="51">
        <v>5.0000000000000001E-3</v>
      </c>
      <c r="L28" s="43"/>
      <c r="N28" s="23" t="s">
        <v>9</v>
      </c>
      <c r="O28" s="24">
        <v>5106781</v>
      </c>
      <c r="P28" s="25">
        <v>150</v>
      </c>
      <c r="Q28" s="26">
        <v>1</v>
      </c>
    </row>
    <row r="29" spans="2:17">
      <c r="B29" s="19"/>
      <c r="C29" s="50"/>
      <c r="G29" s="52"/>
      <c r="H29" s="52"/>
      <c r="I29" s="52"/>
      <c r="J29" s="52"/>
      <c r="K29" s="52"/>
      <c r="L29" s="43"/>
      <c r="N29" s="23" t="s">
        <v>9</v>
      </c>
      <c r="O29" s="24">
        <v>1538441</v>
      </c>
      <c r="P29" s="25">
        <v>150</v>
      </c>
      <c r="Q29" s="26">
        <v>1</v>
      </c>
    </row>
    <row r="30" spans="2:17">
      <c r="B30" s="19"/>
      <c r="C30" s="57" t="s">
        <v>19</v>
      </c>
      <c r="G30" s="58"/>
      <c r="H30" s="58"/>
      <c r="I30" s="58"/>
      <c r="J30" s="58"/>
      <c r="K30" s="58"/>
      <c r="L30" s="43"/>
      <c r="N30" s="23" t="s">
        <v>11</v>
      </c>
      <c r="O30" s="24">
        <v>9288908</v>
      </c>
      <c r="P30" s="25">
        <v>150</v>
      </c>
      <c r="Q30" s="26">
        <v>1.25</v>
      </c>
    </row>
    <row r="31" spans="2:17">
      <c r="B31" s="19"/>
      <c r="C31" s="50" t="s">
        <v>16</v>
      </c>
      <c r="G31" s="51">
        <v>0.03</v>
      </c>
      <c r="H31" s="51">
        <v>0.03</v>
      </c>
      <c r="I31" s="51">
        <v>0.03</v>
      </c>
      <c r="J31" s="51">
        <v>0.03</v>
      </c>
      <c r="K31" s="51">
        <v>0.03</v>
      </c>
      <c r="L31" s="43"/>
      <c r="N31" s="23" t="s">
        <v>11</v>
      </c>
      <c r="O31" s="24">
        <v>6390626</v>
      </c>
      <c r="P31" s="25">
        <v>150</v>
      </c>
      <c r="Q31" s="26">
        <v>1.25</v>
      </c>
    </row>
    <row r="32" spans="2:17">
      <c r="B32" s="19"/>
      <c r="C32" s="50" t="s">
        <v>17</v>
      </c>
      <c r="G32" s="51">
        <v>0.04</v>
      </c>
      <c r="H32" s="51">
        <v>0.04</v>
      </c>
      <c r="I32" s="51">
        <v>0.04</v>
      </c>
      <c r="J32" s="51">
        <v>0.04</v>
      </c>
      <c r="K32" s="51">
        <v>0.04</v>
      </c>
      <c r="L32" s="43"/>
      <c r="N32" s="23" t="s">
        <v>11</v>
      </c>
      <c r="O32" s="24">
        <v>4541935</v>
      </c>
      <c r="P32" s="25">
        <v>150</v>
      </c>
      <c r="Q32" s="26">
        <v>1.25</v>
      </c>
    </row>
    <row r="33" spans="2:17">
      <c r="B33" s="19"/>
      <c r="C33" s="50" t="s">
        <v>18</v>
      </c>
      <c r="G33" s="51">
        <v>0.02</v>
      </c>
      <c r="H33" s="51">
        <v>0.02</v>
      </c>
      <c r="I33" s="51">
        <v>0.02</v>
      </c>
      <c r="J33" s="51">
        <v>0.02</v>
      </c>
      <c r="K33" s="51">
        <v>0.02</v>
      </c>
      <c r="L33" s="43"/>
      <c r="N33" s="23" t="s">
        <v>11</v>
      </c>
      <c r="O33" s="24">
        <v>7246752</v>
      </c>
      <c r="P33" s="25">
        <v>150</v>
      </c>
      <c r="Q33" s="26">
        <v>1.25</v>
      </c>
    </row>
    <row r="34" spans="2:17">
      <c r="B34" s="53"/>
      <c r="C34" s="54"/>
      <c r="D34" s="55"/>
      <c r="E34" s="55"/>
      <c r="F34" s="55"/>
      <c r="G34" s="55"/>
      <c r="H34" s="56"/>
      <c r="I34" s="56"/>
      <c r="J34" s="56"/>
      <c r="K34" s="56"/>
      <c r="L34" s="33"/>
      <c r="N34" s="23" t="s">
        <v>9</v>
      </c>
      <c r="O34" s="24">
        <v>5858008</v>
      </c>
      <c r="P34" s="25">
        <v>140</v>
      </c>
      <c r="Q34" s="26">
        <v>1</v>
      </c>
    </row>
    <row r="35" spans="2:17">
      <c r="N35" s="23" t="s">
        <v>9</v>
      </c>
      <c r="O35" s="24">
        <v>1801470</v>
      </c>
      <c r="P35" s="25">
        <v>150</v>
      </c>
      <c r="Q35" s="26">
        <v>1</v>
      </c>
    </row>
    <row r="36" spans="2:17">
      <c r="B36" s="35" t="s">
        <v>38</v>
      </c>
      <c r="C36" s="36"/>
      <c r="D36" s="36"/>
      <c r="E36" s="36"/>
      <c r="F36" s="36"/>
      <c r="G36" s="36"/>
      <c r="H36" s="37"/>
      <c r="I36" s="37"/>
      <c r="J36" s="37"/>
      <c r="K36" s="37"/>
      <c r="L36" s="38"/>
      <c r="N36" s="23" t="s">
        <v>9</v>
      </c>
      <c r="O36" s="24">
        <v>1948394</v>
      </c>
      <c r="P36" s="25">
        <v>140</v>
      </c>
      <c r="Q36" s="26">
        <v>1</v>
      </c>
    </row>
    <row r="37" spans="2:17">
      <c r="B37" s="12"/>
      <c r="C37" s="39"/>
      <c r="D37" s="39"/>
      <c r="E37" s="39"/>
      <c r="F37" s="39"/>
      <c r="G37" s="39"/>
      <c r="H37" s="39"/>
      <c r="I37" s="39"/>
      <c r="J37" s="39"/>
      <c r="K37" s="39"/>
      <c r="L37" s="40"/>
      <c r="N37" s="23" t="s">
        <v>9</v>
      </c>
      <c r="O37" s="24">
        <v>1044101</v>
      </c>
      <c r="P37" s="25">
        <v>150</v>
      </c>
      <c r="Q37" s="26">
        <v>1</v>
      </c>
    </row>
    <row r="38" spans="2:17">
      <c r="B38" s="19"/>
      <c r="C38" s="50" t="s">
        <v>39</v>
      </c>
      <c r="D38" s="63">
        <v>375</v>
      </c>
      <c r="E38" s="50" t="s">
        <v>35</v>
      </c>
      <c r="L38" s="43"/>
      <c r="N38" s="23" t="s">
        <v>11</v>
      </c>
      <c r="O38" s="24">
        <v>6774692</v>
      </c>
      <c r="P38" s="25">
        <v>140</v>
      </c>
      <c r="Q38" s="26">
        <v>1.25</v>
      </c>
    </row>
    <row r="39" spans="2:17">
      <c r="B39" s="19"/>
      <c r="C39" s="50" t="s">
        <v>77</v>
      </c>
      <c r="D39" s="64">
        <v>7500</v>
      </c>
      <c r="E39" s="50" t="s">
        <v>36</v>
      </c>
      <c r="L39" s="43"/>
      <c r="N39" s="23" t="s">
        <v>9</v>
      </c>
      <c r="O39" s="24">
        <v>7745323</v>
      </c>
      <c r="P39" s="25">
        <v>130</v>
      </c>
      <c r="Q39" s="26">
        <v>1</v>
      </c>
    </row>
    <row r="40" spans="2:17">
      <c r="B40" s="65"/>
      <c r="C40" s="50" t="s">
        <v>52</v>
      </c>
      <c r="D40" s="81">
        <v>475</v>
      </c>
      <c r="E40" s="50" t="s">
        <v>35</v>
      </c>
      <c r="L40" s="43"/>
      <c r="N40" s="23" t="s">
        <v>11</v>
      </c>
      <c r="O40" s="24">
        <v>9400349</v>
      </c>
      <c r="P40" s="25">
        <v>150</v>
      </c>
      <c r="Q40" s="26">
        <v>1.25</v>
      </c>
    </row>
    <row r="41" spans="2:17">
      <c r="B41" s="19"/>
      <c r="C41" s="50" t="s">
        <v>53</v>
      </c>
      <c r="D41" s="76">
        <v>44562</v>
      </c>
      <c r="E41" s="50" t="s">
        <v>28</v>
      </c>
      <c r="G41" s="41" t="s">
        <v>14</v>
      </c>
      <c r="H41" s="42"/>
      <c r="I41" s="42"/>
      <c r="J41" s="42"/>
      <c r="K41" s="42"/>
      <c r="L41" s="43"/>
      <c r="N41" s="23" t="s">
        <v>9</v>
      </c>
      <c r="O41" s="24">
        <v>6844448</v>
      </c>
      <c r="P41" s="25">
        <v>140</v>
      </c>
      <c r="Q41" s="26">
        <v>1</v>
      </c>
    </row>
    <row r="42" spans="2:17">
      <c r="B42" s="19"/>
      <c r="C42" s="44"/>
      <c r="F42" s="45">
        <v>2020</v>
      </c>
      <c r="G42" s="46">
        <v>2021</v>
      </c>
      <c r="H42" s="47">
        <v>2022</v>
      </c>
      <c r="I42" s="47">
        <v>2023</v>
      </c>
      <c r="J42" s="47">
        <v>2024</v>
      </c>
      <c r="K42" s="47">
        <v>2025</v>
      </c>
      <c r="L42" s="43"/>
      <c r="N42" s="23" t="s">
        <v>9</v>
      </c>
      <c r="O42" s="24">
        <v>3006078</v>
      </c>
      <c r="P42" s="25">
        <v>120</v>
      </c>
      <c r="Q42" s="26">
        <v>1</v>
      </c>
    </row>
    <row r="43" spans="2:17">
      <c r="B43" s="19"/>
      <c r="C43" s="48"/>
      <c r="G43" s="49"/>
      <c r="H43" s="45"/>
      <c r="I43" s="45"/>
      <c r="J43" s="45"/>
      <c r="K43" s="45"/>
      <c r="L43" s="43"/>
      <c r="N43" s="23" t="s">
        <v>11</v>
      </c>
      <c r="O43" s="24">
        <v>1644586</v>
      </c>
      <c r="P43" s="25">
        <v>150</v>
      </c>
      <c r="Q43" s="26">
        <v>1.25</v>
      </c>
    </row>
    <row r="44" spans="2:17">
      <c r="B44" s="19"/>
      <c r="C44" s="57" t="s">
        <v>15</v>
      </c>
      <c r="G44" s="58"/>
      <c r="H44" s="58"/>
      <c r="I44" s="58"/>
      <c r="J44" s="58"/>
      <c r="K44" s="58"/>
      <c r="L44" s="43"/>
      <c r="N44" s="23" t="s">
        <v>9</v>
      </c>
      <c r="O44" s="24">
        <v>5199230</v>
      </c>
      <c r="P44" s="25">
        <v>150</v>
      </c>
      <c r="Q44" s="26">
        <v>1</v>
      </c>
    </row>
    <row r="45" spans="2:17">
      <c r="B45" s="19"/>
      <c r="C45" s="50" t="s">
        <v>16</v>
      </c>
      <c r="G45" s="51">
        <v>0.05</v>
      </c>
      <c r="H45" s="51">
        <v>0.05</v>
      </c>
      <c r="I45" s="51">
        <v>0.05</v>
      </c>
      <c r="J45" s="51">
        <v>0.05</v>
      </c>
      <c r="K45" s="51">
        <v>0.05</v>
      </c>
      <c r="L45" s="43"/>
      <c r="N45" s="23" t="s">
        <v>9</v>
      </c>
      <c r="O45" s="24">
        <v>9280126</v>
      </c>
      <c r="P45" s="25">
        <v>140</v>
      </c>
      <c r="Q45" s="26">
        <v>1</v>
      </c>
    </row>
    <row r="46" spans="2:17">
      <c r="B46" s="19"/>
      <c r="C46" s="50" t="s">
        <v>17</v>
      </c>
      <c r="G46" s="51">
        <v>0.1</v>
      </c>
      <c r="H46" s="51">
        <v>0.1</v>
      </c>
      <c r="I46" s="51">
        <v>0.1</v>
      </c>
      <c r="J46" s="51">
        <v>0.1</v>
      </c>
      <c r="K46" s="51">
        <v>0.1</v>
      </c>
      <c r="L46" s="43"/>
      <c r="N46" s="23" t="s">
        <v>11</v>
      </c>
      <c r="O46" s="24">
        <v>2476423</v>
      </c>
      <c r="P46" s="25">
        <v>150</v>
      </c>
      <c r="Q46" s="26">
        <v>1.25</v>
      </c>
    </row>
    <row r="47" spans="2:17">
      <c r="B47" s="19"/>
      <c r="C47" s="50" t="s">
        <v>18</v>
      </c>
      <c r="G47" s="51">
        <v>0.02</v>
      </c>
      <c r="H47" s="51">
        <v>0.02</v>
      </c>
      <c r="I47" s="51">
        <v>0.02</v>
      </c>
      <c r="J47" s="51">
        <v>0.02</v>
      </c>
      <c r="K47" s="51">
        <v>0.02</v>
      </c>
      <c r="L47" s="43"/>
      <c r="N47" s="23" t="s">
        <v>11</v>
      </c>
      <c r="O47" s="24">
        <v>2859235</v>
      </c>
      <c r="P47" s="25">
        <v>150</v>
      </c>
      <c r="Q47" s="26">
        <v>1.25</v>
      </c>
    </row>
    <row r="48" spans="2:17">
      <c r="B48" s="19"/>
      <c r="C48" s="50"/>
      <c r="G48" s="52"/>
      <c r="H48" s="52"/>
      <c r="I48" s="52"/>
      <c r="J48" s="52"/>
      <c r="K48" s="52"/>
      <c r="L48" s="43"/>
      <c r="N48" s="23" t="s">
        <v>11</v>
      </c>
      <c r="O48" s="24">
        <v>4476400</v>
      </c>
      <c r="P48" s="25">
        <v>140</v>
      </c>
      <c r="Q48" s="26">
        <v>1.25</v>
      </c>
    </row>
    <row r="49" spans="2:17">
      <c r="B49" s="19"/>
      <c r="C49" s="57" t="s">
        <v>19</v>
      </c>
      <c r="G49" s="58"/>
      <c r="H49" s="58"/>
      <c r="I49" s="58"/>
      <c r="J49" s="58"/>
      <c r="K49" s="58"/>
      <c r="L49" s="43"/>
      <c r="N49" s="23" t="s">
        <v>11</v>
      </c>
      <c r="O49" s="24">
        <v>4897806</v>
      </c>
      <c r="P49" s="25">
        <v>140</v>
      </c>
      <c r="Q49" s="26">
        <v>1.25</v>
      </c>
    </row>
    <row r="50" spans="2:17">
      <c r="B50" s="19"/>
      <c r="C50" s="50" t="s">
        <v>16</v>
      </c>
      <c r="G50" s="51">
        <v>0.1</v>
      </c>
      <c r="H50" s="51">
        <v>0.1</v>
      </c>
      <c r="I50" s="51">
        <v>0.1</v>
      </c>
      <c r="J50" s="51">
        <v>0.1</v>
      </c>
      <c r="K50" s="51">
        <v>0.1</v>
      </c>
      <c r="L50" s="43"/>
      <c r="N50" s="23" t="s">
        <v>9</v>
      </c>
      <c r="O50" s="24">
        <v>2203124</v>
      </c>
      <c r="P50" s="25">
        <v>150</v>
      </c>
      <c r="Q50" s="26">
        <v>1</v>
      </c>
    </row>
    <row r="51" spans="2:17">
      <c r="B51" s="19"/>
      <c r="C51" s="50" t="s">
        <v>17</v>
      </c>
      <c r="G51" s="51">
        <v>0.15</v>
      </c>
      <c r="H51" s="51">
        <v>0.15</v>
      </c>
      <c r="I51" s="51">
        <v>0.15</v>
      </c>
      <c r="J51" s="51">
        <v>0.15</v>
      </c>
      <c r="K51" s="51">
        <v>0.15</v>
      </c>
      <c r="L51" s="43"/>
      <c r="N51" s="23" t="s">
        <v>9</v>
      </c>
      <c r="O51" s="24">
        <v>7654441</v>
      </c>
      <c r="P51" s="25">
        <v>130</v>
      </c>
      <c r="Q51" s="26">
        <v>1</v>
      </c>
    </row>
    <row r="52" spans="2:17">
      <c r="B52" s="19"/>
      <c r="C52" s="50" t="s">
        <v>18</v>
      </c>
      <c r="G52" s="51">
        <v>0.05</v>
      </c>
      <c r="H52" s="51">
        <v>0.05</v>
      </c>
      <c r="I52" s="51">
        <v>0.05</v>
      </c>
      <c r="J52" s="51">
        <v>0.05</v>
      </c>
      <c r="K52" s="51">
        <v>0.05</v>
      </c>
      <c r="L52" s="43"/>
      <c r="N52" s="23" t="s">
        <v>9</v>
      </c>
      <c r="O52" s="24">
        <v>5233136</v>
      </c>
      <c r="P52" s="25">
        <v>140</v>
      </c>
      <c r="Q52" s="26">
        <v>1</v>
      </c>
    </row>
    <row r="53" spans="2:17">
      <c r="B53" s="53"/>
      <c r="C53" s="54"/>
      <c r="D53" s="55"/>
      <c r="E53" s="55"/>
      <c r="F53" s="55"/>
      <c r="G53" s="55"/>
      <c r="H53" s="56"/>
      <c r="I53" s="56"/>
      <c r="J53" s="56"/>
      <c r="K53" s="56"/>
      <c r="L53" s="33"/>
      <c r="N53" s="23" t="s">
        <v>9</v>
      </c>
      <c r="O53" s="24">
        <v>3241798</v>
      </c>
      <c r="P53" s="25">
        <v>140</v>
      </c>
      <c r="Q53" s="26">
        <v>1</v>
      </c>
    </row>
    <row r="54" spans="2:17">
      <c r="N54" s="23" t="s">
        <v>9</v>
      </c>
      <c r="O54" s="24">
        <v>5087529</v>
      </c>
      <c r="P54" s="25">
        <v>140</v>
      </c>
      <c r="Q54" s="26">
        <v>1</v>
      </c>
    </row>
    <row r="55" spans="2:17">
      <c r="F55" s="50"/>
      <c r="N55" s="23" t="s">
        <v>9</v>
      </c>
      <c r="O55" s="24">
        <v>3929921</v>
      </c>
      <c r="P55" s="25">
        <v>140</v>
      </c>
      <c r="Q55" s="26">
        <v>1</v>
      </c>
    </row>
    <row r="56" spans="2:17">
      <c r="B56" s="5" t="s">
        <v>20</v>
      </c>
      <c r="C56" s="3"/>
      <c r="D56" s="3"/>
      <c r="E56" s="3"/>
      <c r="F56" s="3"/>
      <c r="G56" s="3"/>
      <c r="H56" s="4"/>
      <c r="I56" s="4"/>
      <c r="J56" s="4"/>
      <c r="K56" s="4"/>
      <c r="L56" s="34"/>
      <c r="N56" s="23" t="s">
        <v>9</v>
      </c>
      <c r="O56" s="24">
        <v>5020718</v>
      </c>
      <c r="P56" s="25">
        <v>140</v>
      </c>
      <c r="Q56" s="26">
        <v>1</v>
      </c>
    </row>
    <row r="57" spans="2:17">
      <c r="B57" s="12"/>
      <c r="C57" s="39"/>
      <c r="D57" s="39"/>
      <c r="E57" s="39"/>
      <c r="F57" s="39"/>
      <c r="G57" s="39"/>
      <c r="H57" s="39"/>
      <c r="I57" s="39"/>
      <c r="J57" s="39"/>
      <c r="K57" s="39"/>
      <c r="L57" s="40"/>
      <c r="N57" s="23" t="s">
        <v>9</v>
      </c>
      <c r="O57" s="24">
        <v>3692534</v>
      </c>
      <c r="P57" s="25">
        <v>130</v>
      </c>
      <c r="Q57" s="26">
        <v>1</v>
      </c>
    </row>
    <row r="58" spans="2:17">
      <c r="B58" s="19"/>
      <c r="C58" s="50" t="s">
        <v>101</v>
      </c>
      <c r="D58" s="111">
        <v>0</v>
      </c>
      <c r="E58" s="50" t="s">
        <v>102</v>
      </c>
      <c r="G58" s="41" t="s">
        <v>14</v>
      </c>
      <c r="H58" s="42"/>
      <c r="I58" s="42"/>
      <c r="J58" s="42"/>
      <c r="K58" s="42"/>
      <c r="L58" s="43"/>
      <c r="N58" s="23" t="s">
        <v>11</v>
      </c>
      <c r="O58" s="24">
        <v>9918646</v>
      </c>
      <c r="P58" s="25">
        <v>150</v>
      </c>
      <c r="Q58" s="26">
        <v>1.25</v>
      </c>
    </row>
    <row r="59" spans="2:17">
      <c r="B59" s="19"/>
      <c r="C59" s="44"/>
      <c r="F59" s="45">
        <v>2020</v>
      </c>
      <c r="G59" s="46">
        <v>2021</v>
      </c>
      <c r="H59" s="47">
        <v>2022</v>
      </c>
      <c r="I59" s="47">
        <v>2023</v>
      </c>
      <c r="J59" s="47">
        <v>2024</v>
      </c>
      <c r="K59" s="47">
        <v>2025</v>
      </c>
      <c r="L59" s="43"/>
      <c r="N59" s="23" t="s">
        <v>9</v>
      </c>
      <c r="O59" s="24">
        <v>1667695</v>
      </c>
      <c r="P59" s="25">
        <v>150</v>
      </c>
      <c r="Q59" s="26">
        <v>1</v>
      </c>
    </row>
    <row r="60" spans="2:17">
      <c r="B60" s="19"/>
      <c r="C60" s="48"/>
      <c r="G60" s="45"/>
      <c r="H60" s="45"/>
      <c r="I60" s="45"/>
      <c r="J60" s="45"/>
      <c r="K60" s="45"/>
      <c r="L60" s="43"/>
      <c r="N60" s="23" t="s">
        <v>9</v>
      </c>
      <c r="O60" s="24">
        <v>6222346</v>
      </c>
      <c r="P60" s="25">
        <v>120</v>
      </c>
      <c r="Q60" s="26">
        <v>1</v>
      </c>
    </row>
    <row r="61" spans="2:17">
      <c r="B61" s="19"/>
      <c r="C61" s="57" t="s">
        <v>21</v>
      </c>
      <c r="G61" s="58"/>
      <c r="H61" s="58"/>
      <c r="I61" s="58"/>
      <c r="J61" s="58"/>
      <c r="K61" s="58"/>
      <c r="L61" s="43"/>
      <c r="N61" s="23" t="s">
        <v>9</v>
      </c>
      <c r="O61" s="24">
        <v>8134508</v>
      </c>
      <c r="P61" s="25">
        <v>130</v>
      </c>
      <c r="Q61" s="26">
        <v>1</v>
      </c>
    </row>
    <row r="62" spans="2:17">
      <c r="B62" s="19"/>
      <c r="C62" s="50" t="s">
        <v>16</v>
      </c>
      <c r="G62" s="51">
        <v>2.5000000000000001E-2</v>
      </c>
      <c r="H62" s="51">
        <v>2.5000000000000001E-2</v>
      </c>
      <c r="I62" s="51">
        <v>3.0000000000000002E-2</v>
      </c>
      <c r="J62" s="51">
        <v>0.04</v>
      </c>
      <c r="K62" s="51">
        <v>0.05</v>
      </c>
      <c r="L62" s="43"/>
      <c r="N62" s="23" t="s">
        <v>9</v>
      </c>
      <c r="O62" s="24">
        <v>3907518</v>
      </c>
      <c r="P62" s="25">
        <v>150</v>
      </c>
      <c r="Q62" s="26">
        <v>1</v>
      </c>
    </row>
    <row r="63" spans="2:17">
      <c r="B63" s="19"/>
      <c r="C63" s="50" t="s">
        <v>17</v>
      </c>
      <c r="G63" s="51">
        <v>0.04</v>
      </c>
      <c r="H63" s="51">
        <v>0.04</v>
      </c>
      <c r="I63" s="51">
        <v>4.4999999999999998E-2</v>
      </c>
      <c r="J63" s="51">
        <v>5.5E-2</v>
      </c>
      <c r="K63" s="51">
        <v>6.5000000000000002E-2</v>
      </c>
      <c r="L63" s="43"/>
      <c r="N63" s="23" t="s">
        <v>9</v>
      </c>
      <c r="O63" s="24">
        <v>4656693</v>
      </c>
      <c r="P63" s="25">
        <v>130</v>
      </c>
      <c r="Q63" s="26">
        <v>1</v>
      </c>
    </row>
    <row r="64" spans="2:17">
      <c r="B64" s="19"/>
      <c r="C64" s="50" t="s">
        <v>18</v>
      </c>
      <c r="G64" s="51">
        <v>0.01</v>
      </c>
      <c r="H64" s="51">
        <v>0.01</v>
      </c>
      <c r="I64" s="51">
        <v>1.4999999999999999E-2</v>
      </c>
      <c r="J64" s="51">
        <v>2.5000000000000001E-2</v>
      </c>
      <c r="K64" s="51">
        <v>3.5000000000000003E-2</v>
      </c>
      <c r="L64" s="43"/>
      <c r="N64" s="23" t="s">
        <v>11</v>
      </c>
      <c r="O64" s="24">
        <v>9158591</v>
      </c>
      <c r="P64" s="25">
        <v>150</v>
      </c>
      <c r="Q64" s="26">
        <v>1.25</v>
      </c>
    </row>
    <row r="65" spans="2:17">
      <c r="B65" s="19"/>
      <c r="C65" s="50"/>
      <c r="G65" s="52"/>
      <c r="H65" s="52"/>
      <c r="I65" s="52"/>
      <c r="J65" s="52"/>
      <c r="K65" s="52"/>
      <c r="L65" s="43"/>
      <c r="N65" s="23" t="s">
        <v>11</v>
      </c>
      <c r="O65" s="24">
        <v>3502475</v>
      </c>
      <c r="P65" s="25">
        <v>140</v>
      </c>
      <c r="Q65" s="26">
        <v>1.25</v>
      </c>
    </row>
    <row r="66" spans="2:17">
      <c r="B66" s="19"/>
      <c r="C66" s="57" t="s">
        <v>22</v>
      </c>
      <c r="G66" s="58"/>
      <c r="H66" s="58"/>
      <c r="I66" s="58"/>
      <c r="J66" s="58"/>
      <c r="K66" s="58"/>
      <c r="L66" s="43"/>
      <c r="N66" s="23" t="s">
        <v>9</v>
      </c>
      <c r="O66" s="24">
        <v>8624351</v>
      </c>
      <c r="P66" s="25">
        <v>140</v>
      </c>
      <c r="Q66" s="26">
        <v>1</v>
      </c>
    </row>
    <row r="67" spans="2:17">
      <c r="B67" s="19"/>
      <c r="C67" s="50" t="s">
        <v>16</v>
      </c>
      <c r="G67" s="51">
        <v>7.4999999999999997E-2</v>
      </c>
      <c r="H67" s="51">
        <v>7.4999999999999997E-2</v>
      </c>
      <c r="I67" s="51">
        <v>7.0000000000000007E-2</v>
      </c>
      <c r="J67" s="51">
        <v>6.0000000000000005E-2</v>
      </c>
      <c r="K67" s="51">
        <v>0.05</v>
      </c>
      <c r="L67" s="43"/>
      <c r="N67" s="23" t="s">
        <v>9</v>
      </c>
      <c r="O67" s="24">
        <v>5126519</v>
      </c>
      <c r="P67" s="25">
        <v>120</v>
      </c>
      <c r="Q67" s="26">
        <v>1</v>
      </c>
    </row>
    <row r="68" spans="2:17">
      <c r="B68" s="19"/>
      <c r="C68" s="50" t="s">
        <v>17</v>
      </c>
      <c r="G68" s="51">
        <v>0.1</v>
      </c>
      <c r="H68" s="51">
        <v>0.1</v>
      </c>
      <c r="I68" s="51">
        <v>9.5000000000000001E-2</v>
      </c>
      <c r="J68" s="51">
        <v>8.5000000000000006E-2</v>
      </c>
      <c r="K68" s="51">
        <v>7.5000000000000011E-2</v>
      </c>
      <c r="L68" s="43"/>
      <c r="N68" s="23" t="s">
        <v>9</v>
      </c>
      <c r="O68" s="24">
        <v>8407130</v>
      </c>
      <c r="P68" s="25">
        <v>150</v>
      </c>
      <c r="Q68" s="26">
        <v>1</v>
      </c>
    </row>
    <row r="69" spans="2:17">
      <c r="B69" s="19"/>
      <c r="C69" s="50" t="s">
        <v>18</v>
      </c>
      <c r="G69" s="51">
        <v>0.05</v>
      </c>
      <c r="H69" s="51">
        <v>0.05</v>
      </c>
      <c r="I69" s="51">
        <v>4.4999999999999998E-2</v>
      </c>
      <c r="J69" s="51">
        <v>3.4999999999999996E-2</v>
      </c>
      <c r="K69" s="51">
        <v>2.4999999999999994E-2</v>
      </c>
      <c r="L69" s="43"/>
      <c r="N69" s="23" t="s">
        <v>9</v>
      </c>
      <c r="O69" s="24">
        <v>7488895</v>
      </c>
      <c r="P69" s="25">
        <v>120</v>
      </c>
      <c r="Q69" s="26">
        <v>1</v>
      </c>
    </row>
    <row r="70" spans="2:17">
      <c r="B70" s="53"/>
      <c r="C70" s="56"/>
      <c r="D70" s="55"/>
      <c r="E70" s="55"/>
      <c r="F70" s="55"/>
      <c r="G70" s="55"/>
      <c r="H70" s="56"/>
      <c r="I70" s="56"/>
      <c r="J70" s="56"/>
      <c r="K70" s="56"/>
      <c r="L70" s="33"/>
      <c r="N70" s="23" t="s">
        <v>9</v>
      </c>
      <c r="O70" s="24">
        <v>7432224</v>
      </c>
      <c r="P70" s="25">
        <v>150</v>
      </c>
      <c r="Q70" s="26">
        <v>1</v>
      </c>
    </row>
    <row r="71" spans="2:17">
      <c r="N71" s="23" t="s">
        <v>9</v>
      </c>
      <c r="O71" s="24">
        <v>6743503</v>
      </c>
      <c r="P71" s="25">
        <v>120</v>
      </c>
      <c r="Q71" s="26">
        <v>1</v>
      </c>
    </row>
    <row r="72" spans="2:17">
      <c r="N72" s="23" t="s">
        <v>9</v>
      </c>
      <c r="O72" s="24">
        <v>9855175</v>
      </c>
      <c r="P72" s="25">
        <v>150</v>
      </c>
      <c r="Q72" s="26">
        <v>1</v>
      </c>
    </row>
    <row r="73" spans="2:17">
      <c r="N73" s="23" t="s">
        <v>9</v>
      </c>
      <c r="O73" s="24">
        <v>3741531</v>
      </c>
      <c r="P73" s="25">
        <v>140</v>
      </c>
      <c r="Q73" s="26">
        <v>1</v>
      </c>
    </row>
    <row r="74" spans="2:17">
      <c r="N74" s="23" t="s">
        <v>9</v>
      </c>
      <c r="O74" s="24">
        <v>7082763</v>
      </c>
      <c r="P74" s="25">
        <v>140</v>
      </c>
      <c r="Q74" s="26">
        <v>1</v>
      </c>
    </row>
    <row r="75" spans="2:17">
      <c r="N75" s="23" t="s">
        <v>9</v>
      </c>
      <c r="O75" s="24">
        <v>6568670</v>
      </c>
      <c r="P75" s="25">
        <v>130</v>
      </c>
      <c r="Q75" s="26">
        <v>1</v>
      </c>
    </row>
    <row r="76" spans="2:17">
      <c r="N76" s="23" t="s">
        <v>9</v>
      </c>
      <c r="O76" s="24">
        <v>7844517</v>
      </c>
      <c r="P76" s="25">
        <v>130</v>
      </c>
      <c r="Q76" s="26">
        <v>1</v>
      </c>
    </row>
    <row r="77" spans="2:17">
      <c r="N77" s="23" t="s">
        <v>9</v>
      </c>
      <c r="O77" s="24">
        <v>6616317</v>
      </c>
      <c r="P77" s="25">
        <v>140</v>
      </c>
      <c r="Q77" s="26">
        <v>1</v>
      </c>
    </row>
    <row r="78" spans="2:17">
      <c r="N78" s="23" t="s">
        <v>9</v>
      </c>
      <c r="O78" s="24">
        <v>6546127</v>
      </c>
      <c r="P78" s="25">
        <v>140</v>
      </c>
      <c r="Q78" s="26">
        <v>1</v>
      </c>
    </row>
    <row r="79" spans="2:17">
      <c r="N79" s="23" t="s">
        <v>11</v>
      </c>
      <c r="O79" s="24">
        <v>7164358</v>
      </c>
      <c r="P79" s="25">
        <v>150</v>
      </c>
      <c r="Q79" s="26">
        <v>1.25</v>
      </c>
    </row>
    <row r="80" spans="2:17">
      <c r="N80" s="23" t="s">
        <v>9</v>
      </c>
      <c r="O80" s="24">
        <v>5368459</v>
      </c>
      <c r="P80" s="25">
        <v>150</v>
      </c>
      <c r="Q80" s="26">
        <v>1</v>
      </c>
    </row>
    <row r="81" spans="14:17">
      <c r="N81" s="23" t="s">
        <v>9</v>
      </c>
      <c r="O81" s="24">
        <v>2400659</v>
      </c>
      <c r="P81" s="25">
        <v>140</v>
      </c>
      <c r="Q81" s="26">
        <v>1</v>
      </c>
    </row>
    <row r="82" spans="14:17">
      <c r="N82" s="23" t="s">
        <v>9</v>
      </c>
      <c r="O82" s="24">
        <v>3208315</v>
      </c>
      <c r="P82" s="25">
        <v>130</v>
      </c>
      <c r="Q82" s="26">
        <v>1</v>
      </c>
    </row>
    <row r="83" spans="14:17">
      <c r="N83" s="23" t="s">
        <v>9</v>
      </c>
      <c r="O83" s="24">
        <v>7149879</v>
      </c>
      <c r="P83" s="25">
        <v>150</v>
      </c>
      <c r="Q83" s="26">
        <v>1</v>
      </c>
    </row>
    <row r="84" spans="14:17">
      <c r="N84" s="23" t="s">
        <v>9</v>
      </c>
      <c r="O84" s="24">
        <v>7870069</v>
      </c>
      <c r="P84" s="25">
        <v>120</v>
      </c>
      <c r="Q84" s="26">
        <v>1</v>
      </c>
    </row>
    <row r="85" spans="14:17">
      <c r="N85" s="23" t="s">
        <v>11</v>
      </c>
      <c r="O85" s="24">
        <v>4329540</v>
      </c>
      <c r="P85" s="25">
        <v>140</v>
      </c>
      <c r="Q85" s="26">
        <v>1.25</v>
      </c>
    </row>
    <row r="86" spans="14:17">
      <c r="N86" s="23" t="s">
        <v>9</v>
      </c>
      <c r="O86" s="24">
        <v>4884177</v>
      </c>
      <c r="P86" s="25">
        <v>140</v>
      </c>
      <c r="Q86" s="26">
        <v>1</v>
      </c>
    </row>
    <row r="87" spans="14:17">
      <c r="N87" s="23" t="s">
        <v>11</v>
      </c>
      <c r="O87" s="24">
        <v>5396061</v>
      </c>
      <c r="P87" s="25">
        <v>150</v>
      </c>
      <c r="Q87" s="26">
        <v>1.25</v>
      </c>
    </row>
    <row r="88" spans="14:17">
      <c r="N88" s="23" t="s">
        <v>9</v>
      </c>
      <c r="O88" s="24">
        <v>1742517</v>
      </c>
      <c r="P88" s="25">
        <v>150</v>
      </c>
      <c r="Q88" s="26">
        <v>1</v>
      </c>
    </row>
    <row r="89" spans="14:17">
      <c r="N89" s="23" t="s">
        <v>11</v>
      </c>
      <c r="O89" s="24">
        <v>6567314</v>
      </c>
      <c r="P89" s="25">
        <v>150</v>
      </c>
      <c r="Q89" s="26">
        <v>1.25</v>
      </c>
    </row>
    <row r="90" spans="14:17">
      <c r="N90" s="23" t="s">
        <v>9</v>
      </c>
      <c r="O90" s="24">
        <v>5431222</v>
      </c>
      <c r="P90" s="25">
        <v>120</v>
      </c>
      <c r="Q90" s="26">
        <v>1</v>
      </c>
    </row>
    <row r="91" spans="14:17">
      <c r="N91" s="23" t="s">
        <v>9</v>
      </c>
      <c r="O91" s="24">
        <v>4477190</v>
      </c>
      <c r="P91" s="25">
        <v>150</v>
      </c>
      <c r="Q91" s="26">
        <v>1</v>
      </c>
    </row>
    <row r="92" spans="14:17">
      <c r="N92" s="23" t="s">
        <v>9</v>
      </c>
      <c r="O92" s="24">
        <v>6301645</v>
      </c>
      <c r="P92" s="25">
        <v>130</v>
      </c>
      <c r="Q92" s="26">
        <v>1</v>
      </c>
    </row>
    <row r="93" spans="14:17">
      <c r="N93" s="23" t="s">
        <v>11</v>
      </c>
      <c r="O93" s="24">
        <v>4182669</v>
      </c>
      <c r="P93" s="25">
        <v>150</v>
      </c>
      <c r="Q93" s="26">
        <v>1.25</v>
      </c>
    </row>
    <row r="94" spans="14:17">
      <c r="N94" s="23" t="s">
        <v>11</v>
      </c>
      <c r="O94" s="24">
        <v>4586237</v>
      </c>
      <c r="P94" s="25">
        <v>150</v>
      </c>
      <c r="Q94" s="26">
        <v>1.25</v>
      </c>
    </row>
    <row r="95" spans="14:17">
      <c r="N95" s="23" t="s">
        <v>11</v>
      </c>
      <c r="O95" s="24">
        <v>2410587</v>
      </c>
      <c r="P95" s="25">
        <v>140</v>
      </c>
      <c r="Q95" s="26">
        <v>1.25</v>
      </c>
    </row>
    <row r="96" spans="14:17">
      <c r="N96" s="23" t="s">
        <v>9</v>
      </c>
      <c r="O96" s="24">
        <v>9768578</v>
      </c>
      <c r="P96" s="25">
        <v>130</v>
      </c>
      <c r="Q96" s="26">
        <v>1</v>
      </c>
    </row>
    <row r="97" spans="14:17">
      <c r="N97" s="23" t="s">
        <v>9</v>
      </c>
      <c r="O97" s="24">
        <v>8540183</v>
      </c>
      <c r="P97" s="25">
        <v>140</v>
      </c>
      <c r="Q97" s="26">
        <v>1</v>
      </c>
    </row>
    <row r="98" spans="14:17">
      <c r="N98" s="23" t="s">
        <v>9</v>
      </c>
      <c r="O98" s="24">
        <v>5510894</v>
      </c>
      <c r="P98" s="25">
        <v>120</v>
      </c>
      <c r="Q98" s="26">
        <v>1</v>
      </c>
    </row>
    <row r="99" spans="14:17">
      <c r="N99" s="23" t="s">
        <v>9</v>
      </c>
      <c r="O99" s="24">
        <v>8871139</v>
      </c>
      <c r="P99" s="25">
        <v>120</v>
      </c>
      <c r="Q99" s="26">
        <v>1</v>
      </c>
    </row>
    <row r="100" spans="14:17">
      <c r="N100" s="23" t="s">
        <v>9</v>
      </c>
      <c r="O100" s="24">
        <v>4451558</v>
      </c>
      <c r="P100" s="25">
        <v>150</v>
      </c>
      <c r="Q100" s="26">
        <v>1</v>
      </c>
    </row>
    <row r="101" spans="14:17">
      <c r="N101" s="23" t="s">
        <v>9</v>
      </c>
      <c r="O101" s="24">
        <v>5609493</v>
      </c>
      <c r="P101" s="25">
        <v>140</v>
      </c>
      <c r="Q101" s="26">
        <v>1</v>
      </c>
    </row>
    <row r="102" spans="14:17">
      <c r="N102" s="23" t="s">
        <v>11</v>
      </c>
      <c r="O102" s="24">
        <v>4638347</v>
      </c>
      <c r="P102" s="25">
        <v>140</v>
      </c>
      <c r="Q102" s="26">
        <v>1.25</v>
      </c>
    </row>
    <row r="103" spans="14:17">
      <c r="N103" s="23" t="s">
        <v>9</v>
      </c>
      <c r="O103" s="24">
        <v>5101297</v>
      </c>
      <c r="P103" s="25">
        <v>150</v>
      </c>
      <c r="Q103" s="26">
        <v>1</v>
      </c>
    </row>
    <row r="104" spans="14:17">
      <c r="N104" s="23" t="s">
        <v>9</v>
      </c>
      <c r="O104" s="24">
        <v>9257828</v>
      </c>
      <c r="P104" s="25">
        <v>130</v>
      </c>
      <c r="Q104" s="26">
        <v>1</v>
      </c>
    </row>
    <row r="105" spans="14:17">
      <c r="N105" s="23" t="s">
        <v>11</v>
      </c>
      <c r="O105" s="24">
        <v>6926033</v>
      </c>
      <c r="P105" s="25">
        <v>140</v>
      </c>
      <c r="Q105" s="26">
        <v>1.25</v>
      </c>
    </row>
    <row r="106" spans="14:17">
      <c r="N106" s="23" t="s">
        <v>9</v>
      </c>
      <c r="O106" s="24">
        <v>1447412</v>
      </c>
      <c r="P106" s="25">
        <v>150</v>
      </c>
      <c r="Q106" s="26">
        <v>1</v>
      </c>
    </row>
    <row r="107" spans="14:17">
      <c r="N107" s="23" t="s">
        <v>9</v>
      </c>
      <c r="O107" s="24">
        <v>7043164</v>
      </c>
      <c r="P107" s="25">
        <v>120</v>
      </c>
      <c r="Q107" s="26">
        <v>1</v>
      </c>
    </row>
    <row r="108" spans="14:17">
      <c r="N108" s="23" t="s">
        <v>11</v>
      </c>
      <c r="O108" s="24">
        <v>4836670</v>
      </c>
      <c r="P108" s="25">
        <v>150</v>
      </c>
      <c r="Q108" s="26">
        <v>1.25</v>
      </c>
    </row>
    <row r="109" spans="14:17">
      <c r="N109" s="23" t="s">
        <v>9</v>
      </c>
      <c r="O109" s="24">
        <v>2865178</v>
      </c>
      <c r="P109" s="25">
        <v>150</v>
      </c>
      <c r="Q109" s="26">
        <v>1</v>
      </c>
    </row>
    <row r="110" spans="14:17">
      <c r="N110" s="23" t="s">
        <v>11</v>
      </c>
      <c r="O110" s="24">
        <v>3614792</v>
      </c>
      <c r="P110" s="25">
        <v>150</v>
      </c>
      <c r="Q110" s="26">
        <v>1.25</v>
      </c>
    </row>
    <row r="111" spans="14:17">
      <c r="N111" s="23" t="s">
        <v>9</v>
      </c>
      <c r="O111" s="24">
        <v>1135835</v>
      </c>
      <c r="P111" s="25">
        <v>150</v>
      </c>
      <c r="Q111" s="26">
        <v>1</v>
      </c>
    </row>
    <row r="112" spans="14:17">
      <c r="N112" s="23" t="s">
        <v>9</v>
      </c>
      <c r="O112" s="24">
        <v>5743127</v>
      </c>
      <c r="P112" s="25">
        <v>150</v>
      </c>
      <c r="Q112" s="26">
        <v>1</v>
      </c>
    </row>
    <row r="113" spans="14:17">
      <c r="N113" s="23" t="s">
        <v>9</v>
      </c>
      <c r="O113" s="24">
        <v>4278434</v>
      </c>
      <c r="P113" s="25">
        <v>150</v>
      </c>
      <c r="Q113" s="26">
        <v>1</v>
      </c>
    </row>
    <row r="114" spans="14:17">
      <c r="N114" s="23" t="s">
        <v>9</v>
      </c>
      <c r="O114" s="24">
        <v>5260737</v>
      </c>
      <c r="P114" s="25">
        <v>140</v>
      </c>
      <c r="Q114" s="26">
        <v>1</v>
      </c>
    </row>
    <row r="115" spans="14:17">
      <c r="N115" s="23" t="s">
        <v>9</v>
      </c>
      <c r="O115" s="24">
        <v>2225677</v>
      </c>
      <c r="P115" s="25">
        <v>150</v>
      </c>
      <c r="Q115" s="26">
        <v>1</v>
      </c>
    </row>
    <row r="116" spans="14:17">
      <c r="N116" s="23" t="s">
        <v>9</v>
      </c>
      <c r="O116" s="24">
        <v>3347181</v>
      </c>
      <c r="P116" s="25">
        <v>130</v>
      </c>
      <c r="Q116" s="26">
        <v>1</v>
      </c>
    </row>
    <row r="117" spans="14:17">
      <c r="N117" s="23" t="s">
        <v>9</v>
      </c>
      <c r="O117" s="24">
        <v>9647605</v>
      </c>
      <c r="P117" s="25">
        <v>120</v>
      </c>
      <c r="Q117" s="26">
        <v>1</v>
      </c>
    </row>
    <row r="118" spans="14:17">
      <c r="N118" s="23" t="s">
        <v>9</v>
      </c>
      <c r="O118" s="24">
        <v>9253134</v>
      </c>
      <c r="P118" s="25">
        <v>140</v>
      </c>
      <c r="Q118" s="26">
        <v>1</v>
      </c>
    </row>
    <row r="119" spans="14:17">
      <c r="N119" s="23" t="s">
        <v>9</v>
      </c>
      <c r="O119" s="24">
        <v>9716225</v>
      </c>
      <c r="P119" s="25">
        <v>130</v>
      </c>
      <c r="Q119" s="26">
        <v>1</v>
      </c>
    </row>
    <row r="120" spans="14:17">
      <c r="N120" s="23" t="s">
        <v>9</v>
      </c>
      <c r="O120" s="24">
        <v>4025951</v>
      </c>
      <c r="P120" s="25">
        <v>130</v>
      </c>
      <c r="Q120" s="26">
        <v>1</v>
      </c>
    </row>
    <row r="121" spans="14:17">
      <c r="N121" s="23" t="s">
        <v>9</v>
      </c>
      <c r="O121" s="24">
        <v>1470800</v>
      </c>
      <c r="P121" s="25">
        <v>130</v>
      </c>
      <c r="Q121" s="26">
        <v>1</v>
      </c>
    </row>
    <row r="122" spans="14:17">
      <c r="N122" s="23" t="s">
        <v>11</v>
      </c>
      <c r="O122" s="24">
        <v>6143845</v>
      </c>
      <c r="P122" s="25">
        <v>150</v>
      </c>
      <c r="Q122" s="26">
        <v>1.25</v>
      </c>
    </row>
    <row r="123" spans="14:17">
      <c r="N123" s="23" t="s">
        <v>9</v>
      </c>
      <c r="O123" s="24">
        <v>7417265</v>
      </c>
      <c r="P123" s="25">
        <v>150</v>
      </c>
      <c r="Q123" s="26">
        <v>1</v>
      </c>
    </row>
    <row r="124" spans="14:17">
      <c r="N124" s="23" t="s">
        <v>9</v>
      </c>
      <c r="O124" s="24">
        <v>5616054</v>
      </c>
      <c r="P124" s="25">
        <v>150</v>
      </c>
      <c r="Q124" s="26">
        <v>1</v>
      </c>
    </row>
    <row r="125" spans="14:17">
      <c r="N125" s="23" t="s">
        <v>11</v>
      </c>
      <c r="O125" s="24">
        <v>1144583</v>
      </c>
      <c r="P125" s="25">
        <v>150</v>
      </c>
      <c r="Q125" s="26">
        <v>1.25</v>
      </c>
    </row>
    <row r="126" spans="14:17">
      <c r="N126" s="23" t="s">
        <v>9</v>
      </c>
      <c r="O126" s="24">
        <v>9119702</v>
      </c>
      <c r="P126" s="25">
        <v>130</v>
      </c>
      <c r="Q126" s="26">
        <v>1</v>
      </c>
    </row>
    <row r="127" spans="14:17">
      <c r="N127" s="23" t="s">
        <v>9</v>
      </c>
      <c r="O127" s="24">
        <v>1945552</v>
      </c>
      <c r="P127" s="25">
        <v>140</v>
      </c>
      <c r="Q127" s="26">
        <v>1</v>
      </c>
    </row>
    <row r="128" spans="14:17">
      <c r="N128" s="23" t="s">
        <v>9</v>
      </c>
      <c r="O128" s="24">
        <v>4386068</v>
      </c>
      <c r="P128" s="25">
        <v>130</v>
      </c>
      <c r="Q128" s="26">
        <v>1</v>
      </c>
    </row>
    <row r="129" spans="14:17">
      <c r="N129" s="23" t="s">
        <v>9</v>
      </c>
      <c r="O129" s="24">
        <v>4700344</v>
      </c>
      <c r="P129" s="25">
        <v>150</v>
      </c>
      <c r="Q129" s="26">
        <v>1</v>
      </c>
    </row>
    <row r="130" spans="14:17">
      <c r="N130" s="23" t="s">
        <v>9</v>
      </c>
      <c r="O130" s="24">
        <v>3974035</v>
      </c>
      <c r="P130" s="25">
        <v>150</v>
      </c>
      <c r="Q130" s="26">
        <v>1</v>
      </c>
    </row>
    <row r="131" spans="14:17">
      <c r="N131" s="23" t="s">
        <v>9</v>
      </c>
      <c r="O131" s="24">
        <v>3564973</v>
      </c>
      <c r="P131" s="25">
        <v>140</v>
      </c>
      <c r="Q131" s="26">
        <v>1</v>
      </c>
    </row>
    <row r="132" spans="14:17">
      <c r="N132" s="23" t="s">
        <v>11</v>
      </c>
      <c r="O132" s="24">
        <v>9744064</v>
      </c>
      <c r="P132" s="25">
        <v>140</v>
      </c>
      <c r="Q132" s="26">
        <v>1.25</v>
      </c>
    </row>
    <row r="133" spans="14:17">
      <c r="N133" s="23" t="s">
        <v>9</v>
      </c>
      <c r="O133" s="24">
        <v>2734520</v>
      </c>
      <c r="P133" s="25">
        <v>140</v>
      </c>
      <c r="Q133" s="26">
        <v>1</v>
      </c>
    </row>
    <row r="134" spans="14:17">
      <c r="N134" s="23" t="s">
        <v>9</v>
      </c>
      <c r="O134" s="24">
        <v>3259850</v>
      </c>
      <c r="P134" s="25">
        <v>130</v>
      </c>
      <c r="Q134" s="26">
        <v>1</v>
      </c>
    </row>
    <row r="135" spans="14:17">
      <c r="N135" s="23" t="s">
        <v>9</v>
      </c>
      <c r="O135" s="24">
        <v>8935527</v>
      </c>
      <c r="P135" s="25">
        <v>130</v>
      </c>
      <c r="Q135" s="26">
        <v>1</v>
      </c>
    </row>
    <row r="136" spans="14:17">
      <c r="N136" s="23" t="s">
        <v>9</v>
      </c>
      <c r="O136" s="24">
        <v>6458747</v>
      </c>
      <c r="P136" s="25">
        <v>150</v>
      </c>
      <c r="Q136" s="26">
        <v>1</v>
      </c>
    </row>
    <row r="137" spans="14:17">
      <c r="N137" s="23" t="s">
        <v>9</v>
      </c>
      <c r="O137" s="24">
        <v>5313869</v>
      </c>
      <c r="P137" s="25">
        <v>140</v>
      </c>
      <c r="Q137" s="26">
        <v>1</v>
      </c>
    </row>
    <row r="138" spans="14:17">
      <c r="N138" s="23" t="s">
        <v>9</v>
      </c>
      <c r="O138" s="24">
        <v>7092246</v>
      </c>
      <c r="P138" s="25">
        <v>120</v>
      </c>
      <c r="Q138" s="26">
        <v>1</v>
      </c>
    </row>
    <row r="139" spans="14:17">
      <c r="N139" s="23" t="s">
        <v>9</v>
      </c>
      <c r="O139" s="24">
        <v>2812292</v>
      </c>
      <c r="P139" s="25">
        <v>130</v>
      </c>
      <c r="Q139" s="26">
        <v>1</v>
      </c>
    </row>
    <row r="140" spans="14:17">
      <c r="N140" s="23" t="s">
        <v>9</v>
      </c>
      <c r="O140" s="24">
        <v>9015738</v>
      </c>
      <c r="P140" s="25">
        <v>120</v>
      </c>
      <c r="Q140" s="26">
        <v>1</v>
      </c>
    </row>
    <row r="141" spans="14:17">
      <c r="N141" s="23" t="s">
        <v>9</v>
      </c>
      <c r="O141" s="24">
        <v>7975001</v>
      </c>
      <c r="P141" s="25">
        <v>150</v>
      </c>
      <c r="Q141" s="26">
        <v>1</v>
      </c>
    </row>
    <row r="142" spans="14:17">
      <c r="N142" s="23" t="s">
        <v>9</v>
      </c>
      <c r="O142" s="24">
        <v>9910541</v>
      </c>
      <c r="P142" s="25">
        <v>120</v>
      </c>
      <c r="Q142" s="26">
        <v>1</v>
      </c>
    </row>
    <row r="143" spans="14:17">
      <c r="N143" s="23" t="s">
        <v>9</v>
      </c>
      <c r="O143" s="24">
        <v>2539153</v>
      </c>
      <c r="P143" s="25">
        <v>140</v>
      </c>
      <c r="Q143" s="26">
        <v>1</v>
      </c>
    </row>
    <row r="144" spans="14:17">
      <c r="N144" s="23" t="s">
        <v>9</v>
      </c>
      <c r="O144" s="24">
        <v>7376867</v>
      </c>
      <c r="P144" s="25">
        <v>150</v>
      </c>
      <c r="Q144" s="26">
        <v>1</v>
      </c>
    </row>
    <row r="145" spans="14:17">
      <c r="N145" s="23" t="s">
        <v>9</v>
      </c>
      <c r="O145" s="24">
        <v>8658679</v>
      </c>
      <c r="P145" s="25">
        <v>130</v>
      </c>
      <c r="Q145" s="26">
        <v>1</v>
      </c>
    </row>
    <row r="146" spans="14:17">
      <c r="N146" s="23" t="s">
        <v>9</v>
      </c>
      <c r="O146" s="24">
        <v>1039290</v>
      </c>
      <c r="P146" s="25">
        <v>150</v>
      </c>
      <c r="Q146" s="26">
        <v>1</v>
      </c>
    </row>
    <row r="147" spans="14:17">
      <c r="N147" s="23" t="s">
        <v>11</v>
      </c>
      <c r="O147" s="24">
        <v>4770302</v>
      </c>
      <c r="P147" s="25">
        <v>140</v>
      </c>
      <c r="Q147" s="26">
        <v>1.25</v>
      </c>
    </row>
    <row r="148" spans="14:17">
      <c r="N148" s="23" t="s">
        <v>9</v>
      </c>
      <c r="O148" s="24">
        <v>9136278</v>
      </c>
      <c r="P148" s="25">
        <v>130</v>
      </c>
      <c r="Q148" s="26">
        <v>1</v>
      </c>
    </row>
    <row r="149" spans="14:17">
      <c r="N149" s="23" t="s">
        <v>9</v>
      </c>
      <c r="O149" s="24">
        <v>5990353</v>
      </c>
      <c r="P149" s="25">
        <v>140</v>
      </c>
      <c r="Q149" s="26">
        <v>1</v>
      </c>
    </row>
    <row r="150" spans="14:17">
      <c r="N150" s="23" t="s">
        <v>11</v>
      </c>
      <c r="O150" s="24">
        <v>4727270</v>
      </c>
      <c r="P150" s="25">
        <v>150</v>
      </c>
      <c r="Q150" s="26">
        <v>1.25</v>
      </c>
    </row>
    <row r="151" spans="14:17">
      <c r="N151" s="23" t="s">
        <v>11</v>
      </c>
      <c r="O151" s="24">
        <v>8372127</v>
      </c>
      <c r="P151" s="25">
        <v>140</v>
      </c>
      <c r="Q151" s="26">
        <v>1.25</v>
      </c>
    </row>
    <row r="152" spans="14:17">
      <c r="N152" s="23" t="s">
        <v>9</v>
      </c>
      <c r="O152" s="24">
        <v>8416230</v>
      </c>
      <c r="P152" s="25">
        <v>120</v>
      </c>
      <c r="Q152" s="26">
        <v>1</v>
      </c>
    </row>
    <row r="153" spans="14:17">
      <c r="N153" s="23" t="s">
        <v>11</v>
      </c>
      <c r="O153" s="24">
        <v>4734418</v>
      </c>
      <c r="P153" s="25">
        <v>150</v>
      </c>
      <c r="Q153" s="26">
        <v>1.25</v>
      </c>
    </row>
    <row r="154" spans="14:17">
      <c r="N154" s="23" t="s">
        <v>9</v>
      </c>
      <c r="O154" s="24">
        <v>2116957</v>
      </c>
      <c r="P154" s="25">
        <v>140</v>
      </c>
      <c r="Q154" s="26">
        <v>1</v>
      </c>
    </row>
    <row r="155" spans="14:17">
      <c r="N155" s="23" t="s">
        <v>9</v>
      </c>
      <c r="O155" s="24">
        <v>8831311</v>
      </c>
      <c r="P155" s="25">
        <v>140</v>
      </c>
      <c r="Q155" s="26">
        <v>1</v>
      </c>
    </row>
    <row r="156" spans="14:17">
      <c r="N156" s="23" t="s">
        <v>9</v>
      </c>
      <c r="O156" s="24">
        <v>4179604</v>
      </c>
      <c r="P156" s="25">
        <v>140</v>
      </c>
      <c r="Q156" s="26">
        <v>1</v>
      </c>
    </row>
    <row r="157" spans="14:17">
      <c r="N157" s="23" t="s">
        <v>9</v>
      </c>
      <c r="O157" s="24">
        <v>4706802</v>
      </c>
      <c r="P157" s="25">
        <v>130</v>
      </c>
      <c r="Q157" s="26">
        <v>1</v>
      </c>
    </row>
    <row r="158" spans="14:17">
      <c r="N158" s="23" t="s">
        <v>11</v>
      </c>
      <c r="O158" s="24">
        <v>3850461</v>
      </c>
      <c r="P158" s="25">
        <v>140</v>
      </c>
      <c r="Q158" s="26">
        <v>1.25</v>
      </c>
    </row>
    <row r="159" spans="14:17">
      <c r="N159" s="23" t="s">
        <v>11</v>
      </c>
      <c r="O159" s="24">
        <v>7405737</v>
      </c>
      <c r="P159" s="25">
        <v>140</v>
      </c>
      <c r="Q159" s="26">
        <v>1.25</v>
      </c>
    </row>
    <row r="160" spans="14:17">
      <c r="N160" s="23" t="s">
        <v>9</v>
      </c>
      <c r="O160" s="24">
        <v>9689413</v>
      </c>
      <c r="P160" s="25">
        <v>150</v>
      </c>
      <c r="Q160" s="26">
        <v>1</v>
      </c>
    </row>
    <row r="161" spans="14:17">
      <c r="N161" s="23" t="s">
        <v>9</v>
      </c>
      <c r="O161" s="24">
        <v>3482842</v>
      </c>
      <c r="P161" s="25">
        <v>130</v>
      </c>
      <c r="Q161" s="26">
        <v>1</v>
      </c>
    </row>
    <row r="162" spans="14:17">
      <c r="N162" s="23" t="s">
        <v>11</v>
      </c>
      <c r="O162" s="24">
        <v>1086527</v>
      </c>
      <c r="P162" s="25">
        <v>140</v>
      </c>
      <c r="Q162" s="26">
        <v>1.25</v>
      </c>
    </row>
    <row r="163" spans="14:17">
      <c r="N163" s="23" t="s">
        <v>9</v>
      </c>
      <c r="O163" s="24">
        <v>3025627</v>
      </c>
      <c r="P163" s="25">
        <v>140</v>
      </c>
      <c r="Q163" s="26">
        <v>1</v>
      </c>
    </row>
    <row r="164" spans="14:17">
      <c r="N164" s="23" t="s">
        <v>9</v>
      </c>
      <c r="O164" s="24">
        <v>8877409</v>
      </c>
      <c r="P164" s="25">
        <v>140</v>
      </c>
      <c r="Q164" s="26">
        <v>1</v>
      </c>
    </row>
    <row r="165" spans="14:17">
      <c r="N165" s="23" t="s">
        <v>9</v>
      </c>
      <c r="O165" s="24">
        <v>9619074</v>
      </c>
      <c r="P165" s="25">
        <v>140</v>
      </c>
      <c r="Q165" s="26">
        <v>1</v>
      </c>
    </row>
    <row r="166" spans="14:17">
      <c r="N166" s="23" t="s">
        <v>11</v>
      </c>
      <c r="O166" s="24">
        <v>6705459</v>
      </c>
      <c r="P166" s="25">
        <v>150</v>
      </c>
      <c r="Q166" s="26">
        <v>1.25</v>
      </c>
    </row>
    <row r="167" spans="14:17">
      <c r="N167" s="23" t="s">
        <v>9</v>
      </c>
      <c r="O167" s="24">
        <v>4166474</v>
      </c>
      <c r="P167" s="25">
        <v>150</v>
      </c>
      <c r="Q167" s="26">
        <v>1</v>
      </c>
    </row>
    <row r="168" spans="14:17">
      <c r="N168" s="23" t="s">
        <v>9</v>
      </c>
      <c r="O168" s="24">
        <v>1423806</v>
      </c>
      <c r="P168" s="25">
        <v>140</v>
      </c>
      <c r="Q168" s="26">
        <v>1</v>
      </c>
    </row>
    <row r="169" spans="14:17">
      <c r="N169" s="23" t="s">
        <v>9</v>
      </c>
      <c r="O169" s="24">
        <v>8158147</v>
      </c>
      <c r="P169" s="25">
        <v>130</v>
      </c>
      <c r="Q169" s="26">
        <v>1</v>
      </c>
    </row>
    <row r="170" spans="14:17">
      <c r="N170" s="23" t="s">
        <v>9</v>
      </c>
      <c r="O170" s="24">
        <v>9446344</v>
      </c>
      <c r="P170" s="25">
        <v>140</v>
      </c>
      <c r="Q170" s="26">
        <v>1</v>
      </c>
    </row>
    <row r="171" spans="14:17">
      <c r="N171" s="23" t="s">
        <v>9</v>
      </c>
      <c r="O171" s="24">
        <v>6330584</v>
      </c>
      <c r="P171" s="25">
        <v>120</v>
      </c>
      <c r="Q171" s="26">
        <v>1</v>
      </c>
    </row>
    <row r="172" spans="14:17">
      <c r="N172" s="23" t="s">
        <v>11</v>
      </c>
      <c r="O172" s="24">
        <v>8959342</v>
      </c>
      <c r="P172" s="25">
        <v>150</v>
      </c>
      <c r="Q172" s="26">
        <v>1.25</v>
      </c>
    </row>
    <row r="173" spans="14:17">
      <c r="N173" s="23" t="s">
        <v>9</v>
      </c>
      <c r="O173" s="24">
        <v>6446583</v>
      </c>
      <c r="P173" s="25">
        <v>140</v>
      </c>
      <c r="Q173" s="26">
        <v>1</v>
      </c>
    </row>
    <row r="174" spans="14:17">
      <c r="N174" s="23" t="s">
        <v>11</v>
      </c>
      <c r="O174" s="24">
        <v>5204626</v>
      </c>
      <c r="P174" s="25">
        <v>140</v>
      </c>
      <c r="Q174" s="26">
        <v>1.25</v>
      </c>
    </row>
    <row r="175" spans="14:17">
      <c r="N175" s="23" t="s">
        <v>9</v>
      </c>
      <c r="O175" s="24">
        <v>4795430</v>
      </c>
      <c r="P175" s="25">
        <v>150</v>
      </c>
      <c r="Q175" s="26">
        <v>1</v>
      </c>
    </row>
    <row r="176" spans="14:17">
      <c r="N176" s="23" t="s">
        <v>9</v>
      </c>
      <c r="O176" s="24">
        <v>1671392</v>
      </c>
      <c r="P176" s="25">
        <v>150</v>
      </c>
      <c r="Q176" s="26">
        <v>1</v>
      </c>
    </row>
    <row r="177" spans="14:17">
      <c r="N177" s="23" t="s">
        <v>11</v>
      </c>
      <c r="O177" s="24">
        <v>9474027</v>
      </c>
      <c r="P177" s="25">
        <v>150</v>
      </c>
      <c r="Q177" s="26">
        <v>1.25</v>
      </c>
    </row>
    <row r="178" spans="14:17">
      <c r="N178" s="23" t="s">
        <v>11</v>
      </c>
      <c r="O178" s="24">
        <v>3769132</v>
      </c>
      <c r="P178" s="25">
        <v>140</v>
      </c>
      <c r="Q178" s="26">
        <v>1.25</v>
      </c>
    </row>
    <row r="179" spans="14:17">
      <c r="N179" s="23" t="s">
        <v>9</v>
      </c>
      <c r="O179" s="24">
        <v>3441353</v>
      </c>
      <c r="P179" s="25">
        <v>150</v>
      </c>
      <c r="Q179" s="26">
        <v>1</v>
      </c>
    </row>
    <row r="180" spans="14:17">
      <c r="N180" s="23" t="s">
        <v>9</v>
      </c>
      <c r="O180" s="24">
        <v>9023873</v>
      </c>
      <c r="P180" s="25">
        <v>150</v>
      </c>
      <c r="Q180" s="26">
        <v>1</v>
      </c>
    </row>
    <row r="181" spans="14:17">
      <c r="N181" s="23" t="s">
        <v>9</v>
      </c>
      <c r="O181" s="24">
        <v>4082958</v>
      </c>
      <c r="P181" s="25">
        <v>140</v>
      </c>
      <c r="Q181" s="26">
        <v>1</v>
      </c>
    </row>
    <row r="182" spans="14:17">
      <c r="N182" s="23" t="s">
        <v>11</v>
      </c>
      <c r="O182" s="24">
        <v>5512716</v>
      </c>
      <c r="P182" s="25">
        <v>140</v>
      </c>
      <c r="Q182" s="26">
        <v>1.25</v>
      </c>
    </row>
    <row r="183" spans="14:17">
      <c r="N183" s="23" t="s">
        <v>9</v>
      </c>
      <c r="O183" s="24">
        <v>4379817</v>
      </c>
      <c r="P183" s="25">
        <v>150</v>
      </c>
      <c r="Q183" s="26">
        <v>1</v>
      </c>
    </row>
    <row r="184" spans="14:17">
      <c r="N184" s="23" t="s">
        <v>9</v>
      </c>
      <c r="O184" s="24">
        <v>2354524</v>
      </c>
      <c r="P184" s="25">
        <v>140</v>
      </c>
      <c r="Q184" s="26">
        <v>1</v>
      </c>
    </row>
    <row r="185" spans="14:17">
      <c r="N185" s="23" t="s">
        <v>9</v>
      </c>
      <c r="O185" s="24">
        <v>9055502</v>
      </c>
      <c r="P185" s="25">
        <v>140</v>
      </c>
      <c r="Q185" s="26">
        <v>1</v>
      </c>
    </row>
    <row r="186" spans="14:17">
      <c r="N186" s="23" t="s">
        <v>9</v>
      </c>
      <c r="O186" s="24">
        <v>8671923</v>
      </c>
      <c r="P186" s="25">
        <v>130</v>
      </c>
      <c r="Q186" s="26">
        <v>1</v>
      </c>
    </row>
    <row r="187" spans="14:17">
      <c r="N187" s="23" t="s">
        <v>9</v>
      </c>
      <c r="O187" s="24">
        <v>3617539</v>
      </c>
      <c r="P187" s="25">
        <v>130</v>
      </c>
      <c r="Q187" s="26">
        <v>1</v>
      </c>
    </row>
    <row r="188" spans="14:17">
      <c r="N188" s="23" t="s">
        <v>11</v>
      </c>
      <c r="O188" s="24">
        <v>2661135</v>
      </c>
      <c r="P188" s="25">
        <v>150</v>
      </c>
      <c r="Q188" s="26">
        <v>1.25</v>
      </c>
    </row>
    <row r="189" spans="14:17">
      <c r="N189" s="23" t="s">
        <v>11</v>
      </c>
      <c r="O189" s="24">
        <v>9446865</v>
      </c>
      <c r="P189" s="25">
        <v>150</v>
      </c>
      <c r="Q189" s="26">
        <v>1.25</v>
      </c>
    </row>
    <row r="190" spans="14:17">
      <c r="N190" s="23" t="s">
        <v>11</v>
      </c>
      <c r="O190" s="24">
        <v>6251920</v>
      </c>
      <c r="P190" s="25">
        <v>150</v>
      </c>
      <c r="Q190" s="26">
        <v>1.25</v>
      </c>
    </row>
    <row r="191" spans="14:17">
      <c r="N191" s="23" t="s">
        <v>9</v>
      </c>
      <c r="O191" s="24">
        <v>5976858</v>
      </c>
      <c r="P191" s="25">
        <v>130</v>
      </c>
      <c r="Q191" s="26">
        <v>1</v>
      </c>
    </row>
    <row r="192" spans="14:17">
      <c r="N192" s="23" t="s">
        <v>9</v>
      </c>
      <c r="O192" s="24">
        <v>5497981</v>
      </c>
      <c r="P192" s="25">
        <v>120</v>
      </c>
      <c r="Q192" s="26">
        <v>1</v>
      </c>
    </row>
    <row r="193" spans="14:17">
      <c r="N193" s="23" t="s">
        <v>9</v>
      </c>
      <c r="O193" s="24">
        <v>8326500</v>
      </c>
      <c r="P193" s="25">
        <v>130</v>
      </c>
      <c r="Q193" s="26">
        <v>1</v>
      </c>
    </row>
    <row r="194" spans="14:17">
      <c r="N194" s="23" t="s">
        <v>9</v>
      </c>
      <c r="O194" s="24">
        <v>6139370</v>
      </c>
      <c r="P194" s="25">
        <v>140</v>
      </c>
      <c r="Q194" s="26">
        <v>1</v>
      </c>
    </row>
    <row r="195" spans="14:17">
      <c r="N195" s="23" t="s">
        <v>11</v>
      </c>
      <c r="O195" s="24">
        <v>1643335</v>
      </c>
      <c r="P195" s="25">
        <v>140</v>
      </c>
      <c r="Q195" s="26">
        <v>1.25</v>
      </c>
    </row>
    <row r="196" spans="14:17">
      <c r="N196" s="23" t="s">
        <v>11</v>
      </c>
      <c r="O196" s="24">
        <v>2032963</v>
      </c>
      <c r="P196" s="25">
        <v>140</v>
      </c>
      <c r="Q196" s="26">
        <v>1.25</v>
      </c>
    </row>
    <row r="197" spans="14:17">
      <c r="N197" s="23" t="s">
        <v>9</v>
      </c>
      <c r="O197" s="24">
        <v>3690666</v>
      </c>
      <c r="P197" s="25">
        <v>150</v>
      </c>
      <c r="Q197" s="26">
        <v>1</v>
      </c>
    </row>
    <row r="198" spans="14:17">
      <c r="N198" s="23" t="s">
        <v>9</v>
      </c>
      <c r="O198" s="24">
        <v>6383255</v>
      </c>
      <c r="P198" s="25">
        <v>120</v>
      </c>
      <c r="Q198" s="26">
        <v>1</v>
      </c>
    </row>
    <row r="199" spans="14:17">
      <c r="N199" s="23" t="s">
        <v>9</v>
      </c>
      <c r="O199" s="24">
        <v>8263933</v>
      </c>
      <c r="P199" s="25">
        <v>140</v>
      </c>
      <c r="Q199" s="26">
        <v>1</v>
      </c>
    </row>
    <row r="200" spans="14:17">
      <c r="N200" s="23" t="s">
        <v>9</v>
      </c>
      <c r="O200" s="24">
        <v>7000420</v>
      </c>
      <c r="P200" s="25">
        <v>150</v>
      </c>
      <c r="Q200" s="26">
        <v>1</v>
      </c>
    </row>
    <row r="201" spans="14:17">
      <c r="N201" s="23" t="s">
        <v>9</v>
      </c>
      <c r="O201" s="24">
        <v>2013826</v>
      </c>
      <c r="P201" s="25">
        <v>140</v>
      </c>
      <c r="Q201" s="26">
        <v>1</v>
      </c>
    </row>
    <row r="202" spans="14:17">
      <c r="N202" s="23" t="s">
        <v>11</v>
      </c>
      <c r="O202" s="24">
        <v>7807713</v>
      </c>
      <c r="P202" s="25">
        <v>140</v>
      </c>
      <c r="Q202" s="26">
        <v>1.25</v>
      </c>
    </row>
    <row r="203" spans="14:17">
      <c r="N203" s="23" t="s">
        <v>9</v>
      </c>
      <c r="O203" s="24">
        <v>4186296</v>
      </c>
      <c r="P203" s="25">
        <v>150</v>
      </c>
      <c r="Q203" s="26">
        <v>1</v>
      </c>
    </row>
    <row r="204" spans="14:17">
      <c r="N204" s="23" t="s">
        <v>11</v>
      </c>
      <c r="O204" s="24">
        <v>2447018</v>
      </c>
      <c r="P204" s="25">
        <v>150</v>
      </c>
      <c r="Q204" s="26">
        <v>1.25</v>
      </c>
    </row>
    <row r="205" spans="14:17">
      <c r="N205" s="23" t="s">
        <v>9</v>
      </c>
      <c r="O205" s="24">
        <v>1737639</v>
      </c>
      <c r="P205" s="25">
        <v>140</v>
      </c>
      <c r="Q205" s="26">
        <v>1</v>
      </c>
    </row>
    <row r="206" spans="14:17">
      <c r="N206" s="23" t="s">
        <v>9</v>
      </c>
      <c r="O206" s="24">
        <v>6519127</v>
      </c>
      <c r="P206" s="25">
        <v>140</v>
      </c>
      <c r="Q206" s="26">
        <v>1</v>
      </c>
    </row>
    <row r="207" spans="14:17">
      <c r="N207" s="23" t="s">
        <v>11</v>
      </c>
      <c r="O207" s="24">
        <v>1779486</v>
      </c>
      <c r="P207" s="25">
        <v>140</v>
      </c>
      <c r="Q207" s="26">
        <v>1.25</v>
      </c>
    </row>
    <row r="208" spans="14:17">
      <c r="N208" s="23" t="s">
        <v>11</v>
      </c>
      <c r="O208" s="24">
        <v>5724055</v>
      </c>
      <c r="P208" s="25">
        <v>150</v>
      </c>
      <c r="Q208" s="26">
        <v>1.25</v>
      </c>
    </row>
    <row r="209" spans="14:17">
      <c r="N209" s="23" t="s">
        <v>9</v>
      </c>
      <c r="O209" s="24">
        <v>5488385</v>
      </c>
      <c r="P209" s="25">
        <v>130</v>
      </c>
      <c r="Q209" s="26">
        <v>1</v>
      </c>
    </row>
    <row r="210" spans="14:17">
      <c r="N210" s="23" t="s">
        <v>9</v>
      </c>
      <c r="O210" s="24">
        <v>6703698</v>
      </c>
      <c r="P210" s="25">
        <v>130</v>
      </c>
      <c r="Q210" s="26">
        <v>1</v>
      </c>
    </row>
    <row r="211" spans="14:17">
      <c r="N211" s="23" t="s">
        <v>9</v>
      </c>
      <c r="O211" s="24">
        <v>5274136</v>
      </c>
      <c r="P211" s="25">
        <v>140</v>
      </c>
      <c r="Q211" s="26">
        <v>1</v>
      </c>
    </row>
    <row r="212" spans="14:17">
      <c r="N212" s="23" t="s">
        <v>9</v>
      </c>
      <c r="O212" s="24">
        <v>2904873</v>
      </c>
      <c r="P212" s="25">
        <v>140</v>
      </c>
      <c r="Q212" s="26">
        <v>1</v>
      </c>
    </row>
    <row r="213" spans="14:17">
      <c r="N213" s="23" t="s">
        <v>11</v>
      </c>
      <c r="O213" s="24">
        <v>3586138</v>
      </c>
      <c r="P213" s="25">
        <v>140</v>
      </c>
      <c r="Q213" s="26">
        <v>1.25</v>
      </c>
    </row>
    <row r="214" spans="14:17">
      <c r="N214" s="23" t="s">
        <v>11</v>
      </c>
      <c r="O214" s="24">
        <v>9103920</v>
      </c>
      <c r="P214" s="25">
        <v>150</v>
      </c>
      <c r="Q214" s="26">
        <v>1.25</v>
      </c>
    </row>
    <row r="215" spans="14:17">
      <c r="N215" s="23" t="s">
        <v>9</v>
      </c>
      <c r="O215" s="24">
        <v>3618796</v>
      </c>
      <c r="P215" s="25">
        <v>120</v>
      </c>
      <c r="Q215" s="26">
        <v>1</v>
      </c>
    </row>
    <row r="216" spans="14:17">
      <c r="N216" s="23" t="s">
        <v>11</v>
      </c>
      <c r="O216" s="24">
        <v>4840411</v>
      </c>
      <c r="P216" s="25">
        <v>150</v>
      </c>
      <c r="Q216" s="26">
        <v>1.25</v>
      </c>
    </row>
    <row r="217" spans="14:17">
      <c r="N217" s="23" t="s">
        <v>9</v>
      </c>
      <c r="O217" s="24">
        <v>6434765</v>
      </c>
      <c r="P217" s="25">
        <v>150</v>
      </c>
      <c r="Q217" s="26">
        <v>1</v>
      </c>
    </row>
    <row r="218" spans="14:17">
      <c r="N218" s="23" t="s">
        <v>9</v>
      </c>
      <c r="O218" s="24">
        <v>4209331</v>
      </c>
      <c r="P218" s="25">
        <v>150</v>
      </c>
      <c r="Q218" s="26">
        <v>1</v>
      </c>
    </row>
    <row r="219" spans="14:17">
      <c r="N219" s="23" t="s">
        <v>9</v>
      </c>
      <c r="O219" s="24">
        <v>1588133</v>
      </c>
      <c r="P219" s="25">
        <v>130</v>
      </c>
      <c r="Q219" s="26">
        <v>1</v>
      </c>
    </row>
    <row r="220" spans="14:17">
      <c r="N220" s="23" t="s">
        <v>9</v>
      </c>
      <c r="O220" s="24">
        <v>7646692</v>
      </c>
      <c r="P220" s="25">
        <v>130</v>
      </c>
      <c r="Q220" s="26">
        <v>1</v>
      </c>
    </row>
    <row r="221" spans="14:17">
      <c r="N221" s="23" t="s">
        <v>9</v>
      </c>
      <c r="O221" s="24">
        <v>4712397</v>
      </c>
      <c r="P221" s="25">
        <v>130</v>
      </c>
      <c r="Q221" s="26">
        <v>1</v>
      </c>
    </row>
    <row r="222" spans="14:17">
      <c r="N222" s="23" t="s">
        <v>11</v>
      </c>
      <c r="O222" s="24">
        <v>9923899</v>
      </c>
      <c r="P222" s="25">
        <v>140</v>
      </c>
      <c r="Q222" s="26">
        <v>1.25</v>
      </c>
    </row>
    <row r="223" spans="14:17">
      <c r="N223" s="23" t="s">
        <v>9</v>
      </c>
      <c r="O223" s="24">
        <v>7455120</v>
      </c>
      <c r="P223" s="25">
        <v>130</v>
      </c>
      <c r="Q223" s="26">
        <v>1</v>
      </c>
    </row>
    <row r="224" spans="14:17">
      <c r="N224" s="23" t="s">
        <v>11</v>
      </c>
      <c r="O224" s="24">
        <v>1851595</v>
      </c>
      <c r="P224" s="25">
        <v>140</v>
      </c>
      <c r="Q224" s="26">
        <v>1.25</v>
      </c>
    </row>
    <row r="225" spans="14:17">
      <c r="N225" s="23" t="s">
        <v>9</v>
      </c>
      <c r="O225" s="24">
        <v>8620620</v>
      </c>
      <c r="P225" s="25">
        <v>150</v>
      </c>
      <c r="Q225" s="26">
        <v>1</v>
      </c>
    </row>
    <row r="226" spans="14:17">
      <c r="N226" s="23" t="s">
        <v>9</v>
      </c>
      <c r="O226" s="24">
        <v>4373326</v>
      </c>
      <c r="P226" s="25">
        <v>150</v>
      </c>
      <c r="Q226" s="26">
        <v>1</v>
      </c>
    </row>
    <row r="227" spans="14:17">
      <c r="N227" s="23" t="s">
        <v>9</v>
      </c>
      <c r="O227" s="24">
        <v>5931539</v>
      </c>
      <c r="P227" s="25">
        <v>140</v>
      </c>
      <c r="Q227" s="26">
        <v>1</v>
      </c>
    </row>
    <row r="228" spans="14:17">
      <c r="N228" s="23" t="s">
        <v>9</v>
      </c>
      <c r="O228" s="24">
        <v>6995215</v>
      </c>
      <c r="P228" s="25">
        <v>140</v>
      </c>
      <c r="Q228" s="26">
        <v>1</v>
      </c>
    </row>
    <row r="229" spans="14:17">
      <c r="N229" s="23" t="s">
        <v>9</v>
      </c>
      <c r="O229" s="24">
        <v>7475475</v>
      </c>
      <c r="P229" s="25">
        <v>150</v>
      </c>
      <c r="Q229" s="26">
        <v>1</v>
      </c>
    </row>
    <row r="230" spans="14:17">
      <c r="N230" s="23" t="s">
        <v>9</v>
      </c>
      <c r="O230" s="24">
        <v>3455414</v>
      </c>
      <c r="P230" s="25">
        <v>120</v>
      </c>
      <c r="Q230" s="26">
        <v>1</v>
      </c>
    </row>
    <row r="231" spans="14:17">
      <c r="N231" s="23" t="s">
        <v>9</v>
      </c>
      <c r="O231" s="24">
        <v>6215336</v>
      </c>
      <c r="P231" s="25">
        <v>130</v>
      </c>
      <c r="Q231" s="26">
        <v>1</v>
      </c>
    </row>
    <row r="232" spans="14:17">
      <c r="N232" s="23" t="s">
        <v>11</v>
      </c>
      <c r="O232" s="24">
        <v>7282654</v>
      </c>
      <c r="P232" s="25">
        <v>150</v>
      </c>
      <c r="Q232" s="26">
        <v>1.25</v>
      </c>
    </row>
    <row r="233" spans="14:17">
      <c r="N233" s="23" t="s">
        <v>9</v>
      </c>
      <c r="O233" s="24">
        <v>6115808</v>
      </c>
      <c r="P233" s="25">
        <v>150</v>
      </c>
      <c r="Q233" s="26">
        <v>1</v>
      </c>
    </row>
    <row r="234" spans="14:17">
      <c r="N234" s="23" t="s">
        <v>11</v>
      </c>
      <c r="O234" s="24">
        <v>7543157</v>
      </c>
      <c r="P234" s="25">
        <v>150</v>
      </c>
      <c r="Q234" s="26">
        <v>1.25</v>
      </c>
    </row>
    <row r="235" spans="14:17">
      <c r="N235" s="23" t="s">
        <v>9</v>
      </c>
      <c r="O235" s="24">
        <v>1628606</v>
      </c>
      <c r="P235" s="25">
        <v>140</v>
      </c>
      <c r="Q235" s="26">
        <v>1</v>
      </c>
    </row>
    <row r="236" spans="14:17">
      <c r="N236" s="23" t="s">
        <v>9</v>
      </c>
      <c r="O236" s="24">
        <v>6589030</v>
      </c>
      <c r="P236" s="25">
        <v>130</v>
      </c>
      <c r="Q236" s="26">
        <v>1</v>
      </c>
    </row>
    <row r="237" spans="14:17">
      <c r="N237" s="23" t="s">
        <v>11</v>
      </c>
      <c r="O237" s="24">
        <v>7104115</v>
      </c>
      <c r="P237" s="25">
        <v>140</v>
      </c>
      <c r="Q237" s="26">
        <v>1.25</v>
      </c>
    </row>
    <row r="238" spans="14:17">
      <c r="N238" s="23" t="s">
        <v>9</v>
      </c>
      <c r="O238" s="24">
        <v>7008085</v>
      </c>
      <c r="P238" s="25">
        <v>130</v>
      </c>
      <c r="Q238" s="26">
        <v>1</v>
      </c>
    </row>
    <row r="239" spans="14:17">
      <c r="N239" s="23" t="s">
        <v>9</v>
      </c>
      <c r="O239" s="24">
        <v>5853970</v>
      </c>
      <c r="P239" s="25">
        <v>150</v>
      </c>
      <c r="Q239" s="26">
        <v>1</v>
      </c>
    </row>
    <row r="240" spans="14:17">
      <c r="N240" s="23" t="s">
        <v>9</v>
      </c>
      <c r="O240" s="24">
        <v>7395354</v>
      </c>
      <c r="P240" s="25">
        <v>150</v>
      </c>
      <c r="Q240" s="26">
        <v>1</v>
      </c>
    </row>
    <row r="241" spans="14:17">
      <c r="N241" s="23" t="s">
        <v>11</v>
      </c>
      <c r="O241" s="24">
        <v>3211634</v>
      </c>
      <c r="P241" s="25">
        <v>150</v>
      </c>
      <c r="Q241" s="26">
        <v>1.25</v>
      </c>
    </row>
    <row r="242" spans="14:17">
      <c r="N242" s="23" t="s">
        <v>11</v>
      </c>
      <c r="O242" s="24">
        <v>1286019</v>
      </c>
      <c r="P242" s="25">
        <v>150</v>
      </c>
      <c r="Q242" s="26">
        <v>1.25</v>
      </c>
    </row>
    <row r="243" spans="14:17">
      <c r="N243" s="23" t="s">
        <v>9</v>
      </c>
      <c r="O243" s="24">
        <v>7912713</v>
      </c>
      <c r="P243" s="25">
        <v>150</v>
      </c>
      <c r="Q243" s="26">
        <v>1</v>
      </c>
    </row>
    <row r="244" spans="14:17">
      <c r="N244" s="23" t="s">
        <v>9</v>
      </c>
      <c r="O244" s="24">
        <v>5025367</v>
      </c>
      <c r="P244" s="25">
        <v>130</v>
      </c>
      <c r="Q244" s="26">
        <v>1</v>
      </c>
    </row>
    <row r="245" spans="14:17">
      <c r="N245" s="23" t="s">
        <v>9</v>
      </c>
      <c r="O245" s="24">
        <v>5445065</v>
      </c>
      <c r="P245" s="25">
        <v>130</v>
      </c>
      <c r="Q245" s="26">
        <v>1</v>
      </c>
    </row>
    <row r="246" spans="14:17">
      <c r="N246" s="23" t="s">
        <v>9</v>
      </c>
      <c r="O246" s="24">
        <v>1428436</v>
      </c>
      <c r="P246" s="25">
        <v>140</v>
      </c>
      <c r="Q246" s="26">
        <v>1</v>
      </c>
    </row>
    <row r="247" spans="14:17">
      <c r="N247" s="23" t="s">
        <v>9</v>
      </c>
      <c r="O247" s="24">
        <v>9287191</v>
      </c>
      <c r="P247" s="25">
        <v>130</v>
      </c>
      <c r="Q247" s="26">
        <v>1</v>
      </c>
    </row>
    <row r="248" spans="14:17">
      <c r="N248" s="23" t="s">
        <v>9</v>
      </c>
      <c r="O248" s="24">
        <v>7168886</v>
      </c>
      <c r="P248" s="25">
        <v>150</v>
      </c>
      <c r="Q248" s="26">
        <v>1</v>
      </c>
    </row>
    <row r="249" spans="14:17">
      <c r="N249" s="23" t="s">
        <v>9</v>
      </c>
      <c r="O249" s="24">
        <v>1980325</v>
      </c>
      <c r="P249" s="25">
        <v>150</v>
      </c>
      <c r="Q249" s="26">
        <v>1</v>
      </c>
    </row>
    <row r="250" spans="14:17">
      <c r="N250" s="23" t="s">
        <v>9</v>
      </c>
      <c r="O250" s="24">
        <v>9925534</v>
      </c>
      <c r="P250" s="25">
        <v>120</v>
      </c>
      <c r="Q250" s="26">
        <v>1</v>
      </c>
    </row>
    <row r="251" spans="14:17">
      <c r="N251" s="23" t="s">
        <v>9</v>
      </c>
      <c r="O251" s="24">
        <v>7377590</v>
      </c>
      <c r="P251" s="25">
        <v>150</v>
      </c>
      <c r="Q251" s="26">
        <v>1</v>
      </c>
    </row>
    <row r="252" spans="14:17">
      <c r="N252" s="23" t="s">
        <v>9</v>
      </c>
      <c r="O252" s="24">
        <v>7648942</v>
      </c>
      <c r="P252" s="25">
        <v>140</v>
      </c>
      <c r="Q252" s="26">
        <v>1</v>
      </c>
    </row>
    <row r="253" spans="14:17">
      <c r="N253" s="23" t="s">
        <v>9</v>
      </c>
      <c r="O253" s="24">
        <v>7931280</v>
      </c>
      <c r="P253" s="25">
        <v>130</v>
      </c>
      <c r="Q253" s="26">
        <v>1</v>
      </c>
    </row>
    <row r="254" spans="14:17">
      <c r="N254" s="23" t="s">
        <v>9</v>
      </c>
      <c r="O254" s="24">
        <v>7850094</v>
      </c>
      <c r="P254" s="25">
        <v>150</v>
      </c>
      <c r="Q254" s="26">
        <v>1</v>
      </c>
    </row>
    <row r="255" spans="14:17">
      <c r="N255" s="23" t="s">
        <v>9</v>
      </c>
      <c r="O255" s="24">
        <v>3350674</v>
      </c>
      <c r="P255" s="25">
        <v>140</v>
      </c>
      <c r="Q255" s="26">
        <v>1</v>
      </c>
    </row>
    <row r="256" spans="14:17">
      <c r="N256" s="23" t="s">
        <v>9</v>
      </c>
      <c r="O256" s="24">
        <v>1495012</v>
      </c>
      <c r="P256" s="25">
        <v>130</v>
      </c>
      <c r="Q256" s="26">
        <v>1</v>
      </c>
    </row>
    <row r="257" spans="14:17">
      <c r="N257" s="23" t="s">
        <v>11</v>
      </c>
      <c r="O257" s="24">
        <v>8528056</v>
      </c>
      <c r="P257" s="25">
        <v>140</v>
      </c>
      <c r="Q257" s="26">
        <v>1.25</v>
      </c>
    </row>
    <row r="258" spans="14:17">
      <c r="N258" s="23" t="s">
        <v>9</v>
      </c>
      <c r="O258" s="24">
        <v>6661714</v>
      </c>
      <c r="P258" s="25">
        <v>130</v>
      </c>
      <c r="Q258" s="26">
        <v>1</v>
      </c>
    </row>
    <row r="259" spans="14:17">
      <c r="N259" s="23" t="s">
        <v>9</v>
      </c>
      <c r="O259" s="24">
        <v>2874043</v>
      </c>
      <c r="P259" s="25">
        <v>150</v>
      </c>
      <c r="Q259" s="26">
        <v>1</v>
      </c>
    </row>
    <row r="260" spans="14:17">
      <c r="N260" s="23" t="s">
        <v>11</v>
      </c>
      <c r="O260" s="24">
        <v>9484246</v>
      </c>
      <c r="P260" s="25">
        <v>150</v>
      </c>
      <c r="Q260" s="26">
        <v>1.25</v>
      </c>
    </row>
    <row r="261" spans="14:17">
      <c r="N261" s="23" t="s">
        <v>11</v>
      </c>
      <c r="O261" s="24">
        <v>4233016</v>
      </c>
      <c r="P261" s="25">
        <v>150</v>
      </c>
      <c r="Q261" s="26">
        <v>1.25</v>
      </c>
    </row>
    <row r="262" spans="14:17">
      <c r="N262" s="23" t="s">
        <v>9</v>
      </c>
      <c r="O262" s="24">
        <v>6693766</v>
      </c>
      <c r="P262" s="25">
        <v>150</v>
      </c>
      <c r="Q262" s="26">
        <v>1</v>
      </c>
    </row>
    <row r="263" spans="14:17">
      <c r="N263" s="23" t="s">
        <v>11</v>
      </c>
      <c r="O263" s="24">
        <v>1249296</v>
      </c>
      <c r="P263" s="25">
        <v>150</v>
      </c>
      <c r="Q263" s="26">
        <v>1.25</v>
      </c>
    </row>
    <row r="264" spans="14:17">
      <c r="N264" s="23" t="s">
        <v>9</v>
      </c>
      <c r="O264" s="24">
        <v>1923502</v>
      </c>
      <c r="P264" s="25">
        <v>150</v>
      </c>
      <c r="Q264" s="26">
        <v>1</v>
      </c>
    </row>
    <row r="265" spans="14:17">
      <c r="N265" s="23" t="s">
        <v>9</v>
      </c>
      <c r="O265" s="24">
        <v>8798615</v>
      </c>
      <c r="P265" s="25">
        <v>140</v>
      </c>
      <c r="Q265" s="26">
        <v>1</v>
      </c>
    </row>
    <row r="266" spans="14:17">
      <c r="N266" s="23" t="s">
        <v>9</v>
      </c>
      <c r="O266" s="24">
        <v>4309131</v>
      </c>
      <c r="P266" s="25">
        <v>130</v>
      </c>
      <c r="Q266" s="26">
        <v>1</v>
      </c>
    </row>
    <row r="267" spans="14:17">
      <c r="N267" s="23" t="s">
        <v>11</v>
      </c>
      <c r="O267" s="24">
        <v>7890277</v>
      </c>
      <c r="P267" s="25">
        <v>140</v>
      </c>
      <c r="Q267" s="26">
        <v>1.25</v>
      </c>
    </row>
    <row r="268" spans="14:17">
      <c r="N268" s="23" t="s">
        <v>11</v>
      </c>
      <c r="O268" s="24">
        <v>1376883</v>
      </c>
      <c r="P268" s="25">
        <v>140</v>
      </c>
      <c r="Q268" s="26">
        <v>1.25</v>
      </c>
    </row>
    <row r="269" spans="14:17">
      <c r="N269" s="23" t="s">
        <v>11</v>
      </c>
      <c r="O269" s="24">
        <v>4692358</v>
      </c>
      <c r="P269" s="25">
        <v>150</v>
      </c>
      <c r="Q269" s="26">
        <v>1.25</v>
      </c>
    </row>
    <row r="270" spans="14:17">
      <c r="N270" s="23" t="s">
        <v>9</v>
      </c>
      <c r="O270" s="24">
        <v>6562847</v>
      </c>
      <c r="P270" s="25">
        <v>150</v>
      </c>
      <c r="Q270" s="26">
        <v>1</v>
      </c>
    </row>
    <row r="271" spans="14:17">
      <c r="N271" s="23" t="s">
        <v>9</v>
      </c>
      <c r="O271" s="24">
        <v>4404854</v>
      </c>
      <c r="P271" s="25">
        <v>140</v>
      </c>
      <c r="Q271" s="26">
        <v>1</v>
      </c>
    </row>
    <row r="272" spans="14:17">
      <c r="N272" s="23" t="s">
        <v>9</v>
      </c>
      <c r="O272" s="24">
        <v>1170168</v>
      </c>
      <c r="P272" s="25">
        <v>140</v>
      </c>
      <c r="Q272" s="26">
        <v>1</v>
      </c>
    </row>
    <row r="273" spans="14:17">
      <c r="N273" s="23" t="s">
        <v>11</v>
      </c>
      <c r="O273" s="24">
        <v>4288173</v>
      </c>
      <c r="P273" s="25">
        <v>140</v>
      </c>
      <c r="Q273" s="26">
        <v>1.25</v>
      </c>
    </row>
    <row r="274" spans="14:17">
      <c r="N274" s="23" t="s">
        <v>9</v>
      </c>
      <c r="O274" s="24">
        <v>1459951</v>
      </c>
      <c r="P274" s="25">
        <v>140</v>
      </c>
      <c r="Q274" s="26">
        <v>1</v>
      </c>
    </row>
    <row r="275" spans="14:17">
      <c r="N275" s="23" t="s">
        <v>9</v>
      </c>
      <c r="O275" s="24">
        <v>4146764</v>
      </c>
      <c r="P275" s="25">
        <v>130</v>
      </c>
      <c r="Q275" s="26">
        <v>1</v>
      </c>
    </row>
    <row r="276" spans="14:17">
      <c r="N276" s="23" t="s">
        <v>9</v>
      </c>
      <c r="O276" s="24">
        <v>9589698</v>
      </c>
      <c r="P276" s="25">
        <v>130</v>
      </c>
      <c r="Q276" s="26">
        <v>1</v>
      </c>
    </row>
    <row r="277" spans="14:17">
      <c r="N277" s="23" t="s">
        <v>11</v>
      </c>
      <c r="O277" s="24">
        <v>2275155</v>
      </c>
      <c r="P277" s="25">
        <v>150</v>
      </c>
      <c r="Q277" s="26">
        <v>1.25</v>
      </c>
    </row>
    <row r="278" spans="14:17">
      <c r="N278" s="23" t="s">
        <v>9</v>
      </c>
      <c r="O278" s="24">
        <v>8568929</v>
      </c>
      <c r="P278" s="25">
        <v>150</v>
      </c>
      <c r="Q278" s="26">
        <v>1</v>
      </c>
    </row>
    <row r="279" spans="14:17">
      <c r="N279" s="23" t="s">
        <v>9</v>
      </c>
      <c r="O279" s="24">
        <v>1391790</v>
      </c>
      <c r="P279" s="25">
        <v>130</v>
      </c>
      <c r="Q279" s="26">
        <v>1</v>
      </c>
    </row>
    <row r="280" spans="14:17">
      <c r="N280" s="23" t="s">
        <v>11</v>
      </c>
      <c r="O280" s="24">
        <v>8692683</v>
      </c>
      <c r="P280" s="25">
        <v>150</v>
      </c>
      <c r="Q280" s="26">
        <v>1.25</v>
      </c>
    </row>
    <row r="281" spans="14:17">
      <c r="N281" s="23" t="s">
        <v>11</v>
      </c>
      <c r="O281" s="24">
        <v>1515493</v>
      </c>
      <c r="P281" s="25">
        <v>150</v>
      </c>
      <c r="Q281" s="26">
        <v>1.25</v>
      </c>
    </row>
    <row r="282" spans="14:17">
      <c r="N282" s="23" t="s">
        <v>11</v>
      </c>
      <c r="O282" s="24">
        <v>4539669</v>
      </c>
      <c r="P282" s="25">
        <v>140</v>
      </c>
      <c r="Q282" s="26">
        <v>1.25</v>
      </c>
    </row>
    <row r="283" spans="14:17">
      <c r="N283" s="23" t="s">
        <v>9</v>
      </c>
      <c r="O283" s="24">
        <v>2190238</v>
      </c>
      <c r="P283" s="25">
        <v>150</v>
      </c>
      <c r="Q283" s="26">
        <v>1</v>
      </c>
    </row>
    <row r="284" spans="14:17">
      <c r="N284" s="23" t="s">
        <v>9</v>
      </c>
      <c r="O284" s="24">
        <v>1638173</v>
      </c>
      <c r="P284" s="25">
        <v>150</v>
      </c>
      <c r="Q284" s="26">
        <v>1</v>
      </c>
    </row>
    <row r="285" spans="14:17">
      <c r="N285" s="23" t="s">
        <v>9</v>
      </c>
      <c r="O285" s="24">
        <v>2720475</v>
      </c>
      <c r="P285" s="25">
        <v>130</v>
      </c>
      <c r="Q285" s="26">
        <v>1</v>
      </c>
    </row>
    <row r="286" spans="14:17">
      <c r="N286" s="23" t="s">
        <v>9</v>
      </c>
      <c r="O286" s="24">
        <v>1906956</v>
      </c>
      <c r="P286" s="25">
        <v>130</v>
      </c>
      <c r="Q286" s="26">
        <v>1</v>
      </c>
    </row>
    <row r="287" spans="14:17">
      <c r="N287" s="23" t="s">
        <v>9</v>
      </c>
      <c r="O287" s="24">
        <v>6289184</v>
      </c>
      <c r="P287" s="25">
        <v>150</v>
      </c>
      <c r="Q287" s="26">
        <v>1</v>
      </c>
    </row>
    <row r="288" spans="14:17">
      <c r="N288" s="23" t="s">
        <v>11</v>
      </c>
      <c r="O288" s="24">
        <v>6881793</v>
      </c>
      <c r="P288" s="25">
        <v>150</v>
      </c>
      <c r="Q288" s="26">
        <v>1.25</v>
      </c>
    </row>
    <row r="289" spans="14:17">
      <c r="N289" s="23" t="s">
        <v>9</v>
      </c>
      <c r="O289" s="24">
        <v>2561625</v>
      </c>
      <c r="P289" s="25">
        <v>140</v>
      </c>
      <c r="Q289" s="26">
        <v>1</v>
      </c>
    </row>
    <row r="290" spans="14:17">
      <c r="N290" s="23" t="s">
        <v>11</v>
      </c>
      <c r="O290" s="24">
        <v>3655290</v>
      </c>
      <c r="P290" s="25">
        <v>150</v>
      </c>
      <c r="Q290" s="26">
        <v>1.25</v>
      </c>
    </row>
    <row r="291" spans="14:17">
      <c r="N291" s="23" t="s">
        <v>9</v>
      </c>
      <c r="O291" s="24">
        <v>6274674</v>
      </c>
      <c r="P291" s="25">
        <v>150</v>
      </c>
      <c r="Q291" s="26">
        <v>1</v>
      </c>
    </row>
    <row r="292" spans="14:17">
      <c r="N292" s="23" t="s">
        <v>11</v>
      </c>
      <c r="O292" s="24">
        <v>6153645</v>
      </c>
      <c r="P292" s="25">
        <v>140</v>
      </c>
      <c r="Q292" s="26">
        <v>1.25</v>
      </c>
    </row>
    <row r="293" spans="14:17">
      <c r="N293" s="23" t="s">
        <v>11</v>
      </c>
      <c r="O293" s="24">
        <v>4814118</v>
      </c>
      <c r="P293" s="25">
        <v>140</v>
      </c>
      <c r="Q293" s="26">
        <v>1.25</v>
      </c>
    </row>
    <row r="294" spans="14:17">
      <c r="N294" s="23" t="s">
        <v>11</v>
      </c>
      <c r="O294" s="24">
        <v>8734265</v>
      </c>
      <c r="P294" s="25">
        <v>150</v>
      </c>
      <c r="Q294" s="26">
        <v>1.25</v>
      </c>
    </row>
    <row r="295" spans="14:17">
      <c r="N295" s="23" t="s">
        <v>11</v>
      </c>
      <c r="O295" s="24">
        <v>9426767</v>
      </c>
      <c r="P295" s="25">
        <v>140</v>
      </c>
      <c r="Q295" s="26">
        <v>1.25</v>
      </c>
    </row>
    <row r="296" spans="14:17">
      <c r="N296" s="23" t="s">
        <v>11</v>
      </c>
      <c r="O296" s="24">
        <v>8726010</v>
      </c>
      <c r="P296" s="25">
        <v>140</v>
      </c>
      <c r="Q296" s="26">
        <v>1.25</v>
      </c>
    </row>
    <row r="297" spans="14:17">
      <c r="N297" s="23" t="s">
        <v>9</v>
      </c>
      <c r="O297" s="24">
        <v>3295063</v>
      </c>
      <c r="P297" s="25">
        <v>130</v>
      </c>
      <c r="Q297" s="26">
        <v>1</v>
      </c>
    </row>
    <row r="298" spans="14:17">
      <c r="N298" s="23" t="s">
        <v>9</v>
      </c>
      <c r="O298" s="24">
        <v>5836302</v>
      </c>
      <c r="P298" s="25">
        <v>140</v>
      </c>
      <c r="Q298" s="26">
        <v>1</v>
      </c>
    </row>
    <row r="299" spans="14:17">
      <c r="N299" s="23" t="s">
        <v>9</v>
      </c>
      <c r="O299" s="24">
        <v>6801728</v>
      </c>
      <c r="P299" s="25">
        <v>120</v>
      </c>
      <c r="Q299" s="26">
        <v>1</v>
      </c>
    </row>
    <row r="300" spans="14:17">
      <c r="N300" s="23" t="s">
        <v>11</v>
      </c>
      <c r="O300" s="24">
        <v>3781072</v>
      </c>
      <c r="P300" s="25">
        <v>150</v>
      </c>
      <c r="Q300" s="26">
        <v>1.25</v>
      </c>
    </row>
    <row r="301" spans="14:17">
      <c r="N301" s="23" t="s">
        <v>11</v>
      </c>
      <c r="O301" s="24">
        <v>2347385</v>
      </c>
      <c r="P301" s="25">
        <v>140</v>
      </c>
      <c r="Q301" s="26">
        <v>1.25</v>
      </c>
    </row>
    <row r="302" spans="14:17">
      <c r="N302" s="23" t="s">
        <v>9</v>
      </c>
      <c r="O302" s="24">
        <v>2855091</v>
      </c>
      <c r="P302" s="25">
        <v>140</v>
      </c>
      <c r="Q302" s="26">
        <v>1</v>
      </c>
    </row>
    <row r="303" spans="14:17">
      <c r="N303" s="23" t="s">
        <v>11</v>
      </c>
      <c r="O303" s="24">
        <v>7340842</v>
      </c>
      <c r="P303" s="25">
        <v>150</v>
      </c>
      <c r="Q303" s="26">
        <v>1.25</v>
      </c>
    </row>
    <row r="304" spans="14:17">
      <c r="N304" s="23" t="s">
        <v>9</v>
      </c>
      <c r="O304" s="24">
        <v>6737011</v>
      </c>
      <c r="P304" s="25">
        <v>120</v>
      </c>
      <c r="Q304" s="26">
        <v>1</v>
      </c>
    </row>
    <row r="305" spans="14:17">
      <c r="N305" s="23" t="s">
        <v>11</v>
      </c>
      <c r="O305" s="24">
        <v>6561235</v>
      </c>
      <c r="P305" s="25">
        <v>140</v>
      </c>
      <c r="Q305" s="26">
        <v>1.25</v>
      </c>
    </row>
    <row r="306" spans="14:17">
      <c r="N306" s="23" t="s">
        <v>9</v>
      </c>
      <c r="O306" s="24">
        <v>1908180</v>
      </c>
      <c r="P306" s="25">
        <v>120</v>
      </c>
      <c r="Q306" s="26">
        <v>1</v>
      </c>
    </row>
    <row r="307" spans="14:17">
      <c r="N307" s="23" t="s">
        <v>11</v>
      </c>
      <c r="O307" s="24">
        <v>5328022</v>
      </c>
      <c r="P307" s="25">
        <v>140</v>
      </c>
      <c r="Q307" s="26">
        <v>1.25</v>
      </c>
    </row>
    <row r="308" spans="14:17">
      <c r="N308" s="23" t="s">
        <v>9</v>
      </c>
      <c r="O308" s="24">
        <v>2306509</v>
      </c>
      <c r="P308" s="25">
        <v>140</v>
      </c>
      <c r="Q308" s="26">
        <v>1</v>
      </c>
    </row>
    <row r="309" spans="14:17">
      <c r="N309" s="23" t="s">
        <v>11</v>
      </c>
      <c r="O309" s="24">
        <v>8809833</v>
      </c>
      <c r="P309" s="25">
        <v>140</v>
      </c>
      <c r="Q309" s="26">
        <v>1.25</v>
      </c>
    </row>
    <row r="310" spans="14:17">
      <c r="N310" s="23" t="s">
        <v>9</v>
      </c>
      <c r="O310" s="24">
        <v>2915215</v>
      </c>
      <c r="P310" s="25">
        <v>120</v>
      </c>
      <c r="Q310" s="26">
        <v>1</v>
      </c>
    </row>
    <row r="311" spans="14:17">
      <c r="N311" s="23" t="s">
        <v>11</v>
      </c>
      <c r="O311" s="24">
        <v>6273958</v>
      </c>
      <c r="P311" s="25">
        <v>150</v>
      </c>
      <c r="Q311" s="26">
        <v>1.25</v>
      </c>
    </row>
    <row r="312" spans="14:17">
      <c r="N312" s="23" t="s">
        <v>9</v>
      </c>
      <c r="O312" s="24">
        <v>3591516</v>
      </c>
      <c r="P312" s="25">
        <v>150</v>
      </c>
      <c r="Q312" s="26">
        <v>1</v>
      </c>
    </row>
    <row r="313" spans="14:17">
      <c r="N313" s="23" t="s">
        <v>9</v>
      </c>
      <c r="O313" s="24">
        <v>5861804</v>
      </c>
      <c r="P313" s="25">
        <v>140</v>
      </c>
      <c r="Q313" s="26">
        <v>1</v>
      </c>
    </row>
    <row r="314" spans="14:17">
      <c r="N314" s="23" t="s">
        <v>9</v>
      </c>
      <c r="O314" s="24">
        <v>4841172</v>
      </c>
      <c r="P314" s="25">
        <v>150</v>
      </c>
      <c r="Q314" s="26">
        <v>1</v>
      </c>
    </row>
    <row r="315" spans="14:17">
      <c r="N315" s="23" t="s">
        <v>9</v>
      </c>
      <c r="O315" s="24">
        <v>7362794</v>
      </c>
      <c r="P315" s="25">
        <v>120</v>
      </c>
      <c r="Q315" s="26">
        <v>1</v>
      </c>
    </row>
    <row r="316" spans="14:17">
      <c r="N316" s="23" t="s">
        <v>9</v>
      </c>
      <c r="O316" s="24">
        <v>3115777</v>
      </c>
      <c r="P316" s="25">
        <v>150</v>
      </c>
      <c r="Q316" s="26">
        <v>1</v>
      </c>
    </row>
    <row r="317" spans="14:17">
      <c r="N317" s="23" t="s">
        <v>9</v>
      </c>
      <c r="O317" s="24">
        <v>4894665</v>
      </c>
      <c r="P317" s="25">
        <v>150</v>
      </c>
      <c r="Q317" s="26">
        <v>1</v>
      </c>
    </row>
    <row r="318" spans="14:17">
      <c r="N318" s="23" t="s">
        <v>11</v>
      </c>
      <c r="O318" s="24">
        <v>8516946</v>
      </c>
      <c r="P318" s="25">
        <v>140</v>
      </c>
      <c r="Q318" s="26">
        <v>1.25</v>
      </c>
    </row>
    <row r="319" spans="14:17">
      <c r="N319" s="23" t="s">
        <v>11</v>
      </c>
      <c r="O319" s="24">
        <v>4689201</v>
      </c>
      <c r="P319" s="25">
        <v>140</v>
      </c>
      <c r="Q319" s="26">
        <v>1.25</v>
      </c>
    </row>
    <row r="320" spans="14:17">
      <c r="N320" s="23" t="s">
        <v>9</v>
      </c>
      <c r="O320" s="24">
        <v>7060759</v>
      </c>
      <c r="P320" s="25">
        <v>140</v>
      </c>
      <c r="Q320" s="26">
        <v>1</v>
      </c>
    </row>
    <row r="321" spans="14:17">
      <c r="N321" s="23" t="s">
        <v>11</v>
      </c>
      <c r="O321" s="24">
        <v>9364685</v>
      </c>
      <c r="P321" s="25">
        <v>140</v>
      </c>
      <c r="Q321" s="26">
        <v>1.25</v>
      </c>
    </row>
    <row r="322" spans="14:17">
      <c r="N322" s="23" t="s">
        <v>11</v>
      </c>
      <c r="O322" s="24">
        <v>7661964</v>
      </c>
      <c r="P322" s="25">
        <v>150</v>
      </c>
      <c r="Q322" s="26">
        <v>1.25</v>
      </c>
    </row>
    <row r="323" spans="14:17">
      <c r="N323" s="23" t="s">
        <v>9</v>
      </c>
      <c r="O323" s="24">
        <v>9434855</v>
      </c>
      <c r="P323" s="25">
        <v>150</v>
      </c>
      <c r="Q323" s="26">
        <v>1</v>
      </c>
    </row>
    <row r="324" spans="14:17">
      <c r="N324" s="23" t="s">
        <v>11</v>
      </c>
      <c r="O324" s="24">
        <v>9421482</v>
      </c>
      <c r="P324" s="25">
        <v>150</v>
      </c>
      <c r="Q324" s="26">
        <v>1.25</v>
      </c>
    </row>
    <row r="325" spans="14:17">
      <c r="N325" s="23" t="s">
        <v>9</v>
      </c>
      <c r="O325" s="24">
        <v>3438791</v>
      </c>
      <c r="P325" s="25">
        <v>140</v>
      </c>
      <c r="Q325" s="26">
        <v>1</v>
      </c>
    </row>
    <row r="326" spans="14:17">
      <c r="N326" s="23" t="s">
        <v>9</v>
      </c>
      <c r="O326" s="24">
        <v>9419011</v>
      </c>
      <c r="P326" s="25">
        <v>130</v>
      </c>
      <c r="Q326" s="26">
        <v>1</v>
      </c>
    </row>
    <row r="327" spans="14:17">
      <c r="N327" s="23" t="s">
        <v>11</v>
      </c>
      <c r="O327" s="24">
        <v>5008580</v>
      </c>
      <c r="P327" s="25">
        <v>150</v>
      </c>
      <c r="Q327" s="26">
        <v>1.25</v>
      </c>
    </row>
    <row r="328" spans="14:17">
      <c r="N328" s="23" t="s">
        <v>9</v>
      </c>
      <c r="O328" s="24">
        <v>2308294</v>
      </c>
      <c r="P328" s="25">
        <v>150</v>
      </c>
      <c r="Q328" s="26">
        <v>1</v>
      </c>
    </row>
    <row r="329" spans="14:17">
      <c r="N329" s="23" t="s">
        <v>11</v>
      </c>
      <c r="O329" s="24">
        <v>4576084</v>
      </c>
      <c r="P329" s="25">
        <v>140</v>
      </c>
      <c r="Q329" s="26">
        <v>1.25</v>
      </c>
    </row>
    <row r="330" spans="14:17">
      <c r="N330" s="23" t="s">
        <v>9</v>
      </c>
      <c r="O330" s="24">
        <v>3928932</v>
      </c>
      <c r="P330" s="25">
        <v>150</v>
      </c>
      <c r="Q330" s="26">
        <v>1</v>
      </c>
    </row>
    <row r="331" spans="14:17">
      <c r="N331" s="23" t="s">
        <v>9</v>
      </c>
      <c r="O331" s="24">
        <v>2756186</v>
      </c>
      <c r="P331" s="25">
        <v>150</v>
      </c>
      <c r="Q331" s="26">
        <v>1</v>
      </c>
    </row>
    <row r="332" spans="14:17">
      <c r="N332" s="23" t="s">
        <v>9</v>
      </c>
      <c r="O332" s="24">
        <v>8934073</v>
      </c>
      <c r="P332" s="25">
        <v>150</v>
      </c>
      <c r="Q332" s="26">
        <v>1</v>
      </c>
    </row>
    <row r="333" spans="14:17">
      <c r="N333" s="23" t="s">
        <v>11</v>
      </c>
      <c r="O333" s="24">
        <v>7879797</v>
      </c>
      <c r="P333" s="25">
        <v>150</v>
      </c>
      <c r="Q333" s="26">
        <v>1.25</v>
      </c>
    </row>
    <row r="334" spans="14:17">
      <c r="N334" s="23" t="s">
        <v>9</v>
      </c>
      <c r="O334" s="24">
        <v>1709490</v>
      </c>
      <c r="P334" s="25">
        <v>150</v>
      </c>
      <c r="Q334" s="26">
        <v>1</v>
      </c>
    </row>
    <row r="335" spans="14:17">
      <c r="N335" s="23" t="s">
        <v>9</v>
      </c>
      <c r="O335" s="24">
        <v>4412395</v>
      </c>
      <c r="P335" s="25">
        <v>130</v>
      </c>
      <c r="Q335" s="26">
        <v>1</v>
      </c>
    </row>
    <row r="336" spans="14:17">
      <c r="N336" s="23" t="s">
        <v>9</v>
      </c>
      <c r="O336" s="24">
        <v>4735730</v>
      </c>
      <c r="P336" s="25">
        <v>140</v>
      </c>
      <c r="Q336" s="26">
        <v>1</v>
      </c>
    </row>
    <row r="337" spans="14:17">
      <c r="N337" s="23" t="s">
        <v>9</v>
      </c>
      <c r="O337" s="24">
        <v>3143915</v>
      </c>
      <c r="P337" s="25">
        <v>130</v>
      </c>
      <c r="Q337" s="26">
        <v>1</v>
      </c>
    </row>
    <row r="338" spans="14:17">
      <c r="N338" s="23" t="s">
        <v>11</v>
      </c>
      <c r="O338" s="24">
        <v>8139905</v>
      </c>
      <c r="P338" s="25">
        <v>140</v>
      </c>
      <c r="Q338" s="26">
        <v>1.25</v>
      </c>
    </row>
    <row r="339" spans="14:17">
      <c r="N339" s="23" t="s">
        <v>11</v>
      </c>
      <c r="O339" s="24">
        <v>8970035</v>
      </c>
      <c r="P339" s="25">
        <v>140</v>
      </c>
      <c r="Q339" s="26">
        <v>1.25</v>
      </c>
    </row>
    <row r="340" spans="14:17">
      <c r="N340" s="23" t="s">
        <v>9</v>
      </c>
      <c r="O340" s="24">
        <v>4081047</v>
      </c>
      <c r="P340" s="25">
        <v>120</v>
      </c>
      <c r="Q340" s="26">
        <v>1</v>
      </c>
    </row>
    <row r="341" spans="14:17">
      <c r="N341" s="23" t="s">
        <v>11</v>
      </c>
      <c r="O341" s="24">
        <v>1952415</v>
      </c>
      <c r="P341" s="25">
        <v>140</v>
      </c>
      <c r="Q341" s="26">
        <v>1.25</v>
      </c>
    </row>
    <row r="342" spans="14:17">
      <c r="N342" s="23" t="s">
        <v>9</v>
      </c>
      <c r="O342" s="24">
        <v>3230777</v>
      </c>
      <c r="P342" s="25">
        <v>130</v>
      </c>
      <c r="Q342" s="26">
        <v>1</v>
      </c>
    </row>
    <row r="343" spans="14:17">
      <c r="N343" s="23" t="s">
        <v>9</v>
      </c>
      <c r="O343" s="24">
        <v>3595155</v>
      </c>
      <c r="P343" s="25">
        <v>120</v>
      </c>
      <c r="Q343" s="26">
        <v>1</v>
      </c>
    </row>
    <row r="344" spans="14:17">
      <c r="N344" s="23" t="s">
        <v>9</v>
      </c>
      <c r="O344" s="24">
        <v>1127034</v>
      </c>
      <c r="P344" s="25">
        <v>150</v>
      </c>
      <c r="Q344" s="26">
        <v>1</v>
      </c>
    </row>
    <row r="345" spans="14:17">
      <c r="N345" s="23" t="s">
        <v>11</v>
      </c>
      <c r="O345" s="24">
        <v>2810267</v>
      </c>
      <c r="P345" s="25">
        <v>150</v>
      </c>
      <c r="Q345" s="26">
        <v>1.25</v>
      </c>
    </row>
    <row r="346" spans="14:17">
      <c r="N346" s="23" t="s">
        <v>9</v>
      </c>
      <c r="O346" s="24">
        <v>5624782</v>
      </c>
      <c r="P346" s="25">
        <v>150</v>
      </c>
      <c r="Q346" s="26">
        <v>1</v>
      </c>
    </row>
    <row r="347" spans="14:17">
      <c r="N347" s="23" t="s">
        <v>9</v>
      </c>
      <c r="O347" s="24">
        <v>7447826</v>
      </c>
      <c r="P347" s="25">
        <v>130</v>
      </c>
      <c r="Q347" s="26">
        <v>1</v>
      </c>
    </row>
    <row r="348" spans="14:17">
      <c r="N348" s="23" t="s">
        <v>9</v>
      </c>
      <c r="O348" s="24">
        <v>5897411</v>
      </c>
      <c r="P348" s="25">
        <v>120</v>
      </c>
      <c r="Q348" s="26">
        <v>1</v>
      </c>
    </row>
    <row r="349" spans="14:17">
      <c r="N349" s="23" t="s">
        <v>9</v>
      </c>
      <c r="O349" s="24">
        <v>4399374</v>
      </c>
      <c r="P349" s="25">
        <v>140</v>
      </c>
      <c r="Q349" s="26">
        <v>1</v>
      </c>
    </row>
    <row r="350" spans="14:17">
      <c r="N350" s="23" t="s">
        <v>11</v>
      </c>
      <c r="O350" s="24">
        <v>1453483</v>
      </c>
      <c r="P350" s="25">
        <v>150</v>
      </c>
      <c r="Q350" s="26">
        <v>1.25</v>
      </c>
    </row>
    <row r="351" spans="14:17">
      <c r="N351" s="23" t="s">
        <v>9</v>
      </c>
      <c r="O351" s="24">
        <v>4681516</v>
      </c>
      <c r="P351" s="25">
        <v>130</v>
      </c>
      <c r="Q351" s="26">
        <v>1</v>
      </c>
    </row>
    <row r="352" spans="14:17">
      <c r="N352" s="23" t="s">
        <v>11</v>
      </c>
      <c r="O352" s="24">
        <v>8440020</v>
      </c>
      <c r="P352" s="25">
        <v>150</v>
      </c>
      <c r="Q352" s="26">
        <v>1.25</v>
      </c>
    </row>
    <row r="353" spans="14:17">
      <c r="N353" s="23" t="s">
        <v>9</v>
      </c>
      <c r="O353" s="24">
        <v>2422120</v>
      </c>
      <c r="P353" s="25">
        <v>140</v>
      </c>
      <c r="Q353" s="26">
        <v>1</v>
      </c>
    </row>
    <row r="354" spans="14:17">
      <c r="N354" s="23" t="s">
        <v>9</v>
      </c>
      <c r="O354" s="24">
        <v>3838497</v>
      </c>
      <c r="P354" s="25">
        <v>150</v>
      </c>
      <c r="Q354" s="26">
        <v>1</v>
      </c>
    </row>
    <row r="355" spans="14:17">
      <c r="N355" s="23" t="s">
        <v>9</v>
      </c>
      <c r="O355" s="24">
        <v>5984227</v>
      </c>
      <c r="P355" s="25">
        <v>130</v>
      </c>
      <c r="Q355" s="26">
        <v>1</v>
      </c>
    </row>
    <row r="356" spans="14:17">
      <c r="N356" s="23" t="s">
        <v>9</v>
      </c>
      <c r="O356" s="24">
        <v>7743296</v>
      </c>
      <c r="P356" s="25">
        <v>140</v>
      </c>
      <c r="Q356" s="26">
        <v>1</v>
      </c>
    </row>
    <row r="357" spans="14:17">
      <c r="N357" s="23" t="s">
        <v>9</v>
      </c>
      <c r="O357" s="24">
        <v>7446541</v>
      </c>
      <c r="P357" s="25">
        <v>130</v>
      </c>
      <c r="Q357" s="26">
        <v>1</v>
      </c>
    </row>
    <row r="358" spans="14:17">
      <c r="N358" s="23" t="s">
        <v>9</v>
      </c>
      <c r="O358" s="24">
        <v>1999442</v>
      </c>
      <c r="P358" s="25">
        <v>140</v>
      </c>
      <c r="Q358" s="26">
        <v>1</v>
      </c>
    </row>
    <row r="359" spans="14:17">
      <c r="N359" s="23" t="s">
        <v>9</v>
      </c>
      <c r="O359" s="24">
        <v>6335725</v>
      </c>
      <c r="P359" s="25">
        <v>130</v>
      </c>
      <c r="Q359" s="26">
        <v>1</v>
      </c>
    </row>
    <row r="360" spans="14:17">
      <c r="N360" s="23" t="s">
        <v>9</v>
      </c>
      <c r="O360" s="24">
        <v>9030784</v>
      </c>
      <c r="P360" s="25">
        <v>120</v>
      </c>
      <c r="Q360" s="26">
        <v>1</v>
      </c>
    </row>
    <row r="361" spans="14:17">
      <c r="N361" s="23" t="s">
        <v>9</v>
      </c>
      <c r="O361" s="24">
        <v>1633926</v>
      </c>
      <c r="P361" s="25">
        <v>130</v>
      </c>
      <c r="Q361" s="26">
        <v>1</v>
      </c>
    </row>
    <row r="362" spans="14:17">
      <c r="N362" s="23" t="s">
        <v>11</v>
      </c>
      <c r="O362" s="24">
        <v>4450766</v>
      </c>
      <c r="P362" s="25">
        <v>150</v>
      </c>
      <c r="Q362" s="26">
        <v>1.25</v>
      </c>
    </row>
    <row r="363" spans="14:17">
      <c r="N363" s="23" t="s">
        <v>9</v>
      </c>
      <c r="O363" s="24">
        <v>3099139</v>
      </c>
      <c r="P363" s="25">
        <v>130</v>
      </c>
      <c r="Q363" s="26">
        <v>1</v>
      </c>
    </row>
    <row r="364" spans="14:17">
      <c r="N364" s="23" t="s">
        <v>9</v>
      </c>
      <c r="O364" s="24">
        <v>7271797</v>
      </c>
      <c r="P364" s="25">
        <v>140</v>
      </c>
      <c r="Q364" s="26">
        <v>1</v>
      </c>
    </row>
    <row r="365" spans="14:17">
      <c r="N365" s="23" t="s">
        <v>9</v>
      </c>
      <c r="O365" s="24">
        <v>1982331</v>
      </c>
      <c r="P365" s="25">
        <v>140</v>
      </c>
      <c r="Q365" s="26">
        <v>1</v>
      </c>
    </row>
    <row r="366" spans="14:17">
      <c r="N366" s="23" t="s">
        <v>11</v>
      </c>
      <c r="O366" s="24">
        <v>2758850</v>
      </c>
      <c r="P366" s="25">
        <v>150</v>
      </c>
      <c r="Q366" s="26">
        <v>1.25</v>
      </c>
    </row>
    <row r="367" spans="14:17">
      <c r="N367" s="23" t="s">
        <v>11</v>
      </c>
      <c r="O367" s="24">
        <v>3139842</v>
      </c>
      <c r="P367" s="25">
        <v>140</v>
      </c>
      <c r="Q367" s="26">
        <v>1.25</v>
      </c>
    </row>
    <row r="368" spans="14:17">
      <c r="N368" s="23" t="s">
        <v>9</v>
      </c>
      <c r="O368" s="24">
        <v>5186875</v>
      </c>
      <c r="P368" s="25">
        <v>140</v>
      </c>
      <c r="Q368" s="26">
        <v>1</v>
      </c>
    </row>
    <row r="369" spans="14:17">
      <c r="N369" s="23" t="s">
        <v>11</v>
      </c>
      <c r="O369" s="24">
        <v>3592636</v>
      </c>
      <c r="P369" s="25">
        <v>140</v>
      </c>
      <c r="Q369" s="26">
        <v>1.25</v>
      </c>
    </row>
    <row r="370" spans="14:17">
      <c r="N370" s="23" t="s">
        <v>9</v>
      </c>
      <c r="O370" s="24">
        <v>1497727</v>
      </c>
      <c r="P370" s="25">
        <v>150</v>
      </c>
      <c r="Q370" s="26">
        <v>1</v>
      </c>
    </row>
    <row r="371" spans="14:17">
      <c r="N371" s="23" t="s">
        <v>9</v>
      </c>
      <c r="O371" s="24">
        <v>1035911</v>
      </c>
      <c r="P371" s="25">
        <v>140</v>
      </c>
      <c r="Q371" s="26">
        <v>1</v>
      </c>
    </row>
    <row r="372" spans="14:17">
      <c r="N372" s="23" t="s">
        <v>9</v>
      </c>
      <c r="O372" s="24">
        <v>6756793</v>
      </c>
      <c r="P372" s="25">
        <v>140</v>
      </c>
      <c r="Q372" s="26">
        <v>1</v>
      </c>
    </row>
    <row r="373" spans="14:17">
      <c r="N373" s="23" t="s">
        <v>9</v>
      </c>
      <c r="O373" s="24">
        <v>6503321</v>
      </c>
      <c r="P373" s="25">
        <v>130</v>
      </c>
      <c r="Q373" s="26">
        <v>1</v>
      </c>
    </row>
    <row r="374" spans="14:17">
      <c r="N374" s="23" t="s">
        <v>11</v>
      </c>
      <c r="O374" s="24">
        <v>2363432</v>
      </c>
      <c r="P374" s="25">
        <v>140</v>
      </c>
      <c r="Q374" s="26">
        <v>1.25</v>
      </c>
    </row>
    <row r="375" spans="14:17">
      <c r="N375" s="23" t="s">
        <v>9</v>
      </c>
      <c r="O375" s="24">
        <v>3846994</v>
      </c>
      <c r="P375" s="25">
        <v>150</v>
      </c>
      <c r="Q375" s="26">
        <v>1</v>
      </c>
    </row>
    <row r="376" spans="14:17">
      <c r="N376" s="23" t="s">
        <v>9</v>
      </c>
      <c r="O376" s="24">
        <v>5030899</v>
      </c>
      <c r="P376" s="25">
        <v>140</v>
      </c>
      <c r="Q376" s="26">
        <v>1</v>
      </c>
    </row>
    <row r="377" spans="14:17">
      <c r="N377" s="23" t="s">
        <v>9</v>
      </c>
      <c r="O377" s="24">
        <v>7235735</v>
      </c>
      <c r="P377" s="25">
        <v>120</v>
      </c>
      <c r="Q377" s="26">
        <v>1</v>
      </c>
    </row>
    <row r="378" spans="14:17">
      <c r="N378" s="23" t="s">
        <v>11</v>
      </c>
      <c r="O378" s="24">
        <v>1912898</v>
      </c>
      <c r="P378" s="25">
        <v>150</v>
      </c>
      <c r="Q378" s="26">
        <v>1.25</v>
      </c>
    </row>
    <row r="379" spans="14:17">
      <c r="N379" s="23" t="s">
        <v>11</v>
      </c>
      <c r="O379" s="24">
        <v>6508134</v>
      </c>
      <c r="P379" s="25">
        <v>150</v>
      </c>
      <c r="Q379" s="26">
        <v>1.25</v>
      </c>
    </row>
    <row r="380" spans="14:17">
      <c r="N380" s="23" t="s">
        <v>9</v>
      </c>
      <c r="O380" s="24">
        <v>6274109</v>
      </c>
      <c r="P380" s="25">
        <v>120</v>
      </c>
      <c r="Q380" s="26">
        <v>1</v>
      </c>
    </row>
    <row r="381" spans="14:17">
      <c r="N381" s="23" t="s">
        <v>9</v>
      </c>
      <c r="O381" s="24">
        <v>3434751</v>
      </c>
      <c r="P381" s="25">
        <v>120</v>
      </c>
      <c r="Q381" s="26">
        <v>1</v>
      </c>
    </row>
    <row r="382" spans="14:17">
      <c r="N382" s="23" t="s">
        <v>9</v>
      </c>
      <c r="O382" s="24">
        <v>2627825</v>
      </c>
      <c r="P382" s="25">
        <v>150</v>
      </c>
      <c r="Q382" s="26">
        <v>1</v>
      </c>
    </row>
    <row r="383" spans="14:17">
      <c r="N383" s="23" t="s">
        <v>9</v>
      </c>
      <c r="O383" s="24">
        <v>6619592</v>
      </c>
      <c r="P383" s="25">
        <v>150</v>
      </c>
      <c r="Q383" s="26">
        <v>1</v>
      </c>
    </row>
    <row r="384" spans="14:17">
      <c r="N384" s="23" t="s">
        <v>11</v>
      </c>
      <c r="O384" s="24">
        <v>4961656</v>
      </c>
      <c r="P384" s="25">
        <v>150</v>
      </c>
      <c r="Q384" s="26">
        <v>1.25</v>
      </c>
    </row>
    <row r="385" spans="14:17">
      <c r="N385" s="23" t="s">
        <v>11</v>
      </c>
      <c r="O385" s="24">
        <v>3174608</v>
      </c>
      <c r="P385" s="25">
        <v>150</v>
      </c>
      <c r="Q385" s="26">
        <v>1.25</v>
      </c>
    </row>
    <row r="386" spans="14:17">
      <c r="N386" s="23" t="s">
        <v>11</v>
      </c>
      <c r="O386" s="24">
        <v>2049058</v>
      </c>
      <c r="P386" s="25">
        <v>140</v>
      </c>
      <c r="Q386" s="26">
        <v>1.25</v>
      </c>
    </row>
    <row r="387" spans="14:17">
      <c r="N387" s="23" t="s">
        <v>9</v>
      </c>
      <c r="O387" s="24">
        <v>5252716</v>
      </c>
      <c r="P387" s="25">
        <v>150</v>
      </c>
      <c r="Q387" s="26">
        <v>1</v>
      </c>
    </row>
    <row r="388" spans="14:17">
      <c r="N388" s="23" t="s">
        <v>9</v>
      </c>
      <c r="O388" s="24">
        <v>1956406</v>
      </c>
      <c r="P388" s="25">
        <v>130</v>
      </c>
      <c r="Q388" s="26">
        <v>1</v>
      </c>
    </row>
    <row r="389" spans="14:17">
      <c r="N389" s="23" t="s">
        <v>9</v>
      </c>
      <c r="O389" s="24">
        <v>4023872</v>
      </c>
      <c r="P389" s="25">
        <v>120</v>
      </c>
      <c r="Q389" s="26">
        <v>1</v>
      </c>
    </row>
    <row r="390" spans="14:17">
      <c r="N390" s="23" t="s">
        <v>11</v>
      </c>
      <c r="O390" s="24">
        <v>2464747</v>
      </c>
      <c r="P390" s="25">
        <v>150</v>
      </c>
      <c r="Q390" s="26">
        <v>1.25</v>
      </c>
    </row>
    <row r="391" spans="14:17">
      <c r="N391" s="23" t="s">
        <v>11</v>
      </c>
      <c r="O391" s="24">
        <v>7139819</v>
      </c>
      <c r="P391" s="25">
        <v>150</v>
      </c>
      <c r="Q391" s="26">
        <v>1.25</v>
      </c>
    </row>
    <row r="392" spans="14:17">
      <c r="N392" s="23" t="s">
        <v>11</v>
      </c>
      <c r="O392" s="24">
        <v>8242020</v>
      </c>
      <c r="P392" s="25">
        <v>150</v>
      </c>
      <c r="Q392" s="26">
        <v>1.25</v>
      </c>
    </row>
    <row r="393" spans="14:17">
      <c r="N393" s="23" t="s">
        <v>9</v>
      </c>
      <c r="O393" s="24">
        <v>4019290</v>
      </c>
      <c r="P393" s="25">
        <v>130</v>
      </c>
      <c r="Q393" s="26">
        <v>1</v>
      </c>
    </row>
    <row r="394" spans="14:17">
      <c r="N394" s="23" t="s">
        <v>9</v>
      </c>
      <c r="O394" s="24">
        <v>2697407</v>
      </c>
      <c r="P394" s="25">
        <v>120</v>
      </c>
      <c r="Q394" s="26">
        <v>1</v>
      </c>
    </row>
    <row r="395" spans="14:17">
      <c r="N395" s="23" t="s">
        <v>9</v>
      </c>
      <c r="O395" s="24">
        <v>6379604</v>
      </c>
      <c r="P395" s="25">
        <v>150</v>
      </c>
      <c r="Q395" s="26">
        <v>1</v>
      </c>
    </row>
    <row r="396" spans="14:17">
      <c r="N396" s="23" t="s">
        <v>9</v>
      </c>
      <c r="O396" s="24">
        <v>3698137</v>
      </c>
      <c r="P396" s="25">
        <v>140</v>
      </c>
      <c r="Q396" s="26">
        <v>1</v>
      </c>
    </row>
    <row r="397" spans="14:17">
      <c r="N397" s="23" t="s">
        <v>9</v>
      </c>
      <c r="O397" s="24">
        <v>4094497</v>
      </c>
      <c r="P397" s="25">
        <v>140</v>
      </c>
      <c r="Q397" s="26">
        <v>1</v>
      </c>
    </row>
    <row r="398" spans="14:17">
      <c r="N398" s="23" t="s">
        <v>9</v>
      </c>
      <c r="O398" s="24">
        <v>6998662</v>
      </c>
      <c r="P398" s="25">
        <v>120</v>
      </c>
      <c r="Q398" s="26">
        <v>1</v>
      </c>
    </row>
    <row r="399" spans="14:17">
      <c r="N399" s="23" t="s">
        <v>9</v>
      </c>
      <c r="O399" s="24">
        <v>4365482</v>
      </c>
      <c r="P399" s="25">
        <v>150</v>
      </c>
      <c r="Q399" s="26">
        <v>1</v>
      </c>
    </row>
    <row r="400" spans="14:17">
      <c r="N400" s="23" t="s">
        <v>9</v>
      </c>
      <c r="O400" s="24">
        <v>3733486</v>
      </c>
      <c r="P400" s="25">
        <v>130</v>
      </c>
      <c r="Q400" s="26">
        <v>1</v>
      </c>
    </row>
    <row r="401" spans="14:17">
      <c r="N401" s="23" t="s">
        <v>9</v>
      </c>
      <c r="O401" s="24">
        <v>5089690</v>
      </c>
      <c r="P401" s="25">
        <v>150</v>
      </c>
      <c r="Q401" s="26">
        <v>1</v>
      </c>
    </row>
    <row r="402" spans="14:17">
      <c r="N402" s="23" t="s">
        <v>9</v>
      </c>
      <c r="O402" s="24">
        <v>4843790</v>
      </c>
      <c r="P402" s="25">
        <v>130</v>
      </c>
      <c r="Q402" s="26">
        <v>1</v>
      </c>
    </row>
    <row r="403" spans="14:17">
      <c r="N403" s="23" t="s">
        <v>11</v>
      </c>
      <c r="O403" s="24">
        <v>3369764</v>
      </c>
      <c r="P403" s="25">
        <v>150</v>
      </c>
      <c r="Q403" s="26">
        <v>1.25</v>
      </c>
    </row>
    <row r="404" spans="14:17">
      <c r="N404" s="23" t="s">
        <v>11</v>
      </c>
      <c r="O404" s="24">
        <v>9898987</v>
      </c>
      <c r="P404" s="25">
        <v>140</v>
      </c>
      <c r="Q404" s="26">
        <v>1.25</v>
      </c>
    </row>
    <row r="405" spans="14:17">
      <c r="N405" s="23" t="s">
        <v>11</v>
      </c>
      <c r="O405" s="24">
        <v>4233772</v>
      </c>
      <c r="P405" s="25">
        <v>150</v>
      </c>
      <c r="Q405" s="26">
        <v>1.25</v>
      </c>
    </row>
    <row r="406" spans="14:17">
      <c r="N406" s="23" t="s">
        <v>9</v>
      </c>
      <c r="O406" s="24">
        <v>4509421</v>
      </c>
      <c r="P406" s="25">
        <v>150</v>
      </c>
      <c r="Q406" s="26">
        <v>1</v>
      </c>
    </row>
    <row r="407" spans="14:17">
      <c r="N407" s="23" t="s">
        <v>9</v>
      </c>
      <c r="O407" s="24">
        <v>7364745</v>
      </c>
      <c r="P407" s="25">
        <v>140</v>
      </c>
      <c r="Q407" s="26">
        <v>1</v>
      </c>
    </row>
    <row r="408" spans="14:17">
      <c r="N408" s="23" t="s">
        <v>9</v>
      </c>
      <c r="O408" s="24">
        <v>3006383</v>
      </c>
      <c r="P408" s="25">
        <v>130</v>
      </c>
      <c r="Q408" s="26">
        <v>1</v>
      </c>
    </row>
    <row r="409" spans="14:17">
      <c r="N409" s="23" t="s">
        <v>9</v>
      </c>
      <c r="O409" s="24">
        <v>6488493</v>
      </c>
      <c r="P409" s="25">
        <v>140</v>
      </c>
      <c r="Q409" s="26">
        <v>1</v>
      </c>
    </row>
    <row r="410" spans="14:17">
      <c r="N410" s="23" t="s">
        <v>9</v>
      </c>
      <c r="O410" s="24">
        <v>2240013</v>
      </c>
      <c r="P410" s="25">
        <v>140</v>
      </c>
      <c r="Q410" s="26">
        <v>1</v>
      </c>
    </row>
    <row r="411" spans="14:17">
      <c r="N411" s="23" t="s">
        <v>9</v>
      </c>
      <c r="O411" s="24">
        <v>6115168</v>
      </c>
      <c r="P411" s="25">
        <v>130</v>
      </c>
      <c r="Q411" s="26">
        <v>1</v>
      </c>
    </row>
    <row r="412" spans="14:17">
      <c r="N412" s="23" t="s">
        <v>9</v>
      </c>
      <c r="O412" s="24">
        <v>9314675</v>
      </c>
      <c r="P412" s="25">
        <v>130</v>
      </c>
      <c r="Q412" s="26">
        <v>1</v>
      </c>
    </row>
    <row r="413" spans="14:17">
      <c r="N413" s="23" t="s">
        <v>11</v>
      </c>
      <c r="O413" s="24">
        <v>9481952</v>
      </c>
      <c r="P413" s="25">
        <v>140</v>
      </c>
      <c r="Q413" s="26">
        <v>1.25</v>
      </c>
    </row>
    <row r="414" spans="14:17">
      <c r="N414" s="23" t="s">
        <v>11</v>
      </c>
      <c r="O414" s="24">
        <v>7476815</v>
      </c>
      <c r="P414" s="25">
        <v>150</v>
      </c>
      <c r="Q414" s="26">
        <v>1.25</v>
      </c>
    </row>
    <row r="415" spans="14:17">
      <c r="N415" s="23" t="s">
        <v>9</v>
      </c>
      <c r="O415" s="24">
        <v>4749185</v>
      </c>
      <c r="P415" s="25">
        <v>140</v>
      </c>
      <c r="Q415" s="26">
        <v>1</v>
      </c>
    </row>
    <row r="416" spans="14:17">
      <c r="N416" s="23" t="s">
        <v>9</v>
      </c>
      <c r="O416" s="24">
        <v>1291733</v>
      </c>
      <c r="P416" s="25">
        <v>120</v>
      </c>
      <c r="Q416" s="26">
        <v>1</v>
      </c>
    </row>
    <row r="417" spans="14:17">
      <c r="N417" s="23" t="s">
        <v>9</v>
      </c>
      <c r="O417" s="24">
        <v>6269963</v>
      </c>
      <c r="P417" s="25">
        <v>120</v>
      </c>
      <c r="Q417" s="26">
        <v>1</v>
      </c>
    </row>
    <row r="418" spans="14:17">
      <c r="N418" s="23" t="s">
        <v>9</v>
      </c>
      <c r="O418" s="24">
        <v>6751649</v>
      </c>
      <c r="P418" s="25">
        <v>140</v>
      </c>
      <c r="Q418" s="26">
        <v>1</v>
      </c>
    </row>
    <row r="419" spans="14:17">
      <c r="N419" s="23" t="s">
        <v>11</v>
      </c>
      <c r="O419" s="24">
        <v>9357509</v>
      </c>
      <c r="P419" s="25">
        <v>150</v>
      </c>
      <c r="Q419" s="26">
        <v>1.25</v>
      </c>
    </row>
    <row r="420" spans="14:17">
      <c r="N420" s="23" t="s">
        <v>9</v>
      </c>
      <c r="O420" s="24">
        <v>8123285</v>
      </c>
      <c r="P420" s="25">
        <v>150</v>
      </c>
      <c r="Q420" s="26">
        <v>1</v>
      </c>
    </row>
    <row r="421" spans="14:17">
      <c r="N421" s="23" t="s">
        <v>9</v>
      </c>
      <c r="O421" s="24">
        <v>8442810</v>
      </c>
      <c r="P421" s="25">
        <v>130</v>
      </c>
      <c r="Q421" s="26">
        <v>1</v>
      </c>
    </row>
    <row r="422" spans="14:17">
      <c r="N422" s="23" t="s">
        <v>11</v>
      </c>
      <c r="O422" s="24">
        <v>3139691</v>
      </c>
      <c r="P422" s="25">
        <v>140</v>
      </c>
      <c r="Q422" s="26">
        <v>1.25</v>
      </c>
    </row>
    <row r="423" spans="14:17">
      <c r="N423" s="23" t="s">
        <v>9</v>
      </c>
      <c r="O423" s="24">
        <v>7326606</v>
      </c>
      <c r="P423" s="25">
        <v>140</v>
      </c>
      <c r="Q423" s="26">
        <v>1</v>
      </c>
    </row>
    <row r="424" spans="14:17">
      <c r="N424" s="23" t="s">
        <v>11</v>
      </c>
      <c r="O424" s="24">
        <v>4632707</v>
      </c>
      <c r="P424" s="25">
        <v>140</v>
      </c>
      <c r="Q424" s="26">
        <v>1.25</v>
      </c>
    </row>
    <row r="425" spans="14:17">
      <c r="N425" s="23" t="s">
        <v>11</v>
      </c>
      <c r="O425" s="24">
        <v>7225312</v>
      </c>
      <c r="P425" s="25">
        <v>150</v>
      </c>
      <c r="Q425" s="26">
        <v>1.25</v>
      </c>
    </row>
    <row r="426" spans="14:17">
      <c r="N426" s="23" t="s">
        <v>9</v>
      </c>
      <c r="O426" s="24">
        <v>7745085</v>
      </c>
      <c r="P426" s="25">
        <v>150</v>
      </c>
      <c r="Q426" s="26">
        <v>1</v>
      </c>
    </row>
    <row r="427" spans="14:17">
      <c r="N427" s="23" t="s">
        <v>9</v>
      </c>
      <c r="O427" s="24">
        <v>5892466</v>
      </c>
      <c r="P427" s="25">
        <v>140</v>
      </c>
      <c r="Q427" s="26">
        <v>1</v>
      </c>
    </row>
    <row r="428" spans="14:17">
      <c r="N428" s="23" t="s">
        <v>9</v>
      </c>
      <c r="O428" s="24">
        <v>9786580</v>
      </c>
      <c r="P428" s="25">
        <v>130</v>
      </c>
      <c r="Q428" s="26">
        <v>1</v>
      </c>
    </row>
    <row r="429" spans="14:17">
      <c r="N429" s="23" t="s">
        <v>9</v>
      </c>
      <c r="O429" s="24">
        <v>2051485</v>
      </c>
      <c r="P429" s="25">
        <v>140</v>
      </c>
      <c r="Q429" s="26">
        <v>1</v>
      </c>
    </row>
    <row r="430" spans="14:17">
      <c r="N430" s="23" t="s">
        <v>11</v>
      </c>
      <c r="O430" s="24">
        <v>7575286</v>
      </c>
      <c r="P430" s="25">
        <v>140</v>
      </c>
      <c r="Q430" s="26">
        <v>1.25</v>
      </c>
    </row>
    <row r="431" spans="14:17">
      <c r="N431" s="23" t="s">
        <v>11</v>
      </c>
      <c r="O431" s="24">
        <v>8758597</v>
      </c>
      <c r="P431" s="25">
        <v>140</v>
      </c>
      <c r="Q431" s="26">
        <v>1.25</v>
      </c>
    </row>
    <row r="432" spans="14:17">
      <c r="N432" s="23" t="s">
        <v>9</v>
      </c>
      <c r="O432" s="24">
        <v>4644875</v>
      </c>
      <c r="P432" s="25">
        <v>150</v>
      </c>
      <c r="Q432" s="26">
        <v>1</v>
      </c>
    </row>
    <row r="433" spans="14:17">
      <c r="N433" s="23" t="s">
        <v>9</v>
      </c>
      <c r="O433" s="24">
        <v>3570648</v>
      </c>
      <c r="P433" s="25">
        <v>150</v>
      </c>
      <c r="Q433" s="26">
        <v>1</v>
      </c>
    </row>
    <row r="434" spans="14:17">
      <c r="N434" s="23" t="s">
        <v>9</v>
      </c>
      <c r="O434" s="24">
        <v>9591800</v>
      </c>
      <c r="P434" s="25">
        <v>140</v>
      </c>
      <c r="Q434" s="26">
        <v>1</v>
      </c>
    </row>
    <row r="435" spans="14:17">
      <c r="N435" s="23" t="s">
        <v>9</v>
      </c>
      <c r="O435" s="24">
        <v>7747163</v>
      </c>
      <c r="P435" s="25">
        <v>130</v>
      </c>
      <c r="Q435" s="26">
        <v>1</v>
      </c>
    </row>
    <row r="436" spans="14:17">
      <c r="N436" s="23" t="s">
        <v>9</v>
      </c>
      <c r="O436" s="24">
        <v>8580278</v>
      </c>
      <c r="P436" s="25">
        <v>150</v>
      </c>
      <c r="Q436" s="26">
        <v>1</v>
      </c>
    </row>
    <row r="437" spans="14:17">
      <c r="N437" s="23" t="s">
        <v>11</v>
      </c>
      <c r="O437" s="24">
        <v>9741329</v>
      </c>
      <c r="P437" s="25">
        <v>150</v>
      </c>
      <c r="Q437" s="26">
        <v>1.25</v>
      </c>
    </row>
    <row r="438" spans="14:17">
      <c r="N438" s="23" t="s">
        <v>9</v>
      </c>
      <c r="O438" s="24">
        <v>6797286</v>
      </c>
      <c r="P438" s="25">
        <v>140</v>
      </c>
      <c r="Q438" s="26">
        <v>1</v>
      </c>
    </row>
    <row r="439" spans="14:17">
      <c r="N439" s="23" t="s">
        <v>9</v>
      </c>
      <c r="O439" s="24">
        <v>2431405</v>
      </c>
      <c r="P439" s="25">
        <v>140</v>
      </c>
      <c r="Q439" s="26">
        <v>1</v>
      </c>
    </row>
    <row r="440" spans="14:17">
      <c r="N440" s="23" t="s">
        <v>9</v>
      </c>
      <c r="O440" s="24">
        <v>9564866</v>
      </c>
      <c r="P440" s="25">
        <v>140</v>
      </c>
      <c r="Q440" s="26">
        <v>1</v>
      </c>
    </row>
    <row r="441" spans="14:17">
      <c r="N441" s="23" t="s">
        <v>9</v>
      </c>
      <c r="O441" s="24">
        <v>8078448</v>
      </c>
      <c r="P441" s="25">
        <v>150</v>
      </c>
      <c r="Q441" s="26">
        <v>1</v>
      </c>
    </row>
    <row r="442" spans="14:17">
      <c r="N442" s="23" t="s">
        <v>9</v>
      </c>
      <c r="O442" s="24">
        <v>6357377</v>
      </c>
      <c r="P442" s="25">
        <v>130</v>
      </c>
      <c r="Q442" s="26">
        <v>1</v>
      </c>
    </row>
    <row r="443" spans="14:17">
      <c r="N443" s="23" t="s">
        <v>9</v>
      </c>
      <c r="O443" s="24">
        <v>3997292</v>
      </c>
      <c r="P443" s="25">
        <v>140</v>
      </c>
      <c r="Q443" s="26">
        <v>1</v>
      </c>
    </row>
    <row r="444" spans="14:17">
      <c r="N444" s="23" t="s">
        <v>9</v>
      </c>
      <c r="O444" s="24">
        <v>5775030</v>
      </c>
      <c r="P444" s="25">
        <v>130</v>
      </c>
      <c r="Q444" s="26">
        <v>1</v>
      </c>
    </row>
    <row r="445" spans="14:17">
      <c r="N445" s="23" t="s">
        <v>9</v>
      </c>
      <c r="O445" s="24">
        <v>6576339</v>
      </c>
      <c r="P445" s="25">
        <v>140</v>
      </c>
      <c r="Q445" s="26">
        <v>1</v>
      </c>
    </row>
    <row r="446" spans="14:17">
      <c r="N446" s="23" t="s">
        <v>11</v>
      </c>
      <c r="O446" s="24">
        <v>3015477</v>
      </c>
      <c r="P446" s="25">
        <v>140</v>
      </c>
      <c r="Q446" s="26">
        <v>1.25</v>
      </c>
    </row>
    <row r="447" spans="14:17">
      <c r="N447" s="23" t="s">
        <v>11</v>
      </c>
      <c r="O447" s="24">
        <v>3394584</v>
      </c>
      <c r="P447" s="25">
        <v>150</v>
      </c>
      <c r="Q447" s="26">
        <v>1.25</v>
      </c>
    </row>
    <row r="448" spans="14:17">
      <c r="N448" s="23" t="s">
        <v>9</v>
      </c>
      <c r="O448" s="24">
        <v>2464262</v>
      </c>
      <c r="P448" s="25">
        <v>120</v>
      </c>
      <c r="Q448" s="26">
        <v>1</v>
      </c>
    </row>
    <row r="449" spans="14:17">
      <c r="N449" s="23" t="s">
        <v>9</v>
      </c>
      <c r="O449" s="24">
        <v>9372835</v>
      </c>
      <c r="P449" s="25">
        <v>150</v>
      </c>
      <c r="Q449" s="26">
        <v>1</v>
      </c>
    </row>
    <row r="450" spans="14:17">
      <c r="N450" s="23" t="s">
        <v>9</v>
      </c>
      <c r="O450" s="24">
        <v>8182313</v>
      </c>
      <c r="P450" s="25">
        <v>130</v>
      </c>
      <c r="Q450" s="26">
        <v>1</v>
      </c>
    </row>
    <row r="451" spans="14:17">
      <c r="N451" s="23" t="s">
        <v>11</v>
      </c>
      <c r="O451" s="24">
        <v>4233937</v>
      </c>
      <c r="P451" s="25">
        <v>150</v>
      </c>
      <c r="Q451" s="26">
        <v>1.25</v>
      </c>
    </row>
    <row r="452" spans="14:17">
      <c r="N452" s="23" t="s">
        <v>11</v>
      </c>
      <c r="O452" s="24">
        <v>2909981</v>
      </c>
      <c r="P452" s="25">
        <v>140</v>
      </c>
      <c r="Q452" s="26">
        <v>1.25</v>
      </c>
    </row>
    <row r="453" spans="14:17">
      <c r="N453" s="23" t="s">
        <v>9</v>
      </c>
      <c r="O453" s="24">
        <v>9791449</v>
      </c>
      <c r="P453" s="25">
        <v>150</v>
      </c>
      <c r="Q453" s="26">
        <v>1</v>
      </c>
    </row>
    <row r="454" spans="14:17">
      <c r="N454" s="23" t="s">
        <v>9</v>
      </c>
      <c r="O454" s="24">
        <v>8880100</v>
      </c>
      <c r="P454" s="25">
        <v>130</v>
      </c>
      <c r="Q454" s="26">
        <v>1</v>
      </c>
    </row>
    <row r="455" spans="14:17">
      <c r="N455" s="23" t="s">
        <v>9</v>
      </c>
      <c r="O455" s="24">
        <v>7990910</v>
      </c>
      <c r="P455" s="25">
        <v>130</v>
      </c>
      <c r="Q455" s="26">
        <v>1</v>
      </c>
    </row>
    <row r="456" spans="14:17">
      <c r="N456" s="23" t="s">
        <v>9</v>
      </c>
      <c r="O456" s="24">
        <v>2905769</v>
      </c>
      <c r="P456" s="25">
        <v>130</v>
      </c>
      <c r="Q456" s="26">
        <v>1</v>
      </c>
    </row>
    <row r="457" spans="14:17">
      <c r="N457" s="23" t="s">
        <v>11</v>
      </c>
      <c r="O457" s="24">
        <v>6554512</v>
      </c>
      <c r="P457" s="25">
        <v>140</v>
      </c>
      <c r="Q457" s="26">
        <v>1.25</v>
      </c>
    </row>
    <row r="458" spans="14:17">
      <c r="N458" s="23" t="s">
        <v>9</v>
      </c>
      <c r="O458" s="24">
        <v>7382886</v>
      </c>
      <c r="P458" s="25">
        <v>150</v>
      </c>
      <c r="Q458" s="26">
        <v>1</v>
      </c>
    </row>
    <row r="459" spans="14:17">
      <c r="N459" s="23" t="s">
        <v>9</v>
      </c>
      <c r="O459" s="24">
        <v>8976589</v>
      </c>
      <c r="P459" s="25">
        <v>130</v>
      </c>
      <c r="Q459" s="26">
        <v>1</v>
      </c>
    </row>
    <row r="460" spans="14:17">
      <c r="N460" s="23" t="s">
        <v>9</v>
      </c>
      <c r="O460" s="24">
        <v>3357084</v>
      </c>
      <c r="P460" s="25">
        <v>140</v>
      </c>
      <c r="Q460" s="26">
        <v>1</v>
      </c>
    </row>
    <row r="461" spans="14:17">
      <c r="N461" s="23" t="s">
        <v>9</v>
      </c>
      <c r="O461" s="24">
        <v>2099097</v>
      </c>
      <c r="P461" s="25">
        <v>150</v>
      </c>
      <c r="Q461" s="26">
        <v>1</v>
      </c>
    </row>
    <row r="462" spans="14:17">
      <c r="N462" s="23" t="s">
        <v>9</v>
      </c>
      <c r="O462" s="24">
        <v>4781921</v>
      </c>
      <c r="P462" s="25">
        <v>140</v>
      </c>
      <c r="Q462" s="26">
        <v>1</v>
      </c>
    </row>
    <row r="463" spans="14:17">
      <c r="N463" s="23" t="s">
        <v>9</v>
      </c>
      <c r="O463" s="24">
        <v>6128102</v>
      </c>
      <c r="P463" s="25">
        <v>130</v>
      </c>
      <c r="Q463" s="26">
        <v>1</v>
      </c>
    </row>
    <row r="464" spans="14:17">
      <c r="N464" s="23" t="s">
        <v>9</v>
      </c>
      <c r="O464" s="24">
        <v>6980732</v>
      </c>
      <c r="P464" s="25">
        <v>120</v>
      </c>
      <c r="Q464" s="26">
        <v>1</v>
      </c>
    </row>
    <row r="465" spans="14:17">
      <c r="N465" s="23" t="s">
        <v>11</v>
      </c>
      <c r="O465" s="24">
        <v>1991365</v>
      </c>
      <c r="P465" s="25">
        <v>140</v>
      </c>
      <c r="Q465" s="26">
        <v>1.25</v>
      </c>
    </row>
    <row r="466" spans="14:17">
      <c r="N466" s="23" t="s">
        <v>9</v>
      </c>
      <c r="O466" s="24">
        <v>3174873</v>
      </c>
      <c r="P466" s="25">
        <v>150</v>
      </c>
      <c r="Q466" s="26">
        <v>1</v>
      </c>
    </row>
    <row r="467" spans="14:17">
      <c r="N467" s="23" t="s">
        <v>11</v>
      </c>
      <c r="O467" s="24">
        <v>4025620</v>
      </c>
      <c r="P467" s="25">
        <v>150</v>
      </c>
      <c r="Q467" s="26">
        <v>1.25</v>
      </c>
    </row>
    <row r="468" spans="14:17">
      <c r="N468" s="23" t="s">
        <v>9</v>
      </c>
      <c r="O468" s="24">
        <v>8885990</v>
      </c>
      <c r="P468" s="25">
        <v>150</v>
      </c>
      <c r="Q468" s="26">
        <v>1</v>
      </c>
    </row>
    <row r="469" spans="14:17">
      <c r="N469" s="23" t="s">
        <v>9</v>
      </c>
      <c r="O469" s="24">
        <v>2498256</v>
      </c>
      <c r="P469" s="25">
        <v>150</v>
      </c>
      <c r="Q469" s="26">
        <v>1</v>
      </c>
    </row>
    <row r="470" spans="14:17">
      <c r="N470" s="23" t="s">
        <v>9</v>
      </c>
      <c r="O470" s="24">
        <v>3647752</v>
      </c>
      <c r="P470" s="25">
        <v>150</v>
      </c>
      <c r="Q470" s="26">
        <v>1</v>
      </c>
    </row>
    <row r="471" spans="14:17">
      <c r="N471" s="23" t="s">
        <v>9</v>
      </c>
      <c r="O471" s="24">
        <v>4746234</v>
      </c>
      <c r="P471" s="25">
        <v>130</v>
      </c>
      <c r="Q471" s="26">
        <v>1</v>
      </c>
    </row>
    <row r="472" spans="14:17">
      <c r="N472" s="23" t="s">
        <v>11</v>
      </c>
      <c r="O472" s="24">
        <v>5182497</v>
      </c>
      <c r="P472" s="25">
        <v>150</v>
      </c>
      <c r="Q472" s="26">
        <v>1.25</v>
      </c>
    </row>
    <row r="473" spans="14:17">
      <c r="N473" s="23" t="s">
        <v>9</v>
      </c>
      <c r="O473" s="24">
        <v>5893120</v>
      </c>
      <c r="P473" s="25">
        <v>130</v>
      </c>
      <c r="Q473" s="26">
        <v>1</v>
      </c>
    </row>
    <row r="474" spans="14:17">
      <c r="N474" s="23" t="s">
        <v>11</v>
      </c>
      <c r="O474" s="24">
        <v>7769397</v>
      </c>
      <c r="P474" s="25">
        <v>150</v>
      </c>
      <c r="Q474" s="26">
        <v>1.25</v>
      </c>
    </row>
    <row r="475" spans="14:17">
      <c r="N475" s="23" t="s">
        <v>11</v>
      </c>
      <c r="O475" s="24">
        <v>2544775</v>
      </c>
      <c r="P475" s="25">
        <v>140</v>
      </c>
      <c r="Q475" s="26">
        <v>1.25</v>
      </c>
    </row>
    <row r="476" spans="14:17">
      <c r="N476" s="23" t="s">
        <v>9</v>
      </c>
      <c r="O476" s="24">
        <v>3599173</v>
      </c>
      <c r="P476" s="25">
        <v>140</v>
      </c>
      <c r="Q476" s="26">
        <v>1</v>
      </c>
    </row>
    <row r="477" spans="14:17">
      <c r="N477" s="23" t="s">
        <v>9</v>
      </c>
      <c r="O477" s="24">
        <v>1014510</v>
      </c>
      <c r="P477" s="25">
        <v>130</v>
      </c>
      <c r="Q477" s="26">
        <v>1</v>
      </c>
    </row>
    <row r="478" spans="14:17">
      <c r="N478" s="23" t="s">
        <v>11</v>
      </c>
      <c r="O478" s="24">
        <v>5039849</v>
      </c>
      <c r="P478" s="25">
        <v>150</v>
      </c>
      <c r="Q478" s="26">
        <v>1.25</v>
      </c>
    </row>
    <row r="479" spans="14:17">
      <c r="N479" s="23" t="s">
        <v>9</v>
      </c>
      <c r="O479" s="24">
        <v>6553445</v>
      </c>
      <c r="P479" s="25">
        <v>150</v>
      </c>
      <c r="Q479" s="26">
        <v>1</v>
      </c>
    </row>
    <row r="480" spans="14:17">
      <c r="N480" s="23" t="s">
        <v>11</v>
      </c>
      <c r="O480" s="24">
        <v>8526617</v>
      </c>
      <c r="P480" s="25">
        <v>140</v>
      </c>
      <c r="Q480" s="26">
        <v>1.25</v>
      </c>
    </row>
    <row r="481" spans="14:17">
      <c r="N481" s="23" t="s">
        <v>11</v>
      </c>
      <c r="O481" s="24">
        <v>7190480</v>
      </c>
      <c r="P481" s="25">
        <v>140</v>
      </c>
      <c r="Q481" s="26">
        <v>1.25</v>
      </c>
    </row>
    <row r="482" spans="14:17">
      <c r="N482" s="23" t="s">
        <v>11</v>
      </c>
      <c r="O482" s="24">
        <v>3582004</v>
      </c>
      <c r="P482" s="25">
        <v>150</v>
      </c>
      <c r="Q482" s="26">
        <v>1.25</v>
      </c>
    </row>
    <row r="483" spans="14:17">
      <c r="N483" s="23" t="s">
        <v>11</v>
      </c>
      <c r="O483" s="24">
        <v>8826586</v>
      </c>
      <c r="P483" s="25">
        <v>140</v>
      </c>
      <c r="Q483" s="26">
        <v>1.25</v>
      </c>
    </row>
    <row r="484" spans="14:17">
      <c r="N484" s="23" t="s">
        <v>9</v>
      </c>
      <c r="O484" s="24">
        <v>5661472</v>
      </c>
      <c r="P484" s="25">
        <v>140</v>
      </c>
      <c r="Q484" s="26">
        <v>1</v>
      </c>
    </row>
    <row r="485" spans="14:17">
      <c r="N485" s="23" t="s">
        <v>11</v>
      </c>
      <c r="O485" s="24">
        <v>3042158</v>
      </c>
      <c r="P485" s="25">
        <v>150</v>
      </c>
      <c r="Q485" s="26">
        <v>1.25</v>
      </c>
    </row>
    <row r="486" spans="14:17">
      <c r="N486" s="23" t="s">
        <v>9</v>
      </c>
      <c r="O486" s="24">
        <v>8031988</v>
      </c>
      <c r="P486" s="25">
        <v>140</v>
      </c>
      <c r="Q486" s="26">
        <v>1</v>
      </c>
    </row>
    <row r="487" spans="14:17">
      <c r="N487" s="23" t="s">
        <v>9</v>
      </c>
      <c r="O487" s="24">
        <v>7270018</v>
      </c>
      <c r="P487" s="25">
        <v>140</v>
      </c>
      <c r="Q487" s="26">
        <v>1</v>
      </c>
    </row>
    <row r="488" spans="14:17">
      <c r="N488" s="23" t="s">
        <v>9</v>
      </c>
      <c r="O488" s="24">
        <v>3174375</v>
      </c>
      <c r="P488" s="25">
        <v>130</v>
      </c>
      <c r="Q488" s="26">
        <v>1</v>
      </c>
    </row>
    <row r="489" spans="14:17">
      <c r="N489" s="23" t="s">
        <v>9</v>
      </c>
      <c r="O489" s="24">
        <v>7044749</v>
      </c>
      <c r="P489" s="25">
        <v>130</v>
      </c>
      <c r="Q489" s="26">
        <v>1</v>
      </c>
    </row>
    <row r="490" spans="14:17">
      <c r="N490" s="23" t="s">
        <v>11</v>
      </c>
      <c r="O490" s="24">
        <v>3587906</v>
      </c>
      <c r="P490" s="25">
        <v>150</v>
      </c>
      <c r="Q490" s="26">
        <v>1.25</v>
      </c>
    </row>
    <row r="491" spans="14:17">
      <c r="N491" s="23" t="s">
        <v>11</v>
      </c>
      <c r="O491" s="24">
        <v>9136205</v>
      </c>
      <c r="P491" s="25">
        <v>140</v>
      </c>
      <c r="Q491" s="26">
        <v>1.25</v>
      </c>
    </row>
    <row r="492" spans="14:17">
      <c r="N492" s="23" t="s">
        <v>9</v>
      </c>
      <c r="O492" s="24">
        <v>7918635</v>
      </c>
      <c r="P492" s="25">
        <v>130</v>
      </c>
      <c r="Q492" s="26">
        <v>1</v>
      </c>
    </row>
    <row r="493" spans="14:17">
      <c r="N493" s="23" t="s">
        <v>11</v>
      </c>
      <c r="O493" s="24">
        <v>6885741</v>
      </c>
      <c r="P493" s="25">
        <v>150</v>
      </c>
      <c r="Q493" s="26">
        <v>1.25</v>
      </c>
    </row>
    <row r="494" spans="14:17">
      <c r="N494" s="23" t="s">
        <v>9</v>
      </c>
      <c r="O494" s="24">
        <v>8430229</v>
      </c>
      <c r="P494" s="25">
        <v>130</v>
      </c>
      <c r="Q494" s="26">
        <v>1</v>
      </c>
    </row>
    <row r="495" spans="14:17">
      <c r="N495" s="23" t="s">
        <v>9</v>
      </c>
      <c r="O495" s="24">
        <v>7715949</v>
      </c>
      <c r="P495" s="25">
        <v>140</v>
      </c>
      <c r="Q495" s="26">
        <v>1</v>
      </c>
    </row>
    <row r="496" spans="14:17">
      <c r="N496" s="23" t="s">
        <v>9</v>
      </c>
      <c r="O496" s="24">
        <v>8886566</v>
      </c>
      <c r="P496" s="25">
        <v>130</v>
      </c>
      <c r="Q496" s="26">
        <v>1</v>
      </c>
    </row>
    <row r="497" spans="14:17">
      <c r="N497" s="23" t="s">
        <v>9</v>
      </c>
      <c r="O497" s="24">
        <v>2317449</v>
      </c>
      <c r="P497" s="25">
        <v>150</v>
      </c>
      <c r="Q497" s="26">
        <v>1</v>
      </c>
    </row>
    <row r="498" spans="14:17">
      <c r="N498" s="23" t="s">
        <v>9</v>
      </c>
      <c r="O498" s="24">
        <v>4576775</v>
      </c>
      <c r="P498" s="25">
        <v>120</v>
      </c>
      <c r="Q498" s="26">
        <v>1</v>
      </c>
    </row>
    <row r="499" spans="14:17">
      <c r="N499" s="23" t="s">
        <v>9</v>
      </c>
      <c r="O499" s="24">
        <v>4809890</v>
      </c>
      <c r="P499" s="25">
        <v>150</v>
      </c>
      <c r="Q499" s="26">
        <v>1</v>
      </c>
    </row>
    <row r="500" spans="14:17">
      <c r="N500" s="23" t="s">
        <v>9</v>
      </c>
      <c r="O500" s="24">
        <v>2027981</v>
      </c>
      <c r="P500" s="25">
        <v>130</v>
      </c>
      <c r="Q500" s="26">
        <v>1</v>
      </c>
    </row>
    <row r="501" spans="14:17">
      <c r="N501" s="23" t="s">
        <v>11</v>
      </c>
      <c r="O501" s="24">
        <v>3907084</v>
      </c>
      <c r="P501" s="25">
        <v>150</v>
      </c>
      <c r="Q501" s="26">
        <v>1.25</v>
      </c>
    </row>
    <row r="502" spans="14:17">
      <c r="N502" s="23" t="s">
        <v>9</v>
      </c>
      <c r="O502" s="24">
        <v>8901687</v>
      </c>
      <c r="P502" s="25">
        <v>140</v>
      </c>
      <c r="Q502" s="26">
        <v>1</v>
      </c>
    </row>
    <row r="503" spans="14:17">
      <c r="N503" s="23" t="s">
        <v>9</v>
      </c>
      <c r="O503" s="24">
        <v>2291732</v>
      </c>
      <c r="P503" s="25">
        <v>150</v>
      </c>
      <c r="Q503" s="26">
        <v>1</v>
      </c>
    </row>
    <row r="504" spans="14:17">
      <c r="N504" s="23" t="s">
        <v>9</v>
      </c>
      <c r="O504" s="24">
        <v>7105218</v>
      </c>
      <c r="P504" s="25">
        <v>150</v>
      </c>
      <c r="Q504" s="26">
        <v>1</v>
      </c>
    </row>
    <row r="505" spans="14:17">
      <c r="N505" s="23" t="s">
        <v>9</v>
      </c>
      <c r="O505" s="24">
        <v>2017330</v>
      </c>
      <c r="P505" s="25">
        <v>130</v>
      </c>
      <c r="Q505" s="26">
        <v>1</v>
      </c>
    </row>
    <row r="506" spans="14:17">
      <c r="N506" s="23" t="s">
        <v>9</v>
      </c>
      <c r="O506" s="24">
        <v>5706335</v>
      </c>
      <c r="P506" s="25">
        <v>120</v>
      </c>
      <c r="Q506" s="26">
        <v>1</v>
      </c>
    </row>
    <row r="507" spans="14:17">
      <c r="N507" s="23" t="s">
        <v>9</v>
      </c>
      <c r="O507" s="24">
        <v>2494368</v>
      </c>
      <c r="P507" s="25">
        <v>130</v>
      </c>
      <c r="Q507" s="26">
        <v>1</v>
      </c>
    </row>
    <row r="508" spans="14:17">
      <c r="N508" s="23" t="s">
        <v>9</v>
      </c>
      <c r="O508" s="24">
        <v>8689018</v>
      </c>
      <c r="P508" s="25">
        <v>120</v>
      </c>
      <c r="Q508" s="26">
        <v>1</v>
      </c>
    </row>
    <row r="509" spans="14:17">
      <c r="N509" s="23" t="s">
        <v>11</v>
      </c>
      <c r="O509" s="24">
        <v>9962618</v>
      </c>
      <c r="P509" s="25">
        <v>140</v>
      </c>
      <c r="Q509" s="26">
        <v>1.25</v>
      </c>
    </row>
    <row r="510" spans="14:17">
      <c r="N510" s="23" t="s">
        <v>11</v>
      </c>
      <c r="O510" s="24">
        <v>4318686</v>
      </c>
      <c r="P510" s="25">
        <v>140</v>
      </c>
      <c r="Q510" s="26">
        <v>1.25</v>
      </c>
    </row>
    <row r="511" spans="14:17">
      <c r="N511" s="23" t="s">
        <v>11</v>
      </c>
      <c r="O511" s="24">
        <v>7056326</v>
      </c>
      <c r="P511" s="25">
        <v>150</v>
      </c>
      <c r="Q511" s="26">
        <v>1.25</v>
      </c>
    </row>
    <row r="512" spans="14:17">
      <c r="N512" s="23" t="s">
        <v>11</v>
      </c>
      <c r="O512" s="24">
        <v>8412058</v>
      </c>
      <c r="P512" s="25">
        <v>140</v>
      </c>
      <c r="Q512" s="26">
        <v>1.25</v>
      </c>
    </row>
    <row r="513" spans="14:17">
      <c r="N513" s="23" t="s">
        <v>9</v>
      </c>
      <c r="O513" s="24">
        <v>2377285</v>
      </c>
      <c r="P513" s="25">
        <v>130</v>
      </c>
      <c r="Q513" s="26">
        <v>1</v>
      </c>
    </row>
    <row r="514" spans="14:17">
      <c r="N514" s="23" t="s">
        <v>9</v>
      </c>
      <c r="O514" s="24">
        <v>2413751</v>
      </c>
      <c r="P514" s="25">
        <v>140</v>
      </c>
      <c r="Q514" s="26">
        <v>1</v>
      </c>
    </row>
    <row r="515" spans="14:17">
      <c r="N515" s="23" t="s">
        <v>11</v>
      </c>
      <c r="O515" s="24">
        <v>5940362</v>
      </c>
      <c r="P515" s="25">
        <v>140</v>
      </c>
      <c r="Q515" s="26">
        <v>1.25</v>
      </c>
    </row>
    <row r="516" spans="14:17">
      <c r="N516" s="23" t="s">
        <v>11</v>
      </c>
      <c r="O516" s="24">
        <v>1181256</v>
      </c>
      <c r="P516" s="25">
        <v>140</v>
      </c>
      <c r="Q516" s="26">
        <v>1.25</v>
      </c>
    </row>
    <row r="517" spans="14:17">
      <c r="N517" s="23" t="s">
        <v>9</v>
      </c>
      <c r="O517" s="24">
        <v>5844430</v>
      </c>
      <c r="P517" s="25">
        <v>140</v>
      </c>
      <c r="Q517" s="26">
        <v>1</v>
      </c>
    </row>
    <row r="518" spans="14:17">
      <c r="N518" s="23" t="s">
        <v>9</v>
      </c>
      <c r="O518" s="24">
        <v>2010331</v>
      </c>
      <c r="P518" s="25">
        <v>140</v>
      </c>
      <c r="Q518" s="26">
        <v>1</v>
      </c>
    </row>
    <row r="519" spans="14:17">
      <c r="N519" s="23" t="s">
        <v>9</v>
      </c>
      <c r="O519" s="24">
        <v>2165449</v>
      </c>
      <c r="P519" s="25">
        <v>140</v>
      </c>
      <c r="Q519" s="26">
        <v>1</v>
      </c>
    </row>
    <row r="520" spans="14:17">
      <c r="N520" s="23" t="s">
        <v>11</v>
      </c>
      <c r="O520" s="24">
        <v>2837101</v>
      </c>
      <c r="P520" s="25">
        <v>150</v>
      </c>
      <c r="Q520" s="26">
        <v>1.25</v>
      </c>
    </row>
    <row r="521" spans="14:17">
      <c r="N521" s="23" t="s">
        <v>9</v>
      </c>
      <c r="O521" s="24">
        <v>1157433</v>
      </c>
      <c r="P521" s="25">
        <v>140</v>
      </c>
      <c r="Q521" s="26">
        <v>1</v>
      </c>
    </row>
    <row r="522" spans="14:17">
      <c r="N522" s="23" t="s">
        <v>9</v>
      </c>
      <c r="O522" s="24">
        <v>3689838</v>
      </c>
      <c r="P522" s="25">
        <v>120</v>
      </c>
      <c r="Q522" s="26">
        <v>1</v>
      </c>
    </row>
    <row r="523" spans="14:17">
      <c r="N523" s="23" t="s">
        <v>11</v>
      </c>
      <c r="O523" s="24">
        <v>2315866</v>
      </c>
      <c r="P523" s="25">
        <v>140</v>
      </c>
      <c r="Q523" s="26">
        <v>1.25</v>
      </c>
    </row>
    <row r="524" spans="14:17">
      <c r="N524" s="23" t="s">
        <v>9</v>
      </c>
      <c r="O524" s="24">
        <v>7824395</v>
      </c>
      <c r="P524" s="25">
        <v>130</v>
      </c>
      <c r="Q524" s="26">
        <v>1</v>
      </c>
    </row>
    <row r="525" spans="14:17">
      <c r="N525" s="23" t="s">
        <v>9</v>
      </c>
      <c r="O525" s="24">
        <v>4888322</v>
      </c>
      <c r="P525" s="25">
        <v>140</v>
      </c>
      <c r="Q525" s="26">
        <v>1</v>
      </c>
    </row>
    <row r="526" spans="14:17">
      <c r="N526" s="23" t="s">
        <v>9</v>
      </c>
      <c r="O526" s="24">
        <v>1348905</v>
      </c>
      <c r="P526" s="25">
        <v>150</v>
      </c>
      <c r="Q526" s="26">
        <v>1</v>
      </c>
    </row>
    <row r="527" spans="14:17">
      <c r="N527" s="23" t="s">
        <v>11</v>
      </c>
      <c r="O527" s="24">
        <v>2163174</v>
      </c>
      <c r="P527" s="25">
        <v>150</v>
      </c>
      <c r="Q527" s="26">
        <v>1.25</v>
      </c>
    </row>
    <row r="528" spans="14:17">
      <c r="N528" s="23" t="s">
        <v>9</v>
      </c>
      <c r="O528" s="24">
        <v>7756084</v>
      </c>
      <c r="P528" s="25">
        <v>140</v>
      </c>
      <c r="Q528" s="26">
        <v>1</v>
      </c>
    </row>
    <row r="529" spans="14:17">
      <c r="N529" s="23" t="s">
        <v>9</v>
      </c>
      <c r="O529" s="24">
        <v>1123767</v>
      </c>
      <c r="P529" s="25">
        <v>140</v>
      </c>
      <c r="Q529" s="26">
        <v>1</v>
      </c>
    </row>
    <row r="530" spans="14:17">
      <c r="N530" s="23" t="s">
        <v>11</v>
      </c>
      <c r="O530" s="24">
        <v>8804809</v>
      </c>
      <c r="P530" s="25">
        <v>140</v>
      </c>
      <c r="Q530" s="26">
        <v>1.25</v>
      </c>
    </row>
    <row r="531" spans="14:17">
      <c r="N531" s="23" t="s">
        <v>9</v>
      </c>
      <c r="O531" s="24">
        <v>2254360</v>
      </c>
      <c r="P531" s="25">
        <v>120</v>
      </c>
      <c r="Q531" s="26">
        <v>1</v>
      </c>
    </row>
    <row r="532" spans="14:17">
      <c r="N532" s="23" t="s">
        <v>9</v>
      </c>
      <c r="O532" s="24">
        <v>5117116</v>
      </c>
      <c r="P532" s="25">
        <v>120</v>
      </c>
      <c r="Q532" s="26">
        <v>1</v>
      </c>
    </row>
    <row r="533" spans="14:17">
      <c r="N533" s="23" t="s">
        <v>9</v>
      </c>
      <c r="O533" s="24">
        <v>2426118</v>
      </c>
      <c r="P533" s="25">
        <v>120</v>
      </c>
      <c r="Q533" s="26">
        <v>1</v>
      </c>
    </row>
    <row r="534" spans="14:17">
      <c r="N534" s="23" t="s">
        <v>11</v>
      </c>
      <c r="O534" s="24">
        <v>8801908</v>
      </c>
      <c r="P534" s="25">
        <v>150</v>
      </c>
      <c r="Q534" s="26">
        <v>1.25</v>
      </c>
    </row>
    <row r="535" spans="14:17">
      <c r="N535" s="23" t="s">
        <v>11</v>
      </c>
      <c r="O535" s="24">
        <v>7192961</v>
      </c>
      <c r="P535" s="25">
        <v>150</v>
      </c>
      <c r="Q535" s="26">
        <v>1.25</v>
      </c>
    </row>
    <row r="536" spans="14:17">
      <c r="N536" s="23" t="s">
        <v>9</v>
      </c>
      <c r="O536" s="24">
        <v>2547191</v>
      </c>
      <c r="P536" s="25">
        <v>120</v>
      </c>
      <c r="Q536" s="26">
        <v>1</v>
      </c>
    </row>
    <row r="537" spans="14:17">
      <c r="N537" s="23" t="s">
        <v>9</v>
      </c>
      <c r="O537" s="24">
        <v>4753729</v>
      </c>
      <c r="P537" s="25">
        <v>120</v>
      </c>
      <c r="Q537" s="26">
        <v>1</v>
      </c>
    </row>
    <row r="538" spans="14:17">
      <c r="N538" s="23" t="s">
        <v>9</v>
      </c>
      <c r="O538" s="24">
        <v>5420746</v>
      </c>
      <c r="P538" s="25">
        <v>140</v>
      </c>
      <c r="Q538" s="26">
        <v>1</v>
      </c>
    </row>
    <row r="539" spans="14:17">
      <c r="N539" s="23" t="s">
        <v>11</v>
      </c>
      <c r="O539" s="24">
        <v>6699753</v>
      </c>
      <c r="P539" s="25">
        <v>150</v>
      </c>
      <c r="Q539" s="26">
        <v>1.25</v>
      </c>
    </row>
    <row r="540" spans="14:17">
      <c r="N540" s="23" t="s">
        <v>9</v>
      </c>
      <c r="O540" s="24">
        <v>5249975</v>
      </c>
      <c r="P540" s="25">
        <v>120</v>
      </c>
      <c r="Q540" s="26">
        <v>1</v>
      </c>
    </row>
    <row r="541" spans="14:17">
      <c r="N541" s="23" t="s">
        <v>9</v>
      </c>
      <c r="O541" s="24">
        <v>8409157</v>
      </c>
      <c r="P541" s="25">
        <v>140</v>
      </c>
      <c r="Q541" s="26">
        <v>1</v>
      </c>
    </row>
    <row r="542" spans="14:17">
      <c r="N542" s="23" t="s">
        <v>11</v>
      </c>
      <c r="O542" s="24">
        <v>3545824</v>
      </c>
      <c r="P542" s="25">
        <v>150</v>
      </c>
      <c r="Q542" s="26">
        <v>1.25</v>
      </c>
    </row>
    <row r="543" spans="14:17">
      <c r="N543" s="23" t="s">
        <v>11</v>
      </c>
      <c r="O543" s="24">
        <v>5218332</v>
      </c>
      <c r="P543" s="25">
        <v>140</v>
      </c>
      <c r="Q543" s="26">
        <v>1.25</v>
      </c>
    </row>
    <row r="544" spans="14:17">
      <c r="N544" s="23" t="s">
        <v>9</v>
      </c>
      <c r="O544" s="24">
        <v>2392014</v>
      </c>
      <c r="P544" s="25">
        <v>130</v>
      </c>
      <c r="Q544" s="26">
        <v>1</v>
      </c>
    </row>
    <row r="545" spans="14:17">
      <c r="N545" s="23" t="s">
        <v>9</v>
      </c>
      <c r="O545" s="24">
        <v>7965944</v>
      </c>
      <c r="P545" s="25">
        <v>140</v>
      </c>
      <c r="Q545" s="26">
        <v>1</v>
      </c>
    </row>
    <row r="546" spans="14:17">
      <c r="N546" s="23" t="s">
        <v>9</v>
      </c>
      <c r="O546" s="24">
        <v>8075984</v>
      </c>
      <c r="P546" s="25">
        <v>120</v>
      </c>
      <c r="Q546" s="26">
        <v>1</v>
      </c>
    </row>
    <row r="547" spans="14:17">
      <c r="N547" s="23" t="s">
        <v>11</v>
      </c>
      <c r="O547" s="24">
        <v>3716951</v>
      </c>
      <c r="P547" s="25">
        <v>150</v>
      </c>
      <c r="Q547" s="26">
        <v>1.25</v>
      </c>
    </row>
    <row r="548" spans="14:17">
      <c r="N548" s="23" t="s">
        <v>9</v>
      </c>
      <c r="O548" s="24">
        <v>1967126</v>
      </c>
      <c r="P548" s="25">
        <v>130</v>
      </c>
      <c r="Q548" s="26">
        <v>1</v>
      </c>
    </row>
    <row r="549" spans="14:17">
      <c r="N549" s="23" t="s">
        <v>9</v>
      </c>
      <c r="O549" s="24">
        <v>8270517</v>
      </c>
      <c r="P549" s="25">
        <v>120</v>
      </c>
      <c r="Q549" s="26">
        <v>1</v>
      </c>
    </row>
    <row r="550" spans="14:17">
      <c r="N550" s="23" t="s">
        <v>9</v>
      </c>
      <c r="O550" s="24">
        <v>2539825</v>
      </c>
      <c r="P550" s="25">
        <v>150</v>
      </c>
      <c r="Q550" s="26">
        <v>1</v>
      </c>
    </row>
    <row r="551" spans="14:17">
      <c r="N551" s="23" t="s">
        <v>11</v>
      </c>
      <c r="O551" s="24">
        <v>7674828</v>
      </c>
      <c r="P551" s="25">
        <v>150</v>
      </c>
      <c r="Q551" s="26">
        <v>1.25</v>
      </c>
    </row>
    <row r="552" spans="14:17">
      <c r="N552" s="23" t="s">
        <v>9</v>
      </c>
      <c r="O552" s="24">
        <v>3152081</v>
      </c>
      <c r="P552" s="25">
        <v>130</v>
      </c>
      <c r="Q552" s="26">
        <v>1</v>
      </c>
    </row>
    <row r="553" spans="14:17">
      <c r="N553" s="23" t="s">
        <v>9</v>
      </c>
      <c r="O553" s="24">
        <v>9500672</v>
      </c>
      <c r="P553" s="25">
        <v>140</v>
      </c>
      <c r="Q553" s="26">
        <v>1</v>
      </c>
    </row>
    <row r="554" spans="14:17">
      <c r="N554" s="23" t="s">
        <v>11</v>
      </c>
      <c r="O554" s="24">
        <v>4490479</v>
      </c>
      <c r="P554" s="25">
        <v>150</v>
      </c>
      <c r="Q554" s="26">
        <v>1.25</v>
      </c>
    </row>
    <row r="555" spans="14:17">
      <c r="N555" s="23" t="s">
        <v>9</v>
      </c>
      <c r="O555" s="24">
        <v>8483825</v>
      </c>
      <c r="P555" s="25">
        <v>150</v>
      </c>
      <c r="Q555" s="26">
        <v>1</v>
      </c>
    </row>
    <row r="556" spans="14:17">
      <c r="N556" s="23" t="s">
        <v>9</v>
      </c>
      <c r="O556" s="24">
        <v>8521176</v>
      </c>
      <c r="P556" s="25">
        <v>120</v>
      </c>
      <c r="Q556" s="26">
        <v>1</v>
      </c>
    </row>
    <row r="557" spans="14:17">
      <c r="N557" s="23" t="s">
        <v>9</v>
      </c>
      <c r="O557" s="24">
        <v>7354876</v>
      </c>
      <c r="P557" s="25">
        <v>150</v>
      </c>
      <c r="Q557" s="26">
        <v>1</v>
      </c>
    </row>
    <row r="558" spans="14:17">
      <c r="N558" s="23" t="s">
        <v>9</v>
      </c>
      <c r="O558" s="24">
        <v>5483426</v>
      </c>
      <c r="P558" s="25">
        <v>130</v>
      </c>
      <c r="Q558" s="26">
        <v>1</v>
      </c>
    </row>
    <row r="559" spans="14:17">
      <c r="N559" s="23" t="s">
        <v>11</v>
      </c>
      <c r="O559" s="24">
        <v>3943971</v>
      </c>
      <c r="P559" s="25">
        <v>150</v>
      </c>
      <c r="Q559" s="26">
        <v>1.25</v>
      </c>
    </row>
    <row r="560" spans="14:17">
      <c r="N560" s="23" t="s">
        <v>9</v>
      </c>
      <c r="O560" s="24">
        <v>9845040</v>
      </c>
      <c r="P560" s="25">
        <v>140</v>
      </c>
      <c r="Q560" s="26">
        <v>1</v>
      </c>
    </row>
    <row r="561" spans="14:17">
      <c r="N561" s="23" t="s">
        <v>9</v>
      </c>
      <c r="O561" s="24">
        <v>4907231</v>
      </c>
      <c r="P561" s="25">
        <v>140</v>
      </c>
      <c r="Q561" s="26">
        <v>1</v>
      </c>
    </row>
    <row r="562" spans="14:17">
      <c r="N562" s="23" t="s">
        <v>9</v>
      </c>
      <c r="O562" s="24">
        <v>3062377</v>
      </c>
      <c r="P562" s="25">
        <v>130</v>
      </c>
      <c r="Q562" s="26">
        <v>1</v>
      </c>
    </row>
    <row r="563" spans="14:17">
      <c r="N563" s="23" t="s">
        <v>9</v>
      </c>
      <c r="O563" s="24">
        <v>2869154</v>
      </c>
      <c r="P563" s="25">
        <v>150</v>
      </c>
      <c r="Q563" s="26">
        <v>1</v>
      </c>
    </row>
    <row r="564" spans="14:17">
      <c r="N564" s="23" t="s">
        <v>9</v>
      </c>
      <c r="O564" s="24">
        <v>2827967</v>
      </c>
      <c r="P564" s="25">
        <v>150</v>
      </c>
      <c r="Q564" s="26">
        <v>1</v>
      </c>
    </row>
    <row r="565" spans="14:17">
      <c r="N565" s="23" t="s">
        <v>11</v>
      </c>
      <c r="O565" s="24">
        <v>2814206</v>
      </c>
      <c r="P565" s="25">
        <v>150</v>
      </c>
      <c r="Q565" s="26">
        <v>1.25</v>
      </c>
    </row>
    <row r="566" spans="14:17">
      <c r="N566" s="23" t="s">
        <v>11</v>
      </c>
      <c r="O566" s="24">
        <v>6178457</v>
      </c>
      <c r="P566" s="25">
        <v>140</v>
      </c>
      <c r="Q566" s="26">
        <v>1.25</v>
      </c>
    </row>
    <row r="567" spans="14:17">
      <c r="N567" s="23" t="s">
        <v>9</v>
      </c>
      <c r="O567" s="24">
        <v>3229840</v>
      </c>
      <c r="P567" s="25">
        <v>120</v>
      </c>
      <c r="Q567" s="26">
        <v>1</v>
      </c>
    </row>
    <row r="568" spans="14:17">
      <c r="N568" s="23" t="s">
        <v>11</v>
      </c>
      <c r="O568" s="24">
        <v>8828987</v>
      </c>
      <c r="P568" s="25">
        <v>140</v>
      </c>
      <c r="Q568" s="26">
        <v>1.25</v>
      </c>
    </row>
    <row r="569" spans="14:17">
      <c r="N569" s="23" t="s">
        <v>9</v>
      </c>
      <c r="O569" s="24">
        <v>6300568</v>
      </c>
      <c r="P569" s="25">
        <v>140</v>
      </c>
      <c r="Q569" s="26">
        <v>1</v>
      </c>
    </row>
    <row r="570" spans="14:17">
      <c r="N570" s="23" t="s">
        <v>9</v>
      </c>
      <c r="O570" s="24">
        <v>9376083</v>
      </c>
      <c r="P570" s="25">
        <v>130</v>
      </c>
      <c r="Q570" s="26">
        <v>1</v>
      </c>
    </row>
    <row r="571" spans="14:17">
      <c r="N571" s="23" t="s">
        <v>9</v>
      </c>
      <c r="O571" s="24">
        <v>6202042</v>
      </c>
      <c r="P571" s="25">
        <v>140</v>
      </c>
      <c r="Q571" s="26">
        <v>1</v>
      </c>
    </row>
    <row r="572" spans="14:17">
      <c r="N572" s="23" t="s">
        <v>9</v>
      </c>
      <c r="O572" s="24">
        <v>6808333</v>
      </c>
      <c r="P572" s="25">
        <v>120</v>
      </c>
      <c r="Q572" s="26">
        <v>1</v>
      </c>
    </row>
    <row r="573" spans="14:17">
      <c r="N573" s="23" t="s">
        <v>9</v>
      </c>
      <c r="O573" s="24">
        <v>1020924</v>
      </c>
      <c r="P573" s="25">
        <v>120</v>
      </c>
      <c r="Q573" s="26">
        <v>1</v>
      </c>
    </row>
    <row r="574" spans="14:17">
      <c r="N574" s="23" t="s">
        <v>9</v>
      </c>
      <c r="O574" s="24">
        <v>1321715</v>
      </c>
      <c r="P574" s="25">
        <v>140</v>
      </c>
      <c r="Q574" s="26">
        <v>1</v>
      </c>
    </row>
    <row r="575" spans="14:17">
      <c r="N575" s="23" t="s">
        <v>9</v>
      </c>
      <c r="O575" s="24">
        <v>1564438</v>
      </c>
      <c r="P575" s="25">
        <v>130</v>
      </c>
      <c r="Q575" s="26">
        <v>1</v>
      </c>
    </row>
    <row r="576" spans="14:17">
      <c r="N576" s="23" t="s">
        <v>11</v>
      </c>
      <c r="O576" s="24">
        <v>6210095</v>
      </c>
      <c r="P576" s="25">
        <v>150</v>
      </c>
      <c r="Q576" s="26">
        <v>1.25</v>
      </c>
    </row>
    <row r="577" spans="14:17">
      <c r="N577" s="23" t="s">
        <v>11</v>
      </c>
      <c r="O577" s="24">
        <v>9597094</v>
      </c>
      <c r="P577" s="25">
        <v>150</v>
      </c>
      <c r="Q577" s="26">
        <v>1.25</v>
      </c>
    </row>
    <row r="578" spans="14:17">
      <c r="N578" s="23" t="s">
        <v>9</v>
      </c>
      <c r="O578" s="24">
        <v>3047622</v>
      </c>
      <c r="P578" s="25">
        <v>140</v>
      </c>
      <c r="Q578" s="26">
        <v>1</v>
      </c>
    </row>
    <row r="579" spans="14:17">
      <c r="N579" s="23" t="s">
        <v>11</v>
      </c>
      <c r="O579" s="24">
        <v>8194595</v>
      </c>
      <c r="P579" s="25">
        <v>140</v>
      </c>
      <c r="Q579" s="26">
        <v>1.25</v>
      </c>
    </row>
    <row r="580" spans="14:17">
      <c r="N580" s="23" t="s">
        <v>11</v>
      </c>
      <c r="O580" s="24">
        <v>3194271</v>
      </c>
      <c r="P580" s="25">
        <v>150</v>
      </c>
      <c r="Q580" s="26">
        <v>1.25</v>
      </c>
    </row>
    <row r="581" spans="14:17">
      <c r="N581" s="23" t="s">
        <v>9</v>
      </c>
      <c r="O581" s="24">
        <v>4636758</v>
      </c>
      <c r="P581" s="25">
        <v>130</v>
      </c>
      <c r="Q581" s="26">
        <v>1</v>
      </c>
    </row>
    <row r="582" spans="14:17">
      <c r="N582" s="23" t="s">
        <v>11</v>
      </c>
      <c r="O582" s="24">
        <v>1799820</v>
      </c>
      <c r="P582" s="25">
        <v>140</v>
      </c>
      <c r="Q582" s="26">
        <v>1.25</v>
      </c>
    </row>
    <row r="583" spans="14:17">
      <c r="N583" s="23" t="s">
        <v>9</v>
      </c>
      <c r="O583" s="24">
        <v>3993429</v>
      </c>
      <c r="P583" s="25">
        <v>150</v>
      </c>
      <c r="Q583" s="26">
        <v>1</v>
      </c>
    </row>
    <row r="584" spans="14:17">
      <c r="N584" s="23" t="s">
        <v>9</v>
      </c>
      <c r="O584" s="24">
        <v>8591355</v>
      </c>
      <c r="P584" s="25">
        <v>150</v>
      </c>
      <c r="Q584" s="26">
        <v>1</v>
      </c>
    </row>
    <row r="585" spans="14:17">
      <c r="N585" s="23" t="s">
        <v>11</v>
      </c>
      <c r="O585" s="24">
        <v>6579436</v>
      </c>
      <c r="P585" s="25">
        <v>150</v>
      </c>
      <c r="Q585" s="26">
        <v>1.25</v>
      </c>
    </row>
    <row r="586" spans="14:17">
      <c r="N586" s="23" t="s">
        <v>11</v>
      </c>
      <c r="O586" s="24">
        <v>1590173</v>
      </c>
      <c r="P586" s="25">
        <v>140</v>
      </c>
      <c r="Q586" s="26">
        <v>1.25</v>
      </c>
    </row>
    <row r="587" spans="14:17">
      <c r="N587" s="23" t="s">
        <v>9</v>
      </c>
      <c r="O587" s="24">
        <v>4008882</v>
      </c>
      <c r="P587" s="25">
        <v>130</v>
      </c>
      <c r="Q587" s="26">
        <v>1</v>
      </c>
    </row>
    <row r="588" spans="14:17">
      <c r="N588" s="23" t="s">
        <v>11</v>
      </c>
      <c r="O588" s="24">
        <v>3307122</v>
      </c>
      <c r="P588" s="25">
        <v>150</v>
      </c>
      <c r="Q588" s="26">
        <v>1.25</v>
      </c>
    </row>
    <row r="589" spans="14:17">
      <c r="N589" s="23" t="s">
        <v>9</v>
      </c>
      <c r="O589" s="24">
        <v>1897495</v>
      </c>
      <c r="P589" s="25">
        <v>120</v>
      </c>
      <c r="Q589" s="26">
        <v>1</v>
      </c>
    </row>
    <row r="590" spans="14:17">
      <c r="N590" s="23" t="s">
        <v>9</v>
      </c>
      <c r="O590" s="24">
        <v>2433849</v>
      </c>
      <c r="P590" s="25">
        <v>120</v>
      </c>
      <c r="Q590" s="26">
        <v>1</v>
      </c>
    </row>
    <row r="591" spans="14:17">
      <c r="N591" s="23" t="s">
        <v>11</v>
      </c>
      <c r="O591" s="24">
        <v>5511788</v>
      </c>
      <c r="P591" s="25">
        <v>150</v>
      </c>
      <c r="Q591" s="26">
        <v>1.25</v>
      </c>
    </row>
    <row r="592" spans="14:17">
      <c r="N592" s="23" t="s">
        <v>11</v>
      </c>
      <c r="O592" s="24">
        <v>2773438</v>
      </c>
      <c r="P592" s="25">
        <v>150</v>
      </c>
      <c r="Q592" s="26">
        <v>1.25</v>
      </c>
    </row>
    <row r="593" spans="14:17">
      <c r="N593" s="23" t="s">
        <v>11</v>
      </c>
      <c r="O593" s="24">
        <v>1705559</v>
      </c>
      <c r="P593" s="25">
        <v>140</v>
      </c>
      <c r="Q593" s="26">
        <v>1.25</v>
      </c>
    </row>
    <row r="594" spans="14:17">
      <c r="N594" s="23" t="s">
        <v>9</v>
      </c>
      <c r="O594" s="24">
        <v>1679006</v>
      </c>
      <c r="P594" s="25">
        <v>140</v>
      </c>
      <c r="Q594" s="26">
        <v>1</v>
      </c>
    </row>
    <row r="595" spans="14:17">
      <c r="N595" s="23" t="s">
        <v>9</v>
      </c>
      <c r="O595" s="24">
        <v>8397902</v>
      </c>
      <c r="P595" s="25">
        <v>130</v>
      </c>
      <c r="Q595" s="26">
        <v>1</v>
      </c>
    </row>
    <row r="596" spans="14:17">
      <c r="N596" s="23" t="s">
        <v>11</v>
      </c>
      <c r="O596" s="24">
        <v>9922219</v>
      </c>
      <c r="P596" s="25">
        <v>140</v>
      </c>
      <c r="Q596" s="26">
        <v>1.25</v>
      </c>
    </row>
    <row r="597" spans="14:17">
      <c r="N597" s="23" t="s">
        <v>9</v>
      </c>
      <c r="O597" s="24">
        <v>1781385</v>
      </c>
      <c r="P597" s="25">
        <v>150</v>
      </c>
      <c r="Q597" s="26">
        <v>1</v>
      </c>
    </row>
    <row r="598" spans="14:17">
      <c r="N598" s="23" t="s">
        <v>9</v>
      </c>
      <c r="O598" s="24">
        <v>5837552</v>
      </c>
      <c r="P598" s="25">
        <v>140</v>
      </c>
      <c r="Q598" s="26">
        <v>1</v>
      </c>
    </row>
    <row r="599" spans="14:17">
      <c r="N599" s="23" t="s">
        <v>9</v>
      </c>
      <c r="O599" s="24">
        <v>8179687</v>
      </c>
      <c r="P599" s="25">
        <v>130</v>
      </c>
      <c r="Q599" s="26">
        <v>1</v>
      </c>
    </row>
    <row r="600" spans="14:17">
      <c r="N600" s="23" t="s">
        <v>9</v>
      </c>
      <c r="O600" s="24">
        <v>2621325</v>
      </c>
      <c r="P600" s="25">
        <v>130</v>
      </c>
      <c r="Q600" s="26">
        <v>1</v>
      </c>
    </row>
    <row r="601" spans="14:17">
      <c r="N601" s="23" t="s">
        <v>9</v>
      </c>
      <c r="O601" s="24">
        <v>5940884</v>
      </c>
      <c r="P601" s="25">
        <v>120</v>
      </c>
      <c r="Q601" s="26">
        <v>1</v>
      </c>
    </row>
    <row r="602" spans="14:17">
      <c r="N602" s="23" t="s">
        <v>9</v>
      </c>
      <c r="O602" s="24">
        <v>3566819</v>
      </c>
      <c r="P602" s="25">
        <v>140</v>
      </c>
      <c r="Q602" s="26">
        <v>1</v>
      </c>
    </row>
    <row r="603" spans="14:17">
      <c r="N603" s="23" t="s">
        <v>9</v>
      </c>
      <c r="O603" s="24">
        <v>1580523</v>
      </c>
      <c r="P603" s="25">
        <v>140</v>
      </c>
      <c r="Q603" s="26">
        <v>1</v>
      </c>
    </row>
    <row r="604" spans="14:17">
      <c r="N604" s="23" t="s">
        <v>11</v>
      </c>
      <c r="O604" s="24">
        <v>8495093</v>
      </c>
      <c r="P604" s="25">
        <v>150</v>
      </c>
      <c r="Q604" s="26">
        <v>1.25</v>
      </c>
    </row>
    <row r="605" spans="14:17">
      <c r="N605" s="23" t="s">
        <v>11</v>
      </c>
      <c r="O605" s="24">
        <v>4092026</v>
      </c>
      <c r="P605" s="25">
        <v>140</v>
      </c>
      <c r="Q605" s="26">
        <v>1.25</v>
      </c>
    </row>
    <row r="606" spans="14:17">
      <c r="N606" s="23" t="s">
        <v>9</v>
      </c>
      <c r="O606" s="24">
        <v>5300276</v>
      </c>
      <c r="P606" s="25">
        <v>130</v>
      </c>
      <c r="Q606" s="26">
        <v>1</v>
      </c>
    </row>
    <row r="607" spans="14:17">
      <c r="N607" s="23" t="s">
        <v>9</v>
      </c>
      <c r="O607" s="24">
        <v>9309982</v>
      </c>
      <c r="P607" s="25">
        <v>150</v>
      </c>
      <c r="Q607" s="26">
        <v>1</v>
      </c>
    </row>
    <row r="608" spans="14:17">
      <c r="N608" s="23" t="s">
        <v>9</v>
      </c>
      <c r="O608" s="24">
        <v>5190291</v>
      </c>
      <c r="P608" s="25">
        <v>140</v>
      </c>
      <c r="Q608" s="26">
        <v>1</v>
      </c>
    </row>
    <row r="609" spans="14:17">
      <c r="N609" s="23" t="s">
        <v>9</v>
      </c>
      <c r="O609" s="24">
        <v>4581759</v>
      </c>
      <c r="P609" s="25">
        <v>130</v>
      </c>
      <c r="Q609" s="26">
        <v>1</v>
      </c>
    </row>
    <row r="610" spans="14:17">
      <c r="N610" s="23" t="s">
        <v>11</v>
      </c>
      <c r="O610" s="24">
        <v>3404346</v>
      </c>
      <c r="P610" s="25">
        <v>150</v>
      </c>
      <c r="Q610" s="26">
        <v>1.25</v>
      </c>
    </row>
    <row r="611" spans="14:17">
      <c r="N611" s="23" t="s">
        <v>9</v>
      </c>
      <c r="O611" s="24">
        <v>8708795</v>
      </c>
      <c r="P611" s="25">
        <v>130</v>
      </c>
      <c r="Q611" s="26">
        <v>1</v>
      </c>
    </row>
    <row r="612" spans="14:17">
      <c r="N612" s="23" t="s">
        <v>9</v>
      </c>
      <c r="O612" s="24">
        <v>5740209</v>
      </c>
      <c r="P612" s="25">
        <v>140</v>
      </c>
      <c r="Q612" s="26">
        <v>1</v>
      </c>
    </row>
    <row r="613" spans="14:17">
      <c r="N613" s="23" t="s">
        <v>9</v>
      </c>
      <c r="O613" s="24">
        <v>7903474</v>
      </c>
      <c r="P613" s="25">
        <v>130</v>
      </c>
      <c r="Q613" s="26">
        <v>1</v>
      </c>
    </row>
    <row r="614" spans="14:17">
      <c r="N614" s="23" t="s">
        <v>11</v>
      </c>
      <c r="O614" s="24">
        <v>8441461</v>
      </c>
      <c r="P614" s="25">
        <v>150</v>
      </c>
      <c r="Q614" s="26">
        <v>1.25</v>
      </c>
    </row>
    <row r="615" spans="14:17">
      <c r="N615" s="23" t="s">
        <v>9</v>
      </c>
      <c r="O615" s="24">
        <v>1070366</v>
      </c>
      <c r="P615" s="25">
        <v>140</v>
      </c>
      <c r="Q615" s="26">
        <v>1</v>
      </c>
    </row>
    <row r="616" spans="14:17">
      <c r="N616" s="23" t="s">
        <v>9</v>
      </c>
      <c r="O616" s="24">
        <v>9161357</v>
      </c>
      <c r="P616" s="25">
        <v>130</v>
      </c>
      <c r="Q616" s="26">
        <v>1</v>
      </c>
    </row>
    <row r="617" spans="14:17">
      <c r="N617" s="23" t="s">
        <v>9</v>
      </c>
      <c r="O617" s="24">
        <v>7214470</v>
      </c>
      <c r="P617" s="25">
        <v>120</v>
      </c>
      <c r="Q617" s="26">
        <v>1</v>
      </c>
    </row>
    <row r="618" spans="14:17">
      <c r="N618" s="23" t="s">
        <v>9</v>
      </c>
      <c r="O618" s="24">
        <v>8125063</v>
      </c>
      <c r="P618" s="25">
        <v>130</v>
      </c>
      <c r="Q618" s="26">
        <v>1</v>
      </c>
    </row>
    <row r="619" spans="14:17">
      <c r="N619" s="23" t="s">
        <v>9</v>
      </c>
      <c r="O619" s="24">
        <v>5140270</v>
      </c>
      <c r="P619" s="25">
        <v>140</v>
      </c>
      <c r="Q619" s="26">
        <v>1</v>
      </c>
    </row>
    <row r="620" spans="14:17">
      <c r="N620" s="23" t="s">
        <v>9</v>
      </c>
      <c r="O620" s="24">
        <v>3711869</v>
      </c>
      <c r="P620" s="25">
        <v>150</v>
      </c>
      <c r="Q620" s="26">
        <v>1</v>
      </c>
    </row>
    <row r="621" spans="14:17">
      <c r="N621" s="23" t="s">
        <v>9</v>
      </c>
      <c r="O621" s="24">
        <v>7995919</v>
      </c>
      <c r="P621" s="25">
        <v>140</v>
      </c>
      <c r="Q621" s="26">
        <v>1</v>
      </c>
    </row>
    <row r="622" spans="14:17">
      <c r="N622" s="23" t="s">
        <v>9</v>
      </c>
      <c r="O622" s="24">
        <v>7143023</v>
      </c>
      <c r="P622" s="25">
        <v>120</v>
      </c>
      <c r="Q622" s="26">
        <v>1</v>
      </c>
    </row>
    <row r="623" spans="14:17">
      <c r="N623" s="23" t="s">
        <v>9</v>
      </c>
      <c r="O623" s="24">
        <v>6726988</v>
      </c>
      <c r="P623" s="25">
        <v>140</v>
      </c>
      <c r="Q623" s="26">
        <v>1</v>
      </c>
    </row>
    <row r="624" spans="14:17">
      <c r="N624" s="23" t="s">
        <v>9</v>
      </c>
      <c r="O624" s="24">
        <v>5630179</v>
      </c>
      <c r="P624" s="25">
        <v>130</v>
      </c>
      <c r="Q624" s="26">
        <v>1</v>
      </c>
    </row>
    <row r="625" spans="14:17">
      <c r="N625" s="23" t="s">
        <v>11</v>
      </c>
      <c r="O625" s="24">
        <v>2673151</v>
      </c>
      <c r="P625" s="25">
        <v>140</v>
      </c>
      <c r="Q625" s="26">
        <v>1.25</v>
      </c>
    </row>
    <row r="626" spans="14:17">
      <c r="N626" s="23" t="s">
        <v>11</v>
      </c>
      <c r="O626" s="24">
        <v>8898345</v>
      </c>
      <c r="P626" s="25">
        <v>140</v>
      </c>
      <c r="Q626" s="26">
        <v>1.25</v>
      </c>
    </row>
    <row r="627" spans="14:17">
      <c r="N627" s="23" t="s">
        <v>11</v>
      </c>
      <c r="O627" s="24">
        <v>1117098</v>
      </c>
      <c r="P627" s="25">
        <v>150</v>
      </c>
      <c r="Q627" s="26">
        <v>1.25</v>
      </c>
    </row>
    <row r="628" spans="14:17">
      <c r="N628" s="23" t="s">
        <v>9</v>
      </c>
      <c r="O628" s="24">
        <v>2023859</v>
      </c>
      <c r="P628" s="25">
        <v>150</v>
      </c>
      <c r="Q628" s="26">
        <v>1</v>
      </c>
    </row>
    <row r="629" spans="14:17">
      <c r="N629" s="23" t="s">
        <v>9</v>
      </c>
      <c r="O629" s="24">
        <v>3659006</v>
      </c>
      <c r="P629" s="25">
        <v>130</v>
      </c>
      <c r="Q629" s="26">
        <v>1</v>
      </c>
    </row>
    <row r="630" spans="14:17">
      <c r="N630" s="23" t="s">
        <v>9</v>
      </c>
      <c r="O630" s="24">
        <v>4639085</v>
      </c>
      <c r="P630" s="25">
        <v>120</v>
      </c>
      <c r="Q630" s="26">
        <v>1</v>
      </c>
    </row>
    <row r="631" spans="14:17">
      <c r="N631" s="23" t="s">
        <v>9</v>
      </c>
      <c r="O631" s="24">
        <v>3981379</v>
      </c>
      <c r="P631" s="25">
        <v>130</v>
      </c>
      <c r="Q631" s="26">
        <v>1</v>
      </c>
    </row>
    <row r="632" spans="14:17">
      <c r="N632" s="23" t="s">
        <v>9</v>
      </c>
      <c r="O632" s="24">
        <v>5629034</v>
      </c>
      <c r="P632" s="25">
        <v>120</v>
      </c>
      <c r="Q632" s="26">
        <v>1</v>
      </c>
    </row>
    <row r="633" spans="14:17">
      <c r="N633" s="23" t="s">
        <v>9</v>
      </c>
      <c r="O633" s="24">
        <v>3279346</v>
      </c>
      <c r="P633" s="25">
        <v>150</v>
      </c>
      <c r="Q633" s="26">
        <v>1</v>
      </c>
    </row>
    <row r="634" spans="14:17">
      <c r="N634" s="23" t="s">
        <v>9</v>
      </c>
      <c r="O634" s="24">
        <v>6808648</v>
      </c>
      <c r="P634" s="25">
        <v>150</v>
      </c>
      <c r="Q634" s="26">
        <v>1</v>
      </c>
    </row>
    <row r="635" spans="14:17">
      <c r="N635" s="23" t="s">
        <v>9</v>
      </c>
      <c r="O635" s="24">
        <v>8229374</v>
      </c>
      <c r="P635" s="25">
        <v>140</v>
      </c>
      <c r="Q635" s="26">
        <v>1</v>
      </c>
    </row>
    <row r="636" spans="14:17">
      <c r="N636" s="23" t="s">
        <v>11</v>
      </c>
      <c r="O636" s="24">
        <v>5545752</v>
      </c>
      <c r="P636" s="25">
        <v>140</v>
      </c>
      <c r="Q636" s="26">
        <v>1.25</v>
      </c>
    </row>
    <row r="637" spans="14:17">
      <c r="N637" s="23" t="s">
        <v>9</v>
      </c>
      <c r="O637" s="24">
        <v>9174440</v>
      </c>
      <c r="P637" s="25">
        <v>130</v>
      </c>
      <c r="Q637" s="26">
        <v>1</v>
      </c>
    </row>
    <row r="638" spans="14:17">
      <c r="N638" s="23" t="s">
        <v>11</v>
      </c>
      <c r="O638" s="24">
        <v>1738493</v>
      </c>
      <c r="P638" s="25">
        <v>150</v>
      </c>
      <c r="Q638" s="26">
        <v>1.25</v>
      </c>
    </row>
    <row r="639" spans="14:17">
      <c r="N639" s="23" t="s">
        <v>9</v>
      </c>
      <c r="O639" s="24">
        <v>5470697</v>
      </c>
      <c r="P639" s="25">
        <v>140</v>
      </c>
      <c r="Q639" s="26">
        <v>1</v>
      </c>
    </row>
    <row r="640" spans="14:17">
      <c r="N640" s="23" t="s">
        <v>9</v>
      </c>
      <c r="O640" s="24">
        <v>4629743</v>
      </c>
      <c r="P640" s="25">
        <v>150</v>
      </c>
      <c r="Q640" s="26">
        <v>1</v>
      </c>
    </row>
    <row r="641" spans="14:17">
      <c r="N641" s="23" t="s">
        <v>9</v>
      </c>
      <c r="O641" s="24">
        <v>4490996</v>
      </c>
      <c r="P641" s="25">
        <v>140</v>
      </c>
      <c r="Q641" s="26">
        <v>1</v>
      </c>
    </row>
    <row r="642" spans="14:17">
      <c r="N642" s="23" t="s">
        <v>11</v>
      </c>
      <c r="O642" s="24">
        <v>2255316</v>
      </c>
      <c r="P642" s="25">
        <v>150</v>
      </c>
      <c r="Q642" s="26">
        <v>1.25</v>
      </c>
    </row>
    <row r="643" spans="14:17">
      <c r="N643" s="23" t="s">
        <v>11</v>
      </c>
      <c r="O643" s="24">
        <v>6646465</v>
      </c>
      <c r="P643" s="25">
        <v>150</v>
      </c>
      <c r="Q643" s="26">
        <v>1.25</v>
      </c>
    </row>
    <row r="644" spans="14:17">
      <c r="N644" s="23" t="s">
        <v>9</v>
      </c>
      <c r="O644" s="24">
        <v>4993568</v>
      </c>
      <c r="P644" s="25">
        <v>130</v>
      </c>
      <c r="Q644" s="26">
        <v>1</v>
      </c>
    </row>
    <row r="645" spans="14:17">
      <c r="N645" s="23" t="s">
        <v>11</v>
      </c>
      <c r="O645" s="24">
        <v>7412359</v>
      </c>
      <c r="P645" s="25">
        <v>140</v>
      </c>
      <c r="Q645" s="26">
        <v>1.25</v>
      </c>
    </row>
    <row r="646" spans="14:17">
      <c r="N646" s="23" t="s">
        <v>9</v>
      </c>
      <c r="O646" s="24">
        <v>8009826</v>
      </c>
      <c r="P646" s="25">
        <v>150</v>
      </c>
      <c r="Q646" s="26">
        <v>1</v>
      </c>
    </row>
    <row r="647" spans="14:17">
      <c r="N647" s="23" t="s">
        <v>9</v>
      </c>
      <c r="O647" s="24">
        <v>8901422</v>
      </c>
      <c r="P647" s="25">
        <v>140</v>
      </c>
      <c r="Q647" s="26">
        <v>1</v>
      </c>
    </row>
    <row r="648" spans="14:17">
      <c r="N648" s="23" t="s">
        <v>9</v>
      </c>
      <c r="O648" s="24">
        <v>4284667</v>
      </c>
      <c r="P648" s="25">
        <v>140</v>
      </c>
      <c r="Q648" s="26">
        <v>1</v>
      </c>
    </row>
    <row r="649" spans="14:17">
      <c r="N649" s="23" t="s">
        <v>11</v>
      </c>
      <c r="O649" s="24">
        <v>8217475</v>
      </c>
      <c r="P649" s="25">
        <v>140</v>
      </c>
      <c r="Q649" s="26">
        <v>1.25</v>
      </c>
    </row>
    <row r="650" spans="14:17">
      <c r="N650" s="23" t="s">
        <v>11</v>
      </c>
      <c r="O650" s="24">
        <v>5094058</v>
      </c>
      <c r="P650" s="25">
        <v>150</v>
      </c>
      <c r="Q650" s="26">
        <v>1.25</v>
      </c>
    </row>
    <row r="651" spans="14:17">
      <c r="N651" s="23" t="s">
        <v>9</v>
      </c>
      <c r="O651" s="24">
        <v>6012918</v>
      </c>
      <c r="P651" s="25">
        <v>120</v>
      </c>
      <c r="Q651" s="26">
        <v>1</v>
      </c>
    </row>
    <row r="652" spans="14:17">
      <c r="N652" s="23" t="s">
        <v>11</v>
      </c>
      <c r="O652" s="24">
        <v>2077094</v>
      </c>
      <c r="P652" s="25">
        <v>150</v>
      </c>
      <c r="Q652" s="26">
        <v>1.25</v>
      </c>
    </row>
    <row r="653" spans="14:17">
      <c r="N653" s="23" t="s">
        <v>11</v>
      </c>
      <c r="O653" s="24">
        <v>2052784</v>
      </c>
      <c r="P653" s="25">
        <v>140</v>
      </c>
      <c r="Q653" s="26">
        <v>1.25</v>
      </c>
    </row>
    <row r="654" spans="14:17">
      <c r="N654" s="23" t="s">
        <v>11</v>
      </c>
      <c r="O654" s="24">
        <v>6252079</v>
      </c>
      <c r="P654" s="25">
        <v>140</v>
      </c>
      <c r="Q654" s="26">
        <v>1.25</v>
      </c>
    </row>
    <row r="655" spans="14:17">
      <c r="N655" s="23" t="s">
        <v>9</v>
      </c>
      <c r="O655" s="24">
        <v>1063521</v>
      </c>
      <c r="P655" s="25">
        <v>150</v>
      </c>
      <c r="Q655" s="26">
        <v>1</v>
      </c>
    </row>
    <row r="656" spans="14:17">
      <c r="N656" s="23" t="s">
        <v>9</v>
      </c>
      <c r="O656" s="24">
        <v>8374211</v>
      </c>
      <c r="P656" s="25">
        <v>150</v>
      </c>
      <c r="Q656" s="26">
        <v>1</v>
      </c>
    </row>
    <row r="657" spans="14:17">
      <c r="N657" s="23" t="s">
        <v>11</v>
      </c>
      <c r="O657" s="24">
        <v>3511329</v>
      </c>
      <c r="P657" s="25">
        <v>150</v>
      </c>
      <c r="Q657" s="26">
        <v>1.25</v>
      </c>
    </row>
    <row r="658" spans="14:17">
      <c r="N658" s="23" t="s">
        <v>9</v>
      </c>
      <c r="O658" s="24">
        <v>7323258</v>
      </c>
      <c r="P658" s="25">
        <v>150</v>
      </c>
      <c r="Q658" s="26">
        <v>1</v>
      </c>
    </row>
    <row r="659" spans="14:17">
      <c r="N659" s="23" t="s">
        <v>9</v>
      </c>
      <c r="O659" s="24">
        <v>4284799</v>
      </c>
      <c r="P659" s="25">
        <v>140</v>
      </c>
      <c r="Q659" s="26">
        <v>1</v>
      </c>
    </row>
    <row r="660" spans="14:17">
      <c r="N660" s="23" t="s">
        <v>9</v>
      </c>
      <c r="O660" s="24">
        <v>4240496</v>
      </c>
      <c r="P660" s="25">
        <v>140</v>
      </c>
      <c r="Q660" s="26">
        <v>1</v>
      </c>
    </row>
    <row r="661" spans="14:17">
      <c r="N661" s="23" t="s">
        <v>11</v>
      </c>
      <c r="O661" s="24">
        <v>1019632</v>
      </c>
      <c r="P661" s="25">
        <v>150</v>
      </c>
      <c r="Q661" s="26">
        <v>1.25</v>
      </c>
    </row>
    <row r="662" spans="14:17">
      <c r="N662" s="23" t="s">
        <v>11</v>
      </c>
      <c r="O662" s="24">
        <v>2040516</v>
      </c>
      <c r="P662" s="25">
        <v>150</v>
      </c>
      <c r="Q662" s="26">
        <v>1.25</v>
      </c>
    </row>
    <row r="663" spans="14:17">
      <c r="N663" s="23" t="s">
        <v>9</v>
      </c>
      <c r="O663" s="24">
        <v>9082174</v>
      </c>
      <c r="P663" s="25">
        <v>150</v>
      </c>
      <c r="Q663" s="26">
        <v>1</v>
      </c>
    </row>
    <row r="664" spans="14:17">
      <c r="N664" s="23" t="s">
        <v>11</v>
      </c>
      <c r="O664" s="24">
        <v>2900704</v>
      </c>
      <c r="P664" s="25">
        <v>140</v>
      </c>
      <c r="Q664" s="26">
        <v>1.25</v>
      </c>
    </row>
    <row r="665" spans="14:17">
      <c r="N665" s="23" t="s">
        <v>9</v>
      </c>
      <c r="O665" s="24">
        <v>3529603</v>
      </c>
      <c r="P665" s="25">
        <v>140</v>
      </c>
      <c r="Q665" s="26">
        <v>1</v>
      </c>
    </row>
    <row r="666" spans="14:17">
      <c r="N666" s="23" t="s">
        <v>11</v>
      </c>
      <c r="O666" s="24">
        <v>4995606</v>
      </c>
      <c r="P666" s="25">
        <v>150</v>
      </c>
      <c r="Q666" s="26">
        <v>1.25</v>
      </c>
    </row>
    <row r="667" spans="14:17">
      <c r="N667" s="23" t="s">
        <v>11</v>
      </c>
      <c r="O667" s="24">
        <v>4884174</v>
      </c>
      <c r="P667" s="25">
        <v>140</v>
      </c>
      <c r="Q667" s="26">
        <v>1.25</v>
      </c>
    </row>
    <row r="668" spans="14:17">
      <c r="N668" s="23" t="s">
        <v>9</v>
      </c>
      <c r="O668" s="24">
        <v>7824893</v>
      </c>
      <c r="P668" s="25">
        <v>140</v>
      </c>
      <c r="Q668" s="26">
        <v>1</v>
      </c>
    </row>
    <row r="669" spans="14:17">
      <c r="N669" s="23" t="s">
        <v>9</v>
      </c>
      <c r="O669" s="24">
        <v>9382047</v>
      </c>
      <c r="P669" s="25">
        <v>140</v>
      </c>
      <c r="Q669" s="26">
        <v>1</v>
      </c>
    </row>
    <row r="670" spans="14:17">
      <c r="N670" s="23" t="s">
        <v>9</v>
      </c>
      <c r="O670" s="24">
        <v>9940667</v>
      </c>
      <c r="P670" s="25">
        <v>130</v>
      </c>
      <c r="Q670" s="26">
        <v>1</v>
      </c>
    </row>
    <row r="671" spans="14:17">
      <c r="N671" s="23" t="s">
        <v>9</v>
      </c>
      <c r="O671" s="24">
        <v>8299360</v>
      </c>
      <c r="P671" s="25">
        <v>130</v>
      </c>
      <c r="Q671" s="26">
        <v>1</v>
      </c>
    </row>
    <row r="672" spans="14:17">
      <c r="N672" s="23" t="s">
        <v>9</v>
      </c>
      <c r="O672" s="24">
        <v>9791023</v>
      </c>
      <c r="P672" s="25">
        <v>130</v>
      </c>
      <c r="Q672" s="26">
        <v>1</v>
      </c>
    </row>
    <row r="673" spans="14:17">
      <c r="N673" s="23" t="s">
        <v>11</v>
      </c>
      <c r="O673" s="24">
        <v>4099720</v>
      </c>
      <c r="P673" s="25">
        <v>140</v>
      </c>
      <c r="Q673" s="26">
        <v>1.25</v>
      </c>
    </row>
    <row r="674" spans="14:17">
      <c r="N674" s="23" t="s">
        <v>11</v>
      </c>
      <c r="O674" s="24">
        <v>7203248</v>
      </c>
      <c r="P674" s="25">
        <v>140</v>
      </c>
      <c r="Q674" s="26">
        <v>1.25</v>
      </c>
    </row>
    <row r="675" spans="14:17">
      <c r="N675" s="23" t="s">
        <v>9</v>
      </c>
      <c r="O675" s="24">
        <v>1835163</v>
      </c>
      <c r="P675" s="25">
        <v>150</v>
      </c>
      <c r="Q675" s="26">
        <v>1</v>
      </c>
    </row>
    <row r="676" spans="14:17">
      <c r="N676" s="23" t="s">
        <v>9</v>
      </c>
      <c r="O676" s="24">
        <v>9538106</v>
      </c>
      <c r="P676" s="25">
        <v>130</v>
      </c>
      <c r="Q676" s="26">
        <v>1</v>
      </c>
    </row>
    <row r="677" spans="14:17">
      <c r="N677" s="23" t="s">
        <v>9</v>
      </c>
      <c r="O677" s="24">
        <v>3012585</v>
      </c>
      <c r="P677" s="25">
        <v>130</v>
      </c>
      <c r="Q677" s="26">
        <v>1</v>
      </c>
    </row>
    <row r="678" spans="14:17">
      <c r="N678" s="23" t="s">
        <v>11</v>
      </c>
      <c r="O678" s="24">
        <v>7732356</v>
      </c>
      <c r="P678" s="25">
        <v>150</v>
      </c>
      <c r="Q678" s="26">
        <v>1.25</v>
      </c>
    </row>
    <row r="679" spans="14:17">
      <c r="N679" s="23" t="s">
        <v>11</v>
      </c>
      <c r="O679" s="24">
        <v>2039497</v>
      </c>
      <c r="P679" s="25">
        <v>150</v>
      </c>
      <c r="Q679" s="26">
        <v>1.25</v>
      </c>
    </row>
    <row r="680" spans="14:17">
      <c r="N680" s="23" t="s">
        <v>11</v>
      </c>
      <c r="O680" s="24">
        <v>8559569</v>
      </c>
      <c r="P680" s="25">
        <v>140</v>
      </c>
      <c r="Q680" s="26">
        <v>1.25</v>
      </c>
    </row>
    <row r="681" spans="14:17">
      <c r="N681" s="23" t="s">
        <v>9</v>
      </c>
      <c r="O681" s="24">
        <v>7907245</v>
      </c>
      <c r="P681" s="25">
        <v>130</v>
      </c>
      <c r="Q681" s="26">
        <v>1</v>
      </c>
    </row>
    <row r="682" spans="14:17">
      <c r="N682" s="23" t="s">
        <v>11</v>
      </c>
      <c r="O682" s="24">
        <v>8619416</v>
      </c>
      <c r="P682" s="25">
        <v>150</v>
      </c>
      <c r="Q682" s="26">
        <v>1.25</v>
      </c>
    </row>
    <row r="683" spans="14:17">
      <c r="N683" s="23" t="s">
        <v>9</v>
      </c>
      <c r="O683" s="24">
        <v>9194003</v>
      </c>
      <c r="P683" s="25">
        <v>120</v>
      </c>
      <c r="Q683" s="26">
        <v>1</v>
      </c>
    </row>
    <row r="684" spans="14:17">
      <c r="N684" s="23" t="s">
        <v>9</v>
      </c>
      <c r="O684" s="24">
        <v>5139284</v>
      </c>
      <c r="P684" s="25">
        <v>130</v>
      </c>
      <c r="Q684" s="26">
        <v>1</v>
      </c>
    </row>
    <row r="685" spans="14:17">
      <c r="N685" s="23" t="s">
        <v>11</v>
      </c>
      <c r="O685" s="24">
        <v>4738793</v>
      </c>
      <c r="P685" s="25">
        <v>150</v>
      </c>
      <c r="Q685" s="26">
        <v>1.25</v>
      </c>
    </row>
    <row r="686" spans="14:17">
      <c r="N686" s="23" t="s">
        <v>9</v>
      </c>
      <c r="O686" s="24">
        <v>8495496</v>
      </c>
      <c r="P686" s="25">
        <v>150</v>
      </c>
      <c r="Q686" s="26">
        <v>1</v>
      </c>
    </row>
    <row r="687" spans="14:17">
      <c r="N687" s="23" t="s">
        <v>9</v>
      </c>
      <c r="O687" s="24">
        <v>6942791</v>
      </c>
      <c r="P687" s="25">
        <v>120</v>
      </c>
      <c r="Q687" s="26">
        <v>1</v>
      </c>
    </row>
    <row r="688" spans="14:17">
      <c r="N688" s="23" t="s">
        <v>11</v>
      </c>
      <c r="O688" s="24">
        <v>3786787</v>
      </c>
      <c r="P688" s="25">
        <v>150</v>
      </c>
      <c r="Q688" s="26">
        <v>1.25</v>
      </c>
    </row>
    <row r="689" spans="14:17">
      <c r="N689" s="23" t="s">
        <v>9</v>
      </c>
      <c r="O689" s="24">
        <v>1040537</v>
      </c>
      <c r="P689" s="25">
        <v>150</v>
      </c>
      <c r="Q689" s="26">
        <v>1</v>
      </c>
    </row>
    <row r="690" spans="14:17">
      <c r="N690" s="23" t="s">
        <v>11</v>
      </c>
      <c r="O690" s="24">
        <v>5348548</v>
      </c>
      <c r="P690" s="25">
        <v>140</v>
      </c>
      <c r="Q690" s="26">
        <v>1.25</v>
      </c>
    </row>
    <row r="691" spans="14:17">
      <c r="N691" s="23" t="s">
        <v>9</v>
      </c>
      <c r="O691" s="24">
        <v>9975636</v>
      </c>
      <c r="P691" s="25">
        <v>150</v>
      </c>
      <c r="Q691" s="26">
        <v>1</v>
      </c>
    </row>
    <row r="692" spans="14:17">
      <c r="N692" s="23" t="s">
        <v>9</v>
      </c>
      <c r="O692" s="24">
        <v>1274494</v>
      </c>
      <c r="P692" s="25">
        <v>140</v>
      </c>
      <c r="Q692" s="26">
        <v>1</v>
      </c>
    </row>
    <row r="693" spans="14:17">
      <c r="N693" s="23" t="s">
        <v>9</v>
      </c>
      <c r="O693" s="24">
        <v>1840619</v>
      </c>
      <c r="P693" s="25">
        <v>130</v>
      </c>
      <c r="Q693" s="26">
        <v>1</v>
      </c>
    </row>
    <row r="694" spans="14:17">
      <c r="N694" s="23" t="s">
        <v>9</v>
      </c>
      <c r="O694" s="24">
        <v>8914735</v>
      </c>
      <c r="P694" s="25">
        <v>150</v>
      </c>
      <c r="Q694" s="26">
        <v>1</v>
      </c>
    </row>
    <row r="695" spans="14:17">
      <c r="N695" s="23" t="s">
        <v>11</v>
      </c>
      <c r="O695" s="24">
        <v>4219859</v>
      </c>
      <c r="P695" s="25">
        <v>140</v>
      </c>
      <c r="Q695" s="26">
        <v>1.25</v>
      </c>
    </row>
    <row r="696" spans="14:17">
      <c r="N696" s="23" t="s">
        <v>9</v>
      </c>
      <c r="O696" s="24">
        <v>2762808</v>
      </c>
      <c r="P696" s="25">
        <v>150</v>
      </c>
      <c r="Q696" s="26">
        <v>1</v>
      </c>
    </row>
    <row r="697" spans="14:17">
      <c r="N697" s="23" t="s">
        <v>11</v>
      </c>
      <c r="O697" s="24">
        <v>9282992</v>
      </c>
      <c r="P697" s="25">
        <v>140</v>
      </c>
      <c r="Q697" s="26">
        <v>1.25</v>
      </c>
    </row>
    <row r="698" spans="14:17">
      <c r="N698" s="23" t="s">
        <v>11</v>
      </c>
      <c r="O698" s="24">
        <v>6004698</v>
      </c>
      <c r="P698" s="25">
        <v>150</v>
      </c>
      <c r="Q698" s="26">
        <v>1.25</v>
      </c>
    </row>
    <row r="699" spans="14:17">
      <c r="N699" s="23" t="s">
        <v>11</v>
      </c>
      <c r="O699" s="24">
        <v>5791550</v>
      </c>
      <c r="P699" s="25">
        <v>150</v>
      </c>
      <c r="Q699" s="26">
        <v>1.25</v>
      </c>
    </row>
    <row r="700" spans="14:17">
      <c r="N700" s="23" t="s">
        <v>11</v>
      </c>
      <c r="O700" s="24">
        <v>8247150</v>
      </c>
      <c r="P700" s="25">
        <v>140</v>
      </c>
      <c r="Q700" s="26">
        <v>1.25</v>
      </c>
    </row>
    <row r="701" spans="14:17">
      <c r="N701" s="23" t="s">
        <v>9</v>
      </c>
      <c r="O701" s="24">
        <v>1537288</v>
      </c>
      <c r="P701" s="25">
        <v>150</v>
      </c>
      <c r="Q701" s="26">
        <v>1</v>
      </c>
    </row>
    <row r="702" spans="14:17">
      <c r="N702" s="23" t="s">
        <v>9</v>
      </c>
      <c r="O702" s="24">
        <v>2102200</v>
      </c>
      <c r="P702" s="25">
        <v>140</v>
      </c>
      <c r="Q702" s="26">
        <v>1</v>
      </c>
    </row>
    <row r="703" spans="14:17">
      <c r="N703" s="23" t="s">
        <v>9</v>
      </c>
      <c r="O703" s="24">
        <v>1494397</v>
      </c>
      <c r="P703" s="25">
        <v>130</v>
      </c>
      <c r="Q703" s="26">
        <v>1</v>
      </c>
    </row>
    <row r="704" spans="14:17">
      <c r="N704" s="23" t="s">
        <v>9</v>
      </c>
      <c r="O704" s="24">
        <v>1972994</v>
      </c>
      <c r="P704" s="25">
        <v>140</v>
      </c>
      <c r="Q704" s="26">
        <v>1</v>
      </c>
    </row>
    <row r="705" spans="14:17">
      <c r="N705" s="23" t="s">
        <v>11</v>
      </c>
      <c r="O705" s="24">
        <v>7855528</v>
      </c>
      <c r="P705" s="25">
        <v>150</v>
      </c>
      <c r="Q705" s="26">
        <v>1.25</v>
      </c>
    </row>
    <row r="706" spans="14:17">
      <c r="N706" s="23" t="s">
        <v>9</v>
      </c>
      <c r="O706" s="24">
        <v>1740455</v>
      </c>
      <c r="P706" s="25">
        <v>140</v>
      </c>
      <c r="Q706" s="26">
        <v>1</v>
      </c>
    </row>
    <row r="707" spans="14:17">
      <c r="N707" s="23" t="s">
        <v>9</v>
      </c>
      <c r="O707" s="24">
        <v>4470005</v>
      </c>
      <c r="P707" s="25">
        <v>130</v>
      </c>
      <c r="Q707" s="26">
        <v>1</v>
      </c>
    </row>
    <row r="708" spans="14:17">
      <c r="N708" s="23" t="s">
        <v>9</v>
      </c>
      <c r="O708" s="24">
        <v>8576978</v>
      </c>
      <c r="P708" s="25">
        <v>130</v>
      </c>
      <c r="Q708" s="26">
        <v>1</v>
      </c>
    </row>
    <row r="709" spans="14:17">
      <c r="N709" s="23" t="s">
        <v>11</v>
      </c>
      <c r="O709" s="24">
        <v>7216577</v>
      </c>
      <c r="P709" s="25">
        <v>140</v>
      </c>
      <c r="Q709" s="26">
        <v>1.25</v>
      </c>
    </row>
    <row r="710" spans="14:17">
      <c r="N710" s="23" t="s">
        <v>11</v>
      </c>
      <c r="O710" s="24">
        <v>6391310</v>
      </c>
      <c r="P710" s="25">
        <v>150</v>
      </c>
      <c r="Q710" s="26">
        <v>1.25</v>
      </c>
    </row>
    <row r="711" spans="14:17">
      <c r="N711" s="23" t="s">
        <v>9</v>
      </c>
      <c r="O711" s="24">
        <v>8214103</v>
      </c>
      <c r="P711" s="25">
        <v>130</v>
      </c>
      <c r="Q711" s="26">
        <v>1</v>
      </c>
    </row>
    <row r="712" spans="14:17">
      <c r="N712" s="23" t="s">
        <v>9</v>
      </c>
      <c r="O712" s="24">
        <v>7835602</v>
      </c>
      <c r="P712" s="25">
        <v>130</v>
      </c>
      <c r="Q712" s="26">
        <v>1</v>
      </c>
    </row>
    <row r="713" spans="14:17">
      <c r="N713" s="23" t="s">
        <v>9</v>
      </c>
      <c r="O713" s="24">
        <v>8940919</v>
      </c>
      <c r="P713" s="25">
        <v>130</v>
      </c>
      <c r="Q713" s="26">
        <v>1</v>
      </c>
    </row>
    <row r="714" spans="14:17">
      <c r="N714" s="23" t="s">
        <v>11</v>
      </c>
      <c r="O714" s="24">
        <v>5890214</v>
      </c>
      <c r="P714" s="25">
        <v>150</v>
      </c>
      <c r="Q714" s="26">
        <v>1.25</v>
      </c>
    </row>
    <row r="715" spans="14:17">
      <c r="N715" s="23" t="s">
        <v>9</v>
      </c>
      <c r="O715" s="24">
        <v>6036868</v>
      </c>
      <c r="P715" s="25">
        <v>150</v>
      </c>
      <c r="Q715" s="26">
        <v>1</v>
      </c>
    </row>
    <row r="716" spans="14:17">
      <c r="N716" s="23" t="s">
        <v>9</v>
      </c>
      <c r="O716" s="24">
        <v>4057832</v>
      </c>
      <c r="P716" s="25">
        <v>150</v>
      </c>
      <c r="Q716" s="26">
        <v>1</v>
      </c>
    </row>
    <row r="717" spans="14:17">
      <c r="N717" s="23" t="s">
        <v>9</v>
      </c>
      <c r="O717" s="24">
        <v>8045665</v>
      </c>
      <c r="P717" s="25">
        <v>140</v>
      </c>
      <c r="Q717" s="26">
        <v>1</v>
      </c>
    </row>
    <row r="718" spans="14:17">
      <c r="N718" s="23" t="s">
        <v>9</v>
      </c>
      <c r="O718" s="24">
        <v>1426960</v>
      </c>
      <c r="P718" s="25">
        <v>130</v>
      </c>
      <c r="Q718" s="26">
        <v>1</v>
      </c>
    </row>
    <row r="719" spans="14:17">
      <c r="N719" s="23" t="s">
        <v>11</v>
      </c>
      <c r="O719" s="24">
        <v>4872150</v>
      </c>
      <c r="P719" s="25">
        <v>150</v>
      </c>
      <c r="Q719" s="26">
        <v>1.25</v>
      </c>
    </row>
    <row r="720" spans="14:17">
      <c r="N720" s="23" t="s">
        <v>9</v>
      </c>
      <c r="O720" s="24">
        <v>8203683</v>
      </c>
      <c r="P720" s="25">
        <v>150</v>
      </c>
      <c r="Q720" s="26">
        <v>1</v>
      </c>
    </row>
    <row r="721" spans="14:17">
      <c r="N721" s="23" t="s">
        <v>9</v>
      </c>
      <c r="O721" s="24">
        <v>1179659</v>
      </c>
      <c r="P721" s="25">
        <v>150</v>
      </c>
      <c r="Q721" s="26">
        <v>1</v>
      </c>
    </row>
    <row r="722" spans="14:17">
      <c r="N722" s="23" t="s">
        <v>9</v>
      </c>
      <c r="O722" s="24">
        <v>4140585</v>
      </c>
      <c r="P722" s="25">
        <v>130</v>
      </c>
      <c r="Q722" s="26">
        <v>1</v>
      </c>
    </row>
    <row r="723" spans="14:17">
      <c r="N723" s="23" t="s">
        <v>9</v>
      </c>
      <c r="O723" s="24">
        <v>6009706</v>
      </c>
      <c r="P723" s="25">
        <v>140</v>
      </c>
      <c r="Q723" s="26">
        <v>1</v>
      </c>
    </row>
    <row r="724" spans="14:17">
      <c r="N724" s="23" t="s">
        <v>9</v>
      </c>
      <c r="O724" s="24">
        <v>3531113</v>
      </c>
      <c r="P724" s="25">
        <v>140</v>
      </c>
      <c r="Q724" s="26">
        <v>1</v>
      </c>
    </row>
    <row r="725" spans="14:17">
      <c r="N725" s="23" t="s">
        <v>11</v>
      </c>
      <c r="O725" s="24">
        <v>9071582</v>
      </c>
      <c r="P725" s="25">
        <v>150</v>
      </c>
      <c r="Q725" s="26">
        <v>1.25</v>
      </c>
    </row>
    <row r="726" spans="14:17">
      <c r="N726" s="23" t="s">
        <v>11</v>
      </c>
      <c r="O726" s="24">
        <v>7691806</v>
      </c>
      <c r="P726" s="25">
        <v>140</v>
      </c>
      <c r="Q726" s="26">
        <v>1.25</v>
      </c>
    </row>
    <row r="727" spans="14:17">
      <c r="N727" s="23" t="s">
        <v>9</v>
      </c>
      <c r="O727" s="24">
        <v>7434068</v>
      </c>
      <c r="P727" s="25">
        <v>150</v>
      </c>
      <c r="Q727" s="26">
        <v>1</v>
      </c>
    </row>
    <row r="728" spans="14:17">
      <c r="N728" s="23" t="s">
        <v>9</v>
      </c>
      <c r="O728" s="24">
        <v>2565883</v>
      </c>
      <c r="P728" s="25">
        <v>130</v>
      </c>
      <c r="Q728" s="26">
        <v>1</v>
      </c>
    </row>
    <row r="729" spans="14:17">
      <c r="N729" s="23" t="s">
        <v>11</v>
      </c>
      <c r="O729" s="24">
        <v>2758359</v>
      </c>
      <c r="P729" s="25">
        <v>150</v>
      </c>
      <c r="Q729" s="26">
        <v>1.25</v>
      </c>
    </row>
    <row r="730" spans="14:17">
      <c r="N730" s="23" t="s">
        <v>11</v>
      </c>
      <c r="O730" s="24">
        <v>8071961</v>
      </c>
      <c r="P730" s="25">
        <v>150</v>
      </c>
      <c r="Q730" s="26">
        <v>1.25</v>
      </c>
    </row>
    <row r="731" spans="14:17">
      <c r="N731" s="23" t="s">
        <v>11</v>
      </c>
      <c r="O731" s="24">
        <v>2815634</v>
      </c>
      <c r="P731" s="25">
        <v>140</v>
      </c>
      <c r="Q731" s="26">
        <v>1.25</v>
      </c>
    </row>
    <row r="732" spans="14:17">
      <c r="N732" s="23" t="s">
        <v>11</v>
      </c>
      <c r="O732" s="24">
        <v>4493067</v>
      </c>
      <c r="P732" s="25">
        <v>140</v>
      </c>
      <c r="Q732" s="26">
        <v>1.25</v>
      </c>
    </row>
    <row r="733" spans="14:17">
      <c r="N733" s="23" t="s">
        <v>11</v>
      </c>
      <c r="O733" s="24">
        <v>3794494</v>
      </c>
      <c r="P733" s="25">
        <v>150</v>
      </c>
      <c r="Q733" s="26">
        <v>1.25</v>
      </c>
    </row>
    <row r="734" spans="14:17">
      <c r="N734" s="23" t="s">
        <v>9</v>
      </c>
      <c r="O734" s="24">
        <v>6770342</v>
      </c>
      <c r="P734" s="25">
        <v>120</v>
      </c>
      <c r="Q734" s="26">
        <v>1</v>
      </c>
    </row>
    <row r="735" spans="14:17">
      <c r="N735" s="23" t="s">
        <v>9</v>
      </c>
      <c r="O735" s="24">
        <v>3986888</v>
      </c>
      <c r="P735" s="25">
        <v>150</v>
      </c>
      <c r="Q735" s="26">
        <v>1</v>
      </c>
    </row>
    <row r="736" spans="14:17">
      <c r="N736" s="23" t="s">
        <v>11</v>
      </c>
      <c r="O736" s="24">
        <v>4997307</v>
      </c>
      <c r="P736" s="25">
        <v>150</v>
      </c>
      <c r="Q736" s="26">
        <v>1.25</v>
      </c>
    </row>
    <row r="737" spans="14:17">
      <c r="N737" s="23" t="s">
        <v>11</v>
      </c>
      <c r="O737" s="24">
        <v>2485246</v>
      </c>
      <c r="P737" s="25">
        <v>150</v>
      </c>
      <c r="Q737" s="26">
        <v>1.25</v>
      </c>
    </row>
    <row r="738" spans="14:17">
      <c r="N738" s="23" t="s">
        <v>9</v>
      </c>
      <c r="O738" s="24">
        <v>9446599</v>
      </c>
      <c r="P738" s="25">
        <v>150</v>
      </c>
      <c r="Q738" s="26">
        <v>1</v>
      </c>
    </row>
    <row r="739" spans="14:17">
      <c r="N739" s="23" t="s">
        <v>9</v>
      </c>
      <c r="O739" s="24">
        <v>2569151</v>
      </c>
      <c r="P739" s="25">
        <v>140</v>
      </c>
      <c r="Q739" s="26">
        <v>1</v>
      </c>
    </row>
    <row r="740" spans="14:17">
      <c r="N740" s="23" t="s">
        <v>9</v>
      </c>
      <c r="O740" s="24">
        <v>6869643</v>
      </c>
      <c r="P740" s="25">
        <v>130</v>
      </c>
      <c r="Q740" s="26">
        <v>1</v>
      </c>
    </row>
    <row r="741" spans="14:17">
      <c r="N741" s="23" t="s">
        <v>9</v>
      </c>
      <c r="O741" s="24">
        <v>2936519</v>
      </c>
      <c r="P741" s="25">
        <v>120</v>
      </c>
      <c r="Q741" s="26">
        <v>1</v>
      </c>
    </row>
    <row r="742" spans="14:17">
      <c r="N742" s="23" t="s">
        <v>9</v>
      </c>
      <c r="O742" s="24">
        <v>6158879</v>
      </c>
      <c r="P742" s="25">
        <v>130</v>
      </c>
      <c r="Q742" s="26">
        <v>1</v>
      </c>
    </row>
    <row r="743" spans="14:17">
      <c r="N743" s="23" t="s">
        <v>9</v>
      </c>
      <c r="O743" s="24">
        <v>2878862</v>
      </c>
      <c r="P743" s="25">
        <v>120</v>
      </c>
      <c r="Q743" s="26">
        <v>1</v>
      </c>
    </row>
    <row r="744" spans="14:17">
      <c r="N744" s="23" t="s">
        <v>9</v>
      </c>
      <c r="O744" s="24">
        <v>2187094</v>
      </c>
      <c r="P744" s="25">
        <v>120</v>
      </c>
      <c r="Q744" s="26">
        <v>1</v>
      </c>
    </row>
    <row r="745" spans="14:17">
      <c r="N745" s="23" t="s">
        <v>9</v>
      </c>
      <c r="O745" s="24">
        <v>7502705</v>
      </c>
      <c r="P745" s="25">
        <v>150</v>
      </c>
      <c r="Q745" s="26">
        <v>1</v>
      </c>
    </row>
    <row r="746" spans="14:17">
      <c r="N746" s="23" t="s">
        <v>9</v>
      </c>
      <c r="O746" s="24">
        <v>8669307</v>
      </c>
      <c r="P746" s="25">
        <v>130</v>
      </c>
      <c r="Q746" s="26">
        <v>1</v>
      </c>
    </row>
    <row r="747" spans="14:17">
      <c r="N747" s="23" t="s">
        <v>9</v>
      </c>
      <c r="O747" s="24">
        <v>2807081</v>
      </c>
      <c r="P747" s="25">
        <v>140</v>
      </c>
      <c r="Q747" s="26">
        <v>1</v>
      </c>
    </row>
    <row r="748" spans="14:17">
      <c r="N748" s="23" t="s">
        <v>9</v>
      </c>
      <c r="O748" s="24">
        <v>6449099</v>
      </c>
      <c r="P748" s="25">
        <v>140</v>
      </c>
      <c r="Q748" s="26">
        <v>1</v>
      </c>
    </row>
    <row r="749" spans="14:17">
      <c r="N749" s="23" t="s">
        <v>9</v>
      </c>
      <c r="O749" s="24">
        <v>9958171</v>
      </c>
      <c r="P749" s="25">
        <v>150</v>
      </c>
      <c r="Q749" s="26">
        <v>1</v>
      </c>
    </row>
    <row r="750" spans="14:17">
      <c r="N750" s="23" t="s">
        <v>9</v>
      </c>
      <c r="O750" s="24">
        <v>3660024</v>
      </c>
      <c r="P750" s="25">
        <v>130</v>
      </c>
      <c r="Q750" s="26">
        <v>1</v>
      </c>
    </row>
    <row r="751" spans="14:17">
      <c r="N751" s="23" t="s">
        <v>9</v>
      </c>
      <c r="O751" s="24">
        <v>8714668</v>
      </c>
      <c r="P751" s="25">
        <v>120</v>
      </c>
      <c r="Q751" s="26">
        <v>1</v>
      </c>
    </row>
    <row r="752" spans="14:17">
      <c r="N752" s="23" t="s">
        <v>11</v>
      </c>
      <c r="O752" s="24">
        <v>9859686</v>
      </c>
      <c r="P752" s="25">
        <v>140</v>
      </c>
      <c r="Q752" s="26">
        <v>1.25</v>
      </c>
    </row>
    <row r="753" spans="14:17">
      <c r="N753" s="23" t="s">
        <v>9</v>
      </c>
      <c r="O753" s="24">
        <v>3671669</v>
      </c>
      <c r="P753" s="25">
        <v>140</v>
      </c>
      <c r="Q753" s="26">
        <v>1</v>
      </c>
    </row>
    <row r="754" spans="14:17">
      <c r="N754" s="23" t="s">
        <v>9</v>
      </c>
      <c r="O754" s="24">
        <v>3662708</v>
      </c>
      <c r="P754" s="25">
        <v>130</v>
      </c>
      <c r="Q754" s="26">
        <v>1</v>
      </c>
    </row>
    <row r="755" spans="14:17">
      <c r="N755" s="23" t="s">
        <v>9</v>
      </c>
      <c r="O755" s="24">
        <v>8723581</v>
      </c>
      <c r="P755" s="25">
        <v>130</v>
      </c>
      <c r="Q755" s="26">
        <v>1</v>
      </c>
    </row>
    <row r="756" spans="14:17">
      <c r="N756" s="23" t="s">
        <v>9</v>
      </c>
      <c r="O756" s="24">
        <v>1552403</v>
      </c>
      <c r="P756" s="25">
        <v>150</v>
      </c>
      <c r="Q756" s="26">
        <v>1</v>
      </c>
    </row>
    <row r="757" spans="14:17">
      <c r="N757" s="23" t="s">
        <v>9</v>
      </c>
      <c r="O757" s="24">
        <v>8636133</v>
      </c>
      <c r="P757" s="25">
        <v>150</v>
      </c>
      <c r="Q757" s="26">
        <v>1</v>
      </c>
    </row>
    <row r="758" spans="14:17">
      <c r="N758" s="23" t="s">
        <v>11</v>
      </c>
      <c r="O758" s="24">
        <v>9438623</v>
      </c>
      <c r="P758" s="25">
        <v>150</v>
      </c>
      <c r="Q758" s="26">
        <v>1.25</v>
      </c>
    </row>
    <row r="759" spans="14:17">
      <c r="N759" s="23" t="s">
        <v>11</v>
      </c>
      <c r="O759" s="24">
        <v>9572367</v>
      </c>
      <c r="P759" s="25">
        <v>140</v>
      </c>
      <c r="Q759" s="26">
        <v>1.25</v>
      </c>
    </row>
    <row r="760" spans="14:17">
      <c r="N760" s="23" t="s">
        <v>9</v>
      </c>
      <c r="O760" s="24">
        <v>4662502</v>
      </c>
      <c r="P760" s="25">
        <v>120</v>
      </c>
      <c r="Q760" s="26">
        <v>1</v>
      </c>
    </row>
    <row r="761" spans="14:17">
      <c r="N761" s="23" t="s">
        <v>9</v>
      </c>
      <c r="O761" s="24">
        <v>7485970</v>
      </c>
      <c r="P761" s="25">
        <v>130</v>
      </c>
      <c r="Q761" s="26">
        <v>1</v>
      </c>
    </row>
    <row r="762" spans="14:17">
      <c r="N762" s="23" t="s">
        <v>11</v>
      </c>
      <c r="O762" s="24">
        <v>1270661</v>
      </c>
      <c r="P762" s="25">
        <v>150</v>
      </c>
      <c r="Q762" s="26">
        <v>1.25</v>
      </c>
    </row>
    <row r="763" spans="14:17">
      <c r="N763" s="23" t="s">
        <v>9</v>
      </c>
      <c r="O763" s="24">
        <v>9869395</v>
      </c>
      <c r="P763" s="25">
        <v>150</v>
      </c>
      <c r="Q763" s="26">
        <v>1</v>
      </c>
    </row>
    <row r="764" spans="14:17">
      <c r="N764" s="23" t="s">
        <v>11</v>
      </c>
      <c r="O764" s="24">
        <v>5210536</v>
      </c>
      <c r="P764" s="25">
        <v>150</v>
      </c>
      <c r="Q764" s="26">
        <v>1.25</v>
      </c>
    </row>
    <row r="765" spans="14:17">
      <c r="N765" s="23" t="s">
        <v>9</v>
      </c>
      <c r="O765" s="24">
        <v>3195623</v>
      </c>
      <c r="P765" s="25">
        <v>130</v>
      </c>
      <c r="Q765" s="26">
        <v>1</v>
      </c>
    </row>
    <row r="766" spans="14:17">
      <c r="N766" s="23" t="s">
        <v>11</v>
      </c>
      <c r="O766" s="24">
        <v>8861383</v>
      </c>
      <c r="P766" s="25">
        <v>150</v>
      </c>
      <c r="Q766" s="26">
        <v>1.25</v>
      </c>
    </row>
    <row r="767" spans="14:17">
      <c r="N767" s="23" t="s">
        <v>11</v>
      </c>
      <c r="O767" s="24">
        <v>2489517</v>
      </c>
      <c r="P767" s="25">
        <v>150</v>
      </c>
      <c r="Q767" s="26">
        <v>1.25</v>
      </c>
    </row>
    <row r="768" spans="14:17">
      <c r="N768" s="23" t="s">
        <v>9</v>
      </c>
      <c r="O768" s="24">
        <v>6603132</v>
      </c>
      <c r="P768" s="25">
        <v>150</v>
      </c>
      <c r="Q768" s="26">
        <v>1</v>
      </c>
    </row>
    <row r="769" spans="14:17">
      <c r="N769" s="23" t="s">
        <v>9</v>
      </c>
      <c r="O769" s="24">
        <v>2295259</v>
      </c>
      <c r="P769" s="25">
        <v>150</v>
      </c>
      <c r="Q769" s="26">
        <v>1</v>
      </c>
    </row>
    <row r="770" spans="14:17">
      <c r="N770" s="23" t="s">
        <v>11</v>
      </c>
      <c r="O770" s="24">
        <v>3759425</v>
      </c>
      <c r="P770" s="25">
        <v>140</v>
      </c>
      <c r="Q770" s="26">
        <v>1.25</v>
      </c>
    </row>
    <row r="771" spans="14:17">
      <c r="N771" s="23" t="s">
        <v>9</v>
      </c>
      <c r="O771" s="24">
        <v>8499907</v>
      </c>
      <c r="P771" s="25">
        <v>140</v>
      </c>
      <c r="Q771" s="26">
        <v>1</v>
      </c>
    </row>
    <row r="772" spans="14:17">
      <c r="N772" s="23" t="s">
        <v>11</v>
      </c>
      <c r="O772" s="24">
        <v>5878795</v>
      </c>
      <c r="P772" s="25">
        <v>140</v>
      </c>
      <c r="Q772" s="26">
        <v>1.25</v>
      </c>
    </row>
    <row r="773" spans="14:17">
      <c r="N773" s="23" t="s">
        <v>9</v>
      </c>
      <c r="O773" s="24">
        <v>2120235</v>
      </c>
      <c r="P773" s="25">
        <v>130</v>
      </c>
      <c r="Q773" s="26">
        <v>1</v>
      </c>
    </row>
    <row r="774" spans="14:17">
      <c r="N774" s="23" t="s">
        <v>9</v>
      </c>
      <c r="O774" s="24">
        <v>9834242</v>
      </c>
      <c r="P774" s="25">
        <v>120</v>
      </c>
      <c r="Q774" s="26">
        <v>1</v>
      </c>
    </row>
    <row r="775" spans="14:17">
      <c r="N775" s="23" t="s">
        <v>9</v>
      </c>
      <c r="O775" s="24">
        <v>2711000</v>
      </c>
      <c r="P775" s="25">
        <v>130</v>
      </c>
      <c r="Q775" s="26">
        <v>1</v>
      </c>
    </row>
    <row r="776" spans="14:17">
      <c r="N776" s="23" t="s">
        <v>9</v>
      </c>
      <c r="O776" s="24">
        <v>9426748</v>
      </c>
      <c r="P776" s="25">
        <v>140</v>
      </c>
      <c r="Q776" s="26">
        <v>1</v>
      </c>
    </row>
    <row r="777" spans="14:17">
      <c r="N777" s="23" t="s">
        <v>9</v>
      </c>
      <c r="O777" s="24">
        <v>9618970</v>
      </c>
      <c r="P777" s="25">
        <v>120</v>
      </c>
      <c r="Q777" s="26">
        <v>1</v>
      </c>
    </row>
    <row r="778" spans="14:17">
      <c r="N778" s="23" t="s">
        <v>9</v>
      </c>
      <c r="O778" s="24">
        <v>4688904</v>
      </c>
      <c r="P778" s="25">
        <v>150</v>
      </c>
      <c r="Q778" s="26">
        <v>1</v>
      </c>
    </row>
    <row r="779" spans="14:17">
      <c r="N779" s="23" t="s">
        <v>9</v>
      </c>
      <c r="O779" s="24">
        <v>7847426</v>
      </c>
      <c r="P779" s="25">
        <v>140</v>
      </c>
      <c r="Q779" s="26">
        <v>1</v>
      </c>
    </row>
    <row r="780" spans="14:17">
      <c r="N780" s="23" t="s">
        <v>11</v>
      </c>
      <c r="O780" s="24">
        <v>6241761</v>
      </c>
      <c r="P780" s="25">
        <v>150</v>
      </c>
      <c r="Q780" s="26">
        <v>1.25</v>
      </c>
    </row>
    <row r="781" spans="14:17">
      <c r="N781" s="23" t="s">
        <v>9</v>
      </c>
      <c r="O781" s="24">
        <v>2680529</v>
      </c>
      <c r="P781" s="25">
        <v>140</v>
      </c>
      <c r="Q781" s="26">
        <v>1</v>
      </c>
    </row>
    <row r="782" spans="14:17">
      <c r="N782" s="23" t="s">
        <v>9</v>
      </c>
      <c r="O782" s="24">
        <v>8232636</v>
      </c>
      <c r="P782" s="25">
        <v>130</v>
      </c>
      <c r="Q782" s="26">
        <v>1</v>
      </c>
    </row>
    <row r="783" spans="14:17">
      <c r="N783" s="23" t="s">
        <v>11</v>
      </c>
      <c r="O783" s="24">
        <v>3175280</v>
      </c>
      <c r="P783" s="25">
        <v>140</v>
      </c>
      <c r="Q783" s="26">
        <v>1.25</v>
      </c>
    </row>
    <row r="784" spans="14:17">
      <c r="N784" s="23" t="s">
        <v>9</v>
      </c>
      <c r="O784" s="24">
        <v>6222782</v>
      </c>
      <c r="P784" s="25">
        <v>150</v>
      </c>
      <c r="Q784" s="26">
        <v>1</v>
      </c>
    </row>
    <row r="785" spans="14:17">
      <c r="N785" s="23" t="s">
        <v>11</v>
      </c>
      <c r="O785" s="24">
        <v>3680530</v>
      </c>
      <c r="P785" s="25">
        <v>140</v>
      </c>
      <c r="Q785" s="26">
        <v>1.25</v>
      </c>
    </row>
    <row r="786" spans="14:17">
      <c r="N786" s="23" t="s">
        <v>9</v>
      </c>
      <c r="O786" s="24">
        <v>8145530</v>
      </c>
      <c r="P786" s="25">
        <v>150</v>
      </c>
      <c r="Q786" s="26">
        <v>1</v>
      </c>
    </row>
    <row r="787" spans="14:17">
      <c r="N787" s="23" t="s">
        <v>9</v>
      </c>
      <c r="O787" s="24">
        <v>7697867</v>
      </c>
      <c r="P787" s="25">
        <v>140</v>
      </c>
      <c r="Q787" s="26">
        <v>1</v>
      </c>
    </row>
    <row r="788" spans="14:17">
      <c r="N788" s="23" t="s">
        <v>9</v>
      </c>
      <c r="O788" s="24">
        <v>2288626</v>
      </c>
      <c r="P788" s="25">
        <v>130</v>
      </c>
      <c r="Q788" s="26">
        <v>1</v>
      </c>
    </row>
    <row r="789" spans="14:17">
      <c r="N789" s="23" t="s">
        <v>9</v>
      </c>
      <c r="O789" s="24">
        <v>8466397</v>
      </c>
      <c r="P789" s="25">
        <v>150</v>
      </c>
      <c r="Q789" s="26">
        <v>1</v>
      </c>
    </row>
    <row r="790" spans="14:17">
      <c r="N790" s="23" t="s">
        <v>9</v>
      </c>
      <c r="O790" s="24">
        <v>8083658</v>
      </c>
      <c r="P790" s="25">
        <v>140</v>
      </c>
      <c r="Q790" s="26">
        <v>1</v>
      </c>
    </row>
    <row r="791" spans="14:17">
      <c r="N791" s="23" t="s">
        <v>9</v>
      </c>
      <c r="O791" s="24">
        <v>7261237</v>
      </c>
      <c r="P791" s="25">
        <v>120</v>
      </c>
      <c r="Q791" s="26">
        <v>1</v>
      </c>
    </row>
    <row r="792" spans="14:17">
      <c r="N792" s="23" t="s">
        <v>11</v>
      </c>
      <c r="O792" s="24">
        <v>4777104</v>
      </c>
      <c r="P792" s="25">
        <v>140</v>
      </c>
      <c r="Q792" s="26">
        <v>1.25</v>
      </c>
    </row>
    <row r="793" spans="14:17">
      <c r="N793" s="23" t="s">
        <v>9</v>
      </c>
      <c r="O793" s="24">
        <v>3213090</v>
      </c>
      <c r="P793" s="25">
        <v>130</v>
      </c>
      <c r="Q793" s="26">
        <v>1</v>
      </c>
    </row>
    <row r="794" spans="14:17">
      <c r="N794" s="23" t="s">
        <v>9</v>
      </c>
      <c r="O794" s="24">
        <v>9864118</v>
      </c>
      <c r="P794" s="25">
        <v>140</v>
      </c>
      <c r="Q794" s="26">
        <v>1</v>
      </c>
    </row>
    <row r="795" spans="14:17">
      <c r="N795" s="23" t="s">
        <v>11</v>
      </c>
      <c r="O795" s="24">
        <v>7463182</v>
      </c>
      <c r="P795" s="25">
        <v>150</v>
      </c>
      <c r="Q795" s="26">
        <v>1.25</v>
      </c>
    </row>
    <row r="796" spans="14:17">
      <c r="N796" s="23" t="s">
        <v>11</v>
      </c>
      <c r="O796" s="24">
        <v>7044407</v>
      </c>
      <c r="P796" s="25">
        <v>140</v>
      </c>
      <c r="Q796" s="26">
        <v>1.25</v>
      </c>
    </row>
    <row r="797" spans="14:17">
      <c r="N797" s="23" t="s">
        <v>11</v>
      </c>
      <c r="O797" s="24">
        <v>2537083</v>
      </c>
      <c r="P797" s="25">
        <v>150</v>
      </c>
      <c r="Q797" s="26">
        <v>1.25</v>
      </c>
    </row>
    <row r="798" spans="14:17">
      <c r="N798" s="23" t="s">
        <v>9</v>
      </c>
      <c r="O798" s="24">
        <v>5461048</v>
      </c>
      <c r="P798" s="25">
        <v>150</v>
      </c>
      <c r="Q798" s="26">
        <v>1</v>
      </c>
    </row>
    <row r="799" spans="14:17">
      <c r="N799" s="23" t="s">
        <v>9</v>
      </c>
      <c r="O799" s="24">
        <v>8500930</v>
      </c>
      <c r="P799" s="25">
        <v>140</v>
      </c>
      <c r="Q799" s="26">
        <v>1</v>
      </c>
    </row>
    <row r="800" spans="14:17">
      <c r="N800" s="23" t="s">
        <v>9</v>
      </c>
      <c r="O800" s="24">
        <v>9158536</v>
      </c>
      <c r="P800" s="25">
        <v>130</v>
      </c>
      <c r="Q800" s="26">
        <v>1</v>
      </c>
    </row>
    <row r="801" spans="14:17">
      <c r="N801" s="23" t="s">
        <v>9</v>
      </c>
      <c r="O801" s="24">
        <v>1387206</v>
      </c>
      <c r="P801" s="25">
        <v>130</v>
      </c>
      <c r="Q801" s="26">
        <v>1</v>
      </c>
    </row>
    <row r="802" spans="14:17">
      <c r="N802" s="23" t="s">
        <v>11</v>
      </c>
      <c r="O802" s="24">
        <v>9607609</v>
      </c>
      <c r="P802" s="25">
        <v>150</v>
      </c>
      <c r="Q802" s="26">
        <v>1.25</v>
      </c>
    </row>
    <row r="803" spans="14:17">
      <c r="N803" s="23" t="s">
        <v>11</v>
      </c>
      <c r="O803" s="24">
        <v>7896195</v>
      </c>
      <c r="P803" s="25">
        <v>140</v>
      </c>
      <c r="Q803" s="26">
        <v>1.25</v>
      </c>
    </row>
    <row r="804" spans="14:17">
      <c r="N804" s="23" t="s">
        <v>9</v>
      </c>
      <c r="O804" s="24">
        <v>5654589</v>
      </c>
      <c r="P804" s="25">
        <v>150</v>
      </c>
      <c r="Q804" s="26">
        <v>1</v>
      </c>
    </row>
    <row r="805" spans="14:17">
      <c r="N805" s="23" t="s">
        <v>9</v>
      </c>
      <c r="O805" s="24">
        <v>2503541</v>
      </c>
      <c r="P805" s="25">
        <v>140</v>
      </c>
      <c r="Q805" s="26">
        <v>1</v>
      </c>
    </row>
    <row r="806" spans="14:17">
      <c r="N806" s="23" t="s">
        <v>11</v>
      </c>
      <c r="O806" s="24">
        <v>6838933</v>
      </c>
      <c r="P806" s="25">
        <v>140</v>
      </c>
      <c r="Q806" s="26">
        <v>1.25</v>
      </c>
    </row>
    <row r="807" spans="14:17">
      <c r="N807" s="23" t="s">
        <v>11</v>
      </c>
      <c r="O807" s="24">
        <v>7283089</v>
      </c>
      <c r="P807" s="25">
        <v>140</v>
      </c>
      <c r="Q807" s="26">
        <v>1.25</v>
      </c>
    </row>
    <row r="808" spans="14:17">
      <c r="N808" s="23" t="s">
        <v>9</v>
      </c>
      <c r="O808" s="24">
        <v>6579146</v>
      </c>
      <c r="P808" s="25">
        <v>140</v>
      </c>
      <c r="Q808" s="26">
        <v>1</v>
      </c>
    </row>
    <row r="809" spans="14:17">
      <c r="N809" s="23" t="s">
        <v>9</v>
      </c>
      <c r="O809" s="24">
        <v>5031878</v>
      </c>
      <c r="P809" s="25">
        <v>140</v>
      </c>
      <c r="Q809" s="26">
        <v>1</v>
      </c>
    </row>
    <row r="810" spans="14:17">
      <c r="N810" s="23" t="s">
        <v>9</v>
      </c>
      <c r="O810" s="24">
        <v>6112378</v>
      </c>
      <c r="P810" s="25">
        <v>150</v>
      </c>
      <c r="Q810" s="26">
        <v>1</v>
      </c>
    </row>
    <row r="811" spans="14:17">
      <c r="N811" s="23" t="s">
        <v>11</v>
      </c>
      <c r="O811" s="24">
        <v>8087926</v>
      </c>
      <c r="P811" s="25">
        <v>140</v>
      </c>
      <c r="Q811" s="26">
        <v>1.25</v>
      </c>
    </row>
    <row r="812" spans="14:17">
      <c r="N812" s="23" t="s">
        <v>9</v>
      </c>
      <c r="O812" s="24">
        <v>7821280</v>
      </c>
      <c r="P812" s="25">
        <v>150</v>
      </c>
      <c r="Q812" s="26">
        <v>1</v>
      </c>
    </row>
    <row r="813" spans="14:17">
      <c r="N813" s="23" t="s">
        <v>9</v>
      </c>
      <c r="O813" s="24">
        <v>2427639</v>
      </c>
      <c r="P813" s="25">
        <v>150</v>
      </c>
      <c r="Q813" s="26">
        <v>1</v>
      </c>
    </row>
    <row r="814" spans="14:17">
      <c r="N814" s="23" t="s">
        <v>9</v>
      </c>
      <c r="O814" s="24">
        <v>2871321</v>
      </c>
      <c r="P814" s="25">
        <v>120</v>
      </c>
      <c r="Q814" s="26">
        <v>1</v>
      </c>
    </row>
    <row r="815" spans="14:17">
      <c r="N815" s="23" t="s">
        <v>9</v>
      </c>
      <c r="O815" s="24">
        <v>3282684</v>
      </c>
      <c r="P815" s="25">
        <v>140</v>
      </c>
      <c r="Q815" s="26">
        <v>1</v>
      </c>
    </row>
    <row r="816" spans="14:17">
      <c r="N816" s="23" t="s">
        <v>11</v>
      </c>
      <c r="O816" s="24">
        <v>9102314</v>
      </c>
      <c r="P816" s="25">
        <v>140</v>
      </c>
      <c r="Q816" s="26">
        <v>1.25</v>
      </c>
    </row>
    <row r="817" spans="14:17">
      <c r="N817" s="23" t="s">
        <v>9</v>
      </c>
      <c r="O817" s="24">
        <v>3025260</v>
      </c>
      <c r="P817" s="25">
        <v>140</v>
      </c>
      <c r="Q817" s="26">
        <v>1</v>
      </c>
    </row>
    <row r="818" spans="14:17">
      <c r="N818" s="23" t="s">
        <v>9</v>
      </c>
      <c r="O818" s="24">
        <v>7933084</v>
      </c>
      <c r="P818" s="25">
        <v>140</v>
      </c>
      <c r="Q818" s="26">
        <v>1</v>
      </c>
    </row>
    <row r="819" spans="14:17">
      <c r="N819" s="23" t="s">
        <v>11</v>
      </c>
      <c r="O819" s="24">
        <v>5359011</v>
      </c>
      <c r="P819" s="25">
        <v>140</v>
      </c>
      <c r="Q819" s="26">
        <v>1.25</v>
      </c>
    </row>
    <row r="820" spans="14:17">
      <c r="N820" s="23" t="s">
        <v>11</v>
      </c>
      <c r="O820" s="24">
        <v>8865203</v>
      </c>
      <c r="P820" s="25">
        <v>150</v>
      </c>
      <c r="Q820" s="26">
        <v>1.25</v>
      </c>
    </row>
    <row r="821" spans="14:17">
      <c r="N821" s="23" t="s">
        <v>9</v>
      </c>
      <c r="O821" s="24">
        <v>8006783</v>
      </c>
      <c r="P821" s="25">
        <v>150</v>
      </c>
      <c r="Q821" s="26">
        <v>1</v>
      </c>
    </row>
    <row r="822" spans="14:17">
      <c r="N822" s="23" t="s">
        <v>9</v>
      </c>
      <c r="O822" s="24">
        <v>4089716</v>
      </c>
      <c r="P822" s="25">
        <v>140</v>
      </c>
      <c r="Q822" s="26">
        <v>1</v>
      </c>
    </row>
    <row r="823" spans="14:17">
      <c r="N823" s="23" t="s">
        <v>9</v>
      </c>
      <c r="O823" s="24">
        <v>5651881</v>
      </c>
      <c r="P823" s="25">
        <v>130</v>
      </c>
      <c r="Q823" s="26">
        <v>1</v>
      </c>
    </row>
    <row r="824" spans="14:17">
      <c r="N824" s="23" t="s">
        <v>9</v>
      </c>
      <c r="O824" s="24">
        <v>4044115</v>
      </c>
      <c r="P824" s="25">
        <v>120</v>
      </c>
      <c r="Q824" s="26">
        <v>1</v>
      </c>
    </row>
    <row r="825" spans="14:17">
      <c r="N825" s="23" t="s">
        <v>11</v>
      </c>
      <c r="O825" s="24">
        <v>8086528</v>
      </c>
      <c r="P825" s="25">
        <v>140</v>
      </c>
      <c r="Q825" s="26">
        <v>1.25</v>
      </c>
    </row>
    <row r="826" spans="14:17">
      <c r="N826" s="23" t="s">
        <v>9</v>
      </c>
      <c r="O826" s="24">
        <v>3857207</v>
      </c>
      <c r="P826" s="25">
        <v>150</v>
      </c>
      <c r="Q826" s="26">
        <v>1</v>
      </c>
    </row>
    <row r="827" spans="14:17">
      <c r="N827" s="23" t="s">
        <v>9</v>
      </c>
      <c r="O827" s="24">
        <v>7973805</v>
      </c>
      <c r="P827" s="25">
        <v>120</v>
      </c>
      <c r="Q827" s="26">
        <v>1</v>
      </c>
    </row>
    <row r="828" spans="14:17">
      <c r="N828" s="23" t="s">
        <v>9</v>
      </c>
      <c r="O828" s="24">
        <v>6243077</v>
      </c>
      <c r="P828" s="25">
        <v>150</v>
      </c>
      <c r="Q828" s="26">
        <v>1</v>
      </c>
    </row>
    <row r="829" spans="14:17">
      <c r="N829" s="23" t="s">
        <v>9</v>
      </c>
      <c r="O829" s="24">
        <v>6804289</v>
      </c>
      <c r="P829" s="25">
        <v>130</v>
      </c>
      <c r="Q829" s="26">
        <v>1</v>
      </c>
    </row>
    <row r="830" spans="14:17">
      <c r="N830" s="23" t="s">
        <v>11</v>
      </c>
      <c r="O830" s="24">
        <v>5860529</v>
      </c>
      <c r="P830" s="25">
        <v>140</v>
      </c>
      <c r="Q830" s="26">
        <v>1.25</v>
      </c>
    </row>
    <row r="831" spans="14:17">
      <c r="N831" s="23" t="s">
        <v>9</v>
      </c>
      <c r="O831" s="24">
        <v>2507012</v>
      </c>
      <c r="P831" s="25">
        <v>130</v>
      </c>
      <c r="Q831" s="26">
        <v>1</v>
      </c>
    </row>
    <row r="832" spans="14:17">
      <c r="N832" s="23" t="s">
        <v>11</v>
      </c>
      <c r="O832" s="24">
        <v>8395262</v>
      </c>
      <c r="P832" s="25">
        <v>150</v>
      </c>
      <c r="Q832" s="26">
        <v>1.25</v>
      </c>
    </row>
    <row r="833" spans="14:17">
      <c r="N833" s="23" t="s">
        <v>9</v>
      </c>
      <c r="O833" s="24">
        <v>8782861</v>
      </c>
      <c r="P833" s="25">
        <v>130</v>
      </c>
      <c r="Q833" s="26">
        <v>1</v>
      </c>
    </row>
    <row r="834" spans="14:17">
      <c r="N834" s="23" t="s">
        <v>9</v>
      </c>
      <c r="O834" s="24">
        <v>6444437</v>
      </c>
      <c r="P834" s="25">
        <v>130</v>
      </c>
      <c r="Q834" s="26">
        <v>1</v>
      </c>
    </row>
    <row r="835" spans="14:17">
      <c r="N835" s="23" t="s">
        <v>11</v>
      </c>
      <c r="O835" s="24">
        <v>5064990</v>
      </c>
      <c r="P835" s="25">
        <v>150</v>
      </c>
      <c r="Q835" s="26">
        <v>1.25</v>
      </c>
    </row>
    <row r="836" spans="14:17">
      <c r="N836" s="23" t="s">
        <v>9</v>
      </c>
      <c r="O836" s="24">
        <v>5895276</v>
      </c>
      <c r="P836" s="25">
        <v>150</v>
      </c>
      <c r="Q836" s="26">
        <v>1</v>
      </c>
    </row>
    <row r="837" spans="14:17">
      <c r="N837" s="23" t="s">
        <v>9</v>
      </c>
      <c r="O837" s="24">
        <v>2291805</v>
      </c>
      <c r="P837" s="25">
        <v>140</v>
      </c>
      <c r="Q837" s="26">
        <v>1</v>
      </c>
    </row>
    <row r="838" spans="14:17">
      <c r="N838" s="23" t="s">
        <v>9</v>
      </c>
      <c r="O838" s="24">
        <v>1002870</v>
      </c>
      <c r="P838" s="25">
        <v>140</v>
      </c>
      <c r="Q838" s="26">
        <v>1</v>
      </c>
    </row>
    <row r="839" spans="14:17">
      <c r="N839" s="23" t="s">
        <v>9</v>
      </c>
      <c r="O839" s="24">
        <v>2925080</v>
      </c>
      <c r="P839" s="25">
        <v>130</v>
      </c>
      <c r="Q839" s="26">
        <v>1</v>
      </c>
    </row>
    <row r="840" spans="14:17">
      <c r="N840" s="23" t="s">
        <v>9</v>
      </c>
      <c r="O840" s="24">
        <v>8061527</v>
      </c>
      <c r="P840" s="25">
        <v>130</v>
      </c>
      <c r="Q840" s="26">
        <v>1</v>
      </c>
    </row>
    <row r="841" spans="14:17">
      <c r="N841" s="23" t="s">
        <v>9</v>
      </c>
      <c r="O841" s="24">
        <v>4153000</v>
      </c>
      <c r="P841" s="25">
        <v>120</v>
      </c>
      <c r="Q841" s="26">
        <v>1</v>
      </c>
    </row>
    <row r="842" spans="14:17">
      <c r="N842" s="23" t="s">
        <v>9</v>
      </c>
      <c r="O842" s="24">
        <v>6838358</v>
      </c>
      <c r="P842" s="25">
        <v>130</v>
      </c>
      <c r="Q842" s="26">
        <v>1</v>
      </c>
    </row>
    <row r="843" spans="14:17">
      <c r="N843" s="23" t="s">
        <v>9</v>
      </c>
      <c r="O843" s="24">
        <v>6498898</v>
      </c>
      <c r="P843" s="25">
        <v>120</v>
      </c>
      <c r="Q843" s="26">
        <v>1</v>
      </c>
    </row>
    <row r="844" spans="14:17">
      <c r="N844" s="23" t="s">
        <v>9</v>
      </c>
      <c r="O844" s="24">
        <v>6557795</v>
      </c>
      <c r="P844" s="25">
        <v>150</v>
      </c>
      <c r="Q844" s="26">
        <v>1</v>
      </c>
    </row>
    <row r="845" spans="14:17">
      <c r="N845" s="23" t="s">
        <v>11</v>
      </c>
      <c r="O845" s="24">
        <v>7848191</v>
      </c>
      <c r="P845" s="25">
        <v>140</v>
      </c>
      <c r="Q845" s="26">
        <v>1.25</v>
      </c>
    </row>
    <row r="846" spans="14:17">
      <c r="N846" s="23" t="s">
        <v>11</v>
      </c>
      <c r="O846" s="24">
        <v>7913767</v>
      </c>
      <c r="P846" s="25">
        <v>140</v>
      </c>
      <c r="Q846" s="26">
        <v>1.25</v>
      </c>
    </row>
    <row r="847" spans="14:17">
      <c r="N847" s="23" t="s">
        <v>11</v>
      </c>
      <c r="O847" s="24">
        <v>2504416</v>
      </c>
      <c r="P847" s="25">
        <v>150</v>
      </c>
      <c r="Q847" s="26">
        <v>1.25</v>
      </c>
    </row>
    <row r="848" spans="14:17">
      <c r="N848" s="23" t="s">
        <v>9</v>
      </c>
      <c r="O848" s="24">
        <v>6049174</v>
      </c>
      <c r="P848" s="25">
        <v>130</v>
      </c>
      <c r="Q848" s="26">
        <v>1</v>
      </c>
    </row>
    <row r="849" spans="14:17">
      <c r="N849" s="23" t="s">
        <v>11</v>
      </c>
      <c r="O849" s="24">
        <v>4824232</v>
      </c>
      <c r="P849" s="25">
        <v>140</v>
      </c>
      <c r="Q849" s="26">
        <v>1.25</v>
      </c>
    </row>
    <row r="850" spans="14:17">
      <c r="N850" s="23" t="s">
        <v>11</v>
      </c>
      <c r="O850" s="24">
        <v>4374524</v>
      </c>
      <c r="P850" s="25">
        <v>140</v>
      </c>
      <c r="Q850" s="26">
        <v>1.25</v>
      </c>
    </row>
    <row r="851" spans="14:17">
      <c r="N851" s="23" t="s">
        <v>11</v>
      </c>
      <c r="O851" s="24">
        <v>1611902</v>
      </c>
      <c r="P851" s="25">
        <v>140</v>
      </c>
      <c r="Q851" s="26">
        <v>1.25</v>
      </c>
    </row>
    <row r="852" spans="14:17">
      <c r="N852" s="23" t="s">
        <v>9</v>
      </c>
      <c r="O852" s="24">
        <v>3482548</v>
      </c>
      <c r="P852" s="25">
        <v>140</v>
      </c>
      <c r="Q852" s="26">
        <v>1</v>
      </c>
    </row>
    <row r="853" spans="14:17">
      <c r="N853" s="23" t="s">
        <v>9</v>
      </c>
      <c r="O853" s="24">
        <v>4028368</v>
      </c>
      <c r="P853" s="25">
        <v>150</v>
      </c>
      <c r="Q853" s="26">
        <v>1</v>
      </c>
    </row>
    <row r="854" spans="14:17">
      <c r="N854" s="23" t="s">
        <v>9</v>
      </c>
      <c r="O854" s="24">
        <v>2159853</v>
      </c>
      <c r="P854" s="25">
        <v>150</v>
      </c>
      <c r="Q854" s="26">
        <v>1</v>
      </c>
    </row>
    <row r="855" spans="14:17">
      <c r="N855" s="23" t="s">
        <v>11</v>
      </c>
      <c r="O855" s="24">
        <v>2809970</v>
      </c>
      <c r="P855" s="25">
        <v>140</v>
      </c>
      <c r="Q855" s="26">
        <v>1.25</v>
      </c>
    </row>
    <row r="856" spans="14:17">
      <c r="N856" s="23" t="s">
        <v>11</v>
      </c>
      <c r="O856" s="24">
        <v>7936562</v>
      </c>
      <c r="P856" s="25">
        <v>140</v>
      </c>
      <c r="Q856" s="26">
        <v>1.25</v>
      </c>
    </row>
    <row r="857" spans="14:17">
      <c r="N857" s="23" t="s">
        <v>9</v>
      </c>
      <c r="O857" s="24">
        <v>3986273</v>
      </c>
      <c r="P857" s="25">
        <v>140</v>
      </c>
      <c r="Q857" s="26">
        <v>1</v>
      </c>
    </row>
    <row r="858" spans="14:17">
      <c r="N858" s="23" t="s">
        <v>9</v>
      </c>
      <c r="O858" s="24">
        <v>6092072</v>
      </c>
      <c r="P858" s="25">
        <v>130</v>
      </c>
      <c r="Q858" s="26">
        <v>1</v>
      </c>
    </row>
    <row r="859" spans="14:17">
      <c r="N859" s="23" t="s">
        <v>11</v>
      </c>
      <c r="O859" s="24">
        <v>1387823</v>
      </c>
      <c r="P859" s="25">
        <v>150</v>
      </c>
      <c r="Q859" s="26">
        <v>1.25</v>
      </c>
    </row>
    <row r="860" spans="14:17">
      <c r="N860" s="23" t="s">
        <v>11</v>
      </c>
      <c r="O860" s="24">
        <v>8902558</v>
      </c>
      <c r="P860" s="25">
        <v>150</v>
      </c>
      <c r="Q860" s="26">
        <v>1.25</v>
      </c>
    </row>
    <row r="861" spans="14:17">
      <c r="N861" s="23" t="s">
        <v>11</v>
      </c>
      <c r="O861" s="24">
        <v>8191079</v>
      </c>
      <c r="P861" s="25">
        <v>150</v>
      </c>
      <c r="Q861" s="26">
        <v>1.25</v>
      </c>
    </row>
    <row r="862" spans="14:17">
      <c r="N862" s="23" t="s">
        <v>11</v>
      </c>
      <c r="O862" s="24">
        <v>9518467</v>
      </c>
      <c r="P862" s="25">
        <v>140</v>
      </c>
      <c r="Q862" s="26">
        <v>1.25</v>
      </c>
    </row>
    <row r="863" spans="14:17">
      <c r="N863" s="23" t="s">
        <v>9</v>
      </c>
      <c r="O863" s="24">
        <v>9255497</v>
      </c>
      <c r="P863" s="25">
        <v>150</v>
      </c>
      <c r="Q863" s="26">
        <v>1</v>
      </c>
    </row>
    <row r="864" spans="14:17">
      <c r="N864" s="23" t="s">
        <v>9</v>
      </c>
      <c r="O864" s="24">
        <v>1221008</v>
      </c>
      <c r="P864" s="25">
        <v>130</v>
      </c>
      <c r="Q864" s="26">
        <v>1</v>
      </c>
    </row>
    <row r="865" spans="14:17">
      <c r="N865" s="23" t="s">
        <v>9</v>
      </c>
      <c r="O865" s="24">
        <v>7520323</v>
      </c>
      <c r="P865" s="25">
        <v>120</v>
      </c>
      <c r="Q865" s="26">
        <v>1</v>
      </c>
    </row>
    <row r="866" spans="14:17">
      <c r="N866" s="23" t="s">
        <v>11</v>
      </c>
      <c r="O866" s="24">
        <v>3093435</v>
      </c>
      <c r="P866" s="25">
        <v>150</v>
      </c>
      <c r="Q866" s="26">
        <v>1.25</v>
      </c>
    </row>
    <row r="867" spans="14:17">
      <c r="N867" s="23" t="s">
        <v>11</v>
      </c>
      <c r="O867" s="24">
        <v>4931125</v>
      </c>
      <c r="P867" s="25">
        <v>140</v>
      </c>
      <c r="Q867" s="26">
        <v>1.25</v>
      </c>
    </row>
    <row r="868" spans="14:17">
      <c r="N868" s="23" t="s">
        <v>9</v>
      </c>
      <c r="O868" s="24">
        <v>1824443</v>
      </c>
      <c r="P868" s="25">
        <v>130</v>
      </c>
      <c r="Q868" s="26">
        <v>1</v>
      </c>
    </row>
    <row r="869" spans="14:17">
      <c r="N869" s="23" t="s">
        <v>9</v>
      </c>
      <c r="O869" s="24">
        <v>4977686</v>
      </c>
      <c r="P869" s="25">
        <v>150</v>
      </c>
      <c r="Q869" s="26">
        <v>1</v>
      </c>
    </row>
    <row r="870" spans="14:17">
      <c r="N870" s="23" t="s">
        <v>9</v>
      </c>
      <c r="O870" s="24">
        <v>7457571</v>
      </c>
      <c r="P870" s="25">
        <v>130</v>
      </c>
      <c r="Q870" s="26">
        <v>1</v>
      </c>
    </row>
    <row r="871" spans="14:17">
      <c r="N871" s="23" t="s">
        <v>9</v>
      </c>
      <c r="O871" s="24">
        <v>3961504</v>
      </c>
      <c r="P871" s="25">
        <v>120</v>
      </c>
      <c r="Q871" s="26">
        <v>1</v>
      </c>
    </row>
    <row r="872" spans="14:17">
      <c r="N872" s="23" t="s">
        <v>9</v>
      </c>
      <c r="O872" s="24">
        <v>8483488</v>
      </c>
      <c r="P872" s="25">
        <v>120</v>
      </c>
      <c r="Q872" s="26">
        <v>1</v>
      </c>
    </row>
    <row r="873" spans="14:17">
      <c r="N873" s="23" t="s">
        <v>9</v>
      </c>
      <c r="O873" s="24">
        <v>5593199</v>
      </c>
      <c r="P873" s="25">
        <v>130</v>
      </c>
      <c r="Q873" s="26">
        <v>1</v>
      </c>
    </row>
    <row r="874" spans="14:17">
      <c r="N874" s="23" t="s">
        <v>11</v>
      </c>
      <c r="O874" s="24">
        <v>9855835</v>
      </c>
      <c r="P874" s="25">
        <v>150</v>
      </c>
      <c r="Q874" s="26">
        <v>1.25</v>
      </c>
    </row>
    <row r="875" spans="14:17">
      <c r="N875" s="23" t="s">
        <v>9</v>
      </c>
      <c r="O875" s="24">
        <v>6089930</v>
      </c>
      <c r="P875" s="25">
        <v>120</v>
      </c>
      <c r="Q875" s="26">
        <v>1</v>
      </c>
    </row>
    <row r="876" spans="14:17">
      <c r="N876" s="23" t="s">
        <v>11</v>
      </c>
      <c r="O876" s="24">
        <v>5880872</v>
      </c>
      <c r="P876" s="25">
        <v>140</v>
      </c>
      <c r="Q876" s="26">
        <v>1.25</v>
      </c>
    </row>
    <row r="877" spans="14:17">
      <c r="N877" s="23" t="s">
        <v>9</v>
      </c>
      <c r="O877" s="24">
        <v>6232257</v>
      </c>
      <c r="P877" s="25">
        <v>150</v>
      </c>
      <c r="Q877" s="26">
        <v>1</v>
      </c>
    </row>
    <row r="878" spans="14:17">
      <c r="N878" s="23" t="s">
        <v>9</v>
      </c>
      <c r="O878" s="24">
        <v>2417678</v>
      </c>
      <c r="P878" s="25">
        <v>150</v>
      </c>
      <c r="Q878" s="26">
        <v>1</v>
      </c>
    </row>
    <row r="879" spans="14:17">
      <c r="N879" s="23" t="s">
        <v>9</v>
      </c>
      <c r="O879" s="24">
        <v>2234025</v>
      </c>
      <c r="P879" s="25">
        <v>140</v>
      </c>
      <c r="Q879" s="26">
        <v>1</v>
      </c>
    </row>
    <row r="880" spans="14:17">
      <c r="N880" s="23" t="s">
        <v>9</v>
      </c>
      <c r="O880" s="24">
        <v>9176112</v>
      </c>
      <c r="P880" s="25">
        <v>140</v>
      </c>
      <c r="Q880" s="26">
        <v>1</v>
      </c>
    </row>
    <row r="881" spans="14:17">
      <c r="N881" s="23" t="s">
        <v>9</v>
      </c>
      <c r="O881" s="24">
        <v>8734487</v>
      </c>
      <c r="P881" s="25">
        <v>140</v>
      </c>
      <c r="Q881" s="26">
        <v>1</v>
      </c>
    </row>
    <row r="882" spans="14:17">
      <c r="N882" s="23" t="s">
        <v>9</v>
      </c>
      <c r="O882" s="24">
        <v>7983043</v>
      </c>
      <c r="P882" s="25">
        <v>130</v>
      </c>
      <c r="Q882" s="26">
        <v>1</v>
      </c>
    </row>
    <row r="883" spans="14:17">
      <c r="N883" s="23" t="s">
        <v>9</v>
      </c>
      <c r="O883" s="24">
        <v>1955986</v>
      </c>
      <c r="P883" s="25">
        <v>130</v>
      </c>
      <c r="Q883" s="26">
        <v>1</v>
      </c>
    </row>
    <row r="884" spans="14:17">
      <c r="N884" s="23" t="s">
        <v>11</v>
      </c>
      <c r="O884" s="24">
        <v>6693827</v>
      </c>
      <c r="P884" s="25">
        <v>150</v>
      </c>
      <c r="Q884" s="26">
        <v>1.25</v>
      </c>
    </row>
    <row r="885" spans="14:17">
      <c r="N885" s="23" t="s">
        <v>11</v>
      </c>
      <c r="O885" s="24">
        <v>9040623</v>
      </c>
      <c r="P885" s="25">
        <v>140</v>
      </c>
      <c r="Q885" s="26">
        <v>1.25</v>
      </c>
    </row>
    <row r="886" spans="14:17">
      <c r="N886" s="23" t="s">
        <v>9</v>
      </c>
      <c r="O886" s="24">
        <v>9840460</v>
      </c>
      <c r="P886" s="25">
        <v>150</v>
      </c>
      <c r="Q886" s="26">
        <v>1</v>
      </c>
    </row>
    <row r="887" spans="14:17">
      <c r="N887" s="23" t="s">
        <v>9</v>
      </c>
      <c r="O887" s="24">
        <v>2665619</v>
      </c>
      <c r="P887" s="25">
        <v>140</v>
      </c>
      <c r="Q887" s="26">
        <v>1</v>
      </c>
    </row>
    <row r="888" spans="14:17">
      <c r="N888" s="23" t="s">
        <v>9</v>
      </c>
      <c r="O888" s="24">
        <v>7887363</v>
      </c>
      <c r="P888" s="25">
        <v>130</v>
      </c>
      <c r="Q888" s="26">
        <v>1</v>
      </c>
    </row>
    <row r="889" spans="14:17">
      <c r="N889" s="23" t="s">
        <v>9</v>
      </c>
      <c r="O889" s="24">
        <v>3131607</v>
      </c>
      <c r="P889" s="25">
        <v>130</v>
      </c>
      <c r="Q889" s="26">
        <v>1</v>
      </c>
    </row>
    <row r="890" spans="14:17">
      <c r="N890" s="23" t="s">
        <v>9</v>
      </c>
      <c r="O890" s="24">
        <v>7734843</v>
      </c>
      <c r="P890" s="25">
        <v>130</v>
      </c>
      <c r="Q890" s="26">
        <v>1</v>
      </c>
    </row>
    <row r="891" spans="14:17">
      <c r="N891" s="23" t="s">
        <v>9</v>
      </c>
      <c r="O891" s="24">
        <v>1060237</v>
      </c>
      <c r="P891" s="25">
        <v>140</v>
      </c>
      <c r="Q891" s="26">
        <v>1</v>
      </c>
    </row>
    <row r="892" spans="14:17">
      <c r="N892" s="23" t="s">
        <v>9</v>
      </c>
      <c r="O892" s="24">
        <v>7171226</v>
      </c>
      <c r="P892" s="25">
        <v>140</v>
      </c>
      <c r="Q892" s="26">
        <v>1</v>
      </c>
    </row>
    <row r="893" spans="14:17">
      <c r="N893" s="23" t="s">
        <v>9</v>
      </c>
      <c r="O893" s="24">
        <v>2168705</v>
      </c>
      <c r="P893" s="25">
        <v>140</v>
      </c>
      <c r="Q893" s="26">
        <v>1</v>
      </c>
    </row>
    <row r="894" spans="14:17">
      <c r="N894" s="23" t="s">
        <v>9</v>
      </c>
      <c r="O894" s="24">
        <v>3807113</v>
      </c>
      <c r="P894" s="25">
        <v>150</v>
      </c>
      <c r="Q894" s="26">
        <v>1</v>
      </c>
    </row>
    <row r="895" spans="14:17">
      <c r="N895" s="23" t="s">
        <v>11</v>
      </c>
      <c r="O895" s="24">
        <v>4341583</v>
      </c>
      <c r="P895" s="25">
        <v>140</v>
      </c>
      <c r="Q895" s="26">
        <v>1.25</v>
      </c>
    </row>
    <row r="896" spans="14:17">
      <c r="N896" s="23" t="s">
        <v>9</v>
      </c>
      <c r="O896" s="24">
        <v>1831856</v>
      </c>
      <c r="P896" s="25">
        <v>150</v>
      </c>
      <c r="Q896" s="26">
        <v>1</v>
      </c>
    </row>
    <row r="897" spans="14:17">
      <c r="N897" s="23" t="s">
        <v>9</v>
      </c>
      <c r="O897" s="24">
        <v>4224167</v>
      </c>
      <c r="P897" s="25">
        <v>150</v>
      </c>
      <c r="Q897" s="26">
        <v>1</v>
      </c>
    </row>
    <row r="898" spans="14:17">
      <c r="N898" s="23" t="s">
        <v>9</v>
      </c>
      <c r="O898" s="24">
        <v>1155750</v>
      </c>
      <c r="P898" s="25">
        <v>150</v>
      </c>
      <c r="Q898" s="26">
        <v>1</v>
      </c>
    </row>
    <row r="899" spans="14:17">
      <c r="N899" s="23" t="s">
        <v>9</v>
      </c>
      <c r="O899" s="24">
        <v>6220034</v>
      </c>
      <c r="P899" s="25">
        <v>140</v>
      </c>
      <c r="Q899" s="26">
        <v>1</v>
      </c>
    </row>
    <row r="900" spans="14:17">
      <c r="N900" s="23" t="s">
        <v>9</v>
      </c>
      <c r="O900" s="24">
        <v>5119519</v>
      </c>
      <c r="P900" s="25">
        <v>140</v>
      </c>
      <c r="Q900" s="26">
        <v>1</v>
      </c>
    </row>
    <row r="901" spans="14:17">
      <c r="N901" s="23" t="s">
        <v>11</v>
      </c>
      <c r="O901" s="24">
        <v>5704900</v>
      </c>
      <c r="P901" s="25">
        <v>150</v>
      </c>
      <c r="Q901" s="26">
        <v>1.25</v>
      </c>
    </row>
    <row r="902" spans="14:17">
      <c r="N902" s="23" t="s">
        <v>11</v>
      </c>
      <c r="O902" s="24">
        <v>6502778</v>
      </c>
      <c r="P902" s="25">
        <v>150</v>
      </c>
      <c r="Q902" s="26">
        <v>1.25</v>
      </c>
    </row>
    <row r="903" spans="14:17">
      <c r="N903" s="23" t="s">
        <v>9</v>
      </c>
      <c r="O903" s="24">
        <v>1376680</v>
      </c>
      <c r="P903" s="25">
        <v>150</v>
      </c>
      <c r="Q903" s="26">
        <v>1</v>
      </c>
    </row>
    <row r="904" spans="14:17">
      <c r="N904" s="23" t="s">
        <v>11</v>
      </c>
      <c r="O904" s="24">
        <v>7837156</v>
      </c>
      <c r="P904" s="25">
        <v>150</v>
      </c>
      <c r="Q904" s="26">
        <v>1.25</v>
      </c>
    </row>
    <row r="905" spans="14:17">
      <c r="N905" s="23" t="s">
        <v>11</v>
      </c>
      <c r="O905" s="24">
        <v>6883161</v>
      </c>
      <c r="P905" s="25">
        <v>140</v>
      </c>
      <c r="Q905" s="26">
        <v>1.25</v>
      </c>
    </row>
    <row r="906" spans="14:17">
      <c r="N906" s="23" t="s">
        <v>9</v>
      </c>
      <c r="O906" s="24">
        <v>3277032</v>
      </c>
      <c r="P906" s="25">
        <v>140</v>
      </c>
      <c r="Q906" s="26">
        <v>1</v>
      </c>
    </row>
    <row r="907" spans="14:17">
      <c r="N907" s="23" t="s">
        <v>11</v>
      </c>
      <c r="O907" s="24">
        <v>4451143</v>
      </c>
      <c r="P907" s="25">
        <v>140</v>
      </c>
      <c r="Q907" s="26">
        <v>1.25</v>
      </c>
    </row>
    <row r="908" spans="14:17">
      <c r="N908" s="23" t="s">
        <v>9</v>
      </c>
      <c r="O908" s="24">
        <v>6749020</v>
      </c>
      <c r="P908" s="25">
        <v>150</v>
      </c>
      <c r="Q908" s="26">
        <v>1</v>
      </c>
    </row>
    <row r="909" spans="14:17">
      <c r="N909" s="23" t="s">
        <v>9</v>
      </c>
      <c r="O909" s="24">
        <v>3299224</v>
      </c>
      <c r="P909" s="25">
        <v>150</v>
      </c>
      <c r="Q909" s="26">
        <v>1</v>
      </c>
    </row>
    <row r="910" spans="14:17">
      <c r="N910" s="23" t="s">
        <v>9</v>
      </c>
      <c r="O910" s="24">
        <v>8470937</v>
      </c>
      <c r="P910" s="25">
        <v>130</v>
      </c>
      <c r="Q910" s="26">
        <v>1</v>
      </c>
    </row>
    <row r="911" spans="14:17">
      <c r="N911" s="23" t="s">
        <v>9</v>
      </c>
      <c r="O911" s="24">
        <v>6635526</v>
      </c>
      <c r="P911" s="25">
        <v>150</v>
      </c>
      <c r="Q911" s="26">
        <v>1</v>
      </c>
    </row>
    <row r="912" spans="14:17">
      <c r="N912" s="23" t="s">
        <v>9</v>
      </c>
      <c r="O912" s="24">
        <v>8885883</v>
      </c>
      <c r="P912" s="25">
        <v>130</v>
      </c>
      <c r="Q912" s="26">
        <v>1</v>
      </c>
    </row>
    <row r="913" spans="14:17">
      <c r="N913" s="23" t="s">
        <v>11</v>
      </c>
      <c r="O913" s="24">
        <v>7746636</v>
      </c>
      <c r="P913" s="25">
        <v>140</v>
      </c>
      <c r="Q913" s="26">
        <v>1.25</v>
      </c>
    </row>
    <row r="914" spans="14:17">
      <c r="N914" s="23" t="s">
        <v>9</v>
      </c>
      <c r="O914" s="24">
        <v>5508307</v>
      </c>
      <c r="P914" s="25">
        <v>120</v>
      </c>
      <c r="Q914" s="26">
        <v>1</v>
      </c>
    </row>
    <row r="915" spans="14:17">
      <c r="N915" s="23" t="s">
        <v>9</v>
      </c>
      <c r="O915" s="24">
        <v>3724199</v>
      </c>
      <c r="P915" s="25">
        <v>130</v>
      </c>
      <c r="Q915" s="26">
        <v>1</v>
      </c>
    </row>
    <row r="916" spans="14:17">
      <c r="N916" s="23" t="s">
        <v>11</v>
      </c>
      <c r="O916" s="24">
        <v>8067462</v>
      </c>
      <c r="P916" s="25">
        <v>140</v>
      </c>
      <c r="Q916" s="26">
        <v>1.25</v>
      </c>
    </row>
    <row r="917" spans="14:17">
      <c r="N917" s="23" t="s">
        <v>11</v>
      </c>
      <c r="O917" s="24">
        <v>2467078</v>
      </c>
      <c r="P917" s="25">
        <v>140</v>
      </c>
      <c r="Q917" s="26">
        <v>1.25</v>
      </c>
    </row>
    <row r="918" spans="14:17">
      <c r="N918" s="23" t="s">
        <v>9</v>
      </c>
      <c r="O918" s="24">
        <v>9226917</v>
      </c>
      <c r="P918" s="25">
        <v>140</v>
      </c>
      <c r="Q918" s="26">
        <v>1</v>
      </c>
    </row>
    <row r="919" spans="14:17">
      <c r="N919" s="23" t="s">
        <v>9</v>
      </c>
      <c r="O919" s="24">
        <v>1374497</v>
      </c>
      <c r="P919" s="25">
        <v>140</v>
      </c>
      <c r="Q919" s="26">
        <v>1</v>
      </c>
    </row>
    <row r="920" spans="14:17">
      <c r="N920" s="23" t="s">
        <v>11</v>
      </c>
      <c r="O920" s="24">
        <v>8319932</v>
      </c>
      <c r="P920" s="25">
        <v>140</v>
      </c>
      <c r="Q920" s="26">
        <v>1.25</v>
      </c>
    </row>
    <row r="921" spans="14:17">
      <c r="N921" s="23" t="s">
        <v>9</v>
      </c>
      <c r="O921" s="24">
        <v>6197136</v>
      </c>
      <c r="P921" s="25">
        <v>120</v>
      </c>
      <c r="Q921" s="26">
        <v>1</v>
      </c>
    </row>
    <row r="922" spans="14:17">
      <c r="N922" s="23" t="s">
        <v>9</v>
      </c>
      <c r="O922" s="24">
        <v>8071218</v>
      </c>
      <c r="P922" s="25">
        <v>150</v>
      </c>
      <c r="Q922" s="26">
        <v>1</v>
      </c>
    </row>
    <row r="923" spans="14:17">
      <c r="N923" s="23" t="s">
        <v>9</v>
      </c>
      <c r="O923" s="24">
        <v>5293080</v>
      </c>
      <c r="P923" s="25">
        <v>140</v>
      </c>
      <c r="Q923" s="26">
        <v>1</v>
      </c>
    </row>
    <row r="924" spans="14:17">
      <c r="N924" s="23" t="s">
        <v>11</v>
      </c>
      <c r="O924" s="24">
        <v>3033067</v>
      </c>
      <c r="P924" s="25">
        <v>140</v>
      </c>
      <c r="Q924" s="26">
        <v>1.25</v>
      </c>
    </row>
    <row r="925" spans="14:17">
      <c r="N925" s="23" t="s">
        <v>9</v>
      </c>
      <c r="O925" s="24">
        <v>6229273</v>
      </c>
      <c r="P925" s="25">
        <v>130</v>
      </c>
      <c r="Q925" s="26">
        <v>1</v>
      </c>
    </row>
    <row r="926" spans="14:17">
      <c r="N926" s="23" t="s">
        <v>9</v>
      </c>
      <c r="O926" s="24">
        <v>6767185</v>
      </c>
      <c r="P926" s="25">
        <v>130</v>
      </c>
      <c r="Q926" s="26">
        <v>1</v>
      </c>
    </row>
    <row r="927" spans="14:17">
      <c r="N927" s="23" t="s">
        <v>9</v>
      </c>
      <c r="O927" s="24">
        <v>3266816</v>
      </c>
      <c r="P927" s="25">
        <v>140</v>
      </c>
      <c r="Q927" s="26">
        <v>1</v>
      </c>
    </row>
    <row r="928" spans="14:17">
      <c r="N928" s="23" t="s">
        <v>11</v>
      </c>
      <c r="O928" s="24">
        <v>6910424</v>
      </c>
      <c r="P928" s="25">
        <v>150</v>
      </c>
      <c r="Q928" s="26">
        <v>1.25</v>
      </c>
    </row>
    <row r="929" spans="14:17">
      <c r="N929" s="23" t="s">
        <v>9</v>
      </c>
      <c r="O929" s="24">
        <v>4688917</v>
      </c>
      <c r="P929" s="25">
        <v>140</v>
      </c>
      <c r="Q929" s="26">
        <v>1</v>
      </c>
    </row>
    <row r="930" spans="14:17">
      <c r="N930" s="23" t="s">
        <v>11</v>
      </c>
      <c r="O930" s="24">
        <v>9312258</v>
      </c>
      <c r="P930" s="25">
        <v>140</v>
      </c>
      <c r="Q930" s="26">
        <v>1.25</v>
      </c>
    </row>
    <row r="931" spans="14:17">
      <c r="N931" s="23" t="s">
        <v>11</v>
      </c>
      <c r="O931" s="24">
        <v>8313062</v>
      </c>
      <c r="P931" s="25">
        <v>150</v>
      </c>
      <c r="Q931" s="26">
        <v>1.25</v>
      </c>
    </row>
    <row r="932" spans="14:17">
      <c r="N932" s="23" t="s">
        <v>11</v>
      </c>
      <c r="O932" s="24">
        <v>5995005</v>
      </c>
      <c r="P932" s="25">
        <v>140</v>
      </c>
      <c r="Q932" s="26">
        <v>1.25</v>
      </c>
    </row>
    <row r="933" spans="14:17">
      <c r="N933" s="23" t="s">
        <v>11</v>
      </c>
      <c r="O933" s="24">
        <v>9066082</v>
      </c>
      <c r="P933" s="25">
        <v>150</v>
      </c>
      <c r="Q933" s="26">
        <v>1.25</v>
      </c>
    </row>
    <row r="934" spans="14:17">
      <c r="N934" s="23" t="s">
        <v>11</v>
      </c>
      <c r="O934" s="24">
        <v>2152718</v>
      </c>
      <c r="P934" s="25">
        <v>150</v>
      </c>
      <c r="Q934" s="26">
        <v>1.25</v>
      </c>
    </row>
    <row r="935" spans="14:17">
      <c r="N935" s="23" t="s">
        <v>9</v>
      </c>
      <c r="O935" s="24">
        <v>5186306</v>
      </c>
      <c r="P935" s="25">
        <v>150</v>
      </c>
      <c r="Q935" s="26">
        <v>1</v>
      </c>
    </row>
    <row r="936" spans="14:17">
      <c r="N936" s="23" t="s">
        <v>9</v>
      </c>
      <c r="O936" s="24">
        <v>4506925</v>
      </c>
      <c r="P936" s="25">
        <v>140</v>
      </c>
      <c r="Q936" s="26">
        <v>1</v>
      </c>
    </row>
    <row r="937" spans="14:17">
      <c r="N937" s="23" t="s">
        <v>11</v>
      </c>
      <c r="O937" s="24">
        <v>9191961</v>
      </c>
      <c r="P937" s="25">
        <v>150</v>
      </c>
      <c r="Q937" s="26">
        <v>1.25</v>
      </c>
    </row>
    <row r="938" spans="14:17">
      <c r="N938" s="23" t="s">
        <v>11</v>
      </c>
      <c r="O938" s="24">
        <v>5820951</v>
      </c>
      <c r="P938" s="25">
        <v>150</v>
      </c>
      <c r="Q938" s="26">
        <v>1.25</v>
      </c>
    </row>
    <row r="939" spans="14:17">
      <c r="N939" s="23" t="s">
        <v>11</v>
      </c>
      <c r="O939" s="24">
        <v>5175083</v>
      </c>
      <c r="P939" s="25">
        <v>140</v>
      </c>
      <c r="Q939" s="26">
        <v>1.25</v>
      </c>
    </row>
    <row r="940" spans="14:17">
      <c r="N940" s="23" t="s">
        <v>9</v>
      </c>
      <c r="O940" s="24">
        <v>6272878</v>
      </c>
      <c r="P940" s="25">
        <v>150</v>
      </c>
      <c r="Q940" s="26">
        <v>1</v>
      </c>
    </row>
    <row r="941" spans="14:17">
      <c r="N941" s="23" t="s">
        <v>9</v>
      </c>
      <c r="O941" s="24">
        <v>1207386</v>
      </c>
      <c r="P941" s="25">
        <v>150</v>
      </c>
      <c r="Q941" s="26">
        <v>1</v>
      </c>
    </row>
    <row r="942" spans="14:17">
      <c r="N942" s="23" t="s">
        <v>9</v>
      </c>
      <c r="O942" s="24">
        <v>4733506</v>
      </c>
      <c r="P942" s="25">
        <v>130</v>
      </c>
      <c r="Q942" s="26">
        <v>1</v>
      </c>
    </row>
    <row r="943" spans="14:17">
      <c r="N943" s="23" t="s">
        <v>9</v>
      </c>
      <c r="O943" s="24">
        <v>8488530</v>
      </c>
      <c r="P943" s="25">
        <v>120</v>
      </c>
      <c r="Q943" s="26">
        <v>1</v>
      </c>
    </row>
    <row r="944" spans="14:17">
      <c r="N944" s="23" t="s">
        <v>9</v>
      </c>
      <c r="O944" s="24">
        <v>1604925</v>
      </c>
      <c r="P944" s="25">
        <v>130</v>
      </c>
      <c r="Q944" s="26">
        <v>1</v>
      </c>
    </row>
    <row r="945" spans="14:17">
      <c r="N945" s="23" t="s">
        <v>9</v>
      </c>
      <c r="O945" s="24">
        <v>7317531</v>
      </c>
      <c r="P945" s="25">
        <v>120</v>
      </c>
      <c r="Q945" s="26">
        <v>1</v>
      </c>
    </row>
    <row r="946" spans="14:17">
      <c r="N946" s="23" t="s">
        <v>9</v>
      </c>
      <c r="O946" s="24">
        <v>2045700</v>
      </c>
      <c r="P946" s="25">
        <v>150</v>
      </c>
      <c r="Q946" s="26">
        <v>1</v>
      </c>
    </row>
    <row r="947" spans="14:17">
      <c r="N947" s="23" t="s">
        <v>11</v>
      </c>
      <c r="O947" s="24">
        <v>1382568</v>
      </c>
      <c r="P947" s="25">
        <v>150</v>
      </c>
      <c r="Q947" s="26">
        <v>1.25</v>
      </c>
    </row>
    <row r="948" spans="14:17">
      <c r="N948" s="23" t="s">
        <v>9</v>
      </c>
      <c r="O948" s="24">
        <v>3180799</v>
      </c>
      <c r="P948" s="25">
        <v>130</v>
      </c>
      <c r="Q948" s="26">
        <v>1</v>
      </c>
    </row>
    <row r="949" spans="14:17">
      <c r="N949" s="23" t="s">
        <v>9</v>
      </c>
      <c r="O949" s="24">
        <v>5965692</v>
      </c>
      <c r="P949" s="25">
        <v>120</v>
      </c>
      <c r="Q949" s="26">
        <v>1</v>
      </c>
    </row>
    <row r="950" spans="14:17">
      <c r="N950" s="23" t="s">
        <v>11</v>
      </c>
      <c r="O950" s="24">
        <v>4480896</v>
      </c>
      <c r="P950" s="25">
        <v>150</v>
      </c>
      <c r="Q950" s="26">
        <v>1.25</v>
      </c>
    </row>
    <row r="951" spans="14:17">
      <c r="N951" s="23" t="s">
        <v>9</v>
      </c>
      <c r="O951" s="24">
        <v>3356565</v>
      </c>
      <c r="P951" s="25">
        <v>120</v>
      </c>
      <c r="Q951" s="26">
        <v>1</v>
      </c>
    </row>
    <row r="952" spans="14:17">
      <c r="N952" s="23" t="s">
        <v>11</v>
      </c>
      <c r="O952" s="24">
        <v>9779894</v>
      </c>
      <c r="P952" s="25">
        <v>150</v>
      </c>
      <c r="Q952" s="26">
        <v>1.25</v>
      </c>
    </row>
    <row r="953" spans="14:17">
      <c r="N953" s="23" t="s">
        <v>9</v>
      </c>
      <c r="O953" s="24">
        <v>1761839</v>
      </c>
      <c r="P953" s="25">
        <v>140</v>
      </c>
      <c r="Q953" s="26">
        <v>1</v>
      </c>
    </row>
    <row r="954" spans="14:17">
      <c r="N954" s="23" t="s">
        <v>11</v>
      </c>
      <c r="O954" s="24">
        <v>3415089</v>
      </c>
      <c r="P954" s="25">
        <v>140</v>
      </c>
      <c r="Q954" s="26">
        <v>1.25</v>
      </c>
    </row>
    <row r="955" spans="14:17">
      <c r="N955" s="23" t="s">
        <v>11</v>
      </c>
      <c r="O955" s="24">
        <v>7292882</v>
      </c>
      <c r="P955" s="25">
        <v>140</v>
      </c>
      <c r="Q955" s="26">
        <v>1.25</v>
      </c>
    </row>
    <row r="956" spans="14:17">
      <c r="N956" s="23" t="s">
        <v>9</v>
      </c>
      <c r="O956" s="24">
        <v>3232446</v>
      </c>
      <c r="P956" s="25">
        <v>140</v>
      </c>
      <c r="Q956" s="26">
        <v>1</v>
      </c>
    </row>
    <row r="957" spans="14:17">
      <c r="N957" s="23" t="s">
        <v>9</v>
      </c>
      <c r="O957" s="24">
        <v>4099256</v>
      </c>
      <c r="P957" s="25">
        <v>120</v>
      </c>
      <c r="Q957" s="26">
        <v>1</v>
      </c>
    </row>
    <row r="958" spans="14:17">
      <c r="N958" s="23" t="s">
        <v>9</v>
      </c>
      <c r="O958" s="24">
        <v>1619446</v>
      </c>
      <c r="P958" s="25">
        <v>130</v>
      </c>
      <c r="Q958" s="26">
        <v>1</v>
      </c>
    </row>
    <row r="959" spans="14:17">
      <c r="N959" s="23" t="s">
        <v>11</v>
      </c>
      <c r="O959" s="24">
        <v>8184348</v>
      </c>
      <c r="P959" s="25">
        <v>150</v>
      </c>
      <c r="Q959" s="26">
        <v>1.25</v>
      </c>
    </row>
    <row r="960" spans="14:17">
      <c r="N960" s="23" t="s">
        <v>9</v>
      </c>
      <c r="O960" s="24">
        <v>3859472</v>
      </c>
      <c r="P960" s="25">
        <v>120</v>
      </c>
      <c r="Q960" s="26">
        <v>1</v>
      </c>
    </row>
    <row r="961" spans="14:17">
      <c r="N961" s="23" t="s">
        <v>9</v>
      </c>
      <c r="O961" s="24">
        <v>7778654</v>
      </c>
      <c r="P961" s="25">
        <v>140</v>
      </c>
      <c r="Q961" s="26">
        <v>1</v>
      </c>
    </row>
    <row r="962" spans="14:17">
      <c r="N962" s="23" t="s">
        <v>9</v>
      </c>
      <c r="O962" s="24">
        <v>3040935</v>
      </c>
      <c r="P962" s="25">
        <v>130</v>
      </c>
      <c r="Q962" s="26">
        <v>1</v>
      </c>
    </row>
    <row r="963" spans="14:17">
      <c r="N963" s="23" t="s">
        <v>11</v>
      </c>
      <c r="O963" s="24">
        <v>4076595</v>
      </c>
      <c r="P963" s="25">
        <v>150</v>
      </c>
      <c r="Q963" s="26">
        <v>1.25</v>
      </c>
    </row>
    <row r="964" spans="14:17">
      <c r="N964" s="23" t="s">
        <v>9</v>
      </c>
      <c r="O964" s="24">
        <v>8002789</v>
      </c>
      <c r="P964" s="25">
        <v>130</v>
      </c>
      <c r="Q964" s="26">
        <v>1</v>
      </c>
    </row>
    <row r="965" spans="14:17">
      <c r="N965" s="23" t="s">
        <v>11</v>
      </c>
      <c r="O965" s="24">
        <v>9876627</v>
      </c>
      <c r="P965" s="25">
        <v>150</v>
      </c>
      <c r="Q965" s="26">
        <v>1.25</v>
      </c>
    </row>
    <row r="966" spans="14:17">
      <c r="N966" s="23" t="s">
        <v>9</v>
      </c>
      <c r="O966" s="24">
        <v>7140519</v>
      </c>
      <c r="P966" s="25">
        <v>150</v>
      </c>
      <c r="Q966" s="26">
        <v>1</v>
      </c>
    </row>
    <row r="967" spans="14:17">
      <c r="N967" s="23" t="s">
        <v>11</v>
      </c>
      <c r="O967" s="24">
        <v>3135683</v>
      </c>
      <c r="P967" s="25">
        <v>150</v>
      </c>
      <c r="Q967" s="26">
        <v>1.25</v>
      </c>
    </row>
    <row r="968" spans="14:17">
      <c r="N968" s="23" t="s">
        <v>9</v>
      </c>
      <c r="O968" s="24">
        <v>4042626</v>
      </c>
      <c r="P968" s="25">
        <v>130</v>
      </c>
      <c r="Q968" s="26">
        <v>1</v>
      </c>
    </row>
    <row r="969" spans="14:17">
      <c r="N969" s="23" t="s">
        <v>9</v>
      </c>
      <c r="O969" s="24">
        <v>5386016</v>
      </c>
      <c r="P969" s="25">
        <v>140</v>
      </c>
      <c r="Q969" s="26">
        <v>1</v>
      </c>
    </row>
    <row r="970" spans="14:17">
      <c r="N970" s="23" t="s">
        <v>9</v>
      </c>
      <c r="O970" s="24">
        <v>5251522</v>
      </c>
      <c r="P970" s="25">
        <v>150</v>
      </c>
      <c r="Q970" s="26">
        <v>1</v>
      </c>
    </row>
    <row r="971" spans="14:17">
      <c r="N971" s="23" t="s">
        <v>11</v>
      </c>
      <c r="O971" s="24">
        <v>9462873</v>
      </c>
      <c r="P971" s="25">
        <v>150</v>
      </c>
      <c r="Q971" s="26">
        <v>1.25</v>
      </c>
    </row>
    <row r="972" spans="14:17">
      <c r="N972" s="23" t="s">
        <v>9</v>
      </c>
      <c r="O972" s="24">
        <v>3481526</v>
      </c>
      <c r="P972" s="25">
        <v>150</v>
      </c>
      <c r="Q972" s="26">
        <v>1</v>
      </c>
    </row>
    <row r="973" spans="14:17">
      <c r="N973" s="23" t="s">
        <v>9</v>
      </c>
      <c r="O973" s="24">
        <v>4702770</v>
      </c>
      <c r="P973" s="25">
        <v>120</v>
      </c>
      <c r="Q973" s="26">
        <v>1</v>
      </c>
    </row>
    <row r="974" spans="14:17">
      <c r="N974" s="23" t="s">
        <v>9</v>
      </c>
      <c r="O974" s="24">
        <v>3209720</v>
      </c>
      <c r="P974" s="25">
        <v>150</v>
      </c>
      <c r="Q974" s="26">
        <v>1</v>
      </c>
    </row>
    <row r="975" spans="14:17">
      <c r="N975" s="23" t="s">
        <v>9</v>
      </c>
      <c r="O975" s="24">
        <v>1767333</v>
      </c>
      <c r="P975" s="25">
        <v>120</v>
      </c>
      <c r="Q975" s="26">
        <v>1</v>
      </c>
    </row>
    <row r="976" spans="14:17">
      <c r="N976" s="23" t="s">
        <v>9</v>
      </c>
      <c r="O976" s="24">
        <v>5042967</v>
      </c>
      <c r="P976" s="25">
        <v>130</v>
      </c>
      <c r="Q976" s="26">
        <v>1</v>
      </c>
    </row>
    <row r="977" spans="14:17">
      <c r="N977" s="23" t="s">
        <v>9</v>
      </c>
      <c r="O977" s="24">
        <v>8244766</v>
      </c>
      <c r="P977" s="25">
        <v>150</v>
      </c>
      <c r="Q977" s="26">
        <v>1</v>
      </c>
    </row>
    <row r="978" spans="14:17">
      <c r="N978" s="23" t="s">
        <v>9</v>
      </c>
      <c r="O978" s="24">
        <v>5791226</v>
      </c>
      <c r="P978" s="25">
        <v>130</v>
      </c>
      <c r="Q978" s="26">
        <v>1</v>
      </c>
    </row>
    <row r="979" spans="14:17">
      <c r="N979" s="23" t="s">
        <v>9</v>
      </c>
      <c r="O979" s="24">
        <v>5447157</v>
      </c>
      <c r="P979" s="25">
        <v>120</v>
      </c>
      <c r="Q979" s="26">
        <v>1</v>
      </c>
    </row>
    <row r="980" spans="14:17">
      <c r="N980" s="23" t="s">
        <v>11</v>
      </c>
      <c r="O980" s="24">
        <v>6813384</v>
      </c>
      <c r="P980" s="25">
        <v>150</v>
      </c>
      <c r="Q980" s="26">
        <v>1.25</v>
      </c>
    </row>
    <row r="981" spans="14:17">
      <c r="N981" s="23" t="s">
        <v>9</v>
      </c>
      <c r="O981" s="24">
        <v>9344944</v>
      </c>
      <c r="P981" s="25">
        <v>130</v>
      </c>
      <c r="Q981" s="26">
        <v>1</v>
      </c>
    </row>
    <row r="982" spans="14:17">
      <c r="N982" s="23" t="s">
        <v>11</v>
      </c>
      <c r="O982" s="24">
        <v>3345176</v>
      </c>
      <c r="P982" s="25">
        <v>150</v>
      </c>
      <c r="Q982" s="26">
        <v>1.25</v>
      </c>
    </row>
    <row r="983" spans="14:17">
      <c r="N983" s="23" t="s">
        <v>11</v>
      </c>
      <c r="O983" s="24">
        <v>4531971</v>
      </c>
      <c r="P983" s="25">
        <v>150</v>
      </c>
      <c r="Q983" s="26">
        <v>1.25</v>
      </c>
    </row>
    <row r="984" spans="14:17">
      <c r="N984" s="23" t="s">
        <v>11</v>
      </c>
      <c r="O984" s="24">
        <v>5838501</v>
      </c>
      <c r="P984" s="25">
        <v>150</v>
      </c>
      <c r="Q984" s="26">
        <v>1.25</v>
      </c>
    </row>
    <row r="985" spans="14:17">
      <c r="N985" s="23" t="s">
        <v>11</v>
      </c>
      <c r="O985" s="24">
        <v>6113801</v>
      </c>
      <c r="P985" s="25">
        <v>150</v>
      </c>
      <c r="Q985" s="26">
        <v>1.25</v>
      </c>
    </row>
    <row r="986" spans="14:17">
      <c r="N986" s="23" t="s">
        <v>9</v>
      </c>
      <c r="O986" s="24">
        <v>7859598</v>
      </c>
      <c r="P986" s="25">
        <v>150</v>
      </c>
      <c r="Q986" s="26">
        <v>1</v>
      </c>
    </row>
    <row r="987" spans="14:17">
      <c r="N987" s="23" t="s">
        <v>9</v>
      </c>
      <c r="O987" s="24">
        <v>8274506</v>
      </c>
      <c r="P987" s="25">
        <v>130</v>
      </c>
      <c r="Q987" s="26">
        <v>1</v>
      </c>
    </row>
    <row r="988" spans="14:17">
      <c r="N988" s="23" t="s">
        <v>11</v>
      </c>
      <c r="O988" s="24">
        <v>1562132</v>
      </c>
      <c r="P988" s="25">
        <v>150</v>
      </c>
      <c r="Q988" s="26">
        <v>1.25</v>
      </c>
    </row>
    <row r="989" spans="14:17">
      <c r="N989" s="23" t="s">
        <v>9</v>
      </c>
      <c r="O989" s="24">
        <v>9257143</v>
      </c>
      <c r="P989" s="25">
        <v>150</v>
      </c>
      <c r="Q989" s="26">
        <v>1</v>
      </c>
    </row>
    <row r="990" spans="14:17">
      <c r="N990" s="23" t="s">
        <v>9</v>
      </c>
      <c r="O990" s="24">
        <v>7229431</v>
      </c>
      <c r="P990" s="25">
        <v>120</v>
      </c>
      <c r="Q990" s="26">
        <v>1</v>
      </c>
    </row>
    <row r="991" spans="14:17">
      <c r="N991" s="23" t="s">
        <v>11</v>
      </c>
      <c r="O991" s="24">
        <v>5374902</v>
      </c>
      <c r="P991" s="25">
        <v>140</v>
      </c>
      <c r="Q991" s="26">
        <v>1.25</v>
      </c>
    </row>
    <row r="992" spans="14:17">
      <c r="N992" s="23" t="s">
        <v>11</v>
      </c>
      <c r="O992" s="24">
        <v>6646867</v>
      </c>
      <c r="P992" s="25">
        <v>140</v>
      </c>
      <c r="Q992" s="26">
        <v>1.25</v>
      </c>
    </row>
    <row r="993" spans="14:17">
      <c r="N993" s="23" t="s">
        <v>9</v>
      </c>
      <c r="O993" s="24">
        <v>5907301</v>
      </c>
      <c r="P993" s="25">
        <v>150</v>
      </c>
      <c r="Q993" s="26">
        <v>1</v>
      </c>
    </row>
    <row r="994" spans="14:17">
      <c r="N994" s="23" t="s">
        <v>9</v>
      </c>
      <c r="O994" s="24">
        <v>3693766</v>
      </c>
      <c r="P994" s="25">
        <v>150</v>
      </c>
      <c r="Q994" s="26">
        <v>1</v>
      </c>
    </row>
    <row r="995" spans="14:17">
      <c r="N995" s="23" t="s">
        <v>9</v>
      </c>
      <c r="O995" s="24">
        <v>1012502</v>
      </c>
      <c r="P995" s="25">
        <v>130</v>
      </c>
      <c r="Q995" s="26">
        <v>1</v>
      </c>
    </row>
    <row r="996" spans="14:17">
      <c r="N996" s="23" t="s">
        <v>11</v>
      </c>
      <c r="O996" s="24">
        <v>4980274</v>
      </c>
      <c r="P996" s="25">
        <v>150</v>
      </c>
      <c r="Q996" s="26">
        <v>1.25</v>
      </c>
    </row>
    <row r="997" spans="14:17">
      <c r="N997" s="23" t="s">
        <v>11</v>
      </c>
      <c r="O997" s="24">
        <v>3249150</v>
      </c>
      <c r="P997" s="25">
        <v>150</v>
      </c>
      <c r="Q997" s="26">
        <v>1.25</v>
      </c>
    </row>
    <row r="998" spans="14:17">
      <c r="N998" s="23" t="s">
        <v>9</v>
      </c>
      <c r="O998" s="24">
        <v>7461804</v>
      </c>
      <c r="P998" s="25">
        <v>150</v>
      </c>
      <c r="Q998" s="26">
        <v>1</v>
      </c>
    </row>
    <row r="999" spans="14:17">
      <c r="N999" s="23" t="s">
        <v>11</v>
      </c>
      <c r="O999" s="24">
        <v>2891404</v>
      </c>
      <c r="P999" s="25">
        <v>150</v>
      </c>
      <c r="Q999" s="26">
        <v>1.25</v>
      </c>
    </row>
    <row r="1000" spans="14:17">
      <c r="N1000" s="23" t="s">
        <v>11</v>
      </c>
      <c r="O1000" s="24">
        <v>6448552</v>
      </c>
      <c r="P1000" s="25">
        <v>140</v>
      </c>
      <c r="Q1000" s="26">
        <v>1.25</v>
      </c>
    </row>
    <row r="1001" spans="14:17">
      <c r="N1001" s="23" t="s">
        <v>9</v>
      </c>
      <c r="O1001" s="24">
        <v>4384666</v>
      </c>
      <c r="P1001" s="25">
        <v>120</v>
      </c>
      <c r="Q1001" s="26">
        <v>1</v>
      </c>
    </row>
    <row r="1002" spans="14:17">
      <c r="N1002" s="23" t="s">
        <v>11</v>
      </c>
      <c r="O1002" s="24">
        <v>8894046</v>
      </c>
      <c r="P1002" s="25">
        <v>150</v>
      </c>
      <c r="Q1002" s="26">
        <v>1.25</v>
      </c>
    </row>
    <row r="1003" spans="14:17">
      <c r="N1003" s="23" t="s">
        <v>11</v>
      </c>
      <c r="O1003" s="24">
        <v>8086905</v>
      </c>
      <c r="P1003" s="25">
        <v>150</v>
      </c>
      <c r="Q1003" s="26">
        <v>1.25</v>
      </c>
    </row>
    <row r="1004" spans="14:17">
      <c r="N1004" s="23" t="s">
        <v>9</v>
      </c>
      <c r="O1004" s="24">
        <v>5047164</v>
      </c>
      <c r="P1004" s="25">
        <v>140</v>
      </c>
      <c r="Q1004" s="26">
        <v>1</v>
      </c>
    </row>
    <row r="1005" spans="14:17">
      <c r="N1005" s="23" t="s">
        <v>11</v>
      </c>
      <c r="O1005" s="24">
        <v>5814961</v>
      </c>
      <c r="P1005" s="25">
        <v>150</v>
      </c>
      <c r="Q1005" s="26">
        <v>1.25</v>
      </c>
    </row>
    <row r="1006" spans="14:17">
      <c r="N1006" s="23" t="s">
        <v>9</v>
      </c>
      <c r="O1006" s="24">
        <v>1391728</v>
      </c>
      <c r="P1006" s="25">
        <v>140</v>
      </c>
      <c r="Q1006" s="26">
        <v>1</v>
      </c>
    </row>
    <row r="1007" spans="14:17">
      <c r="N1007" s="23" t="s">
        <v>11</v>
      </c>
      <c r="O1007" s="24">
        <v>5782275</v>
      </c>
      <c r="P1007" s="25">
        <v>150</v>
      </c>
      <c r="Q1007" s="26">
        <v>1.25</v>
      </c>
    </row>
    <row r="1008" spans="14:17">
      <c r="N1008" s="23" t="s">
        <v>11</v>
      </c>
      <c r="O1008" s="24">
        <v>2609695</v>
      </c>
      <c r="P1008" s="25">
        <v>140</v>
      </c>
      <c r="Q1008" s="26">
        <v>1.25</v>
      </c>
    </row>
    <row r="1009" spans="14:17">
      <c r="N1009" s="23" t="s">
        <v>11</v>
      </c>
      <c r="O1009" s="24">
        <v>6313366</v>
      </c>
      <c r="P1009" s="25">
        <v>140</v>
      </c>
      <c r="Q1009" s="26">
        <v>1.25</v>
      </c>
    </row>
    <row r="1010" spans="14:17">
      <c r="N1010" s="23" t="s">
        <v>11</v>
      </c>
      <c r="O1010" s="24">
        <v>6506124</v>
      </c>
      <c r="P1010" s="25">
        <v>150</v>
      </c>
      <c r="Q1010" s="26">
        <v>1.25</v>
      </c>
    </row>
    <row r="1011" spans="14:17">
      <c r="N1011" s="23" t="s">
        <v>9</v>
      </c>
      <c r="O1011" s="24">
        <v>3705180</v>
      </c>
      <c r="P1011" s="25">
        <v>150</v>
      </c>
      <c r="Q1011" s="26">
        <v>1</v>
      </c>
    </row>
    <row r="1012" spans="14:17">
      <c r="N1012" s="23" t="s">
        <v>9</v>
      </c>
      <c r="O1012" s="24">
        <v>3576605</v>
      </c>
      <c r="P1012" s="25">
        <v>140</v>
      </c>
      <c r="Q1012" s="26">
        <v>1</v>
      </c>
    </row>
    <row r="1013" spans="14:17">
      <c r="N1013" s="23" t="s">
        <v>9</v>
      </c>
      <c r="O1013" s="24">
        <v>4583391</v>
      </c>
      <c r="P1013" s="25">
        <v>120</v>
      </c>
      <c r="Q1013" s="26">
        <v>1</v>
      </c>
    </row>
    <row r="1014" spans="14:17">
      <c r="N1014" s="23" t="s">
        <v>9</v>
      </c>
      <c r="O1014" s="24">
        <v>2449518</v>
      </c>
      <c r="P1014" s="25">
        <v>150</v>
      </c>
      <c r="Q1014" s="26">
        <v>1</v>
      </c>
    </row>
    <row r="1015" spans="14:17">
      <c r="N1015" s="23" t="s">
        <v>11</v>
      </c>
      <c r="O1015" s="24">
        <v>1995885</v>
      </c>
      <c r="P1015" s="25">
        <v>140</v>
      </c>
      <c r="Q1015" s="26">
        <v>1.25</v>
      </c>
    </row>
    <row r="1016" spans="14:17">
      <c r="N1016" s="23" t="s">
        <v>9</v>
      </c>
      <c r="O1016" s="24">
        <v>6375373</v>
      </c>
      <c r="P1016" s="25">
        <v>130</v>
      </c>
      <c r="Q1016" s="26">
        <v>1</v>
      </c>
    </row>
    <row r="1017" spans="14:17">
      <c r="N1017" s="23" t="s">
        <v>11</v>
      </c>
      <c r="O1017" s="24">
        <v>1617205</v>
      </c>
      <c r="P1017" s="25">
        <v>140</v>
      </c>
      <c r="Q1017" s="26">
        <v>1.25</v>
      </c>
    </row>
    <row r="1018" spans="14:17">
      <c r="N1018" s="23" t="s">
        <v>11</v>
      </c>
      <c r="O1018" s="24">
        <v>4269263</v>
      </c>
      <c r="P1018" s="25">
        <v>140</v>
      </c>
      <c r="Q1018" s="26">
        <v>1.25</v>
      </c>
    </row>
    <row r="1019" spans="14:17">
      <c r="N1019" s="23" t="s">
        <v>9</v>
      </c>
      <c r="O1019" s="24">
        <v>4014367</v>
      </c>
      <c r="P1019" s="25">
        <v>150</v>
      </c>
      <c r="Q1019" s="26">
        <v>1</v>
      </c>
    </row>
    <row r="1020" spans="14:17">
      <c r="N1020" s="23" t="s">
        <v>11</v>
      </c>
      <c r="O1020" s="24">
        <v>6708173</v>
      </c>
      <c r="P1020" s="25">
        <v>140</v>
      </c>
      <c r="Q1020" s="26">
        <v>1.25</v>
      </c>
    </row>
    <row r="1021" spans="14:17">
      <c r="N1021" s="23" t="s">
        <v>9</v>
      </c>
      <c r="O1021" s="24">
        <v>1522942</v>
      </c>
      <c r="P1021" s="25">
        <v>150</v>
      </c>
      <c r="Q1021" s="26">
        <v>1</v>
      </c>
    </row>
    <row r="1022" spans="14:17">
      <c r="N1022" s="23" t="s">
        <v>9</v>
      </c>
      <c r="O1022" s="24">
        <v>7834033</v>
      </c>
      <c r="P1022" s="25">
        <v>140</v>
      </c>
      <c r="Q1022" s="26">
        <v>1</v>
      </c>
    </row>
    <row r="1023" spans="14:17">
      <c r="N1023" s="23" t="s">
        <v>9</v>
      </c>
      <c r="O1023" s="24">
        <v>3191537</v>
      </c>
      <c r="P1023" s="25">
        <v>130</v>
      </c>
      <c r="Q1023" s="26">
        <v>1</v>
      </c>
    </row>
    <row r="1024" spans="14:17">
      <c r="N1024" s="23" t="s">
        <v>11</v>
      </c>
      <c r="O1024" s="24">
        <v>4214247</v>
      </c>
      <c r="P1024" s="25">
        <v>150</v>
      </c>
      <c r="Q1024" s="26">
        <v>1.25</v>
      </c>
    </row>
    <row r="1025" spans="14:17">
      <c r="N1025" s="23" t="s">
        <v>11</v>
      </c>
      <c r="O1025" s="24">
        <v>7214980</v>
      </c>
      <c r="P1025" s="25">
        <v>150</v>
      </c>
      <c r="Q1025" s="26">
        <v>1.25</v>
      </c>
    </row>
    <row r="1026" spans="14:17">
      <c r="N1026" s="23" t="s">
        <v>9</v>
      </c>
      <c r="O1026" s="24">
        <v>4356766</v>
      </c>
      <c r="P1026" s="25">
        <v>120</v>
      </c>
      <c r="Q1026" s="26">
        <v>1</v>
      </c>
    </row>
    <row r="1027" spans="14:17">
      <c r="N1027" s="23" t="s">
        <v>9</v>
      </c>
      <c r="O1027" s="24">
        <v>8391996</v>
      </c>
      <c r="P1027" s="25">
        <v>140</v>
      </c>
      <c r="Q1027" s="26">
        <v>1</v>
      </c>
    </row>
    <row r="1028" spans="14:17">
      <c r="N1028" s="23" t="s">
        <v>9</v>
      </c>
      <c r="O1028" s="24">
        <v>1910668</v>
      </c>
      <c r="P1028" s="25">
        <v>140</v>
      </c>
      <c r="Q1028" s="26">
        <v>1</v>
      </c>
    </row>
    <row r="1029" spans="14:17">
      <c r="N1029" s="23" t="s">
        <v>11</v>
      </c>
      <c r="O1029" s="24">
        <v>9253448</v>
      </c>
      <c r="P1029" s="25">
        <v>150</v>
      </c>
      <c r="Q1029" s="26">
        <v>1.25</v>
      </c>
    </row>
    <row r="1030" spans="14:17">
      <c r="N1030" s="23" t="s">
        <v>9</v>
      </c>
      <c r="O1030" s="24">
        <v>9140040</v>
      </c>
      <c r="P1030" s="25">
        <v>130</v>
      </c>
      <c r="Q1030" s="26">
        <v>1</v>
      </c>
    </row>
    <row r="1031" spans="14:17">
      <c r="N1031" s="23" t="s">
        <v>11</v>
      </c>
      <c r="O1031" s="24">
        <v>4999966</v>
      </c>
      <c r="P1031" s="25">
        <v>140</v>
      </c>
      <c r="Q1031" s="26">
        <v>1.25</v>
      </c>
    </row>
    <row r="1032" spans="14:17">
      <c r="N1032" s="23" t="s">
        <v>9</v>
      </c>
      <c r="O1032" s="24">
        <v>8160867</v>
      </c>
      <c r="P1032" s="25">
        <v>150</v>
      </c>
      <c r="Q1032" s="26">
        <v>1</v>
      </c>
    </row>
    <row r="1033" spans="14:17">
      <c r="N1033" s="23" t="s">
        <v>9</v>
      </c>
      <c r="O1033" s="24">
        <v>6811057</v>
      </c>
      <c r="P1033" s="25">
        <v>120</v>
      </c>
      <c r="Q1033" s="26">
        <v>1</v>
      </c>
    </row>
    <row r="1034" spans="14:17">
      <c r="N1034" s="23" t="s">
        <v>9</v>
      </c>
      <c r="O1034" s="24">
        <v>3772743</v>
      </c>
      <c r="P1034" s="25">
        <v>140</v>
      </c>
      <c r="Q1034" s="26">
        <v>1</v>
      </c>
    </row>
    <row r="1035" spans="14:17">
      <c r="N1035" s="23" t="s">
        <v>11</v>
      </c>
      <c r="O1035" s="24">
        <v>2261670</v>
      </c>
      <c r="P1035" s="25">
        <v>150</v>
      </c>
      <c r="Q1035" s="26">
        <v>1.25</v>
      </c>
    </row>
    <row r="1036" spans="14:17">
      <c r="N1036" s="23" t="s">
        <v>9</v>
      </c>
      <c r="O1036" s="24">
        <v>8751723</v>
      </c>
      <c r="P1036" s="25">
        <v>140</v>
      </c>
      <c r="Q1036" s="26">
        <v>1</v>
      </c>
    </row>
    <row r="1037" spans="14:17">
      <c r="N1037" s="23" t="s">
        <v>11</v>
      </c>
      <c r="O1037" s="24">
        <v>7443892</v>
      </c>
      <c r="P1037" s="25">
        <v>140</v>
      </c>
      <c r="Q1037" s="26">
        <v>1.25</v>
      </c>
    </row>
    <row r="1038" spans="14:17">
      <c r="N1038" s="23" t="s">
        <v>9</v>
      </c>
      <c r="O1038" s="24">
        <v>1707898</v>
      </c>
      <c r="P1038" s="25">
        <v>150</v>
      </c>
      <c r="Q1038" s="26">
        <v>1</v>
      </c>
    </row>
    <row r="1039" spans="14:17">
      <c r="N1039" s="23" t="s">
        <v>9</v>
      </c>
      <c r="O1039" s="24">
        <v>8818059</v>
      </c>
      <c r="P1039" s="25">
        <v>130</v>
      </c>
      <c r="Q1039" s="26">
        <v>1</v>
      </c>
    </row>
    <row r="1040" spans="14:17">
      <c r="N1040" s="23" t="s">
        <v>9</v>
      </c>
      <c r="O1040" s="24">
        <v>4454110</v>
      </c>
      <c r="P1040" s="25">
        <v>120</v>
      </c>
      <c r="Q1040" s="26">
        <v>1</v>
      </c>
    </row>
    <row r="1041" spans="14:17">
      <c r="N1041" s="23" t="s">
        <v>11</v>
      </c>
      <c r="O1041" s="24">
        <v>6312078</v>
      </c>
      <c r="P1041" s="25">
        <v>150</v>
      </c>
      <c r="Q1041" s="26">
        <v>1.25</v>
      </c>
    </row>
    <row r="1042" spans="14:17">
      <c r="N1042" s="23" t="s">
        <v>11</v>
      </c>
      <c r="O1042" s="24">
        <v>3500673</v>
      </c>
      <c r="P1042" s="25">
        <v>150</v>
      </c>
      <c r="Q1042" s="26">
        <v>1.25</v>
      </c>
    </row>
    <row r="1043" spans="14:17">
      <c r="N1043" s="23" t="s">
        <v>11</v>
      </c>
      <c r="O1043" s="24">
        <v>8628841</v>
      </c>
      <c r="P1043" s="25">
        <v>150</v>
      </c>
      <c r="Q1043" s="26">
        <v>1.25</v>
      </c>
    </row>
    <row r="1044" spans="14:17">
      <c r="N1044" s="23" t="s">
        <v>11</v>
      </c>
      <c r="O1044" s="24">
        <v>5359936</v>
      </c>
      <c r="P1044" s="25">
        <v>150</v>
      </c>
      <c r="Q1044" s="26">
        <v>1.25</v>
      </c>
    </row>
    <row r="1045" spans="14:17">
      <c r="N1045" s="23" t="s">
        <v>9</v>
      </c>
      <c r="O1045" s="24">
        <v>7822823</v>
      </c>
      <c r="P1045" s="25">
        <v>150</v>
      </c>
      <c r="Q1045" s="26">
        <v>1</v>
      </c>
    </row>
    <row r="1046" spans="14:17">
      <c r="N1046" s="23" t="s">
        <v>9</v>
      </c>
      <c r="O1046" s="24">
        <v>2303594</v>
      </c>
      <c r="P1046" s="25">
        <v>130</v>
      </c>
      <c r="Q1046" s="26">
        <v>1</v>
      </c>
    </row>
    <row r="1047" spans="14:17">
      <c r="N1047" s="23" t="s">
        <v>9</v>
      </c>
      <c r="O1047" s="24">
        <v>5524260</v>
      </c>
      <c r="P1047" s="25">
        <v>140</v>
      </c>
      <c r="Q1047" s="26">
        <v>1</v>
      </c>
    </row>
    <row r="1048" spans="14:17">
      <c r="N1048" s="23" t="s">
        <v>11</v>
      </c>
      <c r="O1048" s="24">
        <v>4086021</v>
      </c>
      <c r="P1048" s="25">
        <v>150</v>
      </c>
      <c r="Q1048" s="26">
        <v>1.25</v>
      </c>
    </row>
    <row r="1049" spans="14:17">
      <c r="N1049" s="23" t="s">
        <v>11</v>
      </c>
      <c r="O1049" s="24">
        <v>5927737</v>
      </c>
      <c r="P1049" s="25">
        <v>150</v>
      </c>
      <c r="Q1049" s="26">
        <v>1.25</v>
      </c>
    </row>
    <row r="1050" spans="14:17">
      <c r="N1050" s="23" t="s">
        <v>11</v>
      </c>
      <c r="O1050" s="24">
        <v>8980590</v>
      </c>
      <c r="P1050" s="25">
        <v>140</v>
      </c>
      <c r="Q1050" s="26">
        <v>1.25</v>
      </c>
    </row>
    <row r="1051" spans="14:17">
      <c r="N1051" s="23" t="s">
        <v>9</v>
      </c>
      <c r="O1051" s="24">
        <v>3208731</v>
      </c>
      <c r="P1051" s="25">
        <v>150</v>
      </c>
      <c r="Q1051" s="26">
        <v>1</v>
      </c>
    </row>
    <row r="1052" spans="14:17">
      <c r="N1052" s="23" t="s">
        <v>9</v>
      </c>
      <c r="O1052" s="24">
        <v>8420056</v>
      </c>
      <c r="P1052" s="25">
        <v>130</v>
      </c>
      <c r="Q1052" s="26">
        <v>1</v>
      </c>
    </row>
    <row r="1053" spans="14:17">
      <c r="N1053" s="23" t="s">
        <v>9</v>
      </c>
      <c r="O1053" s="24">
        <v>1483046</v>
      </c>
      <c r="P1053" s="25">
        <v>130</v>
      </c>
      <c r="Q1053" s="26">
        <v>1</v>
      </c>
    </row>
    <row r="1054" spans="14:17">
      <c r="N1054" s="23" t="s">
        <v>9</v>
      </c>
      <c r="O1054" s="24">
        <v>2903423</v>
      </c>
      <c r="P1054" s="25">
        <v>130</v>
      </c>
      <c r="Q1054" s="26">
        <v>1</v>
      </c>
    </row>
    <row r="1055" spans="14:17">
      <c r="N1055" s="23" t="s">
        <v>11</v>
      </c>
      <c r="O1055" s="24">
        <v>7604230</v>
      </c>
      <c r="P1055" s="25">
        <v>150</v>
      </c>
      <c r="Q1055" s="26">
        <v>1.25</v>
      </c>
    </row>
    <row r="1056" spans="14:17">
      <c r="N1056" s="23" t="s">
        <v>11</v>
      </c>
      <c r="O1056" s="24">
        <v>2124616</v>
      </c>
      <c r="P1056" s="25">
        <v>140</v>
      </c>
      <c r="Q1056" s="26">
        <v>1.25</v>
      </c>
    </row>
    <row r="1057" spans="14:17">
      <c r="N1057" s="23" t="s">
        <v>9</v>
      </c>
      <c r="O1057" s="24">
        <v>7734156</v>
      </c>
      <c r="P1057" s="25">
        <v>150</v>
      </c>
      <c r="Q1057" s="26">
        <v>1</v>
      </c>
    </row>
    <row r="1058" spans="14:17">
      <c r="N1058" s="23" t="s">
        <v>9</v>
      </c>
      <c r="O1058" s="24">
        <v>5521611</v>
      </c>
      <c r="P1058" s="25">
        <v>140</v>
      </c>
      <c r="Q1058" s="26">
        <v>1</v>
      </c>
    </row>
    <row r="1059" spans="14:17">
      <c r="N1059" s="23" t="s">
        <v>9</v>
      </c>
      <c r="O1059" s="24">
        <v>6954092</v>
      </c>
      <c r="P1059" s="25">
        <v>140</v>
      </c>
      <c r="Q1059" s="26">
        <v>1</v>
      </c>
    </row>
    <row r="1060" spans="14:17">
      <c r="N1060" s="23" t="s">
        <v>9</v>
      </c>
      <c r="O1060" s="24">
        <v>2900579</v>
      </c>
      <c r="P1060" s="25">
        <v>150</v>
      </c>
      <c r="Q1060" s="26">
        <v>1</v>
      </c>
    </row>
    <row r="1061" spans="14:17">
      <c r="N1061" s="23" t="s">
        <v>9</v>
      </c>
      <c r="O1061" s="24">
        <v>8738569</v>
      </c>
      <c r="P1061" s="25">
        <v>140</v>
      </c>
      <c r="Q1061" s="26">
        <v>1</v>
      </c>
    </row>
    <row r="1062" spans="14:17">
      <c r="N1062" s="23" t="s">
        <v>9</v>
      </c>
      <c r="O1062" s="24">
        <v>8375355</v>
      </c>
      <c r="P1062" s="25">
        <v>130</v>
      </c>
      <c r="Q1062" s="26">
        <v>1</v>
      </c>
    </row>
    <row r="1063" spans="14:17">
      <c r="N1063" s="23" t="s">
        <v>11</v>
      </c>
      <c r="O1063" s="24">
        <v>2293125</v>
      </c>
      <c r="P1063" s="25">
        <v>150</v>
      </c>
      <c r="Q1063" s="26">
        <v>1.25</v>
      </c>
    </row>
    <row r="1064" spans="14:17">
      <c r="N1064" s="23" t="s">
        <v>11</v>
      </c>
      <c r="O1064" s="24">
        <v>9947898</v>
      </c>
      <c r="P1064" s="25">
        <v>140</v>
      </c>
      <c r="Q1064" s="26">
        <v>1.25</v>
      </c>
    </row>
    <row r="1065" spans="14:17">
      <c r="N1065" s="23" t="s">
        <v>9</v>
      </c>
      <c r="O1065" s="24">
        <v>2832486</v>
      </c>
      <c r="P1065" s="25">
        <v>120</v>
      </c>
      <c r="Q1065" s="26">
        <v>1</v>
      </c>
    </row>
    <row r="1066" spans="14:17">
      <c r="N1066" s="23" t="s">
        <v>9</v>
      </c>
      <c r="O1066" s="24">
        <v>6501892</v>
      </c>
      <c r="P1066" s="25">
        <v>120</v>
      </c>
      <c r="Q1066" s="26">
        <v>1</v>
      </c>
    </row>
    <row r="1067" spans="14:17">
      <c r="N1067" s="23" t="s">
        <v>11</v>
      </c>
      <c r="O1067" s="24">
        <v>5600087</v>
      </c>
      <c r="P1067" s="25">
        <v>150</v>
      </c>
      <c r="Q1067" s="26">
        <v>1.25</v>
      </c>
    </row>
    <row r="1068" spans="14:17">
      <c r="N1068" s="23" t="s">
        <v>9</v>
      </c>
      <c r="O1068" s="24">
        <v>5644175</v>
      </c>
      <c r="P1068" s="25">
        <v>120</v>
      </c>
      <c r="Q1068" s="26">
        <v>1</v>
      </c>
    </row>
    <row r="1069" spans="14:17">
      <c r="N1069" s="23" t="s">
        <v>9</v>
      </c>
      <c r="O1069" s="24">
        <v>6463707</v>
      </c>
      <c r="P1069" s="25">
        <v>150</v>
      </c>
      <c r="Q1069" s="26">
        <v>1</v>
      </c>
    </row>
    <row r="1070" spans="14:17">
      <c r="N1070" s="23" t="s">
        <v>9</v>
      </c>
      <c r="O1070" s="24">
        <v>6710356</v>
      </c>
      <c r="P1070" s="25">
        <v>130</v>
      </c>
      <c r="Q1070" s="26">
        <v>1</v>
      </c>
    </row>
    <row r="1071" spans="14:17">
      <c r="N1071" s="23" t="s">
        <v>9</v>
      </c>
      <c r="O1071" s="24">
        <v>6009425</v>
      </c>
      <c r="P1071" s="25">
        <v>150</v>
      </c>
      <c r="Q1071" s="26">
        <v>1</v>
      </c>
    </row>
    <row r="1072" spans="14:17">
      <c r="N1072" s="23" t="s">
        <v>9</v>
      </c>
      <c r="O1072" s="24">
        <v>7323718</v>
      </c>
      <c r="P1072" s="25">
        <v>130</v>
      </c>
      <c r="Q1072" s="26">
        <v>1</v>
      </c>
    </row>
    <row r="1073" spans="14:17">
      <c r="N1073" s="23" t="s">
        <v>11</v>
      </c>
      <c r="O1073" s="24">
        <v>7394727</v>
      </c>
      <c r="P1073" s="25">
        <v>150</v>
      </c>
      <c r="Q1073" s="26">
        <v>1.25</v>
      </c>
    </row>
    <row r="1074" spans="14:17">
      <c r="N1074" s="23" t="s">
        <v>11</v>
      </c>
      <c r="O1074" s="24">
        <v>7574786</v>
      </c>
      <c r="P1074" s="25">
        <v>150</v>
      </c>
      <c r="Q1074" s="26">
        <v>1.25</v>
      </c>
    </row>
    <row r="1075" spans="14:17">
      <c r="N1075" s="23" t="s">
        <v>9</v>
      </c>
      <c r="O1075" s="24">
        <v>9212863</v>
      </c>
      <c r="P1075" s="25">
        <v>150</v>
      </c>
      <c r="Q1075" s="26">
        <v>1</v>
      </c>
    </row>
    <row r="1076" spans="14:17">
      <c r="N1076" s="23" t="s">
        <v>11</v>
      </c>
      <c r="O1076" s="24">
        <v>5317709</v>
      </c>
      <c r="P1076" s="25">
        <v>140</v>
      </c>
      <c r="Q1076" s="26">
        <v>1.25</v>
      </c>
    </row>
    <row r="1077" spans="14:17">
      <c r="N1077" s="23" t="s">
        <v>9</v>
      </c>
      <c r="O1077" s="24">
        <v>7218246</v>
      </c>
      <c r="P1077" s="25">
        <v>140</v>
      </c>
      <c r="Q1077" s="26">
        <v>1</v>
      </c>
    </row>
    <row r="1078" spans="14:17">
      <c r="N1078" s="23" t="s">
        <v>11</v>
      </c>
      <c r="O1078" s="24">
        <v>4319844</v>
      </c>
      <c r="P1078" s="25">
        <v>140</v>
      </c>
      <c r="Q1078" s="26">
        <v>1.25</v>
      </c>
    </row>
    <row r="1079" spans="14:17">
      <c r="N1079" s="23" t="s">
        <v>9</v>
      </c>
      <c r="O1079" s="24">
        <v>6193904</v>
      </c>
      <c r="P1079" s="25">
        <v>140</v>
      </c>
      <c r="Q1079" s="26">
        <v>1</v>
      </c>
    </row>
    <row r="1080" spans="14:17">
      <c r="N1080" s="23" t="s">
        <v>9</v>
      </c>
      <c r="O1080" s="24">
        <v>1574390</v>
      </c>
      <c r="P1080" s="25">
        <v>130</v>
      </c>
      <c r="Q1080" s="26">
        <v>1</v>
      </c>
    </row>
    <row r="1081" spans="14:17">
      <c r="N1081" s="23" t="s">
        <v>11</v>
      </c>
      <c r="O1081" s="24">
        <v>5275659</v>
      </c>
      <c r="P1081" s="25">
        <v>140</v>
      </c>
      <c r="Q1081" s="26">
        <v>1.25</v>
      </c>
    </row>
    <row r="1082" spans="14:17">
      <c r="N1082" s="23" t="s">
        <v>11</v>
      </c>
      <c r="O1082" s="24">
        <v>6769823</v>
      </c>
      <c r="P1082" s="25">
        <v>140</v>
      </c>
      <c r="Q1082" s="26">
        <v>1.25</v>
      </c>
    </row>
    <row r="1083" spans="14:17">
      <c r="N1083" s="23" t="s">
        <v>9</v>
      </c>
      <c r="O1083" s="24">
        <v>1699018</v>
      </c>
      <c r="P1083" s="25">
        <v>140</v>
      </c>
      <c r="Q1083" s="26">
        <v>1</v>
      </c>
    </row>
    <row r="1084" spans="14:17">
      <c r="N1084" s="23" t="s">
        <v>11</v>
      </c>
      <c r="O1084" s="24">
        <v>6934989</v>
      </c>
      <c r="P1084" s="25">
        <v>150</v>
      </c>
      <c r="Q1084" s="26">
        <v>1.25</v>
      </c>
    </row>
    <row r="1085" spans="14:17">
      <c r="N1085" s="23" t="s">
        <v>9</v>
      </c>
      <c r="O1085" s="24">
        <v>6519862</v>
      </c>
      <c r="P1085" s="25">
        <v>130</v>
      </c>
      <c r="Q1085" s="26">
        <v>1</v>
      </c>
    </row>
    <row r="1086" spans="14:17">
      <c r="N1086" s="23" t="s">
        <v>9</v>
      </c>
      <c r="O1086" s="24">
        <v>6807280</v>
      </c>
      <c r="P1086" s="25">
        <v>120</v>
      </c>
      <c r="Q1086" s="26">
        <v>1</v>
      </c>
    </row>
    <row r="1087" spans="14:17">
      <c r="N1087" s="23" t="s">
        <v>9</v>
      </c>
      <c r="O1087" s="24">
        <v>7949709</v>
      </c>
      <c r="P1087" s="25">
        <v>130</v>
      </c>
      <c r="Q1087" s="26">
        <v>1</v>
      </c>
    </row>
    <row r="1088" spans="14:17">
      <c r="N1088" s="23" t="s">
        <v>11</v>
      </c>
      <c r="O1088" s="24">
        <v>3684301</v>
      </c>
      <c r="P1088" s="25">
        <v>140</v>
      </c>
      <c r="Q1088" s="26">
        <v>1.25</v>
      </c>
    </row>
    <row r="1089" spans="14:17">
      <c r="N1089" s="23" t="s">
        <v>11</v>
      </c>
      <c r="O1089" s="24">
        <v>2505818</v>
      </c>
      <c r="P1089" s="25">
        <v>150</v>
      </c>
      <c r="Q1089" s="26">
        <v>1.25</v>
      </c>
    </row>
    <row r="1090" spans="14:17">
      <c r="N1090" s="23" t="s">
        <v>11</v>
      </c>
      <c r="O1090" s="24">
        <v>1577269</v>
      </c>
      <c r="P1090" s="25">
        <v>150</v>
      </c>
      <c r="Q1090" s="26">
        <v>1.25</v>
      </c>
    </row>
    <row r="1091" spans="14:17">
      <c r="N1091" s="23" t="s">
        <v>9</v>
      </c>
      <c r="O1091" s="24">
        <v>4750124</v>
      </c>
      <c r="P1091" s="25">
        <v>150</v>
      </c>
      <c r="Q1091" s="26">
        <v>1</v>
      </c>
    </row>
    <row r="1092" spans="14:17">
      <c r="N1092" s="23" t="s">
        <v>9</v>
      </c>
      <c r="O1092" s="24">
        <v>8041571</v>
      </c>
      <c r="P1092" s="25">
        <v>150</v>
      </c>
      <c r="Q1092" s="26">
        <v>1</v>
      </c>
    </row>
    <row r="1093" spans="14:17">
      <c r="N1093" s="23" t="s">
        <v>9</v>
      </c>
      <c r="O1093" s="24">
        <v>8150497</v>
      </c>
      <c r="P1093" s="25">
        <v>120</v>
      </c>
      <c r="Q1093" s="26">
        <v>1</v>
      </c>
    </row>
    <row r="1094" spans="14:17">
      <c r="N1094" s="23" t="s">
        <v>11</v>
      </c>
      <c r="O1094" s="24">
        <v>6510359</v>
      </c>
      <c r="P1094" s="25">
        <v>150</v>
      </c>
      <c r="Q1094" s="26">
        <v>1.25</v>
      </c>
    </row>
    <row r="1095" spans="14:17">
      <c r="N1095" s="23" t="s">
        <v>9</v>
      </c>
      <c r="O1095" s="24">
        <v>1078028</v>
      </c>
      <c r="P1095" s="25">
        <v>150</v>
      </c>
      <c r="Q1095" s="26">
        <v>1</v>
      </c>
    </row>
    <row r="1096" spans="14:17">
      <c r="N1096" s="23" t="s">
        <v>11</v>
      </c>
      <c r="O1096" s="24">
        <v>6448500</v>
      </c>
      <c r="P1096" s="25">
        <v>150</v>
      </c>
      <c r="Q1096" s="26">
        <v>1.25</v>
      </c>
    </row>
    <row r="1097" spans="14:17">
      <c r="N1097" s="23" t="s">
        <v>9</v>
      </c>
      <c r="O1097" s="24">
        <v>7750375</v>
      </c>
      <c r="P1097" s="25">
        <v>140</v>
      </c>
      <c r="Q1097" s="26">
        <v>1</v>
      </c>
    </row>
    <row r="1098" spans="14:17">
      <c r="N1098" s="23" t="s">
        <v>9</v>
      </c>
      <c r="O1098" s="24">
        <v>3308464</v>
      </c>
      <c r="P1098" s="25">
        <v>130</v>
      </c>
      <c r="Q1098" s="26">
        <v>1</v>
      </c>
    </row>
    <row r="1099" spans="14:17">
      <c r="N1099" s="23" t="s">
        <v>9</v>
      </c>
      <c r="O1099" s="24">
        <v>5971277</v>
      </c>
      <c r="P1099" s="25">
        <v>130</v>
      </c>
      <c r="Q1099" s="26">
        <v>1</v>
      </c>
    </row>
    <row r="1100" spans="14:17">
      <c r="N1100" s="23" t="s">
        <v>9</v>
      </c>
      <c r="O1100" s="24">
        <v>2378502</v>
      </c>
      <c r="P1100" s="25">
        <v>130</v>
      </c>
      <c r="Q1100" s="26">
        <v>1</v>
      </c>
    </row>
    <row r="1101" spans="14:17">
      <c r="N1101" s="23" t="s">
        <v>9</v>
      </c>
      <c r="O1101" s="24">
        <v>1762199</v>
      </c>
      <c r="P1101" s="25">
        <v>130</v>
      </c>
      <c r="Q1101" s="26">
        <v>1</v>
      </c>
    </row>
    <row r="1102" spans="14:17">
      <c r="N1102" s="23" t="s">
        <v>11</v>
      </c>
      <c r="O1102" s="24">
        <v>5635035</v>
      </c>
      <c r="P1102" s="25">
        <v>140</v>
      </c>
      <c r="Q1102" s="26">
        <v>1.25</v>
      </c>
    </row>
    <row r="1103" spans="14:17">
      <c r="N1103" s="23" t="s">
        <v>9</v>
      </c>
      <c r="O1103" s="24">
        <v>1788061</v>
      </c>
      <c r="P1103" s="25">
        <v>140</v>
      </c>
      <c r="Q1103" s="26">
        <v>1</v>
      </c>
    </row>
    <row r="1104" spans="14:17">
      <c r="N1104" s="23" t="s">
        <v>9</v>
      </c>
      <c r="O1104" s="24">
        <v>7113494</v>
      </c>
      <c r="P1104" s="25">
        <v>130</v>
      </c>
      <c r="Q1104" s="26">
        <v>1</v>
      </c>
    </row>
    <row r="1105" spans="14:17">
      <c r="N1105" s="23" t="s">
        <v>11</v>
      </c>
      <c r="O1105" s="24">
        <v>8179855</v>
      </c>
      <c r="P1105" s="25">
        <v>140</v>
      </c>
      <c r="Q1105" s="26">
        <v>1.25</v>
      </c>
    </row>
    <row r="1106" spans="14:17">
      <c r="N1106" s="23" t="s">
        <v>9</v>
      </c>
      <c r="O1106" s="24">
        <v>7253762</v>
      </c>
      <c r="P1106" s="25">
        <v>150</v>
      </c>
      <c r="Q1106" s="26">
        <v>1</v>
      </c>
    </row>
    <row r="1107" spans="14:17">
      <c r="N1107" s="23" t="s">
        <v>9</v>
      </c>
      <c r="O1107" s="24">
        <v>1326543</v>
      </c>
      <c r="P1107" s="25">
        <v>150</v>
      </c>
      <c r="Q1107" s="26">
        <v>1</v>
      </c>
    </row>
    <row r="1108" spans="14:17">
      <c r="N1108" s="23" t="s">
        <v>9</v>
      </c>
      <c r="O1108" s="24">
        <v>4148628</v>
      </c>
      <c r="P1108" s="25">
        <v>130</v>
      </c>
      <c r="Q1108" s="26">
        <v>1</v>
      </c>
    </row>
    <row r="1109" spans="14:17">
      <c r="N1109" s="23" t="s">
        <v>11</v>
      </c>
      <c r="O1109" s="24">
        <v>1013444</v>
      </c>
      <c r="P1109" s="25">
        <v>150</v>
      </c>
      <c r="Q1109" s="26">
        <v>1.25</v>
      </c>
    </row>
    <row r="1110" spans="14:17">
      <c r="N1110" s="23" t="s">
        <v>9</v>
      </c>
      <c r="O1110" s="24">
        <v>2798749</v>
      </c>
      <c r="P1110" s="25">
        <v>140</v>
      </c>
      <c r="Q1110" s="26">
        <v>1</v>
      </c>
    </row>
    <row r="1111" spans="14:17">
      <c r="N1111" s="23" t="s">
        <v>9</v>
      </c>
      <c r="O1111" s="24">
        <v>1021630</v>
      </c>
      <c r="P1111" s="25">
        <v>150</v>
      </c>
      <c r="Q1111" s="26">
        <v>1</v>
      </c>
    </row>
    <row r="1112" spans="14:17">
      <c r="N1112" s="23" t="s">
        <v>9</v>
      </c>
      <c r="O1112" s="24">
        <v>2657665</v>
      </c>
      <c r="P1112" s="25">
        <v>140</v>
      </c>
      <c r="Q1112" s="26">
        <v>1</v>
      </c>
    </row>
    <row r="1113" spans="14:17">
      <c r="N1113" s="23" t="s">
        <v>9</v>
      </c>
      <c r="O1113" s="24">
        <v>5429031</v>
      </c>
      <c r="P1113" s="25">
        <v>130</v>
      </c>
      <c r="Q1113" s="26">
        <v>1</v>
      </c>
    </row>
    <row r="1114" spans="14:17">
      <c r="N1114" s="23" t="s">
        <v>11</v>
      </c>
      <c r="O1114" s="24">
        <v>3906186</v>
      </c>
      <c r="P1114" s="25">
        <v>150</v>
      </c>
      <c r="Q1114" s="26">
        <v>1.25</v>
      </c>
    </row>
    <row r="1115" spans="14:17">
      <c r="N1115" s="23" t="s">
        <v>9</v>
      </c>
      <c r="O1115" s="24">
        <v>3152143</v>
      </c>
      <c r="P1115" s="25">
        <v>150</v>
      </c>
      <c r="Q1115" s="26">
        <v>1</v>
      </c>
    </row>
    <row r="1116" spans="14:17">
      <c r="N1116" s="23" t="s">
        <v>9</v>
      </c>
      <c r="O1116" s="24">
        <v>1538161</v>
      </c>
      <c r="P1116" s="25">
        <v>120</v>
      </c>
      <c r="Q1116" s="26">
        <v>1</v>
      </c>
    </row>
    <row r="1117" spans="14:17">
      <c r="N1117" s="23" t="s">
        <v>11</v>
      </c>
      <c r="O1117" s="24">
        <v>4601714</v>
      </c>
      <c r="P1117" s="25">
        <v>150</v>
      </c>
      <c r="Q1117" s="26">
        <v>1.25</v>
      </c>
    </row>
    <row r="1118" spans="14:17">
      <c r="N1118" s="23" t="s">
        <v>9</v>
      </c>
      <c r="O1118" s="24">
        <v>6914795</v>
      </c>
      <c r="P1118" s="25">
        <v>150</v>
      </c>
      <c r="Q1118" s="26">
        <v>1</v>
      </c>
    </row>
    <row r="1119" spans="14:17">
      <c r="N1119" s="23" t="s">
        <v>9</v>
      </c>
      <c r="O1119" s="24">
        <v>4836747</v>
      </c>
      <c r="P1119" s="25">
        <v>150</v>
      </c>
      <c r="Q1119" s="26">
        <v>1</v>
      </c>
    </row>
    <row r="1120" spans="14:17">
      <c r="N1120" s="23" t="s">
        <v>9</v>
      </c>
      <c r="O1120" s="24">
        <v>4396678</v>
      </c>
      <c r="P1120" s="25">
        <v>150</v>
      </c>
      <c r="Q1120" s="26">
        <v>1</v>
      </c>
    </row>
    <row r="1121" spans="14:17">
      <c r="N1121" s="23" t="s">
        <v>9</v>
      </c>
      <c r="O1121" s="24">
        <v>1388984</v>
      </c>
      <c r="P1121" s="25">
        <v>140</v>
      </c>
      <c r="Q1121" s="26">
        <v>1</v>
      </c>
    </row>
    <row r="1122" spans="14:17">
      <c r="N1122" s="23" t="s">
        <v>9</v>
      </c>
      <c r="O1122" s="24">
        <v>4050858</v>
      </c>
      <c r="P1122" s="25">
        <v>150</v>
      </c>
      <c r="Q1122" s="26">
        <v>1</v>
      </c>
    </row>
    <row r="1123" spans="14:17">
      <c r="N1123" s="23" t="s">
        <v>9</v>
      </c>
      <c r="O1123" s="24">
        <v>7663860</v>
      </c>
      <c r="P1123" s="25">
        <v>140</v>
      </c>
      <c r="Q1123" s="26">
        <v>1</v>
      </c>
    </row>
    <row r="1124" spans="14:17">
      <c r="N1124" s="23" t="s">
        <v>11</v>
      </c>
      <c r="O1124" s="24">
        <v>1768333</v>
      </c>
      <c r="P1124" s="25">
        <v>140</v>
      </c>
      <c r="Q1124" s="26">
        <v>1.25</v>
      </c>
    </row>
    <row r="1125" spans="14:17">
      <c r="N1125" s="23" t="s">
        <v>9</v>
      </c>
      <c r="O1125" s="24">
        <v>2682221</v>
      </c>
      <c r="P1125" s="25">
        <v>130</v>
      </c>
      <c r="Q1125" s="26">
        <v>1</v>
      </c>
    </row>
    <row r="1126" spans="14:17">
      <c r="N1126" s="23" t="s">
        <v>9</v>
      </c>
      <c r="O1126" s="24">
        <v>3434201</v>
      </c>
      <c r="P1126" s="25">
        <v>130</v>
      </c>
      <c r="Q1126" s="26">
        <v>1</v>
      </c>
    </row>
    <row r="1127" spans="14:17">
      <c r="N1127" s="23" t="s">
        <v>9</v>
      </c>
      <c r="O1127" s="24">
        <v>2010787</v>
      </c>
      <c r="P1127" s="25">
        <v>120</v>
      </c>
      <c r="Q1127" s="26">
        <v>1</v>
      </c>
    </row>
    <row r="1128" spans="14:17">
      <c r="N1128" s="23" t="s">
        <v>11</v>
      </c>
      <c r="O1128" s="24">
        <v>5909672</v>
      </c>
      <c r="P1128" s="25">
        <v>140</v>
      </c>
      <c r="Q1128" s="26">
        <v>1.25</v>
      </c>
    </row>
    <row r="1129" spans="14:17">
      <c r="N1129" s="23" t="s">
        <v>9</v>
      </c>
      <c r="O1129" s="24">
        <v>3876986</v>
      </c>
      <c r="P1129" s="25">
        <v>150</v>
      </c>
      <c r="Q1129" s="26">
        <v>1</v>
      </c>
    </row>
    <row r="1130" spans="14:17">
      <c r="N1130" s="23" t="s">
        <v>9</v>
      </c>
      <c r="O1130" s="24">
        <v>5379061</v>
      </c>
      <c r="P1130" s="25">
        <v>130</v>
      </c>
      <c r="Q1130" s="26">
        <v>1</v>
      </c>
    </row>
    <row r="1131" spans="14:17">
      <c r="N1131" s="23" t="s">
        <v>9</v>
      </c>
      <c r="O1131" s="24">
        <v>4749264</v>
      </c>
      <c r="P1131" s="25">
        <v>150</v>
      </c>
      <c r="Q1131" s="26">
        <v>1</v>
      </c>
    </row>
    <row r="1132" spans="14:17">
      <c r="N1132" s="23" t="s">
        <v>9</v>
      </c>
      <c r="O1132" s="24">
        <v>3451578</v>
      </c>
      <c r="P1132" s="25">
        <v>120</v>
      </c>
      <c r="Q1132" s="26">
        <v>1</v>
      </c>
    </row>
    <row r="1133" spans="14:17">
      <c r="N1133" s="23" t="s">
        <v>9</v>
      </c>
      <c r="O1133" s="24">
        <v>6371214</v>
      </c>
      <c r="P1133" s="25">
        <v>130</v>
      </c>
      <c r="Q1133" s="26">
        <v>1</v>
      </c>
    </row>
    <row r="1134" spans="14:17">
      <c r="N1134" s="23" t="s">
        <v>9</v>
      </c>
      <c r="O1134" s="24">
        <v>9360438</v>
      </c>
      <c r="P1134" s="25">
        <v>120</v>
      </c>
      <c r="Q1134" s="26">
        <v>1</v>
      </c>
    </row>
    <row r="1135" spans="14:17">
      <c r="N1135" s="23" t="s">
        <v>11</v>
      </c>
      <c r="O1135" s="24">
        <v>6212612</v>
      </c>
      <c r="P1135" s="25">
        <v>140</v>
      </c>
      <c r="Q1135" s="26">
        <v>1.25</v>
      </c>
    </row>
    <row r="1136" spans="14:17">
      <c r="N1136" s="23" t="s">
        <v>9</v>
      </c>
      <c r="O1136" s="24">
        <v>5363932</v>
      </c>
      <c r="P1136" s="25">
        <v>140</v>
      </c>
      <c r="Q1136" s="26">
        <v>1</v>
      </c>
    </row>
    <row r="1137" spans="14:17">
      <c r="N1137" s="23" t="s">
        <v>9</v>
      </c>
      <c r="O1137" s="24">
        <v>2423467</v>
      </c>
      <c r="P1137" s="25">
        <v>140</v>
      </c>
      <c r="Q1137" s="26">
        <v>1</v>
      </c>
    </row>
    <row r="1138" spans="14:17">
      <c r="N1138" s="23" t="s">
        <v>9</v>
      </c>
      <c r="O1138" s="24">
        <v>8960468</v>
      </c>
      <c r="P1138" s="25">
        <v>130</v>
      </c>
      <c r="Q1138" s="26">
        <v>1</v>
      </c>
    </row>
    <row r="1139" spans="14:17">
      <c r="N1139" s="23" t="s">
        <v>11</v>
      </c>
      <c r="O1139" s="24">
        <v>4818945</v>
      </c>
      <c r="P1139" s="25">
        <v>150</v>
      </c>
      <c r="Q1139" s="26">
        <v>1.25</v>
      </c>
    </row>
    <row r="1140" spans="14:17">
      <c r="N1140" s="23" t="s">
        <v>9</v>
      </c>
      <c r="O1140" s="24">
        <v>6590155</v>
      </c>
      <c r="P1140" s="25">
        <v>130</v>
      </c>
      <c r="Q1140" s="26">
        <v>1</v>
      </c>
    </row>
    <row r="1141" spans="14:17">
      <c r="N1141" s="23" t="s">
        <v>11</v>
      </c>
      <c r="O1141" s="24">
        <v>5311629</v>
      </c>
      <c r="P1141" s="25">
        <v>150</v>
      </c>
      <c r="Q1141" s="26">
        <v>1.25</v>
      </c>
    </row>
    <row r="1142" spans="14:17">
      <c r="N1142" s="23" t="s">
        <v>9</v>
      </c>
      <c r="O1142" s="24">
        <v>7462314</v>
      </c>
      <c r="P1142" s="25">
        <v>150</v>
      </c>
      <c r="Q1142" s="26">
        <v>1</v>
      </c>
    </row>
    <row r="1143" spans="14:17">
      <c r="N1143" s="23" t="s">
        <v>11</v>
      </c>
      <c r="O1143" s="24">
        <v>9989463</v>
      </c>
      <c r="P1143" s="25">
        <v>150</v>
      </c>
      <c r="Q1143" s="26">
        <v>1.25</v>
      </c>
    </row>
    <row r="1144" spans="14:17">
      <c r="N1144" s="23" t="s">
        <v>11</v>
      </c>
      <c r="O1144" s="24">
        <v>9949611</v>
      </c>
      <c r="P1144" s="25">
        <v>150</v>
      </c>
      <c r="Q1144" s="26">
        <v>1.25</v>
      </c>
    </row>
    <row r="1145" spans="14:17">
      <c r="N1145" s="23" t="s">
        <v>11</v>
      </c>
      <c r="O1145" s="24">
        <v>9905095</v>
      </c>
      <c r="P1145" s="25">
        <v>150</v>
      </c>
      <c r="Q1145" s="26">
        <v>1.25</v>
      </c>
    </row>
    <row r="1146" spans="14:17">
      <c r="N1146" s="23" t="s">
        <v>9</v>
      </c>
      <c r="O1146" s="24">
        <v>8327650</v>
      </c>
      <c r="P1146" s="25">
        <v>140</v>
      </c>
      <c r="Q1146" s="26">
        <v>1</v>
      </c>
    </row>
    <row r="1147" spans="14:17">
      <c r="N1147" s="23" t="s">
        <v>11</v>
      </c>
      <c r="O1147" s="24">
        <v>2854631</v>
      </c>
      <c r="P1147" s="25">
        <v>150</v>
      </c>
      <c r="Q1147" s="26">
        <v>1.25</v>
      </c>
    </row>
    <row r="1148" spans="14:17">
      <c r="N1148" s="23" t="s">
        <v>9</v>
      </c>
      <c r="O1148" s="24">
        <v>5685567</v>
      </c>
      <c r="P1148" s="25">
        <v>140</v>
      </c>
      <c r="Q1148" s="26">
        <v>1</v>
      </c>
    </row>
    <row r="1149" spans="14:17">
      <c r="N1149" s="23" t="s">
        <v>9</v>
      </c>
      <c r="O1149" s="24">
        <v>4720505</v>
      </c>
      <c r="P1149" s="25">
        <v>140</v>
      </c>
      <c r="Q1149" s="26">
        <v>1</v>
      </c>
    </row>
    <row r="1150" spans="14:17">
      <c r="N1150" s="23" t="s">
        <v>11</v>
      </c>
      <c r="O1150" s="24">
        <v>8825037</v>
      </c>
      <c r="P1150" s="25">
        <v>150</v>
      </c>
      <c r="Q1150" s="26">
        <v>1.25</v>
      </c>
    </row>
    <row r="1151" spans="14:17">
      <c r="N1151" s="23" t="s">
        <v>9</v>
      </c>
      <c r="O1151" s="24">
        <v>9699705</v>
      </c>
      <c r="P1151" s="25">
        <v>150</v>
      </c>
      <c r="Q1151" s="26">
        <v>1</v>
      </c>
    </row>
    <row r="1152" spans="14:17">
      <c r="N1152" s="23" t="s">
        <v>11</v>
      </c>
      <c r="O1152" s="24">
        <v>3748682</v>
      </c>
      <c r="P1152" s="25">
        <v>150</v>
      </c>
      <c r="Q1152" s="26">
        <v>1.25</v>
      </c>
    </row>
    <row r="1153" spans="14:17">
      <c r="N1153" s="23" t="s">
        <v>9</v>
      </c>
      <c r="O1153" s="24">
        <v>2450425</v>
      </c>
      <c r="P1153" s="25">
        <v>140</v>
      </c>
      <c r="Q1153" s="26">
        <v>1</v>
      </c>
    </row>
    <row r="1154" spans="14:17">
      <c r="N1154" s="23" t="s">
        <v>11</v>
      </c>
      <c r="O1154" s="24">
        <v>5290122</v>
      </c>
      <c r="P1154" s="25">
        <v>150</v>
      </c>
      <c r="Q1154" s="26">
        <v>1.25</v>
      </c>
    </row>
    <row r="1155" spans="14:17">
      <c r="N1155" s="23" t="s">
        <v>9</v>
      </c>
      <c r="O1155" s="24">
        <v>5859863</v>
      </c>
      <c r="P1155" s="25">
        <v>140</v>
      </c>
      <c r="Q1155" s="26">
        <v>1</v>
      </c>
    </row>
    <row r="1156" spans="14:17">
      <c r="N1156" s="23" t="s">
        <v>9</v>
      </c>
      <c r="O1156" s="24">
        <v>7546871</v>
      </c>
      <c r="P1156" s="25">
        <v>150</v>
      </c>
      <c r="Q1156" s="26">
        <v>1</v>
      </c>
    </row>
    <row r="1157" spans="14:17">
      <c r="N1157" s="23" t="s">
        <v>9</v>
      </c>
      <c r="O1157" s="24">
        <v>6195499</v>
      </c>
      <c r="P1157" s="25">
        <v>140</v>
      </c>
      <c r="Q1157" s="26">
        <v>1</v>
      </c>
    </row>
    <row r="1158" spans="14:17">
      <c r="N1158" s="23" t="s">
        <v>11</v>
      </c>
      <c r="O1158" s="24">
        <v>1510523</v>
      </c>
      <c r="P1158" s="25">
        <v>140</v>
      </c>
      <c r="Q1158" s="26">
        <v>1.25</v>
      </c>
    </row>
    <row r="1159" spans="14:17">
      <c r="N1159" s="23" t="s">
        <v>11</v>
      </c>
      <c r="O1159" s="24">
        <v>9689484</v>
      </c>
      <c r="P1159" s="25">
        <v>140</v>
      </c>
      <c r="Q1159" s="26">
        <v>1.25</v>
      </c>
    </row>
    <row r="1160" spans="14:17">
      <c r="N1160" s="23" t="s">
        <v>11</v>
      </c>
      <c r="O1160" s="24">
        <v>3020416</v>
      </c>
      <c r="P1160" s="25">
        <v>150</v>
      </c>
      <c r="Q1160" s="26">
        <v>1.25</v>
      </c>
    </row>
    <row r="1161" spans="14:17">
      <c r="N1161" s="23" t="s">
        <v>11</v>
      </c>
      <c r="O1161" s="24">
        <v>6908886</v>
      </c>
      <c r="P1161" s="25">
        <v>140</v>
      </c>
      <c r="Q1161" s="26">
        <v>1.25</v>
      </c>
    </row>
    <row r="1162" spans="14:17">
      <c r="N1162" s="23" t="s">
        <v>11</v>
      </c>
      <c r="O1162" s="24">
        <v>1215453</v>
      </c>
      <c r="P1162" s="25">
        <v>150</v>
      </c>
      <c r="Q1162" s="26">
        <v>1.25</v>
      </c>
    </row>
    <row r="1163" spans="14:17">
      <c r="N1163" s="23" t="s">
        <v>11</v>
      </c>
      <c r="O1163" s="24">
        <v>8081905</v>
      </c>
      <c r="P1163" s="25">
        <v>150</v>
      </c>
      <c r="Q1163" s="26">
        <v>1.25</v>
      </c>
    </row>
    <row r="1164" spans="14:17">
      <c r="N1164" s="23" t="s">
        <v>11</v>
      </c>
      <c r="O1164" s="24">
        <v>8762741</v>
      </c>
      <c r="P1164" s="25">
        <v>140</v>
      </c>
      <c r="Q1164" s="26">
        <v>1.25</v>
      </c>
    </row>
    <row r="1165" spans="14:17">
      <c r="N1165" s="23" t="s">
        <v>9</v>
      </c>
      <c r="O1165" s="24">
        <v>9105660</v>
      </c>
      <c r="P1165" s="25">
        <v>130</v>
      </c>
      <c r="Q1165" s="26">
        <v>1</v>
      </c>
    </row>
    <row r="1166" spans="14:17">
      <c r="N1166" s="23" t="s">
        <v>11</v>
      </c>
      <c r="O1166" s="24">
        <v>9068529</v>
      </c>
      <c r="P1166" s="25">
        <v>150</v>
      </c>
      <c r="Q1166" s="26">
        <v>1.25</v>
      </c>
    </row>
    <row r="1167" spans="14:17">
      <c r="N1167" s="23" t="s">
        <v>11</v>
      </c>
      <c r="O1167" s="24">
        <v>8666470</v>
      </c>
      <c r="P1167" s="25">
        <v>150</v>
      </c>
      <c r="Q1167" s="26">
        <v>1.25</v>
      </c>
    </row>
    <row r="1168" spans="14:17">
      <c r="N1168" s="23" t="s">
        <v>11</v>
      </c>
      <c r="O1168" s="24">
        <v>7175627</v>
      </c>
      <c r="P1168" s="25">
        <v>140</v>
      </c>
      <c r="Q1168" s="26">
        <v>1.25</v>
      </c>
    </row>
    <row r="1169" spans="14:17">
      <c r="N1169" s="23" t="s">
        <v>9</v>
      </c>
      <c r="O1169" s="24">
        <v>4608426</v>
      </c>
      <c r="P1169" s="25">
        <v>150</v>
      </c>
      <c r="Q1169" s="26">
        <v>1</v>
      </c>
    </row>
    <row r="1170" spans="14:17">
      <c r="N1170" s="23" t="s">
        <v>9</v>
      </c>
      <c r="O1170" s="24">
        <v>2773477</v>
      </c>
      <c r="P1170" s="25">
        <v>130</v>
      </c>
      <c r="Q1170" s="26">
        <v>1</v>
      </c>
    </row>
    <row r="1171" spans="14:17">
      <c r="N1171" s="23" t="s">
        <v>9</v>
      </c>
      <c r="O1171" s="24">
        <v>2223797</v>
      </c>
      <c r="P1171" s="25">
        <v>140</v>
      </c>
      <c r="Q1171" s="26">
        <v>1</v>
      </c>
    </row>
    <row r="1172" spans="14:17">
      <c r="N1172" s="23" t="s">
        <v>9</v>
      </c>
      <c r="O1172" s="24">
        <v>1457169</v>
      </c>
      <c r="P1172" s="25">
        <v>140</v>
      </c>
      <c r="Q1172" s="26">
        <v>1</v>
      </c>
    </row>
    <row r="1173" spans="14:17">
      <c r="N1173" s="23" t="s">
        <v>9</v>
      </c>
      <c r="O1173" s="24">
        <v>8364249</v>
      </c>
      <c r="P1173" s="25">
        <v>120</v>
      </c>
      <c r="Q1173" s="26">
        <v>1</v>
      </c>
    </row>
    <row r="1174" spans="14:17">
      <c r="N1174" s="23" t="s">
        <v>9</v>
      </c>
      <c r="O1174" s="24">
        <v>5798260</v>
      </c>
      <c r="P1174" s="25">
        <v>130</v>
      </c>
      <c r="Q1174" s="26">
        <v>1</v>
      </c>
    </row>
    <row r="1175" spans="14:17">
      <c r="N1175" s="23" t="s">
        <v>11</v>
      </c>
      <c r="O1175" s="24">
        <v>5132320</v>
      </c>
      <c r="P1175" s="25">
        <v>150</v>
      </c>
      <c r="Q1175" s="26">
        <v>1.25</v>
      </c>
    </row>
    <row r="1176" spans="14:17">
      <c r="N1176" s="23" t="s">
        <v>9</v>
      </c>
      <c r="O1176" s="24">
        <v>4016976</v>
      </c>
      <c r="P1176" s="25">
        <v>150</v>
      </c>
      <c r="Q1176" s="26">
        <v>1</v>
      </c>
    </row>
    <row r="1177" spans="14:17">
      <c r="N1177" s="23" t="s">
        <v>11</v>
      </c>
      <c r="O1177" s="24">
        <v>7305477</v>
      </c>
      <c r="P1177" s="25">
        <v>140</v>
      </c>
      <c r="Q1177" s="26">
        <v>1.25</v>
      </c>
    </row>
    <row r="1178" spans="14:17">
      <c r="N1178" s="23" t="s">
        <v>9</v>
      </c>
      <c r="O1178" s="24">
        <v>4469783</v>
      </c>
      <c r="P1178" s="25">
        <v>140</v>
      </c>
      <c r="Q1178" s="26">
        <v>1</v>
      </c>
    </row>
    <row r="1179" spans="14:17">
      <c r="N1179" s="23" t="s">
        <v>9</v>
      </c>
      <c r="O1179" s="24">
        <v>3600060</v>
      </c>
      <c r="P1179" s="25">
        <v>130</v>
      </c>
      <c r="Q1179" s="26">
        <v>1</v>
      </c>
    </row>
    <row r="1180" spans="14:17">
      <c r="N1180" s="23" t="s">
        <v>9</v>
      </c>
      <c r="O1180" s="24">
        <v>1018126</v>
      </c>
      <c r="P1180" s="25">
        <v>140</v>
      </c>
      <c r="Q1180" s="26">
        <v>1</v>
      </c>
    </row>
    <row r="1181" spans="14:17">
      <c r="N1181" s="23" t="s">
        <v>9</v>
      </c>
      <c r="O1181" s="24">
        <v>9889974</v>
      </c>
      <c r="P1181" s="25">
        <v>130</v>
      </c>
      <c r="Q1181" s="26">
        <v>1</v>
      </c>
    </row>
    <row r="1182" spans="14:17">
      <c r="N1182" s="23" t="s">
        <v>9</v>
      </c>
      <c r="O1182" s="24">
        <v>5823674</v>
      </c>
      <c r="P1182" s="25">
        <v>130</v>
      </c>
      <c r="Q1182" s="26">
        <v>1</v>
      </c>
    </row>
    <row r="1183" spans="14:17">
      <c r="N1183" s="23" t="s">
        <v>9</v>
      </c>
      <c r="O1183" s="24">
        <v>1852734</v>
      </c>
      <c r="P1183" s="25">
        <v>130</v>
      </c>
      <c r="Q1183" s="26">
        <v>1</v>
      </c>
    </row>
    <row r="1184" spans="14:17">
      <c r="N1184" s="23" t="s">
        <v>9</v>
      </c>
      <c r="O1184" s="24">
        <v>7542524</v>
      </c>
      <c r="P1184" s="25">
        <v>130</v>
      </c>
      <c r="Q1184" s="26">
        <v>1</v>
      </c>
    </row>
    <row r="1185" spans="14:17">
      <c r="N1185" s="23" t="s">
        <v>9</v>
      </c>
      <c r="O1185" s="24">
        <v>8068203</v>
      </c>
      <c r="P1185" s="25">
        <v>140</v>
      </c>
      <c r="Q1185" s="26">
        <v>1</v>
      </c>
    </row>
    <row r="1186" spans="14:17">
      <c r="N1186" s="23" t="s">
        <v>9</v>
      </c>
      <c r="O1186" s="24">
        <v>9535441</v>
      </c>
      <c r="P1186" s="25">
        <v>130</v>
      </c>
      <c r="Q1186" s="26">
        <v>1</v>
      </c>
    </row>
    <row r="1187" spans="14:17">
      <c r="N1187" s="23" t="s">
        <v>11</v>
      </c>
      <c r="O1187" s="24">
        <v>4589638</v>
      </c>
      <c r="P1187" s="25">
        <v>140</v>
      </c>
      <c r="Q1187" s="26">
        <v>1.25</v>
      </c>
    </row>
    <row r="1188" spans="14:17">
      <c r="N1188" s="23" t="s">
        <v>9</v>
      </c>
      <c r="O1188" s="24">
        <v>8071428</v>
      </c>
      <c r="P1188" s="25">
        <v>140</v>
      </c>
      <c r="Q1188" s="26">
        <v>1</v>
      </c>
    </row>
    <row r="1189" spans="14:17">
      <c r="N1189" s="23" t="s">
        <v>11</v>
      </c>
      <c r="O1189" s="24">
        <v>2884920</v>
      </c>
      <c r="P1189" s="25">
        <v>140</v>
      </c>
      <c r="Q1189" s="26">
        <v>1.25</v>
      </c>
    </row>
    <row r="1190" spans="14:17">
      <c r="N1190" s="23" t="s">
        <v>11</v>
      </c>
      <c r="O1190" s="24">
        <v>1902947</v>
      </c>
      <c r="P1190" s="25">
        <v>150</v>
      </c>
      <c r="Q1190" s="26">
        <v>1.25</v>
      </c>
    </row>
    <row r="1191" spans="14:17">
      <c r="N1191" s="23" t="s">
        <v>9</v>
      </c>
      <c r="O1191" s="24">
        <v>7234601</v>
      </c>
      <c r="P1191" s="25">
        <v>150</v>
      </c>
      <c r="Q1191" s="26">
        <v>1</v>
      </c>
    </row>
    <row r="1192" spans="14:17">
      <c r="N1192" s="23" t="s">
        <v>9</v>
      </c>
      <c r="O1192" s="24">
        <v>9336067</v>
      </c>
      <c r="P1192" s="25">
        <v>140</v>
      </c>
      <c r="Q1192" s="26">
        <v>1</v>
      </c>
    </row>
    <row r="1193" spans="14:17">
      <c r="N1193" s="23" t="s">
        <v>9</v>
      </c>
      <c r="O1193" s="24">
        <v>1472330</v>
      </c>
      <c r="P1193" s="25">
        <v>150</v>
      </c>
      <c r="Q1193" s="26">
        <v>1</v>
      </c>
    </row>
    <row r="1194" spans="14:17">
      <c r="N1194" s="23" t="s">
        <v>9</v>
      </c>
      <c r="O1194" s="24">
        <v>6257236</v>
      </c>
      <c r="P1194" s="25">
        <v>140</v>
      </c>
      <c r="Q1194" s="26">
        <v>1</v>
      </c>
    </row>
    <row r="1195" spans="14:17">
      <c r="N1195" s="23" t="s">
        <v>9</v>
      </c>
      <c r="O1195" s="24">
        <v>4778655</v>
      </c>
      <c r="P1195" s="25">
        <v>130</v>
      </c>
      <c r="Q1195" s="26">
        <v>1</v>
      </c>
    </row>
    <row r="1196" spans="14:17">
      <c r="N1196" s="23" t="s">
        <v>9</v>
      </c>
      <c r="O1196" s="24">
        <v>9418507</v>
      </c>
      <c r="P1196" s="25">
        <v>130</v>
      </c>
      <c r="Q1196" s="26">
        <v>1</v>
      </c>
    </row>
    <row r="1197" spans="14:17">
      <c r="N1197" s="23" t="s">
        <v>9</v>
      </c>
      <c r="O1197" s="24">
        <v>5324624</v>
      </c>
      <c r="P1197" s="25">
        <v>130</v>
      </c>
      <c r="Q1197" s="26">
        <v>1</v>
      </c>
    </row>
    <row r="1198" spans="14:17">
      <c r="N1198" s="23" t="s">
        <v>11</v>
      </c>
      <c r="O1198" s="24">
        <v>4432482</v>
      </c>
      <c r="P1198" s="25">
        <v>140</v>
      </c>
      <c r="Q1198" s="26">
        <v>1.25</v>
      </c>
    </row>
    <row r="1199" spans="14:17">
      <c r="N1199" s="23" t="s">
        <v>9</v>
      </c>
      <c r="O1199" s="24">
        <v>5103634</v>
      </c>
      <c r="P1199" s="25">
        <v>150</v>
      </c>
      <c r="Q1199" s="26">
        <v>1</v>
      </c>
    </row>
    <row r="1200" spans="14:17">
      <c r="N1200" s="23" t="s">
        <v>11</v>
      </c>
      <c r="O1200" s="24">
        <v>6770492</v>
      </c>
      <c r="P1200" s="25">
        <v>140</v>
      </c>
      <c r="Q1200" s="26">
        <v>1.25</v>
      </c>
    </row>
    <row r="1201" spans="14:17">
      <c r="N1201" s="23" t="s">
        <v>9</v>
      </c>
      <c r="O1201" s="24">
        <v>1252777</v>
      </c>
      <c r="P1201" s="25">
        <v>140</v>
      </c>
      <c r="Q1201" s="26">
        <v>1</v>
      </c>
    </row>
    <row r="1202" spans="14:17">
      <c r="N1202" s="23" t="s">
        <v>11</v>
      </c>
      <c r="O1202" s="24">
        <v>4678222</v>
      </c>
      <c r="P1202" s="25">
        <v>150</v>
      </c>
      <c r="Q1202" s="26">
        <v>1.25</v>
      </c>
    </row>
    <row r="1203" spans="14:17">
      <c r="N1203" s="23" t="s">
        <v>9</v>
      </c>
      <c r="O1203" s="24">
        <v>1578897</v>
      </c>
      <c r="P1203" s="25">
        <v>140</v>
      </c>
      <c r="Q1203" s="26">
        <v>1</v>
      </c>
    </row>
    <row r="1204" spans="14:17">
      <c r="N1204" s="23" t="s">
        <v>9</v>
      </c>
      <c r="O1204" s="24">
        <v>5879771</v>
      </c>
      <c r="P1204" s="25">
        <v>150</v>
      </c>
      <c r="Q1204" s="26">
        <v>1</v>
      </c>
    </row>
    <row r="1205" spans="14:17">
      <c r="N1205" s="23" t="s">
        <v>11</v>
      </c>
      <c r="O1205" s="24">
        <v>6035319</v>
      </c>
      <c r="P1205" s="25">
        <v>140</v>
      </c>
      <c r="Q1205" s="26">
        <v>1.25</v>
      </c>
    </row>
    <row r="1206" spans="14:17">
      <c r="N1206" s="23" t="s">
        <v>11</v>
      </c>
      <c r="O1206" s="24">
        <v>1076711</v>
      </c>
      <c r="P1206" s="25">
        <v>150</v>
      </c>
      <c r="Q1206" s="26">
        <v>1.25</v>
      </c>
    </row>
    <row r="1207" spans="14:17">
      <c r="N1207" s="23" t="s">
        <v>9</v>
      </c>
      <c r="O1207" s="24">
        <v>5784830</v>
      </c>
      <c r="P1207" s="25">
        <v>150</v>
      </c>
      <c r="Q1207" s="26">
        <v>1</v>
      </c>
    </row>
    <row r="1208" spans="14:17">
      <c r="N1208" s="23" t="s">
        <v>9</v>
      </c>
      <c r="O1208" s="24">
        <v>3973939</v>
      </c>
      <c r="P1208" s="25">
        <v>150</v>
      </c>
      <c r="Q1208" s="26">
        <v>1</v>
      </c>
    </row>
    <row r="1209" spans="14:17">
      <c r="N1209" s="23" t="s">
        <v>9</v>
      </c>
      <c r="O1209" s="24">
        <v>2706961</v>
      </c>
      <c r="P1209" s="25">
        <v>140</v>
      </c>
      <c r="Q1209" s="26">
        <v>1</v>
      </c>
    </row>
    <row r="1210" spans="14:17">
      <c r="N1210" s="23" t="s">
        <v>11</v>
      </c>
      <c r="O1210" s="24">
        <v>6611534</v>
      </c>
      <c r="P1210" s="25">
        <v>150</v>
      </c>
      <c r="Q1210" s="26">
        <v>1.25</v>
      </c>
    </row>
    <row r="1211" spans="14:17">
      <c r="N1211" s="23" t="s">
        <v>11</v>
      </c>
      <c r="O1211" s="24">
        <v>5370783</v>
      </c>
      <c r="P1211" s="25">
        <v>140</v>
      </c>
      <c r="Q1211" s="26">
        <v>1.25</v>
      </c>
    </row>
    <row r="1212" spans="14:17">
      <c r="N1212" s="23" t="s">
        <v>9</v>
      </c>
      <c r="O1212" s="24">
        <v>8758266</v>
      </c>
      <c r="P1212" s="25">
        <v>130</v>
      </c>
      <c r="Q1212" s="26">
        <v>1</v>
      </c>
    </row>
    <row r="1213" spans="14:17">
      <c r="N1213" s="23" t="s">
        <v>9</v>
      </c>
      <c r="O1213" s="24">
        <v>6768268</v>
      </c>
      <c r="P1213" s="25">
        <v>130</v>
      </c>
      <c r="Q1213" s="26">
        <v>1</v>
      </c>
    </row>
    <row r="1214" spans="14:17">
      <c r="N1214" s="23" t="s">
        <v>9</v>
      </c>
      <c r="O1214" s="24">
        <v>1228388</v>
      </c>
      <c r="P1214" s="25">
        <v>140</v>
      </c>
      <c r="Q1214" s="26">
        <v>1</v>
      </c>
    </row>
    <row r="1215" spans="14:17">
      <c r="N1215" s="23" t="s">
        <v>11</v>
      </c>
      <c r="O1215" s="24">
        <v>5574614</v>
      </c>
      <c r="P1215" s="25">
        <v>150</v>
      </c>
      <c r="Q1215" s="26">
        <v>1.25</v>
      </c>
    </row>
    <row r="1216" spans="14:17">
      <c r="N1216" s="23" t="s">
        <v>9</v>
      </c>
      <c r="O1216" s="24">
        <v>5066949</v>
      </c>
      <c r="P1216" s="25">
        <v>150</v>
      </c>
      <c r="Q1216" s="26">
        <v>1</v>
      </c>
    </row>
    <row r="1217" spans="14:17">
      <c r="N1217" s="23" t="s">
        <v>11</v>
      </c>
      <c r="O1217" s="24">
        <v>4530785</v>
      </c>
      <c r="P1217" s="25">
        <v>150</v>
      </c>
      <c r="Q1217" s="26">
        <v>1.25</v>
      </c>
    </row>
    <row r="1218" spans="14:17">
      <c r="N1218" s="23" t="s">
        <v>9</v>
      </c>
      <c r="O1218" s="24">
        <v>4890151</v>
      </c>
      <c r="P1218" s="25">
        <v>120</v>
      </c>
      <c r="Q1218" s="26">
        <v>1</v>
      </c>
    </row>
    <row r="1219" spans="14:17">
      <c r="N1219" s="23" t="s">
        <v>9</v>
      </c>
      <c r="O1219" s="24">
        <v>5902469</v>
      </c>
      <c r="P1219" s="25">
        <v>120</v>
      </c>
      <c r="Q1219" s="26">
        <v>1</v>
      </c>
    </row>
    <row r="1220" spans="14:17">
      <c r="N1220" s="23" t="s">
        <v>11</v>
      </c>
      <c r="O1220" s="24">
        <v>1862902</v>
      </c>
      <c r="P1220" s="25">
        <v>150</v>
      </c>
      <c r="Q1220" s="26">
        <v>1.25</v>
      </c>
    </row>
    <row r="1221" spans="14:17">
      <c r="N1221" s="23" t="s">
        <v>11</v>
      </c>
      <c r="O1221" s="24">
        <v>1729223</v>
      </c>
      <c r="P1221" s="25">
        <v>140</v>
      </c>
      <c r="Q1221" s="26">
        <v>1.25</v>
      </c>
    </row>
    <row r="1222" spans="14:17">
      <c r="N1222" s="23" t="s">
        <v>9</v>
      </c>
      <c r="O1222" s="24">
        <v>5671328</v>
      </c>
      <c r="P1222" s="25">
        <v>150</v>
      </c>
      <c r="Q1222" s="26">
        <v>1</v>
      </c>
    </row>
    <row r="1223" spans="14:17">
      <c r="N1223" s="23" t="s">
        <v>9</v>
      </c>
      <c r="O1223" s="24">
        <v>3674414</v>
      </c>
      <c r="P1223" s="25">
        <v>140</v>
      </c>
      <c r="Q1223" s="26">
        <v>1</v>
      </c>
    </row>
    <row r="1224" spans="14:17">
      <c r="N1224" s="23" t="s">
        <v>9</v>
      </c>
      <c r="O1224" s="24">
        <v>8284180</v>
      </c>
      <c r="P1224" s="25">
        <v>130</v>
      </c>
      <c r="Q1224" s="26">
        <v>1</v>
      </c>
    </row>
    <row r="1225" spans="14:17">
      <c r="N1225" s="23" t="s">
        <v>9</v>
      </c>
      <c r="O1225" s="24">
        <v>4544488</v>
      </c>
      <c r="P1225" s="25">
        <v>150</v>
      </c>
      <c r="Q1225" s="26">
        <v>1</v>
      </c>
    </row>
    <row r="1226" spans="14:17">
      <c r="N1226" s="23" t="s">
        <v>9</v>
      </c>
      <c r="O1226" s="24">
        <v>9514881</v>
      </c>
      <c r="P1226" s="25">
        <v>150</v>
      </c>
      <c r="Q1226" s="26">
        <v>1</v>
      </c>
    </row>
    <row r="1227" spans="14:17">
      <c r="N1227" s="23" t="s">
        <v>11</v>
      </c>
      <c r="O1227" s="24">
        <v>2840452</v>
      </c>
      <c r="P1227" s="25">
        <v>140</v>
      </c>
      <c r="Q1227" s="26">
        <v>1.25</v>
      </c>
    </row>
    <row r="1228" spans="14:17">
      <c r="N1228" s="23" t="s">
        <v>9</v>
      </c>
      <c r="O1228" s="24">
        <v>5604318</v>
      </c>
      <c r="P1228" s="25">
        <v>140</v>
      </c>
      <c r="Q1228" s="26">
        <v>1</v>
      </c>
    </row>
    <row r="1229" spans="14:17">
      <c r="N1229" s="23" t="s">
        <v>11</v>
      </c>
      <c r="O1229" s="24">
        <v>1620570</v>
      </c>
      <c r="P1229" s="25">
        <v>140</v>
      </c>
      <c r="Q1229" s="26">
        <v>1.25</v>
      </c>
    </row>
    <row r="1230" spans="14:17">
      <c r="N1230" s="23" t="s">
        <v>11</v>
      </c>
      <c r="O1230" s="24">
        <v>3876073</v>
      </c>
      <c r="P1230" s="25">
        <v>150</v>
      </c>
      <c r="Q1230" s="26">
        <v>1.25</v>
      </c>
    </row>
    <row r="1231" spans="14:17">
      <c r="N1231" s="23" t="s">
        <v>9</v>
      </c>
      <c r="O1231" s="24">
        <v>8777234</v>
      </c>
      <c r="P1231" s="25">
        <v>140</v>
      </c>
      <c r="Q1231" s="26">
        <v>1</v>
      </c>
    </row>
    <row r="1232" spans="14:17">
      <c r="N1232" s="23" t="s">
        <v>9</v>
      </c>
      <c r="O1232" s="24">
        <v>1105587</v>
      </c>
      <c r="P1232" s="25">
        <v>120</v>
      </c>
      <c r="Q1232" s="26">
        <v>1</v>
      </c>
    </row>
    <row r="1233" spans="14:17">
      <c r="N1233" s="23" t="s">
        <v>9</v>
      </c>
      <c r="O1233" s="24">
        <v>8923637</v>
      </c>
      <c r="P1233" s="25">
        <v>140</v>
      </c>
      <c r="Q1233" s="26">
        <v>1</v>
      </c>
    </row>
    <row r="1234" spans="14:17">
      <c r="N1234" s="23" t="s">
        <v>9</v>
      </c>
      <c r="O1234" s="24">
        <v>5141502</v>
      </c>
      <c r="P1234" s="25">
        <v>130</v>
      </c>
      <c r="Q1234" s="26">
        <v>1</v>
      </c>
    </row>
    <row r="1235" spans="14:17">
      <c r="N1235" s="23" t="s">
        <v>11</v>
      </c>
      <c r="O1235" s="24">
        <v>3956395</v>
      </c>
      <c r="P1235" s="25">
        <v>150</v>
      </c>
      <c r="Q1235" s="26">
        <v>1.25</v>
      </c>
    </row>
    <row r="1236" spans="14:17">
      <c r="N1236" s="23" t="s">
        <v>11</v>
      </c>
      <c r="O1236" s="24">
        <v>7230989</v>
      </c>
      <c r="P1236" s="25">
        <v>150</v>
      </c>
      <c r="Q1236" s="26">
        <v>1.25</v>
      </c>
    </row>
    <row r="1237" spans="14:17">
      <c r="N1237" s="23" t="s">
        <v>9</v>
      </c>
      <c r="O1237" s="24">
        <v>4661974</v>
      </c>
      <c r="P1237" s="25">
        <v>130</v>
      </c>
      <c r="Q1237" s="26">
        <v>1</v>
      </c>
    </row>
    <row r="1238" spans="14:17">
      <c r="N1238" s="23" t="s">
        <v>9</v>
      </c>
      <c r="O1238" s="24">
        <v>6255413</v>
      </c>
      <c r="P1238" s="25">
        <v>120</v>
      </c>
      <c r="Q1238" s="26">
        <v>1</v>
      </c>
    </row>
    <row r="1239" spans="14:17">
      <c r="N1239" s="23" t="s">
        <v>9</v>
      </c>
      <c r="O1239" s="24">
        <v>7502616</v>
      </c>
      <c r="P1239" s="25">
        <v>130</v>
      </c>
      <c r="Q1239" s="26">
        <v>1</v>
      </c>
    </row>
    <row r="1240" spans="14:17">
      <c r="N1240" s="23" t="s">
        <v>11</v>
      </c>
      <c r="O1240" s="24">
        <v>3418804</v>
      </c>
      <c r="P1240" s="25">
        <v>140</v>
      </c>
      <c r="Q1240" s="26">
        <v>1.25</v>
      </c>
    </row>
    <row r="1241" spans="14:17">
      <c r="N1241" s="23" t="s">
        <v>9</v>
      </c>
      <c r="O1241" s="24">
        <v>3392266</v>
      </c>
      <c r="P1241" s="25">
        <v>140</v>
      </c>
      <c r="Q1241" s="26">
        <v>1</v>
      </c>
    </row>
    <row r="1242" spans="14:17">
      <c r="N1242" s="23" t="s">
        <v>9</v>
      </c>
      <c r="O1242" s="24">
        <v>9700281</v>
      </c>
      <c r="P1242" s="25">
        <v>150</v>
      </c>
      <c r="Q1242" s="26">
        <v>1</v>
      </c>
    </row>
    <row r="1243" spans="14:17">
      <c r="N1243" s="23" t="s">
        <v>9</v>
      </c>
      <c r="O1243" s="24">
        <v>3447389</v>
      </c>
      <c r="P1243" s="25">
        <v>140</v>
      </c>
      <c r="Q1243" s="26">
        <v>1</v>
      </c>
    </row>
    <row r="1244" spans="14:17">
      <c r="N1244" s="23" t="s">
        <v>9</v>
      </c>
      <c r="O1244" s="24">
        <v>6866913</v>
      </c>
      <c r="P1244" s="25">
        <v>140</v>
      </c>
      <c r="Q1244" s="26">
        <v>1</v>
      </c>
    </row>
    <row r="1245" spans="14:17">
      <c r="N1245" s="23" t="s">
        <v>11</v>
      </c>
      <c r="O1245" s="24">
        <v>4124873</v>
      </c>
      <c r="P1245" s="25">
        <v>140</v>
      </c>
      <c r="Q1245" s="26">
        <v>1.25</v>
      </c>
    </row>
    <row r="1246" spans="14:17">
      <c r="N1246" s="23" t="s">
        <v>9</v>
      </c>
      <c r="O1246" s="24">
        <v>8730605</v>
      </c>
      <c r="P1246" s="25">
        <v>130</v>
      </c>
      <c r="Q1246" s="26">
        <v>1</v>
      </c>
    </row>
    <row r="1247" spans="14:17">
      <c r="N1247" s="23" t="s">
        <v>9</v>
      </c>
      <c r="O1247" s="24">
        <v>6334453</v>
      </c>
      <c r="P1247" s="25">
        <v>120</v>
      </c>
      <c r="Q1247" s="26">
        <v>1</v>
      </c>
    </row>
    <row r="1248" spans="14:17">
      <c r="N1248" s="23" t="s">
        <v>9</v>
      </c>
      <c r="O1248" s="24">
        <v>4233696</v>
      </c>
      <c r="P1248" s="25">
        <v>140</v>
      </c>
      <c r="Q1248" s="26">
        <v>1</v>
      </c>
    </row>
    <row r="1249" spans="7:17">
      <c r="N1249" s="23" t="s">
        <v>11</v>
      </c>
      <c r="O1249" s="24">
        <v>4473395</v>
      </c>
      <c r="P1249" s="25">
        <v>140</v>
      </c>
      <c r="Q1249" s="26">
        <v>1.25</v>
      </c>
    </row>
    <row r="1250" spans="7:17">
      <c r="N1250" s="23" t="s">
        <v>11</v>
      </c>
      <c r="O1250" s="24">
        <v>2261773</v>
      </c>
      <c r="P1250" s="25">
        <v>140</v>
      </c>
      <c r="Q1250" s="26">
        <v>1.25</v>
      </c>
    </row>
    <row r="1251" spans="7:17">
      <c r="N1251" s="23" t="s">
        <v>11</v>
      </c>
      <c r="O1251" s="24">
        <v>8271633</v>
      </c>
      <c r="P1251" s="25">
        <v>150</v>
      </c>
      <c r="Q1251" s="26">
        <v>1.25</v>
      </c>
    </row>
    <row r="1252" spans="7:17">
      <c r="N1252" s="23" t="s">
        <v>11</v>
      </c>
      <c r="O1252" s="24">
        <v>2058154</v>
      </c>
      <c r="P1252" s="25">
        <v>150</v>
      </c>
      <c r="Q1252" s="26">
        <v>1.25</v>
      </c>
    </row>
    <row r="1253" spans="7:17">
      <c r="N1253" s="23" t="s">
        <v>11</v>
      </c>
      <c r="O1253" s="24">
        <v>1666386</v>
      </c>
      <c r="P1253" s="25">
        <v>140</v>
      </c>
      <c r="Q1253" s="26">
        <v>1.25</v>
      </c>
    </row>
    <row r="1254" spans="7:17">
      <c r="N1254" s="23" t="s">
        <v>9</v>
      </c>
      <c r="O1254" s="24">
        <v>4218806</v>
      </c>
      <c r="P1254" s="25">
        <v>140</v>
      </c>
      <c r="Q1254" s="26">
        <v>1</v>
      </c>
    </row>
    <row r="1255" spans="7:17">
      <c r="N1255" s="23" t="s">
        <v>9</v>
      </c>
      <c r="O1255" s="24">
        <v>4964284</v>
      </c>
      <c r="P1255" s="25">
        <v>140</v>
      </c>
      <c r="Q1255" s="26">
        <v>1</v>
      </c>
    </row>
    <row r="1256" spans="7:17">
      <c r="N1256" s="23" t="s">
        <v>11</v>
      </c>
      <c r="O1256" s="24">
        <v>7706233</v>
      </c>
      <c r="P1256" s="25">
        <v>150</v>
      </c>
      <c r="Q1256" s="26">
        <v>1.25</v>
      </c>
    </row>
    <row r="1257" spans="7:17">
      <c r="N1257" s="23" t="s">
        <v>11</v>
      </c>
      <c r="O1257" s="24">
        <v>8591740</v>
      </c>
      <c r="P1257" s="25">
        <v>140</v>
      </c>
      <c r="Q1257" s="26">
        <v>1.25</v>
      </c>
    </row>
    <row r="1258" spans="7:17">
      <c r="G1258" s="48"/>
      <c r="N1258" s="23" t="s">
        <v>9</v>
      </c>
      <c r="O1258" s="24">
        <v>6987874</v>
      </c>
      <c r="P1258" s="25">
        <v>140</v>
      </c>
      <c r="Q1258" s="26">
        <v>1</v>
      </c>
    </row>
    <row r="1259" spans="7:17">
      <c r="N1259" s="23" t="s">
        <v>9</v>
      </c>
      <c r="O1259" s="24">
        <v>5878596</v>
      </c>
      <c r="P1259" s="25">
        <v>140</v>
      </c>
      <c r="Q1259" s="26">
        <v>1</v>
      </c>
    </row>
    <row r="1260" spans="7:17">
      <c r="N1260" s="23" t="s">
        <v>9</v>
      </c>
      <c r="O1260" s="24">
        <v>9579674</v>
      </c>
      <c r="P1260" s="25">
        <v>130</v>
      </c>
      <c r="Q1260" s="26">
        <v>1</v>
      </c>
    </row>
    <row r="1261" spans="7:17">
      <c r="N1261" s="23" t="s">
        <v>11</v>
      </c>
      <c r="O1261" s="24">
        <v>5844687</v>
      </c>
      <c r="P1261" s="25">
        <v>150</v>
      </c>
      <c r="Q1261" s="26">
        <v>1.25</v>
      </c>
    </row>
    <row r="1262" spans="7:17">
      <c r="N1262" s="23" t="s">
        <v>9</v>
      </c>
      <c r="O1262" s="24">
        <v>5752029</v>
      </c>
      <c r="P1262" s="25">
        <v>140</v>
      </c>
      <c r="Q1262" s="26">
        <v>1</v>
      </c>
    </row>
    <row r="1263" spans="7:17">
      <c r="N1263" s="23" t="s">
        <v>9</v>
      </c>
      <c r="O1263" s="24">
        <v>7608128</v>
      </c>
      <c r="P1263" s="25">
        <v>130</v>
      </c>
      <c r="Q1263" s="26">
        <v>1</v>
      </c>
    </row>
    <row r="1264" spans="7:17">
      <c r="N1264" s="23" t="s">
        <v>11</v>
      </c>
      <c r="O1264" s="24">
        <v>5098300</v>
      </c>
      <c r="P1264" s="25">
        <v>150</v>
      </c>
      <c r="Q1264" s="26">
        <v>1.25</v>
      </c>
    </row>
    <row r="1265" spans="14:17">
      <c r="N1265" s="23" t="s">
        <v>9</v>
      </c>
      <c r="O1265" s="24">
        <v>4923386</v>
      </c>
      <c r="P1265" s="25">
        <v>140</v>
      </c>
      <c r="Q1265" s="26">
        <v>1</v>
      </c>
    </row>
    <row r="1266" spans="14:17">
      <c r="N1266" s="23" t="s">
        <v>9</v>
      </c>
      <c r="O1266" s="24">
        <v>7322500</v>
      </c>
      <c r="P1266" s="25">
        <v>130</v>
      </c>
      <c r="Q1266" s="26">
        <v>1</v>
      </c>
    </row>
    <row r="1267" spans="14:17">
      <c r="N1267" s="23" t="s">
        <v>11</v>
      </c>
      <c r="O1267" s="24">
        <v>5684318</v>
      </c>
      <c r="P1267" s="25">
        <v>150</v>
      </c>
      <c r="Q1267" s="26">
        <v>1.25</v>
      </c>
    </row>
    <row r="1268" spans="14:17">
      <c r="N1268" s="23" t="s">
        <v>11</v>
      </c>
      <c r="O1268" s="24">
        <v>7388314</v>
      </c>
      <c r="P1268" s="25">
        <v>140</v>
      </c>
      <c r="Q1268" s="26">
        <v>1.25</v>
      </c>
    </row>
    <row r="1269" spans="14:17">
      <c r="N1269" s="23" t="s">
        <v>9</v>
      </c>
      <c r="O1269" s="24">
        <v>6816081</v>
      </c>
      <c r="P1269" s="25">
        <v>140</v>
      </c>
      <c r="Q1269" s="26">
        <v>1</v>
      </c>
    </row>
    <row r="1270" spans="14:17">
      <c r="N1270" s="23" t="s">
        <v>9</v>
      </c>
      <c r="O1270" s="24">
        <v>9140376</v>
      </c>
      <c r="P1270" s="25">
        <v>140</v>
      </c>
      <c r="Q1270" s="26">
        <v>1</v>
      </c>
    </row>
    <row r="1271" spans="14:17">
      <c r="N1271" s="23" t="s">
        <v>11</v>
      </c>
      <c r="O1271" s="24">
        <v>1701174</v>
      </c>
      <c r="P1271" s="25">
        <v>150</v>
      </c>
      <c r="Q1271" s="26">
        <v>1.25</v>
      </c>
    </row>
    <row r="1272" spans="14:17">
      <c r="N1272" s="23" t="s">
        <v>11</v>
      </c>
      <c r="O1272" s="24">
        <v>1911590</v>
      </c>
      <c r="P1272" s="25">
        <v>140</v>
      </c>
      <c r="Q1272" s="26">
        <v>1.25</v>
      </c>
    </row>
    <row r="1273" spans="14:17">
      <c r="N1273" s="23" t="s">
        <v>9</v>
      </c>
      <c r="O1273" s="24">
        <v>8978973</v>
      </c>
      <c r="P1273" s="25">
        <v>130</v>
      </c>
      <c r="Q1273" s="26">
        <v>1</v>
      </c>
    </row>
    <row r="1274" spans="14:17">
      <c r="N1274" s="23" t="s">
        <v>9</v>
      </c>
      <c r="O1274" s="24">
        <v>9833763</v>
      </c>
      <c r="P1274" s="25">
        <v>120</v>
      </c>
      <c r="Q1274" s="26">
        <v>1</v>
      </c>
    </row>
    <row r="1275" spans="14:17">
      <c r="N1275" s="23" t="s">
        <v>11</v>
      </c>
      <c r="O1275" s="24">
        <v>8117362</v>
      </c>
      <c r="P1275" s="25">
        <v>150</v>
      </c>
      <c r="Q1275" s="26">
        <v>1.25</v>
      </c>
    </row>
    <row r="1276" spans="14:17">
      <c r="N1276" s="23" t="s">
        <v>9</v>
      </c>
      <c r="O1276" s="24">
        <v>4669851</v>
      </c>
      <c r="P1276" s="25">
        <v>150</v>
      </c>
      <c r="Q1276" s="26">
        <v>1</v>
      </c>
    </row>
    <row r="1277" spans="14:17">
      <c r="N1277" s="23" t="s">
        <v>11</v>
      </c>
      <c r="O1277" s="24">
        <v>7659655</v>
      </c>
      <c r="P1277" s="25">
        <v>150</v>
      </c>
      <c r="Q1277" s="26">
        <v>1.25</v>
      </c>
    </row>
    <row r="1278" spans="14:17">
      <c r="N1278" s="23" t="s">
        <v>9</v>
      </c>
      <c r="O1278" s="24">
        <v>4794988</v>
      </c>
      <c r="P1278" s="25">
        <v>150</v>
      </c>
      <c r="Q1278" s="26">
        <v>1</v>
      </c>
    </row>
    <row r="1279" spans="14:17">
      <c r="N1279" s="23" t="s">
        <v>11</v>
      </c>
      <c r="O1279" s="24">
        <v>8203503</v>
      </c>
      <c r="P1279" s="25">
        <v>150</v>
      </c>
      <c r="Q1279" s="26">
        <v>1.25</v>
      </c>
    </row>
    <row r="1280" spans="14:17">
      <c r="N1280" s="23" t="s">
        <v>9</v>
      </c>
      <c r="O1280" s="24">
        <v>8394864</v>
      </c>
      <c r="P1280" s="25">
        <v>120</v>
      </c>
      <c r="Q1280" s="26">
        <v>1</v>
      </c>
    </row>
    <row r="1281" spans="14:17">
      <c r="N1281" s="23" t="s">
        <v>11</v>
      </c>
      <c r="O1281" s="24">
        <v>5011786</v>
      </c>
      <c r="P1281" s="25">
        <v>150</v>
      </c>
      <c r="Q1281" s="26">
        <v>1.25</v>
      </c>
    </row>
    <row r="1282" spans="14:17">
      <c r="N1282" s="23" t="s">
        <v>9</v>
      </c>
      <c r="O1282" s="24">
        <v>9354244</v>
      </c>
      <c r="P1282" s="25">
        <v>130</v>
      </c>
      <c r="Q1282" s="26">
        <v>1</v>
      </c>
    </row>
    <row r="1283" spans="14:17">
      <c r="N1283" s="23" t="s">
        <v>9</v>
      </c>
      <c r="O1283" s="24">
        <v>6211696</v>
      </c>
      <c r="P1283" s="25">
        <v>120</v>
      </c>
      <c r="Q1283" s="26">
        <v>1</v>
      </c>
    </row>
    <row r="1284" spans="14:17">
      <c r="N1284" s="23" t="s">
        <v>11</v>
      </c>
      <c r="O1284" s="24">
        <v>6363577</v>
      </c>
      <c r="P1284" s="25">
        <v>150</v>
      </c>
      <c r="Q1284" s="26">
        <v>1.25</v>
      </c>
    </row>
    <row r="1285" spans="14:17">
      <c r="N1285" s="23" t="s">
        <v>9</v>
      </c>
      <c r="O1285" s="24">
        <v>4083094</v>
      </c>
      <c r="P1285" s="25">
        <v>140</v>
      </c>
      <c r="Q1285" s="26">
        <v>1</v>
      </c>
    </row>
    <row r="1286" spans="14:17">
      <c r="N1286" s="23" t="s">
        <v>9</v>
      </c>
      <c r="O1286" s="24">
        <v>6555699</v>
      </c>
      <c r="P1286" s="25">
        <v>130</v>
      </c>
      <c r="Q1286" s="26">
        <v>1</v>
      </c>
    </row>
    <row r="1287" spans="14:17">
      <c r="N1287" s="23" t="s">
        <v>9</v>
      </c>
      <c r="O1287" s="24">
        <v>2403514</v>
      </c>
      <c r="P1287" s="25">
        <v>120</v>
      </c>
      <c r="Q1287" s="26">
        <v>1</v>
      </c>
    </row>
    <row r="1288" spans="14:17">
      <c r="N1288" s="23" t="s">
        <v>9</v>
      </c>
      <c r="O1288" s="24">
        <v>5187860</v>
      </c>
      <c r="P1288" s="25">
        <v>120</v>
      </c>
      <c r="Q1288" s="26">
        <v>1</v>
      </c>
    </row>
    <row r="1289" spans="14:17">
      <c r="N1289" s="23" t="s">
        <v>9</v>
      </c>
      <c r="O1289" s="24">
        <v>2055196</v>
      </c>
      <c r="P1289" s="25">
        <v>150</v>
      </c>
      <c r="Q1289" s="26">
        <v>1</v>
      </c>
    </row>
    <row r="1290" spans="14:17">
      <c r="N1290" s="23" t="s">
        <v>9</v>
      </c>
      <c r="O1290" s="24">
        <v>4357069</v>
      </c>
      <c r="P1290" s="25">
        <v>140</v>
      </c>
      <c r="Q1290" s="26">
        <v>1</v>
      </c>
    </row>
    <row r="1291" spans="14:17">
      <c r="N1291" s="23" t="s">
        <v>11</v>
      </c>
      <c r="O1291" s="24">
        <v>7260252</v>
      </c>
      <c r="P1291" s="25">
        <v>140</v>
      </c>
      <c r="Q1291" s="26">
        <v>1.25</v>
      </c>
    </row>
    <row r="1292" spans="14:17">
      <c r="N1292" s="23" t="s">
        <v>11</v>
      </c>
      <c r="O1292" s="24">
        <v>8368505</v>
      </c>
      <c r="P1292" s="25">
        <v>140</v>
      </c>
      <c r="Q1292" s="26">
        <v>1.25</v>
      </c>
    </row>
    <row r="1293" spans="14:17">
      <c r="N1293" s="23" t="s">
        <v>11</v>
      </c>
      <c r="O1293" s="24">
        <v>4129621</v>
      </c>
      <c r="P1293" s="25">
        <v>140</v>
      </c>
      <c r="Q1293" s="26">
        <v>1.25</v>
      </c>
    </row>
    <row r="1294" spans="14:17">
      <c r="N1294" s="23" t="s">
        <v>9</v>
      </c>
      <c r="O1294" s="24">
        <v>1703081</v>
      </c>
      <c r="P1294" s="25">
        <v>150</v>
      </c>
      <c r="Q1294" s="26">
        <v>1</v>
      </c>
    </row>
    <row r="1295" spans="14:17">
      <c r="N1295" s="23" t="s">
        <v>9</v>
      </c>
      <c r="O1295" s="24">
        <v>7293341</v>
      </c>
      <c r="P1295" s="25">
        <v>150</v>
      </c>
      <c r="Q1295" s="26">
        <v>1</v>
      </c>
    </row>
    <row r="1296" spans="14:17">
      <c r="N1296" s="23" t="s">
        <v>11</v>
      </c>
      <c r="O1296" s="24">
        <v>4379586</v>
      </c>
      <c r="P1296" s="25">
        <v>140</v>
      </c>
      <c r="Q1296" s="26">
        <v>1.25</v>
      </c>
    </row>
    <row r="1297" spans="14:17">
      <c r="N1297" s="23" t="s">
        <v>9</v>
      </c>
      <c r="O1297" s="24">
        <v>4098136</v>
      </c>
      <c r="P1297" s="25">
        <v>150</v>
      </c>
      <c r="Q1297" s="26">
        <v>1</v>
      </c>
    </row>
    <row r="1298" spans="14:17">
      <c r="N1298" s="23" t="s">
        <v>9</v>
      </c>
      <c r="O1298" s="24">
        <v>4748501</v>
      </c>
      <c r="P1298" s="25">
        <v>130</v>
      </c>
      <c r="Q1298" s="26">
        <v>1</v>
      </c>
    </row>
    <row r="1299" spans="14:17">
      <c r="N1299" s="23" t="s">
        <v>11</v>
      </c>
      <c r="O1299" s="24">
        <v>6824957</v>
      </c>
      <c r="P1299" s="25">
        <v>150</v>
      </c>
      <c r="Q1299" s="26">
        <v>1.25</v>
      </c>
    </row>
    <row r="1300" spans="14:17">
      <c r="N1300" s="23" t="s">
        <v>9</v>
      </c>
      <c r="O1300" s="24">
        <v>9428039</v>
      </c>
      <c r="P1300" s="25">
        <v>150</v>
      </c>
      <c r="Q1300" s="26">
        <v>1</v>
      </c>
    </row>
    <row r="1301" spans="14:17">
      <c r="N1301" s="23" t="s">
        <v>11</v>
      </c>
      <c r="O1301" s="24">
        <v>4860147</v>
      </c>
      <c r="P1301" s="25">
        <v>150</v>
      </c>
      <c r="Q1301" s="26">
        <v>1.25</v>
      </c>
    </row>
    <row r="1302" spans="14:17">
      <c r="N1302" s="23" t="s">
        <v>9</v>
      </c>
      <c r="O1302" s="24">
        <v>7811522</v>
      </c>
      <c r="P1302" s="25">
        <v>150</v>
      </c>
      <c r="Q1302" s="26">
        <v>1</v>
      </c>
    </row>
    <row r="1303" spans="14:17">
      <c r="N1303" s="23" t="s">
        <v>9</v>
      </c>
      <c r="O1303" s="24">
        <v>5089066</v>
      </c>
      <c r="P1303" s="25">
        <v>150</v>
      </c>
      <c r="Q1303" s="26">
        <v>1</v>
      </c>
    </row>
    <row r="1304" spans="14:17">
      <c r="N1304" s="23" t="s">
        <v>9</v>
      </c>
      <c r="O1304" s="24">
        <v>3995123</v>
      </c>
      <c r="P1304" s="25">
        <v>150</v>
      </c>
      <c r="Q1304" s="26">
        <v>1</v>
      </c>
    </row>
    <row r="1305" spans="14:17">
      <c r="N1305" s="23" t="s">
        <v>9</v>
      </c>
      <c r="O1305" s="24">
        <v>2349207</v>
      </c>
      <c r="P1305" s="25">
        <v>130</v>
      </c>
      <c r="Q1305" s="26">
        <v>1</v>
      </c>
    </row>
    <row r="1306" spans="14:17">
      <c r="N1306" s="23" t="s">
        <v>11</v>
      </c>
      <c r="O1306" s="24">
        <v>3871162</v>
      </c>
      <c r="P1306" s="25">
        <v>150</v>
      </c>
      <c r="Q1306" s="26">
        <v>1.25</v>
      </c>
    </row>
    <row r="1307" spans="14:17">
      <c r="N1307" s="23" t="s">
        <v>11</v>
      </c>
      <c r="O1307" s="24">
        <v>2227586</v>
      </c>
      <c r="P1307" s="25">
        <v>140</v>
      </c>
      <c r="Q1307" s="26">
        <v>1.25</v>
      </c>
    </row>
    <row r="1308" spans="14:17">
      <c r="N1308" s="23" t="s">
        <v>9</v>
      </c>
      <c r="O1308" s="24">
        <v>4304251</v>
      </c>
      <c r="P1308" s="25">
        <v>150</v>
      </c>
      <c r="Q1308" s="26">
        <v>1</v>
      </c>
    </row>
    <row r="1309" spans="14:17">
      <c r="N1309" s="23" t="s">
        <v>9</v>
      </c>
      <c r="O1309" s="24">
        <v>5402679</v>
      </c>
      <c r="P1309" s="25">
        <v>150</v>
      </c>
      <c r="Q1309" s="26">
        <v>1</v>
      </c>
    </row>
    <row r="1310" spans="14:17">
      <c r="N1310" s="23" t="s">
        <v>11</v>
      </c>
      <c r="O1310" s="24">
        <v>9286247</v>
      </c>
      <c r="P1310" s="25">
        <v>140</v>
      </c>
      <c r="Q1310" s="26">
        <v>1.25</v>
      </c>
    </row>
    <row r="1311" spans="14:17">
      <c r="N1311" s="23" t="s">
        <v>11</v>
      </c>
      <c r="O1311" s="24">
        <v>3897291</v>
      </c>
      <c r="P1311" s="25">
        <v>140</v>
      </c>
      <c r="Q1311" s="26">
        <v>1.25</v>
      </c>
    </row>
    <row r="1312" spans="14:17">
      <c r="N1312" s="23" t="s">
        <v>9</v>
      </c>
      <c r="O1312" s="24">
        <v>1187160</v>
      </c>
      <c r="P1312" s="25">
        <v>130</v>
      </c>
      <c r="Q1312" s="26">
        <v>1</v>
      </c>
    </row>
    <row r="1313" spans="14:17">
      <c r="N1313" s="23" t="s">
        <v>11</v>
      </c>
      <c r="O1313" s="24">
        <v>1349600</v>
      </c>
      <c r="P1313" s="25">
        <v>140</v>
      </c>
      <c r="Q1313" s="26">
        <v>1.25</v>
      </c>
    </row>
    <row r="1314" spans="14:17">
      <c r="N1314" s="23" t="s">
        <v>9</v>
      </c>
      <c r="O1314" s="24">
        <v>2103375</v>
      </c>
      <c r="P1314" s="25">
        <v>150</v>
      </c>
      <c r="Q1314" s="26">
        <v>1</v>
      </c>
    </row>
    <row r="1315" spans="14:17">
      <c r="N1315" s="23" t="s">
        <v>9</v>
      </c>
      <c r="O1315" s="24">
        <v>4939581</v>
      </c>
      <c r="P1315" s="25">
        <v>140</v>
      </c>
      <c r="Q1315" s="26">
        <v>1</v>
      </c>
    </row>
    <row r="1316" spans="14:17">
      <c r="N1316" s="23" t="s">
        <v>9</v>
      </c>
      <c r="O1316" s="24">
        <v>1467066</v>
      </c>
      <c r="P1316" s="25">
        <v>130</v>
      </c>
      <c r="Q1316" s="26">
        <v>1</v>
      </c>
    </row>
    <row r="1317" spans="14:17">
      <c r="N1317" s="23" t="s">
        <v>11</v>
      </c>
      <c r="O1317" s="24">
        <v>9610919</v>
      </c>
      <c r="P1317" s="25">
        <v>150</v>
      </c>
      <c r="Q1317" s="26">
        <v>1.25</v>
      </c>
    </row>
    <row r="1318" spans="14:17">
      <c r="N1318" s="23" t="s">
        <v>9</v>
      </c>
      <c r="O1318" s="24">
        <v>5121869</v>
      </c>
      <c r="P1318" s="25">
        <v>140</v>
      </c>
      <c r="Q1318" s="26">
        <v>1</v>
      </c>
    </row>
    <row r="1319" spans="14:17">
      <c r="N1319" s="23" t="s">
        <v>9</v>
      </c>
      <c r="O1319" s="24">
        <v>1927824</v>
      </c>
      <c r="P1319" s="25">
        <v>150</v>
      </c>
      <c r="Q1319" s="26">
        <v>1</v>
      </c>
    </row>
    <row r="1320" spans="14:17">
      <c r="N1320" s="23" t="s">
        <v>11</v>
      </c>
      <c r="O1320" s="24">
        <v>2724057</v>
      </c>
      <c r="P1320" s="25">
        <v>140</v>
      </c>
      <c r="Q1320" s="26">
        <v>1.25</v>
      </c>
    </row>
    <row r="1321" spans="14:17">
      <c r="N1321" s="23" t="s">
        <v>9</v>
      </c>
      <c r="O1321" s="24">
        <v>1822682</v>
      </c>
      <c r="P1321" s="25">
        <v>130</v>
      </c>
      <c r="Q1321" s="26">
        <v>1</v>
      </c>
    </row>
    <row r="1322" spans="14:17">
      <c r="N1322" s="23" t="s">
        <v>9</v>
      </c>
      <c r="O1322" s="24">
        <v>4746237</v>
      </c>
      <c r="P1322" s="25">
        <v>130</v>
      </c>
      <c r="Q1322" s="26">
        <v>1</v>
      </c>
    </row>
    <row r="1323" spans="14:17">
      <c r="N1323" s="23" t="s">
        <v>9</v>
      </c>
      <c r="O1323" s="24">
        <v>1428145</v>
      </c>
      <c r="P1323" s="25">
        <v>140</v>
      </c>
      <c r="Q1323" s="26">
        <v>1</v>
      </c>
    </row>
    <row r="1324" spans="14:17">
      <c r="N1324" s="23" t="s">
        <v>9</v>
      </c>
      <c r="O1324" s="24">
        <v>2708758</v>
      </c>
      <c r="P1324" s="25">
        <v>150</v>
      </c>
      <c r="Q1324" s="26">
        <v>1</v>
      </c>
    </row>
    <row r="1325" spans="14:17">
      <c r="N1325" s="23" t="s">
        <v>9</v>
      </c>
      <c r="O1325" s="24">
        <v>5154981</v>
      </c>
      <c r="P1325" s="25">
        <v>130</v>
      </c>
      <c r="Q1325" s="26">
        <v>1</v>
      </c>
    </row>
    <row r="1326" spans="14:17">
      <c r="N1326" s="23" t="s">
        <v>9</v>
      </c>
      <c r="O1326" s="24">
        <v>6939514</v>
      </c>
      <c r="P1326" s="25">
        <v>130</v>
      </c>
      <c r="Q1326" s="26">
        <v>1</v>
      </c>
    </row>
    <row r="1327" spans="14:17">
      <c r="N1327" s="23" t="s">
        <v>9</v>
      </c>
      <c r="O1327" s="24">
        <v>4457955</v>
      </c>
      <c r="P1327" s="25">
        <v>120</v>
      </c>
      <c r="Q1327" s="26">
        <v>1</v>
      </c>
    </row>
    <row r="1328" spans="14:17">
      <c r="N1328" s="23" t="s">
        <v>11</v>
      </c>
      <c r="O1328" s="24">
        <v>6873679</v>
      </c>
      <c r="P1328" s="25">
        <v>150</v>
      </c>
      <c r="Q1328" s="26">
        <v>1.25</v>
      </c>
    </row>
    <row r="1329" spans="14:17">
      <c r="N1329" s="23" t="s">
        <v>9</v>
      </c>
      <c r="O1329" s="24">
        <v>7484304</v>
      </c>
      <c r="P1329" s="25">
        <v>150</v>
      </c>
      <c r="Q1329" s="26">
        <v>1</v>
      </c>
    </row>
    <row r="1330" spans="14:17">
      <c r="N1330" s="23" t="s">
        <v>11</v>
      </c>
      <c r="O1330" s="24">
        <v>5472565</v>
      </c>
      <c r="P1330" s="25">
        <v>150</v>
      </c>
      <c r="Q1330" s="26">
        <v>1.25</v>
      </c>
    </row>
    <row r="1331" spans="14:17">
      <c r="N1331" s="23" t="s">
        <v>11</v>
      </c>
      <c r="O1331" s="24">
        <v>3922966</v>
      </c>
      <c r="P1331" s="25">
        <v>140</v>
      </c>
      <c r="Q1331" s="26">
        <v>1.25</v>
      </c>
    </row>
    <row r="1332" spans="14:17">
      <c r="N1332" s="30"/>
      <c r="O1332" s="56"/>
      <c r="P1332" s="56"/>
      <c r="Q1332" s="33"/>
    </row>
  </sheetData>
  <dataValidations count="1">
    <dataValidation type="list" allowBlank="1" showInputMessage="1" showErrorMessage="1" sqref="D41" xr:uid="{D1E04C45-5694-41C6-B335-85591D2F8E25}">
      <formula1>"01/01/2021, 01/01/2022, 01/01/2023, 01/01/2024"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6</xdr:col>
                    <xdr:colOff>365760</xdr:colOff>
                    <xdr:row>11</xdr:row>
                    <xdr:rowOff>30480</xdr:rowOff>
                  </from>
                  <to>
                    <xdr:col>7</xdr:col>
                    <xdr:colOff>556260</xdr:colOff>
                    <xdr:row>12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8</xdr:col>
                    <xdr:colOff>365760</xdr:colOff>
                    <xdr:row>11</xdr:row>
                    <xdr:rowOff>30480</xdr:rowOff>
                  </from>
                  <to>
                    <xdr:col>9</xdr:col>
                    <xdr:colOff>556260</xdr:colOff>
                    <xdr:row>12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754E-85BF-4B12-BA76-43BF16A0294F}">
  <sheetPr codeName="Sheet7"/>
  <dimension ref="A1:N30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6" sqref="J6"/>
    </sheetView>
  </sheetViews>
  <sheetFormatPr defaultRowHeight="13.8"/>
  <cols>
    <col min="1" max="1" width="1.69921875" customWidth="1"/>
    <col min="2" max="4" width="1.59765625" customWidth="1"/>
    <col min="5" max="5" width="36.69921875" customWidth="1"/>
    <col min="6" max="8" width="11.5" customWidth="1"/>
    <col min="9" max="9" width="1.59765625" customWidth="1"/>
    <col min="10" max="15" width="11.5" customWidth="1"/>
  </cols>
  <sheetData>
    <row r="1" spans="1:14" s="59" customFormat="1">
      <c r="A1" s="59" t="str">
        <f>company</f>
        <v>Domestique Rides Inc.</v>
      </c>
    </row>
    <row r="2" spans="1:14" s="59" customFormat="1"/>
    <row r="3" spans="1:14" s="59" customFormat="1">
      <c r="A3" s="59" t="s">
        <v>24</v>
      </c>
      <c r="F3" s="59" t="s">
        <v>25</v>
      </c>
      <c r="G3" s="59" t="s">
        <v>26</v>
      </c>
      <c r="H3" s="59" t="s">
        <v>27</v>
      </c>
    </row>
    <row r="6" spans="1:14">
      <c r="J6" cm="1">
        <f t="array" ref="J6:N6" xml:space="preserve"> _xlfn.LET(
      _xlpm.operating_flag,_xlfn.ANCHORARRAY( Time!$J$21),
      _xlpm.first_year_unit_price, CaseData!$D$39,
      _xlpm.start_of_production_date, YEAR( CaseData!$D$41 ),
      _xlpm.current_year,_xlfn.ANCHORARRAY( Time!$J$14),
      _xlpm.current_scenario, INDEX( production, production_selector ),
      _xlpm.growth_rates, _xlfn.LET(
          _xlpm.cols, CaseData!$G$42:$K$42,
          _xlpm.rates, CaseData!$G$45:$K$47,
          _xlpm.lead, SUM( --( _xlpm.cols &lt;= _xlpm.start_of_production_date ) ),
          _xlpm.shifted, _xlfn.MAKEARRAY( ROWS( _xlpm.rates ), COLUMNS( _xlpm.rates ),
                      _xlfn.LAMBDA(_xlpm.i,_xlpm.j, INDEX( _xlpm.rates, _xlpm.i, MIN( COLUMNS( _xlpm.rates ), MAX( 1, _xlpm.j - _xlpm.lead ) ) ) ) ),
          IF( _xlpm.cols &lt;= _xlpm.start_of_production_date, 0, _xlpm.shifted )
      ),
      _xlpm.compounded_rates, _xlfn.MAKEARRAY( ROWS( _xlpm.growth_rates ), COLUMNS( _xlpm.growth_rates ),
                            _xlfn.LAMBDA(_xlpm.i,_xlpm.j, INDEX( _xlfn.SCAN( 1, INDEX( _xlpm.growth_rates, _xlpm.i, 0 ), _xlfn.LAMBDA(_xlpm.s,_xlpm.c, _xlpm.s * ( 1 + _xlpm.c ) ) ), _xlpm.j ) ) ),
      _xlpm.compounded_rows, CaseData!$C$45:$C$47,
      _xlpm.compounded_columns, CaseData!$F$42:$K$42,
      _xlpm.compounded_table, _xlfn.VSTACK( _xlpm.compounded_columns, _xlfn.HSTACK( _xlpm.compounded_rows, _xlpm.compounded_rates ) ),
      _xlpm.compounded_growth, IF( _xlpm.start_of_production_date = _xlpm.current_year, 1, INDEX( _xlpm.compounded_table, _xlfn.XMATCH( _xlpm.current_scenario, _xlpm.compounded_rows, 0, 1 ) + 1, _xlfn.XMATCH( _xlpm.current_year, _xlpm.compounded_columns, 0, 1 ) ) ),
      _xlpm.operating_flag * _xlpm.first_year_unit_price * _xlpm.compounded_growth )</f>
        <v>0</v>
      </c>
      <c r="K6">
        <v>7500</v>
      </c>
      <c r="L6">
        <v>7875</v>
      </c>
      <c r="M6">
        <v>8268.75</v>
      </c>
      <c r="N6">
        <v>8682.1875000000018</v>
      </c>
    </row>
    <row r="30" spans="1:1" s="60" customFormat="1">
      <c r="A30" s="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Cover</vt:lpstr>
      <vt:lpstr>Executive Summary</vt:lpstr>
      <vt:lpstr>Subscription</vt:lpstr>
      <vt:lpstr>Production</vt:lpstr>
      <vt:lpstr>Time</vt:lpstr>
      <vt:lpstr>CaseData</vt:lpstr>
      <vt:lpstr>Tmp</vt:lpstr>
      <vt:lpstr>company</vt:lpstr>
      <vt:lpstr>ModelStartDate</vt:lpstr>
      <vt:lpstr>periods</vt:lpstr>
      <vt:lpstr>production</vt:lpstr>
      <vt:lpstr>production_selector</vt:lpstr>
      <vt:lpstr>subscription</vt:lpstr>
      <vt:lpstr>subscription_selector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2026-08-12T07:11:40Z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2026-05-14T10:41:01Z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981ef7d4-c7c8-4b60-bb84-a32aa1657f23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