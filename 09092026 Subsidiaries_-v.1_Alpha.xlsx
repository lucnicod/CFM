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8"/>
  <workbookPr filterPrivacy="1" defaultThemeVersion="124226"/>
  <xr:revisionPtr revIDLastSave="362" documentId="13_ncr:1_{D882AA2F-9E40-47F8-9D8D-4952FC0CE64D}" xr6:coauthVersionLast="47" xr6:coauthVersionMax="47" xr10:uidLastSave="{B6196E96-DE60-45A9-80E7-1BBC12EE545B}"/>
  <bookViews>
    <workbookView xWindow="-120" yWindow="-120" windowWidth="25440" windowHeight="15990" xr2:uid="{00000000-000D-0000-FFFF-FFFF00000000}"/>
  </bookViews>
  <sheets>
    <sheet name="Acquisition" sheetId="34" r:id="rId1"/>
    <sheet name="CaseData" sheetId="30" r:id="rId2"/>
    <sheet name="CaseSolution" sheetId="33" r:id="rId3"/>
  </sheets>
  <definedNames>
    <definedName name="company">CaseData!$M$2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ethod_selector">Acquisition!$F$9</definedName>
    <definedName name="methods">Acquisition!$S$9:$S$10</definedName>
    <definedName name="_xlnm.Print_Area" localSheetId="0">Acquisition!$A$1:$N$251</definedName>
    <definedName name="_xlnm.Print_Titles" localSheetId="0">Acquisition!$1:$4</definedName>
    <definedName name="topic">"CFM Topic: " &amp; CaseData!$M$3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34" l="1"/>
  <c r="F86" i="34"/>
  <c r="H86" i="34"/>
  <c r="E95" i="34" a="1"/>
  <c r="J3" i="34" a="1"/>
  <c r="E175" i="34" a="1"/>
  <c r="J95" i="34" a="1"/>
  <c r="J175" i="34" a="1"/>
  <c r="J13" i="34" a="1"/>
  <c r="J14" i="34" a="1"/>
  <c r="J15" i="34"/>
  <c r="J16" i="34" a="1"/>
  <c r="J17" i="34"/>
  <c r="J18" i="34" a="1"/>
  <c r="J19" i="34"/>
  <c r="J20" i="34" a="1"/>
  <c r="J21" i="34"/>
  <c r="F8" i="34"/>
  <c r="J22" i="34" a="1"/>
  <c r="J23" i="34"/>
  <c r="J24" i="34" a="1"/>
  <c r="J25" i="34"/>
  <c r="J47" i="34" a="1"/>
  <c r="J48" i="34" a="1"/>
  <c r="J255" i="34" a="1"/>
  <c r="J256" i="34" a="1"/>
  <c r="J26" i="34" a="1"/>
  <c r="J27" i="34"/>
  <c r="J86" i="34"/>
  <c r="K15" i="34"/>
  <c r="K17" i="34"/>
  <c r="K19" i="34"/>
  <c r="K21" i="34"/>
  <c r="K23" i="34"/>
  <c r="K25" i="34"/>
  <c r="K27" i="34"/>
  <c r="K86" i="34"/>
  <c r="L15" i="34"/>
  <c r="L17" i="34"/>
  <c r="L19" i="34"/>
  <c r="L21" i="34"/>
  <c r="L23" i="34"/>
  <c r="L25" i="34"/>
  <c r="L27" i="34"/>
  <c r="L86" i="34"/>
  <c r="M15" i="34"/>
  <c r="M17" i="34"/>
  <c r="M19" i="34"/>
  <c r="M21" i="34"/>
  <c r="M23" i="34"/>
  <c r="M25" i="34"/>
  <c r="M27" i="34"/>
  <c r="M86" i="34"/>
  <c r="N15" i="34"/>
  <c r="N17" i="34"/>
  <c r="N19" i="34"/>
  <c r="N21" i="34"/>
  <c r="N23" i="34"/>
  <c r="N25" i="34"/>
  <c r="N27" i="34"/>
  <c r="N86" i="34"/>
  <c r="J34" i="34" a="1"/>
  <c r="Y26" i="33"/>
  <c r="Y121" i="33"/>
  <c r="Z121" i="33"/>
  <c r="AA50" i="33"/>
  <c r="AA63" i="33"/>
  <c r="AA76" i="33"/>
  <c r="AA121" i="33"/>
  <c r="F7" i="34"/>
  <c r="G58" i="34"/>
  <c r="G64" i="34"/>
  <c r="H64" i="34"/>
  <c r="J35" i="34" a="1"/>
  <c r="J37" i="34" a="1"/>
  <c r="J64" i="34"/>
  <c r="K64" i="34"/>
  <c r="L64" i="34"/>
  <c r="M64" i="34"/>
  <c r="N64" i="34"/>
  <c r="N26" i="33"/>
  <c r="N92" i="33"/>
  <c r="N98" i="33"/>
  <c r="O98" i="33"/>
  <c r="P46" i="33"/>
  <c r="P66" i="33"/>
  <c r="P64" i="33"/>
  <c r="P98" i="33"/>
  <c r="F222" i="34"/>
  <c r="F58" i="34"/>
  <c r="H58" i="34"/>
  <c r="J51" i="34"/>
  <c r="J32" i="34" a="1"/>
  <c r="J33" i="34" a="1"/>
  <c r="J36" i="34" a="1"/>
  <c r="J38" i="34"/>
  <c r="J41" i="34" a="1"/>
  <c r="J42" i="34"/>
  <c r="J45" i="34" a="1"/>
  <c r="J46" i="34" a="1"/>
  <c r="J49" i="34"/>
  <c r="J52" i="34"/>
  <c r="J53" i="34"/>
  <c r="K51" i="34"/>
  <c r="K38" i="34"/>
  <c r="K42" i="34"/>
  <c r="K49" i="34"/>
  <c r="K52" i="34"/>
  <c r="K53" i="34"/>
  <c r="L51" i="34"/>
  <c r="L38" i="34"/>
  <c r="L42" i="34"/>
  <c r="L49" i="34"/>
  <c r="L52" i="34"/>
  <c r="L53" i="34"/>
  <c r="M51" i="34"/>
  <c r="M38" i="34"/>
  <c r="M42" i="34"/>
  <c r="M49" i="34"/>
  <c r="M52" i="34"/>
  <c r="M53" i="34"/>
  <c r="N51" i="34"/>
  <c r="N38" i="34"/>
  <c r="N42" i="34"/>
  <c r="N49" i="34"/>
  <c r="N52" i="34"/>
  <c r="N53" i="34"/>
  <c r="N58" i="34"/>
  <c r="J59" i="34" a="1"/>
  <c r="J60" i="34" a="1"/>
  <c r="J61" i="34" a="1"/>
  <c r="N62" i="34"/>
  <c r="F246" i="34"/>
  <c r="F247" i="34"/>
  <c r="F248" i="34"/>
  <c r="F249" i="34"/>
  <c r="G65" i="34"/>
  <c r="H65" i="34"/>
  <c r="J65" i="34" a="1"/>
  <c r="J66" i="34" a="1"/>
  <c r="J67" i="34" a="1"/>
  <c r="N68" i="34"/>
  <c r="N70" i="34"/>
  <c r="J73" i="34" a="1"/>
  <c r="J74" i="34" a="1"/>
  <c r="J75" i="34" a="1"/>
  <c r="N76" i="34"/>
  <c r="J78" i="34" a="1"/>
  <c r="J79" i="34" a="1"/>
  <c r="N80" i="34"/>
  <c r="N82" i="34"/>
  <c r="J85" i="34" a="1"/>
  <c r="J257" i="34" a="1"/>
  <c r="G87" i="34"/>
  <c r="H87" i="34"/>
  <c r="J87" i="34" a="1"/>
  <c r="N88" i="34"/>
  <c r="N90" i="34"/>
  <c r="N91" i="34"/>
  <c r="M58" i="34"/>
  <c r="M62" i="34"/>
  <c r="M68" i="34"/>
  <c r="M70" i="34"/>
  <c r="M76" i="34"/>
  <c r="M80" i="34"/>
  <c r="M82" i="34"/>
  <c r="M88" i="34"/>
  <c r="M90" i="34"/>
  <c r="M91" i="34"/>
  <c r="L58" i="34"/>
  <c r="L62" i="34"/>
  <c r="L68" i="34"/>
  <c r="L70" i="34"/>
  <c r="L76" i="34"/>
  <c r="L80" i="34"/>
  <c r="L82" i="34"/>
  <c r="L88" i="34"/>
  <c r="L90" i="34"/>
  <c r="L91" i="34"/>
  <c r="K58" i="34"/>
  <c r="K62" i="34"/>
  <c r="K68" i="34"/>
  <c r="K70" i="34"/>
  <c r="K76" i="34"/>
  <c r="K80" i="34"/>
  <c r="K82" i="34"/>
  <c r="K88" i="34"/>
  <c r="K90" i="34"/>
  <c r="K91" i="34"/>
  <c r="J58" i="34"/>
  <c r="J62" i="34"/>
  <c r="J68" i="34"/>
  <c r="J70" i="34"/>
  <c r="J76" i="34"/>
  <c r="J80" i="34"/>
  <c r="J82" i="34"/>
  <c r="J88" i="34"/>
  <c r="J90" i="34"/>
  <c r="J91" i="34"/>
  <c r="AA51" i="33"/>
  <c r="AA120" i="33"/>
  <c r="G85" i="34"/>
  <c r="F85" i="34"/>
  <c r="H85" i="34"/>
  <c r="F241" i="34"/>
  <c r="G79" i="34"/>
  <c r="F79" i="34"/>
  <c r="H79" i="34"/>
  <c r="F240" i="34"/>
  <c r="G78" i="34"/>
  <c r="F78" i="34"/>
  <c r="H78" i="34"/>
  <c r="F237" i="34"/>
  <c r="G75" i="34"/>
  <c r="F75" i="34"/>
  <c r="H75" i="34"/>
  <c r="F236" i="34"/>
  <c r="G74" i="34"/>
  <c r="F74" i="34"/>
  <c r="H74" i="34"/>
  <c r="F235" i="34"/>
  <c r="G73" i="34"/>
  <c r="F73" i="34"/>
  <c r="H73" i="34"/>
  <c r="F229" i="34"/>
  <c r="G67" i="34"/>
  <c r="F67" i="34"/>
  <c r="H67" i="34"/>
  <c r="F228" i="34"/>
  <c r="G66" i="34"/>
  <c r="F66" i="34"/>
  <c r="H66" i="34"/>
  <c r="G80" i="34"/>
  <c r="F238" i="34"/>
  <c r="F242" i="34"/>
  <c r="F244" i="34"/>
  <c r="F251" i="34"/>
  <c r="F223" i="34"/>
  <c r="F224" i="34"/>
  <c r="F225" i="34"/>
  <c r="F226" i="34"/>
  <c r="F230" i="34"/>
  <c r="F232" i="34"/>
  <c r="G61" i="34"/>
  <c r="F61" i="34"/>
  <c r="H61" i="34"/>
  <c r="G60" i="34"/>
  <c r="F60" i="34"/>
  <c r="H60" i="34"/>
  <c r="G59" i="34"/>
  <c r="F59" i="34"/>
  <c r="H59" i="34"/>
  <c r="H88" i="34"/>
  <c r="G88" i="34"/>
  <c r="F88" i="34"/>
  <c r="H68" i="34"/>
  <c r="F68" i="34"/>
  <c r="F55" i="34"/>
  <c r="H80" i="34"/>
  <c r="F80" i="34"/>
  <c r="H76" i="34"/>
  <c r="H82" i="34"/>
  <c r="G76" i="34"/>
  <c r="D13" i="30"/>
  <c r="D32" i="30"/>
  <c r="D59" i="30"/>
  <c r="D102" i="30"/>
  <c r="D121" i="30"/>
  <c r="D148" i="30"/>
  <c r="D17" i="30"/>
  <c r="E17" i="30"/>
  <c r="F17" i="30"/>
  <c r="G17" i="30"/>
  <c r="AA228" i="33"/>
  <c r="AA230" i="33"/>
  <c r="AA232" i="33"/>
  <c r="AA234" i="33"/>
  <c r="AA236" i="33"/>
  <c r="E26" i="33"/>
  <c r="G8" i="34"/>
  <c r="E8" i="34"/>
  <c r="E7" i="34"/>
  <c r="A2" i="34" a="1"/>
  <c r="A1" i="34"/>
  <c r="AB77" i="33"/>
  <c r="AC77" i="33"/>
  <c r="AD77" i="33"/>
  <c r="AE77" i="33"/>
  <c r="AA77" i="33"/>
  <c r="I27" i="33"/>
  <c r="AB113" i="33"/>
  <c r="F113" i="33"/>
  <c r="E25" i="33"/>
  <c r="AE300" i="33"/>
  <c r="AD300" i="33"/>
  <c r="AC300" i="33"/>
  <c r="AB300" i="33"/>
  <c r="AA300" i="33"/>
  <c r="Z300" i="33"/>
  <c r="T300" i="33"/>
  <c r="S300" i="33"/>
  <c r="R300" i="33"/>
  <c r="Q300" i="33"/>
  <c r="P300" i="33"/>
  <c r="O300" i="33"/>
  <c r="AE289" i="33"/>
  <c r="AE293" i="33"/>
  <c r="AE295" i="33"/>
  <c r="AE302" i="33"/>
  <c r="AD289" i="33"/>
  <c r="AD293" i="33"/>
  <c r="AD295" i="33"/>
  <c r="AD302" i="33"/>
  <c r="AB289" i="33"/>
  <c r="AB293" i="33"/>
  <c r="AB295" i="33"/>
  <c r="AB302" i="33"/>
  <c r="AC293" i="33"/>
  <c r="AA293" i="33"/>
  <c r="Z293" i="33"/>
  <c r="T293" i="33"/>
  <c r="S293" i="33"/>
  <c r="R293" i="33"/>
  <c r="Q293" i="33"/>
  <c r="P293" i="33"/>
  <c r="O293" i="33"/>
  <c r="AC289" i="33"/>
  <c r="AC295" i="33"/>
  <c r="AC302" i="33"/>
  <c r="AA289" i="33"/>
  <c r="Z289" i="33"/>
  <c r="Z295" i="33"/>
  <c r="T289" i="33"/>
  <c r="T295" i="33"/>
  <c r="T302" i="33"/>
  <c r="S289" i="33"/>
  <c r="S295" i="33"/>
  <c r="S302" i="33"/>
  <c r="R289" i="33"/>
  <c r="R295" i="33"/>
  <c r="R302" i="33"/>
  <c r="Q289" i="33"/>
  <c r="Q295" i="33"/>
  <c r="Q302" i="33"/>
  <c r="P289" i="33"/>
  <c r="P295" i="33"/>
  <c r="P302" i="33"/>
  <c r="O289" i="33"/>
  <c r="O295" i="33"/>
  <c r="O302" i="33"/>
  <c r="AE281" i="33"/>
  <c r="AD281" i="33"/>
  <c r="AC281" i="33"/>
  <c r="AB281" i="33"/>
  <c r="AA281" i="33"/>
  <c r="Z281" i="33"/>
  <c r="T281" i="33"/>
  <c r="S281" i="33"/>
  <c r="R281" i="33"/>
  <c r="Q281" i="33"/>
  <c r="P281" i="33"/>
  <c r="O281" i="33"/>
  <c r="AE259" i="33"/>
  <c r="AD259" i="33"/>
  <c r="AC259" i="33"/>
  <c r="AB259" i="33"/>
  <c r="AA259" i="33"/>
  <c r="Z259" i="33"/>
  <c r="T259" i="33"/>
  <c r="S259" i="33"/>
  <c r="R259" i="33"/>
  <c r="Q259" i="33"/>
  <c r="P259" i="33"/>
  <c r="O259" i="33"/>
  <c r="AE253" i="33"/>
  <c r="AD253" i="33"/>
  <c r="AC253" i="33"/>
  <c r="AB253" i="33"/>
  <c r="AA253" i="33"/>
  <c r="Z253" i="33"/>
  <c r="T253" i="33"/>
  <c r="S253" i="33"/>
  <c r="R253" i="33"/>
  <c r="Q253" i="33"/>
  <c r="P253" i="33"/>
  <c r="O253" i="33"/>
  <c r="AE247" i="33"/>
  <c r="AD247" i="33"/>
  <c r="AC247" i="33"/>
  <c r="AB247" i="33"/>
  <c r="AA247" i="33"/>
  <c r="Z247" i="33"/>
  <c r="T247" i="33"/>
  <c r="S247" i="33"/>
  <c r="R247" i="33"/>
  <c r="Q247" i="33"/>
  <c r="P247" i="33"/>
  <c r="O247" i="33"/>
  <c r="Q228" i="33"/>
  <c r="Q230" i="33"/>
  <c r="Q232" i="33"/>
  <c r="Q234" i="33"/>
  <c r="Q236" i="33"/>
  <c r="Q246" i="33"/>
  <c r="Q249" i="33"/>
  <c r="Q262" i="33"/>
  <c r="AC228" i="33"/>
  <c r="AC230" i="33"/>
  <c r="AC232" i="33"/>
  <c r="AC234" i="33"/>
  <c r="AC236" i="33"/>
  <c r="AC246" i="33"/>
  <c r="AC249" i="33"/>
  <c r="AC262" i="33"/>
  <c r="Z228" i="33"/>
  <c r="Z230" i="33"/>
  <c r="Z232" i="33"/>
  <c r="Z234" i="33"/>
  <c r="Z236" i="33"/>
  <c r="Z246" i="33"/>
  <c r="AD228" i="33"/>
  <c r="AD230" i="33"/>
  <c r="AD232" i="33"/>
  <c r="AD234" i="33"/>
  <c r="AD236" i="33"/>
  <c r="AB228" i="33"/>
  <c r="AB230" i="33"/>
  <c r="AB232" i="33"/>
  <c r="AB234" i="33"/>
  <c r="AB236" i="33"/>
  <c r="P228" i="33"/>
  <c r="P230" i="33"/>
  <c r="P232" i="33"/>
  <c r="P234" i="33"/>
  <c r="P236" i="33"/>
  <c r="P246" i="33"/>
  <c r="P249" i="33"/>
  <c r="P262" i="33"/>
  <c r="O228" i="33"/>
  <c r="O230" i="33"/>
  <c r="O232" i="33"/>
  <c r="O234" i="33"/>
  <c r="O236" i="33"/>
  <c r="O246" i="33"/>
  <c r="O249" i="33"/>
  <c r="O262" i="33"/>
  <c r="O263" i="33"/>
  <c r="AE228" i="33"/>
  <c r="AE230" i="33"/>
  <c r="AE232" i="33"/>
  <c r="AE234" i="33"/>
  <c r="AE236" i="33"/>
  <c r="AE246" i="33"/>
  <c r="AE249" i="33"/>
  <c r="AE262" i="33"/>
  <c r="AA246" i="33"/>
  <c r="AA249" i="33"/>
  <c r="AA262" i="33"/>
  <c r="T228" i="33"/>
  <c r="T230" i="33"/>
  <c r="T232" i="33"/>
  <c r="T234" i="33"/>
  <c r="T236" i="33"/>
  <c r="S228" i="33"/>
  <c r="S230" i="33"/>
  <c r="S232" i="33"/>
  <c r="S234" i="33"/>
  <c r="S236" i="33"/>
  <c r="R228" i="33"/>
  <c r="R230" i="33"/>
  <c r="R232" i="33"/>
  <c r="R234" i="33"/>
  <c r="R236" i="33"/>
  <c r="R246" i="33"/>
  <c r="R249" i="33"/>
  <c r="R262" i="33"/>
  <c r="Z154" i="33"/>
  <c r="Z181" i="33"/>
  <c r="Z224" i="33"/>
  <c r="Z243" i="33"/>
  <c r="Z270" i="33"/>
  <c r="O154" i="33"/>
  <c r="O181" i="33"/>
  <c r="O224" i="33"/>
  <c r="O243" i="33"/>
  <c r="O270" i="33"/>
  <c r="AE211" i="33"/>
  <c r="AD211" i="33"/>
  <c r="AC211" i="33"/>
  <c r="AB211" i="33"/>
  <c r="AA211" i="33"/>
  <c r="Z211" i="33"/>
  <c r="T211" i="33"/>
  <c r="S211" i="33"/>
  <c r="R211" i="33"/>
  <c r="Q211" i="33"/>
  <c r="P211" i="33"/>
  <c r="O211" i="33"/>
  <c r="AC200" i="33"/>
  <c r="AC204" i="33"/>
  <c r="AC206" i="33"/>
  <c r="AC213" i="33"/>
  <c r="AB200" i="33"/>
  <c r="AB204" i="33"/>
  <c r="AB206" i="33"/>
  <c r="AB213" i="33"/>
  <c r="Z200" i="33"/>
  <c r="Z204" i="33"/>
  <c r="Z206" i="33"/>
  <c r="Z213" i="33"/>
  <c r="AE204" i="33"/>
  <c r="AD204" i="33"/>
  <c r="AA204" i="33"/>
  <c r="T204" i="33"/>
  <c r="S204" i="33"/>
  <c r="R204" i="33"/>
  <c r="Q204" i="33"/>
  <c r="P204" i="33"/>
  <c r="O204" i="33"/>
  <c r="AE200" i="33"/>
  <c r="AE206" i="33"/>
  <c r="AE213" i="33"/>
  <c r="AD200" i="33"/>
  <c r="AD206" i="33"/>
  <c r="AD213" i="33"/>
  <c r="AA200" i="33"/>
  <c r="AA206" i="33"/>
  <c r="AA213" i="33"/>
  <c r="T200" i="33"/>
  <c r="T206" i="33"/>
  <c r="S200" i="33"/>
  <c r="S206" i="33"/>
  <c r="S213" i="33"/>
  <c r="R200" i="33"/>
  <c r="R206" i="33"/>
  <c r="R213" i="33"/>
  <c r="Q200" i="33"/>
  <c r="Q206" i="33"/>
  <c r="Q213" i="33"/>
  <c r="P200" i="33"/>
  <c r="P206" i="33"/>
  <c r="P213" i="33"/>
  <c r="O200" i="33"/>
  <c r="O206" i="33"/>
  <c r="O213" i="33"/>
  <c r="AE192" i="33"/>
  <c r="AD192" i="33"/>
  <c r="AC192" i="33"/>
  <c r="AB192" i="33"/>
  <c r="AA192" i="33"/>
  <c r="Z192" i="33"/>
  <c r="T192" i="33"/>
  <c r="S192" i="33"/>
  <c r="R192" i="33"/>
  <c r="Q192" i="33"/>
  <c r="P192" i="33"/>
  <c r="O192" i="33"/>
  <c r="P135" i="33"/>
  <c r="Q135" i="33"/>
  <c r="Q154" i="33"/>
  <c r="Q181" i="33"/>
  <c r="Q224" i="33"/>
  <c r="Q243" i="33"/>
  <c r="Q270" i="33"/>
  <c r="Q139" i="33"/>
  <c r="Q141" i="33"/>
  <c r="Q143" i="33"/>
  <c r="Q145" i="33"/>
  <c r="Q147" i="33"/>
  <c r="Q157" i="33"/>
  <c r="Q158" i="33"/>
  <c r="Q160" i="33"/>
  <c r="Q164" i="33"/>
  <c r="Q170" i="33"/>
  <c r="Q173" i="33"/>
  <c r="AE170" i="33"/>
  <c r="AD170" i="33"/>
  <c r="AC170" i="33"/>
  <c r="AB170" i="33"/>
  <c r="AA170" i="33"/>
  <c r="Z170" i="33"/>
  <c r="T170" i="33"/>
  <c r="S170" i="33"/>
  <c r="R170" i="33"/>
  <c r="P170" i="33"/>
  <c r="O170" i="33"/>
  <c r="AE164" i="33"/>
  <c r="AD164" i="33"/>
  <c r="AC164" i="33"/>
  <c r="AB164" i="33"/>
  <c r="AA164" i="33"/>
  <c r="Z164" i="33"/>
  <c r="T164" i="33"/>
  <c r="S164" i="33"/>
  <c r="R164" i="33"/>
  <c r="P164" i="33"/>
  <c r="O164" i="33"/>
  <c r="AB139" i="33"/>
  <c r="AB141" i="33"/>
  <c r="AB143" i="33"/>
  <c r="AB145" i="33"/>
  <c r="AB147" i="33"/>
  <c r="AB157" i="33"/>
  <c r="AB158" i="33"/>
  <c r="AB160" i="33"/>
  <c r="AB173" i="33"/>
  <c r="R139" i="33"/>
  <c r="R141" i="33"/>
  <c r="R143" i="33"/>
  <c r="R145" i="33"/>
  <c r="R147" i="33"/>
  <c r="R157" i="33"/>
  <c r="R158" i="33"/>
  <c r="R160" i="33"/>
  <c r="R173" i="33"/>
  <c r="AE158" i="33"/>
  <c r="AD158" i="33"/>
  <c r="AC158" i="33"/>
  <c r="AA158" i="33"/>
  <c r="Z158" i="33"/>
  <c r="T158" i="33"/>
  <c r="S158" i="33"/>
  <c r="P158" i="33"/>
  <c r="O158" i="33"/>
  <c r="AD139" i="33"/>
  <c r="AD141" i="33"/>
  <c r="AD143" i="33"/>
  <c r="AD145" i="33"/>
  <c r="AD147" i="33"/>
  <c r="AD157" i="33"/>
  <c r="AD160" i="33"/>
  <c r="AD173" i="33"/>
  <c r="AA139" i="33"/>
  <c r="AA141" i="33"/>
  <c r="AA143" i="33"/>
  <c r="AA145" i="33"/>
  <c r="AA147" i="33"/>
  <c r="AA157" i="33"/>
  <c r="Z139" i="33"/>
  <c r="Z141" i="33"/>
  <c r="Z143" i="33"/>
  <c r="Z145" i="33"/>
  <c r="Z147" i="33"/>
  <c r="Z157" i="33"/>
  <c r="S139" i="33"/>
  <c r="S141" i="33"/>
  <c r="S143" i="33"/>
  <c r="S145" i="33"/>
  <c r="S147" i="33"/>
  <c r="S157" i="33"/>
  <c r="S160" i="33"/>
  <c r="S173" i="33"/>
  <c r="O139" i="33"/>
  <c r="O141" i="33"/>
  <c r="O143" i="33"/>
  <c r="O145" i="33"/>
  <c r="O147" i="33"/>
  <c r="O157" i="33"/>
  <c r="O160" i="33"/>
  <c r="O173" i="33"/>
  <c r="O174" i="33"/>
  <c r="AE139" i="33"/>
  <c r="AE141" i="33"/>
  <c r="AE143" i="33"/>
  <c r="AE145" i="33"/>
  <c r="AE147" i="33"/>
  <c r="AE157" i="33"/>
  <c r="AE160" i="33"/>
  <c r="AE173" i="33"/>
  <c r="AC139" i="33"/>
  <c r="AC141" i="33"/>
  <c r="AC143" i="33"/>
  <c r="AC145" i="33"/>
  <c r="AC147" i="33"/>
  <c r="AC157" i="33"/>
  <c r="AC160" i="33"/>
  <c r="AC173" i="33"/>
  <c r="T139" i="33"/>
  <c r="T141" i="33"/>
  <c r="T143" i="33"/>
  <c r="T145" i="33"/>
  <c r="T147" i="33"/>
  <c r="T157" i="33"/>
  <c r="T160" i="33"/>
  <c r="T173" i="33"/>
  <c r="P139" i="33"/>
  <c r="P141" i="33"/>
  <c r="P143" i="33"/>
  <c r="P145" i="33"/>
  <c r="P147" i="33"/>
  <c r="P157" i="33"/>
  <c r="P160" i="33"/>
  <c r="P173" i="33"/>
  <c r="AA135" i="33"/>
  <c r="R135" i="33"/>
  <c r="N122" i="33"/>
  <c r="O121" i="33"/>
  <c r="X120" i="33"/>
  <c r="Z120" i="33"/>
  <c r="M120" i="33"/>
  <c r="O120" i="33"/>
  <c r="AE119" i="33"/>
  <c r="AD119" i="33"/>
  <c r="AC119" i="33"/>
  <c r="AB119" i="33"/>
  <c r="AA119" i="33"/>
  <c r="X119" i="33"/>
  <c r="T119" i="33"/>
  <c r="S119" i="33"/>
  <c r="R119" i="33"/>
  <c r="Q119" i="33"/>
  <c r="P119" i="33"/>
  <c r="M119" i="33"/>
  <c r="O119" i="33"/>
  <c r="N114" i="33"/>
  <c r="AE113" i="33"/>
  <c r="AD113" i="33"/>
  <c r="AC113" i="33"/>
  <c r="AA113" i="33"/>
  <c r="Y113" i="33"/>
  <c r="X113" i="33"/>
  <c r="Z113" i="33"/>
  <c r="T113" i="33"/>
  <c r="S113" i="33"/>
  <c r="R113" i="33"/>
  <c r="Q113" i="33"/>
  <c r="P113" i="33"/>
  <c r="M113" i="33"/>
  <c r="AE112" i="33"/>
  <c r="AE114" i="33"/>
  <c r="AD112" i="33"/>
  <c r="AD114" i="33"/>
  <c r="AC112" i="33"/>
  <c r="AC114" i="33"/>
  <c r="AB112" i="33"/>
  <c r="AB114" i="33"/>
  <c r="AA112" i="33"/>
  <c r="AA114" i="33"/>
  <c r="Y112" i="33"/>
  <c r="X112" i="33"/>
  <c r="Z112" i="33"/>
  <c r="Z114" i="33"/>
  <c r="T112" i="33"/>
  <c r="T114" i="33"/>
  <c r="S112" i="33"/>
  <c r="R112" i="33"/>
  <c r="R114" i="33"/>
  <c r="Q112" i="33"/>
  <c r="Q114" i="33"/>
  <c r="P112" i="33"/>
  <c r="P114" i="33"/>
  <c r="M112" i="33"/>
  <c r="O112" i="33"/>
  <c r="N110" i="33"/>
  <c r="N116" i="33"/>
  <c r="AE109" i="33"/>
  <c r="AD109" i="33"/>
  <c r="AC109" i="33"/>
  <c r="AB109" i="33"/>
  <c r="AA109" i="33"/>
  <c r="Y109" i="33"/>
  <c r="X109" i="33"/>
  <c r="Z109" i="33"/>
  <c r="T109" i="33"/>
  <c r="S109" i="33"/>
  <c r="R109" i="33"/>
  <c r="Q109" i="33"/>
  <c r="P109" i="33"/>
  <c r="M109" i="33"/>
  <c r="AE108" i="33"/>
  <c r="AD108" i="33"/>
  <c r="AC108" i="33"/>
  <c r="AB108" i="33"/>
  <c r="AA108" i="33"/>
  <c r="Y108" i="33"/>
  <c r="X108" i="33"/>
  <c r="Z108" i="33"/>
  <c r="T108" i="33"/>
  <c r="S108" i="33"/>
  <c r="R108" i="33"/>
  <c r="Q108" i="33"/>
  <c r="P108" i="33"/>
  <c r="M108" i="33"/>
  <c r="O108" i="33"/>
  <c r="AE107" i="33"/>
  <c r="AE110" i="33"/>
  <c r="AE116" i="33"/>
  <c r="AD107" i="33"/>
  <c r="AD110" i="33"/>
  <c r="AD116" i="33"/>
  <c r="AC107" i="33"/>
  <c r="AC110" i="33"/>
  <c r="AC116" i="33"/>
  <c r="AB107" i="33"/>
  <c r="AB110" i="33"/>
  <c r="AA107" i="33"/>
  <c r="X107" i="33"/>
  <c r="Y107" i="33"/>
  <c r="Z107" i="33"/>
  <c r="Z110" i="33"/>
  <c r="Z116" i="33"/>
  <c r="Y110" i="33"/>
  <c r="X110" i="33"/>
  <c r="T107" i="33"/>
  <c r="T110" i="33"/>
  <c r="S107" i="33"/>
  <c r="S110" i="33"/>
  <c r="R107" i="33"/>
  <c r="Q107" i="33"/>
  <c r="Q110" i="33"/>
  <c r="Q116" i="33"/>
  <c r="P107" i="33"/>
  <c r="P110" i="33"/>
  <c r="M107" i="33"/>
  <c r="O107" i="33"/>
  <c r="AE101" i="33"/>
  <c r="AD101" i="33"/>
  <c r="AC101" i="33"/>
  <c r="AB101" i="33"/>
  <c r="AA101" i="33"/>
  <c r="Y101" i="33"/>
  <c r="X101" i="33"/>
  <c r="Z101" i="33"/>
  <c r="T101" i="33"/>
  <c r="S101" i="33"/>
  <c r="R101" i="33"/>
  <c r="Q101" i="33"/>
  <c r="P101" i="33"/>
  <c r="M101" i="33"/>
  <c r="O101" i="33"/>
  <c r="AE100" i="33"/>
  <c r="AD100" i="33"/>
  <c r="AC100" i="33"/>
  <c r="AB100" i="33"/>
  <c r="AA100" i="33"/>
  <c r="Y100" i="33"/>
  <c r="X100" i="33"/>
  <c r="T100" i="33"/>
  <c r="S100" i="33"/>
  <c r="R100" i="33"/>
  <c r="Q100" i="33"/>
  <c r="P100" i="33"/>
  <c r="M100" i="33"/>
  <c r="O100" i="33"/>
  <c r="O99" i="33"/>
  <c r="Z98" i="33"/>
  <c r="AA98" i="33"/>
  <c r="AB98" i="33"/>
  <c r="AE95" i="33"/>
  <c r="AD95" i="33"/>
  <c r="AC95" i="33"/>
  <c r="AB95" i="33"/>
  <c r="AA95" i="33"/>
  <c r="X95" i="33"/>
  <c r="Y95" i="33"/>
  <c r="Z95" i="33"/>
  <c r="T95" i="33"/>
  <c r="S95" i="33"/>
  <c r="R95" i="33"/>
  <c r="Q95" i="33"/>
  <c r="P95" i="33"/>
  <c r="M95" i="33"/>
  <c r="O95" i="33"/>
  <c r="AE94" i="33"/>
  <c r="AD94" i="33"/>
  <c r="AC94" i="33"/>
  <c r="AB94" i="33"/>
  <c r="AA94" i="33"/>
  <c r="Y94" i="33"/>
  <c r="X94" i="33"/>
  <c r="Z94" i="33"/>
  <c r="T94" i="33"/>
  <c r="S94" i="33"/>
  <c r="R94" i="33"/>
  <c r="Q94" i="33"/>
  <c r="P94" i="33"/>
  <c r="M94" i="33"/>
  <c r="O94" i="33"/>
  <c r="AE93" i="33"/>
  <c r="AD93" i="33"/>
  <c r="AC93" i="33"/>
  <c r="AB93" i="33"/>
  <c r="AA93" i="33"/>
  <c r="Y93" i="33"/>
  <c r="X93" i="33"/>
  <c r="Z93" i="33"/>
  <c r="T93" i="33"/>
  <c r="S93" i="33"/>
  <c r="R93" i="33"/>
  <c r="Q93" i="33"/>
  <c r="P93" i="33"/>
  <c r="M93" i="33"/>
  <c r="O93" i="33"/>
  <c r="T77" i="33"/>
  <c r="S77" i="33"/>
  <c r="R77" i="33"/>
  <c r="Q77" i="33"/>
  <c r="P77" i="33"/>
  <c r="AE75" i="33"/>
  <c r="AD75" i="33"/>
  <c r="AC75" i="33"/>
  <c r="AB75" i="33"/>
  <c r="AA75" i="33"/>
  <c r="T75" i="33"/>
  <c r="S75" i="33"/>
  <c r="R75" i="33"/>
  <c r="Q75" i="33"/>
  <c r="P75" i="33"/>
  <c r="AE74" i="33"/>
  <c r="AD74" i="33"/>
  <c r="AC74" i="33"/>
  <c r="AB74" i="33"/>
  <c r="AA74" i="33"/>
  <c r="T74" i="33"/>
  <c r="T78" i="33"/>
  <c r="S74" i="33"/>
  <c r="S78" i="33"/>
  <c r="R74" i="33"/>
  <c r="R78" i="33"/>
  <c r="Q74" i="33"/>
  <c r="Q78" i="33"/>
  <c r="P74" i="33"/>
  <c r="P78" i="33"/>
  <c r="S70" i="33"/>
  <c r="S71" i="33"/>
  <c r="AE70" i="33"/>
  <c r="AE71" i="33"/>
  <c r="AD70" i="33"/>
  <c r="AD71" i="33"/>
  <c r="AC70" i="33"/>
  <c r="AC71" i="33"/>
  <c r="AB70" i="33"/>
  <c r="AB71" i="33"/>
  <c r="AA70" i="33"/>
  <c r="AA71" i="33"/>
  <c r="T70" i="33"/>
  <c r="T71" i="33"/>
  <c r="R70" i="33"/>
  <c r="R71" i="33"/>
  <c r="Q70" i="33"/>
  <c r="Q71" i="33"/>
  <c r="P70" i="33"/>
  <c r="P71" i="33"/>
  <c r="AE66" i="33"/>
  <c r="AD66" i="33"/>
  <c r="AC66" i="33"/>
  <c r="AB66" i="33"/>
  <c r="AA66" i="33"/>
  <c r="AE65" i="33"/>
  <c r="AD65" i="33"/>
  <c r="AC65" i="33"/>
  <c r="AB65" i="33"/>
  <c r="AA65" i="33"/>
  <c r="T65" i="33"/>
  <c r="S65" i="33"/>
  <c r="R65" i="33"/>
  <c r="Q65" i="33"/>
  <c r="P65" i="33"/>
  <c r="T63" i="33"/>
  <c r="S63" i="33"/>
  <c r="R63" i="33"/>
  <c r="Q63" i="33"/>
  <c r="P63" i="33"/>
  <c r="AE42" i="33"/>
  <c r="AE62" i="33"/>
  <c r="Q42" i="33"/>
  <c r="Q62" i="33"/>
  <c r="P35" i="33"/>
  <c r="P58" i="33"/>
  <c r="P89" i="33"/>
  <c r="AD27" i="33"/>
  <c r="W55" i="33"/>
  <c r="AE48" i="33"/>
  <c r="AD48" i="33"/>
  <c r="AC48" i="33"/>
  <c r="AB48" i="33"/>
  <c r="AA48" i="33"/>
  <c r="T48" i="33"/>
  <c r="S48" i="33"/>
  <c r="R48" i="33"/>
  <c r="Q48" i="33"/>
  <c r="P48" i="33"/>
  <c r="AE44" i="33"/>
  <c r="AD44" i="33"/>
  <c r="AC44" i="33"/>
  <c r="AB44" i="33"/>
  <c r="AA44" i="33"/>
  <c r="T44" i="33"/>
  <c r="S44" i="33"/>
  <c r="R44" i="33"/>
  <c r="Q44" i="33"/>
  <c r="P44" i="33"/>
  <c r="AD42" i="33"/>
  <c r="AD62" i="33"/>
  <c r="AC42" i="33"/>
  <c r="AC62" i="33"/>
  <c r="AB42" i="33"/>
  <c r="AB62" i="33"/>
  <c r="AA42" i="33"/>
  <c r="AA62" i="33"/>
  <c r="T42" i="33"/>
  <c r="T62" i="33"/>
  <c r="S42" i="33"/>
  <c r="S62" i="33"/>
  <c r="R42" i="33"/>
  <c r="R62" i="33"/>
  <c r="P42" i="33"/>
  <c r="P62" i="33"/>
  <c r="AE37" i="33"/>
  <c r="AE38" i="33"/>
  <c r="AE39" i="33"/>
  <c r="AE40" i="33"/>
  <c r="AE41" i="33"/>
  <c r="AE43" i="33"/>
  <c r="AE45" i="33"/>
  <c r="AE47" i="33"/>
  <c r="AE49" i="33"/>
  <c r="Q37" i="33"/>
  <c r="Q38" i="33"/>
  <c r="Q39" i="33"/>
  <c r="Q40" i="33"/>
  <c r="Q41" i="33"/>
  <c r="Q43" i="33"/>
  <c r="Q45" i="33"/>
  <c r="AD40" i="33"/>
  <c r="AC40" i="33"/>
  <c r="AB40" i="33"/>
  <c r="AA40" i="33"/>
  <c r="T40" i="33"/>
  <c r="S40" i="33"/>
  <c r="R40" i="33"/>
  <c r="P40" i="33"/>
  <c r="AD37" i="33"/>
  <c r="AD38" i="33"/>
  <c r="AD39" i="33"/>
  <c r="AD41" i="33"/>
  <c r="AD43" i="33"/>
  <c r="AD45" i="33"/>
  <c r="AD47" i="33"/>
  <c r="AD49" i="33"/>
  <c r="AC37" i="33"/>
  <c r="AC38" i="33"/>
  <c r="AC39" i="33"/>
  <c r="AC41" i="33"/>
  <c r="AC43" i="33"/>
  <c r="AC45" i="33"/>
  <c r="AC47" i="33"/>
  <c r="AC49" i="33"/>
  <c r="P37" i="33"/>
  <c r="P38" i="33"/>
  <c r="P39" i="33"/>
  <c r="P41" i="33"/>
  <c r="P43" i="33"/>
  <c r="P45" i="33"/>
  <c r="AB38" i="33"/>
  <c r="AA38" i="33"/>
  <c r="T38" i="33"/>
  <c r="S38" i="33"/>
  <c r="R38" i="33"/>
  <c r="AB37" i="33"/>
  <c r="AB39" i="33"/>
  <c r="AB41" i="33"/>
  <c r="AB43" i="33"/>
  <c r="AB45" i="33"/>
  <c r="AB47" i="33"/>
  <c r="AB49" i="33"/>
  <c r="AA37" i="33"/>
  <c r="AA39" i="33"/>
  <c r="AA41" i="33"/>
  <c r="AA43" i="33"/>
  <c r="AA45" i="33"/>
  <c r="AA47" i="33"/>
  <c r="AA49" i="33"/>
  <c r="T37" i="33"/>
  <c r="T39" i="33"/>
  <c r="T41" i="33"/>
  <c r="T43" i="33"/>
  <c r="T45" i="33"/>
  <c r="S37" i="33"/>
  <c r="S39" i="33"/>
  <c r="S41" i="33"/>
  <c r="S43" i="33"/>
  <c r="S45" i="33"/>
  <c r="R37" i="33"/>
  <c r="R39" i="33"/>
  <c r="R41" i="33"/>
  <c r="R43" i="33"/>
  <c r="R45" i="33"/>
  <c r="AA35" i="33"/>
  <c r="AA58" i="33"/>
  <c r="AA89" i="33"/>
  <c r="Z35" i="33"/>
  <c r="Z58" i="33"/>
  <c r="Z89" i="33"/>
  <c r="Q35" i="33"/>
  <c r="Q58" i="33"/>
  <c r="Q89" i="33"/>
  <c r="E35" i="33"/>
  <c r="E58" i="33"/>
  <c r="E89" i="33"/>
  <c r="O35" i="33"/>
  <c r="O58" i="33"/>
  <c r="O89" i="33"/>
  <c r="F35" i="33"/>
  <c r="F58" i="33"/>
  <c r="F89" i="33"/>
  <c r="S27" i="33"/>
  <c r="L32" i="33"/>
  <c r="V29" i="33"/>
  <c r="W86" i="33"/>
  <c r="Y25" i="33"/>
  <c r="Y99" i="33"/>
  <c r="W20" i="33"/>
  <c r="L20" i="33"/>
  <c r="P116" i="33"/>
  <c r="O113" i="33"/>
  <c r="O114" i="33"/>
  <c r="AD246" i="33"/>
  <c r="AD249" i="33"/>
  <c r="AD262" i="33"/>
  <c r="T246" i="33"/>
  <c r="T249" i="33"/>
  <c r="T262" i="33"/>
  <c r="Y102" i="33"/>
  <c r="Z99" i="33"/>
  <c r="AA99" i="33"/>
  <c r="AB99" i="33"/>
  <c r="AC99" i="33"/>
  <c r="AD99" i="33"/>
  <c r="AE99" i="33"/>
  <c r="S246" i="33"/>
  <c r="S249" i="33"/>
  <c r="S262" i="33"/>
  <c r="O273" i="33"/>
  <c r="O277" i="33"/>
  <c r="O283" i="33"/>
  <c r="O303" i="33"/>
  <c r="P261" i="33"/>
  <c r="P263" i="33"/>
  <c r="X114" i="33"/>
  <c r="X116" i="33"/>
  <c r="X122" i="33"/>
  <c r="X124" i="33"/>
  <c r="Z160" i="33"/>
  <c r="Z173" i="33"/>
  <c r="Z174" i="33"/>
  <c r="X102" i="33"/>
  <c r="Z100" i="33"/>
  <c r="R154" i="33"/>
  <c r="R181" i="33"/>
  <c r="R224" i="33"/>
  <c r="R243" i="33"/>
  <c r="R270" i="33"/>
  <c r="S135" i="33"/>
  <c r="AA160" i="33"/>
  <c r="AA173" i="33"/>
  <c r="AC98" i="33"/>
  <c r="M122" i="33"/>
  <c r="Z119" i="33"/>
  <c r="W32" i="33"/>
  <c r="AB246" i="33"/>
  <c r="AB249" i="33"/>
  <c r="AB262" i="33"/>
  <c r="N25" i="33"/>
  <c r="L86" i="33"/>
  <c r="L55" i="33"/>
  <c r="D35" i="33"/>
  <c r="D58" i="33"/>
  <c r="D89" i="33"/>
  <c r="AA110" i="33"/>
  <c r="AA116" i="33"/>
  <c r="N124" i="33"/>
  <c r="AB135" i="33"/>
  <c r="AA154" i="33"/>
  <c r="AA181" i="33"/>
  <c r="AA224" i="33"/>
  <c r="AA243" i="33"/>
  <c r="AA270" i="33"/>
  <c r="P172" i="33"/>
  <c r="P174" i="33"/>
  <c r="O184" i="33"/>
  <c r="R35" i="33"/>
  <c r="AB116" i="33"/>
  <c r="M114" i="33"/>
  <c r="K29" i="33"/>
  <c r="O109" i="33"/>
  <c r="O110" i="33"/>
  <c r="O116" i="33"/>
  <c r="O122" i="33"/>
  <c r="O124" i="33"/>
  <c r="M110" i="33"/>
  <c r="M116" i="33"/>
  <c r="M124" i="33"/>
  <c r="M102" i="33"/>
  <c r="R110" i="33"/>
  <c r="R116" i="33"/>
  <c r="T213" i="33"/>
  <c r="Z302" i="33"/>
  <c r="Z249" i="33"/>
  <c r="Z262" i="33"/>
  <c r="Z263" i="33"/>
  <c r="AA295" i="33"/>
  <c r="AA302" i="33"/>
  <c r="T116" i="33"/>
  <c r="S114" i="33"/>
  <c r="S116" i="33"/>
  <c r="Y114" i="33"/>
  <c r="Y116" i="33"/>
  <c r="P154" i="33"/>
  <c r="P181" i="33"/>
  <c r="P224" i="33"/>
  <c r="P243" i="33"/>
  <c r="P270" i="33"/>
  <c r="AC135" i="33"/>
  <c r="AB154" i="33"/>
  <c r="AB181" i="33"/>
  <c r="AB224" i="33"/>
  <c r="AB243" i="33"/>
  <c r="AB270" i="33"/>
  <c r="AB35" i="33"/>
  <c r="AB58" i="33"/>
  <c r="AB89" i="33"/>
  <c r="AD98" i="33"/>
  <c r="AC102" i="33"/>
  <c r="Z102" i="33"/>
  <c r="AB102" i="33"/>
  <c r="AA172" i="33"/>
  <c r="AA174" i="33"/>
  <c r="Z184" i="33"/>
  <c r="AA261" i="33"/>
  <c r="AA263" i="33"/>
  <c r="Z273" i="33"/>
  <c r="S35" i="33"/>
  <c r="S154" i="33"/>
  <c r="S181" i="33"/>
  <c r="S224" i="33"/>
  <c r="S243" i="33"/>
  <c r="S270" i="33"/>
  <c r="T135" i="33"/>
  <c r="O188" i="33"/>
  <c r="O194" i="33"/>
  <c r="O214" i="33"/>
  <c r="M92" i="33"/>
  <c r="P273" i="33"/>
  <c r="P277" i="33"/>
  <c r="P283" i="33"/>
  <c r="P303" i="33"/>
  <c r="Q261" i="33"/>
  <c r="Q263" i="33"/>
  <c r="R58" i="33"/>
  <c r="R89" i="33"/>
  <c r="G35" i="33"/>
  <c r="G58" i="33"/>
  <c r="G89" i="33"/>
  <c r="AA102" i="33"/>
  <c r="Q172" i="33"/>
  <c r="Q174" i="33"/>
  <c r="P184" i="33"/>
  <c r="P188" i="33"/>
  <c r="P194" i="33"/>
  <c r="P214" i="33"/>
  <c r="T154" i="33"/>
  <c r="T181" i="33"/>
  <c r="T224" i="33"/>
  <c r="T243" i="33"/>
  <c r="T270" i="33"/>
  <c r="T35" i="33"/>
  <c r="Z188" i="33"/>
  <c r="Z194" i="33"/>
  <c r="Z214" i="33"/>
  <c r="X92" i="33"/>
  <c r="AE98" i="33"/>
  <c r="AD102" i="33"/>
  <c r="AA184" i="33"/>
  <c r="AA188" i="33"/>
  <c r="AA194" i="33"/>
  <c r="AA214" i="33"/>
  <c r="AB172" i="33"/>
  <c r="AB174" i="33"/>
  <c r="S58" i="33"/>
  <c r="S89" i="33"/>
  <c r="H35" i="33"/>
  <c r="H58" i="33"/>
  <c r="H89" i="33"/>
  <c r="AD135" i="33"/>
  <c r="AC154" i="33"/>
  <c r="AC181" i="33"/>
  <c r="AC224" i="33"/>
  <c r="AC243" i="33"/>
  <c r="AC270" i="33"/>
  <c r="AC35" i="33"/>
  <c r="AC58" i="33"/>
  <c r="AC89" i="33"/>
  <c r="R261" i="33"/>
  <c r="R263" i="33"/>
  <c r="Q273" i="33"/>
  <c r="Q277" i="33"/>
  <c r="Q283" i="33"/>
  <c r="Q303" i="33"/>
  <c r="AA273" i="33"/>
  <c r="AA277" i="33"/>
  <c r="AA283" i="33"/>
  <c r="AA303" i="33"/>
  <c r="AB261" i="33"/>
  <c r="AB263" i="33"/>
  <c r="R172" i="33"/>
  <c r="R174" i="33"/>
  <c r="Q184" i="33"/>
  <c r="Q188" i="33"/>
  <c r="Q194" i="33"/>
  <c r="Q214" i="33"/>
  <c r="M96" i="33"/>
  <c r="M104" i="33"/>
  <c r="M125" i="33"/>
  <c r="Z277" i="33"/>
  <c r="Z283" i="33"/>
  <c r="Z303" i="33"/>
  <c r="X96" i="33"/>
  <c r="X104" i="33"/>
  <c r="X125" i="33"/>
  <c r="S261" i="33"/>
  <c r="S263" i="33"/>
  <c r="R273" i="33"/>
  <c r="R277" i="33"/>
  <c r="R283" i="33"/>
  <c r="R303" i="33"/>
  <c r="AC261" i="33"/>
  <c r="AC263" i="33"/>
  <c r="AB273" i="33"/>
  <c r="AB277" i="33"/>
  <c r="AB283" i="33"/>
  <c r="AB303" i="33"/>
  <c r="AE135" i="33"/>
  <c r="AD154" i="33"/>
  <c r="AD181" i="33"/>
  <c r="AD224" i="33"/>
  <c r="AD243" i="33"/>
  <c r="AD270" i="33"/>
  <c r="AD35" i="33"/>
  <c r="AD58" i="33"/>
  <c r="AD89" i="33"/>
  <c r="AE102" i="33"/>
  <c r="T58" i="33"/>
  <c r="T89" i="33"/>
  <c r="I35" i="33"/>
  <c r="I58" i="33"/>
  <c r="I89" i="33"/>
  <c r="S172" i="33"/>
  <c r="S174" i="33"/>
  <c r="R184" i="33"/>
  <c r="R188" i="33"/>
  <c r="R194" i="33"/>
  <c r="R214" i="33"/>
  <c r="AC172" i="33"/>
  <c r="AC174" i="33"/>
  <c r="AB184" i="33"/>
  <c r="AB188" i="33"/>
  <c r="AB194" i="33"/>
  <c r="AB214" i="33"/>
  <c r="AD172" i="33"/>
  <c r="AD174" i="33"/>
  <c r="AC184" i="33"/>
  <c r="AC188" i="33"/>
  <c r="AC194" i="33"/>
  <c r="AC214" i="33"/>
  <c r="S184" i="33"/>
  <c r="S188" i="33"/>
  <c r="S194" i="33"/>
  <c r="S214" i="33"/>
  <c r="T172" i="33"/>
  <c r="T174" i="33"/>
  <c r="T184" i="33"/>
  <c r="T188" i="33"/>
  <c r="T194" i="33"/>
  <c r="T214" i="33"/>
  <c r="T261" i="33"/>
  <c r="T263" i="33"/>
  <c r="T273" i="33"/>
  <c r="T277" i="33"/>
  <c r="T283" i="33"/>
  <c r="T303" i="33"/>
  <c r="S273" i="33"/>
  <c r="S277" i="33"/>
  <c r="S283" i="33"/>
  <c r="S303" i="33"/>
  <c r="AC273" i="33"/>
  <c r="AC277" i="33"/>
  <c r="AC283" i="33"/>
  <c r="AC303" i="33"/>
  <c r="AD261" i="33"/>
  <c r="AD263" i="33"/>
  <c r="AE154" i="33"/>
  <c r="AE181" i="33"/>
  <c r="AE224" i="33"/>
  <c r="AE243" i="33"/>
  <c r="AE270" i="33"/>
  <c r="AE35" i="33"/>
  <c r="AE58" i="33"/>
  <c r="AE89" i="33"/>
  <c r="AD273" i="33"/>
  <c r="AD277" i="33"/>
  <c r="AD283" i="33"/>
  <c r="AD303" i="33"/>
  <c r="AE261" i="33"/>
  <c r="AE263" i="33"/>
  <c r="AE273" i="33"/>
  <c r="AE277" i="33"/>
  <c r="AE283" i="33"/>
  <c r="AE303" i="33"/>
  <c r="AE172" i="33"/>
  <c r="AE174" i="33"/>
  <c r="AE184" i="33"/>
  <c r="AE188" i="33"/>
  <c r="AE194" i="33"/>
  <c r="AE214" i="33"/>
  <c r="AD184" i="33"/>
  <c r="AD188" i="33"/>
  <c r="AD194" i="33"/>
  <c r="AD214" i="33"/>
  <c r="H178" i="30"/>
  <c r="G178" i="30"/>
  <c r="F178" i="30"/>
  <c r="E178" i="30"/>
  <c r="D178" i="30"/>
  <c r="C178" i="30"/>
  <c r="H167" i="30"/>
  <c r="H171" i="30"/>
  <c r="H173" i="30"/>
  <c r="H180" i="30"/>
  <c r="E167" i="30"/>
  <c r="E171" i="30"/>
  <c r="E173" i="30"/>
  <c r="E180" i="30"/>
  <c r="G171" i="30"/>
  <c r="F171" i="30"/>
  <c r="D171" i="30"/>
  <c r="C171" i="30"/>
  <c r="C167" i="30"/>
  <c r="C173" i="30"/>
  <c r="C180" i="30"/>
  <c r="G167" i="30"/>
  <c r="G173" i="30"/>
  <c r="G180" i="30"/>
  <c r="F167" i="30"/>
  <c r="F173" i="30"/>
  <c r="F180" i="30"/>
  <c r="D167" i="30"/>
  <c r="D173" i="30"/>
  <c r="D180" i="30"/>
  <c r="H159" i="30"/>
  <c r="G159" i="30"/>
  <c r="F159" i="30"/>
  <c r="E159" i="30"/>
  <c r="D159" i="30"/>
  <c r="C159" i="30"/>
  <c r="H137" i="30"/>
  <c r="G137" i="30"/>
  <c r="F137" i="30"/>
  <c r="E137" i="30"/>
  <c r="D137" i="30"/>
  <c r="C137" i="30"/>
  <c r="H131" i="30"/>
  <c r="G131" i="30"/>
  <c r="F131" i="30"/>
  <c r="E131" i="30"/>
  <c r="D131" i="30"/>
  <c r="C131" i="30"/>
  <c r="H125" i="30"/>
  <c r="G125" i="30"/>
  <c r="F125" i="30"/>
  <c r="E125" i="30"/>
  <c r="D125" i="30"/>
  <c r="C125" i="30"/>
  <c r="C106" i="30"/>
  <c r="C108" i="30"/>
  <c r="C110" i="30"/>
  <c r="C112" i="30"/>
  <c r="C114" i="30"/>
  <c r="C124" i="30"/>
  <c r="C127" i="30"/>
  <c r="G106" i="30"/>
  <c r="G108" i="30"/>
  <c r="G110" i="30"/>
  <c r="G112" i="30"/>
  <c r="G114" i="30"/>
  <c r="G124" i="30"/>
  <c r="G127" i="30"/>
  <c r="G140" i="30"/>
  <c r="D106" i="30"/>
  <c r="D108" i="30"/>
  <c r="D110" i="30"/>
  <c r="D112" i="30"/>
  <c r="D114" i="30"/>
  <c r="D124" i="30"/>
  <c r="D127" i="30"/>
  <c r="D140" i="30"/>
  <c r="H106" i="30"/>
  <c r="H108" i="30"/>
  <c r="H110" i="30"/>
  <c r="H112" i="30"/>
  <c r="H114" i="30"/>
  <c r="H124" i="30"/>
  <c r="H127" i="30"/>
  <c r="F106" i="30"/>
  <c r="F108" i="30"/>
  <c r="F110" i="30"/>
  <c r="F112" i="30"/>
  <c r="F114" i="30"/>
  <c r="F124" i="30"/>
  <c r="F127" i="30"/>
  <c r="E106" i="30"/>
  <c r="E108" i="30"/>
  <c r="E110" i="30"/>
  <c r="E112" i="30"/>
  <c r="E114" i="30"/>
  <c r="E124" i="30"/>
  <c r="E127" i="30"/>
  <c r="E13" i="30"/>
  <c r="F13" i="30"/>
  <c r="F140" i="30"/>
  <c r="C140" i="30"/>
  <c r="C141" i="30"/>
  <c r="E140" i="30"/>
  <c r="H140" i="30"/>
  <c r="D139" i="30"/>
  <c r="D141" i="30"/>
  <c r="C151" i="30"/>
  <c r="C155" i="30"/>
  <c r="C161" i="30"/>
  <c r="C181" i="30"/>
  <c r="E139" i="30"/>
  <c r="E141" i="30"/>
  <c r="D151" i="30"/>
  <c r="D155" i="30"/>
  <c r="D161" i="30"/>
  <c r="D181" i="30"/>
  <c r="F139" i="30"/>
  <c r="F141" i="30"/>
  <c r="E151" i="30"/>
  <c r="E155" i="30"/>
  <c r="E161" i="30"/>
  <c r="E181" i="30"/>
  <c r="F151" i="30"/>
  <c r="F155" i="30"/>
  <c r="F161" i="30"/>
  <c r="F181" i="30"/>
  <c r="G139" i="30"/>
  <c r="G141" i="30"/>
  <c r="H139" i="30"/>
  <c r="H141" i="30"/>
  <c r="H151" i="30"/>
  <c r="H155" i="30"/>
  <c r="H161" i="30"/>
  <c r="H181" i="30"/>
  <c r="G151" i="30"/>
  <c r="G155" i="30"/>
  <c r="G161" i="30"/>
  <c r="G181" i="30"/>
  <c r="O92" i="33"/>
  <c r="AC50" i="33"/>
  <c r="AC63" i="33"/>
  <c r="H93" i="33"/>
  <c r="E101" i="33"/>
  <c r="H99" i="33"/>
  <c r="H74" i="33"/>
  <c r="G101" i="33"/>
  <c r="I65" i="33"/>
  <c r="E70" i="33"/>
  <c r="E71" i="33"/>
  <c r="G74" i="33"/>
  <c r="H75" i="33"/>
  <c r="D107" i="33"/>
  <c r="F48" i="33"/>
  <c r="I119" i="33"/>
  <c r="H44" i="33"/>
  <c r="D101" i="33"/>
  <c r="F100" i="33"/>
  <c r="F40" i="33"/>
  <c r="I101" i="33"/>
  <c r="G100" i="33"/>
  <c r="F108" i="33"/>
  <c r="I38" i="33"/>
  <c r="E107" i="33"/>
  <c r="F107" i="33"/>
  <c r="H119" i="33"/>
  <c r="H109" i="33"/>
  <c r="F70" i="33"/>
  <c r="F71" i="33"/>
  <c r="E93" i="33"/>
  <c r="D108" i="33"/>
  <c r="G42" i="33"/>
  <c r="G62" i="33"/>
  <c r="G113" i="33"/>
  <c r="G37" i="33"/>
  <c r="I48" i="33"/>
  <c r="E119" i="33"/>
  <c r="F94" i="33"/>
  <c r="C32" i="33"/>
  <c r="F37" i="33"/>
  <c r="I44" i="33"/>
  <c r="E74" i="33"/>
  <c r="H48" i="33"/>
  <c r="I112" i="33"/>
  <c r="H38" i="33"/>
  <c r="D113" i="33"/>
  <c r="I95" i="33"/>
  <c r="G93" i="33"/>
  <c r="G38" i="33"/>
  <c r="E100" i="33"/>
  <c r="F112" i="33"/>
  <c r="F114" i="33"/>
  <c r="E75" i="33"/>
  <c r="E38" i="33"/>
  <c r="I93" i="33"/>
  <c r="I109" i="33"/>
  <c r="F93" i="33"/>
  <c r="D94" i="33"/>
  <c r="H94" i="33"/>
  <c r="I99" i="33"/>
  <c r="F101" i="33"/>
  <c r="E42" i="33"/>
  <c r="E62" i="33"/>
  <c r="B29" i="33"/>
  <c r="H113" i="33"/>
  <c r="H37" i="33"/>
  <c r="E112" i="33"/>
  <c r="G44" i="33"/>
  <c r="E37" i="33"/>
  <c r="D100" i="33"/>
  <c r="G119" i="33"/>
  <c r="F65" i="33"/>
  <c r="G40" i="33"/>
  <c r="I74" i="33"/>
  <c r="E99" i="33"/>
  <c r="F74" i="33"/>
  <c r="E94" i="33"/>
  <c r="D93" i="33"/>
  <c r="E113" i="33"/>
  <c r="G70" i="33"/>
  <c r="G71" i="33"/>
  <c r="G107" i="33"/>
  <c r="D95" i="33"/>
  <c r="C55" i="33"/>
  <c r="I70" i="33"/>
  <c r="I71" i="33"/>
  <c r="E109" i="33"/>
  <c r="E40" i="33"/>
  <c r="I42" i="33"/>
  <c r="I62" i="33"/>
  <c r="G112" i="33"/>
  <c r="H95" i="33"/>
  <c r="D99" i="33"/>
  <c r="D119" i="33"/>
  <c r="F42" i="33"/>
  <c r="F62" i="33"/>
  <c r="F75" i="33"/>
  <c r="F38" i="33"/>
  <c r="F95" i="33"/>
  <c r="H70" i="33"/>
  <c r="H71" i="33"/>
  <c r="E108" i="33"/>
  <c r="E95" i="33"/>
  <c r="G75" i="33"/>
  <c r="H65" i="33"/>
  <c r="G95" i="33"/>
  <c r="G109" i="33"/>
  <c r="H108" i="33"/>
  <c r="F99" i="33"/>
  <c r="F44" i="33"/>
  <c r="B18" i="33"/>
  <c r="D112" i="33"/>
  <c r="H112" i="33"/>
  <c r="I100" i="33"/>
  <c r="I94" i="33"/>
  <c r="I40" i="33"/>
  <c r="I75" i="33"/>
  <c r="G94" i="33"/>
  <c r="I108" i="33"/>
  <c r="G65" i="33"/>
  <c r="G99" i="33"/>
  <c r="E44" i="33"/>
  <c r="C86" i="33"/>
  <c r="E65" i="33"/>
  <c r="D109" i="33"/>
  <c r="I37" i="33"/>
  <c r="H100" i="33"/>
  <c r="H42" i="33"/>
  <c r="H62" i="33"/>
  <c r="H40" i="33"/>
  <c r="E48" i="33"/>
  <c r="G48" i="33"/>
  <c r="H101" i="33"/>
  <c r="I113" i="33"/>
  <c r="H107" i="33"/>
  <c r="G108" i="33"/>
  <c r="I107" i="33"/>
  <c r="F119" i="33"/>
  <c r="F109" i="33"/>
  <c r="D120" i="33"/>
  <c r="AD50" i="33"/>
  <c r="G50" i="33"/>
  <c r="G63" i="33"/>
  <c r="E46" i="33"/>
  <c r="E66" i="33"/>
  <c r="R46" i="33"/>
  <c r="G46" i="33"/>
  <c r="G66" i="33"/>
  <c r="T46" i="33"/>
  <c r="I46" i="33"/>
  <c r="I66" i="33"/>
  <c r="E64" i="33"/>
  <c r="Q64" i="33"/>
  <c r="F64" i="33"/>
  <c r="S64" i="33"/>
  <c r="H64" i="33"/>
  <c r="R64" i="33"/>
  <c r="G64" i="33"/>
  <c r="T64" i="33"/>
  <c r="I64" i="33"/>
  <c r="S46" i="33"/>
  <c r="H46" i="33"/>
  <c r="H66" i="33"/>
  <c r="Q46" i="33"/>
  <c r="Q47" i="33"/>
  <c r="Q49" i="33"/>
  <c r="Q51" i="33"/>
  <c r="Q61" i="33"/>
  <c r="D98" i="33"/>
  <c r="D102" i="33"/>
  <c r="N96" i="33"/>
  <c r="H39" i="33"/>
  <c r="H41" i="33"/>
  <c r="H43" i="33"/>
  <c r="H45" i="33"/>
  <c r="F77" i="33"/>
  <c r="I77" i="33"/>
  <c r="AD76" i="33"/>
  <c r="H76" i="33"/>
  <c r="E76" i="33"/>
  <c r="G77" i="33"/>
  <c r="E77" i="33"/>
  <c r="AB76" i="33"/>
  <c r="F76" i="33"/>
  <c r="AC51" i="33"/>
  <c r="AC61" i="33"/>
  <c r="AC67" i="33"/>
  <c r="AE50" i="33"/>
  <c r="I50" i="33"/>
  <c r="I63" i="33"/>
  <c r="Y92" i="33"/>
  <c r="AB50" i="33"/>
  <c r="F50" i="33"/>
  <c r="F63" i="33"/>
  <c r="AC76" i="33"/>
  <c r="Y122" i="33"/>
  <c r="Y124" i="33"/>
  <c r="AE76" i="33"/>
  <c r="H77" i="33"/>
  <c r="F46" i="33"/>
  <c r="F66" i="33"/>
  <c r="H114" i="33"/>
  <c r="H110" i="33"/>
  <c r="I39" i="33"/>
  <c r="I41" i="33"/>
  <c r="E110" i="33"/>
  <c r="I114" i="33"/>
  <c r="F39" i="33"/>
  <c r="F41" i="33"/>
  <c r="F43" i="33"/>
  <c r="F45" i="33"/>
  <c r="G39" i="33"/>
  <c r="G41" i="33"/>
  <c r="G43" i="33"/>
  <c r="G45" i="33"/>
  <c r="F110" i="33"/>
  <c r="F116" i="33"/>
  <c r="D110" i="33"/>
  <c r="G114" i="33"/>
  <c r="E114" i="33"/>
  <c r="E39" i="33"/>
  <c r="E41" i="33"/>
  <c r="E43" i="33"/>
  <c r="E45" i="33"/>
  <c r="D114" i="33"/>
  <c r="G110" i="33"/>
  <c r="I110" i="33"/>
  <c r="E50" i="33"/>
  <c r="E63" i="33"/>
  <c r="Y96" i="33"/>
  <c r="Y104" i="33"/>
  <c r="Z92" i="33"/>
  <c r="AD63" i="33"/>
  <c r="H50" i="33"/>
  <c r="H63" i="33"/>
  <c r="AD51" i="33"/>
  <c r="AD61" i="33"/>
  <c r="O96" i="33"/>
  <c r="P80" i="33"/>
  <c r="T66" i="33"/>
  <c r="T47" i="33"/>
  <c r="T49" i="33"/>
  <c r="T51" i="33"/>
  <c r="T61" i="33"/>
  <c r="P47" i="33"/>
  <c r="P49" i="33"/>
  <c r="AE51" i="33"/>
  <c r="AE61" i="33"/>
  <c r="G47" i="33"/>
  <c r="G49" i="33"/>
  <c r="G51" i="33"/>
  <c r="G61" i="33"/>
  <c r="E47" i="33"/>
  <c r="E49" i="33"/>
  <c r="E51" i="33"/>
  <c r="E61" i="33"/>
  <c r="E67" i="33"/>
  <c r="AC78" i="33"/>
  <c r="AC81" i="33"/>
  <c r="AE63" i="33"/>
  <c r="AE67" i="33"/>
  <c r="N102" i="33"/>
  <c r="N104" i="33"/>
  <c r="N125" i="33"/>
  <c r="H47" i="33"/>
  <c r="H49" i="33"/>
  <c r="H51" i="33"/>
  <c r="H61" i="33"/>
  <c r="H67" i="33"/>
  <c r="G76" i="33"/>
  <c r="G78" i="33"/>
  <c r="AB63" i="33"/>
  <c r="E78" i="33"/>
  <c r="S47" i="33"/>
  <c r="S49" i="33"/>
  <c r="S51" i="33"/>
  <c r="S61" i="33"/>
  <c r="S66" i="33"/>
  <c r="G67" i="33"/>
  <c r="R47" i="33"/>
  <c r="R49" i="33"/>
  <c r="R51" i="33"/>
  <c r="R61" i="33"/>
  <c r="R66" i="33"/>
  <c r="AA78" i="33"/>
  <c r="Q66" i="33"/>
  <c r="Q67" i="33"/>
  <c r="Q81" i="33"/>
  <c r="AE78" i="33"/>
  <c r="F78" i="33"/>
  <c r="AB51" i="33"/>
  <c r="AB61" i="33"/>
  <c r="AB67" i="33"/>
  <c r="AB121" i="33"/>
  <c r="AB78" i="33"/>
  <c r="AA61" i="33"/>
  <c r="AA67" i="33"/>
  <c r="H78" i="33"/>
  <c r="I76" i="33"/>
  <c r="I78" i="33"/>
  <c r="AD78" i="33"/>
  <c r="F47" i="33"/>
  <c r="F49" i="33"/>
  <c r="F51" i="33"/>
  <c r="F61" i="33"/>
  <c r="F67" i="33"/>
  <c r="H116" i="33"/>
  <c r="Y125" i="33"/>
  <c r="E116" i="33"/>
  <c r="I116" i="33"/>
  <c r="D116" i="33"/>
  <c r="G116" i="33"/>
  <c r="AD67" i="33"/>
  <c r="T67" i="33"/>
  <c r="T81" i="33"/>
  <c r="P51" i="33"/>
  <c r="P61" i="33"/>
  <c r="P67" i="33"/>
  <c r="P81" i="33"/>
  <c r="P82" i="33"/>
  <c r="P120" i="33"/>
  <c r="D14" i="33"/>
  <c r="I43" i="33"/>
  <c r="I45" i="33"/>
  <c r="I47" i="33"/>
  <c r="I49" i="33"/>
  <c r="I51" i="33"/>
  <c r="I61" i="33"/>
  <c r="I67" i="33"/>
  <c r="Z96" i="33"/>
  <c r="Z104" i="33"/>
  <c r="AA80" i="33"/>
  <c r="D92" i="33"/>
  <c r="D96" i="33"/>
  <c r="D104" i="33"/>
  <c r="O102" i="33"/>
  <c r="O104" i="33"/>
  <c r="O125" i="33"/>
  <c r="E98" i="33"/>
  <c r="E102" i="33"/>
  <c r="AE81" i="33"/>
  <c r="E81" i="33"/>
  <c r="D121" i="33"/>
  <c r="D122" i="33"/>
  <c r="Z122" i="33"/>
  <c r="Z124" i="33"/>
  <c r="G81" i="33"/>
  <c r="F81" i="33"/>
  <c r="R67" i="33"/>
  <c r="R81" i="33"/>
  <c r="S67" i="33"/>
  <c r="S81" i="33"/>
  <c r="AA81" i="33"/>
  <c r="AA82" i="33"/>
  <c r="AB81" i="33"/>
  <c r="E120" i="33"/>
  <c r="H81" i="33"/>
  <c r="I81" i="33"/>
  <c r="AD81" i="33"/>
  <c r="D124" i="33"/>
  <c r="D125" i="33"/>
  <c r="P92" i="33"/>
  <c r="P96" i="33"/>
  <c r="Q80" i="33"/>
  <c r="Q82" i="33"/>
  <c r="R80" i="33"/>
  <c r="Z125" i="33"/>
  <c r="E121" i="33"/>
  <c r="Q120" i="33"/>
  <c r="P122" i="33"/>
  <c r="P124" i="33"/>
  <c r="E80" i="33"/>
  <c r="E82" i="33"/>
  <c r="E92" i="33"/>
  <c r="E96" i="33"/>
  <c r="E104" i="33"/>
  <c r="AC121" i="33"/>
  <c r="F121" i="33"/>
  <c r="P102" i="33"/>
  <c r="Q98" i="33"/>
  <c r="F98" i="33"/>
  <c r="R82" i="33"/>
  <c r="S80" i="33"/>
  <c r="S82" i="33"/>
  <c r="AA122" i="33"/>
  <c r="AA124" i="33"/>
  <c r="AB120" i="33"/>
  <c r="AB122" i="33"/>
  <c r="AB124" i="33"/>
  <c r="P104" i="33"/>
  <c r="P125" i="33"/>
  <c r="D12" i="33"/>
  <c r="F102" i="33"/>
  <c r="Q92" i="33"/>
  <c r="Q96" i="33"/>
  <c r="E122" i="33"/>
  <c r="E124" i="33"/>
  <c r="E125" i="33"/>
  <c r="R120" i="33"/>
  <c r="Q122" i="33"/>
  <c r="Q124" i="33"/>
  <c r="AD121" i="33"/>
  <c r="G121" i="33"/>
  <c r="D13" i="33"/>
  <c r="Q102" i="33"/>
  <c r="R98" i="33"/>
  <c r="G98" i="33"/>
  <c r="G102" i="33"/>
  <c r="AB80" i="33"/>
  <c r="AA92" i="33"/>
  <c r="AA96" i="33"/>
  <c r="AA104" i="33"/>
  <c r="AC120" i="33"/>
  <c r="F120" i="33"/>
  <c r="F122" i="33"/>
  <c r="F124" i="33"/>
  <c r="R92" i="33"/>
  <c r="R96" i="33"/>
  <c r="AA125" i="33"/>
  <c r="Q104" i="33"/>
  <c r="Q125" i="33"/>
  <c r="S120" i="33"/>
  <c r="R122" i="33"/>
  <c r="R124" i="33"/>
  <c r="AD120" i="33"/>
  <c r="AC122" i="33"/>
  <c r="AC124" i="33"/>
  <c r="G120" i="33"/>
  <c r="G122" i="33"/>
  <c r="G124" i="33"/>
  <c r="F80" i="33"/>
  <c r="F82" i="33"/>
  <c r="F92" i="33"/>
  <c r="F96" i="33"/>
  <c r="F104" i="33"/>
  <c r="F125" i="33"/>
  <c r="AB82" i="33"/>
  <c r="R102" i="33"/>
  <c r="S98" i="33"/>
  <c r="H98" i="33"/>
  <c r="H102" i="33"/>
  <c r="AE121" i="33"/>
  <c r="I121" i="33"/>
  <c r="H121" i="33"/>
  <c r="S92" i="33"/>
  <c r="S96" i="33"/>
  <c r="T80" i="33"/>
  <c r="T82" i="33"/>
  <c r="T92" i="33"/>
  <c r="T96" i="33"/>
  <c r="R104" i="33"/>
  <c r="R125" i="33"/>
  <c r="S122" i="33"/>
  <c r="S124" i="33"/>
  <c r="T120" i="33"/>
  <c r="T122" i="33"/>
  <c r="T124" i="33"/>
  <c r="S102" i="33"/>
  <c r="S104" i="33"/>
  <c r="T98" i="33"/>
  <c r="AC80" i="33"/>
  <c r="AB92" i="33"/>
  <c r="AB96" i="33"/>
  <c r="AB104" i="33"/>
  <c r="AB125" i="33"/>
  <c r="AE120" i="33"/>
  <c r="AD122" i="33"/>
  <c r="AD124" i="33"/>
  <c r="H120" i="33"/>
  <c r="S125" i="33"/>
  <c r="T102" i="33"/>
  <c r="T104" i="33"/>
  <c r="T125" i="33"/>
  <c r="I98" i="33"/>
  <c r="I102" i="33"/>
  <c r="D11" i="33"/>
  <c r="H122" i="33"/>
  <c r="H124" i="33"/>
  <c r="AE122" i="33"/>
  <c r="AE124" i="33"/>
  <c r="I120" i="33"/>
  <c r="I122" i="33"/>
  <c r="I124" i="33"/>
  <c r="AC82" i="33"/>
  <c r="G80" i="33"/>
  <c r="G82" i="33"/>
  <c r="G92" i="33"/>
  <c r="G96" i="33"/>
  <c r="G104" i="33"/>
  <c r="G125" i="33"/>
  <c r="S25" i="33"/>
  <c r="AC92" i="33"/>
  <c r="AC96" i="33"/>
  <c r="AC104" i="33"/>
  <c r="AC125" i="33"/>
  <c r="AD80" i="33"/>
  <c r="AD82" i="33"/>
  <c r="H80" i="33"/>
  <c r="H82" i="33"/>
  <c r="H92" i="33"/>
  <c r="H96" i="33"/>
  <c r="H104" i="33"/>
  <c r="H125" i="33"/>
  <c r="AE80" i="33"/>
  <c r="AD92" i="33"/>
  <c r="AD96" i="33"/>
  <c r="AD104" i="33"/>
  <c r="AD125" i="33"/>
  <c r="AE82" i="33"/>
  <c r="AE92" i="33"/>
  <c r="AE96" i="33"/>
  <c r="AE104" i="33"/>
  <c r="AE125" i="33"/>
  <c r="AD25" i="33"/>
  <c r="I80" i="33"/>
  <c r="I82" i="33"/>
  <c r="I92" i="33"/>
  <c r="I96" i="33"/>
  <c r="I104" i="33"/>
  <c r="I125" i="33"/>
  <c r="I25" i="33"/>
  <c r="H78" i="30"/>
  <c r="H82" i="30"/>
  <c r="H84" i="30"/>
  <c r="H89" i="30"/>
  <c r="H91" i="30"/>
  <c r="G78" i="30"/>
  <c r="G82" i="30"/>
  <c r="G84" i="30"/>
  <c r="G89" i="30"/>
  <c r="G91" i="30"/>
  <c r="F78" i="30"/>
  <c r="F82" i="30"/>
  <c r="F84" i="30"/>
  <c r="F89" i="30"/>
  <c r="F91" i="30"/>
  <c r="E78" i="30"/>
  <c r="E82" i="30"/>
  <c r="E84" i="30"/>
  <c r="E89" i="30"/>
  <c r="E91" i="30"/>
  <c r="D78" i="30"/>
  <c r="D82" i="30"/>
  <c r="D84" i="30"/>
  <c r="D89" i="30"/>
  <c r="D91" i="30"/>
  <c r="C78" i="30"/>
  <c r="C82" i="30"/>
  <c r="C84" i="30"/>
  <c r="C89" i="30"/>
  <c r="C91" i="30"/>
  <c r="C17" i="30"/>
  <c r="C19" i="30"/>
  <c r="C21" i="30"/>
  <c r="C23" i="30"/>
  <c r="C25" i="30"/>
  <c r="C35" i="30"/>
  <c r="C36" i="30"/>
  <c r="C38" i="30"/>
  <c r="C42" i="30"/>
  <c r="C48" i="30"/>
  <c r="C51" i="30"/>
  <c r="C52" i="30"/>
  <c r="D50" i="30"/>
  <c r="D19" i="30"/>
  <c r="D21" i="30"/>
  <c r="D23" i="30"/>
  <c r="D25" i="30"/>
  <c r="D35" i="30"/>
  <c r="D36" i="30"/>
  <c r="D38" i="30"/>
  <c r="D42" i="30"/>
  <c r="D48" i="30"/>
  <c r="D51" i="30"/>
  <c r="D52" i="30"/>
  <c r="E50" i="30"/>
  <c r="E19" i="30"/>
  <c r="E21" i="30"/>
  <c r="E23" i="30"/>
  <c r="E25" i="30"/>
  <c r="E35" i="30"/>
  <c r="E36" i="30"/>
  <c r="E38" i="30"/>
  <c r="E42" i="30"/>
  <c r="E48" i="30"/>
  <c r="E51" i="30"/>
  <c r="E52" i="30"/>
  <c r="F50" i="30"/>
  <c r="F19" i="30"/>
  <c r="F21" i="30"/>
  <c r="F23" i="30"/>
  <c r="F25" i="30"/>
  <c r="F35" i="30"/>
  <c r="F36" i="30"/>
  <c r="F38" i="30"/>
  <c r="F42" i="30"/>
  <c r="F48" i="30"/>
  <c r="F51" i="30"/>
  <c r="F52" i="30"/>
  <c r="G50" i="30"/>
  <c r="G19" i="30"/>
  <c r="G21" i="30"/>
  <c r="G23" i="30"/>
  <c r="G25" i="30"/>
  <c r="G35" i="30"/>
  <c r="G36" i="30"/>
  <c r="G38" i="30"/>
  <c r="G42" i="30"/>
  <c r="G48" i="30"/>
  <c r="G51" i="30"/>
  <c r="G52" i="30"/>
  <c r="H50" i="30"/>
  <c r="H17" i="30"/>
  <c r="H19" i="30"/>
  <c r="H21" i="30"/>
  <c r="H23" i="30"/>
  <c r="H25" i="30"/>
  <c r="H35" i="30"/>
  <c r="H36" i="30"/>
  <c r="H38" i="30"/>
  <c r="H42" i="30"/>
  <c r="H48" i="30"/>
  <c r="H51" i="30"/>
  <c r="H52" i="30"/>
  <c r="H62" i="30"/>
  <c r="H66" i="30"/>
  <c r="H70" i="30"/>
  <c r="H72" i="30"/>
  <c r="G62" i="30"/>
  <c r="G66" i="30"/>
  <c r="G70" i="30"/>
  <c r="G72" i="30"/>
  <c r="F62" i="30"/>
  <c r="F66" i="30"/>
  <c r="F70" i="30"/>
  <c r="F72" i="30"/>
  <c r="E62" i="30"/>
  <c r="E66" i="30"/>
  <c r="E70" i="30"/>
  <c r="E72" i="30"/>
  <c r="D62" i="30"/>
  <c r="D66" i="30"/>
  <c r="D70" i="30"/>
  <c r="D72" i="30"/>
  <c r="C62" i="30"/>
  <c r="C66" i="30"/>
  <c r="C70" i="30"/>
  <c r="C72" i="30"/>
  <c r="C32" i="30"/>
  <c r="C59" i="30"/>
  <c r="C102" i="30"/>
  <c r="C92" i="30"/>
  <c r="D92" i="30"/>
  <c r="E92" i="30"/>
  <c r="F92" i="30"/>
  <c r="H92" i="30"/>
  <c r="G92" i="30"/>
  <c r="C121" i="30"/>
  <c r="C148" i="30"/>
  <c r="G68" i="34"/>
  <c r="H62" i="34"/>
  <c r="H70" i="34"/>
  <c r="H90" i="34"/>
  <c r="H91" i="34"/>
  <c r="G62" i="34"/>
  <c r="G82" i="34"/>
  <c r="G90" i="34"/>
  <c r="F76" i="34"/>
  <c r="F82" i="34"/>
  <c r="F90" i="34"/>
  <c r="F62" i="34"/>
  <c r="F70" i="34"/>
  <c r="E32" i="30"/>
  <c r="E59" i="30"/>
  <c r="E102" i="30"/>
  <c r="E121" i="30"/>
  <c r="E148" i="30"/>
  <c r="F32" i="30"/>
  <c r="G13" i="30"/>
  <c r="G70" i="34"/>
  <c r="G91" i="34"/>
  <c r="F91" i="34"/>
  <c r="F59" i="30"/>
  <c r="F102" i="30"/>
  <c r="F121" i="30"/>
  <c r="F148" i="30"/>
  <c r="H13" i="30"/>
  <c r="H32" i="30"/>
  <c r="H59" i="30"/>
  <c r="H102" i="30"/>
  <c r="H121" i="30"/>
  <c r="H148" i="30"/>
  <c r="G32" i="30"/>
  <c r="G59" i="30"/>
  <c r="G102" i="30"/>
  <c r="G121" i="30"/>
  <c r="G148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<sst xmlns="http://schemas.openxmlformats.org/spreadsheetml/2006/main" count="688" uniqueCount="122">
  <si>
    <t>%</t>
  </si>
  <si>
    <t>Acquisition Assumptions</t>
  </si>
  <si>
    <t>Value of 100% of Bravo's Equity</t>
  </si>
  <si>
    <t>USD$ millions</t>
  </si>
  <si>
    <t>Percentage of Bravo's Equity Acquired by Alpha</t>
  </si>
  <si>
    <t>Alpha Financial Statements (Prior to the Acquisition)</t>
  </si>
  <si>
    <t>Income statement</t>
  </si>
  <si>
    <t>(in USD$ millions, fiscal years ended December 31st)</t>
  </si>
  <si>
    <t>Revenue</t>
  </si>
  <si>
    <t>Less: COGS</t>
  </si>
  <si>
    <t>Gross Profit</t>
  </si>
  <si>
    <t>Less: SG&amp;A</t>
  </si>
  <si>
    <t>EBITDA</t>
  </si>
  <si>
    <t>Less: Depreciation</t>
  </si>
  <si>
    <t>EBIT</t>
  </si>
  <si>
    <t>Add/(Less): Net Interest Income/(Expense)</t>
  </si>
  <si>
    <t>EBT</t>
  </si>
  <si>
    <t>Less: Taxes</t>
  </si>
  <si>
    <t>Net Income</t>
  </si>
  <si>
    <t>Cash Flow Statement</t>
  </si>
  <si>
    <t>Cash Flow from Operations</t>
  </si>
  <si>
    <t>Add: Depreciation</t>
  </si>
  <si>
    <t>Add/(Less): Change in W/C</t>
  </si>
  <si>
    <t>Cash Flow from Investing Activities</t>
  </si>
  <si>
    <t>Less: Capex</t>
  </si>
  <si>
    <t>Cash Flow from Financing Activities</t>
  </si>
  <si>
    <t>Add/(Less): Issuance/(Repayment) of Debt</t>
  </si>
  <si>
    <t>Add/(Less): Issuance/(Repayment) of Common Shares</t>
  </si>
  <si>
    <t>Less: Dividends</t>
  </si>
  <si>
    <t>Beginning Cash &amp; Equivalents</t>
  </si>
  <si>
    <t>Change in Cash &amp; Equivalents</t>
  </si>
  <si>
    <t>Ending Cash &amp; Equivalents</t>
  </si>
  <si>
    <t>Balance Sheet</t>
  </si>
  <si>
    <t>Assets</t>
  </si>
  <si>
    <t>Cash and Equivalents</t>
  </si>
  <si>
    <t>A/R</t>
  </si>
  <si>
    <t>Inventories</t>
  </si>
  <si>
    <t>Other</t>
  </si>
  <si>
    <t>Total Current Assets</t>
  </si>
  <si>
    <t>Fixed Assets</t>
  </si>
  <si>
    <t>Total Long-Term Assets</t>
  </si>
  <si>
    <t>Total Assets</t>
  </si>
  <si>
    <t>Liabilities</t>
  </si>
  <si>
    <t>A/P</t>
  </si>
  <si>
    <t>Long-Term Debt Due within One Year</t>
  </si>
  <si>
    <t>Total Current Liabilities</t>
  </si>
  <si>
    <t>Long-Term Debt</t>
  </si>
  <si>
    <t>Total Long-term Liabilities</t>
  </si>
  <si>
    <t>Total Liabilities</t>
  </si>
  <si>
    <t>Shareholders' Equity</t>
  </si>
  <si>
    <t>Common Shares</t>
  </si>
  <si>
    <t>Retained Earnings</t>
  </si>
  <si>
    <t>Total Shareholders' Equity</t>
  </si>
  <si>
    <t>Total Liabilities &amp; Shareholders' Equity</t>
  </si>
  <si>
    <t>Check</t>
  </si>
  <si>
    <t>Bravo Financial Statements (Prior to the Acquisition)</t>
  </si>
  <si>
    <t>Pro Forma Financial Statements</t>
  </si>
  <si>
    <t>Click Here</t>
  </si>
  <si>
    <t>Summary Table of Answers</t>
  </si>
  <si>
    <t>% of Bravo's Equity Acquired by Alpha</t>
  </si>
  <si>
    <t>2025 Retained Earnings</t>
  </si>
  <si>
    <t>2023 Investment in Bravo</t>
  </si>
  <si>
    <t>2024 Non-Controlling Interests</t>
  </si>
  <si>
    <t>2026 EBITDA</t>
  </si>
  <si>
    <t>EQUITY METHODOLOGY</t>
  </si>
  <si>
    <t>CONSOLIDATION METHODOLOGY</t>
  </si>
  <si>
    <t>If Alpha acquires &gt;=20% but &lt;=50% of Bravo's equity, the Equity Method is applied.</t>
  </si>
  <si>
    <t>Equity Method</t>
  </si>
  <si>
    <t>If Alpha acquires &gt;50% of Bravo's equity, the Consolidation Method is applied.</t>
  </si>
  <si>
    <t>Consolidation Method</t>
  </si>
  <si>
    <t>BS Check:</t>
  </si>
  <si>
    <t>Running:</t>
  </si>
  <si>
    <t>Earnings before Share of Earnings from Bravo and Tax</t>
  </si>
  <si>
    <t>Add: Share of Earnings from Bravo</t>
  </si>
  <si>
    <t>Net Earnings before Noncontrolling Interest</t>
  </si>
  <si>
    <t>Less: Non-Controlling Interest</t>
  </si>
  <si>
    <t>Add: Non-Controlling Interest</t>
  </si>
  <si>
    <t>Add: Share of Dividends from Bravo</t>
  </si>
  <si>
    <t>Less: Share of Earnings from Bravo</t>
  </si>
  <si>
    <t>Less: Dividends Paid to Non-Controlling Interests</t>
  </si>
  <si>
    <t>Prior to Close</t>
  </si>
  <si>
    <t>Adjustments</t>
  </si>
  <si>
    <t>Investment In Bravo</t>
  </si>
  <si>
    <t>Goodwill</t>
  </si>
  <si>
    <t>Non-Controlling Interest</t>
  </si>
  <si>
    <t>Alpha Income Statement (Prior to the Acquisition)</t>
  </si>
  <si>
    <t>Alpha Cash Flow Statement (Prior to the Acquisition)</t>
  </si>
  <si>
    <t>Alpha Balance Sheet (Prior to the Acquisition)</t>
  </si>
  <si>
    <t>Bravo Income Statement (Prior to the Acquisition)</t>
  </si>
  <si>
    <t>Bravo Cash Flow Statement (Prior to the Acquisition)</t>
  </si>
  <si>
    <t>Bravo Balance Sheet (Prior to the Acquisition)</t>
  </si>
  <si>
    <t>Company name</t>
  </si>
  <si>
    <t>Alpha</t>
  </si>
  <si>
    <t>Topic</t>
  </si>
  <si>
    <t>Acquisitions</t>
  </si>
  <si>
    <t>ACQUISITION SCHEDULE</t>
  </si>
  <si>
    <t>Constant</t>
  </si>
  <si>
    <t>Unit</t>
  </si>
  <si>
    <t>Total</t>
  </si>
  <si>
    <t>Alpha financial statement prior to acquisition</t>
  </si>
  <si>
    <t>Acquisition assumptions</t>
  </si>
  <si>
    <t>USD m</t>
  </si>
  <si>
    <t>Equity</t>
  </si>
  <si>
    <t>Consolidation</t>
  </si>
  <si>
    <t>method selection</t>
  </si>
  <si>
    <t>Net Earnings before Non controlling Interest</t>
  </si>
  <si>
    <t>Income Statement</t>
  </si>
  <si>
    <t>Bravo financial statement prior acquisition</t>
  </si>
  <si>
    <t>Adjustment</t>
  </si>
  <si>
    <t>Prior to close</t>
  </si>
  <si>
    <t>Balance sheet</t>
  </si>
  <si>
    <t>Total current assets</t>
  </si>
  <si>
    <t>Other current assets</t>
  </si>
  <si>
    <t>Other LT assets</t>
  </si>
  <si>
    <t>Other current liabilities</t>
  </si>
  <si>
    <t>Other LT liabilities</t>
  </si>
  <si>
    <t>Model timeline</t>
  </si>
  <si>
    <t>Model operating flag</t>
  </si>
  <si>
    <t>flag</t>
  </si>
  <si>
    <t>Model period counter</t>
  </si>
  <si>
    <t>counter</t>
  </si>
  <si>
    <t>Model first period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</si>
</sst>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0.0%"/>
    <numFmt numFmtId="178" formatCode="_(* #,##0.0_);_(* \(#,##0.0\);_(* &quot;-&quot;??_);_(@_)"/>
    <numFmt numFmtId="179" formatCode="0000&quot;E&quot;"/>
    <numFmt numFmtId="180" formatCode="0000&quot;F&quot;"/>
    <numFmt numFmtId="181" formatCode="#,##0.0;\-#,##0.0;\-"/>
    <numFmt numFmtId="182" formatCode=";;;"/>
    <numFmt numFmtId="183" formatCode="\&gt;\=0.0%"/>
    <numFmt numFmtId="184" formatCode="\&lt;\=0.0%"/>
    <numFmt numFmtId="185" formatCode="\&gt;0.0%"/>
    <numFmt numFmtId="186" formatCode="[$-409]mmmm\ d\,\ yyyy;@"/>
    <numFmt numFmtId="187" formatCode="yyyy&quot;E&quot;"/>
    <numFmt numFmtId="188" formatCode="yyyy&quot;F&quot;"/>
    <numFmt numFmtId="189" formatCode="#,##0.0000000000000_ ;\-#,##0.0000000000000\ "/>
    <numFmt numFmtId="190" formatCode="_-* #,##0.0_-;\-* #,##0.0_-;_-* &quot;-&quot;?_-;_-@_-"/>
    <numFmt numFmtId="191" formatCode="#,##0_);\(#,##0\);&quot;-  &quot;;&quot; &quot;@"/>
    <numFmt numFmtId="192" formatCode="0.00%\ ;\-0.00%\ _);&quot;-  &quot;;&quot; &quot;@&quot; &quot;"/>
    <numFmt numFmtId="193" formatCode="#,##0.0000_);\(#,##0.0000\);&quot;-  &quot;;&quot; &quot;@&quot; &quot;"/>
    <numFmt numFmtId="194" formatCode="dd\ mmm\ yyyy_);\(###0\);&quot;-  &quot;;&quot; &quot;@&quot; &quot;"/>
    <numFmt numFmtId="195" formatCode="dd\ mmm\ yy_);\(###0\);&quot;-  &quot;;&quot; &quot;@&quot; &quot;"/>
    <numFmt numFmtId="196" formatCode="###0_);\(###0\);&quot;-  &quot;;&quot; &quot;@&quot; &quot;"/>
    <numFmt numFmtId="197" formatCode="#,##0.0_);\(#,##0.0\);&quot;-  &quot;;&quot; &quot;@"/>
    <numFmt numFmtId="198" formatCode="#,##0.0_);\(#,##0.0\);&quot;-  &quot;;&quot; &quot;@&quot; &quot;"/>
    <numFmt numFmtId="199" formatCode="###0.0_);\(###0.0\);&quot;-  &quot;;&quot; &quot;@&quot; &quot;"/>
  </numFmts>
  <fonts count="59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3F3F76"/>
      <name val="Calibri"/>
      <family val="2"/>
      <scheme val="minor"/>
    </font>
    <font>
      <b/>
      <u val="singleAccounting"/>
      <sz val="13"/>
      <name val="Calibri"/>
      <family val="2"/>
      <scheme val="minor"/>
    </font>
    <font>
      <b/>
      <u val="singleAccounting"/>
      <sz val="13"/>
      <color theme="3"/>
      <name val="Calibri"/>
      <family val="2"/>
      <scheme val="minor"/>
    </font>
    <font>
      <b/>
      <u/>
      <sz val="12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u/>
      <sz val="10"/>
      <color theme="10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rgb="FF0000FF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sz val="10"/>
      <color theme="3"/>
      <name val="Arial"/>
      <family val="2"/>
    </font>
    <font>
      <b/>
      <u val="singleAccounting"/>
      <sz val="10"/>
      <name val="Arial"/>
      <family val="2"/>
    </font>
    <font>
      <b/>
      <u val="singleAccounting"/>
      <sz val="10"/>
      <color theme="3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0"/>
      <color rgb="FF0000FF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b/>
      <sz val="12"/>
      <color theme="0"/>
      <name val="Calibri"/>
      <family val="2"/>
      <scheme val="minor"/>
    </font>
    <font>
      <u/>
      <sz val="11"/>
      <color rgb="FF000000"/>
      <name val="Arial"/>
      <family val="2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</borders>
  <cellStyleXfs count="57">
    <xf numFmtId="191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0" fontId="25" fillId="0" borderId="21" applyNumberFormat="0" applyFill="0" applyAlignment="0" applyProtection="0"/>
    <xf numFmtId="165" fontId="22" fillId="0" borderId="0" applyFont="0" applyFill="0" applyBorder="0" applyAlignment="0" applyProtection="0"/>
    <xf numFmtId="0" fontId="29" fillId="2" borderId="7" applyNumberFormat="0" applyAlignment="0" applyProtection="0"/>
    <xf numFmtId="0" fontId="37" fillId="0" borderId="0" applyNumberFormat="0" applyFill="0" applyBorder="0" applyAlignment="0" applyProtection="0"/>
    <xf numFmtId="4" fontId="7" fillId="4" borderId="22">
      <alignment horizontal="left"/>
    </xf>
    <xf numFmtId="192" fontId="51" fillId="0" borderId="0" applyFont="0" applyFill="0" applyBorder="0" applyProtection="0">
      <alignment vertical="top"/>
    </xf>
    <xf numFmtId="193" fontId="51" fillId="0" borderId="0" applyFont="0" applyFill="0" applyBorder="0" applyProtection="0">
      <alignment vertical="top"/>
    </xf>
    <xf numFmtId="194" fontId="51" fillId="0" borderId="0" applyFont="0" applyFill="0" applyBorder="0" applyProtection="0">
      <alignment vertical="top"/>
    </xf>
    <xf numFmtId="195" fontId="51" fillId="0" borderId="0" applyFont="0" applyFill="0" applyBorder="0" applyProtection="0">
      <alignment vertical="top"/>
    </xf>
    <xf numFmtId="196" fontId="51" fillId="0" borderId="0" applyFont="0" applyFill="0" applyBorder="0" applyProtection="0">
      <alignment vertical="top"/>
    </xf>
  </cellStyleXfs>
  <cellXfs count="165">
    <xf numFmtId="191" fontId="0" fillId="0" borderId="0" xfId="0">
      <alignment vertical="top"/>
    </xf>
    <xf numFmtId="0" fontId="25" fillId="0" borderId="21" xfId="47"/>
    <xf numFmtId="0" fontId="22" fillId="0" borderId="0" xfId="39"/>
    <xf numFmtId="0" fontId="26" fillId="0" borderId="0" xfId="39" applyFont="1" applyAlignment="1">
      <alignment horizontal="center"/>
    </xf>
    <xf numFmtId="0" fontId="27" fillId="0" borderId="0" xfId="39" applyFont="1" applyAlignment="1">
      <alignment horizontal="center"/>
    </xf>
    <xf numFmtId="178" fontId="28" fillId="0" borderId="0" xfId="39" applyNumberFormat="1" applyFont="1"/>
    <xf numFmtId="165" fontId="0" fillId="0" borderId="0" xfId="48" applyFont="1"/>
    <xf numFmtId="177" fontId="28" fillId="2" borderId="7" xfId="49" applyNumberFormat="1" applyFont="1"/>
    <xf numFmtId="178" fontId="22" fillId="0" borderId="0" xfId="39" applyNumberFormat="1"/>
    <xf numFmtId="0" fontId="25" fillId="0" borderId="0" xfId="47" applyBorder="1" applyAlignment="1">
      <alignment horizontal="left" indent="1"/>
    </xf>
    <xf numFmtId="0" fontId="30" fillId="0" borderId="0" xfId="47" applyFont="1" applyBorder="1" applyAlignment="1">
      <alignment horizontal="centerContinuous"/>
    </xf>
    <xf numFmtId="0" fontId="31" fillId="0" borderId="0" xfId="47" applyFont="1" applyBorder="1" applyAlignment="1">
      <alignment horizontal="centerContinuous"/>
    </xf>
    <xf numFmtId="0" fontId="22" fillId="0" borderId="0" xfId="39" applyAlignment="1">
      <alignment horizontal="left" indent="1"/>
    </xf>
    <xf numFmtId="0" fontId="27" fillId="0" borderId="0" xfId="39" applyFont="1"/>
    <xf numFmtId="179" fontId="32" fillId="0" borderId="0" xfId="39" applyNumberFormat="1" applyFont="1" applyAlignment="1">
      <alignment horizontal="center"/>
    </xf>
    <xf numFmtId="180" fontId="33" fillId="0" borderId="0" xfId="39" applyNumberFormat="1" applyFont="1" applyAlignment="1">
      <alignment horizontal="center"/>
    </xf>
    <xf numFmtId="178" fontId="28" fillId="0" borderId="1" xfId="39" applyNumberFormat="1" applyFont="1" applyBorder="1"/>
    <xf numFmtId="178" fontId="34" fillId="0" borderId="0" xfId="39" applyNumberFormat="1" applyFont="1"/>
    <xf numFmtId="0" fontId="26" fillId="0" borderId="0" xfId="39" applyFont="1"/>
    <xf numFmtId="178" fontId="35" fillId="0" borderId="0" xfId="39" applyNumberFormat="1" applyFont="1"/>
    <xf numFmtId="0" fontId="22" fillId="0" borderId="1" xfId="39" applyBorder="1"/>
    <xf numFmtId="181" fontId="22" fillId="0" borderId="1" xfId="39" applyNumberFormat="1" applyBorder="1"/>
    <xf numFmtId="181" fontId="22" fillId="0" borderId="0" xfId="39" applyNumberFormat="1"/>
    <xf numFmtId="179" fontId="36" fillId="0" borderId="0" xfId="39" applyNumberFormat="1" applyFont="1" applyAlignment="1">
      <alignment horizontal="center"/>
    </xf>
    <xf numFmtId="178" fontId="34" fillId="0" borderId="1" xfId="39" applyNumberFormat="1" applyFont="1" applyBorder="1"/>
    <xf numFmtId="177" fontId="28" fillId="0" borderId="0" xfId="39" applyNumberFormat="1" applyFont="1"/>
    <xf numFmtId="178" fontId="26" fillId="0" borderId="0" xfId="39" applyNumberFormat="1" applyFont="1"/>
    <xf numFmtId="0" fontId="26" fillId="0" borderId="0" xfId="39" applyFont="1" applyAlignment="1">
      <alignment horizontal="left" indent="1"/>
    </xf>
    <xf numFmtId="191" fontId="38" fillId="10" borderId="12" xfId="0" applyFont="1" applyFill="1" applyBorder="1">
      <alignment vertical="top"/>
    </xf>
    <xf numFmtId="191" fontId="10" fillId="10" borderId="2" xfId="0" applyFont="1" applyFill="1" applyBorder="1">
      <alignment vertical="top"/>
    </xf>
    <xf numFmtId="191" fontId="10" fillId="10" borderId="13" xfId="0" applyFont="1" applyFill="1" applyBorder="1">
      <alignment vertical="top"/>
    </xf>
    <xf numFmtId="0" fontId="1" fillId="0" borderId="0" xfId="39" applyFont="1"/>
    <xf numFmtId="0" fontId="39" fillId="0" borderId="0" xfId="50" applyFont="1" applyFill="1" applyAlignment="1">
      <alignment horizontal="center"/>
    </xf>
    <xf numFmtId="0" fontId="1" fillId="0" borderId="16" xfId="39" applyFont="1" applyBorder="1"/>
    <xf numFmtId="0" fontId="40" fillId="0" borderId="0" xfId="39" applyFont="1" applyAlignment="1">
      <alignment horizontal="centerContinuous"/>
    </xf>
    <xf numFmtId="191" fontId="9" fillId="0" borderId="0" xfId="0" applyFont="1">
      <alignment vertical="top"/>
    </xf>
    <xf numFmtId="177" fontId="12" fillId="0" borderId="0" xfId="49" applyNumberFormat="1" applyFont="1" applyFill="1" applyBorder="1" applyAlignment="1">
      <alignment horizontal="center"/>
    </xf>
    <xf numFmtId="191" fontId="2" fillId="0" borderId="0" xfId="0" applyFont="1">
      <alignment vertical="top"/>
    </xf>
    <xf numFmtId="182" fontId="1" fillId="0" borderId="0" xfId="39" applyNumberFormat="1" applyFont="1"/>
    <xf numFmtId="178" fontId="1" fillId="0" borderId="15" xfId="39" applyNumberFormat="1" applyFont="1" applyBorder="1"/>
    <xf numFmtId="178" fontId="1" fillId="0" borderId="16" xfId="39" applyNumberFormat="1" applyFont="1" applyBorder="1"/>
    <xf numFmtId="178" fontId="1" fillId="0" borderId="17" xfId="39" applyNumberFormat="1" applyFont="1" applyBorder="1"/>
    <xf numFmtId="178" fontId="1" fillId="0" borderId="19" xfId="39" applyNumberFormat="1" applyFont="1" applyBorder="1"/>
    <xf numFmtId="178" fontId="1" fillId="0" borderId="0" xfId="39" applyNumberFormat="1" applyFont="1"/>
    <xf numFmtId="178" fontId="1" fillId="0" borderId="14" xfId="39" applyNumberFormat="1" applyFont="1" applyBorder="1"/>
    <xf numFmtId="178" fontId="1" fillId="0" borderId="18" xfId="39" applyNumberFormat="1" applyFont="1" applyBorder="1"/>
    <xf numFmtId="178" fontId="1" fillId="0" borderId="1" xfId="39" applyNumberFormat="1" applyFont="1" applyBorder="1"/>
    <xf numFmtId="178" fontId="1" fillId="0" borderId="20" xfId="39" applyNumberFormat="1" applyFont="1" applyBorder="1"/>
    <xf numFmtId="183" fontId="41" fillId="0" borderId="0" xfId="39" applyNumberFormat="1" applyFont="1" applyAlignment="1">
      <alignment horizontal="center"/>
    </xf>
    <xf numFmtId="184" fontId="41" fillId="0" borderId="0" xfId="39" applyNumberFormat="1" applyFont="1" applyAlignment="1">
      <alignment horizontal="center"/>
    </xf>
    <xf numFmtId="0" fontId="12" fillId="0" borderId="0" xfId="39" applyFont="1" applyAlignment="1">
      <alignment horizontal="center"/>
    </xf>
    <xf numFmtId="185" fontId="41" fillId="0" borderId="0" xfId="39" applyNumberFormat="1" applyFont="1" applyAlignment="1">
      <alignment horizontal="center"/>
    </xf>
    <xf numFmtId="0" fontId="42" fillId="0" borderId="0" xfId="39" applyFont="1" applyAlignment="1">
      <alignment horizontal="center"/>
    </xf>
    <xf numFmtId="0" fontId="9" fillId="0" borderId="0" xfId="39" applyFont="1" applyAlignment="1">
      <alignment horizontal="center"/>
    </xf>
    <xf numFmtId="178" fontId="2" fillId="0" borderId="0" xfId="39" applyNumberFormat="1" applyFont="1"/>
    <xf numFmtId="0" fontId="9" fillId="0" borderId="12" xfId="39" applyFont="1" applyBorder="1" applyAlignment="1">
      <alignment horizontal="center"/>
    </xf>
    <xf numFmtId="0" fontId="1" fillId="0" borderId="2" xfId="39" applyFont="1" applyBorder="1"/>
    <xf numFmtId="178" fontId="1" fillId="0" borderId="13" xfId="39" applyNumberFormat="1" applyFont="1" applyBorder="1" applyAlignment="1">
      <alignment horizontal="right"/>
    </xf>
    <xf numFmtId="177" fontId="43" fillId="0" borderId="0" xfId="49" applyNumberFormat="1" applyFont="1" applyFill="1" applyBorder="1"/>
    <xf numFmtId="0" fontId="1" fillId="0" borderId="0" xfId="39" applyFont="1" applyAlignment="1">
      <alignment horizontal="right"/>
    </xf>
    <xf numFmtId="186" fontId="12" fillId="0" borderId="0" xfId="39" applyNumberFormat="1" applyFont="1"/>
    <xf numFmtId="0" fontId="1" fillId="0" borderId="13" xfId="39" applyFont="1" applyBorder="1" applyAlignment="1">
      <alignment horizontal="right"/>
    </xf>
    <xf numFmtId="186" fontId="2" fillId="0" borderId="0" xfId="39" applyNumberFormat="1" applyFont="1"/>
    <xf numFmtId="0" fontId="44" fillId="0" borderId="0" xfId="47" applyFont="1" applyFill="1" applyBorder="1" applyAlignment="1">
      <alignment horizontal="left" indent="1"/>
    </xf>
    <xf numFmtId="0" fontId="45" fillId="0" borderId="0" xfId="47" applyFont="1" applyFill="1" applyBorder="1" applyAlignment="1">
      <alignment horizontal="centerContinuous"/>
    </xf>
    <xf numFmtId="0" fontId="46" fillId="0" borderId="0" xfId="47" applyFont="1" applyFill="1" applyBorder="1" applyAlignment="1">
      <alignment horizontal="centerContinuous"/>
    </xf>
    <xf numFmtId="0" fontId="1" fillId="0" borderId="0" xfId="39" applyFont="1" applyAlignment="1">
      <alignment horizontal="left" indent="1"/>
    </xf>
    <xf numFmtId="0" fontId="42" fillId="0" borderId="0" xfId="39" applyFont="1"/>
    <xf numFmtId="187" fontId="47" fillId="0" borderId="0" xfId="39" applyNumberFormat="1" applyFont="1" applyAlignment="1">
      <alignment horizontal="center"/>
    </xf>
    <xf numFmtId="188" fontId="47" fillId="0" borderId="0" xfId="39" applyNumberFormat="1" applyFont="1" applyAlignment="1">
      <alignment horizontal="center"/>
    </xf>
    <xf numFmtId="178" fontId="2" fillId="0" borderId="1" xfId="39" applyNumberFormat="1" applyFont="1" applyBorder="1"/>
    <xf numFmtId="0" fontId="2" fillId="0" borderId="0" xfId="39" applyFont="1" applyAlignment="1">
      <alignment horizontal="left" indent="1"/>
    </xf>
    <xf numFmtId="0" fontId="2" fillId="0" borderId="0" xfId="39" applyFont="1"/>
    <xf numFmtId="178" fontId="12" fillId="0" borderId="1" xfId="39" applyNumberFormat="1" applyFont="1" applyBorder="1"/>
    <xf numFmtId="0" fontId="9" fillId="0" borderId="0" xfId="39" applyFont="1"/>
    <xf numFmtId="178" fontId="48" fillId="0" borderId="0" xfId="39" applyNumberFormat="1" applyFont="1"/>
    <xf numFmtId="0" fontId="1" fillId="0" borderId="1" xfId="39" applyFont="1" applyBorder="1"/>
    <xf numFmtId="181" fontId="1" fillId="0" borderId="1" xfId="39" applyNumberFormat="1" applyFont="1" applyBorder="1"/>
    <xf numFmtId="181" fontId="1" fillId="0" borderId="0" xfId="39" applyNumberFormat="1" applyFont="1"/>
    <xf numFmtId="178" fontId="12" fillId="0" borderId="0" xfId="39" applyNumberFormat="1" applyFont="1"/>
    <xf numFmtId="0" fontId="8" fillId="0" borderId="0" xfId="39" applyFont="1" applyAlignment="1">
      <alignment horizontal="left" indent="1"/>
    </xf>
    <xf numFmtId="0" fontId="8" fillId="0" borderId="0" xfId="39" applyFont="1"/>
    <xf numFmtId="178" fontId="8" fillId="0" borderId="0" xfId="39" applyNumberFormat="1" applyFont="1"/>
    <xf numFmtId="187" fontId="47" fillId="0" borderId="15" xfId="39" applyNumberFormat="1" applyFont="1" applyBorder="1" applyAlignment="1">
      <alignment horizontal="center"/>
    </xf>
    <xf numFmtId="187" fontId="47" fillId="0" borderId="16" xfId="39" applyNumberFormat="1" applyFont="1" applyBorder="1" applyAlignment="1">
      <alignment horizontal="center"/>
    </xf>
    <xf numFmtId="187" fontId="47" fillId="0" borderId="17" xfId="39" applyNumberFormat="1" applyFont="1" applyBorder="1" applyAlignment="1">
      <alignment horizontal="center"/>
    </xf>
    <xf numFmtId="177" fontId="12" fillId="0" borderId="0" xfId="39" applyNumberFormat="1" applyFont="1"/>
    <xf numFmtId="187" fontId="47" fillId="0" borderId="19" xfId="39" applyNumberFormat="1" applyFont="1" applyBorder="1" applyAlignment="1">
      <alignment horizontal="center"/>
    </xf>
    <xf numFmtId="177" fontId="12" fillId="0" borderId="14" xfId="39" applyNumberFormat="1" applyFont="1" applyBorder="1"/>
    <xf numFmtId="0" fontId="9" fillId="0" borderId="19" xfId="39" applyFont="1" applyBorder="1"/>
    <xf numFmtId="178" fontId="2" fillId="0" borderId="14" xfId="39" applyNumberFormat="1" applyFont="1" applyBorder="1"/>
    <xf numFmtId="178" fontId="2" fillId="0" borderId="19" xfId="39" applyNumberFormat="1" applyFont="1" applyBorder="1"/>
    <xf numFmtId="178" fontId="2" fillId="0" borderId="18" xfId="39" applyNumberFormat="1" applyFont="1" applyBorder="1"/>
    <xf numFmtId="178" fontId="2" fillId="0" borderId="20" xfId="39" applyNumberFormat="1" applyFont="1" applyBorder="1"/>
    <xf numFmtId="178" fontId="12" fillId="0" borderId="19" xfId="39" applyNumberFormat="1" applyFont="1" applyBorder="1"/>
    <xf numFmtId="178" fontId="9" fillId="0" borderId="0" xfId="39" applyNumberFormat="1" applyFont="1"/>
    <xf numFmtId="178" fontId="9" fillId="0" borderId="19" xfId="39" applyNumberFormat="1" applyFont="1" applyBorder="1"/>
    <xf numFmtId="178" fontId="9" fillId="0" borderId="14" xfId="39" applyNumberFormat="1" applyFont="1" applyBorder="1"/>
    <xf numFmtId="0" fontId="9" fillId="0" borderId="0" xfId="39" applyFont="1" applyAlignment="1">
      <alignment horizontal="left" indent="1"/>
    </xf>
    <xf numFmtId="0" fontId="12" fillId="0" borderId="0" xfId="39" applyFont="1"/>
    <xf numFmtId="178" fontId="9" fillId="0" borderId="16" xfId="39" applyNumberFormat="1" applyFont="1" applyBorder="1"/>
    <xf numFmtId="178" fontId="9" fillId="0" borderId="15" xfId="39" applyNumberFormat="1" applyFont="1" applyBorder="1"/>
    <xf numFmtId="178" fontId="9" fillId="0" borderId="17" xfId="39" applyNumberFormat="1" applyFont="1" applyBorder="1"/>
    <xf numFmtId="178" fontId="2" fillId="0" borderId="16" xfId="39" applyNumberFormat="1" applyFont="1" applyBorder="1"/>
    <xf numFmtId="178" fontId="2" fillId="0" borderId="12" xfId="39" applyNumberFormat="1" applyFont="1" applyBorder="1"/>
    <xf numFmtId="178" fontId="2" fillId="0" borderId="2" xfId="39" applyNumberFormat="1" applyFont="1" applyBorder="1"/>
    <xf numFmtId="178" fontId="2" fillId="0" borderId="13" xfId="39" applyNumberFormat="1" applyFont="1" applyBorder="1"/>
    <xf numFmtId="165" fontId="1" fillId="0" borderId="0" xfId="39" applyNumberFormat="1" applyFont="1"/>
    <xf numFmtId="189" fontId="1" fillId="0" borderId="0" xfId="39" applyNumberFormat="1" applyFont="1"/>
    <xf numFmtId="190" fontId="1" fillId="0" borderId="0" xfId="39" applyNumberFormat="1" applyFont="1"/>
    <xf numFmtId="165" fontId="42" fillId="0" borderId="0" xfId="39" applyNumberFormat="1" applyFont="1" applyAlignment="1">
      <alignment horizontal="center"/>
    </xf>
    <xf numFmtId="165" fontId="10" fillId="10" borderId="2" xfId="0" applyNumberFormat="1" applyFont="1" applyFill="1" applyBorder="1">
      <alignment vertical="top"/>
    </xf>
    <xf numFmtId="0" fontId="45" fillId="0" borderId="0" xfId="47" applyFont="1" applyBorder="1" applyAlignment="1">
      <alignment horizontal="centerContinuous"/>
    </xf>
    <xf numFmtId="0" fontId="46" fillId="0" borderId="0" xfId="47" applyFont="1" applyBorder="1" applyAlignment="1">
      <alignment horizontal="centerContinuous"/>
    </xf>
    <xf numFmtId="187" fontId="49" fillId="0" borderId="0" xfId="39" applyNumberFormat="1" applyFont="1" applyAlignment="1">
      <alignment horizontal="center"/>
    </xf>
    <xf numFmtId="181" fontId="2" fillId="0" borderId="1" xfId="39" applyNumberFormat="1" applyFont="1" applyBorder="1"/>
    <xf numFmtId="0" fontId="22" fillId="12" borderId="23" xfId="39" applyFill="1" applyBorder="1"/>
    <xf numFmtId="191" fontId="38" fillId="11" borderId="0" xfId="0" applyFont="1" applyFill="1">
      <alignment vertical="top"/>
    </xf>
    <xf numFmtId="191" fontId="50" fillId="0" borderId="0" xfId="0" applyFont="1">
      <alignment vertical="top"/>
    </xf>
    <xf numFmtId="191" fontId="0" fillId="13" borderId="0" xfId="0" applyFill="1">
      <alignment vertical="top"/>
    </xf>
    <xf numFmtId="191" fontId="52" fillId="13" borderId="0" xfId="0" applyFont="1" applyFill="1">
      <alignment vertical="top"/>
    </xf>
    <xf numFmtId="191" fontId="0" fillId="0" borderId="0" xfId="0" applyFont="1">
      <alignment vertical="top"/>
    </xf>
    <xf numFmtId="191" fontId="53" fillId="0" borderId="0" xfId="0" applyFont="1" applyFill="1">
      <alignment vertical="top"/>
    </xf>
    <xf numFmtId="196" fontId="53" fillId="0" borderId="0" xfId="56" applyFont="1" applyFill="1">
      <alignment vertical="top"/>
    </xf>
    <xf numFmtId="191" fontId="53" fillId="0" borderId="0" xfId="0" applyFont="1">
      <alignment vertical="top"/>
    </xf>
    <xf numFmtId="191" fontId="53" fillId="13" borderId="0" xfId="0" applyFont="1" applyFill="1">
      <alignment vertical="top"/>
    </xf>
    <xf numFmtId="196" fontId="53" fillId="13" borderId="0" xfId="56" applyFont="1" applyFill="1">
      <alignment vertical="top"/>
    </xf>
    <xf numFmtId="191" fontId="54" fillId="13" borderId="0" xfId="0" applyFont="1" applyFill="1">
      <alignment vertical="top"/>
    </xf>
    <xf numFmtId="191" fontId="55" fillId="0" borderId="0" xfId="0" applyFont="1" applyFill="1">
      <alignment vertical="top"/>
    </xf>
    <xf numFmtId="192" fontId="55" fillId="0" borderId="0" xfId="52" applyFont="1" applyFill="1">
      <alignment vertical="top"/>
    </xf>
    <xf numFmtId="180" fontId="56" fillId="11" borderId="0" xfId="39" applyNumberFormat="1" applyFont="1" applyFill="1" applyAlignment="1">
      <alignment horizontal="center"/>
    </xf>
    <xf numFmtId="191" fontId="54" fillId="0" borderId="0" xfId="0" applyFont="1" applyFill="1">
      <alignment vertical="top"/>
    </xf>
    <xf numFmtId="191" fontId="54" fillId="0" borderId="24" xfId="0" applyFont="1" applyFill="1" applyBorder="1">
      <alignment vertical="top"/>
    </xf>
    <xf numFmtId="197" fontId="53" fillId="0" borderId="0" xfId="0" applyNumberFormat="1" applyFont="1" applyFill="1">
      <alignment vertical="top"/>
    </xf>
    <xf numFmtId="197" fontId="54" fillId="0" borderId="24" xfId="0" applyNumberFormat="1" applyFont="1" applyFill="1" applyBorder="1">
      <alignment vertical="top"/>
    </xf>
    <xf numFmtId="198" fontId="53" fillId="0" borderId="0" xfId="53" applyNumberFormat="1" applyFont="1" applyFill="1">
      <alignment vertical="top"/>
    </xf>
    <xf numFmtId="191" fontId="53" fillId="0" borderId="24" xfId="0" applyFont="1" applyFill="1" applyBorder="1">
      <alignment vertical="top"/>
    </xf>
    <xf numFmtId="198" fontId="54" fillId="0" borderId="24" xfId="53" applyNumberFormat="1" applyFont="1" applyFill="1" applyBorder="1">
      <alignment vertical="top"/>
    </xf>
    <xf numFmtId="198" fontId="53" fillId="0" borderId="24" xfId="53" applyNumberFormat="1" applyFont="1" applyFill="1" applyBorder="1">
      <alignment vertical="top"/>
    </xf>
    <xf numFmtId="191" fontId="54" fillId="0" borderId="0" xfId="0" applyFont="1">
      <alignment vertical="top"/>
    </xf>
    <xf numFmtId="191" fontId="54" fillId="0" borderId="24" xfId="0" applyFont="1" applyBorder="1">
      <alignment vertical="top"/>
    </xf>
    <xf numFmtId="197" fontId="54" fillId="0" borderId="24" xfId="0" applyNumberFormat="1" applyFont="1" applyBorder="1">
      <alignment vertical="top"/>
    </xf>
    <xf numFmtId="191" fontId="57" fillId="0" borderId="0" xfId="0" applyFont="1">
      <alignment vertical="top"/>
    </xf>
    <xf numFmtId="198" fontId="53" fillId="0" borderId="0" xfId="53" applyNumberFormat="1" applyFont="1">
      <alignment vertical="top"/>
    </xf>
    <xf numFmtId="197" fontId="53" fillId="0" borderId="0" xfId="0" applyNumberFormat="1" applyFont="1">
      <alignment vertical="top"/>
    </xf>
    <xf numFmtId="198" fontId="54" fillId="0" borderId="24" xfId="53" applyNumberFormat="1" applyFont="1" applyBorder="1">
      <alignment vertical="top"/>
    </xf>
    <xf numFmtId="199" fontId="54" fillId="0" borderId="24" xfId="56" applyNumberFormat="1" applyFont="1" applyBorder="1">
      <alignment vertical="top"/>
    </xf>
    <xf numFmtId="191" fontId="0" fillId="0" borderId="0" xfId="0" applyFont="1" applyFill="1" applyBorder="1">
      <alignment vertical="top"/>
    </xf>
    <xf numFmtId="197" fontId="54" fillId="0" borderId="0" xfId="0" applyNumberFormat="1" applyFont="1">
      <alignment vertical="top"/>
    </xf>
    <xf numFmtId="198" fontId="54" fillId="0" borderId="0" xfId="53" applyNumberFormat="1" applyFont="1">
      <alignment vertical="top"/>
    </xf>
    <xf numFmtId="196" fontId="0" fillId="0" borderId="0" xfId="56" applyFont="1">
      <alignment vertical="top"/>
    </xf>
    <xf numFmtId="191" fontId="55" fillId="0" borderId="0" xfId="0" applyFont="1">
      <alignment vertical="top"/>
    </xf>
    <xf numFmtId="197" fontId="55" fillId="0" borderId="0" xfId="0" applyNumberFormat="1" applyFont="1" applyFill="1">
      <alignment vertical="top"/>
    </xf>
    <xf numFmtId="191" fontId="53" fillId="13" borderId="1" xfId="0" applyFont="1" applyFill="1" applyBorder="1" applyAlignment="1">
      <alignment horizontal="centerContinuous" vertical="top"/>
    </xf>
    <xf numFmtId="191" fontId="53" fillId="13" borderId="0" xfId="0" applyFont="1" applyFill="1" applyAlignment="1">
      <alignment horizontal="center" vertical="top"/>
    </xf>
    <xf numFmtId="198" fontId="53" fillId="13" borderId="0" xfId="53" applyNumberFormat="1" applyFont="1" applyFill="1">
      <alignment vertical="top"/>
    </xf>
    <xf numFmtId="197" fontId="53" fillId="13" borderId="0" xfId="0" applyNumberFormat="1" applyFont="1" applyFill="1">
      <alignment vertical="top"/>
    </xf>
    <xf numFmtId="197" fontId="54" fillId="13" borderId="24" xfId="0" applyNumberFormat="1" applyFont="1" applyFill="1" applyBorder="1">
      <alignment vertical="top"/>
    </xf>
    <xf numFmtId="197" fontId="54" fillId="13" borderId="0" xfId="0" applyNumberFormat="1" applyFont="1" applyFill="1">
      <alignment vertical="top"/>
    </xf>
    <xf numFmtId="199" fontId="53" fillId="13" borderId="0" xfId="56" applyNumberFormat="1" applyFont="1" applyFill="1">
      <alignment vertical="top"/>
    </xf>
    <xf numFmtId="198" fontId="54" fillId="13" borderId="0" xfId="53" applyNumberFormat="1" applyFont="1" applyFill="1">
      <alignment vertical="top"/>
    </xf>
    <xf numFmtId="197" fontId="50" fillId="13" borderId="0" xfId="0" applyNumberFormat="1" applyFont="1" applyFill="1">
      <alignment vertical="top"/>
    </xf>
    <xf numFmtId="196" fontId="54" fillId="13" borderId="0" xfId="56" applyFont="1" applyFill="1">
      <alignment vertical="top"/>
    </xf>
    <xf numFmtId="198" fontId="53" fillId="14" borderId="0" xfId="53" applyNumberFormat="1" applyFont="1" applyFill="1">
      <alignment vertical="top"/>
    </xf>
    <xf numFmtId="191" fontId="58" fillId="0" borderId="0" xfId="0" applyFont="1" applyFill="1">
      <alignment vertical="top"/>
    </xf>
  </cellXfs>
  <cellStyles count="57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8" xr:uid="{3570D88B-62A3-40C8-909A-C17A3140EBF0}"/>
    <cellStyle name="Currency [2]" xfId="6" xr:uid="{00000000-0005-0000-0000-000004000000}"/>
    <cellStyle name="DateLong" xfId="54" xr:uid="{59F9EC5E-B882-4DCC-86A2-492551F1DF29}"/>
    <cellStyle name="DateShort" xfId="55" xr:uid="{04ED01F4-D97D-4E6D-BC39-E17E7FFA3D1A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51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3" xr:uid="{96A3034E-31DF-45B1-B372-E61F71892215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Heading 2" xfId="47" builtinId="17"/>
    <cellStyle name="Hyperlink" xfId="50" builtinId="8"/>
    <cellStyle name="Input 2" xfId="40" xr:uid="{00000000-0005-0000-0000-000025000000}"/>
    <cellStyle name="Input 3" xfId="49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2" builtinId="5" customBuiltin="1"/>
    <cellStyle name="Percent 2" xfId="11" xr:uid="{00000000-0005-0000-0000-00002E000000}"/>
    <cellStyle name="Year" xfId="56" xr:uid="{78CEA165-014D-4ABF-AE4F-3740F45EC35A}"/>
  </cellStyles>
  <dxfs count="12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method_selector" fmlaRange="methods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2905125</xdr:colOff>
          <xdr:row>8</xdr:row>
          <xdr:rowOff>9525</xdr:rowOff>
        </xdr:from>
        <xdr:to>
          <xdr:col>5</xdr:col>
          <xdr:colOff>857250</xdr:colOff>
          <xdr:row>9</xdr:row>
          <xdr:rowOff>19050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58E73-5964-4B5A-B359-338BEB6D10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a95786b-8750-4fce-bc1d-88798214266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15E5-C7F2-4C42-A673-C9E8BF0D1C29}">
  <dimension ref="A1:S257"/>
  <sheetViews>
    <sheetView showGridLines="0" tabSelected="1" zoomScale="85" zoomScaleNormal="85" workbookViewId="0">
      <pane ySplit="9" topLeftCell="A63" activePane="bottomLeft" state="frozen"/>
      <selection pane="bottomLeft" activeCell="V64" sqref="V64"/>
    </sheetView>
  </sheetViews>
  <sheetFormatPr defaultColWidth="8" defaultRowHeight="14.25"/>
  <cols>
    <col min="1" max="2" width="1.625" customWidth="1"/>
    <col min="3" max="4" width="1.5" customWidth="1"/>
    <col min="5" max="5" width="40.625" customWidth="1"/>
    <col min="6" max="8" width="11.625" customWidth="1"/>
    <col min="9" max="9" width="1.5" customWidth="1"/>
    <col min="10" max="14" width="11.125" customWidth="1"/>
  </cols>
  <sheetData>
    <row r="1" spans="1:19" s="117" customFormat="1" ht="15">
      <c r="A1" s="117" t="str">
        <f>company</f>
        <v>Alpha</v>
      </c>
    </row>
    <row r="2" spans="1:19" s="117" customFormat="1" ht="15">
      <c r="A2" s="117" t="str" cm="1">
        <f t="array" ref="A2">topic</f>
        <v>CFM Topic: Acquisitions</v>
      </c>
    </row>
    <row r="3" spans="1:19" s="117" customFormat="1" ht="15.75">
      <c r="A3" s="117" t="s">
        <v>95</v>
      </c>
      <c r="F3" s="117" t="s">
        <v>96</v>
      </c>
      <c r="G3" s="117" t="s">
        <v>97</v>
      </c>
      <c r="H3" s="117" t="s">
        <v>98</v>
      </c>
      <c r="J3" s="130" cm="1">
        <f t="array" ref="J3:N3" xml:space="preserve"> _xlfn.SEQUENCE( 1, 5, 2022, 1 )</f>
        <v>2022</v>
      </c>
      <c r="K3" s="130">
        <v>2023</v>
      </c>
      <c r="L3" s="130">
        <v>2024</v>
      </c>
      <c r="M3" s="130">
        <v>2025</v>
      </c>
      <c r="N3" s="130">
        <v>2026</v>
      </c>
    </row>
    <row r="4" spans="1:19" s="122" customFormat="1">
      <c r="J4" s="123"/>
      <c r="K4" s="123"/>
      <c r="L4" s="123"/>
      <c r="M4" s="123"/>
      <c r="N4" s="123"/>
    </row>
    <row r="5" spans="1:19" s="125" customFormat="1" ht="15">
      <c r="A5" s="127" t="s">
        <v>100</v>
      </c>
      <c r="J5" s="126"/>
      <c r="K5" s="126"/>
      <c r="L5" s="126"/>
      <c r="M5" s="126"/>
      <c r="N5" s="126"/>
    </row>
    <row r="6" spans="1:19" s="122" customFormat="1">
      <c r="J6" s="123"/>
      <c r="K6" s="123"/>
      <c r="L6" s="123"/>
      <c r="M6" s="123"/>
      <c r="N6" s="123"/>
    </row>
    <row r="7" spans="1:19" s="122" customFormat="1">
      <c r="E7" s="122" t="str">
        <f>CaseData!B$3</f>
        <v>Value of 100% of Bravo's Equity</v>
      </c>
      <c r="F7" s="128">
        <f>CaseData!E$3</f>
        <v>4500</v>
      </c>
      <c r="G7" s="122" t="s">
        <v>101</v>
      </c>
      <c r="M7" s="123"/>
      <c r="N7" s="123"/>
    </row>
    <row r="8" spans="1:19" s="122" customFormat="1">
      <c r="E8" s="122" t="str">
        <f>CaseData!B$4</f>
        <v>Percentage of Bravo's Equity Acquired by Alpha</v>
      </c>
      <c r="F8" s="129">
        <f>CaseData!E$4</f>
        <v>1</v>
      </c>
      <c r="G8" s="122" t="str">
        <f>CaseData!D$4</f>
        <v>%</v>
      </c>
      <c r="M8" s="123"/>
      <c r="N8" s="123"/>
    </row>
    <row r="9" spans="1:19" s="122" customFormat="1" ht="15">
      <c r="E9" s="122" t="s">
        <v>69</v>
      </c>
      <c r="F9" s="127">
        <v>2</v>
      </c>
      <c r="G9" s="122" t="s">
        <v>104</v>
      </c>
      <c r="M9" s="123"/>
      <c r="N9" s="123"/>
      <c r="S9" s="164" t="s">
        <v>102</v>
      </c>
    </row>
    <row r="10" spans="1:19" s="122" customFormat="1">
      <c r="F10" s="128"/>
      <c r="M10" s="123"/>
      <c r="N10" s="123"/>
      <c r="S10" s="164" t="s">
        <v>103</v>
      </c>
    </row>
    <row r="11" spans="1:19" s="122" customFormat="1" ht="15">
      <c r="B11" s="131" t="s">
        <v>106</v>
      </c>
      <c r="F11" s="128"/>
      <c r="M11" s="123"/>
      <c r="N11" s="123"/>
    </row>
    <row r="12" spans="1:19" s="122" customFormat="1">
      <c r="J12" s="123"/>
      <c r="K12" s="123"/>
      <c r="L12" s="123"/>
      <c r="M12" s="123"/>
      <c r="N12" s="123"/>
    </row>
    <row r="13" spans="1:19" s="122" customFormat="1">
      <c r="E13" s="122" t="s">
        <v>8</v>
      </c>
      <c r="J13" s="133" cm="1">
        <f t="array" ref="J13:N13" xml:space="preserve"> _xlfn.LET(
      _xlpm.consolidation_method,     $F$9,
      _xlpm.current_account,          $E13,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5189.2857142857147</v>
      </c>
      <c r="K13" s="133">
        <v>5463.8928571428569</v>
      </c>
      <c r="L13" s="133">
        <v>5753.1389285714286</v>
      </c>
      <c r="M13" s="133">
        <v>6057.8103892857152</v>
      </c>
      <c r="N13" s="133">
        <v>6378.7362938928582</v>
      </c>
    </row>
    <row r="14" spans="1:19" s="122" customFormat="1">
      <c r="E14" s="122" t="s">
        <v>9</v>
      </c>
      <c r="J14" s="133" cm="1">
        <f t="array" ref="J14:N14" xml:space="preserve"> _xlfn.LET(
      _xlpm.consolidation_method,     $F$9,
      _xlpm.current_account,          $E14,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-3031.3928571428573</v>
      </c>
      <c r="K14" s="133">
        <v>-3136.9549999999999</v>
      </c>
      <c r="L14" s="133">
        <v>-3245.260160714286</v>
      </c>
      <c r="M14" s="133">
        <v>-3356.3030477142856</v>
      </c>
      <c r="N14" s="133">
        <v>-3470.0699451382152</v>
      </c>
    </row>
    <row r="15" spans="1:19" s="122" customFormat="1" ht="15">
      <c r="E15" s="132" t="s">
        <v>10</v>
      </c>
      <c r="F15" s="132"/>
      <c r="G15" s="132"/>
      <c r="H15" s="132"/>
      <c r="I15" s="132"/>
      <c r="J15" s="134">
        <f>SUM(J13:J14)</f>
        <v>2157.8928571428573</v>
      </c>
      <c r="K15" s="134">
        <f t="shared" ref="K15:N15" si="0">SUM(K13:K14)</f>
        <v>2326.937857142857</v>
      </c>
      <c r="L15" s="134">
        <f t="shared" si="0"/>
        <v>2507.8787678571425</v>
      </c>
      <c r="M15" s="134">
        <f t="shared" si="0"/>
        <v>2701.5073415714296</v>
      </c>
      <c r="N15" s="134">
        <f t="shared" si="0"/>
        <v>2908.666348754643</v>
      </c>
    </row>
    <row r="16" spans="1:19" s="122" customFormat="1">
      <c r="E16" s="122" t="s">
        <v>11</v>
      </c>
      <c r="J16" s="135" cm="1">
        <f t="array" ref="J16:N16" xml:space="preserve"> _xlfn.LET(
      _xlpm.consolidation_method,     $F$9,
      _xlpm.current_account,          $E16,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-244.32142857142858</v>
      </c>
      <c r="K16" s="135">
        <v>-257.14321428571429</v>
      </c>
      <c r="L16" s="135">
        <v>-270.64243214285716</v>
      </c>
      <c r="M16" s="135">
        <v>-284.85513432142864</v>
      </c>
      <c r="N16" s="135">
        <v>-299.81930644321437</v>
      </c>
    </row>
    <row r="17" spans="2:14" s="122" customFormat="1" ht="15">
      <c r="E17" s="132" t="s">
        <v>12</v>
      </c>
      <c r="F17" s="132"/>
      <c r="G17" s="132"/>
      <c r="H17" s="132"/>
      <c r="I17" s="132"/>
      <c r="J17" s="134">
        <f>SUM(J15:J16)</f>
        <v>1913.5714285714287</v>
      </c>
      <c r="K17" s="134">
        <f t="shared" ref="K17:N17" si="1">SUM(K15:K16)</f>
        <v>2069.7946428571427</v>
      </c>
      <c r="L17" s="134">
        <f t="shared" si="1"/>
        <v>2237.2363357142854</v>
      </c>
      <c r="M17" s="134">
        <f t="shared" si="1"/>
        <v>2416.6522072500011</v>
      </c>
      <c r="N17" s="134">
        <f t="shared" si="1"/>
        <v>2608.8470423114286</v>
      </c>
    </row>
    <row r="18" spans="2:14" s="122" customFormat="1">
      <c r="E18" s="122" t="s">
        <v>13</v>
      </c>
      <c r="J18" s="135" cm="1">
        <f t="array" ref="J18:N18" xml:space="preserve"> _xlfn.LET(
      _xlpm.consolidation_method,     $F$9,
      _xlpm.current_account,          $E18,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-770.82142857142856</v>
      </c>
      <c r="K18" s="135">
        <v>-811.55821428571426</v>
      </c>
      <c r="L18" s="135">
        <v>-854.46358214285715</v>
      </c>
      <c r="M18" s="135">
        <v>-899.65386582142867</v>
      </c>
      <c r="N18" s="135">
        <v>-947.25168995821446</v>
      </c>
    </row>
    <row r="19" spans="2:14" s="122" customFormat="1" ht="15">
      <c r="E19" s="132" t="s">
        <v>14</v>
      </c>
      <c r="F19" s="132"/>
      <c r="G19" s="132"/>
      <c r="H19" s="132"/>
      <c r="I19" s="132"/>
      <c r="J19" s="137">
        <f>SUM(J17:J18)</f>
        <v>1142.75</v>
      </c>
      <c r="K19" s="137">
        <f t="shared" ref="K19:N19" si="2">SUM(K17:K18)</f>
        <v>1258.2364285714284</v>
      </c>
      <c r="L19" s="137">
        <f t="shared" si="2"/>
        <v>1382.7727535714282</v>
      </c>
      <c r="M19" s="137">
        <f t="shared" si="2"/>
        <v>1516.9983414285725</v>
      </c>
      <c r="N19" s="137">
        <f t="shared" si="2"/>
        <v>1661.5953523532141</v>
      </c>
    </row>
    <row r="20" spans="2:14" s="122" customFormat="1">
      <c r="E20" s="122" t="s">
        <v>15</v>
      </c>
      <c r="J20" s="135" cm="1">
        <f t="array" ref="J20:N20" xml:space="preserve"> _xlfn.LET(
      _xlpm.consolidation_method,     $F$9,
      _xlpm.current_account,          $E20,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-328.92383456694648</v>
      </c>
      <c r="K20" s="135">
        <v>-282.89595848044831</v>
      </c>
      <c r="L20" s="135">
        <v>-236.41516796212903</v>
      </c>
      <c r="M20" s="135">
        <v>-189.45454710612637</v>
      </c>
      <c r="N20" s="135">
        <v>-141.98527622818932</v>
      </c>
    </row>
    <row r="21" spans="2:14" s="122" customFormat="1" ht="15">
      <c r="E21" s="132" t="s">
        <v>72</v>
      </c>
      <c r="F21" s="132"/>
      <c r="G21" s="132"/>
      <c r="H21" s="132"/>
      <c r="I21" s="132"/>
      <c r="J21" s="137">
        <f>SUM(J19:J20)</f>
        <v>813.82616543305357</v>
      </c>
      <c r="K21" s="137">
        <f t="shared" ref="K21:N21" si="3">SUM(K19:K20)</f>
        <v>975.34047009098003</v>
      </c>
      <c r="L21" s="137">
        <f t="shared" si="3"/>
        <v>1146.3575856092991</v>
      </c>
      <c r="M21" s="137">
        <f t="shared" si="3"/>
        <v>1327.543794322446</v>
      </c>
      <c r="N21" s="137">
        <f t="shared" si="3"/>
        <v>1519.6100761250248</v>
      </c>
    </row>
    <row r="22" spans="2:14" s="122" customFormat="1">
      <c r="E22" s="122" t="s">
        <v>73</v>
      </c>
      <c r="J22" s="135" cm="1">
        <f t="array" ref="J22" xml:space="preserve"> _xlfn.LET(
      _xlpm.method,    $F$9,
      _xlpm.percent,   $F$8,
      _xlpm.bravo_net_income, INDEX( $J$185:$N$185, 1, 0 ),
      IF( _xlpm.method = 1, _xlpm.bravo_net_income * _xlpm.percent, 0 ) )</f>
        <v>0</v>
      </c>
      <c r="K22" s="135"/>
      <c r="L22" s="135"/>
      <c r="M22" s="135"/>
      <c r="N22" s="135"/>
    </row>
    <row r="23" spans="2:14" s="122" customFormat="1" ht="15">
      <c r="E23" s="132" t="s">
        <v>16</v>
      </c>
      <c r="F23" s="132"/>
      <c r="G23" s="132"/>
      <c r="H23" s="132"/>
      <c r="I23" s="132"/>
      <c r="J23" s="137">
        <f>SUM(J21:J22)</f>
        <v>813.82616543305357</v>
      </c>
      <c r="K23" s="137">
        <f t="shared" ref="K23:N23" si="4">SUM(K21:K22)</f>
        <v>975.34047009098003</v>
      </c>
      <c r="L23" s="137">
        <f t="shared" si="4"/>
        <v>1146.3575856092991</v>
      </c>
      <c r="M23" s="137">
        <f t="shared" si="4"/>
        <v>1327.543794322446</v>
      </c>
      <c r="N23" s="137">
        <f t="shared" si="4"/>
        <v>1519.6100761250248</v>
      </c>
    </row>
    <row r="24" spans="2:14" s="122" customFormat="1">
      <c r="E24" s="122" t="s">
        <v>17</v>
      </c>
      <c r="J24" s="133" cm="1">
        <f t="array" ref="J24:N24" xml:space="preserve"> _xlfn.LET(
      _xlpm.consolidation_method,     $F$9,
      _xlpm.current_account,          $E24,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-198.18252689010393</v>
      </c>
      <c r="K24" s="133">
        <v>-237.5026342388648</v>
      </c>
      <c r="L24" s="133">
        <v>-279.13046305167239</v>
      </c>
      <c r="M24" s="133">
        <v>-323.22733536612122</v>
      </c>
      <c r="N24" s="133">
        <v>-369.96536008459412</v>
      </c>
    </row>
    <row r="25" spans="2:14" s="122" customFormat="1">
      <c r="E25" s="136" t="s">
        <v>105</v>
      </c>
      <c r="F25" s="136"/>
      <c r="G25" s="136"/>
      <c r="H25" s="136"/>
      <c r="I25" s="136"/>
      <c r="J25" s="138">
        <f>SUM(J23:J24)</f>
        <v>615.6436385429497</v>
      </c>
      <c r="K25" s="138">
        <f t="shared" ref="K25:N25" si="5">SUM(K23:K24)</f>
        <v>737.83783585211518</v>
      </c>
      <c r="L25" s="138">
        <f t="shared" si="5"/>
        <v>867.22712255762667</v>
      </c>
      <c r="M25" s="138">
        <f t="shared" si="5"/>
        <v>1004.3164589563248</v>
      </c>
      <c r="N25" s="138">
        <f t="shared" si="5"/>
        <v>1149.6447160404307</v>
      </c>
    </row>
    <row r="26" spans="2:14" s="122" customFormat="1">
      <c r="E26" s="122" t="s">
        <v>75</v>
      </c>
      <c r="J26" s="123" cm="1">
        <f t="array" ref="J26:N26" xml:space="preserve"> _xlfn.LET(
      _xlpm.method,    $F$9,
      _xlpm.percent,   $F$8,
      _xlpm.bravo_net_income, INDEX( $J$185:$N$185, 1, 0 ),
      IF( _xlpm.method = 1, _xlfn.SEQUENCE( 1, 5, 0, 0 ), - _xlpm.bravo_net_income * ( 1 - _xlpm.percent ) ) )</f>
        <v>0</v>
      </c>
      <c r="K26" s="123">
        <v>0</v>
      </c>
      <c r="L26" s="123">
        <v>0</v>
      </c>
      <c r="M26" s="123">
        <v>0</v>
      </c>
      <c r="N26" s="123">
        <v>0</v>
      </c>
    </row>
    <row r="27" spans="2:14" s="124" customFormat="1" ht="15">
      <c r="E27" s="140" t="s">
        <v>18</v>
      </c>
      <c r="F27" s="140"/>
      <c r="G27" s="140"/>
      <c r="H27" s="140"/>
      <c r="I27" s="140"/>
      <c r="J27" s="141">
        <f>SUM(J25:J26)</f>
        <v>615.6436385429497</v>
      </c>
      <c r="K27" s="141">
        <f t="shared" ref="K27:N27" si="6">SUM(K25:K26)</f>
        <v>737.83783585211518</v>
      </c>
      <c r="L27" s="141">
        <f t="shared" si="6"/>
        <v>867.22712255762667</v>
      </c>
      <c r="M27" s="141">
        <f t="shared" si="6"/>
        <v>1004.3164589563248</v>
      </c>
      <c r="N27" s="141">
        <f t="shared" si="6"/>
        <v>1149.6447160404307</v>
      </c>
    </row>
    <row r="28" spans="2:14" s="124" customFormat="1"/>
    <row r="29" spans="2:14" s="124" customFormat="1" ht="15">
      <c r="B29" s="139" t="s">
        <v>19</v>
      </c>
    </row>
    <row r="30" spans="2:14" s="124" customFormat="1"/>
    <row r="31" spans="2:14" s="124" customFormat="1">
      <c r="D31" s="142" t="s">
        <v>20</v>
      </c>
    </row>
    <row r="32" spans="2:14" s="124" customFormat="1">
      <c r="E32" s="124" t="s">
        <v>18</v>
      </c>
      <c r="J32" s="143" cm="1">
        <f t="array" ref="J32:N32">J27:N27</f>
        <v>615.6436385429497</v>
      </c>
      <c r="K32" s="143">
        <v>737.83783585211518</v>
      </c>
      <c r="L32" s="143">
        <v>867.22712255762667</v>
      </c>
      <c r="M32" s="143">
        <v>1004.3164589563248</v>
      </c>
      <c r="N32" s="143">
        <v>1149.6447160404307</v>
      </c>
    </row>
    <row r="33" spans="4:14" s="124" customFormat="1">
      <c r="E33" s="124" t="s">
        <v>21</v>
      </c>
      <c r="J33" s="133" cm="1">
        <f t="array" ref="J33:N33" xml:space="preserve"> _xlfn.LET(
      _xlpm.consolidation_method,     $F$9,
      _xlpm.current_account,          $E33,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770.82142857142856</v>
      </c>
      <c r="K33" s="124">
        <v>811.55821428571426</v>
      </c>
      <c r="L33" s="124">
        <v>854.46358214285715</v>
      </c>
      <c r="M33" s="124">
        <v>899.65386582142867</v>
      </c>
      <c r="N33" s="124">
        <v>947.25168995821446</v>
      </c>
    </row>
    <row r="34" spans="4:14" s="124" customFormat="1">
      <c r="E34" s="124" t="s">
        <v>76</v>
      </c>
      <c r="J34" s="133" cm="1">
        <f t="array" ref="J34:N34" xml:space="preserve"> _xlfn.LET(
      _xlpm.method,    $F$9,
      _xlpm.non_controlling_interest, INDEX(_xlfn.ANCHORARRAY( J26), 1, 0 ),
      IF( _xlpm.method = 1, _xlpm.non_controlling_interest, - _xlpm.non_controlling_interest ) )</f>
        <v>0</v>
      </c>
      <c r="K34" s="124">
        <v>0</v>
      </c>
      <c r="L34" s="124">
        <v>0</v>
      </c>
      <c r="M34" s="124">
        <v>0</v>
      </c>
      <c r="N34" s="124">
        <v>0</v>
      </c>
    </row>
    <row r="35" spans="4:14" s="124" customFormat="1">
      <c r="E35" s="124" t="s">
        <v>77</v>
      </c>
      <c r="J35" s="124" cm="1">
        <f t="array" ref="J35:N35" xml:space="preserve"> _xlfn.LET(
      _xlpm.method,    $F$9,
      _xlpm.percent,   $F$8,
      _xlpm.bravo_dividends, INDEX( $J$207:$N$207, 1, 0 ),
      IF( _xlpm.method = 1, - _xlpm.bravo_dividends * _xlpm.percent, _xlfn.SEQUENCE( 1, 5, 0, 0 ) ) )</f>
        <v>0</v>
      </c>
      <c r="K35" s="124">
        <v>0</v>
      </c>
      <c r="L35" s="124">
        <v>0</v>
      </c>
      <c r="M35" s="124">
        <v>0</v>
      </c>
      <c r="N35" s="124">
        <v>0</v>
      </c>
    </row>
    <row r="36" spans="4:14" s="124" customFormat="1">
      <c r="E36" s="124" t="s">
        <v>22</v>
      </c>
      <c r="J36" s="135" cm="1">
        <f t="array" ref="J36:N36" xml:space="preserve"> _xlfn.LET(
      _xlpm.consolidation_method,     $F$9,
      _xlpm.current_account,          $E36,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-33.54428571428582</v>
      </c>
      <c r="K36" s="143">
        <v>-35.167478571428404</v>
      </c>
      <c r="L36" s="143">
        <v>-36.869147142857287</v>
      </c>
      <c r="M36" s="143">
        <v>-38.653076595000044</v>
      </c>
      <c r="N36" s="143">
        <v>-40.523233829185898</v>
      </c>
    </row>
    <row r="37" spans="4:14" s="124" customFormat="1">
      <c r="E37" s="124" t="s">
        <v>78</v>
      </c>
      <c r="J37" s="144" cm="1">
        <f t="array" ref="J37" xml:space="preserve"> -_xlfn.ANCHORARRAY( J22)</f>
        <v>0</v>
      </c>
      <c r="K37" s="144"/>
      <c r="L37" s="144"/>
      <c r="M37" s="144"/>
      <c r="N37" s="144"/>
    </row>
    <row r="38" spans="4:14" s="124" customFormat="1" ht="15">
      <c r="E38" s="140" t="s">
        <v>20</v>
      </c>
      <c r="F38" s="140"/>
      <c r="G38" s="140"/>
      <c r="H38" s="140"/>
      <c r="I38" s="140"/>
      <c r="J38" s="145">
        <f>SUM(J32:J37)</f>
        <v>1352.9207814000924</v>
      </c>
      <c r="K38" s="145">
        <f t="shared" ref="K38:N38" si="7">SUM(K32:K37)</f>
        <v>1514.2285715664011</v>
      </c>
      <c r="L38" s="145">
        <f t="shared" si="7"/>
        <v>1684.8215575576264</v>
      </c>
      <c r="M38" s="145">
        <f t="shared" si="7"/>
        <v>1865.3172481827532</v>
      </c>
      <c r="N38" s="145">
        <f t="shared" si="7"/>
        <v>2056.3731721694594</v>
      </c>
    </row>
    <row r="39" spans="4:14" s="124" customFormat="1"/>
    <row r="40" spans="4:14" s="124" customFormat="1">
      <c r="D40" s="142" t="s">
        <v>23</v>
      </c>
    </row>
    <row r="41" spans="4:14" s="124" customFormat="1">
      <c r="E41" s="124" t="s">
        <v>24</v>
      </c>
      <c r="J41" s="133" cm="1">
        <f t="array" ref="J41:N41" xml:space="preserve"> _xlfn.LET(
      _xlpm.consolidation_method,     $F$9,
      _xlpm.current_account,          $E41,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-847.90357142857147</v>
      </c>
      <c r="K41" s="124">
        <v>-892.71403571428573</v>
      </c>
      <c r="L41" s="124">
        <v>-939.90994035714289</v>
      </c>
      <c r="M41" s="124">
        <v>-989.61925240357164</v>
      </c>
      <c r="N41" s="124">
        <v>-1041.9768589540361</v>
      </c>
    </row>
    <row r="42" spans="4:14" s="124" customFormat="1" ht="15">
      <c r="E42" s="140" t="s">
        <v>23</v>
      </c>
      <c r="F42" s="140"/>
      <c r="G42" s="140"/>
      <c r="H42" s="140"/>
      <c r="I42" s="140"/>
      <c r="J42" s="146">
        <f>SUM(J41)</f>
        <v>-847.90357142857147</v>
      </c>
      <c r="K42" s="146">
        <f t="shared" ref="K42:N42" si="8">SUM(K41)</f>
        <v>-892.71403571428573</v>
      </c>
      <c r="L42" s="146">
        <f t="shared" si="8"/>
        <v>-939.90994035714289</v>
      </c>
      <c r="M42" s="146">
        <f t="shared" si="8"/>
        <v>-989.61925240357164</v>
      </c>
      <c r="N42" s="146">
        <f t="shared" si="8"/>
        <v>-1041.9768589540361</v>
      </c>
    </row>
    <row r="43" spans="4:14" s="124" customFormat="1"/>
    <row r="44" spans="4:14" s="124" customFormat="1">
      <c r="D44" s="142" t="s">
        <v>25</v>
      </c>
    </row>
    <row r="45" spans="4:14" s="124" customFormat="1">
      <c r="E45" s="124" t="s">
        <v>26</v>
      </c>
      <c r="J45" s="135" cm="1">
        <f t="array" ref="J45:N45" xml:space="preserve"> _xlfn.LET(
      _xlpm.consolidation_method,     $F$9,
      _xlpm.current_account,          $E45,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-700</v>
      </c>
      <c r="K45" s="143">
        <v>-700</v>
      </c>
      <c r="L45" s="143">
        <v>-700</v>
      </c>
      <c r="M45" s="143">
        <v>-700</v>
      </c>
      <c r="N45" s="143">
        <v>-700</v>
      </c>
    </row>
    <row r="46" spans="4:14" s="124" customFormat="1">
      <c r="E46" s="124" t="s">
        <v>27</v>
      </c>
      <c r="J46" s="135" cm="1">
        <f t="array" ref="J46:N46" xml:space="preserve"> _xlfn.LET(
      _xlpm.consolidation_method,     $F$9,
      _xlpm.current_account,          $E46,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IF( _xlpm.alpha_account = "", 0, _xlpm.alpha_account ), IFERROR( _xlpm.alpha_account + _xlpm.beta_account, 0 ) ) )</f>
        <v>0</v>
      </c>
      <c r="K46" s="124">
        <v>0</v>
      </c>
      <c r="L46" s="124">
        <v>0</v>
      </c>
      <c r="M46" s="124">
        <v>0</v>
      </c>
      <c r="N46" s="124">
        <v>0</v>
      </c>
    </row>
    <row r="47" spans="4:14" s="124" customFormat="1">
      <c r="E47" s="124" t="s">
        <v>79</v>
      </c>
      <c r="J47" s="124" cm="1">
        <f t="array" ref="J47:N47" xml:space="preserve"> _xlfn.LET(
      _xlpm.method,    $F$9,
      _xlpm.percent,   $F$8,
      _xlpm.bravo_dividends, INDEX( $J$207:$N$207, 1, 0 ),
      IF( _xlpm.method = 1, _xlfn.SEQUENCE( 1, 5, 0, 0 ), _xlpm.bravo_dividends * (1 - _xlpm.percent ) ) )</f>
        <v>0</v>
      </c>
      <c r="K47" s="124">
        <v>0</v>
      </c>
      <c r="L47" s="124">
        <v>0</v>
      </c>
      <c r="M47" s="124">
        <v>0</v>
      </c>
      <c r="N47" s="124">
        <v>0</v>
      </c>
    </row>
    <row r="48" spans="4:14" s="124" customFormat="1">
      <c r="E48" s="124" t="s">
        <v>28</v>
      </c>
      <c r="J48" s="135" cm="1">
        <f t="array" ref="J48:N48" xml:space="preserve"> _xlfn.LET(
      _xlpm.consolidation_method,     $F$9,
      _xlpm.current_account,          $E48,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) )</f>
        <v>-82.518816303762108</v>
      </c>
      <c r="K48" s="143">
        <v>-98.807445884544592</v>
      </c>
      <c r="L48" s="143">
        <v>-116.01163771150117</v>
      </c>
      <c r="M48" s="143">
        <v>-134.19197003969052</v>
      </c>
      <c r="N48" s="143">
        <v>-153.4128193187868</v>
      </c>
    </row>
    <row r="49" spans="2:14" s="124" customFormat="1" ht="15">
      <c r="E49" s="140" t="s">
        <v>25</v>
      </c>
      <c r="F49" s="140"/>
      <c r="G49" s="140"/>
      <c r="H49" s="140"/>
      <c r="I49" s="140"/>
      <c r="J49" s="146">
        <f>SUM(J45:J48)</f>
        <v>-782.51881630376215</v>
      </c>
      <c r="K49" s="146">
        <f>SUM(K45:K48)</f>
        <v>-798.80744588454456</v>
      </c>
      <c r="L49" s="146">
        <f>SUM(L45:L48)</f>
        <v>-816.01163771150118</v>
      </c>
      <c r="M49" s="146">
        <f>SUM(M45:M48)</f>
        <v>-834.19197003969055</v>
      </c>
      <c r="N49" s="146">
        <f>SUM(N45:N48)</f>
        <v>-853.41281931878677</v>
      </c>
    </row>
    <row r="50" spans="2:14" s="124" customFormat="1"/>
    <row r="51" spans="2:14" s="124" customFormat="1">
      <c r="E51" s="124" t="s">
        <v>29</v>
      </c>
      <c r="J51" s="152">
        <f xml:space="preserve"> H58</f>
        <v>1134.4413233304449</v>
      </c>
      <c r="K51" s="133">
        <f xml:space="preserve"> J53</f>
        <v>856.93971699820372</v>
      </c>
      <c r="L51" s="133">
        <f t="shared" ref="L51:N51" si="9" xml:space="preserve"> K53</f>
        <v>679.64680696577454</v>
      </c>
      <c r="M51" s="133">
        <f t="shared" si="9"/>
        <v>608.5467864547569</v>
      </c>
      <c r="N51" s="133">
        <f t="shared" si="9"/>
        <v>650.05281219424796</v>
      </c>
    </row>
    <row r="52" spans="2:14" s="124" customFormat="1">
      <c r="E52" s="124" t="s">
        <v>30</v>
      </c>
      <c r="J52" s="143">
        <f xml:space="preserve"> SUM( J38,J42,J49)</f>
        <v>-277.50160633224118</v>
      </c>
      <c r="K52" s="143">
        <f xml:space="preserve"> SUM( K38,K42,K49)</f>
        <v>-177.29291003242918</v>
      </c>
      <c r="L52" s="143">
        <f xml:space="preserve"> SUM( L38,L42,L49)</f>
        <v>-71.100020511017647</v>
      </c>
      <c r="M52" s="143">
        <f xml:space="preserve"> SUM( M38,M42,M49)</f>
        <v>41.506025739491065</v>
      </c>
      <c r="N52" s="143">
        <f xml:space="preserve"> SUM( N38,N42,N49)</f>
        <v>160.98349389663656</v>
      </c>
    </row>
    <row r="53" spans="2:14" s="124" customFormat="1" ht="15">
      <c r="E53" s="140" t="s">
        <v>31</v>
      </c>
      <c r="F53" s="140"/>
      <c r="G53" s="140"/>
      <c r="H53" s="140"/>
      <c r="I53" s="140"/>
      <c r="J53" s="145">
        <f>SUM(J51:J52)</f>
        <v>856.93971699820372</v>
      </c>
      <c r="K53" s="145">
        <f t="shared" ref="K53:N53" si="10">SUM(K51:K52)</f>
        <v>679.64680696577454</v>
      </c>
      <c r="L53" s="145">
        <f t="shared" si="10"/>
        <v>608.5467864547569</v>
      </c>
      <c r="M53" s="145">
        <f t="shared" si="10"/>
        <v>650.05281219424796</v>
      </c>
      <c r="N53" s="145">
        <f t="shared" si="10"/>
        <v>811.03630609088452</v>
      </c>
    </row>
    <row r="54" spans="2:14" s="124" customFormat="1"/>
    <row r="55" spans="2:14" s="124" customFormat="1" ht="15">
      <c r="B55" s="139" t="s">
        <v>110</v>
      </c>
      <c r="F55" s="153" t="str">
        <f>"Consolidation method: " &amp; IF( F9 = 1, "Equity", "Consolidation" )</f>
        <v>Consolidation method: Consolidation</v>
      </c>
      <c r="G55" s="153"/>
      <c r="H55" s="153"/>
    </row>
    <row r="56" spans="2:14" s="124" customFormat="1" ht="15">
      <c r="F56" s="154" t="s">
        <v>109</v>
      </c>
      <c r="G56" s="154" t="s">
        <v>108</v>
      </c>
      <c r="H56" s="162">
        <v>2021</v>
      </c>
    </row>
    <row r="57" spans="2:14" s="124" customFormat="1">
      <c r="D57" s="142" t="s">
        <v>33</v>
      </c>
      <c r="F57" s="125"/>
      <c r="G57" s="125"/>
      <c r="H57" s="125"/>
    </row>
    <row r="58" spans="2:14" s="124" customFormat="1">
      <c r="E58" s="124" t="s">
        <v>34</v>
      </c>
      <c r="F58" s="155">
        <f>CaseData!C62</f>
        <v>4548.8482724086134</v>
      </c>
      <c r="G58" s="155">
        <f xml:space="preserve"> _xlfn.LET(
      _xlpm.method,     $F$9,
      _xlpm.value,      $F$7,
      _xlpm.percentage, $F$8,
      _xlpm.bravo,      $F222,
      IF( _xlpm.method = 1, - _xlpm.value * _xlpm.percentage, ( _xlpm.bravo - ( _xlpm.value * _xlpm.percentage ) ) ) )</f>
        <v>-3414.4069490781685</v>
      </c>
      <c r="H58" s="155">
        <f>SUM(F58:G58)</f>
        <v>1134.4413233304449</v>
      </c>
      <c r="J58" s="143">
        <f xml:space="preserve"> J53</f>
        <v>856.93971699820372</v>
      </c>
      <c r="K58" s="143">
        <f t="shared" ref="K58:N58" si="11" xml:space="preserve"> K53</f>
        <v>679.64680696577454</v>
      </c>
      <c r="L58" s="143">
        <f t="shared" si="11"/>
        <v>608.5467864547569</v>
      </c>
      <c r="M58" s="143">
        <f t="shared" si="11"/>
        <v>650.05281219424796</v>
      </c>
      <c r="N58" s="143">
        <f t="shared" si="11"/>
        <v>811.03630609088452</v>
      </c>
    </row>
    <row r="59" spans="2:14" s="124" customFormat="1">
      <c r="E59" s="124" t="s">
        <v>35</v>
      </c>
      <c r="F59" s="155">
        <f>CaseData!C63</f>
        <v>280</v>
      </c>
      <c r="G59" s="156">
        <f xml:space="preserve"> _xlfn.LET(
      _xlpm.method,     $F$9,
      _xlpm.bravo,      $F223,
      IF( _xlpm.method = 1, 0, _xlpm.bravo ) )</f>
        <v>114.28571428571429</v>
      </c>
      <c r="H59" s="155">
        <f t="shared" ref="H59:H61" si="12">SUM(F59:G59)</f>
        <v>394.28571428571428</v>
      </c>
      <c r="J59" s="135" cm="1">
        <f t="array" ref="J59:N59" xml:space="preserve"> _xlfn.LET(
      _xlpm.consolidation_method,     $F$9,
      _xlpm.current_account,          $E59,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415.14285714285717</v>
      </c>
      <c r="K59" s="135">
        <v>437.11142857142858</v>
      </c>
      <c r="L59" s="135">
        <v>460.25111428571427</v>
      </c>
      <c r="M59" s="135">
        <v>484.62483114285726</v>
      </c>
      <c r="N59" s="135">
        <v>510.2989035114287</v>
      </c>
    </row>
    <row r="60" spans="2:14" s="124" customFormat="1">
      <c r="E60" s="124" t="s">
        <v>36</v>
      </c>
      <c r="F60" s="155">
        <f>CaseData!C64</f>
        <v>315</v>
      </c>
      <c r="G60" s="156">
        <f xml:space="preserve"> _xlfn.LET(
      _xlpm.method,     $F$9,
      _xlpm.bravo,      $F224,
      IF( _xlpm.method = 1, 0, _xlpm.bravo ) )</f>
        <v>124.28571428571431</v>
      </c>
      <c r="H60" s="155">
        <f t="shared" si="12"/>
        <v>439.28571428571433</v>
      </c>
      <c r="J60" s="135" cm="1">
        <f t="array" ref="J60:N60" xml:space="preserve"> _xlfn.LET(
      _xlpm.consolidation_method,     $F$9,
      _xlpm.current_account,          $E60,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454.7089285714286</v>
      </c>
      <c r="K60" s="135">
        <v>470.54324999999994</v>
      </c>
      <c r="L60" s="135">
        <v>486.78902410714284</v>
      </c>
      <c r="M60" s="135">
        <v>503.44545715714287</v>
      </c>
      <c r="N60" s="135">
        <v>520.51049177073219</v>
      </c>
    </row>
    <row r="61" spans="2:14" s="124" customFormat="1">
      <c r="E61" s="124" t="s">
        <v>112</v>
      </c>
      <c r="F61" s="155">
        <f>CaseData!C65</f>
        <v>87.5</v>
      </c>
      <c r="G61" s="155">
        <f xml:space="preserve"> _xlfn.LET(
      _xlpm.method,     $F$9,
      _xlpm.bravo,      $F225,
      IF( _xlpm.method = 1, 0, _xlpm.bravo ) )</f>
        <v>35.714285714285715</v>
      </c>
      <c r="H61" s="155">
        <f t="shared" si="12"/>
        <v>123.21428571428572</v>
      </c>
      <c r="J61" s="135" cm="1">
        <f t="array" ref="J61:N61" xml:space="preserve"> _xlfn.LET(
      _xlpm.consolidation_method,     $F$9,
      _xlpm.current_account,          $E61,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129.73214285714286</v>
      </c>
      <c r="K61" s="135">
        <v>136.59732142857143</v>
      </c>
      <c r="L61" s="135">
        <v>143.82847321428574</v>
      </c>
      <c r="M61" s="135">
        <v>151.44525973214289</v>
      </c>
      <c r="N61" s="135">
        <v>159.46840734732149</v>
      </c>
    </row>
    <row r="62" spans="2:14" s="124" customFormat="1" ht="15">
      <c r="E62" s="140" t="s">
        <v>111</v>
      </c>
      <c r="F62" s="157">
        <f>SUM(F58:F61)</f>
        <v>5231.3482724086134</v>
      </c>
      <c r="G62" s="157">
        <f t="shared" ref="G62:H62" si="13">SUM(G58:G61)</f>
        <v>-3140.1212347924543</v>
      </c>
      <c r="H62" s="157">
        <f t="shared" si="13"/>
        <v>2091.2270376161591</v>
      </c>
      <c r="I62" s="140"/>
      <c r="J62" s="145">
        <f>SUM(J58:J61)</f>
        <v>1856.5236455696324</v>
      </c>
      <c r="K62" s="145">
        <f t="shared" ref="K62:N62" si="14">SUM(K58:K61)</f>
        <v>1723.8988069657744</v>
      </c>
      <c r="L62" s="145">
        <f t="shared" si="14"/>
        <v>1699.4153980618994</v>
      </c>
      <c r="M62" s="145">
        <f t="shared" si="14"/>
        <v>1789.5683602263907</v>
      </c>
      <c r="N62" s="145">
        <f t="shared" si="14"/>
        <v>2001.3141087203669</v>
      </c>
    </row>
    <row r="63" spans="2:14" s="124" customFormat="1">
      <c r="F63" s="125"/>
      <c r="G63" s="125"/>
      <c r="H63" s="125"/>
    </row>
    <row r="64" spans="2:14" s="124" customFormat="1">
      <c r="E64" s="124" t="s">
        <v>82</v>
      </c>
      <c r="F64" s="155">
        <v>0</v>
      </c>
      <c r="G64" s="155">
        <f xml:space="preserve"> _xlfn.LET(
      _xlpm.method,     $F$9,
      IF( _xlpm.method = 1, - $G$58, 0 ) )</f>
        <v>0</v>
      </c>
      <c r="H64" s="155">
        <f t="shared" ref="H64:H67" si="15">SUM(F64:G64)</f>
        <v>0</v>
      </c>
      <c r="J64" s="163">
        <f xml:space="preserve"> IF(
    ( method_selector = 1 ) * ( J$256 = 1 ),
      $H$64 - J$35 - J$37,
      IF(
        ( method_selector = 1 ) * ( J$256 = 0 ),
          I$64 - J$35 - J$37,
              IF( ( method_selector = 2 ) * ( J$256 = 1 ), $H$64, I$64 ) ) )</f>
        <v>0</v>
      </c>
      <c r="K64" s="143">
        <f xml:space="preserve"> IF(
    ( method_selector = 1 ) * ( K$256 = 1 ),
      $H$64 - K$35 - K$37,
      IF(
        ( method_selector = 1 ) * ( K$256 = 0 ),
          J$64 - K$35 - K$37,
              IF( ( method_selector = 2 ) * ( K$256 = 1 ), $H$64, J$64 ) ) )</f>
        <v>0</v>
      </c>
      <c r="L64" s="143">
        <f xml:space="preserve"> IF(
    ( method_selector = 1 ) * ( L$256 = 1 ),
      $H$64 - L$35 - L$37,
      IF(
        ( method_selector = 1 ) * ( L$256 = 0 ),
          K$64 - L$35 - L$37,
              IF( ( method_selector = 2 ) * ( L$256 = 1 ), $H$64, K$64 ) ) )</f>
        <v>0</v>
      </c>
      <c r="M64" s="143">
        <f xml:space="preserve"> IF(
    ( method_selector = 1 ) * ( M$256 = 1 ),
      $H$64 - M$35 - M$37,
      IF(
        ( method_selector = 1 ) * ( M$256 = 0 ),
          L$64 - M$35 - M$37,
              IF( ( method_selector = 2 ) * ( M$256 = 1 ), $H$64, L$64 ) ) )</f>
        <v>0</v>
      </c>
      <c r="N64" s="143">
        <f xml:space="preserve"> IF(
    ( method_selector = 1 ) * ( N$256 = 1 ),
      $H$64 - N$35 - N$37,
      IF(
        ( method_selector = 1 ) * ( N$256 = 0 ),
          M$64 - N$35 - N$37,
              IF( ( method_selector = 2 ) * ( N$256 = 1 ), $H$64, M$64 ) ) )</f>
        <v>0</v>
      </c>
    </row>
    <row r="65" spans="4:14" s="124" customFormat="1">
      <c r="E65" s="124" t="s">
        <v>83</v>
      </c>
      <c r="F65" s="155">
        <v>0</v>
      </c>
      <c r="G65" s="155">
        <f xml:space="preserve"> _xlfn.LET(
      _xlpm.method,       $F$9,
      _xlpm.value,        $F$7,
      _xlpm.bravo,        $F249,
      IF( _xlpm.method = 1, 0, _xlpm.value - _xlpm.bravo ) )</f>
        <v>668.13552050674116</v>
      </c>
      <c r="H65" s="155">
        <f t="shared" si="15"/>
        <v>668.13552050674116</v>
      </c>
      <c r="J65" s="144" cm="1">
        <f t="array" ref="J65:N65" xml:space="preserve"> _xlfn.LET(
      _xlpm.method,           $F$9,
      _xlpm.bravo,            $H65,
      IF( _xlpm.method = 1, _xlfn.SEQUENCE( 1, 5, 0, 0 ), _xlfn.SEQUENCE( 1, 5, _xlpm.bravo, 0 ) ) )</f>
        <v>668.13552050674116</v>
      </c>
      <c r="K65" s="144">
        <v>668.13552050674116</v>
      </c>
      <c r="L65" s="144">
        <v>668.13552050674116</v>
      </c>
      <c r="M65" s="144">
        <v>668.13552050674116</v>
      </c>
      <c r="N65" s="144">
        <v>668.13552050674116</v>
      </c>
    </row>
    <row r="66" spans="4:14" s="124" customFormat="1">
      <c r="E66" s="124" t="s">
        <v>39</v>
      </c>
      <c r="F66" s="155">
        <f>CaseData!C68</f>
        <v>10500</v>
      </c>
      <c r="G66" s="155">
        <f xml:space="preserve"> _xlfn.LET(
      _xlpm.method,       $F$9,
      _xlpm.bravo,        $F228,
      IF( _xlpm.method = 1, 0, _xlpm.bravo ) )</f>
        <v>4142.8571428571422</v>
      </c>
      <c r="H66" s="155">
        <f t="shared" si="15"/>
        <v>14642.857142857141</v>
      </c>
      <c r="J66" s="135" cm="1">
        <f t="array" ref="J66:N66" xml:space="preserve"> _xlfn.LET(
      _xlpm.consolidation_method,     $F$9,
      _xlpm.current_account,          $E66,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14719.939285714285</v>
      </c>
      <c r="K66" s="143">
        <v>14801.095107142857</v>
      </c>
      <c r="L66" s="143">
        <v>14886.541465357142</v>
      </c>
      <c r="M66" s="143">
        <v>14976.506851939284</v>
      </c>
      <c r="N66" s="143">
        <v>15071.232020935107</v>
      </c>
    </row>
    <row r="67" spans="4:14" s="124" customFormat="1">
      <c r="E67" s="124" t="s">
        <v>113</v>
      </c>
      <c r="F67" s="155">
        <f>CaseData!C69</f>
        <v>4</v>
      </c>
      <c r="G67" s="155">
        <f xml:space="preserve"> _xlfn.LET(
      _xlpm.method,       $F$9,
      _xlpm.bravo,        $F229,
      IF( _xlpm.method = 1, 0, _xlpm.bravo ) )</f>
        <v>12</v>
      </c>
      <c r="H67" s="155">
        <f t="shared" si="15"/>
        <v>16</v>
      </c>
      <c r="J67" s="135" cm="1">
        <f t="array" ref="J67:N67" xml:space="preserve"> _xlfn.LET(
      _xlpm.consolidation_method,     $F$9,
      _xlpm.current_account,          $E67,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16</v>
      </c>
      <c r="K67" s="143">
        <v>16</v>
      </c>
      <c r="L67" s="143">
        <v>16</v>
      </c>
      <c r="M67" s="143">
        <v>16</v>
      </c>
      <c r="N67" s="143">
        <v>16</v>
      </c>
    </row>
    <row r="68" spans="4:14" s="124" customFormat="1" ht="15">
      <c r="E68" s="140" t="s">
        <v>40</v>
      </c>
      <c r="F68" s="157">
        <f>SUM(F64:F67)</f>
        <v>10504</v>
      </c>
      <c r="G68" s="157">
        <f t="shared" ref="G68:H68" si="16">SUM(G64:G67)</f>
        <v>4822.9926633638834</v>
      </c>
      <c r="H68" s="157">
        <f t="shared" si="16"/>
        <v>15326.992663363882</v>
      </c>
      <c r="I68" s="140"/>
      <c r="J68" s="145">
        <f>SUM(J64:J67)</f>
        <v>15404.074806221026</v>
      </c>
      <c r="K68" s="145">
        <f t="shared" ref="K68:N68" si="17">SUM(K64:K67)</f>
        <v>15485.230627649598</v>
      </c>
      <c r="L68" s="145">
        <f t="shared" si="17"/>
        <v>15570.676985863884</v>
      </c>
      <c r="M68" s="145">
        <f t="shared" si="17"/>
        <v>15660.642372446026</v>
      </c>
      <c r="N68" s="145">
        <f t="shared" si="17"/>
        <v>15755.367541441849</v>
      </c>
    </row>
    <row r="69" spans="4:14" s="124" customFormat="1">
      <c r="F69" s="125"/>
      <c r="G69" s="125"/>
      <c r="H69" s="125"/>
    </row>
    <row r="70" spans="4:14" s="124" customFormat="1" ht="15">
      <c r="E70" s="139" t="s">
        <v>41</v>
      </c>
      <c r="F70" s="158">
        <f>SUM( F62, F68)</f>
        <v>15735.348272408613</v>
      </c>
      <c r="G70" s="158">
        <f t="shared" ref="G70:H70" si="18">SUM( G62, G68)</f>
        <v>1682.8714285714291</v>
      </c>
      <c r="H70" s="158">
        <f t="shared" si="18"/>
        <v>17418.21970098004</v>
      </c>
      <c r="J70" s="149">
        <f xml:space="preserve"> SUM( J62, J68)</f>
        <v>17260.598451790658</v>
      </c>
      <c r="K70" s="149">
        <f t="shared" ref="K70:N70" si="19" xml:space="preserve"> SUM( K62, K68)</f>
        <v>17209.129434615374</v>
      </c>
      <c r="L70" s="149">
        <f t="shared" si="19"/>
        <v>17270.092383925781</v>
      </c>
      <c r="M70" s="149">
        <f t="shared" si="19"/>
        <v>17450.210732672414</v>
      </c>
      <c r="N70" s="149">
        <f t="shared" si="19"/>
        <v>17756.681650162216</v>
      </c>
    </row>
    <row r="71" spans="4:14" s="124" customFormat="1">
      <c r="F71" s="125"/>
      <c r="G71" s="125"/>
      <c r="H71" s="125"/>
    </row>
    <row r="72" spans="4:14" s="124" customFormat="1">
      <c r="D72" s="142" t="s">
        <v>42</v>
      </c>
      <c r="F72" s="125"/>
      <c r="G72" s="125"/>
      <c r="H72" s="125"/>
    </row>
    <row r="73" spans="4:14" s="124" customFormat="1">
      <c r="E73" s="124" t="s">
        <v>43</v>
      </c>
      <c r="F73" s="159">
        <f>CaseData!C75</f>
        <v>189</v>
      </c>
      <c r="G73" s="155">
        <f xml:space="preserve"> _xlfn.LET(
      _xlpm.method,       $F$9,
      _xlpm.bravo,        $F235,
      IF( _xlpm.method = 1, 0, _xlpm.bravo ) )</f>
        <v>74.571428571428584</v>
      </c>
      <c r="H73" s="155">
        <f>SUM(F73:G73)</f>
        <v>263.57142857142856</v>
      </c>
      <c r="J73" s="135" cm="1">
        <f t="array" ref="J73:N73" xml:space="preserve"> _xlfn.LET(
      _xlpm.consolidation_method,     $F$9,
      _xlpm.current_account,          $E73,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272.82535714285711</v>
      </c>
      <c r="K73" s="135">
        <v>282.32594999999998</v>
      </c>
      <c r="L73" s="135">
        <v>292.07341446428575</v>
      </c>
      <c r="M73" s="135">
        <v>302.06727429428571</v>
      </c>
      <c r="N73" s="135">
        <v>312.30629506243935</v>
      </c>
    </row>
    <row r="74" spans="4:14" s="124" customFormat="1">
      <c r="E74" s="124" t="s">
        <v>44</v>
      </c>
      <c r="F74" s="159">
        <f>CaseData!C76</f>
        <v>500</v>
      </c>
      <c r="G74" s="155">
        <f xml:space="preserve"> _xlfn.LET(
      _xlpm.method,       $F$9,
      _xlpm.bravo,        $F236,
      IF( _xlpm.method = 1, 0, _xlpm.bravo ) )</f>
        <v>200</v>
      </c>
      <c r="H74" s="155">
        <f t="shared" ref="H74:H75" si="20">SUM(F74:G74)</f>
        <v>700</v>
      </c>
      <c r="J74" s="135" cm="1">
        <f t="array" ref="J74:N74" xml:space="preserve"> _xlfn.LET(
      _xlpm.consolidation_method,     $F$9,
      _xlpm.current_account,          $E74,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700</v>
      </c>
      <c r="K74" s="135">
        <v>700</v>
      </c>
      <c r="L74" s="135">
        <v>700</v>
      </c>
      <c r="M74" s="135">
        <v>700</v>
      </c>
      <c r="N74" s="135">
        <v>700</v>
      </c>
    </row>
    <row r="75" spans="4:14" s="124" customFormat="1">
      <c r="E75" s="124" t="s">
        <v>114</v>
      </c>
      <c r="F75" s="159">
        <f>CaseData!C77</f>
        <v>0.3</v>
      </c>
      <c r="G75" s="155">
        <f xml:space="preserve"> _xlfn.LET(
      _xlpm.method,       $F$9,
      _xlpm.bravo,        $F237,
      IF( _xlpm.method = 1, 0, _xlpm.bravo ) )</f>
        <v>6.3</v>
      </c>
      <c r="H75" s="155">
        <f t="shared" si="20"/>
        <v>6.6</v>
      </c>
      <c r="J75" s="135" cm="1">
        <f t="array" ref="J75:N75" xml:space="preserve"> _xlfn.LET(
      _xlpm.consolidation_method,     $F$9,
      _xlpm.current_account,          $E75,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6.6</v>
      </c>
      <c r="K75" s="135">
        <v>6.6</v>
      </c>
      <c r="L75" s="135">
        <v>6.6</v>
      </c>
      <c r="M75" s="135">
        <v>6.6</v>
      </c>
      <c r="N75" s="135">
        <v>6.6</v>
      </c>
    </row>
    <row r="76" spans="4:14" s="124" customFormat="1" ht="15">
      <c r="E76" s="140" t="s">
        <v>45</v>
      </c>
      <c r="F76" s="157">
        <f>SUM(F73:F75)</f>
        <v>689.3</v>
      </c>
      <c r="G76" s="157">
        <f t="shared" ref="G76:H76" si="21">SUM(G73:G75)</f>
        <v>280.87142857142857</v>
      </c>
      <c r="H76" s="157">
        <f t="shared" si="21"/>
        <v>970.17142857142858</v>
      </c>
      <c r="I76" s="140"/>
      <c r="J76" s="145">
        <f>SUM(J73:J75)</f>
        <v>979.42535714285714</v>
      </c>
      <c r="K76" s="145">
        <f t="shared" ref="K76:N76" si="22">SUM(K73:K75)</f>
        <v>988.92594999999994</v>
      </c>
      <c r="L76" s="145">
        <f t="shared" si="22"/>
        <v>998.67341446428577</v>
      </c>
      <c r="M76" s="145">
        <f t="shared" si="22"/>
        <v>1008.6672742942857</v>
      </c>
      <c r="N76" s="145">
        <f t="shared" si="22"/>
        <v>1018.9062950624394</v>
      </c>
    </row>
    <row r="77" spans="4:14" s="124" customFormat="1">
      <c r="F77" s="125"/>
      <c r="G77" s="125"/>
      <c r="H77" s="125"/>
    </row>
    <row r="78" spans="4:14" s="124" customFormat="1">
      <c r="E78" s="124" t="s">
        <v>46</v>
      </c>
      <c r="F78" s="155">
        <f>CaseData!C80</f>
        <v>3500</v>
      </c>
      <c r="G78" s="155">
        <f xml:space="preserve"> _xlfn.LET(
      _xlpm.method,       $F$9,
      _xlpm.bravo,        $F240,
      IF( _xlpm.method = 1, 0, _xlpm.bravo ) )</f>
        <v>1400</v>
      </c>
      <c r="H78" s="155">
        <f>SUM(F78:G78)</f>
        <v>4900</v>
      </c>
      <c r="J78" s="135" cm="1">
        <f t="array" ref="J78:N78" xml:space="preserve"> _xlfn.LET(
      _xlpm.consolidation_method,     $F$9,
      _xlpm.current_account,          $E78,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4200</v>
      </c>
      <c r="K78" s="135">
        <v>3500</v>
      </c>
      <c r="L78" s="135">
        <v>2800</v>
      </c>
      <c r="M78" s="135">
        <v>2100</v>
      </c>
      <c r="N78" s="135">
        <v>1400</v>
      </c>
    </row>
    <row r="79" spans="4:14" s="124" customFormat="1">
      <c r="E79" s="124" t="s">
        <v>115</v>
      </c>
      <c r="F79" s="155">
        <f>CaseData!C81</f>
        <v>1.1000000000000001</v>
      </c>
      <c r="G79" s="155">
        <f xml:space="preserve"> _xlfn.LET(
      _xlpm.method,       $F$9,
      _xlpm.bravo,        $F241,
      IF( _xlpm.method = 1, 0, _xlpm.bravo ) )</f>
        <v>2</v>
      </c>
      <c r="H79" s="155">
        <f t="shared" ref="H79" si="23">SUM(F79:G79)</f>
        <v>3.1</v>
      </c>
      <c r="J79" s="135" cm="1">
        <f t="array" ref="J79:N79" xml:space="preserve"> _xlfn.LET(
      _xlpm.consolidation_method,     $F$9,
      _xlpm.current_account,          $E79,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+ _xlpm.beta_account ) )</f>
        <v>3.1</v>
      </c>
      <c r="K79" s="135">
        <v>3.1</v>
      </c>
      <c r="L79" s="135">
        <v>3.1</v>
      </c>
      <c r="M79" s="135">
        <v>3.1</v>
      </c>
      <c r="N79" s="135">
        <v>3.1</v>
      </c>
    </row>
    <row r="80" spans="4:14" s="124" customFormat="1" ht="15">
      <c r="E80" s="140" t="s">
        <v>47</v>
      </c>
      <c r="F80" s="157">
        <f>SUM(F78:F79)</f>
        <v>3501.1</v>
      </c>
      <c r="G80" s="157">
        <f>SUM(G78:G79)</f>
        <v>1402</v>
      </c>
      <c r="H80" s="157">
        <f t="shared" ref="H80" si="24">SUM(H78:H79)</f>
        <v>4903.1000000000004</v>
      </c>
      <c r="I80" s="140"/>
      <c r="J80" s="145">
        <f>SUM(J78:J79)</f>
        <v>4203.1000000000004</v>
      </c>
      <c r="K80" s="145">
        <f t="shared" ref="K80:N80" si="25">SUM(K78:K79)</f>
        <v>3503.1</v>
      </c>
      <c r="L80" s="145">
        <f t="shared" si="25"/>
        <v>2803.1</v>
      </c>
      <c r="M80" s="145">
        <f t="shared" si="25"/>
        <v>2103.1</v>
      </c>
      <c r="N80" s="145">
        <f t="shared" si="25"/>
        <v>1403.1</v>
      </c>
    </row>
    <row r="81" spans="1:14" s="124" customFormat="1">
      <c r="F81" s="125"/>
      <c r="G81" s="125"/>
      <c r="H81" s="125"/>
    </row>
    <row r="82" spans="1:14" s="124" customFormat="1" ht="15">
      <c r="E82" s="139" t="s">
        <v>48</v>
      </c>
      <c r="F82" s="160">
        <f>SUM( F76, F80 )</f>
        <v>4190.3999999999996</v>
      </c>
      <c r="G82" s="160">
        <f t="shared" ref="G82:H82" si="26">SUM( G76, G80 )</f>
        <v>1682.8714285714286</v>
      </c>
      <c r="H82" s="160">
        <f t="shared" si="26"/>
        <v>5873.2714285714292</v>
      </c>
      <c r="J82" s="148">
        <f>SUM( J76, J80)</f>
        <v>5182.5253571428575</v>
      </c>
      <c r="K82" s="148">
        <f t="shared" ref="K82:N82" si="27">SUM( K76, K80)</f>
        <v>4492.0259500000002</v>
      </c>
      <c r="L82" s="148">
        <f t="shared" si="27"/>
        <v>3801.7734144642855</v>
      </c>
      <c r="M82" s="148">
        <f t="shared" si="27"/>
        <v>3111.7672742942855</v>
      </c>
      <c r="N82" s="148">
        <f t="shared" si="27"/>
        <v>2422.0062950624392</v>
      </c>
    </row>
    <row r="83" spans="1:14" s="124" customFormat="1">
      <c r="F83" s="125"/>
      <c r="G83" s="125"/>
      <c r="H83" s="125"/>
    </row>
    <row r="84" spans="1:14" s="124" customFormat="1">
      <c r="D84" s="142" t="s">
        <v>49</v>
      </c>
      <c r="F84" s="125"/>
      <c r="G84" s="125"/>
      <c r="H84" s="125"/>
    </row>
    <row r="85" spans="1:14" s="124" customFormat="1">
      <c r="E85" s="124" t="s">
        <v>50</v>
      </c>
      <c r="F85" s="156">
        <f>CaseData!C87</f>
        <v>3700</v>
      </c>
      <c r="G85" s="155">
        <f xml:space="preserve"> _xlfn.LET(
      _xlpm.method,       $F$9,
      _xlpm.bravo,        0,
      IF( _xlpm.method = 1, 0, _xlpm.bravo ) )</f>
        <v>0</v>
      </c>
      <c r="H85" s="156">
        <f>SUM(F85:G85)</f>
        <v>3700</v>
      </c>
      <c r="J85" s="135" cm="1">
        <f t="array" ref="J85:N85" xml:space="preserve"> _xlfn.LET(
      _xlpm.consolidation_method,     $F$9,
      _xlpm.current_account,          $E85,
      _xlpm.alpha_rows,_xlfn.ANCHORARRAY(               $E$95),
      _xlpm.alpha_data,_xlfn.ANCHORARRAY(               $J$95),
      _xlpm.alpha_account,            INDEX( _xlpm.alpha_data, MATCH( _xlpm.current_account, _xlpm.alpha_rows, 0 ), 0 ),
      _xlpm.beta_rows,_xlfn.ANCHORARRAY(                $E$175),
      _xlpm.beta_data,_xlfn.ANCHORARRAY(                $J$175),
      _xlpm.beta_account,             INDEX( _xlpm.beta_data, MATCH( _xlpm.current_account, _xlpm.beta_rows, 0 ), 0 ),
      IF( _xlpm.consolidation_method = 1, _xlpm.alpha_account, _xlpm.alpha_account ) )</f>
        <v>3700</v>
      </c>
      <c r="K85" s="143">
        <v>3700</v>
      </c>
      <c r="L85" s="143">
        <v>3700</v>
      </c>
      <c r="M85" s="143">
        <v>3700</v>
      </c>
      <c r="N85" s="143">
        <v>3700</v>
      </c>
    </row>
    <row r="86" spans="1:14" s="124" customFormat="1">
      <c r="E86" s="124" t="s">
        <v>51</v>
      </c>
      <c r="F86" s="156">
        <f>CaseData!C88</f>
        <v>7844.9482724086138</v>
      </c>
      <c r="G86" s="155">
        <f t="shared" ref="G86:G87" si="28" xml:space="preserve"> _xlfn.LET(
      _xlpm.method,       $F$9,
      _xlpm.bravo,        0,
      IF( _xlpm.method = 1, 0, _xlpm.bravo ) )</f>
        <v>0</v>
      </c>
      <c r="H86" s="156">
        <f t="shared" ref="H86:H87" si="29">SUM(F86:G86)</f>
        <v>7844.9482724086138</v>
      </c>
      <c r="J86" s="163">
        <f xml:space="preserve"> IF( ( method_selector = 1 ) * ( J$256 = 1 ),
        $H$86 + J$25 + J$47 + J$48,
        IF( ( method_selector = 1 ) * ( J$256 = 0 ),
              I$86 + J$25 + J$47 + J$48,
           IF( (method_selector = 2 ) * ( J$256 = 1 ),
                $H$86 + J$27 + J$48, I$86 + J$27 + J$48 ) ) )</f>
        <v>8378.0730946478016</v>
      </c>
      <c r="K86" s="135">
        <f xml:space="preserve"> IF( ( method_selector = 1 ) * ( K$256 = 1 ),
        $H$86 + K$25 + K$47 + K$48,
        IF( ( method_selector = 1 ) * ( K$256 = 0 ),
              J$86 + K$25 + K$47 + K$48,
           IF( (method_selector = 2 ) * ( K$256 = 1 ),
                $H$86 + K$27 + K$48, J$86 + K$27 + K$48 ) ) )</f>
        <v>9017.1034846153725</v>
      </c>
      <c r="L86" s="135">
        <f xml:space="preserve"> IF( ( method_selector = 1 ) * ( L$256 = 1 ),
        $H$86 + L$25 + L$47 + L$48,
        IF( ( method_selector = 1 ) * ( L$256 = 0 ),
              K$86 + L$25 + L$47 + L$48,
           IF( (method_selector = 2 ) * ( L$256 = 1 ),
                $H$86 + L$27 + L$48, K$86 + L$27 + L$48 ) ) )</f>
        <v>9768.3189694614975</v>
      </c>
      <c r="M86" s="135">
        <f xml:space="preserve"> IF( ( method_selector = 1 ) * ( M$256 = 1 ),
        $H$86 + M$25 + M$47 + M$48,
        IF( ( method_selector = 1 ) * ( M$256 = 0 ),
              L$86 + M$25 + M$47 + M$48,
           IF( (method_selector = 2 ) * ( M$256 = 1 ),
                $H$86 + M$27 + M$48, L$86 + M$27 + M$48 ) ) )</f>
        <v>10638.443458378133</v>
      </c>
      <c r="N86" s="135">
        <f xml:space="preserve"> IF( ( method_selector = 1 ) * ( N$256 = 1 ),
        $H$86 + N$25 + N$47 + N$48,
        IF( ( method_selector = 1 ) * ( N$256 = 0 ),
              M$86 + N$25 + N$47 + N$48,
           IF( (method_selector = 2 ) * ( N$256 = 1 ),
                $H$86 + N$27 + N$48, M$86 + N$27 + N$48 ) ) )</f>
        <v>11634.675355099778</v>
      </c>
    </row>
    <row r="87" spans="1:14" s="124" customFormat="1">
      <c r="E87" s="124" t="s">
        <v>84</v>
      </c>
      <c r="F87" s="161">
        <v>0</v>
      </c>
      <c r="G87" s="155">
        <f t="shared" si="28"/>
        <v>0</v>
      </c>
      <c r="H87" s="156">
        <f t="shared" si="29"/>
        <v>0</v>
      </c>
      <c r="J87" s="135" cm="1">
        <f t="array" ref="J87:N87" xml:space="preserve"> _xlfn.LET(
      _xlpm.model_operationg_flag,_xlfn.ANCHORARRAY(    J257),
      _xlpm.consolidation_method,     $F$9,
      _xlpm.non_controlling_interest, $H$87,
      _xlpm.cfo_from_non_controlling,_xlfn.ANCHORARRAY( J34),
      _xlpm.cff_from_non_controlling,_xlfn.ANCHORARRAY( J47),
      _xlpm.model_operationg_flag *
          IF( _xlpm.consolidation_method = 1, _xlpm.non_controlling_interest,
                                        _xlpm.non_controlling_interest + _xlpm.cfo_from_non_controlling + _xlpm.cff_from_non_controlling) )</f>
        <v>0</v>
      </c>
      <c r="K87" s="124">
        <v>0</v>
      </c>
      <c r="L87" s="124">
        <v>0</v>
      </c>
      <c r="M87" s="124">
        <v>0</v>
      </c>
      <c r="N87" s="124">
        <v>0</v>
      </c>
    </row>
    <row r="88" spans="1:14" s="124" customFormat="1" ht="15">
      <c r="E88" s="140" t="s">
        <v>52</v>
      </c>
      <c r="F88" s="157">
        <f>SUM(F85:F87)</f>
        <v>11544.948272408614</v>
      </c>
      <c r="G88" s="157">
        <f t="shared" ref="G88:H88" si="30">SUM(G85:G87)</f>
        <v>0</v>
      </c>
      <c r="H88" s="157">
        <f t="shared" si="30"/>
        <v>11544.948272408614</v>
      </c>
      <c r="I88" s="140"/>
      <c r="J88" s="145">
        <f>SUM(J85:J87)</f>
        <v>12078.073094647802</v>
      </c>
      <c r="K88" s="145">
        <f t="shared" ref="K88:N88" si="31">SUM(K85:K87)</f>
        <v>12717.103484615373</v>
      </c>
      <c r="L88" s="145">
        <f t="shared" si="31"/>
        <v>13468.318969461498</v>
      </c>
      <c r="M88" s="145">
        <f t="shared" si="31"/>
        <v>14338.443458378133</v>
      </c>
      <c r="N88" s="145">
        <f t="shared" si="31"/>
        <v>15334.675355099778</v>
      </c>
    </row>
    <row r="89" spans="1:14" s="124" customFormat="1">
      <c r="F89" s="125"/>
      <c r="G89" s="125"/>
      <c r="H89" s="125"/>
    </row>
    <row r="90" spans="1:14" s="124" customFormat="1" ht="15">
      <c r="E90" s="139" t="s">
        <v>53</v>
      </c>
      <c r="F90" s="158">
        <f>SUM( F82, F88 )</f>
        <v>15735.348272408613</v>
      </c>
      <c r="G90" s="158">
        <f t="shared" ref="G90:H90" si="32">SUM( G82, G88 )</f>
        <v>1682.8714285714286</v>
      </c>
      <c r="H90" s="158">
        <f t="shared" si="32"/>
        <v>17418.219700980044</v>
      </c>
      <c r="J90" s="148">
        <f>SUM( J82, J88)</f>
        <v>17260.598451790658</v>
      </c>
      <c r="K90" s="148">
        <f t="shared" ref="K90:N90" si="33">SUM( K82, K88)</f>
        <v>17209.129434615374</v>
      </c>
      <c r="L90" s="148">
        <f t="shared" si="33"/>
        <v>17270.092383925781</v>
      </c>
      <c r="M90" s="148">
        <f t="shared" si="33"/>
        <v>17450.210732672418</v>
      </c>
      <c r="N90" s="148">
        <f t="shared" si="33"/>
        <v>17756.681650162216</v>
      </c>
    </row>
    <row r="91" spans="1:14" s="124" customFormat="1">
      <c r="E91" s="124" t="s">
        <v>54</v>
      </c>
      <c r="F91" s="125">
        <f xml:space="preserve"> F70 - F90</f>
        <v>0</v>
      </c>
      <c r="G91" s="125">
        <f t="shared" ref="G91:H91" si="34" xml:space="preserve"> G70 - G90</f>
        <v>0</v>
      </c>
      <c r="H91" s="125">
        <f t="shared" si="34"/>
        <v>0</v>
      </c>
      <c r="J91" s="124">
        <f xml:space="preserve"> J70 - J90</f>
        <v>0</v>
      </c>
      <c r="K91" s="124">
        <f t="shared" ref="K91:N91" si="35" xml:space="preserve"> K70 - K90</f>
        <v>0</v>
      </c>
      <c r="L91" s="124">
        <f t="shared" si="35"/>
        <v>0</v>
      </c>
      <c r="M91" s="124">
        <f t="shared" si="35"/>
        <v>0</v>
      </c>
      <c r="N91" s="124">
        <f t="shared" si="35"/>
        <v>0</v>
      </c>
    </row>
    <row r="92" spans="1:14" s="124" customFormat="1"/>
    <row r="93" spans="1:14" s="119" customFormat="1" ht="15">
      <c r="A93" s="120" t="s">
        <v>99</v>
      </c>
    </row>
    <row r="95" spans="1:14">
      <c r="E95" t="str" cm="1">
        <f t="array" ref="E95:E171" xml:space="preserve"> _xlfn.LET(
      _xlpm.alpha_data,    _xlfn.CHOOSECOLS( CaseData!$B$15:$H$91, {1,3,4,5,6} ),
      _xlpm.alpha_rows,    IF( CaseData!$B$15:$B$91 = 0, "", CaseData!$B$15:$B$91 ),
      _xlpm.alpha_cols,    _xlfn.CHOOSECOLS( CaseData!$C$13:$H$13, {2,3,4,5,6} ),
      _xlpm.beta_data,     _xlfn.CHOOSECOLS( CaseData!$B$104:$H$180, {1,3,4,5,6} ),
      _xlpm.beta_rows,     IF( CaseData!$B$104:$B$180 = 0, "", CaseData!$B$104:$B$180 ),
      _xlpm.beta_cols,     _xlfn.CHOOSECOLS( CaseData!$C$102:$H$102, {2,3,4,5,6} ),
      _xlpm.alpha_rows )</f>
        <v>Revenue</v>
      </c>
      <c r="J95" s="121" cm="1">
        <f t="array" ref="J95:N171" xml:space="preserve"> _xlfn.LET(
      _xlpm.alpha_data,    IF( CaseData!$D$15:$H$91 = 0, "", CaseData!$D$15:$H$91 ),
      _xlpm.alpha_rows,    IF( CaseData!$B$15:$B$91 = 0, "", CaseData!$B$15:$B$91 ),
      _xlpm.alpha_cols,    CaseData!$D$13:$H$13,
      _xlpm.alpha_before,  INDEX( _xlpm.alpha_data, MATCH(_xlfn.ANCHORARRAY( $E$95), _xlpm.alpha_rows, 0 ), MATCH(_xlfn.ANCHORARRAY( $J$3), _xlpm.alpha_cols, 0 ) ),
      _xlpm.beta_data,     IF( CaseData!$D$104:$H$180 = 0, "", CaseData!$D$104:$H$180 ),
      _xlpm.beta_rows,     IF( CaseData!$B$104:$B$180 = 0, "", CaseData!$B$104:$B$180 ),
      _xlpm.beta_cols,     CaseData!$D$102:$H$102,
      _xlpm.beta_before,   INDEX( _xlpm.beta_data, MATCH(_xlfn.ANCHORARRAY( $E$175), _xlpm.beta_rows, 0 ), MATCH(_xlfn.ANCHORARRAY( $J$3), _xlpm.beta_cols, 0 ) ),
      _xlpm.alpha_before )</f>
        <v>3675</v>
      </c>
      <c r="K95" s="121">
        <v>3858.75</v>
      </c>
      <c r="L95" s="121">
        <v>4051.6875</v>
      </c>
      <c r="M95" s="121">
        <v>4254.2718750000004</v>
      </c>
      <c r="N95" s="121">
        <v>4466.985468750001</v>
      </c>
    </row>
    <row r="96" spans="1:14">
      <c r="E96" t="str">
        <v>Less: COGS</v>
      </c>
      <c r="J96" s="121">
        <v>-2168.25</v>
      </c>
      <c r="K96" s="121">
        <v>-2238.0749999999998</v>
      </c>
      <c r="L96" s="121">
        <v>-2309.461875</v>
      </c>
      <c r="M96" s="121">
        <v>-2382.3922499999999</v>
      </c>
      <c r="N96" s="121">
        <v>-2456.8420078125005</v>
      </c>
    </row>
    <row r="97" spans="5:14">
      <c r="E97" t="str">
        <v>Gross Profit</v>
      </c>
      <c r="J97" s="121">
        <v>1506.75</v>
      </c>
      <c r="K97" s="121">
        <v>1620.6750000000002</v>
      </c>
      <c r="L97" s="121">
        <v>1742.225625</v>
      </c>
      <c r="M97" s="121">
        <v>1871.8796250000005</v>
      </c>
      <c r="N97" s="121">
        <v>2010.1434609375005</v>
      </c>
    </row>
    <row r="98" spans="5:14">
      <c r="E98" t="str">
        <v>Less: SG&amp;A</v>
      </c>
      <c r="J98" s="121">
        <v>-183.75</v>
      </c>
      <c r="K98" s="121">
        <v>-192.9375</v>
      </c>
      <c r="L98" s="121">
        <v>-202.58437500000002</v>
      </c>
      <c r="M98" s="121">
        <v>-212.71359375000003</v>
      </c>
      <c r="N98" s="121">
        <v>-223.34927343750007</v>
      </c>
    </row>
    <row r="99" spans="5:14">
      <c r="E99" t="str">
        <v>EBITDA</v>
      </c>
      <c r="J99" s="121">
        <v>1323</v>
      </c>
      <c r="K99" s="121">
        <v>1427.7375000000002</v>
      </c>
      <c r="L99" s="121">
        <v>1539.6412500000001</v>
      </c>
      <c r="M99" s="121">
        <v>1659.1660312500005</v>
      </c>
      <c r="N99" s="121">
        <v>1786.7941875000006</v>
      </c>
    </row>
    <row r="100" spans="5:14">
      <c r="E100" t="str">
        <v>Less: Depreciation</v>
      </c>
      <c r="J100" s="121">
        <v>-551.25</v>
      </c>
      <c r="K100" s="121">
        <v>-578.8125</v>
      </c>
      <c r="L100" s="121">
        <v>-607.75312499999995</v>
      </c>
      <c r="M100" s="121">
        <v>-638.14078125000003</v>
      </c>
      <c r="N100" s="121">
        <v>-670.04782031250011</v>
      </c>
    </row>
    <row r="101" spans="5:14">
      <c r="E101" t="str">
        <v>EBIT</v>
      </c>
      <c r="F101" s="118"/>
      <c r="J101" s="121">
        <v>771.75</v>
      </c>
      <c r="K101" s="121">
        <v>848.92500000000018</v>
      </c>
      <c r="L101" s="121">
        <v>931.88812500000017</v>
      </c>
      <c r="M101" s="121">
        <v>1021.0252500000005</v>
      </c>
      <c r="N101" s="121">
        <v>1116.7463671875005</v>
      </c>
    </row>
    <row r="102" spans="5:14">
      <c r="E102" t="str">
        <v>Add/(Less): Net Interest Income/(Expense)</v>
      </c>
      <c r="J102" s="121">
        <v>-221.6245579749193</v>
      </c>
      <c r="K102" s="121">
        <v>-190.20869410303624</v>
      </c>
      <c r="L102" s="121">
        <v>-158.47720692332578</v>
      </c>
      <c r="M102" s="121">
        <v>-126.41211640206387</v>
      </c>
      <c r="N102" s="121">
        <v>-93.994238395588468</v>
      </c>
    </row>
    <row r="103" spans="5:14">
      <c r="E103" t="str">
        <v>EBT</v>
      </c>
      <c r="J103" s="121">
        <v>550.1254420250807</v>
      </c>
      <c r="K103" s="121">
        <v>658.71630589696395</v>
      </c>
      <c r="L103" s="121">
        <v>773.41091807667442</v>
      </c>
      <c r="M103" s="121">
        <v>894.61313359793667</v>
      </c>
      <c r="N103" s="121">
        <v>1022.752128791912</v>
      </c>
    </row>
    <row r="104" spans="5:14">
      <c r="E104" t="str">
        <v>Less: Taxes</v>
      </c>
      <c r="J104" s="121">
        <v>-137.53136050627018</v>
      </c>
      <c r="K104" s="121">
        <v>-164.67907647424099</v>
      </c>
      <c r="L104" s="121">
        <v>-193.35272951916861</v>
      </c>
      <c r="M104" s="121">
        <v>-223.65328339948417</v>
      </c>
      <c r="N104" s="121">
        <v>-255.688032197978</v>
      </c>
    </row>
    <row r="105" spans="5:14">
      <c r="E105" t="str">
        <v>Net Income</v>
      </c>
      <c r="J105" s="121">
        <v>412.59408151881053</v>
      </c>
      <c r="K105" s="121">
        <v>494.03722942272293</v>
      </c>
      <c r="L105" s="121">
        <v>580.05818855750579</v>
      </c>
      <c r="M105" s="121">
        <v>670.9598501984525</v>
      </c>
      <c r="N105" s="121">
        <v>767.06409659393398</v>
      </c>
    </row>
    <row r="106" spans="5:14">
      <c r="E106" t="str">
        <v/>
      </c>
      <c r="J106" s="121" t="str">
        <v/>
      </c>
      <c r="K106" s="121" t="str">
        <v/>
      </c>
      <c r="L106" s="121" t="str">
        <v/>
      </c>
      <c r="M106" s="121" t="str">
        <v/>
      </c>
      <c r="N106" s="121" t="str">
        <v/>
      </c>
    </row>
    <row r="107" spans="5:14">
      <c r="E107" t="str">
        <v/>
      </c>
      <c r="J107" s="121" t="str">
        <v/>
      </c>
      <c r="K107" s="121" t="str">
        <v/>
      </c>
      <c r="L107" s="121" t="str">
        <v/>
      </c>
      <c r="M107" s="121" t="str">
        <v/>
      </c>
      <c r="N107" s="121" t="str">
        <v/>
      </c>
    </row>
    <row r="108" spans="5:14">
      <c r="E108" t="str">
        <v/>
      </c>
      <c r="J108" s="121" t="str">
        <v/>
      </c>
      <c r="K108" s="121" t="str">
        <v/>
      </c>
      <c r="L108" s="121" t="str">
        <v/>
      </c>
      <c r="M108" s="121" t="str">
        <v/>
      </c>
      <c r="N108" s="121" t="str">
        <v/>
      </c>
    </row>
    <row r="109" spans="5:14">
      <c r="E109" t="str">
        <v>Cash Flow Statement</v>
      </c>
      <c r="J109" s="121" t="str">
        <v/>
      </c>
      <c r="K109" s="121" t="str">
        <v/>
      </c>
      <c r="L109" s="121" t="str">
        <v/>
      </c>
      <c r="M109" s="121" t="str">
        <v/>
      </c>
      <c r="N109" s="121" t="str">
        <v/>
      </c>
    </row>
    <row r="110" spans="5:14">
      <c r="E110" t="str">
        <v>(in USD$ millions, fiscal years ended December 31st)</v>
      </c>
      <c r="J110" s="121" t="str">
        <v/>
      </c>
      <c r="K110" s="121" t="str">
        <v/>
      </c>
      <c r="L110" s="147" t="str">
        <v/>
      </c>
      <c r="M110" s="121" t="str">
        <v/>
      </c>
      <c r="N110" s="121" t="str">
        <v/>
      </c>
    </row>
    <row r="111" spans="5:14">
      <c r="E111" t="str">
        <v/>
      </c>
      <c r="J111" s="121" t="str">
        <v/>
      </c>
      <c r="K111" s="121" t="str">
        <v/>
      </c>
      <c r="L111" s="121" t="str">
        <v/>
      </c>
      <c r="M111" s="121" t="str">
        <v/>
      </c>
      <c r="N111" s="121" t="str">
        <v/>
      </c>
    </row>
    <row r="112" spans="5:14">
      <c r="E112" t="str">
        <v/>
      </c>
      <c r="J112" s="121" t="str">
        <v/>
      </c>
      <c r="K112" s="121" t="str">
        <v/>
      </c>
      <c r="L112" s="121" t="str">
        <v/>
      </c>
      <c r="M112" s="121" t="str">
        <v/>
      </c>
      <c r="N112" s="121" t="str">
        <v/>
      </c>
    </row>
    <row r="113" spans="5:14">
      <c r="E113" t="str">
        <v/>
      </c>
      <c r="J113" s="121" t="str">
        <v/>
      </c>
      <c r="K113" s="121" t="str">
        <v/>
      </c>
      <c r="L113" s="121" t="str">
        <v/>
      </c>
      <c r="M113" s="121" t="str">
        <v/>
      </c>
      <c r="N113" s="121" t="str">
        <v/>
      </c>
    </row>
    <row r="114" spans="5:14">
      <c r="E114" t="str">
        <v>Cash Flow from Operations</v>
      </c>
      <c r="J114" s="121" t="str">
        <v/>
      </c>
      <c r="K114" s="121" t="str">
        <v/>
      </c>
      <c r="L114" s="121" t="str">
        <v/>
      </c>
      <c r="M114" s="121" t="str">
        <v/>
      </c>
      <c r="N114" s="121" t="str">
        <v/>
      </c>
    </row>
    <row r="115" spans="5:14">
      <c r="E115" t="str">
        <v>Net Income</v>
      </c>
      <c r="J115" s="121">
        <v>412.59408151881053</v>
      </c>
      <c r="K115" s="121">
        <v>494.03722942272293</v>
      </c>
      <c r="L115" s="121">
        <v>580.05818855750579</v>
      </c>
      <c r="M115" s="121">
        <v>670.9598501984525</v>
      </c>
      <c r="N115" s="121">
        <v>767.06409659393398</v>
      </c>
    </row>
    <row r="116" spans="5:14">
      <c r="E116" t="str">
        <v>Add: Depreciation</v>
      </c>
      <c r="J116" s="121">
        <v>551.25</v>
      </c>
      <c r="K116" s="121">
        <v>578.8125</v>
      </c>
      <c r="L116" s="121">
        <v>607.75312499999995</v>
      </c>
      <c r="M116" s="121">
        <v>638.14078125000003</v>
      </c>
      <c r="N116" s="121">
        <v>670.04782031250011</v>
      </c>
    </row>
    <row r="117" spans="5:14">
      <c r="E117" t="str">
        <v>Add/(Less): Change in W/C</v>
      </c>
      <c r="J117" s="121">
        <v>-22.470000000000084</v>
      </c>
      <c r="K117" s="121">
        <v>-23.483249999999884</v>
      </c>
      <c r="L117" s="121">
        <v>-24.541650000000118</v>
      </c>
      <c r="M117" s="121">
        <v>-25.647181875000001</v>
      </c>
      <c r="N117" s="121">
        <v>-26.801912812500177</v>
      </c>
    </row>
    <row r="118" spans="5:14">
      <c r="E118" t="str">
        <v>Cash Flow from Operations</v>
      </c>
      <c r="J118" s="121" t="str">
        <v/>
      </c>
      <c r="K118" s="121" t="str">
        <v/>
      </c>
      <c r="L118" s="121" t="str">
        <v/>
      </c>
      <c r="M118" s="121" t="str">
        <v/>
      </c>
      <c r="N118" s="121" t="str">
        <v/>
      </c>
    </row>
    <row r="119" spans="5:14">
      <c r="E119" t="str">
        <v/>
      </c>
      <c r="J119" s="121" t="str">
        <v/>
      </c>
      <c r="K119" s="121" t="str">
        <v/>
      </c>
      <c r="L119" s="121" t="str">
        <v/>
      </c>
      <c r="M119" s="121" t="str">
        <v/>
      </c>
      <c r="N119" s="121" t="str">
        <v/>
      </c>
    </row>
    <row r="120" spans="5:14">
      <c r="E120" t="str">
        <v>Cash Flow from Investing Activities</v>
      </c>
      <c r="J120" s="121" t="str">
        <v/>
      </c>
      <c r="K120" s="121" t="str">
        <v/>
      </c>
      <c r="L120" s="121" t="str">
        <v/>
      </c>
      <c r="M120" s="121" t="str">
        <v/>
      </c>
      <c r="N120" s="121" t="str">
        <v/>
      </c>
    </row>
    <row r="121" spans="5:14">
      <c r="E121" t="str">
        <v>Less: Capex</v>
      </c>
      <c r="J121" s="121">
        <v>-606.375</v>
      </c>
      <c r="K121" s="121">
        <v>-636.69375000000002</v>
      </c>
      <c r="L121" s="121">
        <v>-668.5284375</v>
      </c>
      <c r="M121" s="121">
        <v>-701.95485937500007</v>
      </c>
      <c r="N121" s="121">
        <v>-737.05260234375021</v>
      </c>
    </row>
    <row r="122" spans="5:14">
      <c r="E122" t="str">
        <v>Cash Flow from Investing Activities</v>
      </c>
      <c r="J122" s="121" t="str">
        <v/>
      </c>
      <c r="K122" s="121" t="str">
        <v/>
      </c>
      <c r="L122" s="121" t="str">
        <v/>
      </c>
      <c r="M122" s="121" t="str">
        <v/>
      </c>
      <c r="N122" s="121" t="str">
        <v/>
      </c>
    </row>
    <row r="123" spans="5:14">
      <c r="E123" t="str">
        <v/>
      </c>
      <c r="J123" s="121" t="str">
        <v/>
      </c>
      <c r="K123" s="121" t="str">
        <v/>
      </c>
      <c r="L123" s="121" t="str">
        <v/>
      </c>
      <c r="M123" s="121" t="str">
        <v/>
      </c>
      <c r="N123" s="121" t="str">
        <v/>
      </c>
    </row>
    <row r="124" spans="5:14">
      <c r="E124" t="str">
        <v>Cash Flow from Financing Activities</v>
      </c>
      <c r="J124" s="121" t="str">
        <v/>
      </c>
      <c r="K124" s="121" t="str">
        <v/>
      </c>
      <c r="L124" s="121" t="str">
        <v/>
      </c>
      <c r="M124" s="121" t="str">
        <v/>
      </c>
      <c r="N124" s="121" t="str">
        <v/>
      </c>
    </row>
    <row r="125" spans="5:14">
      <c r="E125" t="str">
        <v>Add/(Less): Issuance/(Repayment) of Debt</v>
      </c>
      <c r="J125" s="121">
        <v>-500</v>
      </c>
      <c r="K125" s="121">
        <v>-500</v>
      </c>
      <c r="L125" s="121">
        <v>-500</v>
      </c>
      <c r="M125" s="121">
        <v>-500</v>
      </c>
      <c r="N125" s="121">
        <v>-500</v>
      </c>
    </row>
    <row r="126" spans="5:14">
      <c r="E126" t="str">
        <v>Add/(Less): Issuance/(Repayment) of Common Shares</v>
      </c>
      <c r="J126" s="121" t="str">
        <v/>
      </c>
      <c r="K126" s="121" t="str">
        <v/>
      </c>
      <c r="L126" s="121" t="str">
        <v/>
      </c>
      <c r="M126" s="121" t="str">
        <v/>
      </c>
      <c r="N126" s="121" t="str">
        <v/>
      </c>
    </row>
    <row r="127" spans="5:14">
      <c r="E127" t="str">
        <v>Less: Dividends</v>
      </c>
      <c r="J127" s="121">
        <v>-82.518816303762108</v>
      </c>
      <c r="K127" s="121">
        <v>-98.807445884544592</v>
      </c>
      <c r="L127" s="121">
        <v>-116.01163771150117</v>
      </c>
      <c r="M127" s="121">
        <v>-134.19197003969052</v>
      </c>
      <c r="N127" s="121">
        <v>-153.4128193187868</v>
      </c>
    </row>
    <row r="128" spans="5:14">
      <c r="E128" t="str">
        <v>Cash Flow from Financing Activities</v>
      </c>
      <c r="J128" s="121" t="str">
        <v/>
      </c>
      <c r="K128" s="121" t="str">
        <v/>
      </c>
      <c r="L128" s="121" t="str">
        <v/>
      </c>
      <c r="M128" s="121" t="str">
        <v/>
      </c>
      <c r="N128" s="121" t="str">
        <v/>
      </c>
    </row>
    <row r="129" spans="5:14">
      <c r="E129" t="str">
        <v/>
      </c>
      <c r="J129" s="121" t="str">
        <v/>
      </c>
      <c r="K129" s="121" t="str">
        <v/>
      </c>
      <c r="L129" s="121" t="str">
        <v/>
      </c>
      <c r="M129" s="121" t="str">
        <v/>
      </c>
      <c r="N129" s="121" t="str">
        <v/>
      </c>
    </row>
    <row r="130" spans="5:14">
      <c r="E130" t="str">
        <v>Beginning Cash &amp; Equivalents</v>
      </c>
      <c r="J130" s="121">
        <v>4548.8482724086134</v>
      </c>
      <c r="K130" s="121">
        <v>4301.3285376236618</v>
      </c>
      <c r="L130" s="121">
        <v>4115.1938211618399</v>
      </c>
      <c r="M130" s="121">
        <v>3993.9234095078446</v>
      </c>
      <c r="N130" s="121">
        <v>3941.2300296666062</v>
      </c>
    </row>
    <row r="131" spans="5:14">
      <c r="E131" t="str">
        <v>Change in Cash &amp; Equivalents</v>
      </c>
      <c r="J131" s="121">
        <v>-247.51973478495165</v>
      </c>
      <c r="K131" s="121">
        <v>-186.13471646182165</v>
      </c>
      <c r="L131" s="121">
        <v>-121.27041165399544</v>
      </c>
      <c r="M131" s="121">
        <v>-52.693379841238198</v>
      </c>
      <c r="N131" s="121">
        <v>19.84458243139693</v>
      </c>
    </row>
    <row r="132" spans="5:14">
      <c r="E132" t="str">
        <v>Ending Cash &amp; Equivalents</v>
      </c>
      <c r="J132" s="121">
        <v>4301.3285376236618</v>
      </c>
      <c r="K132" s="121">
        <v>4115.1938211618399</v>
      </c>
      <c r="L132" s="121">
        <v>3993.9234095078446</v>
      </c>
      <c r="M132" s="121">
        <v>3941.2300296666062</v>
      </c>
      <c r="N132" s="121">
        <v>3961.0746120980029</v>
      </c>
    </row>
    <row r="133" spans="5:14">
      <c r="E133" t="str">
        <v/>
      </c>
      <c r="J133" s="121" t="str">
        <v/>
      </c>
      <c r="K133" s="121" t="str">
        <v/>
      </c>
      <c r="L133" s="121" t="str">
        <v/>
      </c>
      <c r="M133" s="121" t="str">
        <v/>
      </c>
      <c r="N133" s="121" t="str">
        <v/>
      </c>
    </row>
    <row r="134" spans="5:14">
      <c r="E134" t="str">
        <v/>
      </c>
      <c r="J134" s="121" t="str">
        <v/>
      </c>
      <c r="K134" s="121" t="str">
        <v/>
      </c>
      <c r="L134" s="121" t="str">
        <v/>
      </c>
      <c r="M134" s="121" t="str">
        <v/>
      </c>
      <c r="N134" s="121" t="str">
        <v/>
      </c>
    </row>
    <row r="135" spans="5:14">
      <c r="E135" t="str">
        <v/>
      </c>
      <c r="J135" s="121" t="str">
        <v/>
      </c>
      <c r="K135" s="121" t="str">
        <v/>
      </c>
      <c r="L135" s="121" t="str">
        <v/>
      </c>
      <c r="M135" s="121" t="str">
        <v/>
      </c>
      <c r="N135" s="121" t="str">
        <v/>
      </c>
    </row>
    <row r="136" spans="5:14">
      <c r="E136" t="str">
        <v>Balance Sheet</v>
      </c>
      <c r="J136" s="121" t="str">
        <v/>
      </c>
      <c r="K136" s="121" t="str">
        <v/>
      </c>
      <c r="L136" s="121" t="str">
        <v/>
      </c>
      <c r="M136" s="121" t="str">
        <v/>
      </c>
      <c r="N136" s="121" t="str">
        <v/>
      </c>
    </row>
    <row r="137" spans="5:14">
      <c r="E137" t="str">
        <v>(in USD$ millions, fiscal years ended December 31st)</v>
      </c>
      <c r="J137" s="121" t="str">
        <v/>
      </c>
      <c r="K137" s="121" t="str">
        <v/>
      </c>
      <c r="L137" s="121" t="str">
        <v/>
      </c>
      <c r="M137" s="121" t="str">
        <v/>
      </c>
      <c r="N137" s="121" t="str">
        <v/>
      </c>
    </row>
    <row r="138" spans="5:14">
      <c r="E138" t="str">
        <v/>
      </c>
      <c r="J138" s="121" t="str">
        <v/>
      </c>
      <c r="K138" s="121" t="str">
        <v/>
      </c>
      <c r="L138" s="121" t="str">
        <v/>
      </c>
      <c r="M138" s="121" t="str">
        <v/>
      </c>
      <c r="N138" s="121" t="str">
        <v/>
      </c>
    </row>
    <row r="139" spans="5:14">
      <c r="E139" t="str">
        <v/>
      </c>
      <c r="J139" s="121" t="str">
        <v/>
      </c>
      <c r="K139" s="121" t="str">
        <v/>
      </c>
      <c r="L139" s="121" t="str">
        <v/>
      </c>
      <c r="M139" s="121" t="str">
        <v/>
      </c>
      <c r="N139" s="121" t="str">
        <v/>
      </c>
    </row>
    <row r="140" spans="5:14">
      <c r="E140" t="str">
        <v/>
      </c>
      <c r="J140" s="121" t="str">
        <v/>
      </c>
      <c r="K140" s="121" t="str">
        <v/>
      </c>
      <c r="L140" s="121" t="str">
        <v/>
      </c>
      <c r="M140" s="121" t="str">
        <v/>
      </c>
      <c r="N140" s="121" t="str">
        <v/>
      </c>
    </row>
    <row r="141" spans="5:14">
      <c r="E141" t="str">
        <v>Assets</v>
      </c>
      <c r="J141" s="121" t="str">
        <v/>
      </c>
      <c r="K141" s="121" t="str">
        <v/>
      </c>
      <c r="L141" s="121" t="str">
        <v/>
      </c>
      <c r="M141" s="121" t="str">
        <v/>
      </c>
      <c r="N141" s="121" t="str">
        <v/>
      </c>
    </row>
    <row r="142" spans="5:14">
      <c r="E142" t="str">
        <v>Cash and Equivalents</v>
      </c>
      <c r="J142" s="121">
        <v>4301.3285376236618</v>
      </c>
      <c r="K142" s="121">
        <v>4115.1938211618399</v>
      </c>
      <c r="L142" s="121">
        <v>3993.9234095078446</v>
      </c>
      <c r="M142" s="121">
        <v>3941.2300296666062</v>
      </c>
      <c r="N142" s="121">
        <v>3961.0746120980029</v>
      </c>
    </row>
    <row r="143" spans="5:14">
      <c r="E143" t="str">
        <v>A/R</v>
      </c>
      <c r="J143" s="121">
        <v>294</v>
      </c>
      <c r="K143" s="121">
        <v>308.7</v>
      </c>
      <c r="L143" s="121">
        <v>324.13499999999999</v>
      </c>
      <c r="M143" s="121">
        <v>340.34175000000005</v>
      </c>
      <c r="N143" s="121">
        <v>357.35883750000011</v>
      </c>
    </row>
    <row r="144" spans="5:14">
      <c r="E144" t="str">
        <v>Inventories</v>
      </c>
      <c r="J144" s="121">
        <v>325.23750000000001</v>
      </c>
      <c r="K144" s="121">
        <v>335.71124999999995</v>
      </c>
      <c r="L144" s="121">
        <v>346.41928124999998</v>
      </c>
      <c r="M144" s="121">
        <v>357.35883749999999</v>
      </c>
      <c r="N144" s="121">
        <v>368.52630117187505</v>
      </c>
    </row>
    <row r="145" spans="5:14">
      <c r="E145" t="str">
        <v>Other current assets</v>
      </c>
      <c r="J145" s="121">
        <v>91.875</v>
      </c>
      <c r="K145" s="121">
        <v>96.46875</v>
      </c>
      <c r="L145" s="121">
        <v>101.29218750000001</v>
      </c>
      <c r="M145" s="121">
        <v>106.35679687500001</v>
      </c>
      <c r="N145" s="121">
        <v>111.67463671875004</v>
      </c>
    </row>
    <row r="146" spans="5:14">
      <c r="E146" t="str">
        <v>Total Current Assets</v>
      </c>
      <c r="J146" s="121">
        <v>5012.4410376236619</v>
      </c>
      <c r="K146" s="121">
        <v>4856.07382116184</v>
      </c>
      <c r="L146" s="121">
        <v>4765.7698782578445</v>
      </c>
      <c r="M146" s="121">
        <v>4745.287414041607</v>
      </c>
      <c r="N146" s="121">
        <v>4798.6343874886279</v>
      </c>
    </row>
    <row r="147" spans="5:14">
      <c r="E147" t="str">
        <v/>
      </c>
      <c r="J147" s="121" t="str">
        <v/>
      </c>
      <c r="K147" s="121" t="str">
        <v/>
      </c>
      <c r="L147" s="121" t="str">
        <v/>
      </c>
      <c r="M147" s="121" t="str">
        <v/>
      </c>
      <c r="N147" s="121" t="str">
        <v/>
      </c>
    </row>
    <row r="148" spans="5:14">
      <c r="E148" t="str">
        <v>Fixed Assets</v>
      </c>
      <c r="J148" s="121">
        <v>10555.125</v>
      </c>
      <c r="K148" s="121">
        <v>10613.00625</v>
      </c>
      <c r="L148" s="121">
        <v>10673.7815625</v>
      </c>
      <c r="M148" s="121">
        <v>10737.595640625001</v>
      </c>
      <c r="N148" s="121">
        <v>10804.600422656251</v>
      </c>
    </row>
    <row r="149" spans="5:14">
      <c r="E149" t="str">
        <v>Other LT assets</v>
      </c>
      <c r="J149" s="121">
        <v>4</v>
      </c>
      <c r="K149" s="121">
        <v>4</v>
      </c>
      <c r="L149" s="121">
        <v>4</v>
      </c>
      <c r="M149" s="121">
        <v>4</v>
      </c>
      <c r="N149" s="121">
        <v>4</v>
      </c>
    </row>
    <row r="150" spans="5:14">
      <c r="E150" t="str">
        <v>Total Long-Term Assets</v>
      </c>
      <c r="J150" s="121">
        <v>10559.125</v>
      </c>
      <c r="K150" s="121">
        <v>10617.00625</v>
      </c>
      <c r="L150" s="121">
        <v>10677.7815625</v>
      </c>
      <c r="M150" s="121">
        <v>10741.595640625001</v>
      </c>
      <c r="N150" s="121">
        <v>10808.600422656251</v>
      </c>
    </row>
    <row r="151" spans="5:14">
      <c r="E151" t="str">
        <v/>
      </c>
      <c r="J151" s="121" t="str">
        <v/>
      </c>
      <c r="K151" s="121" t="str">
        <v/>
      </c>
      <c r="L151" s="121" t="str">
        <v/>
      </c>
      <c r="M151" s="121" t="str">
        <v/>
      </c>
      <c r="N151" s="121" t="str">
        <v/>
      </c>
    </row>
    <row r="152" spans="5:14">
      <c r="E152" t="str">
        <v>Total Assets</v>
      </c>
      <c r="J152" s="121">
        <v>15571.566037623663</v>
      </c>
      <c r="K152" s="121">
        <v>15473.080071161839</v>
      </c>
      <c r="L152" s="121">
        <v>15443.551440757845</v>
      </c>
      <c r="M152" s="121">
        <v>15486.883054666607</v>
      </c>
      <c r="N152" s="121">
        <v>15607.234810144879</v>
      </c>
    </row>
    <row r="153" spans="5:14">
      <c r="E153" t="str">
        <v/>
      </c>
      <c r="J153" s="121" t="str">
        <v/>
      </c>
      <c r="K153" s="121" t="str">
        <v/>
      </c>
      <c r="L153" s="121" t="str">
        <v/>
      </c>
      <c r="M153" s="121" t="str">
        <v/>
      </c>
      <c r="N153" s="121" t="str">
        <v/>
      </c>
    </row>
    <row r="154" spans="5:14">
      <c r="E154" t="str">
        <v>Liabilities</v>
      </c>
      <c r="J154" s="121" t="str">
        <v/>
      </c>
      <c r="K154" s="121" t="str">
        <v/>
      </c>
      <c r="L154" s="121" t="str">
        <v/>
      </c>
      <c r="M154" s="121" t="str">
        <v/>
      </c>
      <c r="N154" s="121" t="str">
        <v/>
      </c>
    </row>
    <row r="155" spans="5:14">
      <c r="E155" t="str">
        <v>A/P</v>
      </c>
      <c r="J155" s="121">
        <v>195.14249999999998</v>
      </c>
      <c r="K155" s="121">
        <v>201.42674999999997</v>
      </c>
      <c r="L155" s="121">
        <v>207.85156874999998</v>
      </c>
      <c r="M155" s="121">
        <v>214.41530249999997</v>
      </c>
      <c r="N155" s="121">
        <v>221.11578070312504</v>
      </c>
    </row>
    <row r="156" spans="5:14">
      <c r="E156" t="str">
        <v>Long-Term Debt Due within One Year</v>
      </c>
      <c r="J156" s="121">
        <v>500</v>
      </c>
      <c r="K156" s="121">
        <v>500</v>
      </c>
      <c r="L156" s="121">
        <v>500</v>
      </c>
      <c r="M156" s="121">
        <v>500</v>
      </c>
      <c r="N156" s="121">
        <v>500</v>
      </c>
    </row>
    <row r="157" spans="5:14">
      <c r="E157" t="str">
        <v>Other current liabilities</v>
      </c>
      <c r="J157" s="121">
        <v>0.3</v>
      </c>
      <c r="K157" s="121">
        <v>0.3</v>
      </c>
      <c r="L157" s="121">
        <v>0.3</v>
      </c>
      <c r="M157" s="121">
        <v>0.3</v>
      </c>
      <c r="N157" s="121">
        <v>0.3</v>
      </c>
    </row>
    <row r="158" spans="5:14">
      <c r="E158" t="str">
        <v>Total Current Liabilities</v>
      </c>
      <c r="J158" s="121">
        <v>695.44249999999988</v>
      </c>
      <c r="K158" s="121">
        <v>701.72674999999992</v>
      </c>
      <c r="L158" s="121">
        <v>708.15156874999991</v>
      </c>
      <c r="M158" s="121">
        <v>714.71530249999989</v>
      </c>
      <c r="N158" s="121">
        <v>721.41578070312494</v>
      </c>
    </row>
    <row r="159" spans="5:14">
      <c r="E159" t="str">
        <v/>
      </c>
      <c r="J159" s="121" t="str">
        <v/>
      </c>
      <c r="K159" s="121" t="str">
        <v/>
      </c>
      <c r="L159" s="121" t="str">
        <v/>
      </c>
      <c r="M159" s="121" t="str">
        <v/>
      </c>
      <c r="N159" s="121" t="str">
        <v/>
      </c>
    </row>
    <row r="160" spans="5:14">
      <c r="E160" t="str">
        <v>Long-Term Debt</v>
      </c>
      <c r="J160" s="121">
        <v>3000</v>
      </c>
      <c r="K160" s="121">
        <v>2500</v>
      </c>
      <c r="L160" s="121">
        <v>2000</v>
      </c>
      <c r="M160" s="121">
        <v>1500</v>
      </c>
      <c r="N160" s="121">
        <v>1000</v>
      </c>
    </row>
    <row r="161" spans="1:14">
      <c r="E161" t="str">
        <v>Other LT liabilities</v>
      </c>
      <c r="J161" s="121">
        <v>1.1000000000000001</v>
      </c>
      <c r="K161" s="121">
        <v>1.1000000000000001</v>
      </c>
      <c r="L161" s="121">
        <v>1.1000000000000001</v>
      </c>
      <c r="M161" s="121">
        <v>1.1000000000000001</v>
      </c>
      <c r="N161" s="121">
        <v>1.1000000000000001</v>
      </c>
    </row>
    <row r="162" spans="1:14">
      <c r="E162" t="str">
        <v>Total Long-term Liabilities</v>
      </c>
      <c r="J162" s="121">
        <v>3001.1</v>
      </c>
      <c r="K162" s="121">
        <v>2501.1</v>
      </c>
      <c r="L162" s="121">
        <v>2001.1</v>
      </c>
      <c r="M162" s="121">
        <v>1501.1</v>
      </c>
      <c r="N162" s="121">
        <v>1001.1</v>
      </c>
    </row>
    <row r="163" spans="1:14">
      <c r="E163" t="str">
        <v/>
      </c>
      <c r="J163" s="121" t="str">
        <v/>
      </c>
      <c r="K163" s="121" t="str">
        <v/>
      </c>
      <c r="L163" s="121" t="str">
        <v/>
      </c>
      <c r="M163" s="121" t="str">
        <v/>
      </c>
      <c r="N163" s="121" t="str">
        <v/>
      </c>
    </row>
    <row r="164" spans="1:14">
      <c r="E164" t="str">
        <v>Total Liabilities</v>
      </c>
      <c r="J164" s="121">
        <v>3696.5424999999996</v>
      </c>
      <c r="K164" s="121">
        <v>3202.8267499999997</v>
      </c>
      <c r="L164" s="121">
        <v>2709.2515687499999</v>
      </c>
      <c r="M164" s="121">
        <v>2215.8153024999997</v>
      </c>
      <c r="N164" s="121">
        <v>1722.5157807031251</v>
      </c>
    </row>
    <row r="165" spans="1:14">
      <c r="E165" t="str">
        <v/>
      </c>
      <c r="J165" s="121" t="str">
        <v/>
      </c>
      <c r="K165" s="121" t="str">
        <v/>
      </c>
      <c r="L165" s="121" t="str">
        <v/>
      </c>
      <c r="M165" s="121" t="str">
        <v/>
      </c>
      <c r="N165" s="121" t="str">
        <v/>
      </c>
    </row>
    <row r="166" spans="1:14">
      <c r="E166" t="str">
        <v>Shareholders' Equity</v>
      </c>
      <c r="J166" s="121" t="str">
        <v/>
      </c>
      <c r="K166" s="121" t="str">
        <v/>
      </c>
      <c r="L166" s="121" t="str">
        <v/>
      </c>
      <c r="M166" s="121" t="str">
        <v/>
      </c>
      <c r="N166" s="121" t="str">
        <v/>
      </c>
    </row>
    <row r="167" spans="1:14">
      <c r="E167" t="str">
        <v>Common Shares</v>
      </c>
      <c r="J167" s="121">
        <v>3700</v>
      </c>
      <c r="K167" s="121">
        <v>3700</v>
      </c>
      <c r="L167" s="121">
        <v>3700</v>
      </c>
      <c r="M167" s="121">
        <v>3700</v>
      </c>
      <c r="N167" s="121">
        <v>3700</v>
      </c>
    </row>
    <row r="168" spans="1:14">
      <c r="E168" t="str">
        <v>Retained Earnings</v>
      </c>
      <c r="J168" s="121">
        <v>8175.0235376236615</v>
      </c>
      <c r="K168" s="121">
        <v>8570.2533211618411</v>
      </c>
      <c r="L168" s="121">
        <v>9034.2998720078467</v>
      </c>
      <c r="M168" s="121">
        <v>9571.0677521666094</v>
      </c>
      <c r="N168" s="121">
        <v>10184.719029441758</v>
      </c>
    </row>
    <row r="169" spans="1:14">
      <c r="E169" t="str">
        <v>Total Shareholders' Equity</v>
      </c>
      <c r="J169" s="121">
        <v>11875.023537623661</v>
      </c>
      <c r="K169" s="121">
        <v>12270.253321161841</v>
      </c>
      <c r="L169" s="121">
        <v>12734.299872007847</v>
      </c>
      <c r="M169" s="121">
        <v>13271.067752166609</v>
      </c>
      <c r="N169" s="121">
        <v>13884.719029441758</v>
      </c>
    </row>
    <row r="170" spans="1:14">
      <c r="E170" t="str">
        <v/>
      </c>
      <c r="J170" s="121" t="str">
        <v/>
      </c>
      <c r="K170" s="121" t="str">
        <v/>
      </c>
      <c r="L170" s="121" t="str">
        <v/>
      </c>
      <c r="M170" s="121" t="str">
        <v/>
      </c>
      <c r="N170" s="121" t="str">
        <v/>
      </c>
    </row>
    <row r="171" spans="1:14">
      <c r="E171" t="str">
        <v>Total Liabilities &amp; Shareholders' Equity</v>
      </c>
      <c r="J171" s="121">
        <v>15571.566037623661</v>
      </c>
      <c r="K171" s="121">
        <v>15473.080071161841</v>
      </c>
      <c r="L171" s="121">
        <v>15443.551440757847</v>
      </c>
      <c r="M171" s="121">
        <v>15486.883054666609</v>
      </c>
      <c r="N171" s="121">
        <v>15607.234810144882</v>
      </c>
    </row>
    <row r="173" spans="1:14" s="119" customFormat="1" ht="15">
      <c r="A173" s="120" t="s">
        <v>107</v>
      </c>
    </row>
    <row r="175" spans="1:14">
      <c r="E175" t="str" cm="1">
        <f t="array" ref="E175:E251" xml:space="preserve"> _xlfn.LET(
      _xlpm.alpha_data,    _xlfn.CHOOSECOLS( CaseData!$B$15:$H$91, {1,3,4,5,6} ),
      _xlpm.alpha_rows,    IF( CaseData!$B$15:$B$91 = 0, "", CaseData!$B$15:$B$91 ),
      _xlpm.alpha_cols,    _xlfn.CHOOSECOLS( CaseData!$C$13:$H$13, {2,3,4,5,6} ),
      _xlpm.beta_data,     _xlfn.CHOOSECOLS( CaseData!$B$104:$H$180, {1,3,4,5,6} ),
      _xlpm.beta_rows,     IF( CaseData!$B$104:$B$180 = 0, "", CaseData!$B$104:$B$180 ),
      _xlpm.beta_cols,     _xlfn.CHOOSECOLS( CaseData!$C$102:$H$102, {2,3,4,5,6} ),
      _xlpm.beta_rows )</f>
        <v>Revenue</v>
      </c>
      <c r="J175" s="121" cm="1">
        <f t="array" ref="J175:N251" xml:space="preserve"> _xlfn.LET(
      _xlpm.alpha_data,    IF( CaseData!$D$15:$H$91 = 0, "", CaseData!$D$15:$H$91 ),
      _xlpm.alpha_rows,    IF( CaseData!$B$15:$B$91 = 0, "", CaseData!$B$15:$B$91 ),
      _xlpm.alpha_cols,    CaseData!$D$13:$H$13,
      _xlpm.alpha_before,  INDEX( _xlpm.alpha_data, MATCH(_xlfn.ANCHORARRAY( $E$95), _xlpm.alpha_rows, 0 ), MATCH(_xlfn.ANCHORARRAY( $J$3), _xlpm.alpha_cols, 0 ) ),
      _xlpm.beta_data,     IF( CaseData!$D$104:$H$180 = 0, "", CaseData!$D$104:$H$180 ),
      _xlpm.beta_rows,     IF( CaseData!$B$104:$B$180 = 0, "", CaseData!$B$104:$B$180 ),
      _xlpm.beta_cols,     CaseData!$D$102:$H$102,
      _xlpm.beta_before,   INDEX( _xlpm.beta_data, MATCH(_xlfn.ANCHORARRAY( $E$175), _xlpm.beta_rows, 0 ), MATCH(_xlfn.ANCHORARRAY( $J$3), _xlpm.beta_cols, 0 ) ),
      _xlpm.beta_before )</f>
        <v>1514.2857142857144</v>
      </c>
      <c r="K175">
        <v>1605.1428571428573</v>
      </c>
      <c r="L175">
        <v>1701.4514285714288</v>
      </c>
      <c r="M175">
        <v>1803.5385142857147</v>
      </c>
      <c r="N175">
        <v>1911.7508251428576</v>
      </c>
    </row>
    <row r="176" spans="1:14">
      <c r="E176" t="str">
        <v>Less: COGS</v>
      </c>
      <c r="J176">
        <v>-863.14285714285734</v>
      </c>
      <c r="K176">
        <v>-898.88000000000022</v>
      </c>
      <c r="L176">
        <v>-935.79828571428595</v>
      </c>
      <c r="M176">
        <v>-973.91079771428599</v>
      </c>
      <c r="N176">
        <v>-1013.2279373257146</v>
      </c>
    </row>
    <row r="177" spans="5:14">
      <c r="E177" t="str">
        <v>Gross Profit</v>
      </c>
      <c r="J177">
        <v>651.14285714285711</v>
      </c>
      <c r="K177">
        <v>706.26285714285711</v>
      </c>
      <c r="L177">
        <v>765.65314285714283</v>
      </c>
      <c r="M177">
        <v>829.62771657142866</v>
      </c>
      <c r="N177">
        <v>898.52288781714299</v>
      </c>
    </row>
    <row r="178" spans="5:14">
      <c r="E178" t="str">
        <v>Less: SG&amp;A</v>
      </c>
      <c r="J178">
        <v>-60.571428571428577</v>
      </c>
      <c r="K178">
        <v>-64.205714285714294</v>
      </c>
      <c r="L178">
        <v>-68.058057142857152</v>
      </c>
      <c r="M178">
        <v>-72.141540571428592</v>
      </c>
      <c r="N178">
        <v>-76.470033005714299</v>
      </c>
    </row>
    <row r="179" spans="5:14">
      <c r="E179" t="str">
        <v>EBITDA</v>
      </c>
      <c r="J179">
        <v>590.57142857142856</v>
      </c>
      <c r="K179">
        <v>642.05714285714282</v>
      </c>
      <c r="L179">
        <v>697.59508571428569</v>
      </c>
      <c r="M179">
        <v>757.48617600000011</v>
      </c>
      <c r="N179">
        <v>822.05285481142869</v>
      </c>
    </row>
    <row r="180" spans="5:14">
      <c r="E180" t="str">
        <v>Less: Depreciation</v>
      </c>
      <c r="J180">
        <v>-219.57142857142858</v>
      </c>
      <c r="K180">
        <v>-232.74571428571429</v>
      </c>
      <c r="L180">
        <v>-246.71045714285717</v>
      </c>
      <c r="M180">
        <v>-261.51308457142864</v>
      </c>
      <c r="N180">
        <v>-277.20386964571435</v>
      </c>
    </row>
    <row r="181" spans="5:14">
      <c r="E181" t="str">
        <v>EBIT</v>
      </c>
      <c r="J181">
        <v>371</v>
      </c>
      <c r="K181">
        <v>409.31142857142856</v>
      </c>
      <c r="L181">
        <v>450.88462857142849</v>
      </c>
      <c r="M181">
        <v>495.97309142857148</v>
      </c>
      <c r="N181">
        <v>544.84898516571434</v>
      </c>
    </row>
    <row r="182" spans="5:14">
      <c r="E182" t="str">
        <v>Add/(Less): Net Interest Income/(Expense)</v>
      </c>
      <c r="J182">
        <v>-107.29927659202717</v>
      </c>
      <c r="K182">
        <v>-92.687264377412063</v>
      </c>
      <c r="L182">
        <v>-77.937961038803266</v>
      </c>
      <c r="M182">
        <v>-63.042430704062497</v>
      </c>
      <c r="N182">
        <v>-47.991037832600853</v>
      </c>
    </row>
    <row r="183" spans="5:14">
      <c r="E183" t="str">
        <v>EBT</v>
      </c>
      <c r="J183">
        <v>263.70072340797282</v>
      </c>
      <c r="K183">
        <v>316.62416419401649</v>
      </c>
      <c r="L183">
        <v>372.94666753262521</v>
      </c>
      <c r="M183">
        <v>432.93066072450898</v>
      </c>
      <c r="N183">
        <v>496.85794733311349</v>
      </c>
    </row>
    <row r="184" spans="5:14">
      <c r="E184" t="str">
        <v>Less: Taxes</v>
      </c>
      <c r="J184">
        <v>-60.651166383833747</v>
      </c>
      <c r="K184">
        <v>-72.8235577646238</v>
      </c>
      <c r="L184">
        <v>-85.777733532503802</v>
      </c>
      <c r="M184">
        <v>-99.574051966637072</v>
      </c>
      <c r="N184">
        <v>-114.27732788661611</v>
      </c>
    </row>
    <row r="185" spans="5:14">
      <c r="E185" t="str">
        <v>Net Income</v>
      </c>
      <c r="J185">
        <v>203.04955702413906</v>
      </c>
      <c r="K185">
        <v>243.8006064293927</v>
      </c>
      <c r="L185">
        <v>287.1689340001214</v>
      </c>
      <c r="M185">
        <v>333.35660875787192</v>
      </c>
      <c r="N185">
        <v>382.58061944649739</v>
      </c>
    </row>
    <row r="186" spans="5:14">
      <c r="E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 spans="5:14">
      <c r="E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 spans="5:14">
      <c r="E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 spans="5:14">
      <c r="E189" t="str">
        <v>Cash Flow Statement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 spans="5:14">
      <c r="E190" t="str">
        <v>(in USD$ millions, fiscal years ended December 31st)</v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 spans="5:14">
      <c r="E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 spans="5:14">
      <c r="E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 spans="5:14">
      <c r="E193" t="str">
        <v/>
      </c>
      <c r="F193" s="150"/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 spans="5:14">
      <c r="E194" t="str">
        <v>Cash Flow from Operations</v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 spans="5:14">
      <c r="E195" t="str">
        <v>Net Income</v>
      </c>
      <c r="J195">
        <v>203.04955702413906</v>
      </c>
      <c r="K195">
        <v>243.8006064293927</v>
      </c>
      <c r="L195">
        <v>287.1689340001214</v>
      </c>
      <c r="M195">
        <v>333.35660875787192</v>
      </c>
      <c r="N195">
        <v>382.58061944649739</v>
      </c>
    </row>
    <row r="196" spans="5:14">
      <c r="E196" t="str">
        <v>Add: Depreciation</v>
      </c>
      <c r="J196">
        <v>219.57142857142858</v>
      </c>
      <c r="K196">
        <v>232.74571428571429</v>
      </c>
      <c r="L196">
        <v>246.71045714285717</v>
      </c>
      <c r="M196">
        <v>261.51308457142864</v>
      </c>
      <c r="N196">
        <v>277.20386964571435</v>
      </c>
    </row>
    <row r="197" spans="5:14">
      <c r="E197" t="str">
        <v>Add/(Less): Change in W/C</v>
      </c>
      <c r="J197">
        <v>-11.074285714285736</v>
      </c>
      <c r="K197">
        <v>-11.68422857142852</v>
      </c>
      <c r="L197">
        <v>-12.327497142857169</v>
      </c>
      <c r="M197">
        <v>-13.005894720000043</v>
      </c>
      <c r="N197">
        <v>-13.721321016685721</v>
      </c>
    </row>
    <row r="198" spans="5:14">
      <c r="E198" t="str">
        <v>Cash Flow from Operations</v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 spans="5:14">
      <c r="E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 spans="5:14">
      <c r="E200" t="str">
        <v>Cash Flow from Investing Activities</v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 spans="5:14">
      <c r="E201" t="str">
        <v>Less: Capex</v>
      </c>
      <c r="J201">
        <v>-241.52857142857147</v>
      </c>
      <c r="K201">
        <v>-256.02028571428576</v>
      </c>
      <c r="L201">
        <v>-271.38150285714289</v>
      </c>
      <c r="M201">
        <v>-287.66439302857151</v>
      </c>
      <c r="N201">
        <v>-304.92425661028579</v>
      </c>
    </row>
    <row r="202" spans="5:14">
      <c r="E202" t="str">
        <v>Cash Flow from Investing Activities</v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 spans="5:14">
      <c r="E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 spans="5:14">
      <c r="E204" t="str">
        <v>Cash Flow from Financing Activities</v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 spans="5:14">
      <c r="E205" t="str">
        <v>Add/(Less): Issuance/(Repayment) of Debt</v>
      </c>
      <c r="J205">
        <v>-200</v>
      </c>
      <c r="K205">
        <v>-200</v>
      </c>
      <c r="L205">
        <v>-200</v>
      </c>
      <c r="M205">
        <v>-200</v>
      </c>
      <c r="N205">
        <v>-200</v>
      </c>
    </row>
    <row r="206" spans="5:14">
      <c r="E206" t="str">
        <v>Add/(Less): Issuance/(Repayment) of Common Shares</v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 spans="5:14">
      <c r="E207" t="str">
        <v>Less: Dividends</v>
      </c>
      <c r="J207">
        <v>-60.914867107241719</v>
      </c>
      <c r="K207">
        <v>-73.14018192881781</v>
      </c>
      <c r="L207">
        <v>-86.150680200036419</v>
      </c>
      <c r="M207">
        <v>-100.00698262736158</v>
      </c>
      <c r="N207">
        <v>-114.77418583394922</v>
      </c>
    </row>
    <row r="208" spans="5:14">
      <c r="E208" t="str">
        <v>Cash Flow from Financing Activities</v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 spans="5:14">
      <c r="E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 spans="5:14">
      <c r="E210" t="str">
        <v>Beginning Cash &amp; Equivalents</v>
      </c>
      <c r="J210">
        <v>1085.5930509218315</v>
      </c>
      <c r="K210">
        <v>994.69631226730019</v>
      </c>
      <c r="L210">
        <v>930.39793676787508</v>
      </c>
      <c r="M210">
        <v>894.41764771081716</v>
      </c>
      <c r="N210">
        <v>888.6100706641846</v>
      </c>
    </row>
    <row r="211" spans="5:14">
      <c r="E211" t="str">
        <v>Change in Cash &amp; Equivalents</v>
      </c>
      <c r="J211">
        <v>-90.896738654531305</v>
      </c>
      <c r="K211">
        <v>-64.298375499425163</v>
      </c>
      <c r="L211">
        <v>-35.980289057057917</v>
      </c>
      <c r="M211">
        <v>-5.8075770466325025</v>
      </c>
      <c r="N211">
        <v>26.364725631291037</v>
      </c>
    </row>
    <row r="212" spans="5:14">
      <c r="E212" t="str">
        <v>Ending Cash &amp; Equivalents</v>
      </c>
      <c r="J212">
        <v>994.69631226730019</v>
      </c>
      <c r="K212">
        <v>930.39793676787508</v>
      </c>
      <c r="L212">
        <v>894.41764771081716</v>
      </c>
      <c r="M212">
        <v>888.6100706641846</v>
      </c>
      <c r="N212">
        <v>914.9747962954757</v>
      </c>
    </row>
    <row r="213" spans="5:14">
      <c r="E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 spans="5:14">
      <c r="E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 spans="5:14">
      <c r="E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 spans="5:14">
      <c r="E216" t="str">
        <v>Balance Sheet</v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 spans="5:14">
      <c r="E217" t="str">
        <v>(in USD$ millions, fiscal years ended December 31st)</v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 spans="5:14">
      <c r="E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 spans="5:14">
      <c r="E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 spans="5:14">
      <c r="E220" t="str">
        <v/>
      </c>
      <c r="F220" s="150">
        <v>2021</v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 spans="5:14">
      <c r="E221" t="str">
        <v>Assets</v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 spans="5:14">
      <c r="E222" t="str">
        <v>Cash and Equivalents</v>
      </c>
      <c r="F222" s="151">
        <f>CaseData!C151</f>
        <v>1085.5930509218315</v>
      </c>
      <c r="J222">
        <v>994.69631226730019</v>
      </c>
      <c r="K222">
        <v>930.39793676787508</v>
      </c>
      <c r="L222">
        <v>894.41764771081716</v>
      </c>
      <c r="M222">
        <v>888.6100706641846</v>
      </c>
      <c r="N222">
        <v>914.9747962954757</v>
      </c>
    </row>
    <row r="223" spans="5:14">
      <c r="E223" t="str">
        <v>A/R</v>
      </c>
      <c r="F223" s="151">
        <f>CaseData!C152</f>
        <v>114.28571428571429</v>
      </c>
      <c r="J223">
        <v>121.14285714285715</v>
      </c>
      <c r="K223">
        <v>128.41142857142859</v>
      </c>
      <c r="L223">
        <v>136.1161142857143</v>
      </c>
      <c r="M223">
        <v>144.28308114285718</v>
      </c>
      <c r="N223">
        <v>152.9400660114286</v>
      </c>
    </row>
    <row r="224" spans="5:14">
      <c r="E224" t="str">
        <v>Inventories</v>
      </c>
      <c r="F224" s="151">
        <f>CaseData!C153</f>
        <v>124.28571428571431</v>
      </c>
      <c r="J224">
        <v>129.47142857142859</v>
      </c>
      <c r="K224">
        <v>134.83200000000002</v>
      </c>
      <c r="L224">
        <v>140.36974285714288</v>
      </c>
      <c r="M224">
        <v>146.0866196571429</v>
      </c>
      <c r="N224">
        <v>151.9841905988572</v>
      </c>
    </row>
    <row r="225" spans="5:14">
      <c r="E225" t="str">
        <v>Other current assets</v>
      </c>
      <c r="F225" s="151">
        <f>CaseData!C154</f>
        <v>35.714285714285715</v>
      </c>
      <c r="J225">
        <v>37.857142857142861</v>
      </c>
      <c r="K225">
        <v>40.128571428571433</v>
      </c>
      <c r="L225">
        <v>42.536285714285725</v>
      </c>
      <c r="M225">
        <v>45.088462857142872</v>
      </c>
      <c r="N225">
        <v>47.793770628571444</v>
      </c>
    </row>
    <row r="226" spans="5:14">
      <c r="E226" t="str">
        <v>Total Current Assets</v>
      </c>
      <c r="F226">
        <f>SUM(F222:F225)</f>
        <v>1359.8787652075457</v>
      </c>
      <c r="J226">
        <v>1283.1677408387288</v>
      </c>
      <c r="K226">
        <v>1233.7699367678752</v>
      </c>
      <c r="L226">
        <v>1213.43979056796</v>
      </c>
      <c r="M226">
        <v>1224.0682343213275</v>
      </c>
      <c r="N226">
        <v>1267.6928235343328</v>
      </c>
    </row>
    <row r="227" spans="5:14">
      <c r="E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 spans="5:14">
      <c r="E228" t="str">
        <v>Fixed Assets</v>
      </c>
      <c r="F228" s="151">
        <f>CaseData!C157</f>
        <v>4142.8571428571422</v>
      </c>
      <c r="J228">
        <v>4164.8142857142848</v>
      </c>
      <c r="K228">
        <v>4188.0888571428559</v>
      </c>
      <c r="L228">
        <v>4212.7599028571412</v>
      </c>
      <c r="M228">
        <v>4238.9112113142846</v>
      </c>
      <c r="N228">
        <v>4266.6315982788565</v>
      </c>
    </row>
    <row r="229" spans="5:14">
      <c r="E229" t="str">
        <v>Other LT assets</v>
      </c>
      <c r="F229" s="151">
        <f>CaseData!C158</f>
        <v>12</v>
      </c>
      <c r="J229">
        <v>12</v>
      </c>
      <c r="K229">
        <v>12</v>
      </c>
      <c r="L229">
        <v>12</v>
      </c>
      <c r="M229">
        <v>12</v>
      </c>
      <c r="N229">
        <v>12</v>
      </c>
    </row>
    <row r="230" spans="5:14">
      <c r="E230" t="str">
        <v>Total Long-Term Assets</v>
      </c>
      <c r="F230">
        <f>SUM(F228:F229)</f>
        <v>4154.8571428571422</v>
      </c>
      <c r="J230">
        <v>4176.8142857142848</v>
      </c>
      <c r="K230">
        <v>4200.0888571428559</v>
      </c>
      <c r="L230">
        <v>4224.7599028571412</v>
      </c>
      <c r="M230">
        <v>4250.9112113142846</v>
      </c>
      <c r="N230">
        <v>4278.6315982788565</v>
      </c>
    </row>
    <row r="231" spans="5:14">
      <c r="E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 spans="5:14">
      <c r="E232" t="str">
        <v>Total Assets</v>
      </c>
      <c r="F232">
        <f xml:space="preserve"> SUM( F226,F230 )</f>
        <v>5514.7359080646875</v>
      </c>
      <c r="J232">
        <v>5459.9820265530134</v>
      </c>
      <c r="K232">
        <v>5433.858793910731</v>
      </c>
      <c r="L232">
        <v>5438.199693425101</v>
      </c>
      <c r="M232">
        <v>5474.9794456356121</v>
      </c>
      <c r="N232">
        <v>5546.3244218131895</v>
      </c>
    </row>
    <row r="233" spans="5:14">
      <c r="E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 spans="5:14">
      <c r="E234" t="str">
        <v>Liabilities</v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 spans="5:14">
      <c r="E235" t="str">
        <v>A/P</v>
      </c>
      <c r="F235" s="151">
        <f>CaseData!C164</f>
        <v>74.571428571428584</v>
      </c>
      <c r="J235">
        <v>77.682857142857159</v>
      </c>
      <c r="K235">
        <v>80.899200000000022</v>
      </c>
      <c r="L235">
        <v>84.221845714285735</v>
      </c>
      <c r="M235">
        <v>87.651971794285743</v>
      </c>
      <c r="N235">
        <v>91.190514359314307</v>
      </c>
    </row>
    <row r="236" spans="5:14">
      <c r="E236" t="str">
        <v>Long-Term Debt Due within One Year</v>
      </c>
      <c r="F236" s="151">
        <f>CaseData!C165</f>
        <v>200</v>
      </c>
      <c r="J236">
        <v>200</v>
      </c>
      <c r="K236">
        <v>200</v>
      </c>
      <c r="L236">
        <v>200</v>
      </c>
      <c r="M236">
        <v>200</v>
      </c>
      <c r="N236">
        <v>200</v>
      </c>
    </row>
    <row r="237" spans="5:14">
      <c r="E237" t="str">
        <v>Other current liabilities</v>
      </c>
      <c r="F237" s="151">
        <f>CaseData!C166</f>
        <v>6.3</v>
      </c>
      <c r="J237">
        <v>6.3</v>
      </c>
      <c r="K237">
        <v>6.3</v>
      </c>
      <c r="L237">
        <v>6.3</v>
      </c>
      <c r="M237">
        <v>6.3</v>
      </c>
      <c r="N237">
        <v>6.3</v>
      </c>
    </row>
    <row r="238" spans="5:14">
      <c r="E238" t="str">
        <v>Total Current Liabilities</v>
      </c>
      <c r="F238">
        <f>SUM(F235:F237)</f>
        <v>280.87142857142857</v>
      </c>
      <c r="J238">
        <v>283.9828571428572</v>
      </c>
      <c r="K238">
        <v>287.19920000000002</v>
      </c>
      <c r="L238">
        <v>290.52184571428575</v>
      </c>
      <c r="M238">
        <v>293.95197179428573</v>
      </c>
      <c r="N238">
        <v>297.49051435931432</v>
      </c>
    </row>
    <row r="239" spans="5:14">
      <c r="E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 spans="5:14">
      <c r="E240" t="str">
        <v>Long-Term Debt</v>
      </c>
      <c r="F240" s="151">
        <f>CaseData!C169</f>
        <v>1400</v>
      </c>
      <c r="J240">
        <v>1200</v>
      </c>
      <c r="K240">
        <v>1000</v>
      </c>
      <c r="L240">
        <v>800</v>
      </c>
      <c r="M240">
        <v>600</v>
      </c>
      <c r="N240">
        <v>400</v>
      </c>
    </row>
    <row r="241" spans="1:14">
      <c r="E241" t="str">
        <v>Other LT liabilities</v>
      </c>
      <c r="F241" s="151">
        <f>CaseData!C170</f>
        <v>2</v>
      </c>
      <c r="J241">
        <v>2</v>
      </c>
      <c r="K241">
        <v>2</v>
      </c>
      <c r="L241">
        <v>2</v>
      </c>
      <c r="M241">
        <v>2</v>
      </c>
      <c r="N241">
        <v>2</v>
      </c>
    </row>
    <row r="242" spans="1:14">
      <c r="E242" t="str">
        <v>Total Long-term Liabilities</v>
      </c>
      <c r="F242">
        <f>SUM(F240:F241)</f>
        <v>1402</v>
      </c>
      <c r="J242">
        <v>1202</v>
      </c>
      <c r="K242">
        <v>1002</v>
      </c>
      <c r="L242">
        <v>802</v>
      </c>
      <c r="M242">
        <v>602</v>
      </c>
      <c r="N242">
        <v>402</v>
      </c>
    </row>
    <row r="243" spans="1:14">
      <c r="E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 spans="1:14">
      <c r="E244" t="str">
        <v>Total Liabilities</v>
      </c>
      <c r="F244">
        <f>SUM( F238, F242 )</f>
        <v>1682.8714285714286</v>
      </c>
      <c r="J244">
        <v>1485.9828571428573</v>
      </c>
      <c r="K244">
        <v>1289.1992</v>
      </c>
      <c r="L244">
        <v>1092.5218457142857</v>
      </c>
      <c r="M244">
        <v>895.95197179428578</v>
      </c>
      <c r="N244">
        <v>699.49051435931437</v>
      </c>
    </row>
    <row r="245" spans="1:14">
      <c r="E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 spans="1:14">
      <c r="E246" t="str">
        <v>Shareholders' Equity</v>
      </c>
      <c r="F246" s="151">
        <f>CaseData!C175</f>
        <v>0</v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 spans="1:14">
      <c r="E247" t="str">
        <v>Common Shares</v>
      </c>
      <c r="F247" s="151">
        <f>CaseData!C176</f>
        <v>2200</v>
      </c>
      <c r="J247">
        <v>2200</v>
      </c>
      <c r="K247">
        <v>2200</v>
      </c>
      <c r="L247">
        <v>2200</v>
      </c>
      <c r="M247">
        <v>2200</v>
      </c>
      <c r="N247">
        <v>2200</v>
      </c>
    </row>
    <row r="248" spans="1:14">
      <c r="E248" t="str">
        <v>Retained Earnings</v>
      </c>
      <c r="F248" s="151">
        <f>CaseData!C177</f>
        <v>1631.8644794932586</v>
      </c>
      <c r="J248">
        <v>1773.9991694101559</v>
      </c>
      <c r="K248">
        <v>1944.6595939107308</v>
      </c>
      <c r="L248">
        <v>2145.677847710816</v>
      </c>
      <c r="M248">
        <v>2379.0274738413264</v>
      </c>
      <c r="N248">
        <v>2646.8339074538749</v>
      </c>
    </row>
    <row r="249" spans="1:14">
      <c r="E249" t="str">
        <v>Total Shareholders' Equity</v>
      </c>
      <c r="F249">
        <f>SUM(F246:F248)</f>
        <v>3831.8644794932588</v>
      </c>
      <c r="J249">
        <v>3973.9991694101559</v>
      </c>
      <c r="K249">
        <v>4144.659593910731</v>
      </c>
      <c r="L249">
        <v>4345.6778477108164</v>
      </c>
      <c r="M249">
        <v>4579.0274738413264</v>
      </c>
      <c r="N249">
        <v>4846.8339074538744</v>
      </c>
    </row>
    <row r="250" spans="1:14">
      <c r="E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 spans="1:14">
      <c r="E251" t="str">
        <v>Total Liabilities &amp; Shareholders' Equity</v>
      </c>
      <c r="F251">
        <f>SUM( F244, F249 )</f>
        <v>5514.7359080646875</v>
      </c>
      <c r="J251">
        <v>5459.9820265530134</v>
      </c>
      <c r="K251">
        <v>5433.858793910731</v>
      </c>
      <c r="L251">
        <v>5438.1996934251019</v>
      </c>
      <c r="M251">
        <v>5474.9794456356121</v>
      </c>
      <c r="N251">
        <v>5546.3244218131886</v>
      </c>
    </row>
    <row r="253" spans="1:14" s="119" customFormat="1" ht="15">
      <c r="A253" s="120" t="s">
        <v>116</v>
      </c>
    </row>
    <row r="255" spans="1:14">
      <c r="E255" t="s">
        <v>119</v>
      </c>
      <c r="G255" t="s">
        <v>120</v>
      </c>
      <c r="J255" cm="1">
        <f t="array" ref="J255:N255" xml:space="preserve"> _xlfn.SEQUENCE( 1, 5, 1, 1 )</f>
        <v>1</v>
      </c>
      <c r="K255">
        <v>2</v>
      </c>
      <c r="L255">
        <v>3</v>
      </c>
      <c r="M255">
        <v>4</v>
      </c>
      <c r="N255">
        <v>5</v>
      </c>
    </row>
    <row r="256" spans="1:14">
      <c r="E256" t="s">
        <v>121</v>
      </c>
      <c r="G256" t="s">
        <v>118</v>
      </c>
      <c r="J256" cm="1">
        <f t="array" ref="J256:N256" xml:space="preserve"> IF(_xlfn.ANCHORARRAY( J255) = 1, 1, 0 )</f>
        <v>1</v>
      </c>
      <c r="K256">
        <v>0</v>
      </c>
      <c r="L256">
        <v>0</v>
      </c>
      <c r="M256">
        <v>0</v>
      </c>
      <c r="N256">
        <v>0</v>
      </c>
    </row>
    <row r="257" spans="5:14">
      <c r="E257" t="s">
        <v>117</v>
      </c>
      <c r="G257" t="s">
        <v>118</v>
      </c>
      <c r="J257" cm="1">
        <f t="array" ref="J257:N257" xml:space="preserve"> IF(_xlfn.ANCHORARRAY( J255) &gt; 0, 1, 0 )</f>
        <v>1</v>
      </c>
      <c r="K257">
        <v>1</v>
      </c>
      <c r="L257">
        <v>1</v>
      </c>
      <c r="M257">
        <v>1</v>
      </c>
      <c r="N257">
        <v>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57" fitToHeight="0" orientation="portrait" horizontalDpi="300" verticalDpi="300" r:id="rId1"/>
  <headerFooter>
    <oddFooter>&amp;LFinancial Modeling Institute
CFM October 2026&amp;CPage &amp;P of &amp;N&amp;R&amp;D</oddFooter>
  </headerFooter>
  <rowBreaks count="2" manualBreakCount="2">
    <brk id="92" max="13" man="1"/>
    <brk id="172" max="1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4</xdr:col>
                    <xdr:colOff>2905125</xdr:colOff>
                    <xdr:row>8</xdr:row>
                    <xdr:rowOff>9525</xdr:rowOff>
                  </from>
                  <to>
                    <xdr:col>5</xdr:col>
                    <xdr:colOff>857250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E92-52D8-40CA-A6B7-BAAF453FF264}">
  <dimension ref="A1:M182"/>
  <sheetViews>
    <sheetView showGridLines="0" topLeftCell="A122" zoomScale="70" zoomScaleNormal="70" workbookViewId="0">
      <selection activeCell="B169" sqref="B169:B171"/>
    </sheetView>
  </sheetViews>
  <sheetFormatPr defaultColWidth="8.625" defaultRowHeight="15.75"/>
  <cols>
    <col min="1" max="1" width="2.75" style="2" customWidth="1"/>
    <col min="2" max="2" width="49.5" style="2" customWidth="1"/>
    <col min="3" max="8" width="16.875" style="2" customWidth="1"/>
    <col min="9" max="11" width="8.625" style="2"/>
    <col min="12" max="12" width="10.625" style="2" customWidth="1"/>
    <col min="13" max="16384" width="8.625" style="2"/>
  </cols>
  <sheetData>
    <row r="1" spans="1:13" ht="18" thickBot="1">
      <c r="A1" s="1" t="s">
        <v>1</v>
      </c>
      <c r="B1" s="1"/>
      <c r="C1" s="1"/>
      <c r="D1" s="1"/>
      <c r="E1" s="1"/>
      <c r="F1" s="1"/>
      <c r="G1" s="1"/>
      <c r="H1" s="1"/>
    </row>
    <row r="2" spans="1:13" ht="16.5" thickTop="1">
      <c r="C2" s="3"/>
      <c r="K2" s="2" t="s">
        <v>91</v>
      </c>
      <c r="M2" s="116" t="s">
        <v>92</v>
      </c>
    </row>
    <row r="3" spans="1:13">
      <c r="B3" s="2" t="s">
        <v>2</v>
      </c>
      <c r="D3" s="4" t="s">
        <v>3</v>
      </c>
      <c r="E3" s="5">
        <v>4500</v>
      </c>
      <c r="F3" s="6"/>
      <c r="K3" s="2" t="s">
        <v>93</v>
      </c>
      <c r="M3" s="116" t="s">
        <v>94</v>
      </c>
    </row>
    <row r="4" spans="1:13">
      <c r="B4" s="2" t="s">
        <v>4</v>
      </c>
      <c r="D4" s="4" t="s">
        <v>0</v>
      </c>
      <c r="E4" s="7">
        <v>1</v>
      </c>
    </row>
    <row r="5" spans="1:13">
      <c r="D5" s="4"/>
      <c r="E5" s="8"/>
    </row>
    <row r="6" spans="1:13">
      <c r="D6" s="4"/>
      <c r="E6" s="8"/>
    </row>
    <row r="7" spans="1:13" ht="18" thickBot="1">
      <c r="A7" s="1" t="s">
        <v>5</v>
      </c>
      <c r="B7" s="1"/>
      <c r="C7" s="1"/>
      <c r="D7" s="1"/>
      <c r="E7" s="1"/>
      <c r="F7" s="1"/>
      <c r="G7" s="1"/>
      <c r="H7" s="1"/>
    </row>
    <row r="8" spans="1:13" ht="16.5" thickTop="1"/>
    <row r="10" spans="1:13" ht="19.5">
      <c r="A10" s="9"/>
      <c r="B10" s="10" t="s">
        <v>6</v>
      </c>
      <c r="C10" s="11"/>
      <c r="D10" s="11"/>
      <c r="E10" s="11"/>
      <c r="F10" s="11"/>
      <c r="G10" s="11"/>
      <c r="H10" s="11"/>
    </row>
    <row r="11" spans="1:13">
      <c r="A11" s="12"/>
      <c r="B11" s="13" t="s">
        <v>7</v>
      </c>
    </row>
    <row r="12" spans="1:13">
      <c r="A12" s="12"/>
    </row>
    <row r="13" spans="1:13">
      <c r="A13" s="12"/>
      <c r="C13" s="14">
        <v>2021</v>
      </c>
      <c r="D13" s="15">
        <f>C13+1</f>
        <v>2022</v>
      </c>
      <c r="E13" s="15">
        <f t="shared" ref="E13:H13" si="0">D13+1</f>
        <v>2023</v>
      </c>
      <c r="F13" s="15">
        <f t="shared" si="0"/>
        <v>2024</v>
      </c>
      <c r="G13" s="15">
        <f t="shared" si="0"/>
        <v>2025</v>
      </c>
      <c r="H13" s="15">
        <f t="shared" si="0"/>
        <v>2026</v>
      </c>
    </row>
    <row r="14" spans="1:13">
      <c r="A14" s="12"/>
    </row>
    <row r="15" spans="1:13">
      <c r="A15" s="12"/>
      <c r="B15" s="2" t="s">
        <v>8</v>
      </c>
      <c r="C15" s="5">
        <v>3500</v>
      </c>
      <c r="D15" s="5">
        <v>3675</v>
      </c>
      <c r="E15" s="5">
        <v>3858.75</v>
      </c>
      <c r="F15" s="5">
        <v>4051.6875</v>
      </c>
      <c r="G15" s="5">
        <v>4254.2718750000004</v>
      </c>
      <c r="H15" s="5">
        <v>4466.985468750001</v>
      </c>
    </row>
    <row r="16" spans="1:13">
      <c r="A16" s="12"/>
      <c r="B16" s="2" t="s">
        <v>9</v>
      </c>
      <c r="C16" s="16">
        <v>-2100</v>
      </c>
      <c r="D16" s="16">
        <v>-2168.25</v>
      </c>
      <c r="E16" s="16">
        <v>-2238.0749999999998</v>
      </c>
      <c r="F16" s="16">
        <v>-2309.461875</v>
      </c>
      <c r="G16" s="16">
        <v>-2382.3922499999999</v>
      </c>
      <c r="H16" s="16">
        <v>-2456.8420078125005</v>
      </c>
    </row>
    <row r="17" spans="1:8">
      <c r="A17" s="12"/>
      <c r="B17" s="2" t="s">
        <v>10</v>
      </c>
      <c r="C17" s="17">
        <f>SUM(C15:C16)</f>
        <v>1400</v>
      </c>
      <c r="D17" s="17">
        <f t="shared" ref="D17:H17" si="1">SUM(D15:D16)</f>
        <v>1506.75</v>
      </c>
      <c r="E17" s="17">
        <f t="shared" si="1"/>
        <v>1620.6750000000002</v>
      </c>
      <c r="F17" s="17">
        <f t="shared" si="1"/>
        <v>1742.225625</v>
      </c>
      <c r="G17" s="17">
        <f t="shared" si="1"/>
        <v>1871.8796250000005</v>
      </c>
      <c r="H17" s="17">
        <f t="shared" si="1"/>
        <v>2010.1434609375005</v>
      </c>
    </row>
    <row r="18" spans="1:8">
      <c r="A18" s="12"/>
      <c r="B18" s="2" t="s">
        <v>11</v>
      </c>
      <c r="C18" s="16">
        <v>-175</v>
      </c>
      <c r="D18" s="16">
        <v>-183.75</v>
      </c>
      <c r="E18" s="16">
        <v>-192.9375</v>
      </c>
      <c r="F18" s="16">
        <v>-202.58437500000002</v>
      </c>
      <c r="G18" s="16">
        <v>-212.71359375000003</v>
      </c>
      <c r="H18" s="16">
        <v>-223.34927343750007</v>
      </c>
    </row>
    <row r="19" spans="1:8">
      <c r="A19" s="12"/>
      <c r="B19" s="2" t="s">
        <v>12</v>
      </c>
      <c r="C19" s="17">
        <f>SUM(C17:C18)</f>
        <v>1225</v>
      </c>
      <c r="D19" s="17">
        <f t="shared" ref="D19:H19" si="2">SUM(D17:D18)</f>
        <v>1323</v>
      </c>
      <c r="E19" s="17">
        <f t="shared" si="2"/>
        <v>1427.7375000000002</v>
      </c>
      <c r="F19" s="17">
        <f t="shared" si="2"/>
        <v>1539.6412500000001</v>
      </c>
      <c r="G19" s="17">
        <f t="shared" si="2"/>
        <v>1659.1660312500005</v>
      </c>
      <c r="H19" s="17">
        <f t="shared" si="2"/>
        <v>1786.7941875000006</v>
      </c>
    </row>
    <row r="20" spans="1:8">
      <c r="A20" s="12"/>
      <c r="B20" s="2" t="s">
        <v>13</v>
      </c>
      <c r="C20" s="16">
        <v>-525</v>
      </c>
      <c r="D20" s="16">
        <v>-551.25</v>
      </c>
      <c r="E20" s="16">
        <v>-578.8125</v>
      </c>
      <c r="F20" s="16">
        <v>-607.75312499999995</v>
      </c>
      <c r="G20" s="16">
        <v>-638.14078125000003</v>
      </c>
      <c r="H20" s="16">
        <v>-670.04782031250011</v>
      </c>
    </row>
    <row r="21" spans="1:8">
      <c r="A21" s="12"/>
      <c r="B21" s="2" t="s">
        <v>14</v>
      </c>
      <c r="C21" s="17">
        <f>SUM(C19:C20)</f>
        <v>700</v>
      </c>
      <c r="D21" s="17">
        <f t="shared" ref="D21:H21" si="3">SUM(D19:D20)</f>
        <v>771.75</v>
      </c>
      <c r="E21" s="17">
        <f t="shared" si="3"/>
        <v>848.92500000000018</v>
      </c>
      <c r="F21" s="17">
        <f t="shared" si="3"/>
        <v>931.88812500000017</v>
      </c>
      <c r="G21" s="17">
        <f t="shared" si="3"/>
        <v>1021.0252500000005</v>
      </c>
      <c r="H21" s="17">
        <f t="shared" si="3"/>
        <v>1116.7463671875005</v>
      </c>
    </row>
    <row r="22" spans="1:8">
      <c r="A22" s="12"/>
      <c r="B22" s="2" t="s">
        <v>15</v>
      </c>
      <c r="C22" s="16">
        <v>-252.75287931897799</v>
      </c>
      <c r="D22" s="16">
        <v>-221.6245579749193</v>
      </c>
      <c r="E22" s="16">
        <v>-190.20869410303624</v>
      </c>
      <c r="F22" s="16">
        <v>-158.47720692332578</v>
      </c>
      <c r="G22" s="16">
        <v>-126.41211640206387</v>
      </c>
      <c r="H22" s="16">
        <v>-93.994238395588468</v>
      </c>
    </row>
    <row r="23" spans="1:8">
      <c r="A23" s="12"/>
      <c r="B23" s="2" t="s">
        <v>16</v>
      </c>
      <c r="C23" s="17">
        <f>SUM(C21:C22)</f>
        <v>447.24712068102201</v>
      </c>
      <c r="D23" s="17">
        <f t="shared" ref="D23:H23" si="4">SUM(D21:D22)</f>
        <v>550.1254420250807</v>
      </c>
      <c r="E23" s="17">
        <f t="shared" si="4"/>
        <v>658.71630589696395</v>
      </c>
      <c r="F23" s="17">
        <f t="shared" si="4"/>
        <v>773.41091807667442</v>
      </c>
      <c r="G23" s="17">
        <f t="shared" si="4"/>
        <v>894.61313359793667</v>
      </c>
      <c r="H23" s="17">
        <f t="shared" si="4"/>
        <v>1022.752128791912</v>
      </c>
    </row>
    <row r="24" spans="1:8">
      <c r="A24" s="12"/>
      <c r="B24" s="2" t="s">
        <v>17</v>
      </c>
      <c r="C24" s="16">
        <v>-111.81178017025539</v>
      </c>
      <c r="D24" s="16">
        <v>-137.53136050627018</v>
      </c>
      <c r="E24" s="16">
        <v>-164.67907647424099</v>
      </c>
      <c r="F24" s="16">
        <v>-193.35272951916861</v>
      </c>
      <c r="G24" s="16">
        <v>-223.65328339948417</v>
      </c>
      <c r="H24" s="16">
        <v>-255.688032197978</v>
      </c>
    </row>
    <row r="25" spans="1:8">
      <c r="A25" s="12"/>
      <c r="B25" s="18" t="s">
        <v>18</v>
      </c>
      <c r="C25" s="19">
        <f>SUM(C23:C24)</f>
        <v>335.43534051076665</v>
      </c>
      <c r="D25" s="19">
        <f t="shared" ref="D25:H25" si="5">SUM(D23:D24)</f>
        <v>412.59408151881053</v>
      </c>
      <c r="E25" s="19">
        <f t="shared" si="5"/>
        <v>494.03722942272293</v>
      </c>
      <c r="F25" s="19">
        <f t="shared" si="5"/>
        <v>580.05818855750579</v>
      </c>
      <c r="G25" s="19">
        <f t="shared" si="5"/>
        <v>670.9598501984525</v>
      </c>
      <c r="H25" s="19">
        <f t="shared" si="5"/>
        <v>767.06409659393398</v>
      </c>
    </row>
    <row r="26" spans="1:8">
      <c r="A26" s="12"/>
      <c r="B26" s="20"/>
      <c r="C26" s="21"/>
      <c r="D26" s="21"/>
      <c r="E26" s="21"/>
      <c r="F26" s="21"/>
      <c r="G26" s="21"/>
      <c r="H26" s="21"/>
    </row>
    <row r="27" spans="1:8">
      <c r="A27" s="12"/>
      <c r="C27" s="22"/>
      <c r="D27" s="22"/>
      <c r="E27" s="22"/>
      <c r="F27" s="22"/>
      <c r="G27" s="22"/>
      <c r="H27" s="22"/>
    </row>
    <row r="28" spans="1:8">
      <c r="A28" s="12"/>
      <c r="C28" s="22"/>
      <c r="D28" s="22"/>
      <c r="E28" s="22"/>
      <c r="F28" s="22"/>
      <c r="G28" s="22"/>
      <c r="H28" s="22"/>
    </row>
    <row r="29" spans="1:8" ht="19.5">
      <c r="A29" s="9"/>
      <c r="B29" s="10" t="s">
        <v>19</v>
      </c>
      <c r="C29" s="11"/>
      <c r="D29" s="11"/>
      <c r="E29" s="11"/>
      <c r="F29" s="11"/>
      <c r="G29" s="11"/>
      <c r="H29" s="11"/>
    </row>
    <row r="30" spans="1:8">
      <c r="A30" s="12"/>
      <c r="B30" s="13" t="s">
        <v>7</v>
      </c>
    </row>
    <row r="31" spans="1:8">
      <c r="A31" s="12"/>
      <c r="B31" s="13"/>
    </row>
    <row r="32" spans="1:8">
      <c r="A32" s="12"/>
      <c r="C32" s="23">
        <f t="shared" ref="C32:H32" si="6">C13</f>
        <v>2021</v>
      </c>
      <c r="D32" s="15">
        <f t="shared" si="6"/>
        <v>2022</v>
      </c>
      <c r="E32" s="15">
        <f t="shared" si="6"/>
        <v>2023</v>
      </c>
      <c r="F32" s="15">
        <f t="shared" si="6"/>
        <v>2024</v>
      </c>
      <c r="G32" s="15">
        <f t="shared" si="6"/>
        <v>2025</v>
      </c>
      <c r="H32" s="15">
        <f t="shared" si="6"/>
        <v>2026</v>
      </c>
    </row>
    <row r="33" spans="1:8">
      <c r="A33" s="12"/>
      <c r="B33" s="13"/>
    </row>
    <row r="34" spans="1:8">
      <c r="A34" s="12"/>
      <c r="B34" s="18" t="s">
        <v>20</v>
      </c>
      <c r="C34" s="22"/>
    </row>
    <row r="35" spans="1:8">
      <c r="A35" s="12"/>
      <c r="B35" s="2" t="s">
        <v>18</v>
      </c>
      <c r="C35" s="17">
        <f t="shared" ref="C35:H35" si="7">C25</f>
        <v>335.43534051076665</v>
      </c>
      <c r="D35" s="17">
        <f t="shared" si="7"/>
        <v>412.59408151881053</v>
      </c>
      <c r="E35" s="17">
        <f t="shared" si="7"/>
        <v>494.03722942272293</v>
      </c>
      <c r="F35" s="17">
        <f t="shared" si="7"/>
        <v>580.05818855750579</v>
      </c>
      <c r="G35" s="17">
        <f t="shared" si="7"/>
        <v>670.9598501984525</v>
      </c>
      <c r="H35" s="17">
        <f t="shared" si="7"/>
        <v>767.06409659393398</v>
      </c>
    </row>
    <row r="36" spans="1:8">
      <c r="A36" s="12"/>
      <c r="B36" s="2" t="s">
        <v>21</v>
      </c>
      <c r="C36" s="17">
        <f t="shared" ref="C36:H36" si="8">-C20</f>
        <v>525</v>
      </c>
      <c r="D36" s="17">
        <f t="shared" si="8"/>
        <v>551.25</v>
      </c>
      <c r="E36" s="17">
        <f t="shared" si="8"/>
        <v>578.8125</v>
      </c>
      <c r="F36" s="17">
        <f t="shared" si="8"/>
        <v>607.75312499999995</v>
      </c>
      <c r="G36" s="17">
        <f t="shared" si="8"/>
        <v>638.14078125000003</v>
      </c>
      <c r="H36" s="17">
        <f t="shared" si="8"/>
        <v>670.04782031250011</v>
      </c>
    </row>
    <row r="37" spans="1:8">
      <c r="A37" s="12"/>
      <c r="B37" s="2" t="s">
        <v>22</v>
      </c>
      <c r="C37" s="16">
        <v>-17</v>
      </c>
      <c r="D37" s="16">
        <v>-22.470000000000084</v>
      </c>
      <c r="E37" s="16">
        <v>-23.483249999999884</v>
      </c>
      <c r="F37" s="16">
        <v>-24.541650000000118</v>
      </c>
      <c r="G37" s="16">
        <v>-25.647181875000001</v>
      </c>
      <c r="H37" s="16">
        <v>-26.801912812500177</v>
      </c>
    </row>
    <row r="38" spans="1:8">
      <c r="A38" s="12"/>
      <c r="B38" s="2" t="s">
        <v>20</v>
      </c>
      <c r="C38" s="17">
        <f>SUM(C35:C37)</f>
        <v>843.43534051076665</v>
      </c>
      <c r="D38" s="17">
        <f t="shared" ref="D38:H38" si="9">SUM(D35:D37)</f>
        <v>941.3740815188105</v>
      </c>
      <c r="E38" s="17">
        <f t="shared" si="9"/>
        <v>1049.3664794227229</v>
      </c>
      <c r="F38" s="17">
        <f t="shared" si="9"/>
        <v>1163.2696635575057</v>
      </c>
      <c r="G38" s="17">
        <f t="shared" si="9"/>
        <v>1283.4534495734524</v>
      </c>
      <c r="H38" s="17">
        <f t="shared" si="9"/>
        <v>1410.3100040939339</v>
      </c>
    </row>
    <row r="39" spans="1:8">
      <c r="A39" s="12"/>
      <c r="B39" s="13"/>
      <c r="C39" s="8"/>
      <c r="D39" s="8"/>
      <c r="E39" s="8"/>
      <c r="F39" s="8"/>
      <c r="G39" s="8"/>
      <c r="H39" s="8"/>
    </row>
    <row r="40" spans="1:8">
      <c r="A40" s="12"/>
      <c r="B40" s="18" t="s">
        <v>23</v>
      </c>
      <c r="C40" s="8"/>
      <c r="D40" s="8"/>
      <c r="E40" s="8"/>
      <c r="F40" s="8"/>
      <c r="G40" s="8"/>
      <c r="H40" s="8"/>
    </row>
    <row r="41" spans="1:8">
      <c r="A41" s="12"/>
      <c r="B41" s="2" t="s">
        <v>24</v>
      </c>
      <c r="C41" s="16">
        <v>-577.5</v>
      </c>
      <c r="D41" s="16">
        <v>-606.375</v>
      </c>
      <c r="E41" s="16">
        <v>-636.69375000000002</v>
      </c>
      <c r="F41" s="16">
        <v>-668.5284375</v>
      </c>
      <c r="G41" s="16">
        <v>-701.95485937500007</v>
      </c>
      <c r="H41" s="16">
        <v>-737.05260234375021</v>
      </c>
    </row>
    <row r="42" spans="1:8">
      <c r="A42" s="12"/>
      <c r="B42" s="2" t="s">
        <v>23</v>
      </c>
      <c r="C42" s="17">
        <f t="shared" ref="C42:H42" si="10">SUM(C41:C41)</f>
        <v>-577.5</v>
      </c>
      <c r="D42" s="17">
        <f t="shared" si="10"/>
        <v>-606.375</v>
      </c>
      <c r="E42" s="17">
        <f t="shared" si="10"/>
        <v>-636.69375000000002</v>
      </c>
      <c r="F42" s="17">
        <f t="shared" si="10"/>
        <v>-668.5284375</v>
      </c>
      <c r="G42" s="17">
        <f t="shared" si="10"/>
        <v>-701.95485937500007</v>
      </c>
      <c r="H42" s="17">
        <f t="shared" si="10"/>
        <v>-737.05260234375021</v>
      </c>
    </row>
    <row r="43" spans="1:8">
      <c r="A43" s="12"/>
      <c r="C43" s="17"/>
      <c r="D43" s="17"/>
      <c r="E43" s="17"/>
      <c r="F43" s="17"/>
      <c r="G43" s="17"/>
      <c r="H43" s="17"/>
    </row>
    <row r="44" spans="1:8">
      <c r="A44" s="12"/>
      <c r="B44" s="18" t="s">
        <v>25</v>
      </c>
      <c r="C44" s="8"/>
      <c r="D44" s="8"/>
      <c r="E44" s="8"/>
      <c r="F44" s="8"/>
      <c r="G44" s="8"/>
      <c r="H44" s="8"/>
    </row>
    <row r="45" spans="1:8">
      <c r="A45" s="12"/>
      <c r="B45" s="2" t="s">
        <v>26</v>
      </c>
      <c r="C45" s="5">
        <v>-500</v>
      </c>
      <c r="D45" s="5">
        <v>-500</v>
      </c>
      <c r="E45" s="5">
        <v>-500</v>
      </c>
      <c r="F45" s="5">
        <v>-500</v>
      </c>
      <c r="G45" s="5">
        <v>-500</v>
      </c>
      <c r="H45" s="5">
        <v>-500</v>
      </c>
    </row>
    <row r="46" spans="1:8">
      <c r="A46" s="12"/>
      <c r="B46" s="2" t="s">
        <v>27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1:8">
      <c r="A47" s="12"/>
      <c r="B47" s="2" t="s">
        <v>28</v>
      </c>
      <c r="C47" s="16">
        <v>-67.087068102153239</v>
      </c>
      <c r="D47" s="16">
        <v>-82.518816303762108</v>
      </c>
      <c r="E47" s="16">
        <v>-98.807445884544592</v>
      </c>
      <c r="F47" s="16">
        <v>-116.01163771150117</v>
      </c>
      <c r="G47" s="16">
        <v>-134.19197003969052</v>
      </c>
      <c r="H47" s="16">
        <v>-153.4128193187868</v>
      </c>
    </row>
    <row r="48" spans="1:8">
      <c r="A48" s="12"/>
      <c r="B48" s="2" t="s">
        <v>25</v>
      </c>
      <c r="C48" s="17">
        <f>SUM(C45:C47)</f>
        <v>-567.08706810215324</v>
      </c>
      <c r="D48" s="17">
        <f t="shared" ref="D48:H48" si="11">SUM(D45:D47)</f>
        <v>-582.51881630376215</v>
      </c>
      <c r="E48" s="17">
        <f t="shared" si="11"/>
        <v>-598.80744588454456</v>
      </c>
      <c r="F48" s="17">
        <f t="shared" si="11"/>
        <v>-616.01163771150118</v>
      </c>
      <c r="G48" s="17">
        <f t="shared" si="11"/>
        <v>-634.19197003969055</v>
      </c>
      <c r="H48" s="17">
        <f t="shared" si="11"/>
        <v>-653.41281931878677</v>
      </c>
    </row>
    <row r="49" spans="1:8">
      <c r="A49" s="12"/>
      <c r="C49" s="17"/>
      <c r="D49" s="17"/>
      <c r="E49" s="17"/>
      <c r="F49" s="17"/>
      <c r="G49" s="17"/>
      <c r="H49" s="17"/>
    </row>
    <row r="50" spans="1:8">
      <c r="A50" s="12"/>
      <c r="B50" s="2" t="s">
        <v>29</v>
      </c>
      <c r="C50" s="5">
        <v>4850</v>
      </c>
      <c r="D50" s="17">
        <f>C52</f>
        <v>4548.8482724086134</v>
      </c>
      <c r="E50" s="17">
        <f t="shared" ref="E50:H50" si="12">D52</f>
        <v>4301.3285376236618</v>
      </c>
      <c r="F50" s="17">
        <f t="shared" si="12"/>
        <v>4115.1938211618399</v>
      </c>
      <c r="G50" s="17">
        <f t="shared" si="12"/>
        <v>3993.9234095078446</v>
      </c>
      <c r="H50" s="17">
        <f t="shared" si="12"/>
        <v>3941.2300296666062</v>
      </c>
    </row>
    <row r="51" spans="1:8">
      <c r="A51" s="12"/>
      <c r="B51" s="2" t="s">
        <v>30</v>
      </c>
      <c r="C51" s="24">
        <f>C38+C42+C48</f>
        <v>-301.15172759138659</v>
      </c>
      <c r="D51" s="24">
        <f t="shared" ref="D51:H51" si="13">D38+D42+D48</f>
        <v>-247.51973478495165</v>
      </c>
      <c r="E51" s="24">
        <f t="shared" si="13"/>
        <v>-186.13471646182165</v>
      </c>
      <c r="F51" s="24">
        <f t="shared" si="13"/>
        <v>-121.27041165399544</v>
      </c>
      <c r="G51" s="24">
        <f t="shared" si="13"/>
        <v>-52.693379841238198</v>
      </c>
      <c r="H51" s="24">
        <f t="shared" si="13"/>
        <v>19.84458243139693</v>
      </c>
    </row>
    <row r="52" spans="1:8">
      <c r="A52" s="12"/>
      <c r="B52" s="18" t="s">
        <v>31</v>
      </c>
      <c r="C52" s="19">
        <f>SUM(C50:C51)</f>
        <v>4548.8482724086134</v>
      </c>
      <c r="D52" s="19">
        <f t="shared" ref="D52:H52" si="14">SUM(D50:D51)</f>
        <v>4301.3285376236618</v>
      </c>
      <c r="E52" s="19">
        <f t="shared" si="14"/>
        <v>4115.1938211618399</v>
      </c>
      <c r="F52" s="19">
        <f t="shared" si="14"/>
        <v>3993.9234095078446</v>
      </c>
      <c r="G52" s="19">
        <f t="shared" si="14"/>
        <v>3941.2300296666062</v>
      </c>
      <c r="H52" s="19">
        <f t="shared" si="14"/>
        <v>3961.0746120980029</v>
      </c>
    </row>
    <row r="53" spans="1:8">
      <c r="A53" s="12"/>
      <c r="B53" s="20"/>
      <c r="C53" s="21"/>
      <c r="D53" s="21"/>
      <c r="E53" s="21"/>
      <c r="F53" s="21"/>
      <c r="G53" s="21"/>
      <c r="H53" s="21"/>
    </row>
    <row r="54" spans="1:8">
      <c r="A54" s="12"/>
      <c r="C54" s="22"/>
      <c r="D54" s="22"/>
      <c r="E54" s="22"/>
      <c r="F54" s="22"/>
      <c r="G54" s="22"/>
      <c r="H54" s="22"/>
    </row>
    <row r="55" spans="1:8">
      <c r="A55" s="12"/>
      <c r="C55" s="22"/>
      <c r="D55" s="22"/>
      <c r="E55" s="22"/>
      <c r="F55" s="22"/>
      <c r="G55" s="22"/>
      <c r="H55" s="22"/>
    </row>
    <row r="56" spans="1:8" ht="19.5">
      <c r="A56" s="9"/>
      <c r="B56" s="10" t="s">
        <v>32</v>
      </c>
      <c r="C56" s="11"/>
      <c r="D56" s="11"/>
      <c r="E56" s="11"/>
      <c r="F56" s="11"/>
      <c r="G56" s="11"/>
      <c r="H56" s="11"/>
    </row>
    <row r="57" spans="1:8">
      <c r="A57" s="12"/>
      <c r="B57" s="13" t="s">
        <v>7</v>
      </c>
    </row>
    <row r="58" spans="1:8">
      <c r="A58" s="12"/>
      <c r="B58" s="13"/>
    </row>
    <row r="59" spans="1:8">
      <c r="A59" s="12"/>
      <c r="C59" s="23">
        <f t="shared" ref="C59:H59" si="15">C32</f>
        <v>2021</v>
      </c>
      <c r="D59" s="15">
        <f t="shared" si="15"/>
        <v>2022</v>
      </c>
      <c r="E59" s="15">
        <f t="shared" si="15"/>
        <v>2023</v>
      </c>
      <c r="F59" s="15">
        <f t="shared" si="15"/>
        <v>2024</v>
      </c>
      <c r="G59" s="15">
        <f t="shared" si="15"/>
        <v>2025</v>
      </c>
      <c r="H59" s="15">
        <f t="shared" si="15"/>
        <v>2026</v>
      </c>
    </row>
    <row r="60" spans="1:8">
      <c r="A60" s="12"/>
      <c r="C60" s="25"/>
      <c r="D60" s="25"/>
      <c r="E60" s="25"/>
      <c r="F60" s="25"/>
      <c r="G60" s="25"/>
      <c r="H60" s="25"/>
    </row>
    <row r="61" spans="1:8">
      <c r="A61" s="12"/>
      <c r="B61" s="18" t="s">
        <v>33</v>
      </c>
      <c r="C61" s="25"/>
      <c r="D61" s="25"/>
      <c r="E61" s="25"/>
      <c r="F61" s="25"/>
      <c r="G61" s="25"/>
      <c r="H61" s="25"/>
    </row>
    <row r="62" spans="1:8">
      <c r="A62" s="12"/>
      <c r="B62" s="2" t="s">
        <v>34</v>
      </c>
      <c r="C62" s="17">
        <f t="shared" ref="C62:H62" si="16">C52</f>
        <v>4548.8482724086134</v>
      </c>
      <c r="D62" s="17">
        <f t="shared" si="16"/>
        <v>4301.3285376236618</v>
      </c>
      <c r="E62" s="17">
        <f t="shared" si="16"/>
        <v>4115.1938211618399</v>
      </c>
      <c r="F62" s="17">
        <f t="shared" si="16"/>
        <v>3993.9234095078446</v>
      </c>
      <c r="G62" s="17">
        <f t="shared" si="16"/>
        <v>3941.2300296666062</v>
      </c>
      <c r="H62" s="17">
        <f t="shared" si="16"/>
        <v>3961.0746120980029</v>
      </c>
    </row>
    <row r="63" spans="1:8">
      <c r="A63" s="12"/>
      <c r="B63" s="2" t="s">
        <v>35</v>
      </c>
      <c r="C63" s="5">
        <v>280</v>
      </c>
      <c r="D63" s="5">
        <v>294</v>
      </c>
      <c r="E63" s="5">
        <v>308.7</v>
      </c>
      <c r="F63" s="5">
        <v>324.13499999999999</v>
      </c>
      <c r="G63" s="5">
        <v>340.34175000000005</v>
      </c>
      <c r="H63" s="5">
        <v>357.35883750000011</v>
      </c>
    </row>
    <row r="64" spans="1:8">
      <c r="A64" s="12"/>
      <c r="B64" s="2" t="s">
        <v>36</v>
      </c>
      <c r="C64" s="5">
        <v>315</v>
      </c>
      <c r="D64" s="5">
        <v>325.23750000000001</v>
      </c>
      <c r="E64" s="5">
        <v>335.71124999999995</v>
      </c>
      <c r="F64" s="5">
        <v>346.41928124999998</v>
      </c>
      <c r="G64" s="5">
        <v>357.35883749999999</v>
      </c>
      <c r="H64" s="5">
        <v>368.52630117187505</v>
      </c>
    </row>
    <row r="65" spans="1:8">
      <c r="A65" s="12"/>
      <c r="B65" s="2" t="s">
        <v>112</v>
      </c>
      <c r="C65" s="16">
        <v>87.5</v>
      </c>
      <c r="D65" s="16">
        <v>91.875</v>
      </c>
      <c r="E65" s="16">
        <v>96.46875</v>
      </c>
      <c r="F65" s="16">
        <v>101.29218750000001</v>
      </c>
      <c r="G65" s="16">
        <v>106.35679687500001</v>
      </c>
      <c r="H65" s="16">
        <v>111.67463671875004</v>
      </c>
    </row>
    <row r="66" spans="1:8">
      <c r="A66" s="12"/>
      <c r="B66" s="2" t="s">
        <v>38</v>
      </c>
      <c r="C66" s="8">
        <f>SUM(C62:C65)</f>
        <v>5231.3482724086134</v>
      </c>
      <c r="D66" s="8">
        <f t="shared" ref="D66:H66" si="17">SUM(D62:D65)</f>
        <v>5012.4410376236619</v>
      </c>
      <c r="E66" s="8">
        <f t="shared" si="17"/>
        <v>4856.07382116184</v>
      </c>
      <c r="F66" s="8">
        <f t="shared" si="17"/>
        <v>4765.7698782578445</v>
      </c>
      <c r="G66" s="8">
        <f t="shared" si="17"/>
        <v>4745.287414041607</v>
      </c>
      <c r="H66" s="8">
        <f t="shared" si="17"/>
        <v>4798.6343874886279</v>
      </c>
    </row>
    <row r="67" spans="1:8">
      <c r="A67" s="12"/>
      <c r="C67" s="8"/>
      <c r="D67" s="8"/>
      <c r="E67" s="8"/>
      <c r="F67" s="8"/>
      <c r="G67" s="8"/>
      <c r="H67" s="8"/>
    </row>
    <row r="68" spans="1:8">
      <c r="A68" s="12"/>
      <c r="B68" s="2" t="s">
        <v>39</v>
      </c>
      <c r="C68" s="5">
        <v>10500</v>
      </c>
      <c r="D68" s="5">
        <v>10555.125</v>
      </c>
      <c r="E68" s="5">
        <v>10613.00625</v>
      </c>
      <c r="F68" s="5">
        <v>10673.7815625</v>
      </c>
      <c r="G68" s="5">
        <v>10737.595640625001</v>
      </c>
      <c r="H68" s="5">
        <v>10804.600422656251</v>
      </c>
    </row>
    <row r="69" spans="1:8">
      <c r="A69" s="12"/>
      <c r="B69" s="2" t="s">
        <v>113</v>
      </c>
      <c r="C69" s="16">
        <v>4</v>
      </c>
      <c r="D69" s="16">
        <v>4</v>
      </c>
      <c r="E69" s="16">
        <v>4</v>
      </c>
      <c r="F69" s="16">
        <v>4</v>
      </c>
      <c r="G69" s="16">
        <v>4</v>
      </c>
      <c r="H69" s="16">
        <v>4</v>
      </c>
    </row>
    <row r="70" spans="1:8">
      <c r="A70" s="12"/>
      <c r="B70" s="2" t="s">
        <v>40</v>
      </c>
      <c r="C70" s="8">
        <f>SUM(C68:C69)</f>
        <v>10504</v>
      </c>
      <c r="D70" s="8">
        <f t="shared" ref="D70:H70" si="18">SUM(D68:D69)</f>
        <v>10559.125</v>
      </c>
      <c r="E70" s="8">
        <f t="shared" si="18"/>
        <v>10617.00625</v>
      </c>
      <c r="F70" s="8">
        <f t="shared" si="18"/>
        <v>10677.7815625</v>
      </c>
      <c r="G70" s="8">
        <f t="shared" si="18"/>
        <v>10741.595640625001</v>
      </c>
      <c r="H70" s="8">
        <f t="shared" si="18"/>
        <v>10808.600422656251</v>
      </c>
    </row>
    <row r="71" spans="1:8">
      <c r="A71" s="12"/>
      <c r="C71" s="8"/>
      <c r="D71" s="8"/>
      <c r="E71" s="8"/>
      <c r="F71" s="8"/>
      <c r="G71" s="8"/>
      <c r="H71" s="8"/>
    </row>
    <row r="72" spans="1:8">
      <c r="A72" s="12"/>
      <c r="B72" s="18" t="s">
        <v>41</v>
      </c>
      <c r="C72" s="26">
        <f>C66+C70</f>
        <v>15735.348272408613</v>
      </c>
      <c r="D72" s="26">
        <f t="shared" ref="D72:H72" si="19">D66+D70</f>
        <v>15571.566037623663</v>
      </c>
      <c r="E72" s="26">
        <f t="shared" si="19"/>
        <v>15473.080071161839</v>
      </c>
      <c r="F72" s="26">
        <f t="shared" si="19"/>
        <v>15443.551440757845</v>
      </c>
      <c r="G72" s="26">
        <f t="shared" si="19"/>
        <v>15486.883054666607</v>
      </c>
      <c r="H72" s="26">
        <f t="shared" si="19"/>
        <v>15607.234810144879</v>
      </c>
    </row>
    <row r="73" spans="1:8">
      <c r="A73" s="12"/>
      <c r="C73" s="8"/>
      <c r="D73" s="8"/>
      <c r="E73" s="8"/>
      <c r="F73" s="8"/>
      <c r="G73" s="8"/>
      <c r="H73" s="8"/>
    </row>
    <row r="74" spans="1:8">
      <c r="A74" s="12"/>
      <c r="B74" s="18" t="s">
        <v>42</v>
      </c>
      <c r="C74" s="8"/>
      <c r="D74" s="8"/>
      <c r="E74" s="8"/>
      <c r="F74" s="8"/>
      <c r="G74" s="8"/>
      <c r="H74" s="8"/>
    </row>
    <row r="75" spans="1:8">
      <c r="A75" s="12"/>
      <c r="B75" s="2" t="s">
        <v>43</v>
      </c>
      <c r="C75" s="5">
        <v>189</v>
      </c>
      <c r="D75" s="5">
        <v>195.14249999999998</v>
      </c>
      <c r="E75" s="5">
        <v>201.42674999999997</v>
      </c>
      <c r="F75" s="5">
        <v>207.85156874999998</v>
      </c>
      <c r="G75" s="5">
        <v>214.41530249999997</v>
      </c>
      <c r="H75" s="5">
        <v>221.11578070312504</v>
      </c>
    </row>
    <row r="76" spans="1:8">
      <c r="A76" s="12"/>
      <c r="B76" s="2" t="s">
        <v>44</v>
      </c>
      <c r="C76" s="5">
        <v>500</v>
      </c>
      <c r="D76" s="5">
        <v>500</v>
      </c>
      <c r="E76" s="5">
        <v>500</v>
      </c>
      <c r="F76" s="5">
        <v>500</v>
      </c>
      <c r="G76" s="5">
        <v>500</v>
      </c>
      <c r="H76" s="5">
        <v>500</v>
      </c>
    </row>
    <row r="77" spans="1:8">
      <c r="A77" s="12"/>
      <c r="B77" s="2" t="s">
        <v>114</v>
      </c>
      <c r="C77" s="16">
        <v>0.3</v>
      </c>
      <c r="D77" s="16">
        <v>0.3</v>
      </c>
      <c r="E77" s="16">
        <v>0.3</v>
      </c>
      <c r="F77" s="16">
        <v>0.3</v>
      </c>
      <c r="G77" s="16">
        <v>0.3</v>
      </c>
      <c r="H77" s="16">
        <v>0.3</v>
      </c>
    </row>
    <row r="78" spans="1:8">
      <c r="A78" s="12"/>
      <c r="B78" s="2" t="s">
        <v>45</v>
      </c>
      <c r="C78" s="17">
        <f>SUM(C75:C77)</f>
        <v>689.3</v>
      </c>
      <c r="D78" s="17">
        <f t="shared" ref="D78:H78" si="20">SUM(D75:D77)</f>
        <v>695.44249999999988</v>
      </c>
      <c r="E78" s="17">
        <f t="shared" si="20"/>
        <v>701.72674999999992</v>
      </c>
      <c r="F78" s="17">
        <f t="shared" si="20"/>
        <v>708.15156874999991</v>
      </c>
      <c r="G78" s="17">
        <f t="shared" si="20"/>
        <v>714.71530249999989</v>
      </c>
      <c r="H78" s="17">
        <f t="shared" si="20"/>
        <v>721.41578070312494</v>
      </c>
    </row>
    <row r="79" spans="1:8">
      <c r="A79" s="12"/>
      <c r="C79" s="8"/>
      <c r="D79" s="8"/>
      <c r="E79" s="8"/>
      <c r="F79" s="8"/>
      <c r="G79" s="8"/>
      <c r="H79" s="8"/>
    </row>
    <row r="80" spans="1:8">
      <c r="A80" s="12"/>
      <c r="B80" s="2" t="s">
        <v>46</v>
      </c>
      <c r="C80" s="5">
        <v>3500</v>
      </c>
      <c r="D80" s="5">
        <v>3000</v>
      </c>
      <c r="E80" s="5">
        <v>2500</v>
      </c>
      <c r="F80" s="5">
        <v>2000</v>
      </c>
      <c r="G80" s="5">
        <v>1500</v>
      </c>
      <c r="H80" s="5">
        <v>1000</v>
      </c>
    </row>
    <row r="81" spans="1:8">
      <c r="A81" s="12"/>
      <c r="B81" s="2" t="s">
        <v>115</v>
      </c>
      <c r="C81" s="16">
        <v>1.1000000000000001</v>
      </c>
      <c r="D81" s="16">
        <v>1.1000000000000001</v>
      </c>
      <c r="E81" s="16">
        <v>1.1000000000000001</v>
      </c>
      <c r="F81" s="16">
        <v>1.1000000000000001</v>
      </c>
      <c r="G81" s="16">
        <v>1.1000000000000001</v>
      </c>
      <c r="H81" s="16">
        <v>1.1000000000000001</v>
      </c>
    </row>
    <row r="82" spans="1:8">
      <c r="A82" s="12"/>
      <c r="B82" s="2" t="s">
        <v>47</v>
      </c>
      <c r="C82" s="17">
        <f t="shared" ref="C82:H82" si="21">SUM(C80:C81)</f>
        <v>3501.1</v>
      </c>
      <c r="D82" s="17">
        <f t="shared" si="21"/>
        <v>3001.1</v>
      </c>
      <c r="E82" s="17">
        <f t="shared" si="21"/>
        <v>2501.1</v>
      </c>
      <c r="F82" s="17">
        <f t="shared" si="21"/>
        <v>2001.1</v>
      </c>
      <c r="G82" s="17">
        <f t="shared" si="21"/>
        <v>1501.1</v>
      </c>
      <c r="H82" s="17">
        <f t="shared" si="21"/>
        <v>1001.1</v>
      </c>
    </row>
    <row r="83" spans="1:8">
      <c r="A83" s="12"/>
      <c r="C83" s="8"/>
      <c r="D83" s="8"/>
      <c r="E83" s="8"/>
      <c r="F83" s="8"/>
      <c r="G83" s="8"/>
      <c r="H83" s="8"/>
    </row>
    <row r="84" spans="1:8">
      <c r="A84" s="12"/>
      <c r="B84" s="18" t="s">
        <v>48</v>
      </c>
      <c r="C84" s="26">
        <f>C78+C82</f>
        <v>4190.3999999999996</v>
      </c>
      <c r="D84" s="26">
        <f t="shared" ref="D84:H84" si="22">D78+D82</f>
        <v>3696.5424999999996</v>
      </c>
      <c r="E84" s="26">
        <f t="shared" si="22"/>
        <v>3202.8267499999997</v>
      </c>
      <c r="F84" s="26">
        <f t="shared" si="22"/>
        <v>2709.2515687499999</v>
      </c>
      <c r="G84" s="26">
        <f t="shared" si="22"/>
        <v>2215.8153024999997</v>
      </c>
      <c r="H84" s="26">
        <f t="shared" si="22"/>
        <v>1722.5157807031251</v>
      </c>
    </row>
    <row r="85" spans="1:8">
      <c r="A85" s="12"/>
      <c r="C85" s="8"/>
      <c r="D85" s="8"/>
      <c r="E85" s="8"/>
      <c r="F85" s="8"/>
      <c r="G85" s="8"/>
      <c r="H85" s="8"/>
    </row>
    <row r="86" spans="1:8">
      <c r="A86" s="12"/>
      <c r="B86" s="18" t="s">
        <v>49</v>
      </c>
      <c r="C86" s="8"/>
      <c r="D86" s="8"/>
      <c r="E86" s="8"/>
      <c r="F86" s="8"/>
      <c r="G86" s="8"/>
      <c r="H86" s="8"/>
    </row>
    <row r="87" spans="1:8">
      <c r="A87" s="12"/>
      <c r="B87" s="2" t="s">
        <v>50</v>
      </c>
      <c r="C87" s="5">
        <v>3700</v>
      </c>
      <c r="D87" s="5">
        <v>3700</v>
      </c>
      <c r="E87" s="5">
        <v>3700</v>
      </c>
      <c r="F87" s="5">
        <v>3700</v>
      </c>
      <c r="G87" s="5">
        <v>3700</v>
      </c>
      <c r="H87" s="5">
        <v>3700</v>
      </c>
    </row>
    <row r="88" spans="1:8">
      <c r="A88" s="12"/>
      <c r="B88" s="2" t="s">
        <v>51</v>
      </c>
      <c r="C88" s="16">
        <v>7844.9482724086138</v>
      </c>
      <c r="D88" s="16">
        <v>8175.0235376236615</v>
      </c>
      <c r="E88" s="16">
        <v>8570.2533211618411</v>
      </c>
      <c r="F88" s="16">
        <v>9034.2998720078467</v>
      </c>
      <c r="G88" s="16">
        <v>9571.0677521666094</v>
      </c>
      <c r="H88" s="16">
        <v>10184.719029441758</v>
      </c>
    </row>
    <row r="89" spans="1:8" s="18" customFormat="1">
      <c r="A89" s="27"/>
      <c r="B89" s="18" t="s">
        <v>52</v>
      </c>
      <c r="C89" s="26">
        <f>SUM(C87:C88)</f>
        <v>11544.948272408614</v>
      </c>
      <c r="D89" s="26">
        <f t="shared" ref="D89:H89" si="23">SUM(D87:D88)</f>
        <v>11875.023537623661</v>
      </c>
      <c r="E89" s="26">
        <f t="shared" si="23"/>
        <v>12270.253321161841</v>
      </c>
      <c r="F89" s="26">
        <f t="shared" si="23"/>
        <v>12734.299872007847</v>
      </c>
      <c r="G89" s="26">
        <f t="shared" si="23"/>
        <v>13271.067752166609</v>
      </c>
      <c r="H89" s="26">
        <f t="shared" si="23"/>
        <v>13884.719029441758</v>
      </c>
    </row>
    <row r="90" spans="1:8" s="18" customFormat="1">
      <c r="A90" s="27"/>
      <c r="C90" s="26"/>
      <c r="D90" s="26"/>
      <c r="E90" s="26"/>
      <c r="F90" s="26"/>
      <c r="G90" s="26"/>
      <c r="H90" s="26"/>
    </row>
    <row r="91" spans="1:8">
      <c r="A91" s="12"/>
      <c r="B91" s="18" t="s">
        <v>53</v>
      </c>
      <c r="C91" s="26">
        <f>C84+C89</f>
        <v>15735.348272408613</v>
      </c>
      <c r="D91" s="26">
        <f t="shared" ref="D91:H91" si="24">D84+D89</f>
        <v>15571.566037623661</v>
      </c>
      <c r="E91" s="26">
        <f t="shared" si="24"/>
        <v>15473.080071161841</v>
      </c>
      <c r="F91" s="26">
        <f t="shared" si="24"/>
        <v>15443.551440757847</v>
      </c>
      <c r="G91" s="26">
        <f t="shared" si="24"/>
        <v>15486.883054666609</v>
      </c>
      <c r="H91" s="26">
        <f t="shared" si="24"/>
        <v>15607.234810144882</v>
      </c>
    </row>
    <row r="92" spans="1:8">
      <c r="A92" s="12"/>
      <c r="B92" s="13" t="s">
        <v>54</v>
      </c>
      <c r="C92" s="8">
        <f t="shared" ref="C92:H92" si="25">C72-C91</f>
        <v>0</v>
      </c>
      <c r="D92" s="8">
        <f t="shared" si="25"/>
        <v>0</v>
      </c>
      <c r="E92" s="8">
        <f t="shared" si="25"/>
        <v>0</v>
      </c>
      <c r="F92" s="8">
        <f t="shared" si="25"/>
        <v>0</v>
      </c>
      <c r="G92" s="8">
        <f t="shared" si="25"/>
        <v>0</v>
      </c>
      <c r="H92" s="8">
        <f t="shared" si="25"/>
        <v>0</v>
      </c>
    </row>
    <row r="93" spans="1:8">
      <c r="A93" s="12"/>
      <c r="B93" s="20"/>
      <c r="C93" s="21"/>
      <c r="D93" s="21"/>
      <c r="E93" s="21"/>
      <c r="F93" s="21"/>
      <c r="G93" s="21"/>
      <c r="H93" s="21"/>
    </row>
    <row r="96" spans="1:8" ht="18" thickBot="1">
      <c r="A96" s="1" t="s">
        <v>55</v>
      </c>
      <c r="B96" s="1"/>
      <c r="C96" s="1"/>
      <c r="D96" s="1"/>
      <c r="E96" s="1"/>
      <c r="F96" s="1"/>
      <c r="G96" s="1"/>
      <c r="H96" s="1"/>
    </row>
    <row r="97" spans="1:8" ht="16.5" thickTop="1"/>
    <row r="99" spans="1:8" ht="19.5">
      <c r="A99" s="9"/>
      <c r="B99" s="10" t="s">
        <v>6</v>
      </c>
      <c r="C99" s="11"/>
      <c r="D99" s="11"/>
      <c r="E99" s="11"/>
      <c r="F99" s="11"/>
      <c r="G99" s="11"/>
      <c r="H99" s="11"/>
    </row>
    <row r="100" spans="1:8">
      <c r="A100" s="12"/>
      <c r="B100" s="13" t="s">
        <v>7</v>
      </c>
    </row>
    <row r="101" spans="1:8">
      <c r="A101" s="12"/>
    </row>
    <row r="102" spans="1:8">
      <c r="A102" s="12"/>
      <c r="C102" s="23">
        <f t="shared" ref="C102:H102" si="26">C59</f>
        <v>2021</v>
      </c>
      <c r="D102" s="15">
        <f t="shared" si="26"/>
        <v>2022</v>
      </c>
      <c r="E102" s="15">
        <f t="shared" si="26"/>
        <v>2023</v>
      </c>
      <c r="F102" s="15">
        <f t="shared" si="26"/>
        <v>2024</v>
      </c>
      <c r="G102" s="15">
        <f t="shared" si="26"/>
        <v>2025</v>
      </c>
      <c r="H102" s="15">
        <f t="shared" si="26"/>
        <v>2026</v>
      </c>
    </row>
    <row r="103" spans="1:8">
      <c r="A103" s="12"/>
    </row>
    <row r="104" spans="1:8">
      <c r="A104" s="12"/>
      <c r="B104" s="2" t="s">
        <v>8</v>
      </c>
      <c r="C104" s="5">
        <v>1428.5714285714287</v>
      </c>
      <c r="D104" s="5">
        <v>1514.2857142857144</v>
      </c>
      <c r="E104" s="5">
        <v>1605.1428571428573</v>
      </c>
      <c r="F104" s="5">
        <v>1701.4514285714288</v>
      </c>
      <c r="G104" s="5">
        <v>1803.5385142857147</v>
      </c>
      <c r="H104" s="5">
        <v>1911.7508251428576</v>
      </c>
    </row>
    <row r="105" spans="1:8">
      <c r="A105" s="12"/>
      <c r="B105" s="2" t="s">
        <v>9</v>
      </c>
      <c r="C105" s="16">
        <v>-828.57142857142878</v>
      </c>
      <c r="D105" s="16">
        <v>-863.14285714285734</v>
      </c>
      <c r="E105" s="16">
        <v>-898.88000000000022</v>
      </c>
      <c r="F105" s="16">
        <v>-935.79828571428595</v>
      </c>
      <c r="G105" s="16">
        <v>-973.91079771428599</v>
      </c>
      <c r="H105" s="16">
        <v>-1013.2279373257146</v>
      </c>
    </row>
    <row r="106" spans="1:8">
      <c r="A106" s="12"/>
      <c r="B106" s="2" t="s">
        <v>10</v>
      </c>
      <c r="C106" s="17">
        <f>SUM(C104:C105)</f>
        <v>599.99999999999989</v>
      </c>
      <c r="D106" s="17">
        <f t="shared" ref="D106:H106" si="27">SUM(D104:D105)</f>
        <v>651.14285714285711</v>
      </c>
      <c r="E106" s="17">
        <f t="shared" si="27"/>
        <v>706.26285714285711</v>
      </c>
      <c r="F106" s="17">
        <f t="shared" si="27"/>
        <v>765.65314285714283</v>
      </c>
      <c r="G106" s="17">
        <f t="shared" si="27"/>
        <v>829.62771657142866</v>
      </c>
      <c r="H106" s="17">
        <f t="shared" si="27"/>
        <v>898.52288781714299</v>
      </c>
    </row>
    <row r="107" spans="1:8">
      <c r="A107" s="12"/>
      <c r="B107" s="2" t="s">
        <v>11</v>
      </c>
      <c r="C107" s="16">
        <v>-57.142857142857146</v>
      </c>
      <c r="D107" s="16">
        <v>-60.571428571428577</v>
      </c>
      <c r="E107" s="16">
        <v>-64.205714285714294</v>
      </c>
      <c r="F107" s="16">
        <v>-68.058057142857152</v>
      </c>
      <c r="G107" s="16">
        <v>-72.141540571428592</v>
      </c>
      <c r="H107" s="16">
        <v>-76.470033005714299</v>
      </c>
    </row>
    <row r="108" spans="1:8">
      <c r="A108" s="12"/>
      <c r="B108" s="2" t="s">
        <v>12</v>
      </c>
      <c r="C108" s="17">
        <f>SUM(C106:C107)</f>
        <v>542.85714285714278</v>
      </c>
      <c r="D108" s="17">
        <f t="shared" ref="D108:H108" si="28">SUM(D106:D107)</f>
        <v>590.57142857142856</v>
      </c>
      <c r="E108" s="17">
        <f t="shared" si="28"/>
        <v>642.05714285714282</v>
      </c>
      <c r="F108" s="17">
        <f t="shared" si="28"/>
        <v>697.59508571428569</v>
      </c>
      <c r="G108" s="17">
        <f t="shared" si="28"/>
        <v>757.48617600000011</v>
      </c>
      <c r="H108" s="17">
        <f t="shared" si="28"/>
        <v>822.05285481142869</v>
      </c>
    </row>
    <row r="109" spans="1:8">
      <c r="A109" s="12"/>
      <c r="B109" s="2" t="s">
        <v>13</v>
      </c>
      <c r="C109" s="16">
        <v>-207.14285714285714</v>
      </c>
      <c r="D109" s="16">
        <v>-219.57142857142858</v>
      </c>
      <c r="E109" s="16">
        <v>-232.74571428571429</v>
      </c>
      <c r="F109" s="16">
        <v>-246.71045714285717</v>
      </c>
      <c r="G109" s="16">
        <v>-261.51308457142864</v>
      </c>
      <c r="H109" s="16">
        <v>-277.20386964571435</v>
      </c>
    </row>
    <row r="110" spans="1:8">
      <c r="A110" s="12"/>
      <c r="B110" s="2" t="s">
        <v>14</v>
      </c>
      <c r="C110" s="17">
        <f>SUM(C108:C109)</f>
        <v>335.71428571428567</v>
      </c>
      <c r="D110" s="17">
        <f t="shared" ref="D110:H110" si="29">SUM(D108:D109)</f>
        <v>371</v>
      </c>
      <c r="E110" s="17">
        <f t="shared" si="29"/>
        <v>409.31142857142856</v>
      </c>
      <c r="F110" s="17">
        <f t="shared" si="29"/>
        <v>450.88462857142849</v>
      </c>
      <c r="G110" s="17">
        <f t="shared" si="29"/>
        <v>495.97309142857148</v>
      </c>
      <c r="H110" s="17">
        <f t="shared" si="29"/>
        <v>544.84898516571434</v>
      </c>
    </row>
    <row r="111" spans="1:8">
      <c r="A111" s="12"/>
      <c r="B111" s="2" t="s">
        <v>15</v>
      </c>
      <c r="C111" s="16">
        <v>-121.78601737269543</v>
      </c>
      <c r="D111" s="16">
        <v>-107.29927659202717</v>
      </c>
      <c r="E111" s="16">
        <v>-92.687264377412063</v>
      </c>
      <c r="F111" s="16">
        <v>-77.937961038803266</v>
      </c>
      <c r="G111" s="16">
        <v>-63.042430704062497</v>
      </c>
      <c r="H111" s="16">
        <v>-47.991037832600853</v>
      </c>
    </row>
    <row r="112" spans="1:8">
      <c r="A112" s="12"/>
      <c r="B112" s="2" t="s">
        <v>16</v>
      </c>
      <c r="C112" s="17">
        <f>SUM(C110:C111)</f>
        <v>213.92826834159024</v>
      </c>
      <c r="D112" s="17">
        <f t="shared" ref="D112:H112" si="30">SUM(D110:D111)</f>
        <v>263.70072340797282</v>
      </c>
      <c r="E112" s="17">
        <f t="shared" si="30"/>
        <v>316.62416419401649</v>
      </c>
      <c r="F112" s="17">
        <f t="shared" si="30"/>
        <v>372.94666753262521</v>
      </c>
      <c r="G112" s="17">
        <f t="shared" si="30"/>
        <v>432.93066072450898</v>
      </c>
      <c r="H112" s="17">
        <f t="shared" si="30"/>
        <v>496.85794733311349</v>
      </c>
    </row>
    <row r="113" spans="1:8">
      <c r="A113" s="12"/>
      <c r="B113" s="2" t="s">
        <v>17</v>
      </c>
      <c r="C113" s="16">
        <v>-49.203501718565761</v>
      </c>
      <c r="D113" s="16">
        <v>-60.651166383833747</v>
      </c>
      <c r="E113" s="16">
        <v>-72.8235577646238</v>
      </c>
      <c r="F113" s="16">
        <v>-85.777733532503802</v>
      </c>
      <c r="G113" s="16">
        <v>-99.574051966637072</v>
      </c>
      <c r="H113" s="16">
        <v>-114.27732788661611</v>
      </c>
    </row>
    <row r="114" spans="1:8">
      <c r="A114" s="12"/>
      <c r="B114" s="18" t="s">
        <v>18</v>
      </c>
      <c r="C114" s="19">
        <f>SUM(C112:C113)</f>
        <v>164.72476662302449</v>
      </c>
      <c r="D114" s="19">
        <f t="shared" ref="D114:H114" si="31">SUM(D112:D113)</f>
        <v>203.04955702413906</v>
      </c>
      <c r="E114" s="19">
        <f t="shared" si="31"/>
        <v>243.8006064293927</v>
      </c>
      <c r="F114" s="19">
        <f t="shared" si="31"/>
        <v>287.1689340001214</v>
      </c>
      <c r="G114" s="19">
        <f t="shared" si="31"/>
        <v>333.35660875787192</v>
      </c>
      <c r="H114" s="19">
        <f t="shared" si="31"/>
        <v>382.58061944649739</v>
      </c>
    </row>
    <row r="115" spans="1:8">
      <c r="A115" s="12"/>
      <c r="B115" s="20"/>
      <c r="C115" s="21"/>
      <c r="D115" s="21"/>
      <c r="E115" s="21"/>
      <c r="F115" s="21"/>
      <c r="G115" s="21"/>
      <c r="H115" s="21"/>
    </row>
    <row r="116" spans="1:8">
      <c r="A116" s="12"/>
      <c r="C116" s="22"/>
      <c r="D116" s="22"/>
      <c r="E116" s="22"/>
      <c r="F116" s="22"/>
      <c r="G116" s="22"/>
      <c r="H116" s="22"/>
    </row>
    <row r="117" spans="1:8">
      <c r="A117" s="12"/>
      <c r="C117" s="22"/>
      <c r="D117" s="22"/>
      <c r="E117" s="22"/>
      <c r="F117" s="22"/>
      <c r="G117" s="22"/>
      <c r="H117" s="22"/>
    </row>
    <row r="118" spans="1:8" ht="19.5">
      <c r="A118" s="9"/>
      <c r="B118" s="10" t="s">
        <v>19</v>
      </c>
      <c r="C118" s="11"/>
      <c r="D118" s="11"/>
      <c r="E118" s="11"/>
      <c r="F118" s="11"/>
      <c r="G118" s="11"/>
      <c r="H118" s="11"/>
    </row>
    <row r="119" spans="1:8">
      <c r="A119" s="12"/>
      <c r="B119" s="13" t="s">
        <v>7</v>
      </c>
    </row>
    <row r="120" spans="1:8">
      <c r="A120" s="12"/>
      <c r="B120" s="13"/>
    </row>
    <row r="121" spans="1:8">
      <c r="A121" s="12"/>
      <c r="C121" s="23">
        <f t="shared" ref="C121:H121" si="32">C102</f>
        <v>2021</v>
      </c>
      <c r="D121" s="15">
        <f t="shared" si="32"/>
        <v>2022</v>
      </c>
      <c r="E121" s="15">
        <f t="shared" si="32"/>
        <v>2023</v>
      </c>
      <c r="F121" s="15">
        <f t="shared" si="32"/>
        <v>2024</v>
      </c>
      <c r="G121" s="15">
        <f t="shared" si="32"/>
        <v>2025</v>
      </c>
      <c r="H121" s="15">
        <f t="shared" si="32"/>
        <v>2026</v>
      </c>
    </row>
    <row r="122" spans="1:8">
      <c r="A122" s="12"/>
      <c r="B122" s="13"/>
    </row>
    <row r="123" spans="1:8">
      <c r="A123" s="12"/>
      <c r="B123" s="18" t="s">
        <v>20</v>
      </c>
      <c r="C123" s="22"/>
    </row>
    <row r="124" spans="1:8">
      <c r="A124" s="12"/>
      <c r="B124" s="2" t="s">
        <v>18</v>
      </c>
      <c r="C124" s="17">
        <f t="shared" ref="C124:H124" si="33">C114</f>
        <v>164.72476662302449</v>
      </c>
      <c r="D124" s="17">
        <f t="shared" si="33"/>
        <v>203.04955702413906</v>
      </c>
      <c r="E124" s="17">
        <f t="shared" si="33"/>
        <v>243.8006064293927</v>
      </c>
      <c r="F124" s="17">
        <f t="shared" si="33"/>
        <v>287.1689340001214</v>
      </c>
      <c r="G124" s="17">
        <f t="shared" si="33"/>
        <v>333.35660875787192</v>
      </c>
      <c r="H124" s="17">
        <f t="shared" si="33"/>
        <v>382.58061944649739</v>
      </c>
    </row>
    <row r="125" spans="1:8">
      <c r="A125" s="12"/>
      <c r="B125" s="2" t="s">
        <v>21</v>
      </c>
      <c r="C125" s="17">
        <f t="shared" ref="C125:H125" si="34">-C109</f>
        <v>207.14285714285714</v>
      </c>
      <c r="D125" s="17">
        <f t="shared" si="34"/>
        <v>219.57142857142858</v>
      </c>
      <c r="E125" s="17">
        <f t="shared" si="34"/>
        <v>232.74571428571429</v>
      </c>
      <c r="F125" s="17">
        <f t="shared" si="34"/>
        <v>246.71045714285717</v>
      </c>
      <c r="G125" s="17">
        <f t="shared" si="34"/>
        <v>261.51308457142864</v>
      </c>
      <c r="H125" s="17">
        <f t="shared" si="34"/>
        <v>277.20386964571435</v>
      </c>
    </row>
    <row r="126" spans="1:8">
      <c r="A126" s="12"/>
      <c r="B126" s="2" t="s">
        <v>22</v>
      </c>
      <c r="C126" s="16">
        <v>-9</v>
      </c>
      <c r="D126" s="16">
        <v>-11.074285714285736</v>
      </c>
      <c r="E126" s="16">
        <v>-11.68422857142852</v>
      </c>
      <c r="F126" s="16">
        <v>-12.327497142857169</v>
      </c>
      <c r="G126" s="16">
        <v>-13.005894720000043</v>
      </c>
      <c r="H126" s="16">
        <v>-13.721321016685721</v>
      </c>
    </row>
    <row r="127" spans="1:8">
      <c r="A127" s="12"/>
      <c r="B127" s="2" t="s">
        <v>20</v>
      </c>
      <c r="C127" s="17">
        <f>SUM(C124:C126)</f>
        <v>362.8676237658816</v>
      </c>
      <c r="D127" s="17">
        <f t="shared" ref="D127:H127" si="35">SUM(D124:D126)</f>
        <v>411.54669988128188</v>
      </c>
      <c r="E127" s="17">
        <f t="shared" si="35"/>
        <v>464.86209214367841</v>
      </c>
      <c r="F127" s="17">
        <f t="shared" si="35"/>
        <v>521.55189400012137</v>
      </c>
      <c r="G127" s="17">
        <f t="shared" si="35"/>
        <v>581.8637986093006</v>
      </c>
      <c r="H127" s="17">
        <f t="shared" si="35"/>
        <v>646.06316807552605</v>
      </c>
    </row>
    <row r="128" spans="1:8">
      <c r="A128" s="12"/>
      <c r="B128" s="13"/>
      <c r="C128" s="8"/>
      <c r="D128" s="8"/>
      <c r="E128" s="8"/>
      <c r="F128" s="8"/>
      <c r="G128" s="8"/>
      <c r="H128" s="8"/>
    </row>
    <row r="129" spans="1:8">
      <c r="A129" s="12"/>
      <c r="B129" s="18" t="s">
        <v>23</v>
      </c>
      <c r="C129" s="8"/>
      <c r="D129" s="8"/>
      <c r="E129" s="8"/>
      <c r="F129" s="8"/>
      <c r="G129" s="8"/>
      <c r="H129" s="8"/>
    </row>
    <row r="130" spans="1:8">
      <c r="A130" s="12"/>
      <c r="B130" s="2" t="s">
        <v>24</v>
      </c>
      <c r="C130" s="16">
        <v>-227.85714285714286</v>
      </c>
      <c r="D130" s="16">
        <v>-241.52857142857147</v>
      </c>
      <c r="E130" s="16">
        <v>-256.02028571428576</v>
      </c>
      <c r="F130" s="16">
        <v>-271.38150285714289</v>
      </c>
      <c r="G130" s="16">
        <v>-287.66439302857151</v>
      </c>
      <c r="H130" s="16">
        <v>-304.92425661028579</v>
      </c>
    </row>
    <row r="131" spans="1:8">
      <c r="A131" s="12"/>
      <c r="B131" s="2" t="s">
        <v>23</v>
      </c>
      <c r="C131" s="17">
        <f t="shared" ref="C131:H131" si="36">SUM(C130:C130)</f>
        <v>-227.85714285714286</v>
      </c>
      <c r="D131" s="17">
        <f t="shared" si="36"/>
        <v>-241.52857142857147</v>
      </c>
      <c r="E131" s="17">
        <f t="shared" si="36"/>
        <v>-256.02028571428576</v>
      </c>
      <c r="F131" s="17">
        <f t="shared" si="36"/>
        <v>-271.38150285714289</v>
      </c>
      <c r="G131" s="17">
        <f t="shared" si="36"/>
        <v>-287.66439302857151</v>
      </c>
      <c r="H131" s="17">
        <f t="shared" si="36"/>
        <v>-304.92425661028579</v>
      </c>
    </row>
    <row r="132" spans="1:8">
      <c r="A132" s="12"/>
      <c r="C132" s="17"/>
      <c r="D132" s="17"/>
      <c r="E132" s="17"/>
      <c r="F132" s="17"/>
      <c r="G132" s="17"/>
      <c r="H132" s="17"/>
    </row>
    <row r="133" spans="1:8">
      <c r="A133" s="12"/>
      <c r="B133" s="18" t="s">
        <v>25</v>
      </c>
      <c r="C133" s="8"/>
      <c r="D133" s="8"/>
      <c r="E133" s="8"/>
      <c r="F133" s="8"/>
      <c r="G133" s="8"/>
      <c r="H133" s="8"/>
    </row>
    <row r="134" spans="1:8">
      <c r="A134" s="12"/>
      <c r="B134" s="2" t="s">
        <v>26</v>
      </c>
      <c r="C134" s="5">
        <v>-200</v>
      </c>
      <c r="D134" s="5">
        <v>-200</v>
      </c>
      <c r="E134" s="5">
        <v>-200</v>
      </c>
      <c r="F134" s="5">
        <v>-200</v>
      </c>
      <c r="G134" s="5">
        <v>-200</v>
      </c>
      <c r="H134" s="5">
        <v>-200</v>
      </c>
    </row>
    <row r="135" spans="1:8">
      <c r="A135" s="12"/>
      <c r="B135" s="2" t="s">
        <v>27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1:8">
      <c r="A136" s="12"/>
      <c r="B136" s="2" t="s">
        <v>28</v>
      </c>
      <c r="C136" s="16">
        <v>-49.417429986907344</v>
      </c>
      <c r="D136" s="16">
        <v>-60.914867107241719</v>
      </c>
      <c r="E136" s="16">
        <v>-73.14018192881781</v>
      </c>
      <c r="F136" s="16">
        <v>-86.150680200036419</v>
      </c>
      <c r="G136" s="16">
        <v>-100.00698262736158</v>
      </c>
      <c r="H136" s="16">
        <v>-114.77418583394922</v>
      </c>
    </row>
    <row r="137" spans="1:8">
      <c r="A137" s="12"/>
      <c r="B137" s="2" t="s">
        <v>25</v>
      </c>
      <c r="C137" s="17">
        <f>SUM(C134:C136)</f>
        <v>-249.41742998690734</v>
      </c>
      <c r="D137" s="17">
        <f t="shared" ref="D137:H137" si="37">SUM(D134:D136)</f>
        <v>-260.91486710724172</v>
      </c>
      <c r="E137" s="17">
        <f t="shared" si="37"/>
        <v>-273.14018192881781</v>
      </c>
      <c r="F137" s="17">
        <f t="shared" si="37"/>
        <v>-286.15068020003639</v>
      </c>
      <c r="G137" s="17">
        <f t="shared" si="37"/>
        <v>-300.00698262736159</v>
      </c>
      <c r="H137" s="17">
        <f t="shared" si="37"/>
        <v>-314.77418583394922</v>
      </c>
    </row>
    <row r="138" spans="1:8">
      <c r="A138" s="12"/>
      <c r="C138" s="17"/>
      <c r="D138" s="17"/>
      <c r="E138" s="17"/>
      <c r="F138" s="17"/>
      <c r="G138" s="17"/>
      <c r="H138" s="17"/>
    </row>
    <row r="139" spans="1:8">
      <c r="A139" s="12"/>
      <c r="B139" s="2" t="s">
        <v>29</v>
      </c>
      <c r="C139" s="5">
        <v>1200</v>
      </c>
      <c r="D139" s="17">
        <f>C141</f>
        <v>1085.5930509218315</v>
      </c>
      <c r="E139" s="17">
        <f t="shared" ref="E139:H139" si="38">D141</f>
        <v>994.69631226730019</v>
      </c>
      <c r="F139" s="17">
        <f t="shared" si="38"/>
        <v>930.39793676787508</v>
      </c>
      <c r="G139" s="17">
        <f t="shared" si="38"/>
        <v>894.41764771081716</v>
      </c>
      <c r="H139" s="17">
        <f t="shared" si="38"/>
        <v>888.6100706641846</v>
      </c>
    </row>
    <row r="140" spans="1:8">
      <c r="A140" s="12"/>
      <c r="B140" s="2" t="s">
        <v>30</v>
      </c>
      <c r="C140" s="24">
        <f>C127+C131+C137</f>
        <v>-114.40694907816859</v>
      </c>
      <c r="D140" s="24">
        <f t="shared" ref="D140:H140" si="39">D127+D131+D137</f>
        <v>-90.896738654531305</v>
      </c>
      <c r="E140" s="24">
        <f t="shared" si="39"/>
        <v>-64.298375499425163</v>
      </c>
      <c r="F140" s="24">
        <f t="shared" si="39"/>
        <v>-35.980289057057917</v>
      </c>
      <c r="G140" s="24">
        <f t="shared" si="39"/>
        <v>-5.8075770466325025</v>
      </c>
      <c r="H140" s="24">
        <f t="shared" si="39"/>
        <v>26.364725631291037</v>
      </c>
    </row>
    <row r="141" spans="1:8">
      <c r="A141" s="12"/>
      <c r="B141" s="18" t="s">
        <v>31</v>
      </c>
      <c r="C141" s="19">
        <f>SUM(C139:C140)</f>
        <v>1085.5930509218315</v>
      </c>
      <c r="D141" s="19">
        <f t="shared" ref="D141:H141" si="40">SUM(D139:D140)</f>
        <v>994.69631226730019</v>
      </c>
      <c r="E141" s="19">
        <f t="shared" si="40"/>
        <v>930.39793676787508</v>
      </c>
      <c r="F141" s="19">
        <f t="shared" si="40"/>
        <v>894.41764771081716</v>
      </c>
      <c r="G141" s="19">
        <f t="shared" si="40"/>
        <v>888.6100706641846</v>
      </c>
      <c r="H141" s="19">
        <f t="shared" si="40"/>
        <v>914.9747962954757</v>
      </c>
    </row>
    <row r="142" spans="1:8">
      <c r="A142" s="12"/>
      <c r="B142" s="20"/>
      <c r="C142" s="21"/>
      <c r="D142" s="21"/>
      <c r="E142" s="21"/>
      <c r="F142" s="21"/>
      <c r="G142" s="21"/>
      <c r="H142" s="21"/>
    </row>
    <row r="143" spans="1:8">
      <c r="A143" s="12"/>
      <c r="C143" s="22"/>
      <c r="D143" s="22"/>
      <c r="E143" s="22"/>
      <c r="F143" s="22"/>
      <c r="G143" s="22"/>
      <c r="H143" s="22"/>
    </row>
    <row r="144" spans="1:8">
      <c r="A144" s="12"/>
      <c r="C144" s="22"/>
      <c r="D144" s="22"/>
      <c r="E144" s="22"/>
      <c r="F144" s="22"/>
      <c r="G144" s="22"/>
      <c r="H144" s="22"/>
    </row>
    <row r="145" spans="1:8" ht="19.5">
      <c r="A145" s="9"/>
      <c r="B145" s="10" t="s">
        <v>32</v>
      </c>
      <c r="C145" s="11"/>
      <c r="D145" s="11"/>
      <c r="E145" s="11"/>
      <c r="F145" s="11"/>
      <c r="G145" s="11"/>
      <c r="H145" s="11"/>
    </row>
    <row r="146" spans="1:8">
      <c r="A146" s="12"/>
      <c r="B146" s="13" t="s">
        <v>7</v>
      </c>
    </row>
    <row r="147" spans="1:8">
      <c r="A147" s="12"/>
      <c r="B147" s="13"/>
    </row>
    <row r="148" spans="1:8">
      <c r="A148" s="12"/>
      <c r="C148" s="23">
        <f t="shared" ref="C148:H148" si="41">C121</f>
        <v>2021</v>
      </c>
      <c r="D148" s="15">
        <f t="shared" si="41"/>
        <v>2022</v>
      </c>
      <c r="E148" s="15">
        <f t="shared" si="41"/>
        <v>2023</v>
      </c>
      <c r="F148" s="15">
        <f t="shared" si="41"/>
        <v>2024</v>
      </c>
      <c r="G148" s="15">
        <f t="shared" si="41"/>
        <v>2025</v>
      </c>
      <c r="H148" s="15">
        <f t="shared" si="41"/>
        <v>2026</v>
      </c>
    </row>
    <row r="149" spans="1:8">
      <c r="A149" s="12"/>
      <c r="C149" s="25"/>
      <c r="D149" s="25"/>
      <c r="E149" s="25"/>
      <c r="F149" s="25"/>
      <c r="G149" s="25"/>
      <c r="H149" s="25"/>
    </row>
    <row r="150" spans="1:8">
      <c r="A150" s="12"/>
      <c r="B150" s="18" t="s">
        <v>33</v>
      </c>
      <c r="C150" s="25"/>
      <c r="D150" s="25"/>
      <c r="E150" s="25"/>
      <c r="F150" s="25"/>
      <c r="G150" s="25"/>
      <c r="H150" s="25"/>
    </row>
    <row r="151" spans="1:8">
      <c r="A151" s="12"/>
      <c r="B151" s="2" t="s">
        <v>34</v>
      </c>
      <c r="C151" s="17">
        <f>C141</f>
        <v>1085.5930509218315</v>
      </c>
      <c r="D151" s="17">
        <f t="shared" ref="D151:H151" si="42">D141</f>
        <v>994.69631226730019</v>
      </c>
      <c r="E151" s="17">
        <f t="shared" si="42"/>
        <v>930.39793676787508</v>
      </c>
      <c r="F151" s="17">
        <f t="shared" si="42"/>
        <v>894.41764771081716</v>
      </c>
      <c r="G151" s="17">
        <f t="shared" si="42"/>
        <v>888.6100706641846</v>
      </c>
      <c r="H151" s="17">
        <f t="shared" si="42"/>
        <v>914.9747962954757</v>
      </c>
    </row>
    <row r="152" spans="1:8">
      <c r="A152" s="12"/>
      <c r="B152" s="2" t="s">
        <v>35</v>
      </c>
      <c r="C152" s="5">
        <v>114.28571428571429</v>
      </c>
      <c r="D152" s="5">
        <v>121.14285714285715</v>
      </c>
      <c r="E152" s="5">
        <v>128.41142857142859</v>
      </c>
      <c r="F152" s="5">
        <v>136.1161142857143</v>
      </c>
      <c r="G152" s="5">
        <v>144.28308114285718</v>
      </c>
      <c r="H152" s="5">
        <v>152.9400660114286</v>
      </c>
    </row>
    <row r="153" spans="1:8">
      <c r="A153" s="12"/>
      <c r="B153" s="2" t="s">
        <v>36</v>
      </c>
      <c r="C153" s="5">
        <v>124.28571428571431</v>
      </c>
      <c r="D153" s="5">
        <v>129.47142857142859</v>
      </c>
      <c r="E153" s="5">
        <v>134.83200000000002</v>
      </c>
      <c r="F153" s="5">
        <v>140.36974285714288</v>
      </c>
      <c r="G153" s="5">
        <v>146.0866196571429</v>
      </c>
      <c r="H153" s="5">
        <v>151.9841905988572</v>
      </c>
    </row>
    <row r="154" spans="1:8">
      <c r="A154" s="12"/>
      <c r="B154" s="2" t="s">
        <v>112</v>
      </c>
      <c r="C154" s="16">
        <v>35.714285714285715</v>
      </c>
      <c r="D154" s="16">
        <v>37.857142857142861</v>
      </c>
      <c r="E154" s="16">
        <v>40.128571428571433</v>
      </c>
      <c r="F154" s="16">
        <v>42.536285714285725</v>
      </c>
      <c r="G154" s="16">
        <v>45.088462857142872</v>
      </c>
      <c r="H154" s="16">
        <v>47.793770628571444</v>
      </c>
    </row>
    <row r="155" spans="1:8">
      <c r="A155" s="12"/>
      <c r="B155" s="2" t="s">
        <v>38</v>
      </c>
      <c r="C155" s="8">
        <f>SUM(C151:C154)</f>
        <v>1359.8787652075457</v>
      </c>
      <c r="D155" s="8">
        <f t="shared" ref="D155:H155" si="43">SUM(D151:D154)</f>
        <v>1283.1677408387288</v>
      </c>
      <c r="E155" s="8">
        <f t="shared" si="43"/>
        <v>1233.7699367678752</v>
      </c>
      <c r="F155" s="8">
        <f t="shared" si="43"/>
        <v>1213.43979056796</v>
      </c>
      <c r="G155" s="8">
        <f t="shared" si="43"/>
        <v>1224.0682343213275</v>
      </c>
      <c r="H155" s="8">
        <f t="shared" si="43"/>
        <v>1267.6928235343328</v>
      </c>
    </row>
    <row r="156" spans="1:8">
      <c r="A156" s="12"/>
      <c r="C156" s="8"/>
      <c r="D156" s="8"/>
      <c r="E156" s="8"/>
      <c r="F156" s="8"/>
      <c r="G156" s="8"/>
      <c r="H156" s="8"/>
    </row>
    <row r="157" spans="1:8">
      <c r="A157" s="12"/>
      <c r="B157" s="2" t="s">
        <v>39</v>
      </c>
      <c r="C157" s="5">
        <v>4142.8571428571422</v>
      </c>
      <c r="D157" s="5">
        <v>4164.8142857142848</v>
      </c>
      <c r="E157" s="5">
        <v>4188.0888571428559</v>
      </c>
      <c r="F157" s="5">
        <v>4212.7599028571412</v>
      </c>
      <c r="G157" s="5">
        <v>4238.9112113142846</v>
      </c>
      <c r="H157" s="5">
        <v>4266.6315982788565</v>
      </c>
    </row>
    <row r="158" spans="1:8">
      <c r="A158" s="12"/>
      <c r="B158" s="2" t="s">
        <v>113</v>
      </c>
      <c r="C158" s="16">
        <v>12</v>
      </c>
      <c r="D158" s="16">
        <v>12</v>
      </c>
      <c r="E158" s="16">
        <v>12</v>
      </c>
      <c r="F158" s="16">
        <v>12</v>
      </c>
      <c r="G158" s="16">
        <v>12</v>
      </c>
      <c r="H158" s="16">
        <v>12</v>
      </c>
    </row>
    <row r="159" spans="1:8">
      <c r="A159" s="12"/>
      <c r="B159" s="2" t="s">
        <v>40</v>
      </c>
      <c r="C159" s="8">
        <f>SUM(C157:C158)</f>
        <v>4154.8571428571422</v>
      </c>
      <c r="D159" s="8">
        <f t="shared" ref="D159:H159" si="44">SUM(D157:D158)</f>
        <v>4176.8142857142848</v>
      </c>
      <c r="E159" s="8">
        <f t="shared" si="44"/>
        <v>4200.0888571428559</v>
      </c>
      <c r="F159" s="8">
        <f t="shared" si="44"/>
        <v>4224.7599028571412</v>
      </c>
      <c r="G159" s="8">
        <f t="shared" si="44"/>
        <v>4250.9112113142846</v>
      </c>
      <c r="H159" s="8">
        <f t="shared" si="44"/>
        <v>4278.6315982788565</v>
      </c>
    </row>
    <row r="160" spans="1:8">
      <c r="A160" s="12"/>
      <c r="C160" s="8"/>
      <c r="D160" s="8"/>
      <c r="E160" s="8"/>
      <c r="F160" s="8"/>
      <c r="G160" s="8"/>
      <c r="H160" s="8"/>
    </row>
    <row r="161" spans="1:8">
      <c r="A161" s="12"/>
      <c r="B161" s="18" t="s">
        <v>41</v>
      </c>
      <c r="C161" s="26">
        <f>C155+C159</f>
        <v>5514.7359080646875</v>
      </c>
      <c r="D161" s="26">
        <f t="shared" ref="D161:H161" si="45">D155+D159</f>
        <v>5459.9820265530134</v>
      </c>
      <c r="E161" s="26">
        <f t="shared" si="45"/>
        <v>5433.858793910731</v>
      </c>
      <c r="F161" s="26">
        <f t="shared" si="45"/>
        <v>5438.199693425101</v>
      </c>
      <c r="G161" s="26">
        <f t="shared" si="45"/>
        <v>5474.9794456356121</v>
      </c>
      <c r="H161" s="26">
        <f t="shared" si="45"/>
        <v>5546.3244218131895</v>
      </c>
    </row>
    <row r="162" spans="1:8">
      <c r="A162" s="12"/>
      <c r="C162" s="8"/>
      <c r="D162" s="8"/>
      <c r="E162" s="8"/>
      <c r="F162" s="8"/>
      <c r="G162" s="8"/>
      <c r="H162" s="8"/>
    </row>
    <row r="163" spans="1:8">
      <c r="A163" s="12"/>
      <c r="B163" s="18" t="s">
        <v>42</v>
      </c>
      <c r="C163" s="8"/>
      <c r="D163" s="8"/>
      <c r="E163" s="8"/>
      <c r="F163" s="8"/>
      <c r="G163" s="8"/>
      <c r="H163" s="8"/>
    </row>
    <row r="164" spans="1:8">
      <c r="A164" s="12"/>
      <c r="B164" s="2" t="s">
        <v>43</v>
      </c>
      <c r="C164" s="5">
        <v>74.571428571428584</v>
      </c>
      <c r="D164" s="5">
        <v>77.682857142857159</v>
      </c>
      <c r="E164" s="5">
        <v>80.899200000000022</v>
      </c>
      <c r="F164" s="5">
        <v>84.221845714285735</v>
      </c>
      <c r="G164" s="5">
        <v>87.651971794285743</v>
      </c>
      <c r="H164" s="5">
        <v>91.190514359314307</v>
      </c>
    </row>
    <row r="165" spans="1:8">
      <c r="A165" s="12"/>
      <c r="B165" s="2" t="s">
        <v>44</v>
      </c>
      <c r="C165" s="5">
        <v>200</v>
      </c>
      <c r="D165" s="5">
        <v>200</v>
      </c>
      <c r="E165" s="5">
        <v>200</v>
      </c>
      <c r="F165" s="5">
        <v>200</v>
      </c>
      <c r="G165" s="5">
        <v>200</v>
      </c>
      <c r="H165" s="5">
        <v>200</v>
      </c>
    </row>
    <row r="166" spans="1:8">
      <c r="A166" s="12"/>
      <c r="B166" s="2" t="s">
        <v>114</v>
      </c>
      <c r="C166" s="16">
        <v>6.3</v>
      </c>
      <c r="D166" s="16">
        <v>6.3</v>
      </c>
      <c r="E166" s="16">
        <v>6.3</v>
      </c>
      <c r="F166" s="16">
        <v>6.3</v>
      </c>
      <c r="G166" s="16">
        <v>6.3</v>
      </c>
      <c r="H166" s="16">
        <v>6.3</v>
      </c>
    </row>
    <row r="167" spans="1:8">
      <c r="A167" s="12"/>
      <c r="B167" s="2" t="s">
        <v>45</v>
      </c>
      <c r="C167" s="17">
        <f>SUM(C164:C166)</f>
        <v>280.87142857142857</v>
      </c>
      <c r="D167" s="17">
        <f t="shared" ref="D167:H167" si="46">SUM(D164:D166)</f>
        <v>283.9828571428572</v>
      </c>
      <c r="E167" s="17">
        <f t="shared" si="46"/>
        <v>287.19920000000002</v>
      </c>
      <c r="F167" s="17">
        <f t="shared" si="46"/>
        <v>290.52184571428575</v>
      </c>
      <c r="G167" s="17">
        <f t="shared" si="46"/>
        <v>293.95197179428573</v>
      </c>
      <c r="H167" s="17">
        <f t="shared" si="46"/>
        <v>297.49051435931432</v>
      </c>
    </row>
    <row r="168" spans="1:8">
      <c r="A168" s="12"/>
      <c r="C168" s="8"/>
      <c r="D168" s="8"/>
      <c r="E168" s="8"/>
      <c r="F168" s="8"/>
      <c r="G168" s="8"/>
      <c r="H168" s="8"/>
    </row>
    <row r="169" spans="1:8">
      <c r="A169" s="12"/>
      <c r="B169" s="2" t="s">
        <v>46</v>
      </c>
      <c r="C169" s="5">
        <v>1400</v>
      </c>
      <c r="D169" s="5">
        <v>1200</v>
      </c>
      <c r="E169" s="5">
        <v>1000</v>
      </c>
      <c r="F169" s="5">
        <v>800</v>
      </c>
      <c r="G169" s="5">
        <v>600</v>
      </c>
      <c r="H169" s="5">
        <v>400</v>
      </c>
    </row>
    <row r="170" spans="1:8">
      <c r="A170" s="12"/>
      <c r="B170" s="2" t="s">
        <v>115</v>
      </c>
      <c r="C170" s="16">
        <v>2</v>
      </c>
      <c r="D170" s="16">
        <v>2</v>
      </c>
      <c r="E170" s="16">
        <v>2</v>
      </c>
      <c r="F170" s="16">
        <v>2</v>
      </c>
      <c r="G170" s="16">
        <v>2</v>
      </c>
      <c r="H170" s="16">
        <v>2</v>
      </c>
    </row>
    <row r="171" spans="1:8">
      <c r="A171" s="12"/>
      <c r="B171" s="2" t="s">
        <v>47</v>
      </c>
      <c r="C171" s="17">
        <f t="shared" ref="C171:H171" si="47">SUM(C169:C170)</f>
        <v>1402</v>
      </c>
      <c r="D171" s="17">
        <f t="shared" si="47"/>
        <v>1202</v>
      </c>
      <c r="E171" s="17">
        <f t="shared" si="47"/>
        <v>1002</v>
      </c>
      <c r="F171" s="17">
        <f t="shared" si="47"/>
        <v>802</v>
      </c>
      <c r="G171" s="17">
        <f t="shared" si="47"/>
        <v>602</v>
      </c>
      <c r="H171" s="17">
        <f t="shared" si="47"/>
        <v>402</v>
      </c>
    </row>
    <row r="172" spans="1:8">
      <c r="A172" s="12"/>
      <c r="C172" s="8"/>
      <c r="D172" s="8"/>
      <c r="E172" s="8"/>
      <c r="F172" s="8"/>
      <c r="G172" s="8"/>
      <c r="H172" s="8"/>
    </row>
    <row r="173" spans="1:8">
      <c r="A173" s="12"/>
      <c r="B173" s="18" t="s">
        <v>48</v>
      </c>
      <c r="C173" s="26">
        <f>C167+C171</f>
        <v>1682.8714285714286</v>
      </c>
      <c r="D173" s="26">
        <f t="shared" ref="D173:H173" si="48">D167+D171</f>
        <v>1485.9828571428573</v>
      </c>
      <c r="E173" s="26">
        <f t="shared" si="48"/>
        <v>1289.1992</v>
      </c>
      <c r="F173" s="26">
        <f t="shared" si="48"/>
        <v>1092.5218457142857</v>
      </c>
      <c r="G173" s="26">
        <f t="shared" si="48"/>
        <v>895.95197179428578</v>
      </c>
      <c r="H173" s="26">
        <f t="shared" si="48"/>
        <v>699.49051435931437</v>
      </c>
    </row>
    <row r="174" spans="1:8">
      <c r="A174" s="12"/>
      <c r="C174" s="8"/>
      <c r="D174" s="8"/>
      <c r="E174" s="8"/>
      <c r="F174" s="8"/>
      <c r="G174" s="8"/>
      <c r="H174" s="8"/>
    </row>
    <row r="175" spans="1:8">
      <c r="A175" s="12"/>
      <c r="B175" s="18" t="s">
        <v>49</v>
      </c>
      <c r="C175" s="8"/>
      <c r="D175" s="8"/>
      <c r="E175" s="8"/>
      <c r="F175" s="8"/>
      <c r="G175" s="8"/>
      <c r="H175" s="8"/>
    </row>
    <row r="176" spans="1:8">
      <c r="A176" s="12"/>
      <c r="B176" s="2" t="s">
        <v>50</v>
      </c>
      <c r="C176" s="5">
        <v>2200</v>
      </c>
      <c r="D176" s="5">
        <v>2200</v>
      </c>
      <c r="E176" s="5">
        <v>2200</v>
      </c>
      <c r="F176" s="5">
        <v>2200</v>
      </c>
      <c r="G176" s="5">
        <v>2200</v>
      </c>
      <c r="H176" s="5">
        <v>2200</v>
      </c>
    </row>
    <row r="177" spans="1:8">
      <c r="A177" s="12"/>
      <c r="B177" s="2" t="s">
        <v>51</v>
      </c>
      <c r="C177" s="16">
        <v>1631.8644794932586</v>
      </c>
      <c r="D177" s="16">
        <v>1773.9991694101559</v>
      </c>
      <c r="E177" s="16">
        <v>1944.6595939107308</v>
      </c>
      <c r="F177" s="16">
        <v>2145.677847710816</v>
      </c>
      <c r="G177" s="16">
        <v>2379.0274738413264</v>
      </c>
      <c r="H177" s="16">
        <v>2646.8339074538749</v>
      </c>
    </row>
    <row r="178" spans="1:8" s="18" customFormat="1">
      <c r="A178" s="27"/>
      <c r="B178" s="18" t="s">
        <v>52</v>
      </c>
      <c r="C178" s="26">
        <f>SUM(C176:C177)</f>
        <v>3831.8644794932588</v>
      </c>
      <c r="D178" s="26">
        <f t="shared" ref="D178:H178" si="49">SUM(D176:D177)</f>
        <v>3973.9991694101559</v>
      </c>
      <c r="E178" s="26">
        <f t="shared" si="49"/>
        <v>4144.659593910731</v>
      </c>
      <c r="F178" s="26">
        <f t="shared" si="49"/>
        <v>4345.6778477108164</v>
      </c>
      <c r="G178" s="26">
        <f t="shared" si="49"/>
        <v>4579.0274738413264</v>
      </c>
      <c r="H178" s="26">
        <f t="shared" si="49"/>
        <v>4846.8339074538744</v>
      </c>
    </row>
    <row r="179" spans="1:8" s="18" customFormat="1">
      <c r="A179" s="27"/>
      <c r="C179" s="26"/>
      <c r="D179" s="26"/>
      <c r="E179" s="26"/>
      <c r="F179" s="26"/>
      <c r="G179" s="26"/>
      <c r="H179" s="26"/>
    </row>
    <row r="180" spans="1:8">
      <c r="A180" s="12"/>
      <c r="B180" s="18" t="s">
        <v>53</v>
      </c>
      <c r="C180" s="26">
        <f>C173+C178</f>
        <v>5514.7359080646875</v>
      </c>
      <c r="D180" s="26">
        <f t="shared" ref="D180:H180" si="50">D173+D178</f>
        <v>5459.9820265530134</v>
      </c>
      <c r="E180" s="26">
        <f t="shared" si="50"/>
        <v>5433.858793910731</v>
      </c>
      <c r="F180" s="26">
        <f t="shared" si="50"/>
        <v>5438.1996934251019</v>
      </c>
      <c r="G180" s="26">
        <f t="shared" si="50"/>
        <v>5474.9794456356121</v>
      </c>
      <c r="H180" s="26">
        <f t="shared" si="50"/>
        <v>5546.3244218131886</v>
      </c>
    </row>
    <row r="181" spans="1:8">
      <c r="A181" s="12"/>
      <c r="B181" s="13" t="s">
        <v>54</v>
      </c>
      <c r="C181" s="8">
        <f t="shared" ref="C181:H181" si="51">C161-C180</f>
        <v>0</v>
      </c>
      <c r="D181" s="8">
        <f t="shared" si="51"/>
        <v>0</v>
      </c>
      <c r="E181" s="8">
        <f t="shared" si="51"/>
        <v>0</v>
      </c>
      <c r="F181" s="8">
        <f t="shared" si="51"/>
        <v>0</v>
      </c>
      <c r="G181" s="8">
        <f t="shared" si="51"/>
        <v>0</v>
      </c>
      <c r="H181" s="8">
        <f t="shared" si="51"/>
        <v>0</v>
      </c>
    </row>
    <row r="182" spans="1:8">
      <c r="A182" s="12"/>
      <c r="B182" s="20"/>
      <c r="C182" s="21"/>
      <c r="D182" s="21"/>
      <c r="E182" s="21"/>
      <c r="F182" s="21"/>
      <c r="G182" s="21"/>
      <c r="H182" s="21"/>
    </row>
  </sheetData>
  <conditionalFormatting sqref="C92:H92">
    <cfRule type="expression" dxfId="11" priority="2">
      <formula>C92&lt;&gt;0</formula>
    </cfRule>
  </conditionalFormatting>
  <conditionalFormatting sqref="C181:H181">
    <cfRule type="expression" dxfId="10" priority="1">
      <formula>C181&lt;&gt;0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08D-1C3F-4B40-900D-9CD9FA973A73}">
  <dimension ref="B2:AF305"/>
  <sheetViews>
    <sheetView showGridLines="0" topLeftCell="L64" zoomScale="70" zoomScaleNormal="70" workbookViewId="0">
      <selection activeCell="AA120" sqref="AA120"/>
    </sheetView>
  </sheetViews>
  <sheetFormatPr defaultColWidth="8.625" defaultRowHeight="12.75"/>
  <cols>
    <col min="1" max="2" width="2.75" style="31" customWidth="1"/>
    <col min="3" max="3" width="40.5" style="31" customWidth="1"/>
    <col min="4" max="9" width="12.5" style="31" customWidth="1"/>
    <col min="10" max="10" width="8.625" style="31"/>
    <col min="11" max="11" width="2.75" style="31" customWidth="1"/>
    <col min="12" max="12" width="40.5" style="31" customWidth="1"/>
    <col min="13" max="20" width="12.5" style="31" customWidth="1"/>
    <col min="21" max="21" width="8.625" style="31"/>
    <col min="22" max="22" width="2.75" style="31" customWidth="1"/>
    <col min="23" max="23" width="40.5" style="31" customWidth="1"/>
    <col min="24" max="31" width="12.5" style="31" customWidth="1"/>
    <col min="32" max="16384" width="8.625" style="31"/>
  </cols>
  <sheetData>
    <row r="2" spans="2:9" ht="15.75">
      <c r="B2" s="28" t="s">
        <v>56</v>
      </c>
      <c r="C2" s="29"/>
      <c r="D2" s="29"/>
      <c r="E2" s="29"/>
      <c r="F2" s="29"/>
      <c r="G2" s="29"/>
      <c r="H2" s="29"/>
      <c r="I2" s="30"/>
    </row>
    <row r="4" spans="2:9">
      <c r="C4" s="31" t="s">
        <v>56</v>
      </c>
      <c r="D4" s="32" t="s">
        <v>57</v>
      </c>
    </row>
    <row r="6" spans="2:9">
      <c r="B6" s="33"/>
      <c r="C6" s="33"/>
      <c r="D6" s="33"/>
      <c r="E6" s="33"/>
      <c r="F6" s="33"/>
      <c r="G6" s="33"/>
      <c r="H6" s="33"/>
      <c r="I6" s="33"/>
    </row>
    <row r="7" spans="2:9" ht="15.75">
      <c r="B7" s="28" t="s">
        <v>58</v>
      </c>
      <c r="C7" s="29"/>
      <c r="D7" s="29"/>
      <c r="E7" s="29"/>
      <c r="F7" s="29"/>
      <c r="G7" s="29"/>
      <c r="H7" s="29"/>
      <c r="I7" s="30"/>
    </row>
    <row r="9" spans="2:9" ht="15">
      <c r="E9" s="34" t="s">
        <v>59</v>
      </c>
      <c r="F9" s="34"/>
      <c r="G9" s="34"/>
    </row>
    <row r="10" spans="2:9">
      <c r="C10" s="35"/>
      <c r="E10" s="36">
        <v>0.25</v>
      </c>
      <c r="F10" s="36">
        <v>0.75</v>
      </c>
      <c r="G10" s="36">
        <v>1</v>
      </c>
    </row>
    <row r="11" spans="2:9">
      <c r="C11" s="37" t="s">
        <v>60</v>
      </c>
      <c r="D11" s="38">
        <f>$H$120</f>
        <v>10638.443458378133</v>
      </c>
      <c r="E11" s="39">
        <f t="dataTable" ref="E11:G14" dt2D="0" dtr="1" r1="E26"/>
        <v>9837.9116787194889</v>
      </c>
      <c r="F11" s="40">
        <v>10371.599531825252</v>
      </c>
      <c r="G11" s="41">
        <v>10638.443458378133</v>
      </c>
    </row>
    <row r="12" spans="2:9">
      <c r="C12" s="37" t="s">
        <v>61</v>
      </c>
      <c r="D12" s="38">
        <f>$F$98</f>
        <v>0</v>
      </c>
      <c r="E12" s="42">
        <v>1203.198778604368</v>
      </c>
      <c r="F12" s="43">
        <v>0</v>
      </c>
      <c r="G12" s="44">
        <v>0</v>
      </c>
    </row>
    <row r="13" spans="2:9">
      <c r="C13" s="37" t="s">
        <v>62</v>
      </c>
      <c r="D13" s="38">
        <f>$G$121</f>
        <v>0</v>
      </c>
      <c r="E13" s="42">
        <v>0</v>
      </c>
      <c r="F13" s="43">
        <v>1253.4533420543894</v>
      </c>
      <c r="G13" s="44">
        <v>0</v>
      </c>
    </row>
    <row r="14" spans="2:9">
      <c r="C14" s="37" t="s">
        <v>63</v>
      </c>
      <c r="D14" s="38">
        <f>$I$41</f>
        <v>2608.8470423114286</v>
      </c>
      <c r="E14" s="45">
        <v>1786.7941875000006</v>
      </c>
      <c r="F14" s="46">
        <v>2608.8470423114286</v>
      </c>
      <c r="G14" s="47">
        <v>2608.8470423114286</v>
      </c>
    </row>
    <row r="16" spans="2:9">
      <c r="C16" s="33"/>
      <c r="D16" s="33"/>
      <c r="E16" s="33"/>
      <c r="F16" s="33"/>
      <c r="G16" s="33"/>
      <c r="H16" s="33"/>
      <c r="I16" s="33"/>
    </row>
    <row r="18" spans="2:31" ht="15.6" customHeight="1">
      <c r="B18" s="28" t="str">
        <f>"LIVE: CURRENTLY RUNNING: "&amp;UPPER(I27)</f>
        <v>LIVE: CURRENTLY RUNNING: CONSOLIDATION METHOD</v>
      </c>
      <c r="C18" s="29"/>
      <c r="D18" s="29"/>
      <c r="E18" s="29"/>
      <c r="F18" s="29"/>
      <c r="G18" s="29"/>
      <c r="H18" s="29"/>
      <c r="I18" s="30"/>
      <c r="K18" s="28" t="s">
        <v>64</v>
      </c>
      <c r="L18" s="29"/>
      <c r="M18" s="29"/>
      <c r="N18" s="29"/>
      <c r="O18" s="29"/>
      <c r="P18" s="29"/>
      <c r="Q18" s="29"/>
      <c r="R18" s="29"/>
      <c r="S18" s="29"/>
      <c r="T18" s="30"/>
      <c r="V18" s="28" t="s">
        <v>65</v>
      </c>
      <c r="W18" s="29"/>
      <c r="X18" s="29"/>
      <c r="Y18" s="29"/>
      <c r="Z18" s="29"/>
      <c r="AA18" s="29"/>
      <c r="AB18" s="29"/>
      <c r="AC18" s="29"/>
      <c r="AD18" s="29"/>
      <c r="AE18" s="30"/>
    </row>
    <row r="20" spans="2:31">
      <c r="C20" s="31" t="s">
        <v>66</v>
      </c>
      <c r="F20" s="48">
        <v>0.2</v>
      </c>
      <c r="G20" s="49">
        <v>0.5</v>
      </c>
      <c r="H20" s="50" t="s">
        <v>67</v>
      </c>
      <c r="L20" s="31" t="str">
        <f>C20</f>
        <v>If Alpha acquires &gt;=20% but &lt;=50% of Bravo's equity, the Equity Method is applied.</v>
      </c>
      <c r="W20" s="31" t="str">
        <f>C21</f>
        <v>If Alpha acquires &gt;50% of Bravo's equity, the Consolidation Method is applied.</v>
      </c>
    </row>
    <row r="21" spans="2:31">
      <c r="C21" s="31" t="s">
        <v>68</v>
      </c>
      <c r="F21" s="51">
        <v>0.5</v>
      </c>
      <c r="G21" s="52"/>
      <c r="H21" s="50" t="s">
        <v>69</v>
      </c>
    </row>
    <row r="23" spans="2:31" ht="15.6" customHeight="1">
      <c r="B23" s="28" t="s">
        <v>1</v>
      </c>
      <c r="C23" s="29"/>
      <c r="D23" s="29"/>
      <c r="E23" s="29"/>
      <c r="F23" s="29"/>
      <c r="G23" s="29"/>
      <c r="H23" s="29"/>
      <c r="I23" s="30"/>
      <c r="K23" s="28" t="s">
        <v>1</v>
      </c>
      <c r="L23" s="29"/>
      <c r="M23" s="29"/>
      <c r="N23" s="29"/>
      <c r="O23" s="29"/>
      <c r="P23" s="29"/>
      <c r="Q23" s="29"/>
      <c r="R23" s="29"/>
      <c r="S23" s="29"/>
      <c r="T23" s="30"/>
      <c r="V23" s="28" t="s">
        <v>1</v>
      </c>
      <c r="W23" s="29"/>
      <c r="X23" s="29"/>
      <c r="Y23" s="29"/>
      <c r="Z23" s="29"/>
      <c r="AA23" s="29"/>
      <c r="AB23" s="29"/>
      <c r="AC23" s="29"/>
      <c r="AD23" s="29"/>
      <c r="AE23" s="30"/>
    </row>
    <row r="24" spans="2:31">
      <c r="D24" s="53"/>
      <c r="O24" s="53"/>
      <c r="Z24" s="53"/>
    </row>
    <row r="25" spans="2:31">
      <c r="C25" s="31" t="s">
        <v>2</v>
      </c>
      <c r="D25" s="52" t="s">
        <v>3</v>
      </c>
      <c r="E25" s="54">
        <f>CaseData!E3</f>
        <v>4500</v>
      </c>
      <c r="G25" s="55" t="s">
        <v>70</v>
      </c>
      <c r="H25" s="56"/>
      <c r="I25" s="57" t="str">
        <f>IF(AND(MAX(D125:I125)=0, MIN(D125:I125)=0), "Balanced", "Error")</f>
        <v>Balanced</v>
      </c>
      <c r="L25" s="31" t="s">
        <v>2</v>
      </c>
      <c r="M25" s="52" t="s">
        <v>3</v>
      </c>
      <c r="N25" s="54">
        <f>$E25</f>
        <v>4500</v>
      </c>
      <c r="Q25" s="55" t="s">
        <v>70</v>
      </c>
      <c r="R25" s="56"/>
      <c r="S25" s="57" t="str">
        <f>IF(AND(MAX(O125:T125)=0, MIN(O125:T125)=0), "Balanced", "Error")</f>
        <v>Balanced</v>
      </c>
      <c r="W25" s="31" t="s">
        <v>2</v>
      </c>
      <c r="X25" s="52" t="s">
        <v>3</v>
      </c>
      <c r="Y25" s="54">
        <f>$E25</f>
        <v>4500</v>
      </c>
      <c r="AB25" s="55" t="s">
        <v>70</v>
      </c>
      <c r="AC25" s="56"/>
      <c r="AD25" s="57" t="str">
        <f>IF(AND(MAX(Z125:AE125)=0, MIN(Z125:AE125)=0), "Balanced", "Error")</f>
        <v>Balanced</v>
      </c>
    </row>
    <row r="26" spans="2:31">
      <c r="C26" s="31" t="s">
        <v>4</v>
      </c>
      <c r="D26" s="52" t="s">
        <v>0</v>
      </c>
      <c r="E26" s="58">
        <f>CaseData!E4</f>
        <v>1</v>
      </c>
      <c r="I26" s="59"/>
      <c r="L26" s="31" t="s">
        <v>4</v>
      </c>
      <c r="M26" s="52" t="s">
        <v>0</v>
      </c>
      <c r="N26" s="58">
        <f>$E26</f>
        <v>1</v>
      </c>
      <c r="S26" s="59"/>
      <c r="W26" s="31" t="s">
        <v>4</v>
      </c>
      <c r="X26" s="52" t="s">
        <v>0</v>
      </c>
      <c r="Y26" s="58">
        <f>$E26</f>
        <v>1</v>
      </c>
      <c r="AD26" s="59"/>
    </row>
    <row r="27" spans="2:31">
      <c r="D27" s="52"/>
      <c r="E27" s="60"/>
      <c r="G27" s="55" t="s">
        <v>71</v>
      </c>
      <c r="H27" s="56"/>
      <c r="I27" s="61" t="str">
        <f>VLOOKUP($E$26,$F$20:$H$21,COLUMNS($F$20:$H$20),TRUE)</f>
        <v>Consolidation Method</v>
      </c>
      <c r="P27" s="52"/>
      <c r="Q27" s="55" t="s">
        <v>71</v>
      </c>
      <c r="R27" s="56"/>
      <c r="S27" s="61" t="str">
        <f>H20</f>
        <v>Equity Method</v>
      </c>
      <c r="Z27" s="52"/>
      <c r="AA27" s="62"/>
      <c r="AB27" s="55" t="s">
        <v>71</v>
      </c>
      <c r="AC27" s="56"/>
      <c r="AD27" s="61" t="str">
        <f>H21</f>
        <v>Consolidation Method</v>
      </c>
    </row>
    <row r="29" spans="2:31" ht="15.75">
      <c r="B29" s="28" t="str">
        <f>"Alpha Financial Statements (Pro-Forma under "&amp;I27&amp;")"</f>
        <v>Alpha Financial Statements (Pro-Forma under Consolidation Method)</v>
      </c>
      <c r="C29" s="29"/>
      <c r="D29" s="29"/>
      <c r="E29" s="29"/>
      <c r="F29" s="29"/>
      <c r="G29" s="29"/>
      <c r="H29" s="29"/>
      <c r="I29" s="30"/>
      <c r="K29" s="28" t="str">
        <f>"Alpha Financial Statements (Pro-Forma under "&amp;S27&amp;")"</f>
        <v>Alpha Financial Statements (Pro-Forma under Equity Method)</v>
      </c>
      <c r="L29" s="29"/>
      <c r="M29" s="29"/>
      <c r="N29" s="29"/>
      <c r="O29" s="29"/>
      <c r="P29" s="29"/>
      <c r="Q29" s="29"/>
      <c r="R29" s="29"/>
      <c r="S29" s="29"/>
      <c r="T29" s="30"/>
      <c r="V29" s="28" t="str">
        <f>"Alpha Financial Statements (Pro-Forma under "&amp;AD27&amp;")"</f>
        <v>Alpha Financial Statements (Pro-Forma under Consolidation Method)</v>
      </c>
      <c r="W29" s="29"/>
      <c r="X29" s="29"/>
      <c r="Y29" s="29"/>
      <c r="Z29" s="29"/>
      <c r="AA29" s="29"/>
      <c r="AB29" s="29"/>
      <c r="AC29" s="29"/>
      <c r="AD29" s="29"/>
      <c r="AE29" s="30"/>
    </row>
    <row r="32" spans="2:31" ht="15">
      <c r="B32" s="63"/>
      <c r="C32" s="64" t="str">
        <f>"Alpha Income Statement (Pro-Forma under "&amp;I27&amp;")"</f>
        <v>Alpha Income Statement (Pro-Forma under Consolidation Method)</v>
      </c>
      <c r="D32" s="65"/>
      <c r="E32" s="65"/>
      <c r="F32" s="65"/>
      <c r="G32" s="65"/>
      <c r="H32" s="65"/>
      <c r="I32" s="65"/>
      <c r="K32" s="63"/>
      <c r="L32" s="64" t="str">
        <f>"Alpha Income Statement (Pro-Forma under "&amp;S27&amp;")"</f>
        <v>Alpha Income Statement (Pro-Forma under Equity Method)</v>
      </c>
      <c r="M32" s="64"/>
      <c r="N32" s="64"/>
      <c r="O32" s="65"/>
      <c r="P32" s="65"/>
      <c r="Q32" s="65"/>
      <c r="R32" s="65"/>
      <c r="S32" s="65"/>
      <c r="T32" s="65"/>
      <c r="V32" s="63"/>
      <c r="W32" s="64" t="str">
        <f>"Alpha Income Statement (Pro-Forma under "&amp;AD27&amp;")"</f>
        <v>Alpha Income Statement (Pro-Forma under Consolidation Method)</v>
      </c>
      <c r="X32" s="64"/>
      <c r="Y32" s="64"/>
      <c r="Z32" s="65"/>
      <c r="AA32" s="65"/>
      <c r="AB32" s="65"/>
      <c r="AC32" s="65"/>
      <c r="AD32" s="65"/>
      <c r="AE32" s="65"/>
    </row>
    <row r="33" spans="2:32">
      <c r="B33" s="66"/>
      <c r="C33" s="67" t="s">
        <v>7</v>
      </c>
      <c r="K33" s="66"/>
      <c r="L33" s="67" t="s">
        <v>7</v>
      </c>
      <c r="M33" s="67"/>
      <c r="N33" s="67"/>
      <c r="V33" s="66"/>
      <c r="W33" s="67" t="s">
        <v>7</v>
      </c>
      <c r="X33" s="67"/>
      <c r="Y33" s="67"/>
    </row>
    <row r="34" spans="2:32">
      <c r="B34" s="66"/>
      <c r="K34" s="66"/>
      <c r="V34" s="66"/>
    </row>
    <row r="35" spans="2:32">
      <c r="B35" s="66"/>
      <c r="D35" s="68">
        <f>O35</f>
        <v>44561</v>
      </c>
      <c r="E35" s="69">
        <f t="shared" ref="E35:I35" si="0">P35</f>
        <v>44926</v>
      </c>
      <c r="F35" s="69">
        <f t="shared" si="0"/>
        <v>45291</v>
      </c>
      <c r="G35" s="69">
        <f t="shared" si="0"/>
        <v>45657</v>
      </c>
      <c r="H35" s="69">
        <f t="shared" si="0"/>
        <v>46022</v>
      </c>
      <c r="I35" s="69">
        <f t="shared" si="0"/>
        <v>46387</v>
      </c>
      <c r="K35" s="66"/>
      <c r="O35" s="68">
        <f t="shared" ref="O35:T35" si="1">O135</f>
        <v>44561</v>
      </c>
      <c r="P35" s="69">
        <f t="shared" si="1"/>
        <v>44926</v>
      </c>
      <c r="Q35" s="69">
        <f t="shared" si="1"/>
        <v>45291</v>
      </c>
      <c r="R35" s="69">
        <f t="shared" si="1"/>
        <v>45657</v>
      </c>
      <c r="S35" s="69">
        <f t="shared" si="1"/>
        <v>46022</v>
      </c>
      <c r="T35" s="69">
        <f t="shared" si="1"/>
        <v>46387</v>
      </c>
      <c r="V35" s="66"/>
      <c r="Z35" s="68">
        <f t="shared" ref="Z35:AE35" si="2">Z135</f>
        <v>44561</v>
      </c>
      <c r="AA35" s="69">
        <f t="shared" si="2"/>
        <v>44926</v>
      </c>
      <c r="AB35" s="69">
        <f t="shared" si="2"/>
        <v>45291</v>
      </c>
      <c r="AC35" s="69">
        <f t="shared" si="2"/>
        <v>45657</v>
      </c>
      <c r="AD35" s="69">
        <f t="shared" si="2"/>
        <v>46022</v>
      </c>
      <c r="AE35" s="69">
        <f t="shared" si="2"/>
        <v>46387</v>
      </c>
    </row>
    <row r="36" spans="2:32">
      <c r="B36" s="66"/>
      <c r="K36" s="66"/>
      <c r="V36" s="66"/>
    </row>
    <row r="37" spans="2:32">
      <c r="B37" s="66"/>
      <c r="C37" s="31" t="s">
        <v>8</v>
      </c>
      <c r="D37" s="54"/>
      <c r="E37" s="54">
        <f t="shared" ref="E37:I38" si="3">IF($I$27=$H$20,P37,AA37)</f>
        <v>5189.2857142857147</v>
      </c>
      <c r="F37" s="54">
        <f t="shared" si="3"/>
        <v>5463.8928571428569</v>
      </c>
      <c r="G37" s="54">
        <f t="shared" si="3"/>
        <v>5753.1389285714286</v>
      </c>
      <c r="H37" s="54">
        <f t="shared" si="3"/>
        <v>6057.8103892857152</v>
      </c>
      <c r="I37" s="54">
        <f t="shared" si="3"/>
        <v>6378.7362938928582</v>
      </c>
      <c r="K37" s="66"/>
      <c r="L37" s="31" t="s">
        <v>8</v>
      </c>
      <c r="O37" s="54"/>
      <c r="P37" s="54">
        <f t="shared" ref="P37:T38" si="4">P137</f>
        <v>3675</v>
      </c>
      <c r="Q37" s="54">
        <f t="shared" si="4"/>
        <v>3858.75</v>
      </c>
      <c r="R37" s="54">
        <f t="shared" si="4"/>
        <v>4051.6875</v>
      </c>
      <c r="S37" s="54">
        <f t="shared" si="4"/>
        <v>4254.2718750000004</v>
      </c>
      <c r="T37" s="54">
        <f t="shared" si="4"/>
        <v>4466.985468750001</v>
      </c>
      <c r="V37" s="66"/>
      <c r="W37" s="31" t="s">
        <v>8</v>
      </c>
      <c r="Z37" s="54"/>
      <c r="AA37" s="54">
        <f t="shared" ref="AA37:AE38" si="5">SUM(AA137,AA226)</f>
        <v>5189.2857142857147</v>
      </c>
      <c r="AB37" s="54">
        <f t="shared" si="5"/>
        <v>5463.8928571428569</v>
      </c>
      <c r="AC37" s="54">
        <f t="shared" si="5"/>
        <v>5753.1389285714286</v>
      </c>
      <c r="AD37" s="54">
        <f t="shared" si="5"/>
        <v>6057.8103892857152</v>
      </c>
      <c r="AE37" s="54">
        <f t="shared" si="5"/>
        <v>6378.7362938928582</v>
      </c>
    </row>
    <row r="38" spans="2:32">
      <c r="B38" s="66"/>
      <c r="C38" s="31" t="s">
        <v>9</v>
      </c>
      <c r="D38" s="54"/>
      <c r="E38" s="70">
        <f t="shared" si="3"/>
        <v>-3031.3928571428573</v>
      </c>
      <c r="F38" s="70">
        <f t="shared" si="3"/>
        <v>-3136.9549999999999</v>
      </c>
      <c r="G38" s="70">
        <f t="shared" si="3"/>
        <v>-3245.260160714286</v>
      </c>
      <c r="H38" s="70">
        <f t="shared" si="3"/>
        <v>-3356.3030477142856</v>
      </c>
      <c r="I38" s="70">
        <f t="shared" si="3"/>
        <v>-3470.0699451382152</v>
      </c>
      <c r="K38" s="66"/>
      <c r="L38" s="31" t="s">
        <v>9</v>
      </c>
      <c r="O38" s="54"/>
      <c r="P38" s="70">
        <f t="shared" si="4"/>
        <v>-2168.25</v>
      </c>
      <c r="Q38" s="70">
        <f t="shared" si="4"/>
        <v>-2238.0749999999998</v>
      </c>
      <c r="R38" s="70">
        <f t="shared" si="4"/>
        <v>-2309.461875</v>
      </c>
      <c r="S38" s="70">
        <f t="shared" si="4"/>
        <v>-2382.3922499999999</v>
      </c>
      <c r="T38" s="70">
        <f t="shared" si="4"/>
        <v>-2456.8420078125005</v>
      </c>
      <c r="V38" s="66"/>
      <c r="W38" s="31" t="s">
        <v>9</v>
      </c>
      <c r="Z38" s="54"/>
      <c r="AA38" s="70">
        <f t="shared" si="5"/>
        <v>-3031.3928571428573</v>
      </c>
      <c r="AB38" s="70">
        <f t="shared" si="5"/>
        <v>-3136.9549999999999</v>
      </c>
      <c r="AC38" s="70">
        <f t="shared" si="5"/>
        <v>-3245.260160714286</v>
      </c>
      <c r="AD38" s="70">
        <f t="shared" si="5"/>
        <v>-3356.3030477142856</v>
      </c>
      <c r="AE38" s="70">
        <f t="shared" si="5"/>
        <v>-3470.0699451382152</v>
      </c>
    </row>
    <row r="39" spans="2:32">
      <c r="B39" s="66"/>
      <c r="C39" s="31" t="s">
        <v>10</v>
      </c>
      <c r="D39" s="54"/>
      <c r="E39" s="54">
        <f t="shared" ref="E39:I39" si="6">SUM(E37:E38)</f>
        <v>2157.8928571428573</v>
      </c>
      <c r="F39" s="54">
        <f t="shared" si="6"/>
        <v>2326.937857142857</v>
      </c>
      <c r="G39" s="54">
        <f t="shared" si="6"/>
        <v>2507.8787678571425</v>
      </c>
      <c r="H39" s="54">
        <f t="shared" si="6"/>
        <v>2701.5073415714296</v>
      </c>
      <c r="I39" s="54">
        <f t="shared" si="6"/>
        <v>2908.666348754643</v>
      </c>
      <c r="K39" s="66"/>
      <c r="L39" s="31" t="s">
        <v>10</v>
      </c>
      <c r="O39" s="54"/>
      <c r="P39" s="54">
        <f t="shared" ref="P39:T39" si="7">SUM(P37:P38)</f>
        <v>1506.75</v>
      </c>
      <c r="Q39" s="54">
        <f t="shared" si="7"/>
        <v>1620.6750000000002</v>
      </c>
      <c r="R39" s="54">
        <f t="shared" si="7"/>
        <v>1742.225625</v>
      </c>
      <c r="S39" s="54">
        <f t="shared" si="7"/>
        <v>1871.8796250000005</v>
      </c>
      <c r="T39" s="54">
        <f t="shared" si="7"/>
        <v>2010.1434609375005</v>
      </c>
      <c r="V39" s="66"/>
      <c r="W39" s="31" t="s">
        <v>10</v>
      </c>
      <c r="Z39" s="54"/>
      <c r="AA39" s="54">
        <f t="shared" ref="AA39:AE39" si="8">SUM(AA37:AA38)</f>
        <v>2157.8928571428573</v>
      </c>
      <c r="AB39" s="54">
        <f t="shared" si="8"/>
        <v>2326.937857142857</v>
      </c>
      <c r="AC39" s="54">
        <f t="shared" si="8"/>
        <v>2507.8787678571425</v>
      </c>
      <c r="AD39" s="54">
        <f t="shared" si="8"/>
        <v>2701.5073415714296</v>
      </c>
      <c r="AE39" s="54">
        <f t="shared" si="8"/>
        <v>2908.666348754643</v>
      </c>
    </row>
    <row r="40" spans="2:32">
      <c r="B40" s="66"/>
      <c r="C40" s="31" t="s">
        <v>11</v>
      </c>
      <c r="D40" s="54"/>
      <c r="E40" s="70">
        <f>IF($I$27=$H$20,P40,AA40)</f>
        <v>-244.32142857142858</v>
      </c>
      <c r="F40" s="70">
        <f>IF($I$27=$H$20,Q40,AB40)</f>
        <v>-257.14321428571429</v>
      </c>
      <c r="G40" s="70">
        <f>IF($I$27=$H$20,R40,AC40)</f>
        <v>-270.64243214285716</v>
      </c>
      <c r="H40" s="70">
        <f>IF($I$27=$H$20,S40,AD40)</f>
        <v>-284.85513432142864</v>
      </c>
      <c r="I40" s="70">
        <f>IF($I$27=$H$20,T40,AE40)</f>
        <v>-299.81930644321437</v>
      </c>
      <c r="K40" s="66"/>
      <c r="L40" s="31" t="s">
        <v>11</v>
      </c>
      <c r="O40" s="54"/>
      <c r="P40" s="70">
        <f t="shared" ref="P40:T40" si="9">P140</f>
        <v>-183.75</v>
      </c>
      <c r="Q40" s="70">
        <f t="shared" si="9"/>
        <v>-192.9375</v>
      </c>
      <c r="R40" s="70">
        <f t="shared" si="9"/>
        <v>-202.58437500000002</v>
      </c>
      <c r="S40" s="70">
        <f t="shared" si="9"/>
        <v>-212.71359375000003</v>
      </c>
      <c r="T40" s="70">
        <f t="shared" si="9"/>
        <v>-223.34927343750007</v>
      </c>
      <c r="V40" s="66"/>
      <c r="W40" s="31" t="s">
        <v>11</v>
      </c>
      <c r="Z40" s="54"/>
      <c r="AA40" s="70">
        <f t="shared" ref="AA40:AE40" si="10">SUM(AA140,AA229)</f>
        <v>-244.32142857142858</v>
      </c>
      <c r="AB40" s="70">
        <f t="shared" si="10"/>
        <v>-257.14321428571429</v>
      </c>
      <c r="AC40" s="70">
        <f t="shared" si="10"/>
        <v>-270.64243214285716</v>
      </c>
      <c r="AD40" s="70">
        <f t="shared" si="10"/>
        <v>-284.85513432142864</v>
      </c>
      <c r="AE40" s="70">
        <f t="shared" si="10"/>
        <v>-299.81930644321437</v>
      </c>
    </row>
    <row r="41" spans="2:32">
      <c r="B41" s="66"/>
      <c r="C41" s="31" t="s">
        <v>12</v>
      </c>
      <c r="D41" s="54"/>
      <c r="E41" s="54">
        <f t="shared" ref="E41:I41" si="11">SUM(E39:E40)</f>
        <v>1913.5714285714287</v>
      </c>
      <c r="F41" s="54">
        <f t="shared" si="11"/>
        <v>2069.7946428571427</v>
      </c>
      <c r="G41" s="54">
        <f t="shared" si="11"/>
        <v>2237.2363357142854</v>
      </c>
      <c r="H41" s="54">
        <f t="shared" si="11"/>
        <v>2416.6522072500011</v>
      </c>
      <c r="I41" s="54">
        <f t="shared" si="11"/>
        <v>2608.8470423114286</v>
      </c>
      <c r="K41" s="66"/>
      <c r="L41" s="31" t="s">
        <v>12</v>
      </c>
      <c r="O41" s="54"/>
      <c r="P41" s="54">
        <f t="shared" ref="P41:T41" si="12">SUM(P39:P40)</f>
        <v>1323</v>
      </c>
      <c r="Q41" s="54">
        <f t="shared" si="12"/>
        <v>1427.7375000000002</v>
      </c>
      <c r="R41" s="54">
        <f t="shared" si="12"/>
        <v>1539.6412500000001</v>
      </c>
      <c r="S41" s="54">
        <f t="shared" si="12"/>
        <v>1659.1660312500005</v>
      </c>
      <c r="T41" s="54">
        <f t="shared" si="12"/>
        <v>1786.7941875000006</v>
      </c>
      <c r="V41" s="66"/>
      <c r="W41" s="31" t="s">
        <v>12</v>
      </c>
      <c r="Z41" s="54"/>
      <c r="AA41" s="54">
        <f t="shared" ref="AA41:AE41" si="13">SUM(AA39:AA40)</f>
        <v>1913.5714285714287</v>
      </c>
      <c r="AB41" s="54">
        <f t="shared" si="13"/>
        <v>2069.7946428571427</v>
      </c>
      <c r="AC41" s="54">
        <f t="shared" si="13"/>
        <v>2237.2363357142854</v>
      </c>
      <c r="AD41" s="54">
        <f t="shared" si="13"/>
        <v>2416.6522072500011</v>
      </c>
      <c r="AE41" s="54">
        <f t="shared" si="13"/>
        <v>2608.8470423114286</v>
      </c>
    </row>
    <row r="42" spans="2:32">
      <c r="B42" s="66"/>
      <c r="C42" s="31" t="s">
        <v>13</v>
      </c>
      <c r="D42" s="54"/>
      <c r="E42" s="70">
        <f>IF($I$27=$H$20,P42,AA42)</f>
        <v>-770.82142857142856</v>
      </c>
      <c r="F42" s="70">
        <f>IF($I$27=$H$20,Q42,AB42)</f>
        <v>-811.55821428571426</v>
      </c>
      <c r="G42" s="70">
        <f>IF($I$27=$H$20,R42,AC42)</f>
        <v>-854.46358214285715</v>
      </c>
      <c r="H42" s="70">
        <f>IF($I$27=$H$20,S42,AD42)</f>
        <v>-899.65386582142867</v>
      </c>
      <c r="I42" s="70">
        <f>IF($I$27=$H$20,T42,AE42)</f>
        <v>-947.25168995821446</v>
      </c>
      <c r="K42" s="66"/>
      <c r="L42" s="31" t="s">
        <v>13</v>
      </c>
      <c r="O42" s="54"/>
      <c r="P42" s="70">
        <f t="shared" ref="P42:T42" si="14">P142</f>
        <v>-551.25</v>
      </c>
      <c r="Q42" s="70">
        <f t="shared" si="14"/>
        <v>-578.8125</v>
      </c>
      <c r="R42" s="70">
        <f t="shared" si="14"/>
        <v>-607.75312499999995</v>
      </c>
      <c r="S42" s="70">
        <f t="shared" si="14"/>
        <v>-638.14078125000003</v>
      </c>
      <c r="T42" s="70">
        <f t="shared" si="14"/>
        <v>-670.04782031250011</v>
      </c>
      <c r="V42" s="66"/>
      <c r="W42" s="31" t="s">
        <v>13</v>
      </c>
      <c r="Z42" s="54"/>
      <c r="AA42" s="70">
        <f t="shared" ref="AA42:AE42" si="15">SUM(AA142,AA231)</f>
        <v>-770.82142857142856</v>
      </c>
      <c r="AB42" s="70">
        <f t="shared" si="15"/>
        <v>-811.55821428571426</v>
      </c>
      <c r="AC42" s="70">
        <f t="shared" si="15"/>
        <v>-854.46358214285715</v>
      </c>
      <c r="AD42" s="70">
        <f t="shared" si="15"/>
        <v>-899.65386582142867</v>
      </c>
      <c r="AE42" s="70">
        <f t="shared" si="15"/>
        <v>-947.25168995821446</v>
      </c>
    </row>
    <row r="43" spans="2:32">
      <c r="B43" s="66"/>
      <c r="C43" s="31" t="s">
        <v>14</v>
      </c>
      <c r="D43" s="54"/>
      <c r="E43" s="54">
        <f t="shared" ref="E43:I43" si="16">SUM(E41:E42)</f>
        <v>1142.75</v>
      </c>
      <c r="F43" s="54">
        <f t="shared" si="16"/>
        <v>1258.2364285714284</v>
      </c>
      <c r="G43" s="54">
        <f t="shared" si="16"/>
        <v>1382.7727535714282</v>
      </c>
      <c r="H43" s="54">
        <f t="shared" si="16"/>
        <v>1516.9983414285725</v>
      </c>
      <c r="I43" s="54">
        <f t="shared" si="16"/>
        <v>1661.5953523532141</v>
      </c>
      <c r="K43" s="66"/>
      <c r="L43" s="31" t="s">
        <v>14</v>
      </c>
      <c r="O43" s="54"/>
      <c r="P43" s="54">
        <f t="shared" ref="P43:T43" si="17">SUM(P41:P42)</f>
        <v>771.75</v>
      </c>
      <c r="Q43" s="54">
        <f t="shared" si="17"/>
        <v>848.92500000000018</v>
      </c>
      <c r="R43" s="54">
        <f t="shared" si="17"/>
        <v>931.88812500000017</v>
      </c>
      <c r="S43" s="54">
        <f t="shared" si="17"/>
        <v>1021.0252500000005</v>
      </c>
      <c r="T43" s="54">
        <f t="shared" si="17"/>
        <v>1116.7463671875005</v>
      </c>
      <c r="V43" s="66"/>
      <c r="W43" s="31" t="s">
        <v>14</v>
      </c>
      <c r="Z43" s="54"/>
      <c r="AA43" s="54">
        <f t="shared" ref="AA43:AE43" si="18">SUM(AA41:AA42)</f>
        <v>1142.75</v>
      </c>
      <c r="AB43" s="54">
        <f t="shared" si="18"/>
        <v>1258.2364285714284</v>
      </c>
      <c r="AC43" s="54">
        <f t="shared" si="18"/>
        <v>1382.7727535714282</v>
      </c>
      <c r="AD43" s="54">
        <f t="shared" si="18"/>
        <v>1516.9983414285725</v>
      </c>
      <c r="AE43" s="54">
        <f t="shared" si="18"/>
        <v>1661.5953523532141</v>
      </c>
    </row>
    <row r="44" spans="2:32">
      <c r="B44" s="66"/>
      <c r="C44" s="31" t="s">
        <v>15</v>
      </c>
      <c r="D44" s="54"/>
      <c r="E44" s="70">
        <f>IF($I$27=$H$20,P44,AA44)</f>
        <v>-328.92383456694648</v>
      </c>
      <c r="F44" s="70">
        <f>IF($I$27=$H$20,Q44,AB44)</f>
        <v>-282.89595848044831</v>
      </c>
      <c r="G44" s="70">
        <f>IF($I$27=$H$20,R44,AC44)</f>
        <v>-236.41516796212903</v>
      </c>
      <c r="H44" s="70">
        <f>IF($I$27=$H$20,S44,AD44)</f>
        <v>-189.45454710612637</v>
      </c>
      <c r="I44" s="70">
        <f>IF($I$27=$H$20,T44,AE44)</f>
        <v>-141.98527622818932</v>
      </c>
      <c r="K44" s="66"/>
      <c r="L44" s="31" t="s">
        <v>15</v>
      </c>
      <c r="O44" s="54"/>
      <c r="P44" s="70">
        <f t="shared" ref="P44:T44" si="19">P144</f>
        <v>-221.6245579749193</v>
      </c>
      <c r="Q44" s="70">
        <f t="shared" si="19"/>
        <v>-190.20869410303624</v>
      </c>
      <c r="R44" s="70">
        <f t="shared" si="19"/>
        <v>-158.47720692332578</v>
      </c>
      <c r="S44" s="70">
        <f t="shared" si="19"/>
        <v>-126.41211640206387</v>
      </c>
      <c r="T44" s="70">
        <f t="shared" si="19"/>
        <v>-93.994238395588468</v>
      </c>
      <c r="V44" s="66"/>
      <c r="W44" s="31" t="s">
        <v>15</v>
      </c>
      <c r="Z44" s="54"/>
      <c r="AA44" s="70">
        <f t="shared" ref="AA44:AE44" si="20">SUM(AA144,AA233)</f>
        <v>-328.92383456694648</v>
      </c>
      <c r="AB44" s="70">
        <f t="shared" si="20"/>
        <v>-282.89595848044831</v>
      </c>
      <c r="AC44" s="70">
        <f t="shared" si="20"/>
        <v>-236.41516796212903</v>
      </c>
      <c r="AD44" s="70">
        <f t="shared" si="20"/>
        <v>-189.45454710612637</v>
      </c>
      <c r="AE44" s="70">
        <f t="shared" si="20"/>
        <v>-141.98527622818932</v>
      </c>
    </row>
    <row r="45" spans="2:32">
      <c r="B45" s="66"/>
      <c r="C45" s="31" t="s">
        <v>72</v>
      </c>
      <c r="D45" s="54"/>
      <c r="E45" s="54">
        <f t="shared" ref="E45:I45" si="21">SUM(E43:E44)</f>
        <v>813.82616543305357</v>
      </c>
      <c r="F45" s="54">
        <f t="shared" si="21"/>
        <v>975.34047009098003</v>
      </c>
      <c r="G45" s="54">
        <f t="shared" si="21"/>
        <v>1146.3575856092991</v>
      </c>
      <c r="H45" s="54">
        <f t="shared" si="21"/>
        <v>1327.543794322446</v>
      </c>
      <c r="I45" s="54">
        <f t="shared" si="21"/>
        <v>1519.6100761250248</v>
      </c>
      <c r="K45" s="66"/>
      <c r="L45" s="31" t="s">
        <v>72</v>
      </c>
      <c r="O45" s="54"/>
      <c r="P45" s="54">
        <f t="shared" ref="P45:T45" si="22">SUM(P43:P44)</f>
        <v>550.1254420250807</v>
      </c>
      <c r="Q45" s="54">
        <f t="shared" si="22"/>
        <v>658.71630589696395</v>
      </c>
      <c r="R45" s="54">
        <f t="shared" si="22"/>
        <v>773.41091807667442</v>
      </c>
      <c r="S45" s="54">
        <f t="shared" si="22"/>
        <v>894.61313359793667</v>
      </c>
      <c r="T45" s="54">
        <f t="shared" si="22"/>
        <v>1022.752128791912</v>
      </c>
      <c r="V45" s="66"/>
      <c r="W45" s="31" t="s">
        <v>72</v>
      </c>
      <c r="Z45" s="54"/>
      <c r="AA45" s="54">
        <f t="shared" ref="AA45:AE45" si="23">SUM(AA43:AA44)</f>
        <v>813.82616543305357</v>
      </c>
      <c r="AB45" s="54">
        <f t="shared" si="23"/>
        <v>975.34047009098003</v>
      </c>
      <c r="AC45" s="54">
        <f t="shared" si="23"/>
        <v>1146.3575856092991</v>
      </c>
      <c r="AD45" s="54">
        <f t="shared" si="23"/>
        <v>1327.543794322446</v>
      </c>
      <c r="AE45" s="54">
        <f t="shared" si="23"/>
        <v>1519.6100761250248</v>
      </c>
    </row>
    <row r="46" spans="2:32" s="72" customFormat="1">
      <c r="B46" s="71"/>
      <c r="C46" s="72" t="s">
        <v>73</v>
      </c>
      <c r="D46" s="54"/>
      <c r="E46" s="70">
        <f>IF($I$27=$H$20,P46,AA46)</f>
        <v>0</v>
      </c>
      <c r="F46" s="70">
        <f>IF($I$27=$H$20,Q46,AB46)</f>
        <v>0</v>
      </c>
      <c r="G46" s="70">
        <f>IF($I$27=$H$20,R46,AC46)</f>
        <v>0</v>
      </c>
      <c r="H46" s="70">
        <f>IF($I$27=$H$20,S46,AD46)</f>
        <v>0</v>
      </c>
      <c r="I46" s="70">
        <f>IF($I$27=$H$20,T46,AE46)</f>
        <v>0</v>
      </c>
      <c r="J46" s="31"/>
      <c r="K46" s="71"/>
      <c r="L46" s="72" t="s">
        <v>73</v>
      </c>
      <c r="O46" s="54"/>
      <c r="P46" s="70">
        <f>P236*$N$26</f>
        <v>203.04955702413906</v>
      </c>
      <c r="Q46" s="70">
        <f t="shared" ref="Q46:T46" si="24">Q236*$N$26</f>
        <v>243.8006064293927</v>
      </c>
      <c r="R46" s="70">
        <f t="shared" si="24"/>
        <v>287.1689340001214</v>
      </c>
      <c r="S46" s="70">
        <f t="shared" si="24"/>
        <v>333.35660875787192</v>
      </c>
      <c r="T46" s="70">
        <f t="shared" si="24"/>
        <v>382.58061944649739</v>
      </c>
      <c r="V46" s="66"/>
      <c r="W46" s="72" t="s">
        <v>73</v>
      </c>
      <c r="Z46" s="54"/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31"/>
    </row>
    <row r="47" spans="2:32">
      <c r="B47" s="66"/>
      <c r="C47" s="31" t="s">
        <v>16</v>
      </c>
      <c r="D47" s="54"/>
      <c r="E47" s="54">
        <f t="shared" ref="E47:I47" si="25">SUM(E45:E46)</f>
        <v>813.82616543305357</v>
      </c>
      <c r="F47" s="54">
        <f t="shared" si="25"/>
        <v>975.34047009098003</v>
      </c>
      <c r="G47" s="54">
        <f t="shared" si="25"/>
        <v>1146.3575856092991</v>
      </c>
      <c r="H47" s="54">
        <f t="shared" si="25"/>
        <v>1327.543794322446</v>
      </c>
      <c r="I47" s="54">
        <f t="shared" si="25"/>
        <v>1519.6100761250248</v>
      </c>
      <c r="K47" s="66"/>
      <c r="L47" s="31" t="s">
        <v>16</v>
      </c>
      <c r="O47" s="54"/>
      <c r="P47" s="54">
        <f t="shared" ref="P47:T47" si="26">SUM(P45:P46)</f>
        <v>753.17499904921976</v>
      </c>
      <c r="Q47" s="54">
        <f t="shared" si="26"/>
        <v>902.51691232635665</v>
      </c>
      <c r="R47" s="54">
        <f t="shared" si="26"/>
        <v>1060.5798520767958</v>
      </c>
      <c r="S47" s="54">
        <f t="shared" si="26"/>
        <v>1227.9697423558086</v>
      </c>
      <c r="T47" s="54">
        <f t="shared" si="26"/>
        <v>1405.3327482384093</v>
      </c>
      <c r="V47" s="66"/>
      <c r="W47" s="31" t="s">
        <v>16</v>
      </c>
      <c r="Z47" s="54"/>
      <c r="AA47" s="54">
        <f t="shared" ref="AA47:AE47" si="27">SUM(AA45:AA46)</f>
        <v>813.82616543305357</v>
      </c>
      <c r="AB47" s="54">
        <f t="shared" si="27"/>
        <v>975.34047009098003</v>
      </c>
      <c r="AC47" s="54">
        <f t="shared" si="27"/>
        <v>1146.3575856092991</v>
      </c>
      <c r="AD47" s="54">
        <f t="shared" si="27"/>
        <v>1327.543794322446</v>
      </c>
      <c r="AE47" s="54">
        <f t="shared" si="27"/>
        <v>1519.6100761250248</v>
      </c>
    </row>
    <row r="48" spans="2:32">
      <c r="B48" s="66"/>
      <c r="C48" s="31" t="s">
        <v>17</v>
      </c>
      <c r="D48" s="54"/>
      <c r="E48" s="70">
        <f>IF($I$27=$H$20,P48,AA48)</f>
        <v>-198.18252689010393</v>
      </c>
      <c r="F48" s="70">
        <f>IF($I$27=$H$20,Q48,AB48)</f>
        <v>-237.5026342388648</v>
      </c>
      <c r="G48" s="70">
        <f>IF($I$27=$H$20,R48,AC48)</f>
        <v>-279.13046305167239</v>
      </c>
      <c r="H48" s="70">
        <f>IF($I$27=$H$20,S48,AD48)</f>
        <v>-323.22733536612122</v>
      </c>
      <c r="I48" s="70">
        <f>IF($I$27=$H$20,T48,AE48)</f>
        <v>-369.96536008459412</v>
      </c>
      <c r="K48" s="66"/>
      <c r="L48" s="31" t="s">
        <v>17</v>
      </c>
      <c r="O48" s="54"/>
      <c r="P48" s="70">
        <f t="shared" ref="P48:T48" si="28">P146</f>
        <v>-137.53136050627018</v>
      </c>
      <c r="Q48" s="70">
        <f t="shared" si="28"/>
        <v>-164.67907647424099</v>
      </c>
      <c r="R48" s="70">
        <f t="shared" si="28"/>
        <v>-193.35272951916861</v>
      </c>
      <c r="S48" s="70">
        <f t="shared" si="28"/>
        <v>-223.65328339948417</v>
      </c>
      <c r="T48" s="70">
        <f t="shared" si="28"/>
        <v>-255.688032197978</v>
      </c>
      <c r="V48" s="66"/>
      <c r="W48" s="31" t="s">
        <v>17</v>
      </c>
      <c r="Z48" s="54"/>
      <c r="AA48" s="70">
        <f t="shared" ref="AA48:AE48" si="29">SUM(AA146,AA235)</f>
        <v>-198.18252689010393</v>
      </c>
      <c r="AB48" s="70">
        <f t="shared" si="29"/>
        <v>-237.5026342388648</v>
      </c>
      <c r="AC48" s="70">
        <f t="shared" si="29"/>
        <v>-279.13046305167239</v>
      </c>
      <c r="AD48" s="70">
        <f t="shared" si="29"/>
        <v>-323.22733536612122</v>
      </c>
      <c r="AE48" s="70">
        <f t="shared" si="29"/>
        <v>-369.96536008459412</v>
      </c>
    </row>
    <row r="49" spans="2:32">
      <c r="B49" s="66"/>
      <c r="C49" s="31" t="s">
        <v>74</v>
      </c>
      <c r="D49" s="54"/>
      <c r="E49" s="54">
        <f t="shared" ref="E49:I49" si="30">SUM(E47:E48)</f>
        <v>615.6436385429497</v>
      </c>
      <c r="F49" s="54">
        <f t="shared" si="30"/>
        <v>737.83783585211518</v>
      </c>
      <c r="G49" s="54">
        <f t="shared" si="30"/>
        <v>867.22712255762667</v>
      </c>
      <c r="H49" s="54">
        <f t="shared" si="30"/>
        <v>1004.3164589563248</v>
      </c>
      <c r="I49" s="54">
        <f t="shared" si="30"/>
        <v>1149.6447160404307</v>
      </c>
      <c r="K49" s="66"/>
      <c r="L49" s="31" t="s">
        <v>74</v>
      </c>
      <c r="O49" s="54"/>
      <c r="P49" s="54">
        <f t="shared" ref="P49:T49" si="31">SUM(P47:P48)</f>
        <v>615.64363854294959</v>
      </c>
      <c r="Q49" s="54">
        <f t="shared" si="31"/>
        <v>737.83783585211563</v>
      </c>
      <c r="R49" s="54">
        <f t="shared" si="31"/>
        <v>867.22712255762713</v>
      </c>
      <c r="S49" s="54">
        <f t="shared" si="31"/>
        <v>1004.3164589563245</v>
      </c>
      <c r="T49" s="54">
        <f t="shared" si="31"/>
        <v>1149.6447160404314</v>
      </c>
      <c r="V49" s="66"/>
      <c r="W49" s="31" t="s">
        <v>74</v>
      </c>
      <c r="Z49" s="54"/>
      <c r="AA49" s="54">
        <f t="shared" ref="AA49:AE49" si="32">SUM(AA47:AA48)</f>
        <v>615.6436385429497</v>
      </c>
      <c r="AB49" s="54">
        <f t="shared" si="32"/>
        <v>737.83783585211518</v>
      </c>
      <c r="AC49" s="54">
        <f t="shared" si="32"/>
        <v>867.22712255762667</v>
      </c>
      <c r="AD49" s="54">
        <f t="shared" si="32"/>
        <v>1004.3164589563248</v>
      </c>
      <c r="AE49" s="54">
        <f t="shared" si="32"/>
        <v>1149.6447160404307</v>
      </c>
    </row>
    <row r="50" spans="2:32">
      <c r="B50" s="66"/>
      <c r="C50" s="72" t="s">
        <v>75</v>
      </c>
      <c r="D50" s="54"/>
      <c r="E50" s="70">
        <f>IF($I$27=$H$20,P50,AA50)</f>
        <v>0</v>
      </c>
      <c r="F50" s="70">
        <f>IF($I$27=$H$20,Q50,AB50)</f>
        <v>0</v>
      </c>
      <c r="G50" s="70">
        <f>IF($I$27=$H$20,R50,AC50)</f>
        <v>0</v>
      </c>
      <c r="H50" s="70">
        <f>IF($I$27=$H$20,S50,AD50)</f>
        <v>0</v>
      </c>
      <c r="I50" s="70">
        <f>IF($I$27=$H$20,T50,AE50)</f>
        <v>0</v>
      </c>
      <c r="K50" s="66"/>
      <c r="L50" s="72" t="s">
        <v>75</v>
      </c>
      <c r="M50" s="72"/>
      <c r="N50" s="72"/>
      <c r="O50" s="54"/>
      <c r="P50" s="70">
        <v>0</v>
      </c>
      <c r="Q50" s="70">
        <v>0</v>
      </c>
      <c r="R50" s="70">
        <v>0</v>
      </c>
      <c r="S50" s="70">
        <v>0</v>
      </c>
      <c r="T50" s="70">
        <v>0</v>
      </c>
      <c r="V50" s="66"/>
      <c r="W50" s="72" t="s">
        <v>75</v>
      </c>
      <c r="X50" s="72"/>
      <c r="Y50" s="72"/>
      <c r="Z50" s="54"/>
      <c r="AA50" s="70">
        <f>-AA236*(1-$Y$26)</f>
        <v>0</v>
      </c>
      <c r="AB50" s="70">
        <f>-AB236*(1-$Y$26)</f>
        <v>0</v>
      </c>
      <c r="AC50" s="70">
        <f>-AC236*(1-$Y$26)</f>
        <v>0</v>
      </c>
      <c r="AD50" s="70">
        <f>-AD236*(1-$Y$26)</f>
        <v>0</v>
      </c>
      <c r="AE50" s="70">
        <f>-AE236*(1-$Y$26)</f>
        <v>0</v>
      </c>
    </row>
    <row r="51" spans="2:32">
      <c r="B51" s="66"/>
      <c r="C51" s="74" t="s">
        <v>18</v>
      </c>
      <c r="D51" s="75"/>
      <c r="E51" s="75">
        <f t="shared" ref="E51:I51" si="33">SUM(E49:E50)</f>
        <v>615.6436385429497</v>
      </c>
      <c r="F51" s="75">
        <f t="shared" si="33"/>
        <v>737.83783585211518</v>
      </c>
      <c r="G51" s="75">
        <f t="shared" si="33"/>
        <v>867.22712255762667</v>
      </c>
      <c r="H51" s="75">
        <f t="shared" si="33"/>
        <v>1004.3164589563248</v>
      </c>
      <c r="I51" s="75">
        <f t="shared" si="33"/>
        <v>1149.6447160404307</v>
      </c>
      <c r="K51" s="66"/>
      <c r="L51" s="74" t="s">
        <v>18</v>
      </c>
      <c r="M51" s="74"/>
      <c r="N51" s="74"/>
      <c r="O51" s="75"/>
      <c r="P51" s="75">
        <f t="shared" ref="P51:T51" si="34">SUM(P49:P50)</f>
        <v>615.64363854294959</v>
      </c>
      <c r="Q51" s="75">
        <f t="shared" si="34"/>
        <v>737.83783585211563</v>
      </c>
      <c r="R51" s="75">
        <f t="shared" si="34"/>
        <v>867.22712255762713</v>
      </c>
      <c r="S51" s="75">
        <f t="shared" si="34"/>
        <v>1004.3164589563245</v>
      </c>
      <c r="T51" s="75">
        <f t="shared" si="34"/>
        <v>1149.6447160404314</v>
      </c>
      <c r="V51" s="66"/>
      <c r="W51" s="74" t="s">
        <v>18</v>
      </c>
      <c r="X51" s="74"/>
      <c r="Y51" s="74"/>
      <c r="Z51" s="75"/>
      <c r="AA51" s="75">
        <f t="shared" ref="AA51:AE51" si="35">SUM(AA49:AA50)</f>
        <v>615.6436385429497</v>
      </c>
      <c r="AB51" s="75">
        <f t="shared" si="35"/>
        <v>737.83783585211518</v>
      </c>
      <c r="AC51" s="75">
        <f t="shared" si="35"/>
        <v>867.22712255762667</v>
      </c>
      <c r="AD51" s="75">
        <f t="shared" si="35"/>
        <v>1004.3164589563248</v>
      </c>
      <c r="AE51" s="75">
        <f t="shared" si="35"/>
        <v>1149.6447160404307</v>
      </c>
    </row>
    <row r="52" spans="2:32">
      <c r="B52" s="66"/>
      <c r="C52" s="76"/>
      <c r="D52" s="77"/>
      <c r="E52" s="77"/>
      <c r="F52" s="77"/>
      <c r="G52" s="77"/>
      <c r="H52" s="77"/>
      <c r="I52" s="77"/>
      <c r="K52" s="66"/>
      <c r="L52" s="76"/>
      <c r="M52" s="76"/>
      <c r="N52" s="76"/>
      <c r="O52" s="77"/>
      <c r="P52" s="77"/>
      <c r="Q52" s="77"/>
      <c r="R52" s="77"/>
      <c r="S52" s="77"/>
      <c r="T52" s="77"/>
      <c r="V52" s="66"/>
      <c r="W52" s="76"/>
      <c r="X52" s="76"/>
      <c r="Y52" s="76"/>
      <c r="Z52" s="77"/>
      <c r="AA52" s="77"/>
      <c r="AB52" s="77"/>
      <c r="AC52" s="77"/>
      <c r="AD52" s="77"/>
      <c r="AE52" s="77"/>
    </row>
    <row r="53" spans="2:32">
      <c r="B53" s="63"/>
      <c r="D53" s="78"/>
      <c r="E53" s="78"/>
      <c r="F53" s="78"/>
      <c r="G53" s="78"/>
      <c r="H53" s="78"/>
      <c r="I53" s="78"/>
      <c r="K53" s="63"/>
      <c r="O53" s="78"/>
      <c r="P53" s="78"/>
      <c r="Q53" s="78"/>
      <c r="R53" s="78"/>
      <c r="S53" s="78"/>
      <c r="T53" s="78"/>
      <c r="V53" s="63"/>
      <c r="Z53" s="78"/>
      <c r="AA53" s="78"/>
      <c r="AB53" s="78"/>
      <c r="AC53" s="78"/>
      <c r="AD53" s="78"/>
      <c r="AE53" s="78"/>
    </row>
    <row r="54" spans="2:32">
      <c r="B54" s="66"/>
      <c r="D54" s="78"/>
      <c r="E54" s="78"/>
      <c r="F54" s="78"/>
      <c r="G54" s="78"/>
      <c r="H54" s="78"/>
      <c r="I54" s="78"/>
      <c r="K54" s="66"/>
      <c r="O54" s="78"/>
      <c r="P54" s="78"/>
      <c r="Q54" s="78"/>
      <c r="R54" s="78"/>
      <c r="S54" s="78"/>
      <c r="T54" s="78"/>
      <c r="V54" s="66"/>
      <c r="Z54" s="78"/>
      <c r="AA54" s="78"/>
      <c r="AB54" s="78"/>
      <c r="AC54" s="78"/>
      <c r="AD54" s="78"/>
      <c r="AE54" s="78"/>
    </row>
    <row r="55" spans="2:32" ht="15">
      <c r="B55" s="66"/>
      <c r="C55" s="64" t="str">
        <f>"Alpha Cash Flow Statement (Pro-Forma under "&amp;I27&amp;")"</f>
        <v>Alpha Cash Flow Statement (Pro-Forma under Consolidation Method)</v>
      </c>
      <c r="D55" s="65"/>
      <c r="E55" s="65"/>
      <c r="F55" s="65"/>
      <c r="G55" s="65"/>
      <c r="H55" s="65"/>
      <c r="I55" s="65"/>
      <c r="K55" s="66"/>
      <c r="L55" s="64" t="str">
        <f>"Alpha Cash Flow Statement (Pro-Forma under "&amp;S27&amp;")"</f>
        <v>Alpha Cash Flow Statement (Pro-Forma under Equity Method)</v>
      </c>
      <c r="M55" s="64"/>
      <c r="N55" s="64"/>
      <c r="O55" s="65"/>
      <c r="P55" s="65"/>
      <c r="Q55" s="65"/>
      <c r="R55" s="65"/>
      <c r="S55" s="65"/>
      <c r="T55" s="65"/>
      <c r="V55" s="66"/>
      <c r="W55" s="64" t="str">
        <f>"Alpha Cash Flow Statement (Pro-Forma under "&amp;AD27&amp;")"</f>
        <v>Alpha Cash Flow Statement (Pro-Forma under Consolidation Method)</v>
      </c>
      <c r="X55" s="64"/>
      <c r="Y55" s="64"/>
      <c r="Z55" s="65"/>
      <c r="AA55" s="65"/>
      <c r="AB55" s="65"/>
      <c r="AC55" s="65"/>
      <c r="AD55" s="65"/>
      <c r="AE55" s="65"/>
    </row>
    <row r="56" spans="2:32">
      <c r="B56" s="66"/>
      <c r="C56" s="67" t="s">
        <v>7</v>
      </c>
      <c r="K56" s="66"/>
      <c r="L56" s="67" t="s">
        <v>7</v>
      </c>
      <c r="M56" s="67"/>
      <c r="N56" s="67"/>
      <c r="V56" s="66"/>
      <c r="W56" s="67" t="s">
        <v>7</v>
      </c>
      <c r="X56" s="67"/>
      <c r="Y56" s="67"/>
    </row>
    <row r="57" spans="2:32">
      <c r="B57" s="66"/>
      <c r="C57" s="67"/>
      <c r="K57" s="66"/>
      <c r="L57" s="67"/>
      <c r="M57" s="67"/>
      <c r="N57" s="67"/>
      <c r="V57" s="66"/>
      <c r="W57" s="67"/>
      <c r="X57" s="67"/>
      <c r="Y57" s="67"/>
    </row>
    <row r="58" spans="2:32">
      <c r="B58" s="66"/>
      <c r="D58" s="68">
        <f t="shared" ref="D58:I58" si="36">D35</f>
        <v>44561</v>
      </c>
      <c r="E58" s="69">
        <f t="shared" si="36"/>
        <v>44926</v>
      </c>
      <c r="F58" s="69">
        <f t="shared" si="36"/>
        <v>45291</v>
      </c>
      <c r="G58" s="69">
        <f t="shared" si="36"/>
        <v>45657</v>
      </c>
      <c r="H58" s="69">
        <f t="shared" si="36"/>
        <v>46022</v>
      </c>
      <c r="I58" s="69">
        <f t="shared" si="36"/>
        <v>46387</v>
      </c>
      <c r="K58" s="66"/>
      <c r="O58" s="68">
        <f t="shared" ref="O58:T58" si="37">O35</f>
        <v>44561</v>
      </c>
      <c r="P58" s="69">
        <f t="shared" si="37"/>
        <v>44926</v>
      </c>
      <c r="Q58" s="69">
        <f t="shared" si="37"/>
        <v>45291</v>
      </c>
      <c r="R58" s="69">
        <f t="shared" si="37"/>
        <v>45657</v>
      </c>
      <c r="S58" s="69">
        <f t="shared" si="37"/>
        <v>46022</v>
      </c>
      <c r="T58" s="69">
        <f t="shared" si="37"/>
        <v>46387</v>
      </c>
      <c r="V58" s="66"/>
      <c r="Z58" s="68">
        <f t="shared" ref="Z58:AE58" si="38">Z35</f>
        <v>44561</v>
      </c>
      <c r="AA58" s="69">
        <f t="shared" si="38"/>
        <v>44926</v>
      </c>
      <c r="AB58" s="69">
        <f t="shared" si="38"/>
        <v>45291</v>
      </c>
      <c r="AC58" s="69">
        <f t="shared" si="38"/>
        <v>45657</v>
      </c>
      <c r="AD58" s="69">
        <f t="shared" si="38"/>
        <v>46022</v>
      </c>
      <c r="AE58" s="69">
        <f t="shared" si="38"/>
        <v>46387</v>
      </c>
    </row>
    <row r="59" spans="2:32">
      <c r="B59" s="66"/>
      <c r="C59" s="67"/>
      <c r="K59" s="66"/>
      <c r="L59" s="67"/>
      <c r="M59" s="67"/>
      <c r="N59" s="67"/>
      <c r="V59" s="66"/>
      <c r="W59" s="67"/>
      <c r="X59" s="67"/>
      <c r="Y59" s="67"/>
    </row>
    <row r="60" spans="2:32" s="72" customFormat="1">
      <c r="B60" s="71"/>
      <c r="C60" s="74" t="s">
        <v>20</v>
      </c>
      <c r="D60" s="78"/>
      <c r="E60" s="31"/>
      <c r="F60" s="31"/>
      <c r="G60" s="31"/>
      <c r="H60" s="31"/>
      <c r="I60" s="31"/>
      <c r="J60" s="31"/>
      <c r="K60" s="71"/>
      <c r="L60" s="74" t="s">
        <v>20</v>
      </c>
      <c r="M60" s="74"/>
      <c r="N60" s="74"/>
      <c r="O60" s="78"/>
      <c r="P60" s="31"/>
      <c r="Q60" s="31"/>
      <c r="R60" s="31"/>
      <c r="S60" s="31"/>
      <c r="T60" s="31"/>
      <c r="V60" s="71"/>
      <c r="W60" s="74" t="s">
        <v>20</v>
      </c>
      <c r="X60" s="74"/>
      <c r="Y60" s="74"/>
      <c r="Z60" s="78"/>
      <c r="AA60" s="31"/>
      <c r="AB60" s="31"/>
      <c r="AC60" s="31"/>
      <c r="AD60" s="31"/>
      <c r="AE60" s="31"/>
    </row>
    <row r="61" spans="2:32" s="72" customFormat="1">
      <c r="B61" s="71"/>
      <c r="C61" s="31" t="s">
        <v>18</v>
      </c>
      <c r="D61" s="54"/>
      <c r="E61" s="54">
        <f t="shared" ref="E61:I61" si="39">E51</f>
        <v>615.6436385429497</v>
      </c>
      <c r="F61" s="54">
        <f t="shared" si="39"/>
        <v>737.83783585211518</v>
      </c>
      <c r="G61" s="54">
        <f t="shared" si="39"/>
        <v>867.22712255762667</v>
      </c>
      <c r="H61" s="54">
        <f t="shared" si="39"/>
        <v>1004.3164589563248</v>
      </c>
      <c r="I61" s="54">
        <f t="shared" si="39"/>
        <v>1149.6447160404307</v>
      </c>
      <c r="J61" s="31"/>
      <c r="K61" s="71"/>
      <c r="L61" s="31" t="s">
        <v>18</v>
      </c>
      <c r="M61" s="31"/>
      <c r="N61" s="31"/>
      <c r="O61" s="54"/>
      <c r="P61" s="54">
        <f t="shared" ref="P61:T61" si="40">P51</f>
        <v>615.64363854294959</v>
      </c>
      <c r="Q61" s="54">
        <f t="shared" si="40"/>
        <v>737.83783585211563</v>
      </c>
      <c r="R61" s="54">
        <f t="shared" si="40"/>
        <v>867.22712255762713</v>
      </c>
      <c r="S61" s="54">
        <f t="shared" si="40"/>
        <v>1004.3164589563245</v>
      </c>
      <c r="T61" s="54">
        <f t="shared" si="40"/>
        <v>1149.6447160404314</v>
      </c>
      <c r="V61" s="66"/>
      <c r="W61" s="31" t="s">
        <v>18</v>
      </c>
      <c r="X61" s="31"/>
      <c r="Y61" s="31"/>
      <c r="Z61" s="54"/>
      <c r="AA61" s="54">
        <f t="shared" ref="AA61:AE61" si="41">AA51</f>
        <v>615.6436385429497</v>
      </c>
      <c r="AB61" s="54">
        <f t="shared" si="41"/>
        <v>737.83783585211518</v>
      </c>
      <c r="AC61" s="54">
        <f t="shared" si="41"/>
        <v>867.22712255762667</v>
      </c>
      <c r="AD61" s="54">
        <f t="shared" si="41"/>
        <v>1004.3164589563248</v>
      </c>
      <c r="AE61" s="54">
        <f t="shared" si="41"/>
        <v>1149.6447160404307</v>
      </c>
      <c r="AF61" s="31"/>
    </row>
    <row r="62" spans="2:32">
      <c r="B62" s="66"/>
      <c r="C62" s="31" t="s">
        <v>21</v>
      </c>
      <c r="D62" s="54"/>
      <c r="E62" s="54">
        <f t="shared" ref="E62:I62" si="42">-E42</f>
        <v>770.82142857142856</v>
      </c>
      <c r="F62" s="54">
        <f t="shared" si="42"/>
        <v>811.55821428571426</v>
      </c>
      <c r="G62" s="54">
        <f t="shared" si="42"/>
        <v>854.46358214285715</v>
      </c>
      <c r="H62" s="54">
        <f t="shared" si="42"/>
        <v>899.65386582142867</v>
      </c>
      <c r="I62" s="54">
        <f t="shared" si="42"/>
        <v>947.25168995821446</v>
      </c>
      <c r="K62" s="66"/>
      <c r="L62" s="31" t="s">
        <v>21</v>
      </c>
      <c r="O62" s="54"/>
      <c r="P62" s="54">
        <f t="shared" ref="P62:T62" si="43">-P42</f>
        <v>551.25</v>
      </c>
      <c r="Q62" s="54">
        <f t="shared" si="43"/>
        <v>578.8125</v>
      </c>
      <c r="R62" s="54">
        <f t="shared" si="43"/>
        <v>607.75312499999995</v>
      </c>
      <c r="S62" s="54">
        <f t="shared" si="43"/>
        <v>638.14078125000003</v>
      </c>
      <c r="T62" s="54">
        <f t="shared" si="43"/>
        <v>670.04782031250011</v>
      </c>
      <c r="V62" s="66"/>
      <c r="W62" s="31" t="s">
        <v>21</v>
      </c>
      <c r="Z62" s="54"/>
      <c r="AA62" s="54">
        <f t="shared" ref="AA62:AE62" si="44">-AA42</f>
        <v>770.82142857142856</v>
      </c>
      <c r="AB62" s="54">
        <f t="shared" si="44"/>
        <v>811.55821428571426</v>
      </c>
      <c r="AC62" s="54">
        <f t="shared" si="44"/>
        <v>854.46358214285715</v>
      </c>
      <c r="AD62" s="54">
        <f t="shared" si="44"/>
        <v>899.65386582142867</v>
      </c>
      <c r="AE62" s="54">
        <f t="shared" si="44"/>
        <v>947.25168995821446</v>
      </c>
    </row>
    <row r="63" spans="2:32">
      <c r="B63" s="66"/>
      <c r="C63" s="72" t="s">
        <v>76</v>
      </c>
      <c r="D63" s="54"/>
      <c r="E63" s="54">
        <f t="shared" ref="E63:I63" si="45">-E50</f>
        <v>0</v>
      </c>
      <c r="F63" s="54">
        <f t="shared" si="45"/>
        <v>0</v>
      </c>
      <c r="G63" s="54">
        <f t="shared" si="45"/>
        <v>0</v>
      </c>
      <c r="H63" s="54">
        <f t="shared" si="45"/>
        <v>0</v>
      </c>
      <c r="I63" s="54">
        <f t="shared" si="45"/>
        <v>0</v>
      </c>
      <c r="K63" s="66"/>
      <c r="L63" s="72" t="s">
        <v>76</v>
      </c>
      <c r="M63" s="72"/>
      <c r="N63" s="72"/>
      <c r="O63" s="54"/>
      <c r="P63" s="54">
        <f t="shared" ref="P63:T63" si="46">P50</f>
        <v>0</v>
      </c>
      <c r="Q63" s="54">
        <f t="shared" si="46"/>
        <v>0</v>
      </c>
      <c r="R63" s="54">
        <f t="shared" si="46"/>
        <v>0</v>
      </c>
      <c r="S63" s="54">
        <f t="shared" si="46"/>
        <v>0</v>
      </c>
      <c r="T63" s="54">
        <f t="shared" si="46"/>
        <v>0</v>
      </c>
      <c r="V63" s="66"/>
      <c r="W63" s="72" t="s">
        <v>76</v>
      </c>
      <c r="X63" s="72"/>
      <c r="Y63" s="72"/>
      <c r="Z63" s="54"/>
      <c r="AA63" s="54">
        <f>-AA50</f>
        <v>0</v>
      </c>
      <c r="AB63" s="54">
        <f t="shared" ref="AB63:AE63" si="47">-AB50</f>
        <v>0</v>
      </c>
      <c r="AC63" s="54">
        <f t="shared" si="47"/>
        <v>0</v>
      </c>
      <c r="AD63" s="54">
        <f t="shared" si="47"/>
        <v>0</v>
      </c>
      <c r="AE63" s="54">
        <f t="shared" si="47"/>
        <v>0</v>
      </c>
    </row>
    <row r="64" spans="2:32">
      <c r="B64" s="66"/>
      <c r="C64" s="72" t="s">
        <v>77</v>
      </c>
      <c r="D64" s="54"/>
      <c r="E64" s="54">
        <f t="shared" ref="E64:I65" si="48">IF($I$27=$H$20,P64,AA64)</f>
        <v>0</v>
      </c>
      <c r="F64" s="54">
        <f t="shared" si="48"/>
        <v>0</v>
      </c>
      <c r="G64" s="54">
        <f t="shared" si="48"/>
        <v>0</v>
      </c>
      <c r="H64" s="54">
        <f t="shared" si="48"/>
        <v>0</v>
      </c>
      <c r="I64" s="54">
        <f t="shared" si="48"/>
        <v>0</v>
      </c>
      <c r="K64" s="66"/>
      <c r="L64" s="72" t="s">
        <v>77</v>
      </c>
      <c r="M64" s="72"/>
      <c r="N64" s="72"/>
      <c r="O64" s="54"/>
      <c r="P64" s="54">
        <f>-P258*$N$26</f>
        <v>60.914867107241719</v>
      </c>
      <c r="Q64" s="54">
        <f t="shared" ref="Q64:T64" si="49">-Q258*$N$26</f>
        <v>73.14018192881781</v>
      </c>
      <c r="R64" s="54">
        <f t="shared" si="49"/>
        <v>86.150680200036419</v>
      </c>
      <c r="S64" s="54">
        <f t="shared" si="49"/>
        <v>100.00698262736158</v>
      </c>
      <c r="T64" s="54">
        <f t="shared" si="49"/>
        <v>114.77418583394922</v>
      </c>
      <c r="V64" s="66"/>
      <c r="W64" s="72" t="s">
        <v>77</v>
      </c>
      <c r="X64" s="72"/>
      <c r="Y64" s="72"/>
      <c r="Z64" s="54"/>
      <c r="AA64" s="79">
        <v>0</v>
      </c>
      <c r="AB64" s="79">
        <v>0</v>
      </c>
      <c r="AC64" s="79">
        <v>0</v>
      </c>
      <c r="AD64" s="79">
        <v>0</v>
      </c>
      <c r="AE64" s="79">
        <v>0</v>
      </c>
    </row>
    <row r="65" spans="2:32">
      <c r="B65" s="66"/>
      <c r="C65" s="31" t="s">
        <v>22</v>
      </c>
      <c r="D65" s="54"/>
      <c r="E65" s="54">
        <f t="shared" si="48"/>
        <v>-33.54428571428582</v>
      </c>
      <c r="F65" s="54">
        <f t="shared" si="48"/>
        <v>-35.167478571428404</v>
      </c>
      <c r="G65" s="54">
        <f t="shared" si="48"/>
        <v>-36.869147142857287</v>
      </c>
      <c r="H65" s="54">
        <f t="shared" si="48"/>
        <v>-38.653076595000044</v>
      </c>
      <c r="I65" s="54">
        <f t="shared" si="48"/>
        <v>-40.523233829185898</v>
      </c>
      <c r="K65" s="66"/>
      <c r="L65" s="31" t="s">
        <v>22</v>
      </c>
      <c r="O65" s="54"/>
      <c r="P65" s="54">
        <f t="shared" ref="P65:T65" si="50">P159</f>
        <v>-22.470000000000084</v>
      </c>
      <c r="Q65" s="54">
        <f t="shared" si="50"/>
        <v>-23.483249999999884</v>
      </c>
      <c r="R65" s="54">
        <f t="shared" si="50"/>
        <v>-24.541650000000118</v>
      </c>
      <c r="S65" s="54">
        <f t="shared" si="50"/>
        <v>-25.647181875000001</v>
      </c>
      <c r="T65" s="54">
        <f t="shared" si="50"/>
        <v>-26.801912812500177</v>
      </c>
      <c r="V65" s="80"/>
      <c r="W65" s="31" t="s">
        <v>22</v>
      </c>
      <c r="Z65" s="54"/>
      <c r="AA65" s="54">
        <f t="shared" ref="AA65:AE65" si="51">SUM(AA159,AA248)</f>
        <v>-33.54428571428582</v>
      </c>
      <c r="AB65" s="54">
        <f t="shared" si="51"/>
        <v>-35.167478571428404</v>
      </c>
      <c r="AC65" s="54">
        <f t="shared" si="51"/>
        <v>-36.869147142857287</v>
      </c>
      <c r="AD65" s="54">
        <f t="shared" si="51"/>
        <v>-38.653076595000044</v>
      </c>
      <c r="AE65" s="54">
        <f t="shared" si="51"/>
        <v>-40.523233829185898</v>
      </c>
      <c r="AF65" s="81"/>
    </row>
    <row r="66" spans="2:32">
      <c r="B66" s="66"/>
      <c r="C66" s="72" t="s">
        <v>78</v>
      </c>
      <c r="D66" s="54"/>
      <c r="E66" s="70">
        <f t="shared" ref="E66:I66" si="52">-E46</f>
        <v>0</v>
      </c>
      <c r="F66" s="70">
        <f t="shared" si="52"/>
        <v>0</v>
      </c>
      <c r="G66" s="70">
        <f t="shared" si="52"/>
        <v>0</v>
      </c>
      <c r="H66" s="70">
        <f t="shared" si="52"/>
        <v>0</v>
      </c>
      <c r="I66" s="70">
        <f t="shared" si="52"/>
        <v>0</v>
      </c>
      <c r="K66" s="66"/>
      <c r="L66" s="72" t="s">
        <v>78</v>
      </c>
      <c r="M66" s="72"/>
      <c r="N66" s="72"/>
      <c r="O66" s="54"/>
      <c r="P66" s="70">
        <f t="shared" ref="P66:T66" si="53">-P46</f>
        <v>-203.04955702413906</v>
      </c>
      <c r="Q66" s="70">
        <f t="shared" si="53"/>
        <v>-243.8006064293927</v>
      </c>
      <c r="R66" s="70">
        <f t="shared" si="53"/>
        <v>-287.1689340001214</v>
      </c>
      <c r="S66" s="70">
        <f t="shared" si="53"/>
        <v>-333.35660875787192</v>
      </c>
      <c r="T66" s="70">
        <f t="shared" si="53"/>
        <v>-382.58061944649739</v>
      </c>
      <c r="V66" s="66"/>
      <c r="W66" s="72" t="s">
        <v>78</v>
      </c>
      <c r="X66" s="72"/>
      <c r="Y66" s="72"/>
      <c r="Z66" s="54"/>
      <c r="AA66" s="70">
        <f t="shared" ref="AA66:AE66" si="54">-AA46</f>
        <v>0</v>
      </c>
      <c r="AB66" s="70">
        <f t="shared" si="54"/>
        <v>0</v>
      </c>
      <c r="AC66" s="70">
        <f t="shared" si="54"/>
        <v>0</v>
      </c>
      <c r="AD66" s="70">
        <f t="shared" si="54"/>
        <v>0</v>
      </c>
      <c r="AE66" s="70">
        <f t="shared" si="54"/>
        <v>0</v>
      </c>
    </row>
    <row r="67" spans="2:32">
      <c r="B67" s="66"/>
      <c r="C67" s="31" t="s">
        <v>20</v>
      </c>
      <c r="D67" s="54"/>
      <c r="E67" s="54">
        <f t="shared" ref="E67:I67" si="55">SUM(E61:E66)</f>
        <v>1352.9207814000924</v>
      </c>
      <c r="F67" s="54">
        <f t="shared" si="55"/>
        <v>1514.2285715664011</v>
      </c>
      <c r="G67" s="54">
        <f t="shared" si="55"/>
        <v>1684.8215575576264</v>
      </c>
      <c r="H67" s="54">
        <f t="shared" si="55"/>
        <v>1865.3172481827532</v>
      </c>
      <c r="I67" s="54">
        <f t="shared" si="55"/>
        <v>2056.3731721694594</v>
      </c>
      <c r="K67" s="66"/>
      <c r="L67" s="31" t="s">
        <v>20</v>
      </c>
      <c r="O67" s="54"/>
      <c r="P67" s="54">
        <f t="shared" ref="P67:T67" si="56">SUM(P61:P66)</f>
        <v>1002.2889486260523</v>
      </c>
      <c r="Q67" s="54">
        <f t="shared" si="56"/>
        <v>1122.506661351541</v>
      </c>
      <c r="R67" s="54">
        <f t="shared" si="56"/>
        <v>1249.420343757542</v>
      </c>
      <c r="S67" s="54">
        <f t="shared" si="56"/>
        <v>1383.460432200814</v>
      </c>
      <c r="T67" s="54">
        <f t="shared" si="56"/>
        <v>1525.0841899278832</v>
      </c>
      <c r="V67" s="66"/>
      <c r="W67" s="31" t="s">
        <v>20</v>
      </c>
      <c r="Z67" s="54"/>
      <c r="AA67" s="54">
        <f t="shared" ref="AA67:AE67" si="57">SUM(AA61:AA66)</f>
        <v>1352.9207814000924</v>
      </c>
      <c r="AB67" s="54">
        <f t="shared" si="57"/>
        <v>1514.2285715664011</v>
      </c>
      <c r="AC67" s="54">
        <f t="shared" si="57"/>
        <v>1684.8215575576264</v>
      </c>
      <c r="AD67" s="54">
        <f t="shared" si="57"/>
        <v>1865.3172481827532</v>
      </c>
      <c r="AE67" s="54">
        <f t="shared" si="57"/>
        <v>2056.3731721694594</v>
      </c>
    </row>
    <row r="68" spans="2:32">
      <c r="B68" s="66"/>
      <c r="C68" s="67"/>
      <c r="D68" s="43"/>
      <c r="E68" s="43"/>
      <c r="F68" s="43"/>
      <c r="G68" s="43"/>
      <c r="H68" s="43"/>
      <c r="I68" s="43"/>
      <c r="K68" s="66"/>
      <c r="L68" s="67"/>
      <c r="M68" s="67"/>
      <c r="N68" s="67"/>
      <c r="O68" s="43"/>
      <c r="P68" s="43"/>
      <c r="Q68" s="43"/>
      <c r="R68" s="43"/>
      <c r="S68" s="43"/>
      <c r="T68" s="43"/>
      <c r="V68" s="66"/>
      <c r="W68" s="67"/>
      <c r="X68" s="67"/>
      <c r="Y68" s="67"/>
      <c r="Z68" s="43"/>
      <c r="AA68" s="43"/>
      <c r="AB68" s="43"/>
      <c r="AC68" s="43"/>
      <c r="AD68" s="43"/>
      <c r="AE68" s="43"/>
    </row>
    <row r="69" spans="2:32">
      <c r="B69" s="66"/>
      <c r="C69" s="74" t="s">
        <v>23</v>
      </c>
      <c r="D69" s="43"/>
      <c r="E69" s="43"/>
      <c r="F69" s="43"/>
      <c r="G69" s="43"/>
      <c r="H69" s="43"/>
      <c r="I69" s="43"/>
      <c r="K69" s="66"/>
      <c r="L69" s="74" t="s">
        <v>23</v>
      </c>
      <c r="M69" s="74"/>
      <c r="N69" s="74"/>
      <c r="O69" s="43"/>
      <c r="P69" s="43"/>
      <c r="Q69" s="43"/>
      <c r="R69" s="43"/>
      <c r="S69" s="43"/>
      <c r="T69" s="43"/>
      <c r="V69" s="66"/>
      <c r="W69" s="74" t="s">
        <v>23</v>
      </c>
      <c r="X69" s="74"/>
      <c r="Y69" s="74"/>
      <c r="Z69" s="82"/>
      <c r="AA69" s="43"/>
      <c r="AB69" s="43"/>
      <c r="AC69" s="43"/>
      <c r="AD69" s="43"/>
      <c r="AE69" s="43"/>
    </row>
    <row r="70" spans="2:32">
      <c r="B70" s="66"/>
      <c r="C70" s="31" t="s">
        <v>24</v>
      </c>
      <c r="D70" s="54"/>
      <c r="E70" s="70">
        <f>IF($I$27=$H$20,P70,AA70)</f>
        <v>-847.90357142857147</v>
      </c>
      <c r="F70" s="70">
        <f>IF($I$27=$H$20,Q70,AB70)</f>
        <v>-892.71403571428573</v>
      </c>
      <c r="G70" s="70">
        <f>IF($I$27=$H$20,R70,AC70)</f>
        <v>-939.90994035714289</v>
      </c>
      <c r="H70" s="70">
        <f>IF($I$27=$H$20,S70,AD70)</f>
        <v>-989.61925240357164</v>
      </c>
      <c r="I70" s="70">
        <f>IF($I$27=$H$20,T70,AE70)</f>
        <v>-1041.9768589540361</v>
      </c>
      <c r="K70" s="66"/>
      <c r="L70" s="31" t="s">
        <v>24</v>
      </c>
      <c r="O70" s="54"/>
      <c r="P70" s="70">
        <f t="shared" ref="P70:T70" si="58">P163</f>
        <v>-606.375</v>
      </c>
      <c r="Q70" s="70">
        <f t="shared" si="58"/>
        <v>-636.69375000000002</v>
      </c>
      <c r="R70" s="70">
        <f t="shared" si="58"/>
        <v>-668.5284375</v>
      </c>
      <c r="S70" s="70">
        <f t="shared" si="58"/>
        <v>-701.95485937500007</v>
      </c>
      <c r="T70" s="70">
        <f t="shared" si="58"/>
        <v>-737.05260234375021</v>
      </c>
      <c r="V70" s="66"/>
      <c r="W70" s="31" t="s">
        <v>24</v>
      </c>
      <c r="Z70" s="54"/>
      <c r="AA70" s="70">
        <f t="shared" ref="AA70:AE70" si="59">SUM(AA163,AA252)</f>
        <v>-847.90357142857147</v>
      </c>
      <c r="AB70" s="70">
        <f t="shared" si="59"/>
        <v>-892.71403571428573</v>
      </c>
      <c r="AC70" s="70">
        <f t="shared" si="59"/>
        <v>-939.90994035714289</v>
      </c>
      <c r="AD70" s="70">
        <f t="shared" si="59"/>
        <v>-989.61925240357164</v>
      </c>
      <c r="AE70" s="70">
        <f t="shared" si="59"/>
        <v>-1041.9768589540361</v>
      </c>
    </row>
    <row r="71" spans="2:32">
      <c r="B71" s="66"/>
      <c r="C71" s="31" t="s">
        <v>23</v>
      </c>
      <c r="D71" s="54"/>
      <c r="E71" s="54">
        <f>SUM(E70:E70)</f>
        <v>-847.90357142857147</v>
      </c>
      <c r="F71" s="54">
        <f>SUM(F70:F70)</f>
        <v>-892.71403571428573</v>
      </c>
      <c r="G71" s="54">
        <f>SUM(G70:G70)</f>
        <v>-939.90994035714289</v>
      </c>
      <c r="H71" s="54">
        <f>SUM(H70:H70)</f>
        <v>-989.61925240357164</v>
      </c>
      <c r="I71" s="54">
        <f>SUM(I70:I70)</f>
        <v>-1041.9768589540361</v>
      </c>
      <c r="K71" s="66"/>
      <c r="L71" s="31" t="s">
        <v>23</v>
      </c>
      <c r="O71" s="54"/>
      <c r="P71" s="54">
        <f>SUM(P70:P70)</f>
        <v>-606.375</v>
      </c>
      <c r="Q71" s="54">
        <f>SUM(Q70:Q70)</f>
        <v>-636.69375000000002</v>
      </c>
      <c r="R71" s="54">
        <f>SUM(R70:R70)</f>
        <v>-668.5284375</v>
      </c>
      <c r="S71" s="54">
        <f>SUM(S70:S70)</f>
        <v>-701.95485937500007</v>
      </c>
      <c r="T71" s="54">
        <f>SUM(T70:T70)</f>
        <v>-737.05260234375021</v>
      </c>
      <c r="V71" s="66"/>
      <c r="W71" s="31" t="s">
        <v>23</v>
      </c>
      <c r="Z71" s="54"/>
      <c r="AA71" s="54">
        <f>SUM(AA70:AA70)</f>
        <v>-847.90357142857147</v>
      </c>
      <c r="AB71" s="54">
        <f>SUM(AB70:AB70)</f>
        <v>-892.71403571428573</v>
      </c>
      <c r="AC71" s="54">
        <f>SUM(AC70:AC70)</f>
        <v>-939.90994035714289</v>
      </c>
      <c r="AD71" s="54">
        <f>SUM(AD70:AD70)</f>
        <v>-989.61925240357164</v>
      </c>
      <c r="AE71" s="54">
        <f>SUM(AE70:AE70)</f>
        <v>-1041.9768589540361</v>
      </c>
    </row>
    <row r="72" spans="2:32">
      <c r="B72" s="66"/>
      <c r="D72" s="54"/>
      <c r="E72" s="54"/>
      <c r="F72" s="54"/>
      <c r="G72" s="54"/>
      <c r="H72" s="54"/>
      <c r="I72" s="54"/>
      <c r="K72" s="66"/>
      <c r="O72" s="54"/>
      <c r="P72" s="54"/>
      <c r="Q72" s="54"/>
      <c r="R72" s="54"/>
      <c r="S72" s="54"/>
      <c r="T72" s="54"/>
      <c r="V72" s="80"/>
      <c r="Z72" s="54"/>
      <c r="AA72" s="54"/>
      <c r="AB72" s="54"/>
      <c r="AC72" s="54"/>
      <c r="AD72" s="54"/>
      <c r="AE72" s="54"/>
      <c r="AF72" s="81"/>
    </row>
    <row r="73" spans="2:32">
      <c r="B73" s="66"/>
      <c r="C73" s="74" t="s">
        <v>25</v>
      </c>
      <c r="D73" s="43"/>
      <c r="E73" s="43"/>
      <c r="F73" s="43"/>
      <c r="G73" s="43"/>
      <c r="H73" s="43"/>
      <c r="I73" s="43"/>
      <c r="K73" s="66"/>
      <c r="L73" s="74" t="s">
        <v>25</v>
      </c>
      <c r="M73" s="74"/>
      <c r="N73" s="74"/>
      <c r="O73" s="43"/>
      <c r="P73" s="43"/>
      <c r="Q73" s="43"/>
      <c r="R73" s="43"/>
      <c r="S73" s="43"/>
      <c r="T73" s="43"/>
      <c r="V73" s="66"/>
      <c r="W73" s="74" t="s">
        <v>25</v>
      </c>
      <c r="X73" s="74"/>
      <c r="Y73" s="74"/>
      <c r="Z73" s="82"/>
      <c r="AA73" s="43"/>
      <c r="AB73" s="43"/>
      <c r="AC73" s="43"/>
      <c r="AD73" s="43"/>
      <c r="AE73" s="43"/>
    </row>
    <row r="74" spans="2:32">
      <c r="B74" s="66"/>
      <c r="C74" s="31" t="s">
        <v>26</v>
      </c>
      <c r="D74" s="54"/>
      <c r="E74" s="54">
        <f t="shared" ref="E74:I77" si="60">IF($I$27=$H$20,P74,AA74)</f>
        <v>-700</v>
      </c>
      <c r="F74" s="54">
        <f t="shared" si="60"/>
        <v>-700</v>
      </c>
      <c r="G74" s="54">
        <f t="shared" si="60"/>
        <v>-700</v>
      </c>
      <c r="H74" s="54">
        <f t="shared" si="60"/>
        <v>-700</v>
      </c>
      <c r="I74" s="54">
        <f t="shared" si="60"/>
        <v>-700</v>
      </c>
      <c r="K74" s="66"/>
      <c r="L74" s="31" t="s">
        <v>26</v>
      </c>
      <c r="O74" s="54"/>
      <c r="P74" s="54">
        <f t="shared" ref="P74:T75" si="61">P167</f>
        <v>-500</v>
      </c>
      <c r="Q74" s="54">
        <f t="shared" si="61"/>
        <v>-500</v>
      </c>
      <c r="R74" s="54">
        <f t="shared" si="61"/>
        <v>-500</v>
      </c>
      <c r="S74" s="54">
        <f t="shared" si="61"/>
        <v>-500</v>
      </c>
      <c r="T74" s="54">
        <f t="shared" si="61"/>
        <v>-500</v>
      </c>
      <c r="V74" s="66"/>
      <c r="W74" s="31" t="s">
        <v>26</v>
      </c>
      <c r="Z74" s="54"/>
      <c r="AA74" s="54">
        <f t="shared" ref="AA74:AE75" si="62">SUM(AA167,AA256)</f>
        <v>-700</v>
      </c>
      <c r="AB74" s="54">
        <f t="shared" si="62"/>
        <v>-700</v>
      </c>
      <c r="AC74" s="54">
        <f t="shared" si="62"/>
        <v>-700</v>
      </c>
      <c r="AD74" s="54">
        <f t="shared" si="62"/>
        <v>-700</v>
      </c>
      <c r="AE74" s="54">
        <f t="shared" si="62"/>
        <v>-700</v>
      </c>
    </row>
    <row r="75" spans="2:32">
      <c r="B75" s="66"/>
      <c r="C75" s="31" t="s">
        <v>27</v>
      </c>
      <c r="D75" s="54"/>
      <c r="E75" s="54">
        <f t="shared" si="60"/>
        <v>0</v>
      </c>
      <c r="F75" s="54">
        <f t="shared" si="60"/>
        <v>0</v>
      </c>
      <c r="G75" s="54">
        <f t="shared" si="60"/>
        <v>0</v>
      </c>
      <c r="H75" s="54">
        <f t="shared" si="60"/>
        <v>0</v>
      </c>
      <c r="I75" s="54">
        <f t="shared" si="60"/>
        <v>0</v>
      </c>
      <c r="K75" s="66"/>
      <c r="L75" s="31" t="s">
        <v>27</v>
      </c>
      <c r="O75" s="54"/>
      <c r="P75" s="54">
        <f t="shared" si="61"/>
        <v>0</v>
      </c>
      <c r="Q75" s="54">
        <f t="shared" si="61"/>
        <v>0</v>
      </c>
      <c r="R75" s="54">
        <f t="shared" si="61"/>
        <v>0</v>
      </c>
      <c r="S75" s="54">
        <f t="shared" si="61"/>
        <v>0</v>
      </c>
      <c r="T75" s="54">
        <f t="shared" si="61"/>
        <v>0</v>
      </c>
      <c r="V75" s="66"/>
      <c r="W75" s="31" t="s">
        <v>27</v>
      </c>
      <c r="Z75" s="54"/>
      <c r="AA75" s="54">
        <f t="shared" si="62"/>
        <v>0</v>
      </c>
      <c r="AB75" s="54">
        <f t="shared" si="62"/>
        <v>0</v>
      </c>
      <c r="AC75" s="54">
        <f t="shared" si="62"/>
        <v>0</v>
      </c>
      <c r="AD75" s="54">
        <f t="shared" si="62"/>
        <v>0</v>
      </c>
      <c r="AE75" s="54">
        <f t="shared" si="62"/>
        <v>0</v>
      </c>
    </row>
    <row r="76" spans="2:32">
      <c r="B76" s="66"/>
      <c r="C76" s="72" t="s">
        <v>79</v>
      </c>
      <c r="D76" s="54"/>
      <c r="E76" s="54">
        <f t="shared" si="60"/>
        <v>0</v>
      </c>
      <c r="F76" s="54">
        <f t="shared" si="60"/>
        <v>0</v>
      </c>
      <c r="G76" s="54">
        <f t="shared" si="60"/>
        <v>0</v>
      </c>
      <c r="H76" s="54">
        <f t="shared" si="60"/>
        <v>0</v>
      </c>
      <c r="I76" s="54">
        <f t="shared" si="60"/>
        <v>0</v>
      </c>
      <c r="K76" s="66"/>
      <c r="L76" s="72" t="s">
        <v>79</v>
      </c>
      <c r="M76" s="72"/>
      <c r="N76" s="72"/>
      <c r="O76" s="79"/>
      <c r="P76" s="79">
        <v>0</v>
      </c>
      <c r="Q76" s="79">
        <v>0</v>
      </c>
      <c r="R76" s="79">
        <v>0</v>
      </c>
      <c r="S76" s="79">
        <v>0</v>
      </c>
      <c r="T76" s="79">
        <v>0</v>
      </c>
      <c r="V76" s="66"/>
      <c r="W76" s="72" t="s">
        <v>79</v>
      </c>
      <c r="X76" s="72"/>
      <c r="Y76" s="72"/>
      <c r="Z76" s="54"/>
      <c r="AA76" s="54">
        <f>AA258*(1-$Y$26)</f>
        <v>0</v>
      </c>
      <c r="AB76" s="54">
        <f>AB258*(1-$Y$26)</f>
        <v>0</v>
      </c>
      <c r="AC76" s="54">
        <f>AC258*(1-$Y$26)</f>
        <v>0</v>
      </c>
      <c r="AD76" s="54">
        <f>AD258*(1-$Y$26)</f>
        <v>0</v>
      </c>
      <c r="AE76" s="54">
        <f>AE258*(1-$Y$26)</f>
        <v>0</v>
      </c>
    </row>
    <row r="77" spans="2:32">
      <c r="B77" s="66"/>
      <c r="C77" s="31" t="s">
        <v>28</v>
      </c>
      <c r="D77" s="54"/>
      <c r="E77" s="70">
        <f t="shared" si="60"/>
        <v>-82.518816303762108</v>
      </c>
      <c r="F77" s="70">
        <f>IF($I$27=$H$20,Q77,AB77)</f>
        <v>-98.807445884544592</v>
      </c>
      <c r="G77" s="70">
        <f t="shared" si="60"/>
        <v>-116.01163771150117</v>
      </c>
      <c r="H77" s="70">
        <f t="shared" si="60"/>
        <v>-134.19197003969052</v>
      </c>
      <c r="I77" s="70">
        <f t="shared" si="60"/>
        <v>-153.4128193187868</v>
      </c>
      <c r="K77" s="66"/>
      <c r="L77" s="31" t="s">
        <v>28</v>
      </c>
      <c r="O77" s="54"/>
      <c r="P77" s="70">
        <f t="shared" ref="P77:T77" si="63">P169</f>
        <v>-82.518816303762108</v>
      </c>
      <c r="Q77" s="70">
        <f t="shared" si="63"/>
        <v>-98.807445884544592</v>
      </c>
      <c r="R77" s="70">
        <f t="shared" si="63"/>
        <v>-116.01163771150117</v>
      </c>
      <c r="S77" s="70">
        <f t="shared" si="63"/>
        <v>-134.19197003969052</v>
      </c>
      <c r="T77" s="70">
        <f t="shared" si="63"/>
        <v>-153.4128193187868</v>
      </c>
      <c r="V77" s="66"/>
      <c r="W77" s="31" t="s">
        <v>28</v>
      </c>
      <c r="Z77" s="54"/>
      <c r="AA77" s="70">
        <f>SUM(AA169)</f>
        <v>-82.518816303762108</v>
      </c>
      <c r="AB77" s="70">
        <f t="shared" ref="AB77:AE77" si="64">SUM(AB169)</f>
        <v>-98.807445884544592</v>
      </c>
      <c r="AC77" s="70">
        <f t="shared" si="64"/>
        <v>-116.01163771150117</v>
      </c>
      <c r="AD77" s="70">
        <f t="shared" si="64"/>
        <v>-134.19197003969052</v>
      </c>
      <c r="AE77" s="70">
        <f t="shared" si="64"/>
        <v>-153.4128193187868</v>
      </c>
    </row>
    <row r="78" spans="2:32">
      <c r="B78" s="66"/>
      <c r="C78" s="31" t="s">
        <v>25</v>
      </c>
      <c r="D78" s="54"/>
      <c r="E78" s="54">
        <f t="shared" ref="E78:I78" si="65">SUM(E74:E77)</f>
        <v>-782.51881630376215</v>
      </c>
      <c r="F78" s="54">
        <f t="shared" si="65"/>
        <v>-798.80744588454456</v>
      </c>
      <c r="G78" s="54">
        <f t="shared" si="65"/>
        <v>-816.01163771150118</v>
      </c>
      <c r="H78" s="54">
        <f t="shared" si="65"/>
        <v>-834.19197003969055</v>
      </c>
      <c r="I78" s="54">
        <f t="shared" si="65"/>
        <v>-853.41281931878677</v>
      </c>
      <c r="K78" s="66"/>
      <c r="L78" s="31" t="s">
        <v>25</v>
      </c>
      <c r="O78" s="54"/>
      <c r="P78" s="54">
        <f t="shared" ref="P78:T78" si="66">SUM(P74:P77)</f>
        <v>-582.51881630376215</v>
      </c>
      <c r="Q78" s="54">
        <f t="shared" si="66"/>
        <v>-598.80744588454456</v>
      </c>
      <c r="R78" s="54">
        <f t="shared" si="66"/>
        <v>-616.01163771150118</v>
      </c>
      <c r="S78" s="54">
        <f t="shared" si="66"/>
        <v>-634.19197003969055</v>
      </c>
      <c r="T78" s="54">
        <f t="shared" si="66"/>
        <v>-653.41281931878677</v>
      </c>
      <c r="V78" s="66"/>
      <c r="W78" s="31" t="s">
        <v>25</v>
      </c>
      <c r="Z78" s="54"/>
      <c r="AA78" s="54">
        <f t="shared" ref="AA78:AE78" si="67">SUM(AA74:AA77)</f>
        <v>-782.51881630376215</v>
      </c>
      <c r="AB78" s="54">
        <f t="shared" si="67"/>
        <v>-798.80744588454456</v>
      </c>
      <c r="AC78" s="54">
        <f t="shared" si="67"/>
        <v>-816.01163771150118</v>
      </c>
      <c r="AD78" s="54">
        <f t="shared" si="67"/>
        <v>-834.19197003969055</v>
      </c>
      <c r="AE78" s="54">
        <f t="shared" si="67"/>
        <v>-853.41281931878677</v>
      </c>
    </row>
    <row r="79" spans="2:32">
      <c r="B79" s="66"/>
      <c r="D79" s="54"/>
      <c r="E79" s="54"/>
      <c r="F79" s="54"/>
      <c r="G79" s="54"/>
      <c r="H79" s="54"/>
      <c r="I79" s="54"/>
      <c r="K79" s="66"/>
      <c r="O79" s="54"/>
      <c r="P79" s="54"/>
      <c r="Q79" s="54"/>
      <c r="R79" s="54"/>
      <c r="S79" s="54"/>
      <c r="T79" s="54"/>
      <c r="V79" s="66"/>
      <c r="Z79" s="54"/>
      <c r="AA79" s="54"/>
      <c r="AB79" s="54"/>
      <c r="AC79" s="54"/>
      <c r="AD79" s="54"/>
      <c r="AE79" s="54"/>
    </row>
    <row r="80" spans="2:32">
      <c r="B80" s="66"/>
      <c r="C80" s="31" t="s">
        <v>29</v>
      </c>
      <c r="D80" s="54"/>
      <c r="E80" s="54">
        <f>IF($I$27=$H$20,P80,AA80)</f>
        <v>1134.4413233304449</v>
      </c>
      <c r="F80" s="54">
        <f>IF($I$27=$H$20,Q80,AB80)</f>
        <v>856.93971699820372</v>
      </c>
      <c r="G80" s="54">
        <f>IF($I$27=$H$20,R80,AC80)</f>
        <v>679.64680696577454</v>
      </c>
      <c r="H80" s="54">
        <f>IF($I$27=$H$20,S80,AD80)</f>
        <v>608.5467864547569</v>
      </c>
      <c r="I80" s="54">
        <f>IF($I$27=$H$20,T80,AE80)</f>
        <v>650.05281219424796</v>
      </c>
      <c r="K80" s="66"/>
      <c r="L80" s="31" t="s">
        <v>29</v>
      </c>
      <c r="O80" s="54"/>
      <c r="P80" s="54">
        <f>O92</f>
        <v>48.848272408613411</v>
      </c>
      <c r="Q80" s="54">
        <f t="shared" ref="Q80:T80" si="68">P82</f>
        <v>-137.75659526909647</v>
      </c>
      <c r="R80" s="54">
        <f t="shared" si="68"/>
        <v>-250.75112980210008</v>
      </c>
      <c r="S80" s="54">
        <f t="shared" si="68"/>
        <v>-285.87086125605924</v>
      </c>
      <c r="T80" s="54">
        <f t="shared" si="68"/>
        <v>-238.55725846993585</v>
      </c>
      <c r="V80" s="66"/>
      <c r="W80" s="31" t="s">
        <v>29</v>
      </c>
      <c r="Z80" s="54"/>
      <c r="AA80" s="54">
        <f>Z92</f>
        <v>1134.4413233304449</v>
      </c>
      <c r="AB80" s="54">
        <f>AA82</f>
        <v>856.93971699820372</v>
      </c>
      <c r="AC80" s="54">
        <f>AB82</f>
        <v>679.64680696577454</v>
      </c>
      <c r="AD80" s="54">
        <f>AC82</f>
        <v>608.5467864547569</v>
      </c>
      <c r="AE80" s="54">
        <f>AD82</f>
        <v>650.05281219424796</v>
      </c>
    </row>
    <row r="81" spans="2:31">
      <c r="B81" s="66"/>
      <c r="C81" s="31" t="s">
        <v>30</v>
      </c>
      <c r="D81" s="54"/>
      <c r="E81" s="70">
        <f>E67+E71+E78</f>
        <v>-277.50160633224118</v>
      </c>
      <c r="F81" s="70">
        <f>F67+F71+F78</f>
        <v>-177.29291003242918</v>
      </c>
      <c r="G81" s="70">
        <f>G67+G71+G78</f>
        <v>-71.100020511017647</v>
      </c>
      <c r="H81" s="70">
        <f>H67+H71+H78</f>
        <v>41.506025739491065</v>
      </c>
      <c r="I81" s="70">
        <f>I67+I71+I78</f>
        <v>160.98349389663656</v>
      </c>
      <c r="K81" s="66"/>
      <c r="L81" s="31" t="s">
        <v>30</v>
      </c>
      <c r="O81" s="54"/>
      <c r="P81" s="70">
        <f>P67+P71+P78</f>
        <v>-186.60486767770988</v>
      </c>
      <c r="Q81" s="70">
        <f>Q67+Q71+Q78</f>
        <v>-112.99453453300362</v>
      </c>
      <c r="R81" s="70">
        <f>R67+R71+R78</f>
        <v>-35.119731453959162</v>
      </c>
      <c r="S81" s="70">
        <f>S67+S71+S78</f>
        <v>47.313602786123397</v>
      </c>
      <c r="T81" s="70">
        <f>T67+T71+T78</f>
        <v>134.61876826534626</v>
      </c>
      <c r="V81" s="66"/>
      <c r="W81" s="31" t="s">
        <v>30</v>
      </c>
      <c r="Z81" s="54"/>
      <c r="AA81" s="70">
        <f>AA67+AA71+AA78</f>
        <v>-277.50160633224118</v>
      </c>
      <c r="AB81" s="70">
        <f>AB67+AB71+AB78</f>
        <v>-177.29291003242918</v>
      </c>
      <c r="AC81" s="70">
        <f>AC67+AC71+AC78</f>
        <v>-71.100020511017647</v>
      </c>
      <c r="AD81" s="70">
        <f>AD67+AD71+AD78</f>
        <v>41.506025739491065</v>
      </c>
      <c r="AE81" s="70">
        <f>AE67+AE71+AE78</f>
        <v>160.98349389663656</v>
      </c>
    </row>
    <row r="82" spans="2:31">
      <c r="B82" s="63"/>
      <c r="C82" s="74" t="s">
        <v>31</v>
      </c>
      <c r="D82" s="75"/>
      <c r="E82" s="75">
        <f t="shared" ref="E82:I82" si="69">SUM(E80:E81)</f>
        <v>856.93971699820372</v>
      </c>
      <c r="F82" s="75">
        <f t="shared" si="69"/>
        <v>679.64680696577454</v>
      </c>
      <c r="G82" s="75">
        <f t="shared" si="69"/>
        <v>608.5467864547569</v>
      </c>
      <c r="H82" s="75">
        <f t="shared" si="69"/>
        <v>650.05281219424796</v>
      </c>
      <c r="I82" s="75">
        <f t="shared" si="69"/>
        <v>811.03630609088452</v>
      </c>
      <c r="K82" s="63"/>
      <c r="L82" s="74" t="s">
        <v>31</v>
      </c>
      <c r="M82" s="74"/>
      <c r="N82" s="74"/>
      <c r="O82" s="75"/>
      <c r="P82" s="75">
        <f t="shared" ref="P82:T82" si="70">SUM(P80:P81)</f>
        <v>-137.75659526909647</v>
      </c>
      <c r="Q82" s="75">
        <f t="shared" si="70"/>
        <v>-250.75112980210008</v>
      </c>
      <c r="R82" s="75">
        <f t="shared" si="70"/>
        <v>-285.87086125605924</v>
      </c>
      <c r="S82" s="75">
        <f t="shared" si="70"/>
        <v>-238.55725846993585</v>
      </c>
      <c r="T82" s="75">
        <f t="shared" si="70"/>
        <v>-103.93849020458958</v>
      </c>
      <c r="V82" s="63"/>
      <c r="W82" s="74" t="s">
        <v>31</v>
      </c>
      <c r="X82" s="74"/>
      <c r="Y82" s="74"/>
      <c r="Z82" s="75"/>
      <c r="AA82" s="75">
        <f t="shared" ref="AA82:AE82" si="71">SUM(AA80:AA81)</f>
        <v>856.93971699820372</v>
      </c>
      <c r="AB82" s="75">
        <f t="shared" si="71"/>
        <v>679.64680696577454</v>
      </c>
      <c r="AC82" s="75">
        <f t="shared" si="71"/>
        <v>608.5467864547569</v>
      </c>
      <c r="AD82" s="75">
        <f t="shared" si="71"/>
        <v>650.05281219424796</v>
      </c>
      <c r="AE82" s="75">
        <f t="shared" si="71"/>
        <v>811.03630609088452</v>
      </c>
    </row>
    <row r="83" spans="2:31">
      <c r="B83" s="66"/>
      <c r="C83" s="76"/>
      <c r="D83" s="77"/>
      <c r="E83" s="77"/>
      <c r="F83" s="77"/>
      <c r="G83" s="77"/>
      <c r="H83" s="77"/>
      <c r="I83" s="77"/>
      <c r="K83" s="66"/>
      <c r="L83" s="76"/>
      <c r="M83" s="76"/>
      <c r="N83" s="76"/>
      <c r="O83" s="77"/>
      <c r="P83" s="77"/>
      <c r="Q83" s="77"/>
      <c r="R83" s="77"/>
      <c r="S83" s="77"/>
      <c r="T83" s="77"/>
      <c r="V83" s="66"/>
      <c r="W83" s="76"/>
      <c r="X83" s="76"/>
      <c r="Y83" s="76"/>
      <c r="Z83" s="77"/>
      <c r="AA83" s="77"/>
      <c r="AB83" s="77"/>
      <c r="AC83" s="77"/>
      <c r="AD83" s="77"/>
      <c r="AE83" s="77"/>
    </row>
    <row r="84" spans="2:31">
      <c r="B84" s="66"/>
      <c r="D84" s="78"/>
      <c r="E84" s="78"/>
      <c r="F84" s="78"/>
      <c r="G84" s="78"/>
      <c r="H84" s="78"/>
      <c r="I84" s="78"/>
      <c r="K84" s="66"/>
      <c r="O84" s="78"/>
      <c r="P84" s="78"/>
      <c r="Q84" s="78"/>
      <c r="R84" s="78"/>
      <c r="S84" s="78"/>
      <c r="T84" s="78"/>
      <c r="V84" s="66"/>
      <c r="Z84" s="78"/>
      <c r="AA84" s="78"/>
      <c r="AB84" s="78"/>
      <c r="AC84" s="78"/>
      <c r="AD84" s="78"/>
      <c r="AE84" s="78"/>
    </row>
    <row r="85" spans="2:31">
      <c r="B85" s="66"/>
      <c r="D85" s="78"/>
      <c r="E85" s="78"/>
      <c r="F85" s="78"/>
      <c r="G85" s="78"/>
      <c r="H85" s="78"/>
      <c r="I85" s="78"/>
      <c r="K85" s="66"/>
      <c r="O85" s="78"/>
      <c r="P85" s="78"/>
      <c r="Q85" s="78"/>
      <c r="R85" s="78"/>
      <c r="S85" s="78"/>
      <c r="T85" s="78"/>
      <c r="V85" s="66"/>
      <c r="Z85" s="78"/>
      <c r="AA85" s="78"/>
      <c r="AB85" s="78"/>
      <c r="AC85" s="78"/>
      <c r="AD85" s="78"/>
      <c r="AE85" s="78"/>
    </row>
    <row r="86" spans="2:31" ht="15">
      <c r="B86" s="66"/>
      <c r="C86" s="64" t="str">
        <f>"Alpha Balance Sheet (Pro-Forma under "&amp;I27&amp;")"</f>
        <v>Alpha Balance Sheet (Pro-Forma under Consolidation Method)</v>
      </c>
      <c r="D86" s="65"/>
      <c r="E86" s="65"/>
      <c r="F86" s="65"/>
      <c r="G86" s="65"/>
      <c r="H86" s="65"/>
      <c r="I86" s="65"/>
      <c r="K86" s="66"/>
      <c r="L86" s="64" t="str">
        <f>"Alpha Balance Sheet (Pro-Forma under "&amp;S27&amp;")"</f>
        <v>Alpha Balance Sheet (Pro-Forma under Equity Method)</v>
      </c>
      <c r="M86" s="64"/>
      <c r="N86" s="64"/>
      <c r="O86" s="65"/>
      <c r="P86" s="65"/>
      <c r="Q86" s="65"/>
      <c r="R86" s="65"/>
      <c r="S86" s="65"/>
      <c r="T86" s="65"/>
      <c r="V86" s="66"/>
      <c r="W86" s="64" t="str">
        <f>"Alpha Balance Sheet (Pro-Forma under "&amp;AD27&amp;")"</f>
        <v>Alpha Balance Sheet (Pro-Forma under Consolidation Method)</v>
      </c>
      <c r="X86" s="64"/>
      <c r="Y86" s="64"/>
      <c r="Z86" s="65"/>
      <c r="AA86" s="65"/>
      <c r="AB86" s="65"/>
      <c r="AC86" s="65"/>
      <c r="AD86" s="65"/>
      <c r="AE86" s="65"/>
    </row>
    <row r="87" spans="2:31">
      <c r="B87" s="66"/>
      <c r="C87" s="67" t="s">
        <v>7</v>
      </c>
      <c r="K87" s="66"/>
      <c r="L87" s="67" t="s">
        <v>7</v>
      </c>
      <c r="M87" s="67"/>
      <c r="N87" s="67"/>
      <c r="V87" s="66"/>
      <c r="W87" s="67" t="s">
        <v>7</v>
      </c>
      <c r="X87" s="67"/>
      <c r="Y87" s="67"/>
    </row>
    <row r="88" spans="2:31">
      <c r="B88" s="66"/>
      <c r="C88" s="67"/>
      <c r="K88" s="66"/>
      <c r="L88" s="67"/>
      <c r="M88" s="67"/>
      <c r="N88" s="67"/>
      <c r="V88" s="66"/>
      <c r="W88" s="67"/>
      <c r="X88" s="67"/>
      <c r="Y88" s="67"/>
    </row>
    <row r="89" spans="2:31">
      <c r="B89" s="66"/>
      <c r="D89" s="68">
        <f t="shared" ref="D89:I89" si="72">D58</f>
        <v>44561</v>
      </c>
      <c r="E89" s="69">
        <f t="shared" si="72"/>
        <v>44926</v>
      </c>
      <c r="F89" s="69">
        <f t="shared" si="72"/>
        <v>45291</v>
      </c>
      <c r="G89" s="69">
        <f t="shared" si="72"/>
        <v>45657</v>
      </c>
      <c r="H89" s="69">
        <f t="shared" si="72"/>
        <v>46022</v>
      </c>
      <c r="I89" s="69">
        <f t="shared" si="72"/>
        <v>46387</v>
      </c>
      <c r="K89" s="66"/>
      <c r="M89" s="83" t="s">
        <v>80</v>
      </c>
      <c r="N89" s="84" t="s">
        <v>81</v>
      </c>
      <c r="O89" s="85">
        <f t="shared" ref="O89:T89" si="73">O58</f>
        <v>44561</v>
      </c>
      <c r="P89" s="69">
        <f t="shared" si="73"/>
        <v>44926</v>
      </c>
      <c r="Q89" s="69">
        <f t="shared" si="73"/>
        <v>45291</v>
      </c>
      <c r="R89" s="69">
        <f t="shared" si="73"/>
        <v>45657</v>
      </c>
      <c r="S89" s="69">
        <f t="shared" si="73"/>
        <v>46022</v>
      </c>
      <c r="T89" s="69">
        <f t="shared" si="73"/>
        <v>46387</v>
      </c>
      <c r="V89" s="66"/>
      <c r="X89" s="83" t="s">
        <v>80</v>
      </c>
      <c r="Y89" s="84" t="s">
        <v>81</v>
      </c>
      <c r="Z89" s="85">
        <f t="shared" ref="Z89:AE89" si="74">Z58</f>
        <v>44561</v>
      </c>
      <c r="AA89" s="69">
        <f t="shared" si="74"/>
        <v>44926</v>
      </c>
      <c r="AB89" s="69">
        <f t="shared" si="74"/>
        <v>45291</v>
      </c>
      <c r="AC89" s="69">
        <f t="shared" si="74"/>
        <v>45657</v>
      </c>
      <c r="AD89" s="69">
        <f t="shared" si="74"/>
        <v>46022</v>
      </c>
      <c r="AE89" s="69">
        <f t="shared" si="74"/>
        <v>46387</v>
      </c>
    </row>
    <row r="90" spans="2:31">
      <c r="B90" s="66"/>
      <c r="D90" s="86"/>
      <c r="E90" s="86"/>
      <c r="F90" s="86"/>
      <c r="G90" s="86"/>
      <c r="H90" s="86"/>
      <c r="I90" s="86"/>
      <c r="K90" s="66"/>
      <c r="M90" s="87"/>
      <c r="O90" s="88"/>
      <c r="P90" s="86"/>
      <c r="Q90" s="86"/>
      <c r="R90" s="86"/>
      <c r="S90" s="86"/>
      <c r="T90" s="86"/>
      <c r="V90" s="66"/>
      <c r="X90" s="87"/>
      <c r="Z90" s="88"/>
      <c r="AA90" s="86"/>
      <c r="AB90" s="86"/>
      <c r="AC90" s="86"/>
      <c r="AD90" s="86"/>
      <c r="AE90" s="86"/>
    </row>
    <row r="91" spans="2:31">
      <c r="B91" s="66"/>
      <c r="C91" s="74" t="s">
        <v>33</v>
      </c>
      <c r="D91" s="86"/>
      <c r="E91" s="86"/>
      <c r="F91" s="86"/>
      <c r="G91" s="86"/>
      <c r="H91" s="86"/>
      <c r="I91" s="86"/>
      <c r="K91" s="66"/>
      <c r="L91" s="74" t="s">
        <v>33</v>
      </c>
      <c r="M91" s="89"/>
      <c r="N91" s="74"/>
      <c r="O91" s="90"/>
      <c r="P91" s="86"/>
      <c r="Q91" s="86"/>
      <c r="R91" s="86"/>
      <c r="S91" s="86"/>
      <c r="T91" s="86"/>
      <c r="V91" s="66"/>
      <c r="W91" s="74" t="s">
        <v>33</v>
      </c>
      <c r="X91" s="89"/>
      <c r="Y91" s="74"/>
      <c r="Z91" s="90"/>
      <c r="AA91" s="86"/>
      <c r="AB91" s="86"/>
      <c r="AC91" s="86"/>
      <c r="AD91" s="86"/>
      <c r="AE91" s="86"/>
    </row>
    <row r="92" spans="2:31">
      <c r="B92" s="66"/>
      <c r="C92" s="31" t="s">
        <v>34</v>
      </c>
      <c r="D92" s="54">
        <f>IF($I$27=$H$20,O92,Z92)</f>
        <v>1134.4413233304449</v>
      </c>
      <c r="E92" s="54">
        <f t="shared" ref="E92:I92" si="75">E82</f>
        <v>856.93971699820372</v>
      </c>
      <c r="F92" s="54">
        <f t="shared" si="75"/>
        <v>679.64680696577454</v>
      </c>
      <c r="G92" s="54">
        <f t="shared" si="75"/>
        <v>608.5467864547569</v>
      </c>
      <c r="H92" s="54">
        <f t="shared" si="75"/>
        <v>650.05281219424796</v>
      </c>
      <c r="I92" s="54">
        <f t="shared" si="75"/>
        <v>811.03630609088452</v>
      </c>
      <c r="K92" s="66"/>
      <c r="L92" s="31" t="s">
        <v>34</v>
      </c>
      <c r="M92" s="91">
        <f>O184</f>
        <v>4548.8482724086134</v>
      </c>
      <c r="N92" s="54">
        <f>-N26*N25</f>
        <v>-4500</v>
      </c>
      <c r="O92" s="90">
        <f>SUM(M92:N92)</f>
        <v>48.848272408613411</v>
      </c>
      <c r="P92" s="54">
        <f t="shared" ref="P92:T92" si="76">P82</f>
        <v>-137.75659526909647</v>
      </c>
      <c r="Q92" s="54">
        <f t="shared" si="76"/>
        <v>-250.75112980210008</v>
      </c>
      <c r="R92" s="54">
        <f t="shared" si="76"/>
        <v>-285.87086125605924</v>
      </c>
      <c r="S92" s="54">
        <f t="shared" si="76"/>
        <v>-238.55725846993585</v>
      </c>
      <c r="T92" s="54">
        <f t="shared" si="76"/>
        <v>-103.93849020458958</v>
      </c>
      <c r="V92" s="66"/>
      <c r="W92" s="31" t="s">
        <v>34</v>
      </c>
      <c r="X92" s="91">
        <f>Z184</f>
        <v>4548.8482724086134</v>
      </c>
      <c r="Y92" s="54">
        <f>Z273-Y25*Y26</f>
        <v>-3414.4069490781685</v>
      </c>
      <c r="Z92" s="90">
        <f>SUM(X92:Y92)</f>
        <v>1134.4413233304449</v>
      </c>
      <c r="AA92" s="54">
        <f t="shared" ref="AA92:AE92" si="77">AA82</f>
        <v>856.93971699820372</v>
      </c>
      <c r="AB92" s="54">
        <f t="shared" si="77"/>
        <v>679.64680696577454</v>
      </c>
      <c r="AC92" s="54">
        <f t="shared" si="77"/>
        <v>608.5467864547569</v>
      </c>
      <c r="AD92" s="54">
        <f t="shared" si="77"/>
        <v>650.05281219424796</v>
      </c>
      <c r="AE92" s="54">
        <f t="shared" si="77"/>
        <v>811.03630609088452</v>
      </c>
    </row>
    <row r="93" spans="2:31">
      <c r="B93" s="66"/>
      <c r="C93" s="31" t="s">
        <v>35</v>
      </c>
      <c r="D93" s="54">
        <f>IF($I$27=$H$20,O93,Z93)</f>
        <v>394.28571428571428</v>
      </c>
      <c r="E93" s="54">
        <f t="shared" ref="E93:I95" si="78">IF($I$27=$H$20,P93,AA93)</f>
        <v>415.14285714285717</v>
      </c>
      <c r="F93" s="54">
        <f t="shared" si="78"/>
        <v>437.11142857142858</v>
      </c>
      <c r="G93" s="54">
        <f t="shared" si="78"/>
        <v>460.25111428571427</v>
      </c>
      <c r="H93" s="54">
        <f t="shared" si="78"/>
        <v>484.62483114285726</v>
      </c>
      <c r="I93" s="54">
        <f t="shared" si="78"/>
        <v>510.2989035114287</v>
      </c>
      <c r="K93" s="66"/>
      <c r="L93" s="31" t="s">
        <v>35</v>
      </c>
      <c r="M93" s="91">
        <f t="shared" ref="M93:M95" si="79">O185</f>
        <v>280</v>
      </c>
      <c r="N93" s="79">
        <v>0</v>
      </c>
      <c r="O93" s="90">
        <f t="shared" ref="O93:O95" si="80">SUM(M93:N93)</f>
        <v>280</v>
      </c>
      <c r="P93" s="54">
        <f t="shared" ref="P93:T95" si="81">P185</f>
        <v>294</v>
      </c>
      <c r="Q93" s="54">
        <f t="shared" si="81"/>
        <v>308.7</v>
      </c>
      <c r="R93" s="54">
        <f t="shared" si="81"/>
        <v>324.13499999999999</v>
      </c>
      <c r="S93" s="54">
        <f t="shared" si="81"/>
        <v>340.34175000000005</v>
      </c>
      <c r="T93" s="54">
        <f t="shared" si="81"/>
        <v>357.35883750000011</v>
      </c>
      <c r="V93" s="66"/>
      <c r="W93" s="31" t="s">
        <v>35</v>
      </c>
      <c r="X93" s="91">
        <f t="shared" ref="X93:X95" si="82">Z185</f>
        <v>280</v>
      </c>
      <c r="Y93" s="54">
        <f t="shared" ref="Y93:Y95" si="83">Z274</f>
        <v>114.28571428571429</v>
      </c>
      <c r="Z93" s="90">
        <f t="shared" ref="Z93:Z95" si="84">SUM(X93:Y93)</f>
        <v>394.28571428571428</v>
      </c>
      <c r="AA93" s="54">
        <f t="shared" ref="AA93:AE95" si="85">SUM(AA185,AA274)</f>
        <v>415.14285714285717</v>
      </c>
      <c r="AB93" s="54">
        <f t="shared" si="85"/>
        <v>437.11142857142858</v>
      </c>
      <c r="AC93" s="54">
        <f t="shared" si="85"/>
        <v>460.25111428571427</v>
      </c>
      <c r="AD93" s="54">
        <f t="shared" si="85"/>
        <v>484.62483114285726</v>
      </c>
      <c r="AE93" s="54">
        <f t="shared" si="85"/>
        <v>510.2989035114287</v>
      </c>
    </row>
    <row r="94" spans="2:31" s="81" customFormat="1">
      <c r="B94" s="80"/>
      <c r="C94" s="31" t="s">
        <v>36</v>
      </c>
      <c r="D94" s="54">
        <f>IF($I$27=$H$20,O94,Z94)</f>
        <v>439.28571428571433</v>
      </c>
      <c r="E94" s="54">
        <f t="shared" si="78"/>
        <v>454.7089285714286</v>
      </c>
      <c r="F94" s="54">
        <f t="shared" si="78"/>
        <v>470.54324999999994</v>
      </c>
      <c r="G94" s="54">
        <f t="shared" si="78"/>
        <v>486.78902410714284</v>
      </c>
      <c r="H94" s="54">
        <f t="shared" si="78"/>
        <v>503.44545715714287</v>
      </c>
      <c r="I94" s="54">
        <f t="shared" si="78"/>
        <v>520.51049177073219</v>
      </c>
      <c r="J94" s="31"/>
      <c r="K94" s="80"/>
      <c r="L94" s="31" t="s">
        <v>36</v>
      </c>
      <c r="M94" s="91">
        <f t="shared" si="79"/>
        <v>315</v>
      </c>
      <c r="N94" s="79">
        <v>0</v>
      </c>
      <c r="O94" s="90">
        <f t="shared" si="80"/>
        <v>315</v>
      </c>
      <c r="P94" s="54">
        <f t="shared" si="81"/>
        <v>325.23750000000001</v>
      </c>
      <c r="Q94" s="54">
        <f t="shared" si="81"/>
        <v>335.71124999999995</v>
      </c>
      <c r="R94" s="54">
        <f t="shared" si="81"/>
        <v>346.41928124999998</v>
      </c>
      <c r="S94" s="54">
        <f t="shared" si="81"/>
        <v>357.35883749999999</v>
      </c>
      <c r="T94" s="54">
        <f t="shared" si="81"/>
        <v>368.52630117187505</v>
      </c>
      <c r="U94" s="31"/>
      <c r="V94" s="80"/>
      <c r="W94" s="31" t="s">
        <v>36</v>
      </c>
      <c r="X94" s="91">
        <f t="shared" si="82"/>
        <v>315</v>
      </c>
      <c r="Y94" s="54">
        <f t="shared" si="83"/>
        <v>124.28571428571431</v>
      </c>
      <c r="Z94" s="90">
        <f t="shared" si="84"/>
        <v>439.28571428571433</v>
      </c>
      <c r="AA94" s="54">
        <f t="shared" si="85"/>
        <v>454.7089285714286</v>
      </c>
      <c r="AB94" s="54">
        <f t="shared" si="85"/>
        <v>470.54324999999994</v>
      </c>
      <c r="AC94" s="54">
        <f t="shared" si="85"/>
        <v>486.78902410714284</v>
      </c>
      <c r="AD94" s="54">
        <f t="shared" si="85"/>
        <v>503.44545715714287</v>
      </c>
      <c r="AE94" s="54">
        <f t="shared" si="85"/>
        <v>520.51049177073219</v>
      </c>
    </row>
    <row r="95" spans="2:31">
      <c r="B95" s="66"/>
      <c r="C95" s="31" t="s">
        <v>37</v>
      </c>
      <c r="D95" s="70">
        <f>IF($I$27=$H$20,O95,Z95)</f>
        <v>123.21428571428572</v>
      </c>
      <c r="E95" s="70">
        <f t="shared" si="78"/>
        <v>129.73214285714286</v>
      </c>
      <c r="F95" s="70">
        <f t="shared" si="78"/>
        <v>136.59732142857143</v>
      </c>
      <c r="G95" s="70">
        <f t="shared" si="78"/>
        <v>143.82847321428574</v>
      </c>
      <c r="H95" s="70">
        <f t="shared" si="78"/>
        <v>151.44525973214289</v>
      </c>
      <c r="I95" s="70">
        <f t="shared" si="78"/>
        <v>159.46840734732149</v>
      </c>
      <c r="K95" s="66"/>
      <c r="L95" s="31" t="s">
        <v>37</v>
      </c>
      <c r="M95" s="92">
        <f t="shared" si="79"/>
        <v>87.5</v>
      </c>
      <c r="N95" s="73">
        <v>0</v>
      </c>
      <c r="O95" s="93">
        <f t="shared" si="80"/>
        <v>87.5</v>
      </c>
      <c r="P95" s="70">
        <f t="shared" si="81"/>
        <v>91.875</v>
      </c>
      <c r="Q95" s="70">
        <f t="shared" si="81"/>
        <v>96.46875</v>
      </c>
      <c r="R95" s="70">
        <f t="shared" si="81"/>
        <v>101.29218750000001</v>
      </c>
      <c r="S95" s="70">
        <f t="shared" si="81"/>
        <v>106.35679687500001</v>
      </c>
      <c r="T95" s="70">
        <f t="shared" si="81"/>
        <v>111.67463671875004</v>
      </c>
      <c r="U95" s="81"/>
      <c r="V95" s="66"/>
      <c r="W95" s="31" t="s">
        <v>37</v>
      </c>
      <c r="X95" s="92">
        <f t="shared" si="82"/>
        <v>87.5</v>
      </c>
      <c r="Y95" s="70">
        <f t="shared" si="83"/>
        <v>35.714285714285715</v>
      </c>
      <c r="Z95" s="93">
        <f t="shared" si="84"/>
        <v>123.21428571428572</v>
      </c>
      <c r="AA95" s="70">
        <f t="shared" si="85"/>
        <v>129.73214285714286</v>
      </c>
      <c r="AB95" s="70">
        <f t="shared" si="85"/>
        <v>136.59732142857143</v>
      </c>
      <c r="AC95" s="70">
        <f t="shared" si="85"/>
        <v>143.82847321428574</v>
      </c>
      <c r="AD95" s="70">
        <f t="shared" si="85"/>
        <v>151.44525973214289</v>
      </c>
      <c r="AE95" s="70">
        <f t="shared" si="85"/>
        <v>159.46840734732149</v>
      </c>
    </row>
    <row r="96" spans="2:31">
      <c r="B96" s="66"/>
      <c r="C96" s="31" t="s">
        <v>38</v>
      </c>
      <c r="D96" s="43">
        <f>SUM(D92:D95)</f>
        <v>2091.2270376161591</v>
      </c>
      <c r="E96" s="43">
        <f t="shared" ref="E96:I96" si="86">SUM(E92:E95)</f>
        <v>1856.5236455696324</v>
      </c>
      <c r="F96" s="43">
        <f t="shared" si="86"/>
        <v>1723.8988069657744</v>
      </c>
      <c r="G96" s="43">
        <f t="shared" si="86"/>
        <v>1699.4153980618994</v>
      </c>
      <c r="H96" s="43">
        <f t="shared" si="86"/>
        <v>1789.5683602263907</v>
      </c>
      <c r="I96" s="43">
        <f t="shared" si="86"/>
        <v>2001.3141087203669</v>
      </c>
      <c r="K96" s="66"/>
      <c r="L96" s="31" t="s">
        <v>38</v>
      </c>
      <c r="M96" s="42">
        <f>SUM(M92:M95)</f>
        <v>5231.3482724086134</v>
      </c>
      <c r="N96" s="43">
        <f>SUM(N92:N95)</f>
        <v>-4500</v>
      </c>
      <c r="O96" s="44">
        <f>SUM(O92:O95)</f>
        <v>731.34827240861341</v>
      </c>
      <c r="P96" s="43">
        <f t="shared" ref="P96:T96" si="87">SUM(P92:P95)</f>
        <v>573.3559047309036</v>
      </c>
      <c r="Q96" s="43">
        <f t="shared" si="87"/>
        <v>490.12887019789986</v>
      </c>
      <c r="R96" s="43">
        <f t="shared" si="87"/>
        <v>485.97560749394074</v>
      </c>
      <c r="S96" s="43">
        <f t="shared" si="87"/>
        <v>565.50012590506424</v>
      </c>
      <c r="T96" s="43">
        <f t="shared" si="87"/>
        <v>733.62128518603549</v>
      </c>
      <c r="V96" s="66"/>
      <c r="W96" s="31" t="s">
        <v>38</v>
      </c>
      <c r="X96" s="42">
        <f>SUM(X92:X95)</f>
        <v>5231.3482724086134</v>
      </c>
      <c r="Y96" s="43">
        <f>SUM(Y92:Y95)</f>
        <v>-3140.1212347924543</v>
      </c>
      <c r="Z96" s="44">
        <f>SUM(Z92:Z95)</f>
        <v>2091.2270376161591</v>
      </c>
      <c r="AA96" s="43">
        <f t="shared" ref="AA96:AE96" si="88">SUM(AA92:AA95)</f>
        <v>1856.5236455696324</v>
      </c>
      <c r="AB96" s="43">
        <f t="shared" si="88"/>
        <v>1723.8988069657744</v>
      </c>
      <c r="AC96" s="43">
        <f t="shared" si="88"/>
        <v>1699.4153980618994</v>
      </c>
      <c r="AD96" s="43">
        <f t="shared" si="88"/>
        <v>1789.5683602263907</v>
      </c>
      <c r="AE96" s="43">
        <f t="shared" si="88"/>
        <v>2001.3141087203669</v>
      </c>
    </row>
    <row r="97" spans="2:31">
      <c r="B97" s="66"/>
      <c r="D97" s="43"/>
      <c r="E97" s="43"/>
      <c r="F97" s="43"/>
      <c r="G97" s="43"/>
      <c r="H97" s="43"/>
      <c r="I97" s="43"/>
      <c r="K97" s="66"/>
      <c r="M97" s="42"/>
      <c r="N97" s="43"/>
      <c r="O97" s="44"/>
      <c r="P97" s="43"/>
      <c r="Q97" s="43"/>
      <c r="R97" s="43"/>
      <c r="S97" s="43"/>
      <c r="T97" s="43"/>
      <c r="V97" s="66"/>
      <c r="X97" s="42"/>
      <c r="Y97" s="43"/>
      <c r="Z97" s="44"/>
      <c r="AA97" s="43"/>
      <c r="AB97" s="43"/>
      <c r="AC97" s="43"/>
      <c r="AD97" s="43"/>
      <c r="AE97" s="43"/>
    </row>
    <row r="98" spans="2:31">
      <c r="B98" s="66"/>
      <c r="C98" s="72" t="s">
        <v>82</v>
      </c>
      <c r="D98" s="54">
        <f t="shared" ref="D98:I101" si="89">IF($I$27=$H$20,O98,Z98)</f>
        <v>0</v>
      </c>
      <c r="E98" s="54">
        <f t="shared" si="89"/>
        <v>0</v>
      </c>
      <c r="F98" s="54">
        <f t="shared" si="89"/>
        <v>0</v>
      </c>
      <c r="G98" s="54">
        <f t="shared" si="89"/>
        <v>0</v>
      </c>
      <c r="H98" s="54">
        <f t="shared" si="89"/>
        <v>0</v>
      </c>
      <c r="I98" s="54">
        <f t="shared" si="89"/>
        <v>0</v>
      </c>
      <c r="K98" s="66"/>
      <c r="L98" s="72" t="s">
        <v>82</v>
      </c>
      <c r="M98" s="94">
        <v>0</v>
      </c>
      <c r="N98" s="54">
        <f>-N92</f>
        <v>4500</v>
      </c>
      <c r="O98" s="90">
        <f t="shared" ref="O98:O101" si="90">SUM(M98:N98)</f>
        <v>4500</v>
      </c>
      <c r="P98" s="54">
        <f>O98-P66-P64</f>
        <v>4642.1346899168975</v>
      </c>
      <c r="Q98" s="54">
        <f t="shared" ref="Q98:T98" si="91">P98-Q66-Q64</f>
        <v>4812.7951144174722</v>
      </c>
      <c r="R98" s="54">
        <f t="shared" si="91"/>
        <v>5013.8133682175567</v>
      </c>
      <c r="S98" s="54">
        <f t="shared" si="91"/>
        <v>5247.1629943480675</v>
      </c>
      <c r="T98" s="54">
        <f t="shared" si="91"/>
        <v>5514.9694279606156</v>
      </c>
      <c r="V98" s="66"/>
      <c r="W98" s="72" t="s">
        <v>82</v>
      </c>
      <c r="X98" s="94">
        <v>0</v>
      </c>
      <c r="Y98" s="79">
        <v>0</v>
      </c>
      <c r="Z98" s="90">
        <f t="shared" ref="Z98:Z101" si="92">SUM(X98:Y98)</f>
        <v>0</v>
      </c>
      <c r="AA98" s="54">
        <f>Z98</f>
        <v>0</v>
      </c>
      <c r="AB98" s="54">
        <f t="shared" ref="AB98:AE98" si="93">AA98</f>
        <v>0</v>
      </c>
      <c r="AC98" s="54">
        <f t="shared" si="93"/>
        <v>0</v>
      </c>
      <c r="AD98" s="54">
        <f t="shared" si="93"/>
        <v>0</v>
      </c>
      <c r="AE98" s="54">
        <f t="shared" si="93"/>
        <v>0</v>
      </c>
    </row>
    <row r="99" spans="2:31">
      <c r="B99" s="66"/>
      <c r="C99" s="72" t="s">
        <v>83</v>
      </c>
      <c r="D99" s="54">
        <f t="shared" si="89"/>
        <v>668.13552050674116</v>
      </c>
      <c r="E99" s="54">
        <f t="shared" si="89"/>
        <v>668.13552050674116</v>
      </c>
      <c r="F99" s="54">
        <f t="shared" si="89"/>
        <v>668.13552050674116</v>
      </c>
      <c r="G99" s="54">
        <f t="shared" si="89"/>
        <v>668.13552050674116</v>
      </c>
      <c r="H99" s="54">
        <f t="shared" si="89"/>
        <v>668.13552050674116</v>
      </c>
      <c r="I99" s="54">
        <f t="shared" si="89"/>
        <v>668.13552050674116</v>
      </c>
      <c r="K99" s="66"/>
      <c r="L99" s="72" t="s">
        <v>83</v>
      </c>
      <c r="M99" s="94">
        <v>0</v>
      </c>
      <c r="N99" s="79">
        <v>0</v>
      </c>
      <c r="O99" s="90">
        <f t="shared" si="90"/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V99" s="66"/>
      <c r="W99" s="72" t="s">
        <v>83</v>
      </c>
      <c r="X99" s="94">
        <v>0</v>
      </c>
      <c r="Y99" s="54">
        <f>Y25-Z300</f>
        <v>668.13552050674116</v>
      </c>
      <c r="Z99" s="90">
        <f t="shared" si="92"/>
        <v>668.13552050674116</v>
      </c>
      <c r="AA99" s="54">
        <f>Z99</f>
        <v>668.13552050674116</v>
      </c>
      <c r="AB99" s="54">
        <f>AA99</f>
        <v>668.13552050674116</v>
      </c>
      <c r="AC99" s="54">
        <f>AB99</f>
        <v>668.13552050674116</v>
      </c>
      <c r="AD99" s="54">
        <f>AC99</f>
        <v>668.13552050674116</v>
      </c>
      <c r="AE99" s="54">
        <f>AD99</f>
        <v>668.13552050674116</v>
      </c>
    </row>
    <row r="100" spans="2:31">
      <c r="B100" s="66"/>
      <c r="C100" s="31" t="s">
        <v>39</v>
      </c>
      <c r="D100" s="54">
        <f t="shared" si="89"/>
        <v>14642.857142857141</v>
      </c>
      <c r="E100" s="54">
        <f t="shared" si="89"/>
        <v>14719.939285714285</v>
      </c>
      <c r="F100" s="54">
        <f t="shared" si="89"/>
        <v>14801.095107142857</v>
      </c>
      <c r="G100" s="54">
        <f t="shared" si="89"/>
        <v>14886.541465357142</v>
      </c>
      <c r="H100" s="54">
        <f t="shared" si="89"/>
        <v>14976.506851939284</v>
      </c>
      <c r="I100" s="54">
        <f t="shared" si="89"/>
        <v>15071.232020935107</v>
      </c>
      <c r="K100" s="66"/>
      <c r="L100" s="31" t="s">
        <v>39</v>
      </c>
      <c r="M100" s="91">
        <f>O190</f>
        <v>10500</v>
      </c>
      <c r="N100" s="79">
        <v>0</v>
      </c>
      <c r="O100" s="90">
        <f t="shared" si="90"/>
        <v>10500</v>
      </c>
      <c r="P100" s="54">
        <f t="shared" ref="P100:T101" si="94">P190</f>
        <v>10555.125</v>
      </c>
      <c r="Q100" s="54">
        <f t="shared" si="94"/>
        <v>10613.00625</v>
      </c>
      <c r="R100" s="54">
        <f t="shared" si="94"/>
        <v>10673.7815625</v>
      </c>
      <c r="S100" s="54">
        <f t="shared" si="94"/>
        <v>10737.595640625001</v>
      </c>
      <c r="T100" s="54">
        <f t="shared" si="94"/>
        <v>10804.600422656251</v>
      </c>
      <c r="V100" s="66"/>
      <c r="W100" s="31" t="s">
        <v>39</v>
      </c>
      <c r="X100" s="91">
        <f>Z190</f>
        <v>10500</v>
      </c>
      <c r="Y100" s="54">
        <f>Z279</f>
        <v>4142.8571428571422</v>
      </c>
      <c r="Z100" s="90">
        <f t="shared" si="92"/>
        <v>14642.857142857141</v>
      </c>
      <c r="AA100" s="54">
        <f t="shared" ref="AA100:AE101" si="95">SUM(AA190,AA279)</f>
        <v>14719.939285714285</v>
      </c>
      <c r="AB100" s="54">
        <f t="shared" si="95"/>
        <v>14801.095107142857</v>
      </c>
      <c r="AC100" s="54">
        <f t="shared" si="95"/>
        <v>14886.541465357142</v>
      </c>
      <c r="AD100" s="54">
        <f t="shared" si="95"/>
        <v>14976.506851939284</v>
      </c>
      <c r="AE100" s="54">
        <f t="shared" si="95"/>
        <v>15071.232020935107</v>
      </c>
    </row>
    <row r="101" spans="2:31">
      <c r="B101" s="66"/>
      <c r="C101" s="31" t="s">
        <v>37</v>
      </c>
      <c r="D101" s="70">
        <f t="shared" si="89"/>
        <v>16</v>
      </c>
      <c r="E101" s="70">
        <f t="shared" si="89"/>
        <v>16</v>
      </c>
      <c r="F101" s="70">
        <f t="shared" si="89"/>
        <v>16</v>
      </c>
      <c r="G101" s="70">
        <f t="shared" si="89"/>
        <v>16</v>
      </c>
      <c r="H101" s="70">
        <f t="shared" si="89"/>
        <v>16</v>
      </c>
      <c r="I101" s="70">
        <f t="shared" si="89"/>
        <v>16</v>
      </c>
      <c r="K101" s="66"/>
      <c r="L101" s="31" t="s">
        <v>37</v>
      </c>
      <c r="M101" s="92">
        <f>O191</f>
        <v>4</v>
      </c>
      <c r="N101" s="73">
        <v>0</v>
      </c>
      <c r="O101" s="93">
        <f t="shared" si="90"/>
        <v>4</v>
      </c>
      <c r="P101" s="70">
        <f t="shared" si="94"/>
        <v>4</v>
      </c>
      <c r="Q101" s="70">
        <f t="shared" si="94"/>
        <v>4</v>
      </c>
      <c r="R101" s="70">
        <f t="shared" si="94"/>
        <v>4</v>
      </c>
      <c r="S101" s="70">
        <f t="shared" si="94"/>
        <v>4</v>
      </c>
      <c r="T101" s="70">
        <f t="shared" si="94"/>
        <v>4</v>
      </c>
      <c r="V101" s="66"/>
      <c r="W101" s="31" t="s">
        <v>37</v>
      </c>
      <c r="X101" s="92">
        <f>Z191</f>
        <v>4</v>
      </c>
      <c r="Y101" s="70">
        <f>Z280</f>
        <v>12</v>
      </c>
      <c r="Z101" s="93">
        <f t="shared" si="92"/>
        <v>16</v>
      </c>
      <c r="AA101" s="70">
        <f t="shared" si="95"/>
        <v>16</v>
      </c>
      <c r="AB101" s="70">
        <f t="shared" si="95"/>
        <v>16</v>
      </c>
      <c r="AC101" s="70">
        <f t="shared" si="95"/>
        <v>16</v>
      </c>
      <c r="AD101" s="70">
        <f t="shared" si="95"/>
        <v>16</v>
      </c>
      <c r="AE101" s="70">
        <f t="shared" si="95"/>
        <v>16</v>
      </c>
    </row>
    <row r="102" spans="2:31">
      <c r="B102" s="66"/>
      <c r="C102" s="31" t="s">
        <v>40</v>
      </c>
      <c r="D102" s="43">
        <f>SUM(D98:D101)</f>
        <v>15326.992663363882</v>
      </c>
      <c r="E102" s="43">
        <f t="shared" ref="E102:I102" si="96">SUM(E98:E101)</f>
        <v>15404.074806221026</v>
      </c>
      <c r="F102" s="43">
        <f t="shared" si="96"/>
        <v>15485.230627649598</v>
      </c>
      <c r="G102" s="43">
        <f t="shared" si="96"/>
        <v>15570.676985863884</v>
      </c>
      <c r="H102" s="43">
        <f t="shared" si="96"/>
        <v>15660.642372446026</v>
      </c>
      <c r="I102" s="43">
        <f t="shared" si="96"/>
        <v>15755.367541441849</v>
      </c>
      <c r="K102" s="66"/>
      <c r="L102" s="31" t="s">
        <v>40</v>
      </c>
      <c r="M102" s="42">
        <f t="shared" ref="M102" si="97">SUM(M98:M101)</f>
        <v>10504</v>
      </c>
      <c r="N102" s="43">
        <f>SUM(N98:N101)</f>
        <v>4500</v>
      </c>
      <c r="O102" s="44">
        <f t="shared" ref="O102:T102" si="98">SUM(O98:O101)</f>
        <v>15004</v>
      </c>
      <c r="P102" s="43">
        <f t="shared" si="98"/>
        <v>15201.259689916897</v>
      </c>
      <c r="Q102" s="43">
        <f t="shared" si="98"/>
        <v>15429.801364417472</v>
      </c>
      <c r="R102" s="43">
        <f t="shared" si="98"/>
        <v>15691.594930717558</v>
      </c>
      <c r="S102" s="43">
        <f t="shared" si="98"/>
        <v>15988.758634973068</v>
      </c>
      <c r="T102" s="43">
        <f t="shared" si="98"/>
        <v>16323.569850616866</v>
      </c>
      <c r="V102" s="66"/>
      <c r="W102" s="31" t="s">
        <v>40</v>
      </c>
      <c r="X102" s="42">
        <f t="shared" ref="X102" si="99">SUM(X98:X101)</f>
        <v>10504</v>
      </c>
      <c r="Y102" s="43">
        <f>SUM(Y98:Y101)</f>
        <v>4822.9926633638834</v>
      </c>
      <c r="Z102" s="44">
        <f t="shared" ref="Z102:AE102" si="100">SUM(Z98:Z101)</f>
        <v>15326.992663363882</v>
      </c>
      <c r="AA102" s="54">
        <f t="shared" si="100"/>
        <v>15404.074806221026</v>
      </c>
      <c r="AB102" s="54">
        <f t="shared" si="100"/>
        <v>15485.230627649598</v>
      </c>
      <c r="AC102" s="54">
        <f t="shared" si="100"/>
        <v>15570.676985863884</v>
      </c>
      <c r="AD102" s="54">
        <f t="shared" si="100"/>
        <v>15660.642372446026</v>
      </c>
      <c r="AE102" s="54">
        <f t="shared" si="100"/>
        <v>15755.367541441849</v>
      </c>
    </row>
    <row r="103" spans="2:31">
      <c r="B103" s="66"/>
      <c r="D103" s="43"/>
      <c r="E103" s="43"/>
      <c r="F103" s="43"/>
      <c r="G103" s="43"/>
      <c r="H103" s="43"/>
      <c r="I103" s="43"/>
      <c r="K103" s="66"/>
      <c r="M103" s="42"/>
      <c r="N103" s="43"/>
      <c r="O103" s="44"/>
      <c r="P103" s="43"/>
      <c r="Q103" s="43"/>
      <c r="R103" s="43"/>
      <c r="S103" s="43"/>
      <c r="T103" s="43"/>
      <c r="V103" s="66"/>
      <c r="X103" s="42"/>
      <c r="Y103" s="43"/>
      <c r="Z103" s="44"/>
      <c r="AA103" s="43"/>
      <c r="AB103" s="43"/>
      <c r="AC103" s="43"/>
      <c r="AD103" s="43"/>
      <c r="AE103" s="43"/>
    </row>
    <row r="104" spans="2:31">
      <c r="B104" s="66"/>
      <c r="C104" s="74" t="s">
        <v>41</v>
      </c>
      <c r="D104" s="95">
        <f t="shared" ref="D104:I104" si="101">D96+D102</f>
        <v>17418.21970098004</v>
      </c>
      <c r="E104" s="95">
        <f t="shared" si="101"/>
        <v>17260.598451790658</v>
      </c>
      <c r="F104" s="95">
        <f t="shared" si="101"/>
        <v>17209.129434615374</v>
      </c>
      <c r="G104" s="95">
        <f t="shared" si="101"/>
        <v>17270.092383925781</v>
      </c>
      <c r="H104" s="95">
        <f t="shared" si="101"/>
        <v>17450.210732672414</v>
      </c>
      <c r="I104" s="95">
        <f t="shared" si="101"/>
        <v>17756.681650162216</v>
      </c>
      <c r="K104" s="66"/>
      <c r="L104" s="74" t="s">
        <v>41</v>
      </c>
      <c r="M104" s="96">
        <f t="shared" ref="M104:T104" si="102">M96+M102</f>
        <v>15735.348272408613</v>
      </c>
      <c r="N104" s="95">
        <f t="shared" si="102"/>
        <v>0</v>
      </c>
      <c r="O104" s="97">
        <f t="shared" si="102"/>
        <v>15735.348272408613</v>
      </c>
      <c r="P104" s="95">
        <f t="shared" si="102"/>
        <v>15774.615594647799</v>
      </c>
      <c r="Q104" s="95">
        <f t="shared" si="102"/>
        <v>15919.930234615371</v>
      </c>
      <c r="R104" s="95">
        <f t="shared" si="102"/>
        <v>16177.570538211499</v>
      </c>
      <c r="S104" s="95">
        <f t="shared" si="102"/>
        <v>16554.258760878132</v>
      </c>
      <c r="T104" s="95">
        <f t="shared" si="102"/>
        <v>17057.191135802903</v>
      </c>
      <c r="V104" s="66"/>
      <c r="W104" s="74" t="s">
        <v>41</v>
      </c>
      <c r="X104" s="96">
        <f t="shared" ref="X104:AE104" si="103">X96+X102</f>
        <v>15735.348272408613</v>
      </c>
      <c r="Y104" s="95">
        <f t="shared" si="103"/>
        <v>1682.8714285714291</v>
      </c>
      <c r="Z104" s="97">
        <f t="shared" si="103"/>
        <v>17418.21970098004</v>
      </c>
      <c r="AA104" s="95">
        <f t="shared" si="103"/>
        <v>17260.598451790658</v>
      </c>
      <c r="AB104" s="95">
        <f t="shared" si="103"/>
        <v>17209.129434615374</v>
      </c>
      <c r="AC104" s="95">
        <f t="shared" si="103"/>
        <v>17270.092383925781</v>
      </c>
      <c r="AD104" s="95">
        <f t="shared" si="103"/>
        <v>17450.210732672414</v>
      </c>
      <c r="AE104" s="95">
        <f t="shared" si="103"/>
        <v>17756.681650162216</v>
      </c>
    </row>
    <row r="105" spans="2:31">
      <c r="B105" s="66"/>
      <c r="D105" s="43"/>
      <c r="E105" s="43"/>
      <c r="F105" s="43"/>
      <c r="G105" s="43"/>
      <c r="H105" s="43"/>
      <c r="I105" s="43"/>
      <c r="K105" s="66"/>
      <c r="M105" s="42"/>
      <c r="N105" s="43"/>
      <c r="O105" s="44"/>
      <c r="P105" s="43"/>
      <c r="Q105" s="43"/>
      <c r="R105" s="43"/>
      <c r="S105" s="43"/>
      <c r="T105" s="43"/>
      <c r="V105" s="66"/>
      <c r="X105" s="42"/>
      <c r="Y105" s="43"/>
      <c r="Z105" s="44"/>
      <c r="AA105" s="82"/>
      <c r="AB105" s="82"/>
      <c r="AC105" s="82"/>
      <c r="AD105" s="82"/>
      <c r="AE105" s="82"/>
    </row>
    <row r="106" spans="2:31">
      <c r="B106" s="66"/>
      <c r="C106" s="74" t="s">
        <v>42</v>
      </c>
      <c r="D106" s="43"/>
      <c r="E106" s="43"/>
      <c r="F106" s="43"/>
      <c r="G106" s="43"/>
      <c r="H106" s="43"/>
      <c r="I106" s="43"/>
      <c r="K106" s="66"/>
      <c r="L106" s="74" t="s">
        <v>42</v>
      </c>
      <c r="M106" s="42"/>
      <c r="N106" s="43"/>
      <c r="O106" s="44"/>
      <c r="P106" s="43"/>
      <c r="Q106" s="43"/>
      <c r="R106" s="43"/>
      <c r="S106" s="43"/>
      <c r="T106" s="43"/>
      <c r="V106" s="66"/>
      <c r="W106" s="74" t="s">
        <v>42</v>
      </c>
      <c r="X106" s="42"/>
      <c r="Y106" s="43"/>
      <c r="Z106" s="44"/>
      <c r="AA106" s="43"/>
      <c r="AB106" s="43"/>
      <c r="AC106" s="43"/>
      <c r="AD106" s="43"/>
      <c r="AE106" s="43"/>
    </row>
    <row r="107" spans="2:31">
      <c r="B107" s="66"/>
      <c r="C107" s="31" t="s">
        <v>43</v>
      </c>
      <c r="D107" s="54">
        <f t="shared" ref="D107:I109" si="104">IF($I$27=$H$20,O107,Z107)</f>
        <v>263.57142857142856</v>
      </c>
      <c r="E107" s="54">
        <f t="shared" si="104"/>
        <v>272.82535714285711</v>
      </c>
      <c r="F107" s="54">
        <f t="shared" si="104"/>
        <v>282.32594999999998</v>
      </c>
      <c r="G107" s="54">
        <f t="shared" si="104"/>
        <v>292.07341446428575</v>
      </c>
      <c r="H107" s="54">
        <f t="shared" si="104"/>
        <v>302.06727429428571</v>
      </c>
      <c r="I107" s="54">
        <f t="shared" si="104"/>
        <v>312.30629506243935</v>
      </c>
      <c r="K107" s="66"/>
      <c r="L107" s="31" t="s">
        <v>43</v>
      </c>
      <c r="M107" s="91">
        <f>O197</f>
        <v>189</v>
      </c>
      <c r="N107" s="79">
        <v>0</v>
      </c>
      <c r="O107" s="90">
        <f t="shared" ref="O107:O109" si="105">SUM(M107:N107)</f>
        <v>189</v>
      </c>
      <c r="P107" s="54">
        <f t="shared" ref="P107:T109" si="106">P197</f>
        <v>195.14249999999998</v>
      </c>
      <c r="Q107" s="54">
        <f t="shared" si="106"/>
        <v>201.42674999999997</v>
      </c>
      <c r="R107" s="54">
        <f t="shared" si="106"/>
        <v>207.85156874999998</v>
      </c>
      <c r="S107" s="54">
        <f t="shared" si="106"/>
        <v>214.41530249999997</v>
      </c>
      <c r="T107" s="54">
        <f t="shared" si="106"/>
        <v>221.11578070312504</v>
      </c>
      <c r="V107" s="66"/>
      <c r="W107" s="31" t="s">
        <v>43</v>
      </c>
      <c r="X107" s="91">
        <f>Z197</f>
        <v>189</v>
      </c>
      <c r="Y107" s="54">
        <f>Z286</f>
        <v>74.571428571428584</v>
      </c>
      <c r="Z107" s="90">
        <f t="shared" ref="Z107:Z109" si="107">SUM(X107:Y107)</f>
        <v>263.57142857142856</v>
      </c>
      <c r="AA107" s="54">
        <f t="shared" ref="AA107:AE109" si="108">SUM(AA197,AA286)</f>
        <v>272.82535714285711</v>
      </c>
      <c r="AB107" s="54">
        <f t="shared" si="108"/>
        <v>282.32594999999998</v>
      </c>
      <c r="AC107" s="54">
        <f t="shared" si="108"/>
        <v>292.07341446428575</v>
      </c>
      <c r="AD107" s="54">
        <f t="shared" si="108"/>
        <v>302.06727429428571</v>
      </c>
      <c r="AE107" s="54">
        <f t="shared" si="108"/>
        <v>312.30629506243935</v>
      </c>
    </row>
    <row r="108" spans="2:31">
      <c r="B108" s="66"/>
      <c r="C108" s="31" t="s">
        <v>44</v>
      </c>
      <c r="D108" s="54">
        <f t="shared" si="104"/>
        <v>700</v>
      </c>
      <c r="E108" s="54">
        <f t="shared" si="104"/>
        <v>700</v>
      </c>
      <c r="F108" s="54">
        <f t="shared" si="104"/>
        <v>700</v>
      </c>
      <c r="G108" s="54">
        <f t="shared" si="104"/>
        <v>700</v>
      </c>
      <c r="H108" s="54">
        <f t="shared" si="104"/>
        <v>700</v>
      </c>
      <c r="I108" s="54">
        <f t="shared" si="104"/>
        <v>700</v>
      </c>
      <c r="K108" s="66"/>
      <c r="L108" s="31" t="s">
        <v>44</v>
      </c>
      <c r="M108" s="91">
        <f t="shared" ref="M108:M109" si="109">O198</f>
        <v>500</v>
      </c>
      <c r="N108" s="79">
        <v>0</v>
      </c>
      <c r="O108" s="90">
        <f t="shared" si="105"/>
        <v>500</v>
      </c>
      <c r="P108" s="54">
        <f t="shared" si="106"/>
        <v>500</v>
      </c>
      <c r="Q108" s="54">
        <f t="shared" si="106"/>
        <v>500</v>
      </c>
      <c r="R108" s="54">
        <f t="shared" si="106"/>
        <v>500</v>
      </c>
      <c r="S108" s="54">
        <f t="shared" si="106"/>
        <v>500</v>
      </c>
      <c r="T108" s="54">
        <f t="shared" si="106"/>
        <v>500</v>
      </c>
      <c r="V108" s="66"/>
      <c r="W108" s="31" t="s">
        <v>44</v>
      </c>
      <c r="X108" s="91">
        <f t="shared" ref="X108:X109" si="110">Z198</f>
        <v>500</v>
      </c>
      <c r="Y108" s="54">
        <f t="shared" ref="Y108:Y109" si="111">Z287</f>
        <v>200</v>
      </c>
      <c r="Z108" s="90">
        <f t="shared" si="107"/>
        <v>700</v>
      </c>
      <c r="AA108" s="54">
        <f t="shared" si="108"/>
        <v>700</v>
      </c>
      <c r="AB108" s="54">
        <f t="shared" si="108"/>
        <v>700</v>
      </c>
      <c r="AC108" s="54">
        <f t="shared" si="108"/>
        <v>700</v>
      </c>
      <c r="AD108" s="54">
        <f t="shared" si="108"/>
        <v>700</v>
      </c>
      <c r="AE108" s="54">
        <f t="shared" si="108"/>
        <v>700</v>
      </c>
    </row>
    <row r="109" spans="2:31">
      <c r="B109" s="66"/>
      <c r="C109" s="31" t="s">
        <v>37</v>
      </c>
      <c r="D109" s="70">
        <f t="shared" si="104"/>
        <v>6.6</v>
      </c>
      <c r="E109" s="70">
        <f t="shared" si="104"/>
        <v>6.6</v>
      </c>
      <c r="F109" s="70">
        <f t="shared" si="104"/>
        <v>6.6</v>
      </c>
      <c r="G109" s="70">
        <f t="shared" si="104"/>
        <v>6.6</v>
      </c>
      <c r="H109" s="70">
        <f t="shared" si="104"/>
        <v>6.6</v>
      </c>
      <c r="I109" s="70">
        <f t="shared" si="104"/>
        <v>6.6</v>
      </c>
      <c r="K109" s="66"/>
      <c r="L109" s="31" t="s">
        <v>37</v>
      </c>
      <c r="M109" s="92">
        <f t="shared" si="109"/>
        <v>0.3</v>
      </c>
      <c r="N109" s="73">
        <v>0</v>
      </c>
      <c r="O109" s="93">
        <f t="shared" si="105"/>
        <v>0.3</v>
      </c>
      <c r="P109" s="70">
        <f t="shared" si="106"/>
        <v>0.3</v>
      </c>
      <c r="Q109" s="70">
        <f t="shared" si="106"/>
        <v>0.3</v>
      </c>
      <c r="R109" s="70">
        <f t="shared" si="106"/>
        <v>0.3</v>
      </c>
      <c r="S109" s="70">
        <f t="shared" si="106"/>
        <v>0.3</v>
      </c>
      <c r="T109" s="70">
        <f t="shared" si="106"/>
        <v>0.3</v>
      </c>
      <c r="V109" s="66"/>
      <c r="W109" s="31" t="s">
        <v>37</v>
      </c>
      <c r="X109" s="92">
        <f t="shared" si="110"/>
        <v>0.3</v>
      </c>
      <c r="Y109" s="70">
        <f t="shared" si="111"/>
        <v>6.3</v>
      </c>
      <c r="Z109" s="93">
        <f t="shared" si="107"/>
        <v>6.6</v>
      </c>
      <c r="AA109" s="70">
        <f t="shared" si="108"/>
        <v>6.6</v>
      </c>
      <c r="AB109" s="70">
        <f t="shared" si="108"/>
        <v>6.6</v>
      </c>
      <c r="AC109" s="70">
        <f t="shared" si="108"/>
        <v>6.6</v>
      </c>
      <c r="AD109" s="70">
        <f t="shared" si="108"/>
        <v>6.6</v>
      </c>
      <c r="AE109" s="70">
        <f t="shared" si="108"/>
        <v>6.6</v>
      </c>
    </row>
    <row r="110" spans="2:31">
      <c r="B110" s="66"/>
      <c r="C110" s="31" t="s">
        <v>45</v>
      </c>
      <c r="D110" s="54">
        <f>SUM(D107:D109)</f>
        <v>970.17142857142858</v>
      </c>
      <c r="E110" s="54">
        <f t="shared" ref="E110:I110" si="112">SUM(E107:E109)</f>
        <v>979.42535714285714</v>
      </c>
      <c r="F110" s="54">
        <f t="shared" si="112"/>
        <v>988.92594999999994</v>
      </c>
      <c r="G110" s="54">
        <f t="shared" si="112"/>
        <v>998.67341446428577</v>
      </c>
      <c r="H110" s="54">
        <f t="shared" si="112"/>
        <v>1008.6672742942857</v>
      </c>
      <c r="I110" s="54">
        <f t="shared" si="112"/>
        <v>1018.9062950624394</v>
      </c>
      <c r="K110" s="66"/>
      <c r="L110" s="31" t="s">
        <v>45</v>
      </c>
      <c r="M110" s="91">
        <f>SUM(M107:M109)</f>
        <v>689.3</v>
      </c>
      <c r="N110" s="54">
        <f>SUM(N107:N109)</f>
        <v>0</v>
      </c>
      <c r="O110" s="90">
        <f>SUM(O107:O109)</f>
        <v>689.3</v>
      </c>
      <c r="P110" s="54">
        <f t="shared" ref="P110:T110" si="113">SUM(P107:P109)</f>
        <v>695.44249999999988</v>
      </c>
      <c r="Q110" s="54">
        <f t="shared" si="113"/>
        <v>701.72674999999992</v>
      </c>
      <c r="R110" s="54">
        <f t="shared" si="113"/>
        <v>708.15156874999991</v>
      </c>
      <c r="S110" s="54">
        <f t="shared" si="113"/>
        <v>714.71530249999989</v>
      </c>
      <c r="T110" s="54">
        <f t="shared" si="113"/>
        <v>721.41578070312494</v>
      </c>
      <c r="V110" s="66"/>
      <c r="W110" s="31" t="s">
        <v>45</v>
      </c>
      <c r="X110" s="91">
        <f>SUM(X107:X109)</f>
        <v>689.3</v>
      </c>
      <c r="Y110" s="54">
        <f>SUM(Y107:Y109)</f>
        <v>280.87142857142857</v>
      </c>
      <c r="Z110" s="90">
        <f>SUM(Z107:Z109)</f>
        <v>970.17142857142858</v>
      </c>
      <c r="AA110" s="54">
        <f t="shared" ref="AA110:AE110" si="114">SUM(AA107:AA109)</f>
        <v>979.42535714285714</v>
      </c>
      <c r="AB110" s="54">
        <f t="shared" si="114"/>
        <v>988.92594999999994</v>
      </c>
      <c r="AC110" s="54">
        <f t="shared" si="114"/>
        <v>998.67341446428577</v>
      </c>
      <c r="AD110" s="54">
        <f t="shared" si="114"/>
        <v>1008.6672742942857</v>
      </c>
      <c r="AE110" s="54">
        <f t="shared" si="114"/>
        <v>1018.9062950624394</v>
      </c>
    </row>
    <row r="111" spans="2:31">
      <c r="B111" s="66"/>
      <c r="D111" s="43"/>
      <c r="E111" s="43"/>
      <c r="F111" s="43"/>
      <c r="G111" s="43"/>
      <c r="H111" s="43"/>
      <c r="I111" s="43"/>
      <c r="K111" s="66"/>
      <c r="M111" s="42"/>
      <c r="N111" s="43"/>
      <c r="O111" s="44"/>
      <c r="P111" s="43"/>
      <c r="Q111" s="43"/>
      <c r="R111" s="43"/>
      <c r="S111" s="43"/>
      <c r="T111" s="43"/>
      <c r="V111" s="66"/>
      <c r="X111" s="42"/>
      <c r="Y111" s="43"/>
      <c r="Z111" s="44"/>
      <c r="AA111" s="43"/>
      <c r="AB111" s="43"/>
      <c r="AC111" s="43"/>
      <c r="AD111" s="43"/>
      <c r="AE111" s="43"/>
    </row>
    <row r="112" spans="2:31">
      <c r="B112" s="66"/>
      <c r="C112" s="31" t="s">
        <v>46</v>
      </c>
      <c r="D112" s="54">
        <f t="shared" ref="D112:I113" si="115">IF($I$27=$H$20,O112,Z112)</f>
        <v>4900</v>
      </c>
      <c r="E112" s="54">
        <f t="shared" si="115"/>
        <v>4200</v>
      </c>
      <c r="F112" s="54">
        <f t="shared" si="115"/>
        <v>3500</v>
      </c>
      <c r="G112" s="54">
        <f t="shared" si="115"/>
        <v>2800</v>
      </c>
      <c r="H112" s="54">
        <f t="shared" si="115"/>
        <v>2100</v>
      </c>
      <c r="I112" s="54">
        <f t="shared" si="115"/>
        <v>1400</v>
      </c>
      <c r="K112" s="66"/>
      <c r="L112" s="31" t="s">
        <v>46</v>
      </c>
      <c r="M112" s="91">
        <f>O202</f>
        <v>3500</v>
      </c>
      <c r="N112" s="79">
        <v>0</v>
      </c>
      <c r="O112" s="90">
        <f t="shared" ref="O112:O113" si="116">SUM(M112:N112)</f>
        <v>3500</v>
      </c>
      <c r="P112" s="54">
        <f t="shared" ref="P112:T113" si="117">P202</f>
        <v>3000</v>
      </c>
      <c r="Q112" s="54">
        <f t="shared" si="117"/>
        <v>2500</v>
      </c>
      <c r="R112" s="54">
        <f t="shared" si="117"/>
        <v>2000</v>
      </c>
      <c r="S112" s="54">
        <f t="shared" si="117"/>
        <v>1500</v>
      </c>
      <c r="T112" s="54">
        <f t="shared" si="117"/>
        <v>1000</v>
      </c>
      <c r="V112" s="66"/>
      <c r="W112" s="31" t="s">
        <v>46</v>
      </c>
      <c r="X112" s="91">
        <f>Z202</f>
        <v>3500</v>
      </c>
      <c r="Y112" s="54">
        <f t="shared" ref="Y112:Y113" si="118">Z291</f>
        <v>1400</v>
      </c>
      <c r="Z112" s="90">
        <f t="shared" ref="Z112:Z113" si="119">SUM(X112:Y112)</f>
        <v>4900</v>
      </c>
      <c r="AA112" s="54">
        <f t="shared" ref="AA112:AE113" si="120">SUM(AA202,AA291)</f>
        <v>4200</v>
      </c>
      <c r="AB112" s="54">
        <f t="shared" si="120"/>
        <v>3500</v>
      </c>
      <c r="AC112" s="54">
        <f t="shared" si="120"/>
        <v>2800</v>
      </c>
      <c r="AD112" s="54">
        <f t="shared" si="120"/>
        <v>2100</v>
      </c>
      <c r="AE112" s="54">
        <f t="shared" si="120"/>
        <v>1400</v>
      </c>
    </row>
    <row r="113" spans="2:32">
      <c r="B113" s="66"/>
      <c r="C113" s="31" t="s">
        <v>37</v>
      </c>
      <c r="D113" s="70">
        <f t="shared" si="115"/>
        <v>3.1</v>
      </c>
      <c r="E113" s="70">
        <f t="shared" si="115"/>
        <v>3.1</v>
      </c>
      <c r="F113" s="70">
        <f t="shared" si="115"/>
        <v>3.1</v>
      </c>
      <c r="G113" s="70">
        <f t="shared" si="115"/>
        <v>3.1</v>
      </c>
      <c r="H113" s="70">
        <f t="shared" si="115"/>
        <v>3.1</v>
      </c>
      <c r="I113" s="70">
        <f t="shared" si="115"/>
        <v>3.1</v>
      </c>
      <c r="K113" s="66"/>
      <c r="L113" s="31" t="s">
        <v>37</v>
      </c>
      <c r="M113" s="92">
        <f>O203</f>
        <v>1.1000000000000001</v>
      </c>
      <c r="N113" s="73">
        <v>0</v>
      </c>
      <c r="O113" s="93">
        <f t="shared" si="116"/>
        <v>1.1000000000000001</v>
      </c>
      <c r="P113" s="70">
        <f t="shared" si="117"/>
        <v>1.1000000000000001</v>
      </c>
      <c r="Q113" s="70">
        <f t="shared" si="117"/>
        <v>1.1000000000000001</v>
      </c>
      <c r="R113" s="70">
        <f t="shared" si="117"/>
        <v>1.1000000000000001</v>
      </c>
      <c r="S113" s="70">
        <f t="shared" si="117"/>
        <v>1.1000000000000001</v>
      </c>
      <c r="T113" s="70">
        <f t="shared" si="117"/>
        <v>1.1000000000000001</v>
      </c>
      <c r="V113" s="66"/>
      <c r="W113" s="31" t="s">
        <v>37</v>
      </c>
      <c r="X113" s="92">
        <f>Z203</f>
        <v>1.1000000000000001</v>
      </c>
      <c r="Y113" s="70">
        <f t="shared" si="118"/>
        <v>2</v>
      </c>
      <c r="Z113" s="93">
        <f t="shared" si="119"/>
        <v>3.1</v>
      </c>
      <c r="AA113" s="70">
        <f t="shared" si="120"/>
        <v>3.1</v>
      </c>
      <c r="AB113" s="70">
        <f t="shared" si="120"/>
        <v>3.1</v>
      </c>
      <c r="AC113" s="70">
        <f t="shared" si="120"/>
        <v>3.1</v>
      </c>
      <c r="AD113" s="70">
        <f t="shared" si="120"/>
        <v>3.1</v>
      </c>
      <c r="AE113" s="70">
        <f t="shared" si="120"/>
        <v>3.1</v>
      </c>
      <c r="AF113" s="82"/>
    </row>
    <row r="114" spans="2:32">
      <c r="B114" s="66"/>
      <c r="C114" s="31" t="s">
        <v>47</v>
      </c>
      <c r="D114" s="54">
        <f t="shared" ref="D114:I114" si="121">SUM(D112:D113)</f>
        <v>4903.1000000000004</v>
      </c>
      <c r="E114" s="54">
        <f t="shared" si="121"/>
        <v>4203.1000000000004</v>
      </c>
      <c r="F114" s="54">
        <f t="shared" si="121"/>
        <v>3503.1</v>
      </c>
      <c r="G114" s="54">
        <f t="shared" si="121"/>
        <v>2803.1</v>
      </c>
      <c r="H114" s="54">
        <f t="shared" si="121"/>
        <v>2103.1</v>
      </c>
      <c r="I114" s="54">
        <f t="shared" si="121"/>
        <v>1403.1</v>
      </c>
      <c r="K114" s="66"/>
      <c r="L114" s="31" t="s">
        <v>47</v>
      </c>
      <c r="M114" s="91">
        <f t="shared" ref="M114:T114" si="122">SUM(M112:M113)</f>
        <v>3501.1</v>
      </c>
      <c r="N114" s="54">
        <f t="shared" si="122"/>
        <v>0</v>
      </c>
      <c r="O114" s="90">
        <f t="shared" si="122"/>
        <v>3501.1</v>
      </c>
      <c r="P114" s="54">
        <f t="shared" si="122"/>
        <v>3001.1</v>
      </c>
      <c r="Q114" s="54">
        <f t="shared" si="122"/>
        <v>2501.1</v>
      </c>
      <c r="R114" s="54">
        <f t="shared" si="122"/>
        <v>2001.1</v>
      </c>
      <c r="S114" s="54">
        <f t="shared" si="122"/>
        <v>1501.1</v>
      </c>
      <c r="T114" s="54">
        <f t="shared" si="122"/>
        <v>1001.1</v>
      </c>
      <c r="V114" s="66"/>
      <c r="W114" s="31" t="s">
        <v>47</v>
      </c>
      <c r="X114" s="91">
        <f t="shared" ref="X114:AE114" si="123">SUM(X112:X113)</f>
        <v>3501.1</v>
      </c>
      <c r="Y114" s="54">
        <f t="shared" si="123"/>
        <v>1402</v>
      </c>
      <c r="Z114" s="90">
        <f t="shared" si="123"/>
        <v>4903.1000000000004</v>
      </c>
      <c r="AA114" s="54">
        <f t="shared" si="123"/>
        <v>4203.1000000000004</v>
      </c>
      <c r="AB114" s="54">
        <f t="shared" si="123"/>
        <v>3503.1</v>
      </c>
      <c r="AC114" s="54">
        <f t="shared" si="123"/>
        <v>2803.1</v>
      </c>
      <c r="AD114" s="54">
        <f t="shared" si="123"/>
        <v>2103.1</v>
      </c>
      <c r="AE114" s="54">
        <f t="shared" si="123"/>
        <v>1403.1</v>
      </c>
    </row>
    <row r="115" spans="2:32">
      <c r="B115" s="66"/>
      <c r="D115" s="43"/>
      <c r="E115" s="43"/>
      <c r="F115" s="43"/>
      <c r="G115" s="43"/>
      <c r="H115" s="43"/>
      <c r="I115" s="43"/>
      <c r="K115" s="66"/>
      <c r="M115" s="42"/>
      <c r="N115" s="43"/>
      <c r="O115" s="44"/>
      <c r="P115" s="43"/>
      <c r="Q115" s="43"/>
      <c r="R115" s="43"/>
      <c r="S115" s="43"/>
      <c r="T115" s="43"/>
      <c r="V115" s="80"/>
      <c r="X115" s="42"/>
      <c r="Y115" s="43"/>
      <c r="Z115" s="44"/>
      <c r="AA115" s="43"/>
      <c r="AB115" s="43"/>
      <c r="AC115" s="43"/>
      <c r="AD115" s="43"/>
      <c r="AE115" s="43"/>
    </row>
    <row r="116" spans="2:32" s="74" customFormat="1">
      <c r="B116" s="98"/>
      <c r="C116" s="74" t="s">
        <v>48</v>
      </c>
      <c r="D116" s="95">
        <f>D110+D114</f>
        <v>5873.2714285714292</v>
      </c>
      <c r="E116" s="95">
        <f t="shared" ref="E116:I116" si="124">E110+E114</f>
        <v>5182.5253571428575</v>
      </c>
      <c r="F116" s="95">
        <f t="shared" si="124"/>
        <v>4492.0259500000002</v>
      </c>
      <c r="G116" s="95">
        <f t="shared" si="124"/>
        <v>3801.7734144642855</v>
      </c>
      <c r="H116" s="95">
        <f t="shared" si="124"/>
        <v>3111.7672742942855</v>
      </c>
      <c r="I116" s="95">
        <f t="shared" si="124"/>
        <v>2422.0062950624392</v>
      </c>
      <c r="J116" s="31"/>
      <c r="K116" s="98"/>
      <c r="L116" s="74" t="s">
        <v>48</v>
      </c>
      <c r="M116" s="96">
        <f>M110+M114</f>
        <v>4190.3999999999996</v>
      </c>
      <c r="N116" s="95">
        <f>N110+N114</f>
        <v>0</v>
      </c>
      <c r="O116" s="97">
        <f>O110+O114</f>
        <v>4190.3999999999996</v>
      </c>
      <c r="P116" s="95">
        <f t="shared" ref="P116:T116" si="125">P110+P114</f>
        <v>3696.5424999999996</v>
      </c>
      <c r="Q116" s="95">
        <f t="shared" si="125"/>
        <v>3202.8267499999997</v>
      </c>
      <c r="R116" s="95">
        <f t="shared" si="125"/>
        <v>2709.2515687499999</v>
      </c>
      <c r="S116" s="95">
        <f t="shared" si="125"/>
        <v>2215.8153024999997</v>
      </c>
      <c r="T116" s="95">
        <f t="shared" si="125"/>
        <v>1722.5157807031251</v>
      </c>
      <c r="U116" s="31"/>
      <c r="V116" s="80"/>
      <c r="W116" s="74" t="s">
        <v>48</v>
      </c>
      <c r="X116" s="96">
        <f>X110+X114</f>
        <v>4190.3999999999996</v>
      </c>
      <c r="Y116" s="95">
        <f>Y110+Y114</f>
        <v>1682.8714285714286</v>
      </c>
      <c r="Z116" s="97">
        <f>Z110+Z114</f>
        <v>5873.2714285714292</v>
      </c>
      <c r="AA116" s="95">
        <f t="shared" ref="AA116:AE116" si="126">AA110+AA114</f>
        <v>5182.5253571428575</v>
      </c>
      <c r="AB116" s="95">
        <f t="shared" si="126"/>
        <v>4492.0259500000002</v>
      </c>
      <c r="AC116" s="95">
        <f t="shared" si="126"/>
        <v>3801.7734144642855</v>
      </c>
      <c r="AD116" s="95">
        <f t="shared" si="126"/>
        <v>3111.7672742942855</v>
      </c>
      <c r="AE116" s="95">
        <f t="shared" si="126"/>
        <v>2422.0062950624392</v>
      </c>
      <c r="AF116" s="81"/>
    </row>
    <row r="117" spans="2:32" s="74" customFormat="1">
      <c r="B117" s="98"/>
      <c r="C117" s="31"/>
      <c r="D117" s="43"/>
      <c r="E117" s="43"/>
      <c r="F117" s="43"/>
      <c r="G117" s="43"/>
      <c r="H117" s="43"/>
      <c r="I117" s="43"/>
      <c r="J117" s="31"/>
      <c r="K117" s="98"/>
      <c r="L117" s="31"/>
      <c r="M117" s="42"/>
      <c r="N117" s="43"/>
      <c r="O117" s="44"/>
      <c r="P117" s="43"/>
      <c r="Q117" s="43"/>
      <c r="R117" s="43"/>
      <c r="S117" s="43"/>
      <c r="T117" s="43"/>
      <c r="V117" s="98"/>
      <c r="W117" s="31"/>
      <c r="X117" s="42"/>
      <c r="Y117" s="43"/>
      <c r="Z117" s="44"/>
      <c r="AA117" s="54"/>
      <c r="AB117" s="54"/>
      <c r="AC117" s="54"/>
      <c r="AD117" s="54"/>
      <c r="AE117" s="54"/>
    </row>
    <row r="118" spans="2:32">
      <c r="B118" s="66"/>
      <c r="C118" s="74" t="s">
        <v>49</v>
      </c>
      <c r="D118" s="43"/>
      <c r="E118" s="43"/>
      <c r="F118" s="43"/>
      <c r="G118" s="43"/>
      <c r="H118" s="43"/>
      <c r="I118" s="43"/>
      <c r="K118" s="66"/>
      <c r="L118" s="74" t="s">
        <v>49</v>
      </c>
      <c r="M118" s="42"/>
      <c r="N118" s="43"/>
      <c r="O118" s="44"/>
      <c r="P118" s="43"/>
      <c r="Q118" s="43"/>
      <c r="R118" s="43"/>
      <c r="S118" s="43"/>
      <c r="T118" s="43"/>
      <c r="U118" s="74"/>
      <c r="V118" s="98"/>
      <c r="W118" s="74" t="s">
        <v>49</v>
      </c>
      <c r="X118" s="42"/>
      <c r="Y118" s="43"/>
      <c r="Z118" s="44"/>
      <c r="AA118" s="79"/>
      <c r="AB118" s="79"/>
      <c r="AC118" s="79"/>
      <c r="AD118" s="99"/>
      <c r="AE118" s="99"/>
      <c r="AF118" s="74"/>
    </row>
    <row r="119" spans="2:32">
      <c r="B119" s="66"/>
      <c r="C119" s="31" t="s">
        <v>50</v>
      </c>
      <c r="D119" s="54">
        <f t="shared" ref="D119:I121" si="127">IF($I$27=$H$20,O119,Z119)</f>
        <v>3700</v>
      </c>
      <c r="E119" s="54">
        <f t="shared" si="127"/>
        <v>3700</v>
      </c>
      <c r="F119" s="54">
        <f t="shared" si="127"/>
        <v>3700</v>
      </c>
      <c r="G119" s="54">
        <f t="shared" si="127"/>
        <v>3700</v>
      </c>
      <c r="H119" s="54">
        <f t="shared" si="127"/>
        <v>3700</v>
      </c>
      <c r="I119" s="54">
        <f t="shared" si="127"/>
        <v>3700</v>
      </c>
      <c r="K119" s="66"/>
      <c r="L119" s="31" t="s">
        <v>50</v>
      </c>
      <c r="M119" s="91">
        <f>O209</f>
        <v>3700</v>
      </c>
      <c r="N119" s="79">
        <v>0</v>
      </c>
      <c r="O119" s="90">
        <f t="shared" ref="O119:O121" si="128">SUM(M119:N119)</f>
        <v>3700</v>
      </c>
      <c r="P119" s="54">
        <f t="shared" ref="P119:T119" si="129">P209</f>
        <v>3700</v>
      </c>
      <c r="Q119" s="54">
        <f t="shared" si="129"/>
        <v>3700</v>
      </c>
      <c r="R119" s="54">
        <f t="shared" si="129"/>
        <v>3700</v>
      </c>
      <c r="S119" s="54">
        <f t="shared" si="129"/>
        <v>3700</v>
      </c>
      <c r="T119" s="54">
        <f t="shared" si="129"/>
        <v>3700</v>
      </c>
      <c r="V119" s="66"/>
      <c r="W119" s="31" t="s">
        <v>50</v>
      </c>
      <c r="X119" s="91">
        <f>Z209</f>
        <v>3700</v>
      </c>
      <c r="Y119" s="79">
        <v>0</v>
      </c>
      <c r="Z119" s="90">
        <f t="shared" ref="Z119:Z121" si="130">SUM(X119:Y119)</f>
        <v>3700</v>
      </c>
      <c r="AA119" s="54">
        <f t="shared" ref="AA119:AE119" si="131">AA209</f>
        <v>3700</v>
      </c>
      <c r="AB119" s="54">
        <f t="shared" si="131"/>
        <v>3700</v>
      </c>
      <c r="AC119" s="54">
        <f t="shared" si="131"/>
        <v>3700</v>
      </c>
      <c r="AD119" s="54">
        <f t="shared" si="131"/>
        <v>3700</v>
      </c>
      <c r="AE119" s="54">
        <f t="shared" si="131"/>
        <v>3700</v>
      </c>
    </row>
    <row r="120" spans="2:32">
      <c r="B120" s="66"/>
      <c r="C120" s="31" t="s">
        <v>51</v>
      </c>
      <c r="D120" s="54">
        <f t="shared" si="127"/>
        <v>7844.9482724086138</v>
      </c>
      <c r="E120" s="54">
        <f t="shared" si="127"/>
        <v>8378.0730946478016</v>
      </c>
      <c r="F120" s="54">
        <f t="shared" si="127"/>
        <v>9017.1034846153725</v>
      </c>
      <c r="G120" s="54">
        <f t="shared" si="127"/>
        <v>9768.3189694614975</v>
      </c>
      <c r="H120" s="54">
        <f t="shared" si="127"/>
        <v>10638.443458378133</v>
      </c>
      <c r="I120" s="54">
        <f t="shared" si="127"/>
        <v>11634.675355099778</v>
      </c>
      <c r="K120" s="66"/>
      <c r="L120" s="31" t="s">
        <v>51</v>
      </c>
      <c r="M120" s="91">
        <f>O210</f>
        <v>7844.9482724086138</v>
      </c>
      <c r="N120" s="79">
        <v>0</v>
      </c>
      <c r="O120" s="90">
        <f t="shared" si="128"/>
        <v>7844.9482724086138</v>
      </c>
      <c r="P120" s="54">
        <f>+O120+P49+P76+P77</f>
        <v>8378.0730946478016</v>
      </c>
      <c r="Q120" s="54">
        <f>+P120+Q49+Q76+Q77</f>
        <v>9017.1034846153725</v>
      </c>
      <c r="R120" s="54">
        <f>+Q120+R49+R76+R77</f>
        <v>9768.3189694614994</v>
      </c>
      <c r="S120" s="54">
        <f>+R120+S49+S76+S77</f>
        <v>10638.443458378133</v>
      </c>
      <c r="T120" s="54">
        <f>+S120+T49+T76+T77</f>
        <v>11634.675355099778</v>
      </c>
      <c r="V120" s="66"/>
      <c r="W120" s="72" t="s">
        <v>51</v>
      </c>
      <c r="X120" s="91">
        <f>Z210</f>
        <v>7844.9482724086138</v>
      </c>
      <c r="Y120" s="79">
        <v>0</v>
      </c>
      <c r="Z120" s="90">
        <f t="shared" si="130"/>
        <v>7844.9482724086138</v>
      </c>
      <c r="AA120" s="54">
        <f>SUM(Z120,AA51,AA77)</f>
        <v>8378.0730946478016</v>
      </c>
      <c r="AB120" s="54">
        <f>SUM(AA120,AB51,AB77)</f>
        <v>9017.1034846153725</v>
      </c>
      <c r="AC120" s="54">
        <f>SUM(AB120,AC51,AC77)</f>
        <v>9768.3189694614975</v>
      </c>
      <c r="AD120" s="54">
        <f>SUM(AC120,AD51,AD77)</f>
        <v>10638.443458378133</v>
      </c>
      <c r="AE120" s="54">
        <f>SUM(AD120,AE51,AE77)</f>
        <v>11634.675355099778</v>
      </c>
    </row>
    <row r="121" spans="2:32">
      <c r="C121" s="72" t="s">
        <v>84</v>
      </c>
      <c r="D121" s="54">
        <f t="shared" si="127"/>
        <v>0</v>
      </c>
      <c r="E121" s="54">
        <f t="shared" si="127"/>
        <v>0</v>
      </c>
      <c r="F121" s="54">
        <f t="shared" si="127"/>
        <v>0</v>
      </c>
      <c r="G121" s="54">
        <f t="shared" si="127"/>
        <v>0</v>
      </c>
      <c r="H121" s="54">
        <f t="shared" si="127"/>
        <v>0</v>
      </c>
      <c r="I121" s="54">
        <f t="shared" si="127"/>
        <v>0</v>
      </c>
      <c r="L121" s="72" t="s">
        <v>84</v>
      </c>
      <c r="M121" s="94">
        <v>0</v>
      </c>
      <c r="N121" s="73">
        <v>0</v>
      </c>
      <c r="O121" s="90">
        <f t="shared" si="128"/>
        <v>0</v>
      </c>
      <c r="P121" s="54">
        <v>0</v>
      </c>
      <c r="Q121" s="54">
        <v>0</v>
      </c>
      <c r="R121" s="54">
        <v>0</v>
      </c>
      <c r="S121" s="54">
        <v>0</v>
      </c>
      <c r="T121" s="54">
        <v>0</v>
      </c>
      <c r="V121" s="66"/>
      <c r="W121" s="72" t="s">
        <v>84</v>
      </c>
      <c r="X121" s="94">
        <v>0</v>
      </c>
      <c r="Y121" s="70">
        <f>(1-Y26)*Y25</f>
        <v>0</v>
      </c>
      <c r="Z121" s="90">
        <f t="shared" si="130"/>
        <v>0</v>
      </c>
      <c r="AA121" s="70">
        <f>Z121+SUM(AA63,AA76)</f>
        <v>0</v>
      </c>
      <c r="AB121" s="70">
        <f>AA121+SUM(AB63,AB76)</f>
        <v>0</v>
      </c>
      <c r="AC121" s="70">
        <f>AB121+SUM(AC63,AC76)</f>
        <v>0</v>
      </c>
      <c r="AD121" s="70">
        <f>AC121+SUM(AD63,AD76)</f>
        <v>0</v>
      </c>
      <c r="AE121" s="70">
        <f>AD121+SUM(AE63,AE76)</f>
        <v>0</v>
      </c>
    </row>
    <row r="122" spans="2:32">
      <c r="C122" s="74" t="s">
        <v>52</v>
      </c>
      <c r="D122" s="100">
        <f>SUM(D119:D121)</f>
        <v>11544.948272408614</v>
      </c>
      <c r="E122" s="100">
        <f t="shared" ref="E122:I122" si="132">SUM(E119:E121)</f>
        <v>12078.073094647802</v>
      </c>
      <c r="F122" s="100">
        <f t="shared" si="132"/>
        <v>12717.103484615373</v>
      </c>
      <c r="G122" s="100">
        <f t="shared" si="132"/>
        <v>13468.318969461498</v>
      </c>
      <c r="H122" s="100">
        <f t="shared" si="132"/>
        <v>14338.443458378133</v>
      </c>
      <c r="I122" s="100">
        <f t="shared" si="132"/>
        <v>15334.675355099778</v>
      </c>
      <c r="L122" s="74" t="s">
        <v>52</v>
      </c>
      <c r="M122" s="101">
        <f>SUM(M119:M121)</f>
        <v>11544.948272408614</v>
      </c>
      <c r="N122" s="100">
        <f>SUM(N119:N121)</f>
        <v>0</v>
      </c>
      <c r="O122" s="102">
        <f>SUM(O119:O121)</f>
        <v>11544.948272408614</v>
      </c>
      <c r="P122" s="100">
        <f t="shared" ref="P122:T122" si="133">SUM(P119:P121)</f>
        <v>12078.073094647802</v>
      </c>
      <c r="Q122" s="100">
        <f t="shared" si="133"/>
        <v>12717.103484615373</v>
      </c>
      <c r="R122" s="100">
        <f t="shared" si="133"/>
        <v>13468.318969461499</v>
      </c>
      <c r="S122" s="100">
        <f t="shared" si="133"/>
        <v>14338.443458378133</v>
      </c>
      <c r="T122" s="100">
        <f t="shared" si="133"/>
        <v>15334.675355099778</v>
      </c>
      <c r="W122" s="74" t="s">
        <v>52</v>
      </c>
      <c r="X122" s="101">
        <f>SUM(X119:X121)</f>
        <v>11544.948272408614</v>
      </c>
      <c r="Y122" s="100">
        <f>SUM(Y119:Y121)</f>
        <v>0</v>
      </c>
      <c r="Z122" s="102">
        <f>SUM(Z119:Z121)</f>
        <v>11544.948272408614</v>
      </c>
      <c r="AA122" s="95">
        <f t="shared" ref="AA122:AE122" si="134">SUM(AA119:AA121)</f>
        <v>12078.073094647802</v>
      </c>
      <c r="AB122" s="95">
        <f t="shared" si="134"/>
        <v>12717.103484615373</v>
      </c>
      <c r="AC122" s="95">
        <f t="shared" si="134"/>
        <v>13468.318969461498</v>
      </c>
      <c r="AD122" s="95">
        <f t="shared" si="134"/>
        <v>14338.443458378133</v>
      </c>
      <c r="AE122" s="95">
        <f t="shared" si="134"/>
        <v>15334.675355099778</v>
      </c>
    </row>
    <row r="123" spans="2:32">
      <c r="C123" s="74"/>
      <c r="D123" s="95"/>
      <c r="E123" s="95"/>
      <c r="F123" s="95"/>
      <c r="G123" s="95"/>
      <c r="H123" s="95"/>
      <c r="I123" s="95"/>
      <c r="L123" s="74"/>
      <c r="M123" s="96"/>
      <c r="N123" s="95"/>
      <c r="O123" s="97"/>
      <c r="P123" s="95"/>
      <c r="Q123" s="95"/>
      <c r="R123" s="95"/>
      <c r="S123" s="95"/>
      <c r="T123" s="95"/>
      <c r="W123" s="74"/>
      <c r="X123" s="96"/>
      <c r="Y123" s="95"/>
      <c r="Z123" s="97"/>
      <c r="AA123" s="95"/>
      <c r="AB123" s="95"/>
      <c r="AC123" s="95"/>
      <c r="AD123" s="95"/>
      <c r="AE123" s="95"/>
    </row>
    <row r="124" spans="2:32">
      <c r="C124" s="74" t="s">
        <v>53</v>
      </c>
      <c r="D124" s="95">
        <f t="shared" ref="D124:I124" si="135">D116+D122</f>
        <v>17418.219700980044</v>
      </c>
      <c r="E124" s="95">
        <f t="shared" si="135"/>
        <v>17260.598451790658</v>
      </c>
      <c r="F124" s="95">
        <f t="shared" si="135"/>
        <v>17209.129434615374</v>
      </c>
      <c r="G124" s="95">
        <f t="shared" si="135"/>
        <v>17270.092383925781</v>
      </c>
      <c r="H124" s="95">
        <f t="shared" si="135"/>
        <v>17450.210732672418</v>
      </c>
      <c r="I124" s="95">
        <f t="shared" si="135"/>
        <v>17756.681650162216</v>
      </c>
      <c r="L124" s="74" t="s">
        <v>53</v>
      </c>
      <c r="M124" s="96">
        <f t="shared" ref="M124:T124" si="136">M116+M122</f>
        <v>15735.348272408613</v>
      </c>
      <c r="N124" s="95">
        <f t="shared" si="136"/>
        <v>0</v>
      </c>
      <c r="O124" s="97">
        <f t="shared" si="136"/>
        <v>15735.348272408613</v>
      </c>
      <c r="P124" s="95">
        <f t="shared" si="136"/>
        <v>15774.615594647801</v>
      </c>
      <c r="Q124" s="95">
        <f t="shared" si="136"/>
        <v>15919.930234615373</v>
      </c>
      <c r="R124" s="95">
        <f t="shared" si="136"/>
        <v>16177.570538211499</v>
      </c>
      <c r="S124" s="95">
        <f t="shared" si="136"/>
        <v>16554.258760878132</v>
      </c>
      <c r="T124" s="95">
        <f t="shared" si="136"/>
        <v>17057.191135802903</v>
      </c>
      <c r="W124" s="74" t="s">
        <v>53</v>
      </c>
      <c r="X124" s="96">
        <f t="shared" ref="X124:AE124" si="137">X116+X122</f>
        <v>15735.348272408613</v>
      </c>
      <c r="Y124" s="95">
        <f t="shared" si="137"/>
        <v>1682.8714285714286</v>
      </c>
      <c r="Z124" s="97">
        <f t="shared" si="137"/>
        <v>17418.219700980044</v>
      </c>
      <c r="AA124" s="95">
        <f t="shared" si="137"/>
        <v>17260.598451790658</v>
      </c>
      <c r="AB124" s="95">
        <f t="shared" si="137"/>
        <v>17209.129434615374</v>
      </c>
      <c r="AC124" s="95">
        <f t="shared" si="137"/>
        <v>17270.092383925781</v>
      </c>
      <c r="AD124" s="95">
        <f t="shared" si="137"/>
        <v>17450.210732672418</v>
      </c>
      <c r="AE124" s="95">
        <f t="shared" si="137"/>
        <v>17756.681650162216</v>
      </c>
    </row>
    <row r="125" spans="2:32">
      <c r="C125" s="67" t="s">
        <v>54</v>
      </c>
      <c r="D125" s="103">
        <f t="shared" ref="D125:I125" si="138">D104-D124</f>
        <v>0</v>
      </c>
      <c r="E125" s="103">
        <f t="shared" si="138"/>
        <v>0</v>
      </c>
      <c r="F125" s="103">
        <f t="shared" si="138"/>
        <v>0</v>
      </c>
      <c r="G125" s="103">
        <f t="shared" si="138"/>
        <v>0</v>
      </c>
      <c r="H125" s="103">
        <f t="shared" si="138"/>
        <v>0</v>
      </c>
      <c r="I125" s="103">
        <f t="shared" si="138"/>
        <v>0</v>
      </c>
      <c r="L125" s="67" t="s">
        <v>54</v>
      </c>
      <c r="M125" s="104">
        <f t="shared" ref="M125:T125" si="139">M104-M124</f>
        <v>0</v>
      </c>
      <c r="N125" s="105">
        <f t="shared" si="139"/>
        <v>0</v>
      </c>
      <c r="O125" s="106">
        <f t="shared" si="139"/>
        <v>0</v>
      </c>
      <c r="P125" s="103">
        <f t="shared" si="139"/>
        <v>0</v>
      </c>
      <c r="Q125" s="103">
        <f t="shared" si="139"/>
        <v>0</v>
      </c>
      <c r="R125" s="103">
        <f t="shared" si="139"/>
        <v>0</v>
      </c>
      <c r="S125" s="103">
        <f t="shared" si="139"/>
        <v>0</v>
      </c>
      <c r="T125" s="103">
        <f t="shared" si="139"/>
        <v>0</v>
      </c>
      <c r="W125" s="67" t="s">
        <v>54</v>
      </c>
      <c r="X125" s="104">
        <f t="shared" ref="X125:AE125" si="140">X104-X124</f>
        <v>0</v>
      </c>
      <c r="Y125" s="105">
        <f t="shared" si="140"/>
        <v>0</v>
      </c>
      <c r="Z125" s="106">
        <f t="shared" si="140"/>
        <v>0</v>
      </c>
      <c r="AA125" s="103">
        <f t="shared" si="140"/>
        <v>0</v>
      </c>
      <c r="AB125" s="103">
        <f t="shared" si="140"/>
        <v>0</v>
      </c>
      <c r="AC125" s="103">
        <f t="shared" si="140"/>
        <v>0</v>
      </c>
      <c r="AD125" s="103">
        <f t="shared" si="140"/>
        <v>0</v>
      </c>
      <c r="AE125" s="103">
        <f t="shared" si="140"/>
        <v>0</v>
      </c>
    </row>
    <row r="126" spans="2:32">
      <c r="B126" s="63"/>
      <c r="C126" s="76"/>
      <c r="D126" s="77"/>
      <c r="E126" s="77"/>
      <c r="F126" s="77"/>
      <c r="G126" s="77"/>
      <c r="H126" s="77"/>
      <c r="I126" s="77"/>
      <c r="K126" s="63"/>
      <c r="L126" s="76"/>
      <c r="M126" s="76"/>
      <c r="N126" s="76"/>
      <c r="O126" s="77"/>
      <c r="P126" s="77"/>
      <c r="Q126" s="77"/>
      <c r="R126" s="77"/>
      <c r="S126" s="77"/>
      <c r="T126" s="77"/>
      <c r="W126" s="76"/>
      <c r="X126" s="76"/>
      <c r="Y126" s="76"/>
      <c r="Z126" s="77"/>
      <c r="AA126" s="77"/>
      <c r="AB126" s="77"/>
      <c r="AC126" s="77"/>
      <c r="AD126" s="77"/>
      <c r="AE126" s="77"/>
    </row>
    <row r="127" spans="2:32">
      <c r="K127" s="66"/>
      <c r="V127" s="63"/>
      <c r="AA127" s="107"/>
      <c r="AB127" s="107"/>
      <c r="AC127" s="107"/>
      <c r="AD127" s="107"/>
      <c r="AE127" s="108"/>
    </row>
    <row r="128" spans="2:32">
      <c r="K128" s="66"/>
      <c r="P128" s="52"/>
      <c r="Q128" s="43"/>
      <c r="V128" s="66"/>
      <c r="Z128" s="109"/>
      <c r="AA128" s="110"/>
      <c r="AB128" s="43"/>
    </row>
    <row r="129" spans="11:31" ht="15.75">
      <c r="K129" s="28" t="s">
        <v>5</v>
      </c>
      <c r="L129" s="29"/>
      <c r="M129" s="29"/>
      <c r="N129" s="29"/>
      <c r="O129" s="29"/>
      <c r="P129" s="29"/>
      <c r="Q129" s="29"/>
      <c r="R129" s="29"/>
      <c r="S129" s="29"/>
      <c r="T129" s="30"/>
      <c r="V129" s="28" t="s">
        <v>5</v>
      </c>
      <c r="W129" s="29"/>
      <c r="X129" s="29"/>
      <c r="Y129" s="29"/>
      <c r="Z129" s="29"/>
      <c r="AA129" s="111"/>
      <c r="AB129" s="29"/>
      <c r="AC129" s="29"/>
      <c r="AD129" s="29"/>
      <c r="AE129" s="30"/>
    </row>
    <row r="130" spans="11:31">
      <c r="K130" s="66"/>
      <c r="V130" s="66"/>
    </row>
    <row r="131" spans="11:31">
      <c r="K131" s="66"/>
      <c r="V131" s="66"/>
    </row>
    <row r="132" spans="11:31" ht="15">
      <c r="K132" s="66"/>
      <c r="L132" s="112" t="s">
        <v>85</v>
      </c>
      <c r="M132" s="112"/>
      <c r="N132" s="112"/>
      <c r="O132" s="113"/>
      <c r="P132" s="113"/>
      <c r="Q132" s="113"/>
      <c r="R132" s="113"/>
      <c r="S132" s="113"/>
      <c r="T132" s="113"/>
      <c r="V132" s="66"/>
      <c r="W132" s="112" t="s">
        <v>85</v>
      </c>
      <c r="X132" s="112"/>
      <c r="Y132" s="112"/>
      <c r="Z132" s="113"/>
      <c r="AA132" s="113"/>
      <c r="AB132" s="113"/>
      <c r="AC132" s="113"/>
      <c r="AD132" s="113"/>
      <c r="AE132" s="113"/>
    </row>
    <row r="133" spans="11:31">
      <c r="K133" s="66"/>
      <c r="L133" s="67" t="s">
        <v>7</v>
      </c>
      <c r="M133" s="67"/>
      <c r="N133" s="67"/>
      <c r="V133" s="66"/>
      <c r="W133" s="67" t="s">
        <v>7</v>
      </c>
      <c r="X133" s="67"/>
      <c r="Y133" s="67"/>
    </row>
    <row r="134" spans="11:31">
      <c r="K134" s="66"/>
      <c r="V134" s="66"/>
    </row>
    <row r="135" spans="11:31">
      <c r="K135" s="66"/>
      <c r="O135" s="114">
        <v>44561</v>
      </c>
      <c r="P135" s="69">
        <f>DATE(YEAR(O135)+1,MONTH(O135),DAY(O135))</f>
        <v>44926</v>
      </c>
      <c r="Q135" s="69">
        <f t="shared" ref="Q135:T135" si="141">DATE(YEAR(P135)+1,MONTH(P135),DAY(P135))</f>
        <v>45291</v>
      </c>
      <c r="R135" s="69">
        <f t="shared" si="141"/>
        <v>45657</v>
      </c>
      <c r="S135" s="69">
        <f t="shared" si="141"/>
        <v>46022</v>
      </c>
      <c r="T135" s="69">
        <f t="shared" si="141"/>
        <v>46387</v>
      </c>
      <c r="V135" s="66"/>
      <c r="Z135" s="114">
        <v>44561</v>
      </c>
      <c r="AA135" s="69">
        <f>DATE(YEAR(Z135)+1,MONTH(Z135),DAY(Z135))</f>
        <v>44926</v>
      </c>
      <c r="AB135" s="69">
        <f t="shared" ref="AB135:AE135" si="142">DATE(YEAR(AA135)+1,MONTH(AA135),DAY(AA135))</f>
        <v>45291</v>
      </c>
      <c r="AC135" s="69">
        <f t="shared" si="142"/>
        <v>45657</v>
      </c>
      <c r="AD135" s="69">
        <f t="shared" si="142"/>
        <v>46022</v>
      </c>
      <c r="AE135" s="69">
        <f t="shared" si="142"/>
        <v>46387</v>
      </c>
    </row>
    <row r="136" spans="11:31">
      <c r="K136" s="66"/>
      <c r="V136" s="66"/>
    </row>
    <row r="137" spans="11:31">
      <c r="K137" s="66"/>
      <c r="L137" s="31" t="s">
        <v>8</v>
      </c>
      <c r="O137" s="79">
        <v>3500</v>
      </c>
      <c r="P137" s="79">
        <v>3675</v>
      </c>
      <c r="Q137" s="79">
        <v>3858.75</v>
      </c>
      <c r="R137" s="79">
        <v>4051.6875</v>
      </c>
      <c r="S137" s="79">
        <v>4254.2718750000004</v>
      </c>
      <c r="T137" s="79">
        <v>4466.985468750001</v>
      </c>
      <c r="V137" s="66"/>
      <c r="W137" s="31" t="s">
        <v>8</v>
      </c>
      <c r="Z137" s="79">
        <v>3500</v>
      </c>
      <c r="AA137" s="79">
        <v>3675</v>
      </c>
      <c r="AB137" s="79">
        <v>3858.75</v>
      </c>
      <c r="AC137" s="79">
        <v>4051.6875</v>
      </c>
      <c r="AD137" s="79">
        <v>4254.2718750000004</v>
      </c>
      <c r="AE137" s="79">
        <v>4466.985468750001</v>
      </c>
    </row>
    <row r="138" spans="11:31">
      <c r="K138" s="66"/>
      <c r="L138" s="31" t="s">
        <v>9</v>
      </c>
      <c r="O138" s="73">
        <v>-2100</v>
      </c>
      <c r="P138" s="73">
        <v>-2168.25</v>
      </c>
      <c r="Q138" s="73">
        <v>-2238.0749999999998</v>
      </c>
      <c r="R138" s="73">
        <v>-2309.461875</v>
      </c>
      <c r="S138" s="73">
        <v>-2382.3922499999999</v>
      </c>
      <c r="T138" s="73">
        <v>-2456.8420078125005</v>
      </c>
      <c r="V138" s="66"/>
      <c r="W138" s="31" t="s">
        <v>9</v>
      </c>
      <c r="Z138" s="73">
        <v>-2100</v>
      </c>
      <c r="AA138" s="73">
        <v>-2168.25</v>
      </c>
      <c r="AB138" s="73">
        <v>-2238.0749999999998</v>
      </c>
      <c r="AC138" s="73">
        <v>-2309.461875</v>
      </c>
      <c r="AD138" s="73">
        <v>-2382.3922499999999</v>
      </c>
      <c r="AE138" s="73">
        <v>-2456.8420078125005</v>
      </c>
    </row>
    <row r="139" spans="11:31">
      <c r="K139" s="66"/>
      <c r="L139" s="31" t="s">
        <v>10</v>
      </c>
      <c r="O139" s="54">
        <f>SUM(O137:O138)</f>
        <v>1400</v>
      </c>
      <c r="P139" s="54">
        <f t="shared" ref="P139:T139" si="143">SUM(P137:P138)</f>
        <v>1506.75</v>
      </c>
      <c r="Q139" s="54">
        <f t="shared" si="143"/>
        <v>1620.6750000000002</v>
      </c>
      <c r="R139" s="54">
        <f t="shared" si="143"/>
        <v>1742.225625</v>
      </c>
      <c r="S139" s="54">
        <f t="shared" si="143"/>
        <v>1871.8796250000005</v>
      </c>
      <c r="T139" s="54">
        <f t="shared" si="143"/>
        <v>2010.1434609375005</v>
      </c>
      <c r="V139" s="66"/>
      <c r="W139" s="31" t="s">
        <v>10</v>
      </c>
      <c r="Z139" s="54">
        <f>SUM(Z137:Z138)</f>
        <v>1400</v>
      </c>
      <c r="AA139" s="54">
        <f t="shared" ref="AA139:AE139" si="144">SUM(AA137:AA138)</f>
        <v>1506.75</v>
      </c>
      <c r="AB139" s="54">
        <f t="shared" si="144"/>
        <v>1620.6750000000002</v>
      </c>
      <c r="AC139" s="54">
        <f t="shared" si="144"/>
        <v>1742.225625</v>
      </c>
      <c r="AD139" s="54">
        <f t="shared" si="144"/>
        <v>1871.8796250000005</v>
      </c>
      <c r="AE139" s="54">
        <f t="shared" si="144"/>
        <v>2010.1434609375005</v>
      </c>
    </row>
    <row r="140" spans="11:31">
      <c r="K140" s="66"/>
      <c r="L140" s="31" t="s">
        <v>11</v>
      </c>
      <c r="O140" s="73">
        <v>-175</v>
      </c>
      <c r="P140" s="73">
        <v>-183.75</v>
      </c>
      <c r="Q140" s="73">
        <v>-192.9375</v>
      </c>
      <c r="R140" s="73">
        <v>-202.58437500000002</v>
      </c>
      <c r="S140" s="73">
        <v>-212.71359375000003</v>
      </c>
      <c r="T140" s="73">
        <v>-223.34927343750007</v>
      </c>
      <c r="V140" s="66"/>
      <c r="W140" s="31" t="s">
        <v>11</v>
      </c>
      <c r="Z140" s="73">
        <v>-175</v>
      </c>
      <c r="AA140" s="73">
        <v>-183.75</v>
      </c>
      <c r="AB140" s="73">
        <v>-192.9375</v>
      </c>
      <c r="AC140" s="73">
        <v>-202.58437500000002</v>
      </c>
      <c r="AD140" s="73">
        <v>-212.71359375000003</v>
      </c>
      <c r="AE140" s="73">
        <v>-223.34927343750007</v>
      </c>
    </row>
    <row r="141" spans="11:31">
      <c r="K141" s="66"/>
      <c r="L141" s="31" t="s">
        <v>12</v>
      </c>
      <c r="O141" s="54">
        <f>SUM(O139:O140)</f>
        <v>1225</v>
      </c>
      <c r="P141" s="54">
        <f t="shared" ref="P141:T141" si="145">SUM(P139:P140)</f>
        <v>1323</v>
      </c>
      <c r="Q141" s="54">
        <f t="shared" si="145"/>
        <v>1427.7375000000002</v>
      </c>
      <c r="R141" s="54">
        <f t="shared" si="145"/>
        <v>1539.6412500000001</v>
      </c>
      <c r="S141" s="54">
        <f t="shared" si="145"/>
        <v>1659.1660312500005</v>
      </c>
      <c r="T141" s="54">
        <f t="shared" si="145"/>
        <v>1786.7941875000006</v>
      </c>
      <c r="V141" s="66"/>
      <c r="W141" s="31" t="s">
        <v>12</v>
      </c>
      <c r="Z141" s="54">
        <f>SUM(Z139:Z140)</f>
        <v>1225</v>
      </c>
      <c r="AA141" s="54">
        <f t="shared" ref="AA141:AE141" si="146">SUM(AA139:AA140)</f>
        <v>1323</v>
      </c>
      <c r="AB141" s="54">
        <f t="shared" si="146"/>
        <v>1427.7375000000002</v>
      </c>
      <c r="AC141" s="54">
        <f t="shared" si="146"/>
        <v>1539.6412500000001</v>
      </c>
      <c r="AD141" s="54">
        <f t="shared" si="146"/>
        <v>1659.1660312500005</v>
      </c>
      <c r="AE141" s="54">
        <f t="shared" si="146"/>
        <v>1786.7941875000006</v>
      </c>
    </row>
    <row r="142" spans="11:31">
      <c r="K142" s="66"/>
      <c r="L142" s="31" t="s">
        <v>13</v>
      </c>
      <c r="O142" s="73">
        <v>-525</v>
      </c>
      <c r="P142" s="73">
        <v>-551.25</v>
      </c>
      <c r="Q142" s="73">
        <v>-578.8125</v>
      </c>
      <c r="R142" s="73">
        <v>-607.75312499999995</v>
      </c>
      <c r="S142" s="73">
        <v>-638.14078125000003</v>
      </c>
      <c r="T142" s="73">
        <v>-670.04782031250011</v>
      </c>
      <c r="V142" s="66"/>
      <c r="W142" s="31" t="s">
        <v>13</v>
      </c>
      <c r="Z142" s="73">
        <v>-525</v>
      </c>
      <c r="AA142" s="73">
        <v>-551.25</v>
      </c>
      <c r="AB142" s="73">
        <v>-578.8125</v>
      </c>
      <c r="AC142" s="73">
        <v>-607.75312499999995</v>
      </c>
      <c r="AD142" s="73">
        <v>-638.14078125000003</v>
      </c>
      <c r="AE142" s="73">
        <v>-670.04782031250011</v>
      </c>
    </row>
    <row r="143" spans="11:31">
      <c r="K143" s="66"/>
      <c r="L143" s="31" t="s">
        <v>14</v>
      </c>
      <c r="O143" s="54">
        <f>SUM(O141:O142)</f>
        <v>700</v>
      </c>
      <c r="P143" s="54">
        <f t="shared" ref="P143:T143" si="147">SUM(P141:P142)</f>
        <v>771.75</v>
      </c>
      <c r="Q143" s="54">
        <f t="shared" si="147"/>
        <v>848.92500000000018</v>
      </c>
      <c r="R143" s="54">
        <f t="shared" si="147"/>
        <v>931.88812500000017</v>
      </c>
      <c r="S143" s="54">
        <f t="shared" si="147"/>
        <v>1021.0252500000005</v>
      </c>
      <c r="T143" s="54">
        <f t="shared" si="147"/>
        <v>1116.7463671875005</v>
      </c>
      <c r="V143" s="66"/>
      <c r="W143" s="31" t="s">
        <v>14</v>
      </c>
      <c r="Z143" s="54">
        <f>SUM(Z141:Z142)</f>
        <v>700</v>
      </c>
      <c r="AA143" s="54">
        <f t="shared" ref="AA143:AE143" si="148">SUM(AA141:AA142)</f>
        <v>771.75</v>
      </c>
      <c r="AB143" s="54">
        <f t="shared" si="148"/>
        <v>848.92500000000018</v>
      </c>
      <c r="AC143" s="54">
        <f t="shared" si="148"/>
        <v>931.88812500000017</v>
      </c>
      <c r="AD143" s="54">
        <f t="shared" si="148"/>
        <v>1021.0252500000005</v>
      </c>
      <c r="AE143" s="54">
        <f t="shared" si="148"/>
        <v>1116.7463671875005</v>
      </c>
    </row>
    <row r="144" spans="11:31">
      <c r="K144" s="66"/>
      <c r="L144" s="31" t="s">
        <v>15</v>
      </c>
      <c r="O144" s="73">
        <v>-252.75287931897799</v>
      </c>
      <c r="P144" s="73">
        <v>-221.6245579749193</v>
      </c>
      <c r="Q144" s="73">
        <v>-190.20869410303624</v>
      </c>
      <c r="R144" s="73">
        <v>-158.47720692332578</v>
      </c>
      <c r="S144" s="73">
        <v>-126.41211640206387</v>
      </c>
      <c r="T144" s="73">
        <v>-93.994238395588468</v>
      </c>
      <c r="V144" s="66"/>
      <c r="W144" s="31" t="s">
        <v>15</v>
      </c>
      <c r="Z144" s="73">
        <v>-252.75287931897799</v>
      </c>
      <c r="AA144" s="73">
        <v>-221.6245579749193</v>
      </c>
      <c r="AB144" s="73">
        <v>-190.20869410303624</v>
      </c>
      <c r="AC144" s="73">
        <v>-158.47720692332578</v>
      </c>
      <c r="AD144" s="73">
        <v>-126.41211640206387</v>
      </c>
      <c r="AE144" s="73">
        <v>-93.994238395588468</v>
      </c>
    </row>
    <row r="145" spans="11:31">
      <c r="K145" s="63"/>
      <c r="L145" s="31" t="s">
        <v>16</v>
      </c>
      <c r="O145" s="54">
        <f>SUM(O143:O144)</f>
        <v>447.24712068102201</v>
      </c>
      <c r="P145" s="54">
        <f t="shared" ref="P145:T145" si="149">SUM(P143:P144)</f>
        <v>550.1254420250807</v>
      </c>
      <c r="Q145" s="54">
        <f t="shared" si="149"/>
        <v>658.71630589696395</v>
      </c>
      <c r="R145" s="54">
        <f t="shared" si="149"/>
        <v>773.41091807667442</v>
      </c>
      <c r="S145" s="54">
        <f t="shared" si="149"/>
        <v>894.61313359793667</v>
      </c>
      <c r="T145" s="54">
        <f t="shared" si="149"/>
        <v>1022.752128791912</v>
      </c>
      <c r="V145" s="66"/>
      <c r="W145" s="31" t="s">
        <v>16</v>
      </c>
      <c r="Z145" s="54">
        <f>SUM(Z143:Z144)</f>
        <v>447.24712068102201</v>
      </c>
      <c r="AA145" s="54">
        <f t="shared" ref="AA145:AE145" si="150">SUM(AA143:AA144)</f>
        <v>550.1254420250807</v>
      </c>
      <c r="AB145" s="54">
        <f t="shared" si="150"/>
        <v>658.71630589696395</v>
      </c>
      <c r="AC145" s="54">
        <f t="shared" si="150"/>
        <v>773.41091807667442</v>
      </c>
      <c r="AD145" s="54">
        <f t="shared" si="150"/>
        <v>894.61313359793667</v>
      </c>
      <c r="AE145" s="54">
        <f t="shared" si="150"/>
        <v>1022.752128791912</v>
      </c>
    </row>
    <row r="146" spans="11:31">
      <c r="K146" s="66"/>
      <c r="L146" s="31" t="s">
        <v>17</v>
      </c>
      <c r="O146" s="73">
        <v>-111.81178017025539</v>
      </c>
      <c r="P146" s="73">
        <v>-137.53136050627018</v>
      </c>
      <c r="Q146" s="73">
        <v>-164.67907647424099</v>
      </c>
      <c r="R146" s="73">
        <v>-193.35272951916861</v>
      </c>
      <c r="S146" s="73">
        <v>-223.65328339948417</v>
      </c>
      <c r="T146" s="73">
        <v>-255.688032197978</v>
      </c>
      <c r="V146" s="63"/>
      <c r="W146" s="31" t="s">
        <v>17</v>
      </c>
      <c r="Z146" s="73">
        <v>-111.81178017025539</v>
      </c>
      <c r="AA146" s="73">
        <v>-137.53136050627018</v>
      </c>
      <c r="AB146" s="73">
        <v>-164.67907647424099</v>
      </c>
      <c r="AC146" s="73">
        <v>-193.35272951916861</v>
      </c>
      <c r="AD146" s="73">
        <v>-223.65328339948417</v>
      </c>
      <c r="AE146" s="73">
        <v>-255.688032197978</v>
      </c>
    </row>
    <row r="147" spans="11:31">
      <c r="K147" s="66"/>
      <c r="L147" s="74" t="s">
        <v>18</v>
      </c>
      <c r="M147" s="74"/>
      <c r="N147" s="74"/>
      <c r="O147" s="75">
        <f>SUM(O145:O146)</f>
        <v>335.43534051076665</v>
      </c>
      <c r="P147" s="75">
        <f t="shared" ref="P147:T147" si="151">SUM(P145:P146)</f>
        <v>412.59408151881053</v>
      </c>
      <c r="Q147" s="75">
        <f t="shared" si="151"/>
        <v>494.03722942272293</v>
      </c>
      <c r="R147" s="75">
        <f t="shared" si="151"/>
        <v>580.05818855750579</v>
      </c>
      <c r="S147" s="75">
        <f t="shared" si="151"/>
        <v>670.9598501984525</v>
      </c>
      <c r="T147" s="75">
        <f t="shared" si="151"/>
        <v>767.06409659393398</v>
      </c>
      <c r="V147" s="66"/>
      <c r="W147" s="74" t="s">
        <v>18</v>
      </c>
      <c r="X147" s="74"/>
      <c r="Y147" s="74"/>
      <c r="Z147" s="75">
        <f>SUM(Z145:Z146)</f>
        <v>335.43534051076665</v>
      </c>
      <c r="AA147" s="75">
        <f t="shared" ref="AA147:AE147" si="152">SUM(AA145:AA146)</f>
        <v>412.59408151881053</v>
      </c>
      <c r="AB147" s="75">
        <f t="shared" si="152"/>
        <v>494.03722942272293</v>
      </c>
      <c r="AC147" s="75">
        <f t="shared" si="152"/>
        <v>580.05818855750579</v>
      </c>
      <c r="AD147" s="75">
        <f t="shared" si="152"/>
        <v>670.9598501984525</v>
      </c>
      <c r="AE147" s="75">
        <f t="shared" si="152"/>
        <v>767.06409659393398</v>
      </c>
    </row>
    <row r="148" spans="11:31">
      <c r="K148" s="66"/>
      <c r="L148" s="76"/>
      <c r="M148" s="76"/>
      <c r="N148" s="76"/>
      <c r="O148" s="77"/>
      <c r="P148" s="77"/>
      <c r="Q148" s="77"/>
      <c r="R148" s="77"/>
      <c r="S148" s="77"/>
      <c r="T148" s="77"/>
      <c r="V148" s="66"/>
      <c r="W148" s="76"/>
      <c r="X148" s="76"/>
      <c r="Y148" s="76"/>
      <c r="Z148" s="77"/>
      <c r="AA148" s="77"/>
      <c r="AB148" s="77"/>
      <c r="AC148" s="77"/>
      <c r="AD148" s="77"/>
      <c r="AE148" s="77"/>
    </row>
    <row r="149" spans="11:31">
      <c r="K149" s="66"/>
      <c r="O149" s="78"/>
      <c r="P149" s="78"/>
      <c r="Q149" s="78"/>
      <c r="R149" s="78"/>
      <c r="S149" s="78"/>
      <c r="T149" s="78"/>
      <c r="V149" s="66"/>
      <c r="Z149" s="78"/>
      <c r="AA149" s="78"/>
      <c r="AB149" s="78"/>
      <c r="AC149" s="78"/>
      <c r="AD149" s="78"/>
      <c r="AE149" s="78"/>
    </row>
    <row r="150" spans="11:31">
      <c r="K150" s="66"/>
      <c r="O150" s="78"/>
      <c r="P150" s="78"/>
      <c r="Q150" s="78"/>
      <c r="R150" s="78"/>
      <c r="S150" s="78"/>
      <c r="T150" s="78"/>
      <c r="V150" s="66"/>
      <c r="Z150" s="78"/>
      <c r="AA150" s="78"/>
      <c r="AB150" s="78"/>
      <c r="AC150" s="78"/>
      <c r="AD150" s="78"/>
      <c r="AE150" s="78"/>
    </row>
    <row r="151" spans="11:31" ht="15">
      <c r="K151" s="66"/>
      <c r="L151" s="112" t="s">
        <v>86</v>
      </c>
      <c r="M151" s="112"/>
      <c r="N151" s="112"/>
      <c r="O151" s="113"/>
      <c r="P151" s="113"/>
      <c r="Q151" s="113"/>
      <c r="R151" s="113"/>
      <c r="S151" s="113"/>
      <c r="T151" s="113"/>
      <c r="V151" s="66"/>
      <c r="W151" s="112" t="s">
        <v>86</v>
      </c>
      <c r="X151" s="112"/>
      <c r="Y151" s="112"/>
      <c r="Z151" s="113"/>
      <c r="AA151" s="113"/>
      <c r="AB151" s="113"/>
      <c r="AC151" s="113"/>
      <c r="AD151" s="113"/>
      <c r="AE151" s="113"/>
    </row>
    <row r="152" spans="11:31">
      <c r="K152" s="66"/>
      <c r="L152" s="67" t="s">
        <v>7</v>
      </c>
      <c r="M152" s="67"/>
      <c r="N152" s="67"/>
      <c r="V152" s="66"/>
      <c r="W152" s="67" t="s">
        <v>7</v>
      </c>
      <c r="X152" s="67"/>
      <c r="Y152" s="67"/>
    </row>
    <row r="153" spans="11:31">
      <c r="K153" s="66"/>
      <c r="L153" s="67"/>
      <c r="M153" s="67"/>
      <c r="N153" s="67"/>
      <c r="V153" s="66"/>
      <c r="W153" s="67"/>
      <c r="X153" s="67"/>
      <c r="Y153" s="67"/>
    </row>
    <row r="154" spans="11:31">
      <c r="K154" s="66"/>
      <c r="O154" s="68">
        <f t="shared" ref="O154:T154" si="153">O135</f>
        <v>44561</v>
      </c>
      <c r="P154" s="69">
        <f t="shared" si="153"/>
        <v>44926</v>
      </c>
      <c r="Q154" s="69">
        <f t="shared" si="153"/>
        <v>45291</v>
      </c>
      <c r="R154" s="69">
        <f t="shared" si="153"/>
        <v>45657</v>
      </c>
      <c r="S154" s="69">
        <f t="shared" si="153"/>
        <v>46022</v>
      </c>
      <c r="T154" s="69">
        <f t="shared" si="153"/>
        <v>46387</v>
      </c>
      <c r="V154" s="66"/>
      <c r="Z154" s="68">
        <f t="shared" ref="Z154:AE154" si="154">Z135</f>
        <v>44561</v>
      </c>
      <c r="AA154" s="69">
        <f t="shared" si="154"/>
        <v>44926</v>
      </c>
      <c r="AB154" s="69">
        <f t="shared" si="154"/>
        <v>45291</v>
      </c>
      <c r="AC154" s="69">
        <f t="shared" si="154"/>
        <v>45657</v>
      </c>
      <c r="AD154" s="69">
        <f t="shared" si="154"/>
        <v>46022</v>
      </c>
      <c r="AE154" s="69">
        <f t="shared" si="154"/>
        <v>46387</v>
      </c>
    </row>
    <row r="155" spans="11:31">
      <c r="K155" s="66"/>
      <c r="L155" s="67"/>
      <c r="M155" s="67"/>
      <c r="N155" s="67"/>
      <c r="V155" s="66"/>
      <c r="W155" s="67"/>
      <c r="X155" s="67"/>
      <c r="Y155" s="67"/>
    </row>
    <row r="156" spans="11:31">
      <c r="K156" s="66"/>
      <c r="L156" s="74" t="s">
        <v>20</v>
      </c>
      <c r="M156" s="74"/>
      <c r="N156" s="74"/>
      <c r="O156" s="78"/>
      <c r="V156" s="66"/>
      <c r="W156" s="74" t="s">
        <v>20</v>
      </c>
      <c r="X156" s="74"/>
      <c r="Y156" s="74"/>
      <c r="Z156" s="78"/>
    </row>
    <row r="157" spans="11:31">
      <c r="K157" s="66"/>
      <c r="L157" s="31" t="s">
        <v>18</v>
      </c>
      <c r="O157" s="54">
        <f t="shared" ref="O157:T157" si="155">O147</f>
        <v>335.43534051076665</v>
      </c>
      <c r="P157" s="54">
        <f t="shared" si="155"/>
        <v>412.59408151881053</v>
      </c>
      <c r="Q157" s="54">
        <f t="shared" si="155"/>
        <v>494.03722942272293</v>
      </c>
      <c r="R157" s="54">
        <f t="shared" si="155"/>
        <v>580.05818855750579</v>
      </c>
      <c r="S157" s="54">
        <f t="shared" si="155"/>
        <v>670.9598501984525</v>
      </c>
      <c r="T157" s="54">
        <f t="shared" si="155"/>
        <v>767.06409659393398</v>
      </c>
      <c r="V157" s="66"/>
      <c r="W157" s="31" t="s">
        <v>18</v>
      </c>
      <c r="Z157" s="54">
        <f t="shared" ref="Z157:AE157" si="156">Z147</f>
        <v>335.43534051076665</v>
      </c>
      <c r="AA157" s="54">
        <f t="shared" si="156"/>
        <v>412.59408151881053</v>
      </c>
      <c r="AB157" s="54">
        <f t="shared" si="156"/>
        <v>494.03722942272293</v>
      </c>
      <c r="AC157" s="54">
        <f t="shared" si="156"/>
        <v>580.05818855750579</v>
      </c>
      <c r="AD157" s="54">
        <f t="shared" si="156"/>
        <v>670.9598501984525</v>
      </c>
      <c r="AE157" s="54">
        <f t="shared" si="156"/>
        <v>767.06409659393398</v>
      </c>
    </row>
    <row r="158" spans="11:31">
      <c r="K158" s="66"/>
      <c r="L158" s="31" t="s">
        <v>21</v>
      </c>
      <c r="O158" s="54">
        <f t="shared" ref="O158:T158" si="157">-O142</f>
        <v>525</v>
      </c>
      <c r="P158" s="54">
        <f t="shared" si="157"/>
        <v>551.25</v>
      </c>
      <c r="Q158" s="54">
        <f t="shared" si="157"/>
        <v>578.8125</v>
      </c>
      <c r="R158" s="54">
        <f t="shared" si="157"/>
        <v>607.75312499999995</v>
      </c>
      <c r="S158" s="54">
        <f t="shared" si="157"/>
        <v>638.14078125000003</v>
      </c>
      <c r="T158" s="54">
        <f t="shared" si="157"/>
        <v>670.04782031250011</v>
      </c>
      <c r="V158" s="66"/>
      <c r="W158" s="31" t="s">
        <v>21</v>
      </c>
      <c r="Z158" s="54">
        <f t="shared" ref="Z158:AE158" si="158">-Z142</f>
        <v>525</v>
      </c>
      <c r="AA158" s="54">
        <f t="shared" si="158"/>
        <v>551.25</v>
      </c>
      <c r="AB158" s="54">
        <f t="shared" si="158"/>
        <v>578.8125</v>
      </c>
      <c r="AC158" s="54">
        <f t="shared" si="158"/>
        <v>607.75312499999995</v>
      </c>
      <c r="AD158" s="54">
        <f t="shared" si="158"/>
        <v>638.14078125000003</v>
      </c>
      <c r="AE158" s="54">
        <f t="shared" si="158"/>
        <v>670.04782031250011</v>
      </c>
    </row>
    <row r="159" spans="11:31">
      <c r="K159" s="66"/>
      <c r="L159" s="31" t="s">
        <v>22</v>
      </c>
      <c r="O159" s="73">
        <v>-17</v>
      </c>
      <c r="P159" s="73">
        <v>-22.470000000000084</v>
      </c>
      <c r="Q159" s="73">
        <v>-23.483249999999884</v>
      </c>
      <c r="R159" s="73">
        <v>-24.541650000000118</v>
      </c>
      <c r="S159" s="73">
        <v>-25.647181875000001</v>
      </c>
      <c r="T159" s="73">
        <v>-26.801912812500177</v>
      </c>
      <c r="V159" s="66"/>
      <c r="W159" s="31" t="s">
        <v>22</v>
      </c>
      <c r="Z159" s="73">
        <v>-17</v>
      </c>
      <c r="AA159" s="73">
        <v>-22.470000000000084</v>
      </c>
      <c r="AB159" s="73">
        <v>-23.483249999999884</v>
      </c>
      <c r="AC159" s="73">
        <v>-24.541650000000118</v>
      </c>
      <c r="AD159" s="73">
        <v>-25.647181875000001</v>
      </c>
      <c r="AE159" s="73">
        <v>-26.801912812500177</v>
      </c>
    </row>
    <row r="160" spans="11:31">
      <c r="K160" s="66"/>
      <c r="L160" s="31" t="s">
        <v>20</v>
      </c>
      <c r="O160" s="54">
        <f>SUM(O157:O159)</f>
        <v>843.43534051076665</v>
      </c>
      <c r="P160" s="54">
        <f t="shared" ref="P160:T160" si="159">SUM(P157:P159)</f>
        <v>941.3740815188105</v>
      </c>
      <c r="Q160" s="54">
        <f t="shared" si="159"/>
        <v>1049.3664794227229</v>
      </c>
      <c r="R160" s="54">
        <f t="shared" si="159"/>
        <v>1163.2696635575057</v>
      </c>
      <c r="S160" s="54">
        <f t="shared" si="159"/>
        <v>1283.4534495734524</v>
      </c>
      <c r="T160" s="54">
        <f t="shared" si="159"/>
        <v>1410.3100040939339</v>
      </c>
      <c r="V160" s="66"/>
      <c r="W160" s="31" t="s">
        <v>20</v>
      </c>
      <c r="Z160" s="54">
        <f>SUM(Z157:Z159)</f>
        <v>843.43534051076665</v>
      </c>
      <c r="AA160" s="54">
        <f t="shared" ref="AA160:AE160" si="160">SUM(AA157:AA159)</f>
        <v>941.3740815188105</v>
      </c>
      <c r="AB160" s="54">
        <f t="shared" si="160"/>
        <v>1049.3664794227229</v>
      </c>
      <c r="AC160" s="54">
        <f t="shared" si="160"/>
        <v>1163.2696635575057</v>
      </c>
      <c r="AD160" s="54">
        <f t="shared" si="160"/>
        <v>1283.4534495734524</v>
      </c>
      <c r="AE160" s="54">
        <f t="shared" si="160"/>
        <v>1410.3100040939339</v>
      </c>
    </row>
    <row r="161" spans="11:31">
      <c r="K161" s="66"/>
      <c r="L161" s="67"/>
      <c r="M161" s="67"/>
      <c r="N161" s="67"/>
      <c r="O161" s="43"/>
      <c r="P161" s="43"/>
      <c r="Q161" s="43"/>
      <c r="R161" s="43"/>
      <c r="S161" s="43"/>
      <c r="T161" s="43"/>
      <c r="V161" s="66"/>
      <c r="W161" s="67"/>
      <c r="X161" s="67"/>
      <c r="Y161" s="67"/>
      <c r="Z161" s="43"/>
      <c r="AA161" s="43"/>
      <c r="AB161" s="43"/>
      <c r="AC161" s="43"/>
      <c r="AD161" s="43"/>
      <c r="AE161" s="43"/>
    </row>
    <row r="162" spans="11:31">
      <c r="K162" s="66"/>
      <c r="L162" s="74" t="s">
        <v>23</v>
      </c>
      <c r="M162" s="74"/>
      <c r="N162" s="74"/>
      <c r="O162" s="43"/>
      <c r="P162" s="43"/>
      <c r="Q162" s="43"/>
      <c r="R162" s="43"/>
      <c r="S162" s="43"/>
      <c r="T162" s="43"/>
      <c r="V162" s="66"/>
      <c r="W162" s="74" t="s">
        <v>23</v>
      </c>
      <c r="X162" s="74"/>
      <c r="Y162" s="74"/>
      <c r="Z162" s="43"/>
      <c r="AA162" s="43"/>
      <c r="AB162" s="43"/>
      <c r="AC162" s="43"/>
      <c r="AD162" s="43"/>
      <c r="AE162" s="43"/>
    </row>
    <row r="163" spans="11:31">
      <c r="K163" s="66"/>
      <c r="L163" s="31" t="s">
        <v>24</v>
      </c>
      <c r="O163" s="73">
        <v>-577.5</v>
      </c>
      <c r="P163" s="73">
        <v>-606.375</v>
      </c>
      <c r="Q163" s="73">
        <v>-636.69375000000002</v>
      </c>
      <c r="R163" s="73">
        <v>-668.5284375</v>
      </c>
      <c r="S163" s="73">
        <v>-701.95485937500007</v>
      </c>
      <c r="T163" s="73">
        <v>-737.05260234375021</v>
      </c>
      <c r="V163" s="66"/>
      <c r="W163" s="31" t="s">
        <v>24</v>
      </c>
      <c r="Z163" s="73">
        <v>-577.5</v>
      </c>
      <c r="AA163" s="73">
        <v>-606.375</v>
      </c>
      <c r="AB163" s="73">
        <v>-636.69375000000002</v>
      </c>
      <c r="AC163" s="73">
        <v>-668.5284375</v>
      </c>
      <c r="AD163" s="73">
        <v>-701.95485937500007</v>
      </c>
      <c r="AE163" s="73">
        <v>-737.05260234375021</v>
      </c>
    </row>
    <row r="164" spans="11:31">
      <c r="K164" s="66"/>
      <c r="L164" s="31" t="s">
        <v>23</v>
      </c>
      <c r="O164" s="54">
        <f t="shared" ref="O164:T164" si="161">SUM(O163:O163)</f>
        <v>-577.5</v>
      </c>
      <c r="P164" s="54">
        <f t="shared" si="161"/>
        <v>-606.375</v>
      </c>
      <c r="Q164" s="54">
        <f t="shared" si="161"/>
        <v>-636.69375000000002</v>
      </c>
      <c r="R164" s="54">
        <f t="shared" si="161"/>
        <v>-668.5284375</v>
      </c>
      <c r="S164" s="54">
        <f t="shared" si="161"/>
        <v>-701.95485937500007</v>
      </c>
      <c r="T164" s="54">
        <f t="shared" si="161"/>
        <v>-737.05260234375021</v>
      </c>
      <c r="V164" s="66"/>
      <c r="W164" s="31" t="s">
        <v>23</v>
      </c>
      <c r="Z164" s="54">
        <f t="shared" ref="Z164:AE164" si="162">SUM(Z163:Z163)</f>
        <v>-577.5</v>
      </c>
      <c r="AA164" s="54">
        <f t="shared" si="162"/>
        <v>-606.375</v>
      </c>
      <c r="AB164" s="54">
        <f t="shared" si="162"/>
        <v>-636.69375000000002</v>
      </c>
      <c r="AC164" s="54">
        <f t="shared" si="162"/>
        <v>-668.5284375</v>
      </c>
      <c r="AD164" s="54">
        <f t="shared" si="162"/>
        <v>-701.95485937500007</v>
      </c>
      <c r="AE164" s="54">
        <f t="shared" si="162"/>
        <v>-737.05260234375021</v>
      </c>
    </row>
    <row r="165" spans="11:31">
      <c r="K165" s="66"/>
      <c r="O165" s="54"/>
      <c r="P165" s="54"/>
      <c r="Q165" s="54"/>
      <c r="R165" s="54"/>
      <c r="S165" s="54"/>
      <c r="T165" s="54"/>
      <c r="V165" s="66"/>
      <c r="Z165" s="54"/>
      <c r="AA165" s="54"/>
      <c r="AB165" s="54"/>
      <c r="AC165" s="54"/>
      <c r="AD165" s="54"/>
      <c r="AE165" s="54"/>
    </row>
    <row r="166" spans="11:31">
      <c r="K166" s="66"/>
      <c r="L166" s="74" t="s">
        <v>25</v>
      </c>
      <c r="M166" s="74"/>
      <c r="N166" s="74"/>
      <c r="O166" s="43"/>
      <c r="P166" s="43"/>
      <c r="Q166" s="43"/>
      <c r="R166" s="43"/>
      <c r="S166" s="43"/>
      <c r="T166" s="43"/>
      <c r="V166" s="66"/>
      <c r="W166" s="74" t="s">
        <v>25</v>
      </c>
      <c r="X166" s="74"/>
      <c r="Y166" s="74"/>
      <c r="Z166" s="43"/>
      <c r="AA166" s="43"/>
      <c r="AB166" s="43"/>
      <c r="AC166" s="43"/>
      <c r="AD166" s="43"/>
      <c r="AE166" s="43"/>
    </row>
    <row r="167" spans="11:31">
      <c r="K167" s="66"/>
      <c r="L167" s="31" t="s">
        <v>26</v>
      </c>
      <c r="O167" s="79">
        <v>-500</v>
      </c>
      <c r="P167" s="79">
        <v>-500</v>
      </c>
      <c r="Q167" s="79">
        <v>-500</v>
      </c>
      <c r="R167" s="79">
        <v>-500</v>
      </c>
      <c r="S167" s="79">
        <v>-500</v>
      </c>
      <c r="T167" s="79">
        <v>-500</v>
      </c>
      <c r="V167" s="66"/>
      <c r="W167" s="31" t="s">
        <v>26</v>
      </c>
      <c r="Z167" s="79">
        <v>-500</v>
      </c>
      <c r="AA167" s="79">
        <v>-500</v>
      </c>
      <c r="AB167" s="79">
        <v>-500</v>
      </c>
      <c r="AC167" s="79">
        <v>-500</v>
      </c>
      <c r="AD167" s="79">
        <v>-500</v>
      </c>
      <c r="AE167" s="79">
        <v>-500</v>
      </c>
    </row>
    <row r="168" spans="11:31">
      <c r="K168" s="66"/>
      <c r="L168" s="31" t="s">
        <v>27</v>
      </c>
      <c r="O168" s="79">
        <v>0</v>
      </c>
      <c r="P168" s="79">
        <v>0</v>
      </c>
      <c r="Q168" s="79">
        <v>0</v>
      </c>
      <c r="R168" s="79">
        <v>0</v>
      </c>
      <c r="S168" s="79">
        <v>0</v>
      </c>
      <c r="T168" s="79">
        <v>0</v>
      </c>
      <c r="V168" s="66"/>
      <c r="W168" s="31" t="s">
        <v>27</v>
      </c>
      <c r="Z168" s="79">
        <v>0</v>
      </c>
      <c r="AA168" s="79">
        <v>0</v>
      </c>
      <c r="AB168" s="79">
        <v>0</v>
      </c>
      <c r="AC168" s="79">
        <v>0</v>
      </c>
      <c r="AD168" s="79">
        <v>0</v>
      </c>
      <c r="AE168" s="79">
        <v>0</v>
      </c>
    </row>
    <row r="169" spans="11:31">
      <c r="K169" s="66"/>
      <c r="L169" s="31" t="s">
        <v>28</v>
      </c>
      <c r="O169" s="73">
        <v>-67.087068102153239</v>
      </c>
      <c r="P169" s="73">
        <v>-82.518816303762108</v>
      </c>
      <c r="Q169" s="73">
        <v>-98.807445884544592</v>
      </c>
      <c r="R169" s="73">
        <v>-116.01163771150117</v>
      </c>
      <c r="S169" s="73">
        <v>-134.19197003969052</v>
      </c>
      <c r="T169" s="73">
        <v>-153.4128193187868</v>
      </c>
      <c r="V169" s="66"/>
      <c r="W169" s="31" t="s">
        <v>28</v>
      </c>
      <c r="Z169" s="73">
        <v>-67.087068102153239</v>
      </c>
      <c r="AA169" s="73">
        <v>-82.518816303762108</v>
      </c>
      <c r="AB169" s="73">
        <v>-98.807445884544592</v>
      </c>
      <c r="AC169" s="73">
        <v>-116.01163771150117</v>
      </c>
      <c r="AD169" s="73">
        <v>-134.19197003969052</v>
      </c>
      <c r="AE169" s="73">
        <v>-153.4128193187868</v>
      </c>
    </row>
    <row r="170" spans="11:31">
      <c r="K170" s="66"/>
      <c r="L170" s="31" t="s">
        <v>25</v>
      </c>
      <c r="O170" s="54">
        <f>SUM(O167:O169)</f>
        <v>-567.08706810215324</v>
      </c>
      <c r="P170" s="54">
        <f t="shared" ref="P170:T170" si="163">SUM(P167:P169)</f>
        <v>-582.51881630376215</v>
      </c>
      <c r="Q170" s="54">
        <f t="shared" si="163"/>
        <v>-598.80744588454456</v>
      </c>
      <c r="R170" s="54">
        <f t="shared" si="163"/>
        <v>-616.01163771150118</v>
      </c>
      <c r="S170" s="54">
        <f t="shared" si="163"/>
        <v>-634.19197003969055</v>
      </c>
      <c r="T170" s="54">
        <f t="shared" si="163"/>
        <v>-653.41281931878677</v>
      </c>
      <c r="V170" s="66"/>
      <c r="W170" s="31" t="s">
        <v>25</v>
      </c>
      <c r="Z170" s="54">
        <f>SUM(Z167:Z169)</f>
        <v>-567.08706810215324</v>
      </c>
      <c r="AA170" s="54">
        <f t="shared" ref="AA170:AE170" si="164">SUM(AA167:AA169)</f>
        <v>-582.51881630376215</v>
      </c>
      <c r="AB170" s="54">
        <f t="shared" si="164"/>
        <v>-598.80744588454456</v>
      </c>
      <c r="AC170" s="54">
        <f t="shared" si="164"/>
        <v>-616.01163771150118</v>
      </c>
      <c r="AD170" s="54">
        <f t="shared" si="164"/>
        <v>-634.19197003969055</v>
      </c>
      <c r="AE170" s="54">
        <f t="shared" si="164"/>
        <v>-653.41281931878677</v>
      </c>
    </row>
    <row r="171" spans="11:31">
      <c r="K171" s="66"/>
      <c r="O171" s="54"/>
      <c r="P171" s="54"/>
      <c r="Q171" s="54"/>
      <c r="R171" s="54"/>
      <c r="S171" s="54"/>
      <c r="T171" s="54"/>
      <c r="V171" s="66"/>
      <c r="Z171" s="54"/>
      <c r="AA171" s="54"/>
      <c r="AB171" s="54"/>
      <c r="AC171" s="54"/>
      <c r="AD171" s="54"/>
      <c r="AE171" s="54"/>
    </row>
    <row r="172" spans="11:31">
      <c r="K172" s="63"/>
      <c r="L172" s="31" t="s">
        <v>29</v>
      </c>
      <c r="O172" s="79">
        <v>4850</v>
      </c>
      <c r="P172" s="54">
        <f>O174</f>
        <v>4548.8482724086134</v>
      </c>
      <c r="Q172" s="54">
        <f t="shared" ref="Q172:T172" si="165">P174</f>
        <v>4301.3285376236618</v>
      </c>
      <c r="R172" s="54">
        <f t="shared" si="165"/>
        <v>4115.1938211618399</v>
      </c>
      <c r="S172" s="54">
        <f t="shared" si="165"/>
        <v>3993.9234095078446</v>
      </c>
      <c r="T172" s="54">
        <f t="shared" si="165"/>
        <v>3941.2300296666062</v>
      </c>
      <c r="V172" s="66"/>
      <c r="W172" s="31" t="s">
        <v>29</v>
      </c>
      <c r="Z172" s="79">
        <v>4850</v>
      </c>
      <c r="AA172" s="54">
        <f>Z174</f>
        <v>4548.8482724086134</v>
      </c>
      <c r="AB172" s="54">
        <f t="shared" ref="AB172:AE172" si="166">AA174</f>
        <v>4301.3285376236618</v>
      </c>
      <c r="AC172" s="54">
        <f t="shared" si="166"/>
        <v>4115.1938211618399</v>
      </c>
      <c r="AD172" s="54">
        <f t="shared" si="166"/>
        <v>3993.9234095078446</v>
      </c>
      <c r="AE172" s="54">
        <f t="shared" si="166"/>
        <v>3941.2300296666062</v>
      </c>
    </row>
    <row r="173" spans="11:31">
      <c r="K173" s="66"/>
      <c r="L173" s="31" t="s">
        <v>30</v>
      </c>
      <c r="O173" s="70">
        <f>O160+O164+O170</f>
        <v>-301.15172759138659</v>
      </c>
      <c r="P173" s="70">
        <f t="shared" ref="P173:T173" si="167">P160+P164+P170</f>
        <v>-247.51973478495165</v>
      </c>
      <c r="Q173" s="70">
        <f t="shared" si="167"/>
        <v>-186.13471646182165</v>
      </c>
      <c r="R173" s="70">
        <f t="shared" si="167"/>
        <v>-121.27041165399544</v>
      </c>
      <c r="S173" s="70">
        <f t="shared" si="167"/>
        <v>-52.693379841238198</v>
      </c>
      <c r="T173" s="70">
        <f t="shared" si="167"/>
        <v>19.84458243139693</v>
      </c>
      <c r="V173" s="63"/>
      <c r="W173" s="31" t="s">
        <v>30</v>
      </c>
      <c r="Z173" s="70">
        <f>Z160+Z164+Z170</f>
        <v>-301.15172759138659</v>
      </c>
      <c r="AA173" s="70">
        <f t="shared" ref="AA173:AE173" si="168">AA160+AA164+AA170</f>
        <v>-247.51973478495165</v>
      </c>
      <c r="AB173" s="70">
        <f t="shared" si="168"/>
        <v>-186.13471646182165</v>
      </c>
      <c r="AC173" s="70">
        <f t="shared" si="168"/>
        <v>-121.27041165399544</v>
      </c>
      <c r="AD173" s="70">
        <f t="shared" si="168"/>
        <v>-52.693379841238198</v>
      </c>
      <c r="AE173" s="70">
        <f t="shared" si="168"/>
        <v>19.84458243139693</v>
      </c>
    </row>
    <row r="174" spans="11:31">
      <c r="K174" s="66"/>
      <c r="L174" s="74" t="s">
        <v>31</v>
      </c>
      <c r="M174" s="74"/>
      <c r="N174" s="74"/>
      <c r="O174" s="75">
        <f>SUM(O172:O173)</f>
        <v>4548.8482724086134</v>
      </c>
      <c r="P174" s="75">
        <f t="shared" ref="P174:T174" si="169">SUM(P172:P173)</f>
        <v>4301.3285376236618</v>
      </c>
      <c r="Q174" s="75">
        <f t="shared" si="169"/>
        <v>4115.1938211618399</v>
      </c>
      <c r="R174" s="75">
        <f t="shared" si="169"/>
        <v>3993.9234095078446</v>
      </c>
      <c r="S174" s="75">
        <f t="shared" si="169"/>
        <v>3941.2300296666062</v>
      </c>
      <c r="T174" s="75">
        <f t="shared" si="169"/>
        <v>3961.0746120980029</v>
      </c>
      <c r="V174" s="66"/>
      <c r="W174" s="74" t="s">
        <v>31</v>
      </c>
      <c r="X174" s="74"/>
      <c r="Y174" s="74"/>
      <c r="Z174" s="75">
        <f>SUM(Z172:Z173)</f>
        <v>4548.8482724086134</v>
      </c>
      <c r="AA174" s="75">
        <f t="shared" ref="AA174:AE174" si="170">SUM(AA172:AA173)</f>
        <v>4301.3285376236618</v>
      </c>
      <c r="AB174" s="75">
        <f t="shared" si="170"/>
        <v>4115.1938211618399</v>
      </c>
      <c r="AC174" s="75">
        <f t="shared" si="170"/>
        <v>3993.9234095078446</v>
      </c>
      <c r="AD174" s="75">
        <f t="shared" si="170"/>
        <v>3941.2300296666062</v>
      </c>
      <c r="AE174" s="75">
        <f t="shared" si="170"/>
        <v>3961.0746120980029</v>
      </c>
    </row>
    <row r="175" spans="11:31">
      <c r="K175" s="66"/>
      <c r="L175" s="76"/>
      <c r="M175" s="76"/>
      <c r="N175" s="76"/>
      <c r="O175" s="77"/>
      <c r="P175" s="77"/>
      <c r="Q175" s="77"/>
      <c r="R175" s="77"/>
      <c r="S175" s="77"/>
      <c r="T175" s="77"/>
      <c r="V175" s="66"/>
      <c r="W175" s="76"/>
      <c r="X175" s="76"/>
      <c r="Y175" s="76"/>
      <c r="Z175" s="77"/>
      <c r="AA175" s="77"/>
      <c r="AB175" s="77"/>
      <c r="AC175" s="77"/>
      <c r="AD175" s="77"/>
      <c r="AE175" s="77"/>
    </row>
    <row r="176" spans="11:31">
      <c r="K176" s="66"/>
      <c r="O176" s="78"/>
      <c r="P176" s="78"/>
      <c r="Q176" s="78"/>
      <c r="R176" s="78"/>
      <c r="S176" s="78"/>
      <c r="T176" s="78"/>
      <c r="V176" s="66"/>
      <c r="Z176" s="78"/>
      <c r="AA176" s="78"/>
      <c r="AB176" s="78"/>
      <c r="AC176" s="78"/>
      <c r="AD176" s="78"/>
      <c r="AE176" s="78"/>
    </row>
    <row r="177" spans="11:31">
      <c r="K177" s="66"/>
      <c r="O177" s="78"/>
      <c r="P177" s="78"/>
      <c r="Q177" s="78"/>
      <c r="R177" s="78"/>
      <c r="S177" s="78"/>
      <c r="T177" s="78"/>
      <c r="V177" s="66"/>
      <c r="Z177" s="78"/>
      <c r="AA177" s="78"/>
      <c r="AB177" s="78"/>
      <c r="AC177" s="78"/>
      <c r="AD177" s="78"/>
      <c r="AE177" s="78"/>
    </row>
    <row r="178" spans="11:31" ht="15">
      <c r="K178" s="66"/>
      <c r="L178" s="112" t="s">
        <v>87</v>
      </c>
      <c r="M178" s="112"/>
      <c r="N178" s="112"/>
      <c r="O178" s="113"/>
      <c r="P178" s="113"/>
      <c r="Q178" s="113"/>
      <c r="R178" s="113"/>
      <c r="S178" s="113"/>
      <c r="T178" s="113"/>
      <c r="V178" s="66"/>
      <c r="W178" s="112" t="s">
        <v>87</v>
      </c>
      <c r="X178" s="112"/>
      <c r="Y178" s="112"/>
      <c r="Z178" s="113"/>
      <c r="AA178" s="113"/>
      <c r="AB178" s="113"/>
      <c r="AC178" s="113"/>
      <c r="AD178" s="113"/>
      <c r="AE178" s="113"/>
    </row>
    <row r="179" spans="11:31">
      <c r="K179" s="66"/>
      <c r="L179" s="67" t="s">
        <v>7</v>
      </c>
      <c r="M179" s="67"/>
      <c r="N179" s="67"/>
      <c r="V179" s="66"/>
      <c r="W179" s="67" t="s">
        <v>7</v>
      </c>
      <c r="X179" s="67"/>
      <c r="Y179" s="67"/>
    </row>
    <row r="180" spans="11:31">
      <c r="K180" s="66"/>
      <c r="L180" s="67"/>
      <c r="M180" s="67"/>
      <c r="N180" s="67"/>
      <c r="V180" s="66"/>
      <c r="W180" s="67"/>
      <c r="X180" s="67"/>
      <c r="Y180" s="67"/>
    </row>
    <row r="181" spans="11:31">
      <c r="K181" s="66"/>
      <c r="O181" s="68">
        <f t="shared" ref="O181:T181" si="171">O154</f>
        <v>44561</v>
      </c>
      <c r="P181" s="69">
        <f t="shared" si="171"/>
        <v>44926</v>
      </c>
      <c r="Q181" s="69">
        <f t="shared" si="171"/>
        <v>45291</v>
      </c>
      <c r="R181" s="69">
        <f t="shared" si="171"/>
        <v>45657</v>
      </c>
      <c r="S181" s="69">
        <f t="shared" si="171"/>
        <v>46022</v>
      </c>
      <c r="T181" s="69">
        <f t="shared" si="171"/>
        <v>46387</v>
      </c>
      <c r="V181" s="66"/>
      <c r="Z181" s="68">
        <f t="shared" ref="Z181:AE181" si="172">Z154</f>
        <v>44561</v>
      </c>
      <c r="AA181" s="69">
        <f t="shared" si="172"/>
        <v>44926</v>
      </c>
      <c r="AB181" s="69">
        <f t="shared" si="172"/>
        <v>45291</v>
      </c>
      <c r="AC181" s="69">
        <f t="shared" si="172"/>
        <v>45657</v>
      </c>
      <c r="AD181" s="69">
        <f t="shared" si="172"/>
        <v>46022</v>
      </c>
      <c r="AE181" s="69">
        <f t="shared" si="172"/>
        <v>46387</v>
      </c>
    </row>
    <row r="182" spans="11:31">
      <c r="K182" s="66"/>
      <c r="O182" s="86"/>
      <c r="P182" s="86"/>
      <c r="Q182" s="86"/>
      <c r="R182" s="86"/>
      <c r="S182" s="86"/>
      <c r="T182" s="86"/>
      <c r="V182" s="66"/>
      <c r="Z182" s="86"/>
      <c r="AA182" s="86"/>
      <c r="AB182" s="86"/>
      <c r="AC182" s="86"/>
      <c r="AD182" s="86"/>
      <c r="AE182" s="86"/>
    </row>
    <row r="183" spans="11:31">
      <c r="K183" s="66"/>
      <c r="L183" s="74" t="s">
        <v>33</v>
      </c>
      <c r="M183" s="74"/>
      <c r="N183" s="74"/>
      <c r="O183" s="86"/>
      <c r="P183" s="86"/>
      <c r="Q183" s="86"/>
      <c r="R183" s="86"/>
      <c r="S183" s="86"/>
      <c r="T183" s="86"/>
      <c r="V183" s="66"/>
      <c r="W183" s="74" t="s">
        <v>33</v>
      </c>
      <c r="X183" s="74"/>
      <c r="Y183" s="74"/>
      <c r="Z183" s="86"/>
      <c r="AA183" s="86"/>
      <c r="AB183" s="86"/>
      <c r="AC183" s="86"/>
      <c r="AD183" s="86"/>
      <c r="AE183" s="86"/>
    </row>
    <row r="184" spans="11:31">
      <c r="K184" s="66"/>
      <c r="L184" s="31" t="s">
        <v>34</v>
      </c>
      <c r="O184" s="54">
        <f t="shared" ref="O184:T184" si="173">O174</f>
        <v>4548.8482724086134</v>
      </c>
      <c r="P184" s="54">
        <f t="shared" si="173"/>
        <v>4301.3285376236618</v>
      </c>
      <c r="Q184" s="54">
        <f t="shared" si="173"/>
        <v>4115.1938211618399</v>
      </c>
      <c r="R184" s="54">
        <f t="shared" si="173"/>
        <v>3993.9234095078446</v>
      </c>
      <c r="S184" s="54">
        <f t="shared" si="173"/>
        <v>3941.2300296666062</v>
      </c>
      <c r="T184" s="54">
        <f t="shared" si="173"/>
        <v>3961.0746120980029</v>
      </c>
      <c r="V184" s="66"/>
      <c r="W184" s="31" t="s">
        <v>34</v>
      </c>
      <c r="Z184" s="54">
        <f t="shared" ref="Z184:AE184" si="174">Z174</f>
        <v>4548.8482724086134</v>
      </c>
      <c r="AA184" s="54">
        <f t="shared" si="174"/>
        <v>4301.3285376236618</v>
      </c>
      <c r="AB184" s="54">
        <f t="shared" si="174"/>
        <v>4115.1938211618399</v>
      </c>
      <c r="AC184" s="54">
        <f t="shared" si="174"/>
        <v>3993.9234095078446</v>
      </c>
      <c r="AD184" s="54">
        <f t="shared" si="174"/>
        <v>3941.2300296666062</v>
      </c>
      <c r="AE184" s="54">
        <f t="shared" si="174"/>
        <v>3961.0746120980029</v>
      </c>
    </row>
    <row r="185" spans="11:31">
      <c r="K185" s="66"/>
      <c r="L185" s="31" t="s">
        <v>35</v>
      </c>
      <c r="O185" s="79">
        <v>280</v>
      </c>
      <c r="P185" s="79">
        <v>294</v>
      </c>
      <c r="Q185" s="79">
        <v>308.7</v>
      </c>
      <c r="R185" s="79">
        <v>324.13499999999999</v>
      </c>
      <c r="S185" s="79">
        <v>340.34175000000005</v>
      </c>
      <c r="T185" s="79">
        <v>357.35883750000011</v>
      </c>
      <c r="V185" s="66"/>
      <c r="W185" s="31" t="s">
        <v>35</v>
      </c>
      <c r="Z185" s="79">
        <v>280</v>
      </c>
      <c r="AA185" s="79">
        <v>294</v>
      </c>
      <c r="AB185" s="79">
        <v>308.7</v>
      </c>
      <c r="AC185" s="79">
        <v>324.13499999999999</v>
      </c>
      <c r="AD185" s="79">
        <v>340.34175000000005</v>
      </c>
      <c r="AE185" s="79">
        <v>357.35883750000011</v>
      </c>
    </row>
    <row r="186" spans="11:31">
      <c r="K186" s="66"/>
      <c r="L186" s="31" t="s">
        <v>36</v>
      </c>
      <c r="O186" s="79">
        <v>315</v>
      </c>
      <c r="P186" s="79">
        <v>325.23750000000001</v>
      </c>
      <c r="Q186" s="79">
        <v>335.71124999999995</v>
      </c>
      <c r="R186" s="79">
        <v>346.41928124999998</v>
      </c>
      <c r="S186" s="79">
        <v>357.35883749999999</v>
      </c>
      <c r="T186" s="79">
        <v>368.52630117187505</v>
      </c>
      <c r="V186" s="66"/>
      <c r="W186" s="31" t="s">
        <v>36</v>
      </c>
      <c r="Z186" s="79">
        <v>315</v>
      </c>
      <c r="AA186" s="79">
        <v>325.23750000000001</v>
      </c>
      <c r="AB186" s="79">
        <v>335.71124999999995</v>
      </c>
      <c r="AC186" s="79">
        <v>346.41928124999998</v>
      </c>
      <c r="AD186" s="79">
        <v>357.35883749999999</v>
      </c>
      <c r="AE186" s="79">
        <v>368.52630117187505</v>
      </c>
    </row>
    <row r="187" spans="11:31">
      <c r="K187" s="66"/>
      <c r="L187" s="31" t="s">
        <v>37</v>
      </c>
      <c r="O187" s="73">
        <v>87.5</v>
      </c>
      <c r="P187" s="73">
        <v>91.875</v>
      </c>
      <c r="Q187" s="73">
        <v>96.46875</v>
      </c>
      <c r="R187" s="73">
        <v>101.29218750000001</v>
      </c>
      <c r="S187" s="73">
        <v>106.35679687500001</v>
      </c>
      <c r="T187" s="73">
        <v>111.67463671875004</v>
      </c>
      <c r="V187" s="66"/>
      <c r="W187" s="31" t="s">
        <v>37</v>
      </c>
      <c r="Z187" s="73">
        <v>87.5</v>
      </c>
      <c r="AA187" s="73">
        <v>91.875</v>
      </c>
      <c r="AB187" s="73">
        <v>96.46875</v>
      </c>
      <c r="AC187" s="73">
        <v>101.29218750000001</v>
      </c>
      <c r="AD187" s="73">
        <v>106.35679687500001</v>
      </c>
      <c r="AE187" s="73">
        <v>111.67463671875004</v>
      </c>
    </row>
    <row r="188" spans="11:31">
      <c r="K188" s="66"/>
      <c r="L188" s="31" t="s">
        <v>38</v>
      </c>
      <c r="O188" s="43">
        <f>SUM(O184:O187)</f>
        <v>5231.3482724086134</v>
      </c>
      <c r="P188" s="43">
        <f t="shared" ref="P188:T188" si="175">SUM(P184:P187)</f>
        <v>5012.4410376236619</v>
      </c>
      <c r="Q188" s="43">
        <f t="shared" si="175"/>
        <v>4856.07382116184</v>
      </c>
      <c r="R188" s="43">
        <f t="shared" si="175"/>
        <v>4765.7698782578445</v>
      </c>
      <c r="S188" s="43">
        <f t="shared" si="175"/>
        <v>4745.287414041607</v>
      </c>
      <c r="T188" s="43">
        <f t="shared" si="175"/>
        <v>4798.6343874886279</v>
      </c>
      <c r="V188" s="66"/>
      <c r="W188" s="31" t="s">
        <v>38</v>
      </c>
      <c r="Z188" s="43">
        <f>SUM(Z184:Z187)</f>
        <v>5231.3482724086134</v>
      </c>
      <c r="AA188" s="43">
        <f t="shared" ref="AA188:AE188" si="176">SUM(AA184:AA187)</f>
        <v>5012.4410376236619</v>
      </c>
      <c r="AB188" s="43">
        <f t="shared" si="176"/>
        <v>4856.07382116184</v>
      </c>
      <c r="AC188" s="43">
        <f t="shared" si="176"/>
        <v>4765.7698782578445</v>
      </c>
      <c r="AD188" s="43">
        <f t="shared" si="176"/>
        <v>4745.287414041607</v>
      </c>
      <c r="AE188" s="43">
        <f t="shared" si="176"/>
        <v>4798.6343874886279</v>
      </c>
    </row>
    <row r="189" spans="11:31">
      <c r="K189" s="66"/>
      <c r="O189" s="43"/>
      <c r="P189" s="43"/>
      <c r="Q189" s="43"/>
      <c r="R189" s="43"/>
      <c r="S189" s="43"/>
      <c r="T189" s="43"/>
      <c r="V189" s="66"/>
      <c r="Z189" s="43"/>
      <c r="AA189" s="43"/>
      <c r="AB189" s="43"/>
      <c r="AC189" s="43"/>
      <c r="AD189" s="43"/>
      <c r="AE189" s="43"/>
    </row>
    <row r="190" spans="11:31">
      <c r="K190" s="66"/>
      <c r="L190" s="31" t="s">
        <v>39</v>
      </c>
      <c r="O190" s="79">
        <v>10500</v>
      </c>
      <c r="P190" s="79">
        <v>10555.125</v>
      </c>
      <c r="Q190" s="79">
        <v>10613.00625</v>
      </c>
      <c r="R190" s="79">
        <v>10673.7815625</v>
      </c>
      <c r="S190" s="79">
        <v>10737.595640625001</v>
      </c>
      <c r="T190" s="79">
        <v>10804.600422656251</v>
      </c>
      <c r="V190" s="66"/>
      <c r="W190" s="31" t="s">
        <v>39</v>
      </c>
      <c r="Z190" s="79">
        <v>10500</v>
      </c>
      <c r="AA190" s="79">
        <v>10555.125</v>
      </c>
      <c r="AB190" s="79">
        <v>10613.00625</v>
      </c>
      <c r="AC190" s="79">
        <v>10673.7815625</v>
      </c>
      <c r="AD190" s="79">
        <v>10737.595640625001</v>
      </c>
      <c r="AE190" s="79">
        <v>10804.600422656251</v>
      </c>
    </row>
    <row r="191" spans="11:31">
      <c r="K191" s="66"/>
      <c r="L191" s="31" t="s">
        <v>37</v>
      </c>
      <c r="O191" s="73">
        <v>4</v>
      </c>
      <c r="P191" s="73">
        <v>4</v>
      </c>
      <c r="Q191" s="73">
        <v>4</v>
      </c>
      <c r="R191" s="73">
        <v>4</v>
      </c>
      <c r="S191" s="73">
        <v>4</v>
      </c>
      <c r="T191" s="73">
        <v>4</v>
      </c>
      <c r="V191" s="66"/>
      <c r="W191" s="31" t="s">
        <v>37</v>
      </c>
      <c r="Z191" s="73">
        <v>4</v>
      </c>
      <c r="AA191" s="73">
        <v>4</v>
      </c>
      <c r="AB191" s="73">
        <v>4</v>
      </c>
      <c r="AC191" s="73">
        <v>4</v>
      </c>
      <c r="AD191" s="73">
        <v>4</v>
      </c>
      <c r="AE191" s="73">
        <v>4</v>
      </c>
    </row>
    <row r="192" spans="11:31">
      <c r="K192" s="66"/>
      <c r="L192" s="31" t="s">
        <v>40</v>
      </c>
      <c r="O192" s="43">
        <f>SUM(O190:O191)</f>
        <v>10504</v>
      </c>
      <c r="P192" s="43">
        <f t="shared" ref="P192:T192" si="177">SUM(P190:P191)</f>
        <v>10559.125</v>
      </c>
      <c r="Q192" s="43">
        <f t="shared" si="177"/>
        <v>10617.00625</v>
      </c>
      <c r="R192" s="43">
        <f t="shared" si="177"/>
        <v>10677.7815625</v>
      </c>
      <c r="S192" s="43">
        <f t="shared" si="177"/>
        <v>10741.595640625001</v>
      </c>
      <c r="T192" s="43">
        <f t="shared" si="177"/>
        <v>10808.600422656251</v>
      </c>
      <c r="V192" s="66"/>
      <c r="W192" s="31" t="s">
        <v>40</v>
      </c>
      <c r="Z192" s="43">
        <f>SUM(Z190:Z191)</f>
        <v>10504</v>
      </c>
      <c r="AA192" s="43">
        <f t="shared" ref="AA192:AE192" si="178">SUM(AA190:AA191)</f>
        <v>10559.125</v>
      </c>
      <c r="AB192" s="43">
        <f t="shared" si="178"/>
        <v>10617.00625</v>
      </c>
      <c r="AC192" s="43">
        <f t="shared" si="178"/>
        <v>10677.7815625</v>
      </c>
      <c r="AD192" s="43">
        <f t="shared" si="178"/>
        <v>10741.595640625001</v>
      </c>
      <c r="AE192" s="43">
        <f t="shared" si="178"/>
        <v>10808.600422656251</v>
      </c>
    </row>
    <row r="193" spans="2:32">
      <c r="K193" s="66"/>
      <c r="O193" s="43"/>
      <c r="P193" s="43"/>
      <c r="Q193" s="43"/>
      <c r="R193" s="43"/>
      <c r="S193" s="43"/>
      <c r="T193" s="43"/>
      <c r="V193" s="66"/>
      <c r="Z193" s="43"/>
      <c r="AA193" s="43"/>
      <c r="AB193" s="43"/>
      <c r="AC193" s="43"/>
      <c r="AD193" s="43"/>
      <c r="AE193" s="43"/>
    </row>
    <row r="194" spans="2:32">
      <c r="K194" s="66"/>
      <c r="L194" s="74" t="s">
        <v>41</v>
      </c>
      <c r="M194" s="74"/>
      <c r="N194" s="74"/>
      <c r="O194" s="95">
        <f>O188+O192</f>
        <v>15735.348272408613</v>
      </c>
      <c r="P194" s="95">
        <f t="shared" ref="P194:T194" si="179">P188+P192</f>
        <v>15571.566037623663</v>
      </c>
      <c r="Q194" s="95">
        <f t="shared" si="179"/>
        <v>15473.080071161839</v>
      </c>
      <c r="R194" s="95">
        <f t="shared" si="179"/>
        <v>15443.551440757845</v>
      </c>
      <c r="S194" s="95">
        <f t="shared" si="179"/>
        <v>15486.883054666607</v>
      </c>
      <c r="T194" s="95">
        <f t="shared" si="179"/>
        <v>15607.234810144879</v>
      </c>
      <c r="V194" s="66"/>
      <c r="W194" s="74" t="s">
        <v>41</v>
      </c>
      <c r="X194" s="74"/>
      <c r="Y194" s="74"/>
      <c r="Z194" s="95">
        <f>Z188+Z192</f>
        <v>15735.348272408613</v>
      </c>
      <c r="AA194" s="95">
        <f t="shared" ref="AA194:AE194" si="180">AA188+AA192</f>
        <v>15571.566037623663</v>
      </c>
      <c r="AB194" s="95">
        <f t="shared" si="180"/>
        <v>15473.080071161839</v>
      </c>
      <c r="AC194" s="95">
        <f t="shared" si="180"/>
        <v>15443.551440757845</v>
      </c>
      <c r="AD194" s="95">
        <f t="shared" si="180"/>
        <v>15486.883054666607</v>
      </c>
      <c r="AE194" s="95">
        <f t="shared" si="180"/>
        <v>15607.234810144879</v>
      </c>
    </row>
    <row r="195" spans="2:32">
      <c r="K195" s="66"/>
      <c r="O195" s="43"/>
      <c r="P195" s="43"/>
      <c r="Q195" s="43"/>
      <c r="R195" s="43"/>
      <c r="S195" s="43"/>
      <c r="T195" s="43"/>
      <c r="V195" s="66"/>
      <c r="Z195" s="43"/>
      <c r="AA195" s="43"/>
      <c r="AB195" s="43"/>
      <c r="AC195" s="43"/>
      <c r="AD195" s="43"/>
      <c r="AE195" s="43"/>
    </row>
    <row r="196" spans="2:32">
      <c r="K196" s="66"/>
      <c r="L196" s="74" t="s">
        <v>42</v>
      </c>
      <c r="M196" s="74"/>
      <c r="N196" s="74"/>
      <c r="O196" s="43"/>
      <c r="P196" s="43"/>
      <c r="Q196" s="43"/>
      <c r="R196" s="43"/>
      <c r="S196" s="43"/>
      <c r="T196" s="43"/>
      <c r="V196" s="66"/>
      <c r="W196" s="74" t="s">
        <v>42</v>
      </c>
      <c r="X196" s="74"/>
      <c r="Y196" s="74"/>
      <c r="Z196" s="43"/>
      <c r="AA196" s="43"/>
      <c r="AB196" s="43"/>
      <c r="AC196" s="43"/>
      <c r="AD196" s="43"/>
      <c r="AE196" s="43"/>
    </row>
    <row r="197" spans="2:32">
      <c r="K197" s="66"/>
      <c r="L197" s="31" t="s">
        <v>43</v>
      </c>
      <c r="O197" s="79">
        <v>189</v>
      </c>
      <c r="P197" s="79">
        <v>195.14249999999998</v>
      </c>
      <c r="Q197" s="79">
        <v>201.42674999999997</v>
      </c>
      <c r="R197" s="79">
        <v>207.85156874999998</v>
      </c>
      <c r="S197" s="79">
        <v>214.41530249999997</v>
      </c>
      <c r="T197" s="79">
        <v>221.11578070312504</v>
      </c>
      <c r="V197" s="66"/>
      <c r="W197" s="31" t="s">
        <v>43</v>
      </c>
      <c r="Z197" s="79">
        <v>189</v>
      </c>
      <c r="AA197" s="79">
        <v>195.14249999999998</v>
      </c>
      <c r="AB197" s="79">
        <v>201.42674999999997</v>
      </c>
      <c r="AC197" s="79">
        <v>207.85156874999998</v>
      </c>
      <c r="AD197" s="79">
        <v>214.41530249999997</v>
      </c>
      <c r="AE197" s="79">
        <v>221.11578070312504</v>
      </c>
    </row>
    <row r="198" spans="2:32">
      <c r="K198" s="66"/>
      <c r="L198" s="31" t="s">
        <v>44</v>
      </c>
      <c r="O198" s="79">
        <v>500</v>
      </c>
      <c r="P198" s="79">
        <v>500</v>
      </c>
      <c r="Q198" s="79">
        <v>500</v>
      </c>
      <c r="R198" s="79">
        <v>500</v>
      </c>
      <c r="S198" s="79">
        <v>500</v>
      </c>
      <c r="T198" s="79">
        <v>500</v>
      </c>
      <c r="V198" s="66"/>
      <c r="W198" s="31" t="s">
        <v>44</v>
      </c>
      <c r="Z198" s="79">
        <v>500</v>
      </c>
      <c r="AA198" s="79">
        <v>500</v>
      </c>
      <c r="AB198" s="79">
        <v>500</v>
      </c>
      <c r="AC198" s="79">
        <v>500</v>
      </c>
      <c r="AD198" s="79">
        <v>500</v>
      </c>
      <c r="AE198" s="79">
        <v>500</v>
      </c>
    </row>
    <row r="199" spans="2:32">
      <c r="K199" s="66"/>
      <c r="L199" s="31" t="s">
        <v>37</v>
      </c>
      <c r="O199" s="73">
        <v>0.3</v>
      </c>
      <c r="P199" s="73">
        <v>0.3</v>
      </c>
      <c r="Q199" s="73">
        <v>0.3</v>
      </c>
      <c r="R199" s="73">
        <v>0.3</v>
      </c>
      <c r="S199" s="73">
        <v>0.3</v>
      </c>
      <c r="T199" s="73">
        <v>0.3</v>
      </c>
      <c r="V199" s="66"/>
      <c r="W199" s="31" t="s">
        <v>37</v>
      </c>
      <c r="Z199" s="73">
        <v>0.3</v>
      </c>
      <c r="AA199" s="73">
        <v>0.3</v>
      </c>
      <c r="AB199" s="73">
        <v>0.3</v>
      </c>
      <c r="AC199" s="73">
        <v>0.3</v>
      </c>
      <c r="AD199" s="73">
        <v>0.3</v>
      </c>
      <c r="AE199" s="73">
        <v>0.3</v>
      </c>
    </row>
    <row r="200" spans="2:32">
      <c r="K200" s="66"/>
      <c r="L200" s="31" t="s">
        <v>45</v>
      </c>
      <c r="O200" s="54">
        <f>SUM(O197:O199)</f>
        <v>689.3</v>
      </c>
      <c r="P200" s="54">
        <f t="shared" ref="P200:T200" si="181">SUM(P197:P199)</f>
        <v>695.44249999999988</v>
      </c>
      <c r="Q200" s="54">
        <f t="shared" si="181"/>
        <v>701.72674999999992</v>
      </c>
      <c r="R200" s="54">
        <f t="shared" si="181"/>
        <v>708.15156874999991</v>
      </c>
      <c r="S200" s="54">
        <f t="shared" si="181"/>
        <v>714.71530249999989</v>
      </c>
      <c r="T200" s="54">
        <f t="shared" si="181"/>
        <v>721.41578070312494</v>
      </c>
      <c r="V200" s="66"/>
      <c r="W200" s="31" t="s">
        <v>45</v>
      </c>
      <c r="Z200" s="54">
        <f>SUM(Z197:Z199)</f>
        <v>689.3</v>
      </c>
      <c r="AA200" s="54">
        <f t="shared" ref="AA200:AE200" si="182">SUM(AA197:AA199)</f>
        <v>695.44249999999988</v>
      </c>
      <c r="AB200" s="54">
        <f t="shared" si="182"/>
        <v>701.72674999999992</v>
      </c>
      <c r="AC200" s="54">
        <f t="shared" si="182"/>
        <v>708.15156874999991</v>
      </c>
      <c r="AD200" s="54">
        <f t="shared" si="182"/>
        <v>714.71530249999989</v>
      </c>
      <c r="AE200" s="54">
        <f t="shared" si="182"/>
        <v>721.41578070312494</v>
      </c>
    </row>
    <row r="201" spans="2:32">
      <c r="K201" s="66"/>
      <c r="O201" s="43"/>
      <c r="P201" s="43"/>
      <c r="Q201" s="43"/>
      <c r="R201" s="43"/>
      <c r="S201" s="43"/>
      <c r="T201" s="43"/>
      <c r="V201" s="66"/>
      <c r="Z201" s="43"/>
      <c r="AA201" s="43"/>
      <c r="AB201" s="43"/>
      <c r="AC201" s="43"/>
      <c r="AD201" s="43"/>
      <c r="AE201" s="43"/>
    </row>
    <row r="202" spans="2:32">
      <c r="K202" s="66"/>
      <c r="L202" s="31" t="s">
        <v>46</v>
      </c>
      <c r="O202" s="79">
        <v>3500</v>
      </c>
      <c r="P202" s="79">
        <v>3000</v>
      </c>
      <c r="Q202" s="79">
        <v>2500</v>
      </c>
      <c r="R202" s="79">
        <v>2000</v>
      </c>
      <c r="S202" s="79">
        <v>1500</v>
      </c>
      <c r="T202" s="79">
        <v>1000</v>
      </c>
      <c r="V202" s="66"/>
      <c r="W202" s="31" t="s">
        <v>46</v>
      </c>
      <c r="Z202" s="79">
        <v>3500</v>
      </c>
      <c r="AA202" s="79">
        <v>3000</v>
      </c>
      <c r="AB202" s="79">
        <v>2500</v>
      </c>
      <c r="AC202" s="79">
        <v>2000</v>
      </c>
      <c r="AD202" s="79">
        <v>1500</v>
      </c>
      <c r="AE202" s="79">
        <v>1000</v>
      </c>
    </row>
    <row r="203" spans="2:32">
      <c r="K203" s="66"/>
      <c r="L203" s="31" t="s">
        <v>37</v>
      </c>
      <c r="O203" s="73">
        <v>1.1000000000000001</v>
      </c>
      <c r="P203" s="73">
        <v>1.1000000000000001</v>
      </c>
      <c r="Q203" s="73">
        <v>1.1000000000000001</v>
      </c>
      <c r="R203" s="73">
        <v>1.1000000000000001</v>
      </c>
      <c r="S203" s="73">
        <v>1.1000000000000001</v>
      </c>
      <c r="T203" s="73">
        <v>1.1000000000000001</v>
      </c>
      <c r="V203" s="66"/>
      <c r="W203" s="31" t="s">
        <v>37</v>
      </c>
      <c r="Z203" s="73">
        <v>1.1000000000000001</v>
      </c>
      <c r="AA203" s="73">
        <v>1.1000000000000001</v>
      </c>
      <c r="AB203" s="73">
        <v>1.1000000000000001</v>
      </c>
      <c r="AC203" s="73">
        <v>1.1000000000000001</v>
      </c>
      <c r="AD203" s="73">
        <v>1.1000000000000001</v>
      </c>
      <c r="AE203" s="73">
        <v>1.1000000000000001</v>
      </c>
    </row>
    <row r="204" spans="2:32">
      <c r="K204" s="66"/>
      <c r="L204" s="31" t="s">
        <v>47</v>
      </c>
      <c r="O204" s="54">
        <f t="shared" ref="O204:T204" si="183">SUM(O202:O203)</f>
        <v>3501.1</v>
      </c>
      <c r="P204" s="54">
        <f t="shared" si="183"/>
        <v>3001.1</v>
      </c>
      <c r="Q204" s="54">
        <f t="shared" si="183"/>
        <v>2501.1</v>
      </c>
      <c r="R204" s="54">
        <f t="shared" si="183"/>
        <v>2001.1</v>
      </c>
      <c r="S204" s="54">
        <f t="shared" si="183"/>
        <v>1501.1</v>
      </c>
      <c r="T204" s="54">
        <f t="shared" si="183"/>
        <v>1001.1</v>
      </c>
      <c r="V204" s="66"/>
      <c r="W204" s="31" t="s">
        <v>47</v>
      </c>
      <c r="Z204" s="54">
        <f t="shared" ref="Z204:AE204" si="184">SUM(Z202:Z203)</f>
        <v>3501.1</v>
      </c>
      <c r="AA204" s="54">
        <f t="shared" si="184"/>
        <v>3001.1</v>
      </c>
      <c r="AB204" s="54">
        <f t="shared" si="184"/>
        <v>2501.1</v>
      </c>
      <c r="AC204" s="54">
        <f t="shared" si="184"/>
        <v>2001.1</v>
      </c>
      <c r="AD204" s="54">
        <f t="shared" si="184"/>
        <v>1501.1</v>
      </c>
      <c r="AE204" s="54">
        <f t="shared" si="184"/>
        <v>1001.1</v>
      </c>
    </row>
    <row r="205" spans="2:32" s="74" customFormat="1">
      <c r="B205" s="31"/>
      <c r="C205" s="31"/>
      <c r="D205" s="31"/>
      <c r="E205" s="31"/>
      <c r="F205" s="31"/>
      <c r="G205" s="31"/>
      <c r="H205" s="31"/>
      <c r="I205" s="31"/>
      <c r="J205" s="31"/>
      <c r="K205" s="98"/>
      <c r="L205" s="31"/>
      <c r="M205" s="31"/>
      <c r="N205" s="31"/>
      <c r="O205" s="43"/>
      <c r="P205" s="43"/>
      <c r="Q205" s="43"/>
      <c r="R205" s="43"/>
      <c r="S205" s="43"/>
      <c r="T205" s="43"/>
      <c r="U205" s="31"/>
      <c r="V205" s="66"/>
      <c r="W205" s="31"/>
      <c r="X205" s="31"/>
      <c r="Y205" s="31"/>
      <c r="Z205" s="43"/>
      <c r="AA205" s="43"/>
      <c r="AB205" s="43"/>
      <c r="AC205" s="43"/>
      <c r="AD205" s="43"/>
      <c r="AE205" s="43"/>
      <c r="AF205" s="31"/>
    </row>
    <row r="206" spans="2:32" s="74" customFormat="1">
      <c r="B206" s="31"/>
      <c r="C206" s="31"/>
      <c r="D206" s="31"/>
      <c r="E206" s="31"/>
      <c r="F206" s="31"/>
      <c r="G206" s="31"/>
      <c r="H206" s="31"/>
      <c r="I206" s="31"/>
      <c r="J206" s="31"/>
      <c r="K206" s="98"/>
      <c r="L206" s="74" t="s">
        <v>48</v>
      </c>
      <c r="O206" s="95">
        <f>O200+O204</f>
        <v>4190.3999999999996</v>
      </c>
      <c r="P206" s="95">
        <f t="shared" ref="P206:T206" si="185">P200+P204</f>
        <v>3696.5424999999996</v>
      </c>
      <c r="Q206" s="95">
        <f t="shared" si="185"/>
        <v>3202.8267499999997</v>
      </c>
      <c r="R206" s="95">
        <f t="shared" si="185"/>
        <v>2709.2515687499999</v>
      </c>
      <c r="S206" s="95">
        <f t="shared" si="185"/>
        <v>2215.8153024999997</v>
      </c>
      <c r="T206" s="95">
        <f t="shared" si="185"/>
        <v>1722.5157807031251</v>
      </c>
      <c r="V206" s="98"/>
      <c r="W206" s="74" t="s">
        <v>48</v>
      </c>
      <c r="Z206" s="95">
        <f>Z200+Z204</f>
        <v>4190.3999999999996</v>
      </c>
      <c r="AA206" s="95">
        <f t="shared" ref="AA206:AE206" si="186">AA200+AA204</f>
        <v>3696.5424999999996</v>
      </c>
      <c r="AB206" s="95">
        <f t="shared" si="186"/>
        <v>3202.8267499999997</v>
      </c>
      <c r="AC206" s="95">
        <f t="shared" si="186"/>
        <v>2709.2515687499999</v>
      </c>
      <c r="AD206" s="95">
        <f t="shared" si="186"/>
        <v>2215.8153024999997</v>
      </c>
      <c r="AE206" s="95">
        <f t="shared" si="186"/>
        <v>1722.5157807031251</v>
      </c>
    </row>
    <row r="207" spans="2:32">
      <c r="K207" s="66"/>
      <c r="O207" s="43"/>
      <c r="P207" s="43"/>
      <c r="Q207" s="43"/>
      <c r="R207" s="43"/>
      <c r="S207" s="43"/>
      <c r="T207" s="43"/>
      <c r="U207" s="74"/>
      <c r="V207" s="98"/>
      <c r="Z207" s="43"/>
      <c r="AA207" s="43"/>
      <c r="AB207" s="43"/>
      <c r="AC207" s="43"/>
      <c r="AD207" s="43"/>
      <c r="AE207" s="43"/>
      <c r="AF207" s="74"/>
    </row>
    <row r="208" spans="2:32">
      <c r="K208" s="66"/>
      <c r="L208" s="74" t="s">
        <v>49</v>
      </c>
      <c r="M208" s="74"/>
      <c r="N208" s="74"/>
      <c r="O208" s="43"/>
      <c r="P208" s="43"/>
      <c r="Q208" s="43"/>
      <c r="R208" s="43"/>
      <c r="S208" s="43"/>
      <c r="T208" s="43"/>
      <c r="V208" s="66"/>
      <c r="W208" s="74" t="s">
        <v>49</v>
      </c>
      <c r="X208" s="74"/>
      <c r="Y208" s="74"/>
      <c r="Z208" s="43"/>
      <c r="AA208" s="43"/>
      <c r="AB208" s="43"/>
      <c r="AC208" s="43"/>
      <c r="AD208" s="43"/>
      <c r="AE208" s="43"/>
    </row>
    <row r="209" spans="11:31">
      <c r="K209" s="66"/>
      <c r="L209" s="31" t="s">
        <v>50</v>
      </c>
      <c r="O209" s="79">
        <v>3700</v>
      </c>
      <c r="P209" s="79">
        <v>3700</v>
      </c>
      <c r="Q209" s="79">
        <v>3700</v>
      </c>
      <c r="R209" s="79">
        <v>3700</v>
      </c>
      <c r="S209" s="79">
        <v>3700</v>
      </c>
      <c r="T209" s="79">
        <v>3700</v>
      </c>
      <c r="V209" s="66"/>
      <c r="W209" s="31" t="s">
        <v>50</v>
      </c>
      <c r="Z209" s="79">
        <v>3700</v>
      </c>
      <c r="AA209" s="79">
        <v>3700</v>
      </c>
      <c r="AB209" s="79">
        <v>3700</v>
      </c>
      <c r="AC209" s="79">
        <v>3700</v>
      </c>
      <c r="AD209" s="79">
        <v>3700</v>
      </c>
      <c r="AE209" s="79">
        <v>3700</v>
      </c>
    </row>
    <row r="210" spans="11:31">
      <c r="L210" s="31" t="s">
        <v>51</v>
      </c>
      <c r="O210" s="73">
        <v>7844.9482724086138</v>
      </c>
      <c r="P210" s="73">
        <v>8175.0235376236615</v>
      </c>
      <c r="Q210" s="73">
        <v>8570.2533211618411</v>
      </c>
      <c r="R210" s="73">
        <v>9034.2998720078467</v>
      </c>
      <c r="S210" s="73">
        <v>9571.0677521666094</v>
      </c>
      <c r="T210" s="73">
        <v>10184.719029441758</v>
      </c>
      <c r="V210" s="66"/>
      <c r="W210" s="31" t="s">
        <v>51</v>
      </c>
      <c r="Z210" s="73">
        <v>7844.9482724086138</v>
      </c>
      <c r="AA210" s="73">
        <v>8175.0235376236615</v>
      </c>
      <c r="AB210" s="73">
        <v>8570.2533211618411</v>
      </c>
      <c r="AC210" s="73">
        <v>9034.2998720078467</v>
      </c>
      <c r="AD210" s="73">
        <v>9571.0677521666094</v>
      </c>
      <c r="AE210" s="73">
        <v>10184.719029441758</v>
      </c>
    </row>
    <row r="211" spans="11:31">
      <c r="L211" s="74" t="s">
        <v>52</v>
      </c>
      <c r="M211" s="74"/>
      <c r="N211" s="74"/>
      <c r="O211" s="95">
        <f>SUM(O209:O210)</f>
        <v>11544.948272408614</v>
      </c>
      <c r="P211" s="95">
        <f t="shared" ref="P211:T211" si="187">SUM(P209:P210)</f>
        <v>11875.023537623661</v>
      </c>
      <c r="Q211" s="95">
        <f t="shared" si="187"/>
        <v>12270.253321161841</v>
      </c>
      <c r="R211" s="95">
        <f t="shared" si="187"/>
        <v>12734.299872007847</v>
      </c>
      <c r="S211" s="95">
        <f t="shared" si="187"/>
        <v>13271.067752166609</v>
      </c>
      <c r="T211" s="95">
        <f t="shared" si="187"/>
        <v>13884.719029441758</v>
      </c>
      <c r="W211" s="74" t="s">
        <v>52</v>
      </c>
      <c r="X211" s="74"/>
      <c r="Y211" s="74"/>
      <c r="Z211" s="95">
        <f>SUM(Z209:Z210)</f>
        <v>11544.948272408614</v>
      </c>
      <c r="AA211" s="95">
        <f t="shared" ref="AA211:AE211" si="188">SUM(AA209:AA210)</f>
        <v>11875.023537623661</v>
      </c>
      <c r="AB211" s="95">
        <f t="shared" si="188"/>
        <v>12270.253321161841</v>
      </c>
      <c r="AC211" s="95">
        <f t="shared" si="188"/>
        <v>12734.299872007847</v>
      </c>
      <c r="AD211" s="95">
        <f t="shared" si="188"/>
        <v>13271.067752166609</v>
      </c>
      <c r="AE211" s="95">
        <f t="shared" si="188"/>
        <v>13884.719029441758</v>
      </c>
    </row>
    <row r="212" spans="11:31">
      <c r="L212" s="74"/>
      <c r="M212" s="74"/>
      <c r="N212" s="74"/>
      <c r="O212" s="95"/>
      <c r="P212" s="95"/>
      <c r="Q212" s="95"/>
      <c r="R212" s="95"/>
      <c r="S212" s="95"/>
      <c r="T212" s="95"/>
      <c r="W212" s="74"/>
      <c r="X212" s="74"/>
      <c r="Y212" s="74"/>
      <c r="Z212" s="95"/>
      <c r="AA212" s="95"/>
      <c r="AB212" s="95"/>
      <c r="AC212" s="95"/>
      <c r="AD212" s="95"/>
      <c r="AE212" s="95"/>
    </row>
    <row r="213" spans="11:31">
      <c r="L213" s="74" t="s">
        <v>53</v>
      </c>
      <c r="M213" s="74"/>
      <c r="N213" s="74"/>
      <c r="O213" s="95">
        <f>O206+O211</f>
        <v>15735.348272408613</v>
      </c>
      <c r="P213" s="95">
        <f t="shared" ref="P213:T213" si="189">P206+P211</f>
        <v>15571.566037623661</v>
      </c>
      <c r="Q213" s="95">
        <f t="shared" si="189"/>
        <v>15473.080071161841</v>
      </c>
      <c r="R213" s="95">
        <f t="shared" si="189"/>
        <v>15443.551440757847</v>
      </c>
      <c r="S213" s="95">
        <f t="shared" si="189"/>
        <v>15486.883054666609</v>
      </c>
      <c r="T213" s="95">
        <f t="shared" si="189"/>
        <v>15607.234810144882</v>
      </c>
      <c r="W213" s="74" t="s">
        <v>53</v>
      </c>
      <c r="X213" s="74"/>
      <c r="Y213" s="74"/>
      <c r="Z213" s="95">
        <f>Z206+Z211</f>
        <v>15735.348272408613</v>
      </c>
      <c r="AA213" s="95">
        <f t="shared" ref="AA213:AE213" si="190">AA206+AA211</f>
        <v>15571.566037623661</v>
      </c>
      <c r="AB213" s="95">
        <f t="shared" si="190"/>
        <v>15473.080071161841</v>
      </c>
      <c r="AC213" s="95">
        <f t="shared" si="190"/>
        <v>15443.551440757847</v>
      </c>
      <c r="AD213" s="95">
        <f t="shared" si="190"/>
        <v>15486.883054666609</v>
      </c>
      <c r="AE213" s="95">
        <f t="shared" si="190"/>
        <v>15607.234810144882</v>
      </c>
    </row>
    <row r="214" spans="11:31">
      <c r="L214" s="67" t="s">
        <v>54</v>
      </c>
      <c r="M214" s="67"/>
      <c r="N214" s="67"/>
      <c r="O214" s="43">
        <f t="shared" ref="O214:T214" si="191">O194-O213</f>
        <v>0</v>
      </c>
      <c r="P214" s="43">
        <f t="shared" si="191"/>
        <v>0</v>
      </c>
      <c r="Q214" s="43">
        <f t="shared" si="191"/>
        <v>0</v>
      </c>
      <c r="R214" s="43">
        <f t="shared" si="191"/>
        <v>0</v>
      </c>
      <c r="S214" s="43">
        <f t="shared" si="191"/>
        <v>0</v>
      </c>
      <c r="T214" s="43">
        <f t="shared" si="191"/>
        <v>0</v>
      </c>
      <c r="W214" s="67" t="s">
        <v>54</v>
      </c>
      <c r="X214" s="67"/>
      <c r="Y214" s="67"/>
      <c r="Z214" s="43">
        <f t="shared" ref="Z214:AE214" si="192">Z194-Z213</f>
        <v>0</v>
      </c>
      <c r="AA214" s="43">
        <f t="shared" si="192"/>
        <v>0</v>
      </c>
      <c r="AB214" s="43">
        <f t="shared" si="192"/>
        <v>0</v>
      </c>
      <c r="AC214" s="43">
        <f t="shared" si="192"/>
        <v>0</v>
      </c>
      <c r="AD214" s="43">
        <f t="shared" si="192"/>
        <v>0</v>
      </c>
      <c r="AE214" s="43">
        <f t="shared" si="192"/>
        <v>0</v>
      </c>
    </row>
    <row r="215" spans="11:31">
      <c r="K215" s="63"/>
      <c r="L215" s="76"/>
      <c r="M215" s="76"/>
      <c r="N215" s="76"/>
      <c r="O215" s="77"/>
      <c r="P215" s="77"/>
      <c r="Q215" s="77"/>
      <c r="R215" s="77"/>
      <c r="S215" s="77"/>
      <c r="T215" s="77"/>
      <c r="W215" s="76"/>
      <c r="X215" s="76"/>
      <c r="Y215" s="76"/>
      <c r="Z215" s="77"/>
      <c r="AA215" s="77"/>
      <c r="AB215" s="77"/>
      <c r="AC215" s="77"/>
      <c r="AD215" s="77"/>
      <c r="AE215" s="77"/>
    </row>
    <row r="216" spans="11:31">
      <c r="K216" s="66"/>
      <c r="V216" s="63"/>
    </row>
    <row r="217" spans="11:31">
      <c r="K217" s="66"/>
      <c r="V217" s="66"/>
    </row>
    <row r="218" spans="11:31" ht="15.75">
      <c r="K218" s="28" t="s">
        <v>55</v>
      </c>
      <c r="L218" s="29"/>
      <c r="M218" s="29"/>
      <c r="N218" s="29"/>
      <c r="O218" s="29"/>
      <c r="P218" s="29"/>
      <c r="Q218" s="29"/>
      <c r="R218" s="29"/>
      <c r="S218" s="29"/>
      <c r="T218" s="30"/>
      <c r="V218" s="28" t="s">
        <v>55</v>
      </c>
      <c r="W218" s="29"/>
      <c r="X218" s="29"/>
      <c r="Y218" s="29"/>
      <c r="Z218" s="29"/>
      <c r="AA218" s="29"/>
      <c r="AB218" s="29"/>
      <c r="AC218" s="29"/>
      <c r="AD218" s="29"/>
      <c r="AE218" s="30"/>
    </row>
    <row r="219" spans="11:31">
      <c r="K219" s="66"/>
      <c r="V219" s="66"/>
    </row>
    <row r="220" spans="11:31">
      <c r="K220" s="66"/>
      <c r="V220" s="66"/>
    </row>
    <row r="221" spans="11:31" ht="15">
      <c r="K221" s="66"/>
      <c r="L221" s="112" t="s">
        <v>88</v>
      </c>
      <c r="M221" s="112"/>
      <c r="N221" s="112"/>
      <c r="O221" s="113"/>
      <c r="P221" s="113"/>
      <c r="Q221" s="113"/>
      <c r="R221" s="113"/>
      <c r="S221" s="113"/>
      <c r="T221" s="113"/>
      <c r="V221" s="66"/>
      <c r="W221" s="112" t="s">
        <v>88</v>
      </c>
      <c r="X221" s="112"/>
      <c r="Y221" s="112"/>
      <c r="Z221" s="113"/>
      <c r="AA221" s="113"/>
      <c r="AB221" s="113"/>
      <c r="AC221" s="113"/>
      <c r="AD221" s="113"/>
      <c r="AE221" s="113"/>
    </row>
    <row r="222" spans="11:31">
      <c r="K222" s="66"/>
      <c r="L222" s="67" t="s">
        <v>7</v>
      </c>
      <c r="M222" s="67"/>
      <c r="N222" s="67"/>
      <c r="V222" s="66"/>
      <c r="W222" s="67" t="s">
        <v>7</v>
      </c>
      <c r="X222" s="67"/>
      <c r="Y222" s="67"/>
    </row>
    <row r="223" spans="11:31">
      <c r="K223" s="66"/>
      <c r="V223" s="66"/>
    </row>
    <row r="224" spans="11:31">
      <c r="K224" s="66"/>
      <c r="O224" s="68">
        <f t="shared" ref="O224:T224" si="193">O181</f>
        <v>44561</v>
      </c>
      <c r="P224" s="69">
        <f t="shared" si="193"/>
        <v>44926</v>
      </c>
      <c r="Q224" s="69">
        <f t="shared" si="193"/>
        <v>45291</v>
      </c>
      <c r="R224" s="69">
        <f t="shared" si="193"/>
        <v>45657</v>
      </c>
      <c r="S224" s="69">
        <f t="shared" si="193"/>
        <v>46022</v>
      </c>
      <c r="T224" s="69">
        <f t="shared" si="193"/>
        <v>46387</v>
      </c>
      <c r="V224" s="66"/>
      <c r="Z224" s="68">
        <f t="shared" ref="Z224:AE224" si="194">Z181</f>
        <v>44561</v>
      </c>
      <c r="AA224" s="69">
        <f t="shared" si="194"/>
        <v>44926</v>
      </c>
      <c r="AB224" s="69">
        <f t="shared" si="194"/>
        <v>45291</v>
      </c>
      <c r="AC224" s="69">
        <f t="shared" si="194"/>
        <v>45657</v>
      </c>
      <c r="AD224" s="69">
        <f t="shared" si="194"/>
        <v>46022</v>
      </c>
      <c r="AE224" s="69">
        <f t="shared" si="194"/>
        <v>46387</v>
      </c>
    </row>
    <row r="225" spans="11:31">
      <c r="K225" s="66"/>
      <c r="V225" s="66"/>
    </row>
    <row r="226" spans="11:31">
      <c r="K226" s="66"/>
      <c r="L226" s="31" t="s">
        <v>8</v>
      </c>
      <c r="O226" s="79">
        <v>1428.5714285714287</v>
      </c>
      <c r="P226" s="79">
        <v>1514.2857142857144</v>
      </c>
      <c r="Q226" s="79">
        <v>1605.1428571428573</v>
      </c>
      <c r="R226" s="79">
        <v>1701.4514285714288</v>
      </c>
      <c r="S226" s="79">
        <v>1803.5385142857147</v>
      </c>
      <c r="T226" s="79">
        <v>1911.7508251428576</v>
      </c>
      <c r="V226" s="66"/>
      <c r="W226" s="31" t="s">
        <v>8</v>
      </c>
      <c r="Z226" s="79">
        <v>1428.5714285714287</v>
      </c>
      <c r="AA226" s="79">
        <v>1514.2857142857144</v>
      </c>
      <c r="AB226" s="79">
        <v>1605.1428571428573</v>
      </c>
      <c r="AC226" s="79">
        <v>1701.4514285714288</v>
      </c>
      <c r="AD226" s="79">
        <v>1803.5385142857147</v>
      </c>
      <c r="AE226" s="79">
        <v>1911.7508251428576</v>
      </c>
    </row>
    <row r="227" spans="11:31">
      <c r="K227" s="66"/>
      <c r="L227" s="31" t="s">
        <v>9</v>
      </c>
      <c r="O227" s="73">
        <v>-828.57142857142878</v>
      </c>
      <c r="P227" s="73">
        <v>-863.14285714285734</v>
      </c>
      <c r="Q227" s="73">
        <v>-898.88000000000022</v>
      </c>
      <c r="R227" s="73">
        <v>-935.79828571428595</v>
      </c>
      <c r="S227" s="73">
        <v>-973.91079771428599</v>
      </c>
      <c r="T227" s="73">
        <v>-1013.2279373257146</v>
      </c>
      <c r="V227" s="66"/>
      <c r="W227" s="31" t="s">
        <v>9</v>
      </c>
      <c r="Z227" s="73">
        <v>-828.57142857142878</v>
      </c>
      <c r="AA227" s="73">
        <v>-863.14285714285734</v>
      </c>
      <c r="AB227" s="73">
        <v>-898.88000000000022</v>
      </c>
      <c r="AC227" s="73">
        <v>-935.79828571428595</v>
      </c>
      <c r="AD227" s="73">
        <v>-973.91079771428599</v>
      </c>
      <c r="AE227" s="73">
        <v>-1013.2279373257146</v>
      </c>
    </row>
    <row r="228" spans="11:31">
      <c r="K228" s="66"/>
      <c r="L228" s="31" t="s">
        <v>10</v>
      </c>
      <c r="O228" s="54">
        <f>SUM(O226:O227)</f>
        <v>599.99999999999989</v>
      </c>
      <c r="P228" s="54">
        <f t="shared" ref="P228:T228" si="195">SUM(P226:P227)</f>
        <v>651.14285714285711</v>
      </c>
      <c r="Q228" s="54">
        <f t="shared" si="195"/>
        <v>706.26285714285711</v>
      </c>
      <c r="R228" s="54">
        <f t="shared" si="195"/>
        <v>765.65314285714283</v>
      </c>
      <c r="S228" s="54">
        <f t="shared" si="195"/>
        <v>829.62771657142866</v>
      </c>
      <c r="T228" s="54">
        <f t="shared" si="195"/>
        <v>898.52288781714299</v>
      </c>
      <c r="V228" s="66"/>
      <c r="W228" s="31" t="s">
        <v>10</v>
      </c>
      <c r="Z228" s="54">
        <f>SUM(Z226:Z227)</f>
        <v>599.99999999999989</v>
      </c>
      <c r="AA228" s="54">
        <f t="shared" ref="AA228:AE228" si="196">SUM(AA226:AA227)</f>
        <v>651.14285714285711</v>
      </c>
      <c r="AB228" s="54">
        <f t="shared" si="196"/>
        <v>706.26285714285711</v>
      </c>
      <c r="AC228" s="54">
        <f t="shared" si="196"/>
        <v>765.65314285714283</v>
      </c>
      <c r="AD228" s="54">
        <f t="shared" si="196"/>
        <v>829.62771657142866</v>
      </c>
      <c r="AE228" s="54">
        <f t="shared" si="196"/>
        <v>898.52288781714299</v>
      </c>
    </row>
    <row r="229" spans="11:31">
      <c r="K229" s="66"/>
      <c r="L229" s="31" t="s">
        <v>11</v>
      </c>
      <c r="O229" s="73">
        <v>-57.142857142857146</v>
      </c>
      <c r="P229" s="73">
        <v>-60.571428571428577</v>
      </c>
      <c r="Q229" s="73">
        <v>-64.205714285714294</v>
      </c>
      <c r="R229" s="73">
        <v>-68.058057142857152</v>
      </c>
      <c r="S229" s="73">
        <v>-72.141540571428592</v>
      </c>
      <c r="T229" s="73">
        <v>-76.470033005714299</v>
      </c>
      <c r="V229" s="66"/>
      <c r="W229" s="31" t="s">
        <v>11</v>
      </c>
      <c r="Z229" s="73">
        <v>-57.142857142857146</v>
      </c>
      <c r="AA229" s="73">
        <v>-60.571428571428577</v>
      </c>
      <c r="AB229" s="73">
        <v>-64.205714285714294</v>
      </c>
      <c r="AC229" s="73">
        <v>-68.058057142857152</v>
      </c>
      <c r="AD229" s="73">
        <v>-72.141540571428592</v>
      </c>
      <c r="AE229" s="73">
        <v>-76.470033005714299</v>
      </c>
    </row>
    <row r="230" spans="11:31">
      <c r="K230" s="66"/>
      <c r="L230" s="31" t="s">
        <v>12</v>
      </c>
      <c r="O230" s="54">
        <f>SUM(O228:O229)</f>
        <v>542.85714285714278</v>
      </c>
      <c r="P230" s="54">
        <f t="shared" ref="P230:T230" si="197">SUM(P228:P229)</f>
        <v>590.57142857142856</v>
      </c>
      <c r="Q230" s="54">
        <f t="shared" si="197"/>
        <v>642.05714285714282</v>
      </c>
      <c r="R230" s="54">
        <f t="shared" si="197"/>
        <v>697.59508571428569</v>
      </c>
      <c r="S230" s="54">
        <f t="shared" si="197"/>
        <v>757.48617600000011</v>
      </c>
      <c r="T230" s="54">
        <f t="shared" si="197"/>
        <v>822.05285481142869</v>
      </c>
      <c r="V230" s="66"/>
      <c r="W230" s="31" t="s">
        <v>12</v>
      </c>
      <c r="Z230" s="54">
        <f>SUM(Z228:Z229)</f>
        <v>542.85714285714278</v>
      </c>
      <c r="AA230" s="54">
        <f t="shared" ref="AA230:AE230" si="198">SUM(AA228:AA229)</f>
        <v>590.57142857142856</v>
      </c>
      <c r="AB230" s="54">
        <f t="shared" si="198"/>
        <v>642.05714285714282</v>
      </c>
      <c r="AC230" s="54">
        <f t="shared" si="198"/>
        <v>697.59508571428569</v>
      </c>
      <c r="AD230" s="54">
        <f t="shared" si="198"/>
        <v>757.48617600000011</v>
      </c>
      <c r="AE230" s="54">
        <f t="shared" si="198"/>
        <v>822.05285481142869</v>
      </c>
    </row>
    <row r="231" spans="11:31">
      <c r="K231" s="66"/>
      <c r="L231" s="31" t="s">
        <v>13</v>
      </c>
      <c r="O231" s="73">
        <v>-207.14285714285714</v>
      </c>
      <c r="P231" s="73">
        <v>-219.57142857142858</v>
      </c>
      <c r="Q231" s="73">
        <v>-232.74571428571429</v>
      </c>
      <c r="R231" s="73">
        <v>-246.71045714285717</v>
      </c>
      <c r="S231" s="73">
        <v>-261.51308457142864</v>
      </c>
      <c r="T231" s="73">
        <v>-277.20386964571435</v>
      </c>
      <c r="V231" s="66"/>
      <c r="W231" s="31" t="s">
        <v>13</v>
      </c>
      <c r="Z231" s="73">
        <v>-207.14285714285714</v>
      </c>
      <c r="AA231" s="73">
        <v>-219.57142857142858</v>
      </c>
      <c r="AB231" s="73">
        <v>-232.74571428571429</v>
      </c>
      <c r="AC231" s="73">
        <v>-246.71045714285717</v>
      </c>
      <c r="AD231" s="73">
        <v>-261.51308457142864</v>
      </c>
      <c r="AE231" s="73">
        <v>-277.20386964571435</v>
      </c>
    </row>
    <row r="232" spans="11:31">
      <c r="K232" s="66"/>
      <c r="L232" s="31" t="s">
        <v>14</v>
      </c>
      <c r="O232" s="54">
        <f>SUM(O230:O231)</f>
        <v>335.71428571428567</v>
      </c>
      <c r="P232" s="54">
        <f t="shared" ref="P232:T232" si="199">SUM(P230:P231)</f>
        <v>371</v>
      </c>
      <c r="Q232" s="54">
        <f t="shared" si="199"/>
        <v>409.31142857142856</v>
      </c>
      <c r="R232" s="54">
        <f t="shared" si="199"/>
        <v>450.88462857142849</v>
      </c>
      <c r="S232" s="54">
        <f t="shared" si="199"/>
        <v>495.97309142857148</v>
      </c>
      <c r="T232" s="54">
        <f t="shared" si="199"/>
        <v>544.84898516571434</v>
      </c>
      <c r="V232" s="66"/>
      <c r="W232" s="31" t="s">
        <v>14</v>
      </c>
      <c r="Z232" s="54">
        <f>SUM(Z230:Z231)</f>
        <v>335.71428571428567</v>
      </c>
      <c r="AA232" s="54">
        <f t="shared" ref="AA232:AE232" si="200">SUM(AA230:AA231)</f>
        <v>371</v>
      </c>
      <c r="AB232" s="54">
        <f t="shared" si="200"/>
        <v>409.31142857142856</v>
      </c>
      <c r="AC232" s="54">
        <f t="shared" si="200"/>
        <v>450.88462857142849</v>
      </c>
      <c r="AD232" s="54">
        <f t="shared" si="200"/>
        <v>495.97309142857148</v>
      </c>
      <c r="AE232" s="54">
        <f t="shared" si="200"/>
        <v>544.84898516571434</v>
      </c>
    </row>
    <row r="233" spans="11:31">
      <c r="K233" s="66"/>
      <c r="L233" s="31" t="s">
        <v>15</v>
      </c>
      <c r="O233" s="73">
        <v>-121.78601737269543</v>
      </c>
      <c r="P233" s="73">
        <v>-107.29927659202717</v>
      </c>
      <c r="Q233" s="73">
        <v>-92.687264377412063</v>
      </c>
      <c r="R233" s="73">
        <v>-77.937961038803266</v>
      </c>
      <c r="S233" s="73">
        <v>-63.042430704062497</v>
      </c>
      <c r="T233" s="73">
        <v>-47.991037832600853</v>
      </c>
      <c r="V233" s="66"/>
      <c r="W233" s="31" t="s">
        <v>15</v>
      </c>
      <c r="Z233" s="73">
        <v>-121.78601737269543</v>
      </c>
      <c r="AA233" s="73">
        <v>-107.29927659202717</v>
      </c>
      <c r="AB233" s="73">
        <v>-92.687264377412063</v>
      </c>
      <c r="AC233" s="73">
        <v>-77.937961038803266</v>
      </c>
      <c r="AD233" s="73">
        <v>-63.042430704062497</v>
      </c>
      <c r="AE233" s="73">
        <v>-47.991037832600853</v>
      </c>
    </row>
    <row r="234" spans="11:31">
      <c r="K234" s="63"/>
      <c r="L234" s="31" t="s">
        <v>16</v>
      </c>
      <c r="O234" s="54">
        <f>SUM(O232:O233)</f>
        <v>213.92826834159024</v>
      </c>
      <c r="P234" s="54">
        <f t="shared" ref="P234:T234" si="201">SUM(P232:P233)</f>
        <v>263.70072340797282</v>
      </c>
      <c r="Q234" s="54">
        <f t="shared" si="201"/>
        <v>316.62416419401649</v>
      </c>
      <c r="R234" s="54">
        <f t="shared" si="201"/>
        <v>372.94666753262521</v>
      </c>
      <c r="S234" s="54">
        <f t="shared" si="201"/>
        <v>432.93066072450898</v>
      </c>
      <c r="T234" s="54">
        <f t="shared" si="201"/>
        <v>496.85794733311349</v>
      </c>
      <c r="V234" s="66"/>
      <c r="W234" s="31" t="s">
        <v>16</v>
      </c>
      <c r="Z234" s="54">
        <f>SUM(Z232:Z233)</f>
        <v>213.92826834159024</v>
      </c>
      <c r="AA234" s="54">
        <f t="shared" ref="AA234:AE234" si="202">SUM(AA232:AA233)</f>
        <v>263.70072340797282</v>
      </c>
      <c r="AB234" s="54">
        <f t="shared" si="202"/>
        <v>316.62416419401649</v>
      </c>
      <c r="AC234" s="54">
        <f t="shared" si="202"/>
        <v>372.94666753262521</v>
      </c>
      <c r="AD234" s="54">
        <f t="shared" si="202"/>
        <v>432.93066072450898</v>
      </c>
      <c r="AE234" s="54">
        <f t="shared" si="202"/>
        <v>496.85794733311349</v>
      </c>
    </row>
    <row r="235" spans="11:31">
      <c r="K235" s="66"/>
      <c r="L235" s="31" t="s">
        <v>17</v>
      </c>
      <c r="O235" s="73">
        <v>-49.203501718565761</v>
      </c>
      <c r="P235" s="73">
        <v>-60.651166383833747</v>
      </c>
      <c r="Q235" s="73">
        <v>-72.8235577646238</v>
      </c>
      <c r="R235" s="73">
        <v>-85.777733532503802</v>
      </c>
      <c r="S235" s="73">
        <v>-99.574051966637072</v>
      </c>
      <c r="T235" s="73">
        <v>-114.27732788661611</v>
      </c>
      <c r="V235" s="63"/>
      <c r="W235" s="31" t="s">
        <v>17</v>
      </c>
      <c r="Z235" s="73">
        <v>-49.203501718565761</v>
      </c>
      <c r="AA235" s="73">
        <v>-60.651166383833747</v>
      </c>
      <c r="AB235" s="73">
        <v>-72.8235577646238</v>
      </c>
      <c r="AC235" s="73">
        <v>-85.777733532503802</v>
      </c>
      <c r="AD235" s="73">
        <v>-99.574051966637072</v>
      </c>
      <c r="AE235" s="73">
        <v>-114.27732788661611</v>
      </c>
    </row>
    <row r="236" spans="11:31">
      <c r="K236" s="66"/>
      <c r="L236" s="74" t="s">
        <v>18</v>
      </c>
      <c r="M236" s="74"/>
      <c r="N236" s="74"/>
      <c r="O236" s="75">
        <f>SUM(O234:O235)</f>
        <v>164.72476662302449</v>
      </c>
      <c r="P236" s="75">
        <f t="shared" ref="P236:T236" si="203">SUM(P234:P235)</f>
        <v>203.04955702413906</v>
      </c>
      <c r="Q236" s="75">
        <f t="shared" si="203"/>
        <v>243.8006064293927</v>
      </c>
      <c r="R236" s="75">
        <f t="shared" si="203"/>
        <v>287.1689340001214</v>
      </c>
      <c r="S236" s="75">
        <f t="shared" si="203"/>
        <v>333.35660875787192</v>
      </c>
      <c r="T236" s="75">
        <f t="shared" si="203"/>
        <v>382.58061944649739</v>
      </c>
      <c r="V236" s="66"/>
      <c r="W236" s="74" t="s">
        <v>18</v>
      </c>
      <c r="X236" s="74"/>
      <c r="Y236" s="74"/>
      <c r="Z236" s="75">
        <f>SUM(Z234:Z235)</f>
        <v>164.72476662302449</v>
      </c>
      <c r="AA236" s="75">
        <f t="shared" ref="AA236:AE236" si="204">SUM(AA234:AA235)</f>
        <v>203.04955702413906</v>
      </c>
      <c r="AB236" s="75">
        <f t="shared" si="204"/>
        <v>243.8006064293927</v>
      </c>
      <c r="AC236" s="75">
        <f t="shared" si="204"/>
        <v>287.1689340001214</v>
      </c>
      <c r="AD236" s="75">
        <f t="shared" si="204"/>
        <v>333.35660875787192</v>
      </c>
      <c r="AE236" s="75">
        <f t="shared" si="204"/>
        <v>382.58061944649739</v>
      </c>
    </row>
    <row r="237" spans="11:31">
      <c r="K237" s="66"/>
      <c r="L237" s="76"/>
      <c r="M237" s="76"/>
      <c r="N237" s="76"/>
      <c r="O237" s="77"/>
      <c r="P237" s="77"/>
      <c r="Q237" s="77"/>
      <c r="R237" s="77"/>
      <c r="S237" s="77"/>
      <c r="T237" s="77"/>
      <c r="V237" s="66"/>
      <c r="W237" s="76"/>
      <c r="X237" s="76"/>
      <c r="Y237" s="76"/>
      <c r="Z237" s="77"/>
      <c r="AA237" s="77"/>
      <c r="AB237" s="77"/>
      <c r="AC237" s="77"/>
      <c r="AD237" s="77"/>
      <c r="AE237" s="77"/>
    </row>
    <row r="238" spans="11:31">
      <c r="K238" s="66"/>
      <c r="O238" s="78"/>
      <c r="P238" s="78"/>
      <c r="Q238" s="78"/>
      <c r="R238" s="78"/>
      <c r="S238" s="78"/>
      <c r="T238" s="78"/>
      <c r="V238" s="66"/>
      <c r="Z238" s="78"/>
      <c r="AA238" s="78"/>
      <c r="AB238" s="78"/>
      <c r="AC238" s="78"/>
      <c r="AD238" s="78"/>
      <c r="AE238" s="78"/>
    </row>
    <row r="239" spans="11:31">
      <c r="K239" s="66"/>
      <c r="O239" s="78"/>
      <c r="P239" s="78"/>
      <c r="Q239" s="78"/>
      <c r="R239" s="78"/>
      <c r="S239" s="78"/>
      <c r="T239" s="78"/>
      <c r="V239" s="66"/>
      <c r="Z239" s="78"/>
      <c r="AA239" s="78"/>
      <c r="AB239" s="78"/>
      <c r="AC239" s="78"/>
      <c r="AD239" s="78"/>
      <c r="AE239" s="78"/>
    </row>
    <row r="240" spans="11:31" ht="15">
      <c r="K240" s="66"/>
      <c r="L240" s="112" t="s">
        <v>89</v>
      </c>
      <c r="M240" s="112"/>
      <c r="N240" s="112"/>
      <c r="O240" s="113"/>
      <c r="P240" s="113"/>
      <c r="Q240" s="113"/>
      <c r="R240" s="113"/>
      <c r="S240" s="113"/>
      <c r="T240" s="113"/>
      <c r="V240" s="66"/>
      <c r="W240" s="112" t="s">
        <v>89</v>
      </c>
      <c r="X240" s="112"/>
      <c r="Y240" s="112"/>
      <c r="Z240" s="113"/>
      <c r="AA240" s="113"/>
      <c r="AB240" s="113"/>
      <c r="AC240" s="113"/>
      <c r="AD240" s="113"/>
      <c r="AE240" s="113"/>
    </row>
    <row r="241" spans="11:31">
      <c r="K241" s="66"/>
      <c r="L241" s="67" t="s">
        <v>7</v>
      </c>
      <c r="M241" s="67"/>
      <c r="N241" s="67"/>
      <c r="V241" s="66"/>
      <c r="W241" s="67" t="s">
        <v>7</v>
      </c>
      <c r="X241" s="67"/>
      <c r="Y241" s="67"/>
    </row>
    <row r="242" spans="11:31">
      <c r="K242" s="66"/>
      <c r="L242" s="67"/>
      <c r="M242" s="67"/>
      <c r="N242" s="67"/>
      <c r="V242" s="66"/>
      <c r="W242" s="67"/>
      <c r="X242" s="67"/>
      <c r="Y242" s="67"/>
    </row>
    <row r="243" spans="11:31">
      <c r="K243" s="66"/>
      <c r="O243" s="68">
        <f t="shared" ref="O243:T243" si="205">O224</f>
        <v>44561</v>
      </c>
      <c r="P243" s="69">
        <f t="shared" si="205"/>
        <v>44926</v>
      </c>
      <c r="Q243" s="69">
        <f t="shared" si="205"/>
        <v>45291</v>
      </c>
      <c r="R243" s="69">
        <f t="shared" si="205"/>
        <v>45657</v>
      </c>
      <c r="S243" s="69">
        <f t="shared" si="205"/>
        <v>46022</v>
      </c>
      <c r="T243" s="69">
        <f t="shared" si="205"/>
        <v>46387</v>
      </c>
      <c r="V243" s="66"/>
      <c r="Z243" s="68">
        <f t="shared" ref="Z243:AE243" si="206">Z224</f>
        <v>44561</v>
      </c>
      <c r="AA243" s="69">
        <f t="shared" si="206"/>
        <v>44926</v>
      </c>
      <c r="AB243" s="69">
        <f t="shared" si="206"/>
        <v>45291</v>
      </c>
      <c r="AC243" s="69">
        <f t="shared" si="206"/>
        <v>45657</v>
      </c>
      <c r="AD243" s="69">
        <f t="shared" si="206"/>
        <v>46022</v>
      </c>
      <c r="AE243" s="69">
        <f t="shared" si="206"/>
        <v>46387</v>
      </c>
    </row>
    <row r="244" spans="11:31">
      <c r="K244" s="66"/>
      <c r="L244" s="67"/>
      <c r="M244" s="67"/>
      <c r="N244" s="67"/>
      <c r="V244" s="66"/>
      <c r="W244" s="67"/>
      <c r="X244" s="67"/>
      <c r="Y244" s="67"/>
    </row>
    <row r="245" spans="11:31">
      <c r="K245" s="66"/>
      <c r="L245" s="74" t="s">
        <v>20</v>
      </c>
      <c r="M245" s="74"/>
      <c r="N245" s="74"/>
      <c r="O245" s="78"/>
      <c r="V245" s="66"/>
      <c r="W245" s="74" t="s">
        <v>20</v>
      </c>
      <c r="X245" s="74"/>
      <c r="Y245" s="74"/>
      <c r="Z245" s="78"/>
    </row>
    <row r="246" spans="11:31">
      <c r="K246" s="66"/>
      <c r="L246" s="31" t="s">
        <v>18</v>
      </c>
      <c r="O246" s="54">
        <f t="shared" ref="O246:T246" si="207">O236</f>
        <v>164.72476662302449</v>
      </c>
      <c r="P246" s="54">
        <f t="shared" si="207"/>
        <v>203.04955702413906</v>
      </c>
      <c r="Q246" s="54">
        <f t="shared" si="207"/>
        <v>243.8006064293927</v>
      </c>
      <c r="R246" s="54">
        <f t="shared" si="207"/>
        <v>287.1689340001214</v>
      </c>
      <c r="S246" s="54">
        <f t="shared" si="207"/>
        <v>333.35660875787192</v>
      </c>
      <c r="T246" s="54">
        <f t="shared" si="207"/>
        <v>382.58061944649739</v>
      </c>
      <c r="V246" s="66"/>
      <c r="W246" s="31" t="s">
        <v>18</v>
      </c>
      <c r="Z246" s="54">
        <f t="shared" ref="Z246:AE246" si="208">Z236</f>
        <v>164.72476662302449</v>
      </c>
      <c r="AA246" s="54">
        <f t="shared" si="208"/>
        <v>203.04955702413906</v>
      </c>
      <c r="AB246" s="54">
        <f t="shared" si="208"/>
        <v>243.8006064293927</v>
      </c>
      <c r="AC246" s="54">
        <f t="shared" si="208"/>
        <v>287.1689340001214</v>
      </c>
      <c r="AD246" s="54">
        <f t="shared" si="208"/>
        <v>333.35660875787192</v>
      </c>
      <c r="AE246" s="54">
        <f t="shared" si="208"/>
        <v>382.58061944649739</v>
      </c>
    </row>
    <row r="247" spans="11:31">
      <c r="K247" s="66"/>
      <c r="L247" s="31" t="s">
        <v>21</v>
      </c>
      <c r="O247" s="54">
        <f t="shared" ref="O247:T247" si="209">-O231</f>
        <v>207.14285714285714</v>
      </c>
      <c r="P247" s="54">
        <f t="shared" si="209"/>
        <v>219.57142857142858</v>
      </c>
      <c r="Q247" s="54">
        <f t="shared" si="209"/>
        <v>232.74571428571429</v>
      </c>
      <c r="R247" s="54">
        <f t="shared" si="209"/>
        <v>246.71045714285717</v>
      </c>
      <c r="S247" s="54">
        <f t="shared" si="209"/>
        <v>261.51308457142864</v>
      </c>
      <c r="T247" s="54">
        <f t="shared" si="209"/>
        <v>277.20386964571435</v>
      </c>
      <c r="V247" s="66"/>
      <c r="W247" s="31" t="s">
        <v>21</v>
      </c>
      <c r="Z247" s="54">
        <f t="shared" ref="Z247:AE247" si="210">-Z231</f>
        <v>207.14285714285714</v>
      </c>
      <c r="AA247" s="54">
        <f t="shared" si="210"/>
        <v>219.57142857142858</v>
      </c>
      <c r="AB247" s="54">
        <f t="shared" si="210"/>
        <v>232.74571428571429</v>
      </c>
      <c r="AC247" s="54">
        <f t="shared" si="210"/>
        <v>246.71045714285717</v>
      </c>
      <c r="AD247" s="54">
        <f t="shared" si="210"/>
        <v>261.51308457142864</v>
      </c>
      <c r="AE247" s="54">
        <f t="shared" si="210"/>
        <v>277.20386964571435</v>
      </c>
    </row>
    <row r="248" spans="11:31">
      <c r="K248" s="66"/>
      <c r="L248" s="31" t="s">
        <v>22</v>
      </c>
      <c r="O248" s="73">
        <v>-9</v>
      </c>
      <c r="P248" s="73">
        <v>-11.074285714285736</v>
      </c>
      <c r="Q248" s="73">
        <v>-11.68422857142852</v>
      </c>
      <c r="R248" s="73">
        <v>-12.327497142857169</v>
      </c>
      <c r="S248" s="73">
        <v>-13.005894720000043</v>
      </c>
      <c r="T248" s="73">
        <v>-13.721321016685721</v>
      </c>
      <c r="V248" s="66"/>
      <c r="W248" s="31" t="s">
        <v>22</v>
      </c>
      <c r="Z248" s="73">
        <v>-9</v>
      </c>
      <c r="AA248" s="73">
        <v>-11.074285714285736</v>
      </c>
      <c r="AB248" s="73">
        <v>-11.68422857142852</v>
      </c>
      <c r="AC248" s="73">
        <v>-12.327497142857169</v>
      </c>
      <c r="AD248" s="73">
        <v>-13.005894720000043</v>
      </c>
      <c r="AE248" s="73">
        <v>-13.721321016685721</v>
      </c>
    </row>
    <row r="249" spans="11:31">
      <c r="K249" s="66"/>
      <c r="L249" s="31" t="s">
        <v>20</v>
      </c>
      <c r="O249" s="54">
        <f>SUM(O246:O248)</f>
        <v>362.8676237658816</v>
      </c>
      <c r="P249" s="54">
        <f t="shared" ref="P249:T249" si="211">SUM(P246:P248)</f>
        <v>411.54669988128188</v>
      </c>
      <c r="Q249" s="54">
        <f t="shared" si="211"/>
        <v>464.86209214367841</v>
      </c>
      <c r="R249" s="54">
        <f t="shared" si="211"/>
        <v>521.55189400012137</v>
      </c>
      <c r="S249" s="54">
        <f t="shared" si="211"/>
        <v>581.8637986093006</v>
      </c>
      <c r="T249" s="54">
        <f t="shared" si="211"/>
        <v>646.06316807552605</v>
      </c>
      <c r="V249" s="66"/>
      <c r="W249" s="31" t="s">
        <v>20</v>
      </c>
      <c r="Z249" s="54">
        <f>SUM(Z246:Z248)</f>
        <v>362.8676237658816</v>
      </c>
      <c r="AA249" s="54">
        <f t="shared" ref="AA249:AE249" si="212">SUM(AA246:AA248)</f>
        <v>411.54669988128188</v>
      </c>
      <c r="AB249" s="54">
        <f t="shared" si="212"/>
        <v>464.86209214367841</v>
      </c>
      <c r="AC249" s="54">
        <f t="shared" si="212"/>
        <v>521.55189400012137</v>
      </c>
      <c r="AD249" s="54">
        <f t="shared" si="212"/>
        <v>581.8637986093006</v>
      </c>
      <c r="AE249" s="54">
        <f t="shared" si="212"/>
        <v>646.06316807552605</v>
      </c>
    </row>
    <row r="250" spans="11:31">
      <c r="K250" s="66"/>
      <c r="L250" s="67"/>
      <c r="M250" s="67"/>
      <c r="N250" s="67"/>
      <c r="O250" s="43"/>
      <c r="P250" s="43"/>
      <c r="Q250" s="43"/>
      <c r="R250" s="43"/>
      <c r="S250" s="43"/>
      <c r="T250" s="43"/>
      <c r="V250" s="66"/>
      <c r="W250" s="67"/>
      <c r="X250" s="67"/>
      <c r="Y250" s="67"/>
      <c r="Z250" s="43"/>
      <c r="AA250" s="43"/>
      <c r="AB250" s="43"/>
      <c r="AC250" s="43"/>
      <c r="AD250" s="43"/>
      <c r="AE250" s="43"/>
    </row>
    <row r="251" spans="11:31">
      <c r="K251" s="66"/>
      <c r="L251" s="74" t="s">
        <v>23</v>
      </c>
      <c r="M251" s="74"/>
      <c r="N251" s="74"/>
      <c r="O251" s="43"/>
      <c r="P251" s="43"/>
      <c r="Q251" s="43"/>
      <c r="R251" s="43"/>
      <c r="S251" s="43"/>
      <c r="T251" s="43"/>
      <c r="V251" s="66"/>
      <c r="W251" s="74" t="s">
        <v>23</v>
      </c>
      <c r="X251" s="74"/>
      <c r="Y251" s="74"/>
      <c r="Z251" s="43"/>
      <c r="AA251" s="43"/>
      <c r="AB251" s="43"/>
      <c r="AC251" s="43"/>
      <c r="AD251" s="43"/>
      <c r="AE251" s="43"/>
    </row>
    <row r="252" spans="11:31">
      <c r="K252" s="66"/>
      <c r="L252" s="31" t="s">
        <v>24</v>
      </c>
      <c r="O252" s="73">
        <v>-227.85714285714286</v>
      </c>
      <c r="P252" s="73">
        <v>-241.52857142857147</v>
      </c>
      <c r="Q252" s="73">
        <v>-256.02028571428576</v>
      </c>
      <c r="R252" s="73">
        <v>-271.38150285714289</v>
      </c>
      <c r="S252" s="73">
        <v>-287.66439302857151</v>
      </c>
      <c r="T252" s="73">
        <v>-304.92425661028579</v>
      </c>
      <c r="V252" s="66"/>
      <c r="W252" s="31" t="s">
        <v>24</v>
      </c>
      <c r="Z252" s="73">
        <v>-227.85714285714286</v>
      </c>
      <c r="AA252" s="73">
        <v>-241.52857142857147</v>
      </c>
      <c r="AB252" s="73">
        <v>-256.02028571428576</v>
      </c>
      <c r="AC252" s="73">
        <v>-271.38150285714289</v>
      </c>
      <c r="AD252" s="73">
        <v>-287.66439302857151</v>
      </c>
      <c r="AE252" s="73">
        <v>-304.92425661028579</v>
      </c>
    </row>
    <row r="253" spans="11:31">
      <c r="K253" s="66"/>
      <c r="L253" s="31" t="s">
        <v>23</v>
      </c>
      <c r="O253" s="54">
        <f t="shared" ref="O253:T253" si="213">SUM(O252:O252)</f>
        <v>-227.85714285714286</v>
      </c>
      <c r="P253" s="54">
        <f t="shared" si="213"/>
        <v>-241.52857142857147</v>
      </c>
      <c r="Q253" s="54">
        <f t="shared" si="213"/>
        <v>-256.02028571428576</v>
      </c>
      <c r="R253" s="54">
        <f t="shared" si="213"/>
        <v>-271.38150285714289</v>
      </c>
      <c r="S253" s="54">
        <f t="shared" si="213"/>
        <v>-287.66439302857151</v>
      </c>
      <c r="T253" s="54">
        <f t="shared" si="213"/>
        <v>-304.92425661028579</v>
      </c>
      <c r="V253" s="66"/>
      <c r="W253" s="31" t="s">
        <v>23</v>
      </c>
      <c r="Z253" s="54">
        <f t="shared" ref="Z253:AE253" si="214">SUM(Z252:Z252)</f>
        <v>-227.85714285714286</v>
      </c>
      <c r="AA253" s="54">
        <f t="shared" si="214"/>
        <v>-241.52857142857147</v>
      </c>
      <c r="AB253" s="54">
        <f t="shared" si="214"/>
        <v>-256.02028571428576</v>
      </c>
      <c r="AC253" s="54">
        <f t="shared" si="214"/>
        <v>-271.38150285714289</v>
      </c>
      <c r="AD253" s="54">
        <f t="shared" si="214"/>
        <v>-287.66439302857151</v>
      </c>
      <c r="AE253" s="54">
        <f t="shared" si="214"/>
        <v>-304.92425661028579</v>
      </c>
    </row>
    <row r="254" spans="11:31">
      <c r="K254" s="66"/>
      <c r="O254" s="54"/>
      <c r="P254" s="54"/>
      <c r="Q254" s="54"/>
      <c r="R254" s="54"/>
      <c r="S254" s="54"/>
      <c r="T254" s="54"/>
      <c r="V254" s="66"/>
      <c r="Z254" s="54"/>
      <c r="AA254" s="54"/>
      <c r="AB254" s="54"/>
      <c r="AC254" s="54"/>
      <c r="AD254" s="54"/>
      <c r="AE254" s="54"/>
    </row>
    <row r="255" spans="11:31">
      <c r="K255" s="66"/>
      <c r="L255" s="74" t="s">
        <v>25</v>
      </c>
      <c r="M255" s="74"/>
      <c r="N255" s="74"/>
      <c r="O255" s="43"/>
      <c r="P255" s="43"/>
      <c r="Q255" s="43"/>
      <c r="R255" s="43"/>
      <c r="S255" s="43"/>
      <c r="T255" s="43"/>
      <c r="V255" s="66"/>
      <c r="W255" s="74" t="s">
        <v>25</v>
      </c>
      <c r="X255" s="74"/>
      <c r="Y255" s="74"/>
      <c r="Z255" s="43"/>
      <c r="AA255" s="43"/>
      <c r="AB255" s="43"/>
      <c r="AC255" s="43"/>
      <c r="AD255" s="43"/>
      <c r="AE255" s="43"/>
    </row>
    <row r="256" spans="11:31">
      <c r="K256" s="66"/>
      <c r="L256" s="31" t="s">
        <v>26</v>
      </c>
      <c r="O256" s="79">
        <v>-200</v>
      </c>
      <c r="P256" s="79">
        <v>-200</v>
      </c>
      <c r="Q256" s="79">
        <v>-200</v>
      </c>
      <c r="R256" s="79">
        <v>-200</v>
      </c>
      <c r="S256" s="79">
        <v>-200</v>
      </c>
      <c r="T256" s="79">
        <v>-200</v>
      </c>
      <c r="V256" s="66"/>
      <c r="W256" s="31" t="s">
        <v>26</v>
      </c>
      <c r="Z256" s="79">
        <v>-200</v>
      </c>
      <c r="AA256" s="79">
        <v>-200</v>
      </c>
      <c r="AB256" s="79">
        <v>-200</v>
      </c>
      <c r="AC256" s="79">
        <v>-200</v>
      </c>
      <c r="AD256" s="79">
        <v>-200</v>
      </c>
      <c r="AE256" s="79">
        <v>-200</v>
      </c>
    </row>
    <row r="257" spans="11:31">
      <c r="K257" s="66"/>
      <c r="L257" s="31" t="s">
        <v>27</v>
      </c>
      <c r="O257" s="79">
        <v>0</v>
      </c>
      <c r="P257" s="79">
        <v>0</v>
      </c>
      <c r="Q257" s="79">
        <v>0</v>
      </c>
      <c r="R257" s="79">
        <v>0</v>
      </c>
      <c r="S257" s="79">
        <v>0</v>
      </c>
      <c r="T257" s="79">
        <v>0</v>
      </c>
      <c r="V257" s="66"/>
      <c r="W257" s="31" t="s">
        <v>27</v>
      </c>
      <c r="Z257" s="79">
        <v>0</v>
      </c>
      <c r="AA257" s="79">
        <v>0</v>
      </c>
      <c r="AB257" s="79">
        <v>0</v>
      </c>
      <c r="AC257" s="79">
        <v>0</v>
      </c>
      <c r="AD257" s="79">
        <v>0</v>
      </c>
      <c r="AE257" s="79">
        <v>0</v>
      </c>
    </row>
    <row r="258" spans="11:31">
      <c r="K258" s="66"/>
      <c r="L258" s="31" t="s">
        <v>28</v>
      </c>
      <c r="O258" s="73">
        <v>-49.417429986907344</v>
      </c>
      <c r="P258" s="73">
        <v>-60.914867107241719</v>
      </c>
      <c r="Q258" s="73">
        <v>-73.14018192881781</v>
      </c>
      <c r="R258" s="73">
        <v>-86.150680200036419</v>
      </c>
      <c r="S258" s="73">
        <v>-100.00698262736158</v>
      </c>
      <c r="T258" s="73">
        <v>-114.77418583394922</v>
      </c>
      <c r="V258" s="66"/>
      <c r="W258" s="31" t="s">
        <v>28</v>
      </c>
      <c r="Z258" s="73">
        <v>-49.417429986907344</v>
      </c>
      <c r="AA258" s="73">
        <v>-60.914867107241719</v>
      </c>
      <c r="AB258" s="73">
        <v>-73.14018192881781</v>
      </c>
      <c r="AC258" s="73">
        <v>-86.150680200036419</v>
      </c>
      <c r="AD258" s="73">
        <v>-100.00698262736158</v>
      </c>
      <c r="AE258" s="73">
        <v>-114.77418583394922</v>
      </c>
    </row>
    <row r="259" spans="11:31">
      <c r="K259" s="66"/>
      <c r="L259" s="31" t="s">
        <v>25</v>
      </c>
      <c r="O259" s="54">
        <f>SUM(O256:O258)</f>
        <v>-249.41742998690734</v>
      </c>
      <c r="P259" s="54">
        <f t="shared" ref="P259:T259" si="215">SUM(P256:P258)</f>
        <v>-260.91486710724172</v>
      </c>
      <c r="Q259" s="54">
        <f t="shared" si="215"/>
        <v>-273.14018192881781</v>
      </c>
      <c r="R259" s="54">
        <f t="shared" si="215"/>
        <v>-286.15068020003639</v>
      </c>
      <c r="S259" s="54">
        <f t="shared" si="215"/>
        <v>-300.00698262736159</v>
      </c>
      <c r="T259" s="54">
        <f t="shared" si="215"/>
        <v>-314.77418583394922</v>
      </c>
      <c r="V259" s="66"/>
      <c r="W259" s="31" t="s">
        <v>25</v>
      </c>
      <c r="Z259" s="54">
        <f>SUM(Z256:Z258)</f>
        <v>-249.41742998690734</v>
      </c>
      <c r="AA259" s="54">
        <f t="shared" ref="AA259:AE259" si="216">SUM(AA256:AA258)</f>
        <v>-260.91486710724172</v>
      </c>
      <c r="AB259" s="54">
        <f t="shared" si="216"/>
        <v>-273.14018192881781</v>
      </c>
      <c r="AC259" s="54">
        <f t="shared" si="216"/>
        <v>-286.15068020003639</v>
      </c>
      <c r="AD259" s="54">
        <f t="shared" si="216"/>
        <v>-300.00698262736159</v>
      </c>
      <c r="AE259" s="54">
        <f t="shared" si="216"/>
        <v>-314.77418583394922</v>
      </c>
    </row>
    <row r="260" spans="11:31">
      <c r="K260" s="66"/>
      <c r="O260" s="54"/>
      <c r="P260" s="54"/>
      <c r="Q260" s="54"/>
      <c r="R260" s="54"/>
      <c r="S260" s="54"/>
      <c r="T260" s="54"/>
      <c r="V260" s="66"/>
      <c r="Z260" s="54"/>
      <c r="AA260" s="54"/>
      <c r="AB260" s="54"/>
      <c r="AC260" s="54"/>
      <c r="AD260" s="54"/>
      <c r="AE260" s="54"/>
    </row>
    <row r="261" spans="11:31">
      <c r="K261" s="63"/>
      <c r="L261" s="31" t="s">
        <v>29</v>
      </c>
      <c r="O261" s="79">
        <v>1200</v>
      </c>
      <c r="P261" s="54">
        <f>O263</f>
        <v>1085.5930509218315</v>
      </c>
      <c r="Q261" s="54">
        <f t="shared" ref="Q261:T261" si="217">P263</f>
        <v>994.69631226730019</v>
      </c>
      <c r="R261" s="54">
        <f t="shared" si="217"/>
        <v>930.39793676787508</v>
      </c>
      <c r="S261" s="54">
        <f t="shared" si="217"/>
        <v>894.41764771081716</v>
      </c>
      <c r="T261" s="54">
        <f t="shared" si="217"/>
        <v>888.6100706641846</v>
      </c>
      <c r="V261" s="66"/>
      <c r="W261" s="31" t="s">
        <v>29</v>
      </c>
      <c r="Z261" s="79">
        <v>1200</v>
      </c>
      <c r="AA261" s="54">
        <f>Z263</f>
        <v>1085.5930509218315</v>
      </c>
      <c r="AB261" s="54">
        <f t="shared" ref="AB261:AE261" si="218">AA263</f>
        <v>994.69631226730019</v>
      </c>
      <c r="AC261" s="54">
        <f t="shared" si="218"/>
        <v>930.39793676787508</v>
      </c>
      <c r="AD261" s="54">
        <f t="shared" si="218"/>
        <v>894.41764771081716</v>
      </c>
      <c r="AE261" s="54">
        <f t="shared" si="218"/>
        <v>888.6100706641846</v>
      </c>
    </row>
    <row r="262" spans="11:31">
      <c r="K262" s="66"/>
      <c r="L262" s="31" t="s">
        <v>30</v>
      </c>
      <c r="O262" s="70">
        <f>O249+O253+O259</f>
        <v>-114.40694907816859</v>
      </c>
      <c r="P262" s="70">
        <f t="shared" ref="P262:T262" si="219">P249+P253+P259</f>
        <v>-90.896738654531305</v>
      </c>
      <c r="Q262" s="70">
        <f t="shared" si="219"/>
        <v>-64.298375499425163</v>
      </c>
      <c r="R262" s="70">
        <f t="shared" si="219"/>
        <v>-35.980289057057917</v>
      </c>
      <c r="S262" s="70">
        <f t="shared" si="219"/>
        <v>-5.8075770466325025</v>
      </c>
      <c r="T262" s="70">
        <f t="shared" si="219"/>
        <v>26.364725631291037</v>
      </c>
      <c r="V262" s="63"/>
      <c r="W262" s="31" t="s">
        <v>30</v>
      </c>
      <c r="Z262" s="70">
        <f>Z249+Z253+Z259</f>
        <v>-114.40694907816859</v>
      </c>
      <c r="AA262" s="70">
        <f t="shared" ref="AA262:AE262" si="220">AA249+AA253+AA259</f>
        <v>-90.896738654531305</v>
      </c>
      <c r="AB262" s="70">
        <f t="shared" si="220"/>
        <v>-64.298375499425163</v>
      </c>
      <c r="AC262" s="70">
        <f t="shared" si="220"/>
        <v>-35.980289057057917</v>
      </c>
      <c r="AD262" s="70">
        <f t="shared" si="220"/>
        <v>-5.8075770466325025</v>
      </c>
      <c r="AE262" s="70">
        <f t="shared" si="220"/>
        <v>26.364725631291037</v>
      </c>
    </row>
    <row r="263" spans="11:31">
      <c r="K263" s="66"/>
      <c r="L263" s="74" t="s">
        <v>31</v>
      </c>
      <c r="M263" s="74"/>
      <c r="N263" s="74"/>
      <c r="O263" s="75">
        <f>SUM(O261:O262)</f>
        <v>1085.5930509218315</v>
      </c>
      <c r="P263" s="75">
        <f t="shared" ref="P263:T263" si="221">SUM(P261:P262)</f>
        <v>994.69631226730019</v>
      </c>
      <c r="Q263" s="75">
        <f t="shared" si="221"/>
        <v>930.39793676787508</v>
      </c>
      <c r="R263" s="75">
        <f t="shared" si="221"/>
        <v>894.41764771081716</v>
      </c>
      <c r="S263" s="75">
        <f t="shared" si="221"/>
        <v>888.6100706641846</v>
      </c>
      <c r="T263" s="75">
        <f t="shared" si="221"/>
        <v>914.9747962954757</v>
      </c>
      <c r="V263" s="66"/>
      <c r="W263" s="74" t="s">
        <v>31</v>
      </c>
      <c r="X263" s="74"/>
      <c r="Y263" s="74"/>
      <c r="Z263" s="75">
        <f>SUM(Z261:Z262)</f>
        <v>1085.5930509218315</v>
      </c>
      <c r="AA263" s="75">
        <f t="shared" ref="AA263:AE263" si="222">SUM(AA261:AA262)</f>
        <v>994.69631226730019</v>
      </c>
      <c r="AB263" s="75">
        <f t="shared" si="222"/>
        <v>930.39793676787508</v>
      </c>
      <c r="AC263" s="75">
        <f t="shared" si="222"/>
        <v>894.41764771081716</v>
      </c>
      <c r="AD263" s="75">
        <f t="shared" si="222"/>
        <v>888.6100706641846</v>
      </c>
      <c r="AE263" s="75">
        <f t="shared" si="222"/>
        <v>914.9747962954757</v>
      </c>
    </row>
    <row r="264" spans="11:31">
      <c r="K264" s="66"/>
      <c r="L264" s="76"/>
      <c r="M264" s="76"/>
      <c r="N264" s="76"/>
      <c r="O264" s="77"/>
      <c r="P264" s="77"/>
      <c r="Q264" s="77"/>
      <c r="R264" s="77"/>
      <c r="S264" s="77"/>
      <c r="T264" s="77"/>
      <c r="V264" s="66"/>
      <c r="W264" s="76"/>
      <c r="X264" s="76"/>
      <c r="Y264" s="76"/>
      <c r="Z264" s="77"/>
      <c r="AA264" s="77"/>
      <c r="AB264" s="77"/>
      <c r="AC264" s="77"/>
      <c r="AD264" s="77"/>
      <c r="AE264" s="77"/>
    </row>
    <row r="265" spans="11:31">
      <c r="K265" s="66"/>
      <c r="O265" s="78"/>
      <c r="P265" s="78"/>
      <c r="Q265" s="78"/>
      <c r="R265" s="78"/>
      <c r="S265" s="78"/>
      <c r="T265" s="78"/>
      <c r="V265" s="66"/>
      <c r="Z265" s="78"/>
      <c r="AA265" s="78"/>
      <c r="AB265" s="78"/>
      <c r="AC265" s="78"/>
      <c r="AD265" s="78"/>
      <c r="AE265" s="78"/>
    </row>
    <row r="266" spans="11:31">
      <c r="K266" s="66"/>
      <c r="O266" s="78"/>
      <c r="P266" s="78"/>
      <c r="Q266" s="78"/>
      <c r="R266" s="78"/>
      <c r="S266" s="78"/>
      <c r="T266" s="78"/>
      <c r="V266" s="66"/>
      <c r="Z266" s="78"/>
      <c r="AA266" s="78"/>
      <c r="AB266" s="78"/>
      <c r="AC266" s="78"/>
      <c r="AD266" s="78"/>
      <c r="AE266" s="78"/>
    </row>
    <row r="267" spans="11:31" ht="15">
      <c r="K267" s="66"/>
      <c r="L267" s="112" t="s">
        <v>90</v>
      </c>
      <c r="M267" s="112"/>
      <c r="N267" s="112"/>
      <c r="O267" s="113"/>
      <c r="P267" s="113"/>
      <c r="Q267" s="113"/>
      <c r="R267" s="113"/>
      <c r="S267" s="113"/>
      <c r="T267" s="113"/>
      <c r="V267" s="66"/>
      <c r="W267" s="112" t="s">
        <v>90</v>
      </c>
      <c r="X267" s="112"/>
      <c r="Y267" s="112"/>
      <c r="Z267" s="113"/>
      <c r="AA267" s="113"/>
      <c r="AB267" s="113"/>
      <c r="AC267" s="113"/>
      <c r="AD267" s="113"/>
      <c r="AE267" s="113"/>
    </row>
    <row r="268" spans="11:31">
      <c r="K268" s="66"/>
      <c r="L268" s="67" t="s">
        <v>7</v>
      </c>
      <c r="M268" s="67"/>
      <c r="N268" s="67"/>
      <c r="V268" s="66"/>
      <c r="W268" s="67" t="s">
        <v>7</v>
      </c>
      <c r="X268" s="67"/>
      <c r="Y268" s="67"/>
    </row>
    <row r="269" spans="11:31">
      <c r="K269" s="66"/>
      <c r="L269" s="67"/>
      <c r="M269" s="67"/>
      <c r="N269" s="67"/>
      <c r="V269" s="66"/>
      <c r="W269" s="67"/>
      <c r="X269" s="67"/>
      <c r="Y269" s="67"/>
    </row>
    <row r="270" spans="11:31">
      <c r="K270" s="66"/>
      <c r="O270" s="68">
        <f t="shared" ref="O270:T270" si="223">O243</f>
        <v>44561</v>
      </c>
      <c r="P270" s="69">
        <f t="shared" si="223"/>
        <v>44926</v>
      </c>
      <c r="Q270" s="69">
        <f t="shared" si="223"/>
        <v>45291</v>
      </c>
      <c r="R270" s="69">
        <f t="shared" si="223"/>
        <v>45657</v>
      </c>
      <c r="S270" s="69">
        <f t="shared" si="223"/>
        <v>46022</v>
      </c>
      <c r="T270" s="69">
        <f t="shared" si="223"/>
        <v>46387</v>
      </c>
      <c r="V270" s="66"/>
      <c r="Z270" s="68">
        <f t="shared" ref="Z270:AE270" si="224">Z243</f>
        <v>44561</v>
      </c>
      <c r="AA270" s="69">
        <f t="shared" si="224"/>
        <v>44926</v>
      </c>
      <c r="AB270" s="69">
        <f t="shared" si="224"/>
        <v>45291</v>
      </c>
      <c r="AC270" s="69">
        <f t="shared" si="224"/>
        <v>45657</v>
      </c>
      <c r="AD270" s="69">
        <f t="shared" si="224"/>
        <v>46022</v>
      </c>
      <c r="AE270" s="69">
        <f t="shared" si="224"/>
        <v>46387</v>
      </c>
    </row>
    <row r="271" spans="11:31">
      <c r="K271" s="66"/>
      <c r="O271" s="86"/>
      <c r="P271" s="86"/>
      <c r="Q271" s="86"/>
      <c r="R271" s="86"/>
      <c r="S271" s="86"/>
      <c r="T271" s="86"/>
      <c r="V271" s="66"/>
      <c r="Z271" s="86"/>
      <c r="AA271" s="86"/>
      <c r="AB271" s="86"/>
      <c r="AC271" s="86"/>
      <c r="AD271" s="86"/>
      <c r="AE271" s="86"/>
    </row>
    <row r="272" spans="11:31">
      <c r="K272" s="66"/>
      <c r="L272" s="74" t="s">
        <v>33</v>
      </c>
      <c r="M272" s="74"/>
      <c r="N272" s="74"/>
      <c r="O272" s="86"/>
      <c r="P272" s="86"/>
      <c r="Q272" s="86"/>
      <c r="R272" s="86"/>
      <c r="S272" s="86"/>
      <c r="T272" s="86"/>
      <c r="V272" s="66"/>
      <c r="W272" s="74" t="s">
        <v>33</v>
      </c>
      <c r="X272" s="74"/>
      <c r="Y272" s="74"/>
      <c r="Z272" s="86"/>
      <c r="AA272" s="86"/>
      <c r="AB272" s="86"/>
      <c r="AC272" s="86"/>
      <c r="AD272" s="86"/>
      <c r="AE272" s="86"/>
    </row>
    <row r="273" spans="11:31">
      <c r="K273" s="66"/>
      <c r="L273" s="31" t="s">
        <v>34</v>
      </c>
      <c r="O273" s="54">
        <f>O263</f>
        <v>1085.5930509218315</v>
      </c>
      <c r="P273" s="54">
        <f t="shared" ref="P273:T273" si="225">P263</f>
        <v>994.69631226730019</v>
      </c>
      <c r="Q273" s="54">
        <f t="shared" si="225"/>
        <v>930.39793676787508</v>
      </c>
      <c r="R273" s="54">
        <f t="shared" si="225"/>
        <v>894.41764771081716</v>
      </c>
      <c r="S273" s="54">
        <f t="shared" si="225"/>
        <v>888.6100706641846</v>
      </c>
      <c r="T273" s="54">
        <f t="shared" si="225"/>
        <v>914.9747962954757</v>
      </c>
      <c r="V273" s="66"/>
      <c r="W273" s="31" t="s">
        <v>34</v>
      </c>
      <c r="Z273" s="54">
        <f>Z263</f>
        <v>1085.5930509218315</v>
      </c>
      <c r="AA273" s="54">
        <f t="shared" ref="AA273:AE273" si="226">AA263</f>
        <v>994.69631226730019</v>
      </c>
      <c r="AB273" s="54">
        <f t="shared" si="226"/>
        <v>930.39793676787508</v>
      </c>
      <c r="AC273" s="54">
        <f t="shared" si="226"/>
        <v>894.41764771081716</v>
      </c>
      <c r="AD273" s="54">
        <f t="shared" si="226"/>
        <v>888.6100706641846</v>
      </c>
      <c r="AE273" s="54">
        <f t="shared" si="226"/>
        <v>914.9747962954757</v>
      </c>
    </row>
    <row r="274" spans="11:31">
      <c r="K274" s="66"/>
      <c r="L274" s="31" t="s">
        <v>35</v>
      </c>
      <c r="O274" s="79">
        <v>114.28571428571429</v>
      </c>
      <c r="P274" s="79">
        <v>121.14285714285715</v>
      </c>
      <c r="Q274" s="79">
        <v>128.41142857142859</v>
      </c>
      <c r="R274" s="79">
        <v>136.1161142857143</v>
      </c>
      <c r="S274" s="79">
        <v>144.28308114285718</v>
      </c>
      <c r="T274" s="79">
        <v>152.9400660114286</v>
      </c>
      <c r="V274" s="66"/>
      <c r="W274" s="31" t="s">
        <v>35</v>
      </c>
      <c r="Z274" s="79">
        <v>114.28571428571429</v>
      </c>
      <c r="AA274" s="79">
        <v>121.14285714285715</v>
      </c>
      <c r="AB274" s="79">
        <v>128.41142857142859</v>
      </c>
      <c r="AC274" s="79">
        <v>136.1161142857143</v>
      </c>
      <c r="AD274" s="79">
        <v>144.28308114285718</v>
      </c>
      <c r="AE274" s="79">
        <v>152.9400660114286</v>
      </c>
    </row>
    <row r="275" spans="11:31">
      <c r="K275" s="66"/>
      <c r="L275" s="31" t="s">
        <v>36</v>
      </c>
      <c r="O275" s="79">
        <v>124.28571428571431</v>
      </c>
      <c r="P275" s="79">
        <v>129.47142857142859</v>
      </c>
      <c r="Q275" s="79">
        <v>134.83200000000002</v>
      </c>
      <c r="R275" s="79">
        <v>140.36974285714288</v>
      </c>
      <c r="S275" s="79">
        <v>146.0866196571429</v>
      </c>
      <c r="T275" s="79">
        <v>151.9841905988572</v>
      </c>
      <c r="V275" s="66"/>
      <c r="W275" s="31" t="s">
        <v>36</v>
      </c>
      <c r="Z275" s="79">
        <v>124.28571428571431</v>
      </c>
      <c r="AA275" s="79">
        <v>129.47142857142859</v>
      </c>
      <c r="AB275" s="79">
        <v>134.83200000000002</v>
      </c>
      <c r="AC275" s="79">
        <v>140.36974285714288</v>
      </c>
      <c r="AD275" s="79">
        <v>146.0866196571429</v>
      </c>
      <c r="AE275" s="79">
        <v>151.9841905988572</v>
      </c>
    </row>
    <row r="276" spans="11:31">
      <c r="K276" s="66"/>
      <c r="L276" s="31" t="s">
        <v>37</v>
      </c>
      <c r="O276" s="73">
        <v>35.714285714285715</v>
      </c>
      <c r="P276" s="73">
        <v>37.857142857142861</v>
      </c>
      <c r="Q276" s="73">
        <v>40.128571428571433</v>
      </c>
      <c r="R276" s="73">
        <v>42.536285714285725</v>
      </c>
      <c r="S276" s="73">
        <v>45.088462857142872</v>
      </c>
      <c r="T276" s="73">
        <v>47.793770628571444</v>
      </c>
      <c r="V276" s="66"/>
      <c r="W276" s="31" t="s">
        <v>37</v>
      </c>
      <c r="Z276" s="73">
        <v>35.714285714285715</v>
      </c>
      <c r="AA276" s="73">
        <v>37.857142857142861</v>
      </c>
      <c r="AB276" s="73">
        <v>40.128571428571433</v>
      </c>
      <c r="AC276" s="73">
        <v>42.536285714285725</v>
      </c>
      <c r="AD276" s="73">
        <v>45.088462857142872</v>
      </c>
      <c r="AE276" s="73">
        <v>47.793770628571444</v>
      </c>
    </row>
    <row r="277" spans="11:31">
      <c r="K277" s="66"/>
      <c r="L277" s="31" t="s">
        <v>38</v>
      </c>
      <c r="O277" s="43">
        <f>SUM(O273:O276)</f>
        <v>1359.8787652075457</v>
      </c>
      <c r="P277" s="43">
        <f t="shared" ref="P277:T277" si="227">SUM(P273:P276)</f>
        <v>1283.1677408387288</v>
      </c>
      <c r="Q277" s="43">
        <f t="shared" si="227"/>
        <v>1233.7699367678752</v>
      </c>
      <c r="R277" s="43">
        <f t="shared" si="227"/>
        <v>1213.43979056796</v>
      </c>
      <c r="S277" s="43">
        <f t="shared" si="227"/>
        <v>1224.0682343213275</v>
      </c>
      <c r="T277" s="43">
        <f t="shared" si="227"/>
        <v>1267.6928235343328</v>
      </c>
      <c r="V277" s="66"/>
      <c r="W277" s="31" t="s">
        <v>38</v>
      </c>
      <c r="Z277" s="43">
        <f>SUM(Z273:Z276)</f>
        <v>1359.8787652075457</v>
      </c>
      <c r="AA277" s="43">
        <f t="shared" ref="AA277:AE277" si="228">SUM(AA273:AA276)</f>
        <v>1283.1677408387288</v>
      </c>
      <c r="AB277" s="43">
        <f t="shared" si="228"/>
        <v>1233.7699367678752</v>
      </c>
      <c r="AC277" s="43">
        <f t="shared" si="228"/>
        <v>1213.43979056796</v>
      </c>
      <c r="AD277" s="43">
        <f t="shared" si="228"/>
        <v>1224.0682343213275</v>
      </c>
      <c r="AE277" s="43">
        <f t="shared" si="228"/>
        <v>1267.6928235343328</v>
      </c>
    </row>
    <row r="278" spans="11:31">
      <c r="K278" s="66"/>
      <c r="O278" s="43"/>
      <c r="P278" s="43"/>
      <c r="Q278" s="43"/>
      <c r="R278" s="43"/>
      <c r="S278" s="43"/>
      <c r="T278" s="43"/>
      <c r="V278" s="66"/>
      <c r="Z278" s="43"/>
      <c r="AA278" s="43"/>
      <c r="AB278" s="43"/>
      <c r="AC278" s="43"/>
      <c r="AD278" s="43"/>
      <c r="AE278" s="43"/>
    </row>
    <row r="279" spans="11:31">
      <c r="K279" s="66"/>
      <c r="L279" s="31" t="s">
        <v>39</v>
      </c>
      <c r="O279" s="79">
        <v>4142.8571428571422</v>
      </c>
      <c r="P279" s="79">
        <v>4164.8142857142848</v>
      </c>
      <c r="Q279" s="79">
        <v>4188.0888571428559</v>
      </c>
      <c r="R279" s="79">
        <v>4212.7599028571412</v>
      </c>
      <c r="S279" s="79">
        <v>4238.9112113142846</v>
      </c>
      <c r="T279" s="79">
        <v>4266.6315982788565</v>
      </c>
      <c r="V279" s="66"/>
      <c r="W279" s="31" t="s">
        <v>39</v>
      </c>
      <c r="Z279" s="79">
        <v>4142.8571428571422</v>
      </c>
      <c r="AA279" s="79">
        <v>4164.8142857142848</v>
      </c>
      <c r="AB279" s="79">
        <v>4188.0888571428559</v>
      </c>
      <c r="AC279" s="79">
        <v>4212.7599028571412</v>
      </c>
      <c r="AD279" s="79">
        <v>4238.9112113142846</v>
      </c>
      <c r="AE279" s="79">
        <v>4266.6315982788565</v>
      </c>
    </row>
    <row r="280" spans="11:31">
      <c r="K280" s="66"/>
      <c r="L280" s="31" t="s">
        <v>37</v>
      </c>
      <c r="O280" s="73">
        <v>12</v>
      </c>
      <c r="P280" s="73">
        <v>12</v>
      </c>
      <c r="Q280" s="73">
        <v>12</v>
      </c>
      <c r="R280" s="73">
        <v>12</v>
      </c>
      <c r="S280" s="73">
        <v>12</v>
      </c>
      <c r="T280" s="73">
        <v>12</v>
      </c>
      <c r="V280" s="66"/>
      <c r="W280" s="31" t="s">
        <v>37</v>
      </c>
      <c r="Z280" s="73">
        <v>12</v>
      </c>
      <c r="AA280" s="73">
        <v>12</v>
      </c>
      <c r="AB280" s="73">
        <v>12</v>
      </c>
      <c r="AC280" s="73">
        <v>12</v>
      </c>
      <c r="AD280" s="73">
        <v>12</v>
      </c>
      <c r="AE280" s="73">
        <v>12</v>
      </c>
    </row>
    <row r="281" spans="11:31">
      <c r="K281" s="66"/>
      <c r="L281" s="31" t="s">
        <v>40</v>
      </c>
      <c r="O281" s="43">
        <f>SUM(O279:O280)</f>
        <v>4154.8571428571422</v>
      </c>
      <c r="P281" s="43">
        <f t="shared" ref="P281:T281" si="229">SUM(P279:P280)</f>
        <v>4176.8142857142848</v>
      </c>
      <c r="Q281" s="43">
        <f t="shared" si="229"/>
        <v>4200.0888571428559</v>
      </c>
      <c r="R281" s="43">
        <f t="shared" si="229"/>
        <v>4224.7599028571412</v>
      </c>
      <c r="S281" s="43">
        <f t="shared" si="229"/>
        <v>4250.9112113142846</v>
      </c>
      <c r="T281" s="43">
        <f t="shared" si="229"/>
        <v>4278.6315982788565</v>
      </c>
      <c r="V281" s="66"/>
      <c r="W281" s="31" t="s">
        <v>40</v>
      </c>
      <c r="Z281" s="43">
        <f>SUM(Z279:Z280)</f>
        <v>4154.8571428571422</v>
      </c>
      <c r="AA281" s="43">
        <f t="shared" ref="AA281:AE281" si="230">SUM(AA279:AA280)</f>
        <v>4176.8142857142848</v>
      </c>
      <c r="AB281" s="43">
        <f t="shared" si="230"/>
        <v>4200.0888571428559</v>
      </c>
      <c r="AC281" s="43">
        <f t="shared" si="230"/>
        <v>4224.7599028571412</v>
      </c>
      <c r="AD281" s="43">
        <f t="shared" si="230"/>
        <v>4250.9112113142846</v>
      </c>
      <c r="AE281" s="43">
        <f t="shared" si="230"/>
        <v>4278.6315982788565</v>
      </c>
    </row>
    <row r="282" spans="11:31">
      <c r="K282" s="66"/>
      <c r="O282" s="43"/>
      <c r="P282" s="43"/>
      <c r="Q282" s="43"/>
      <c r="R282" s="43"/>
      <c r="S282" s="43"/>
      <c r="T282" s="43"/>
      <c r="V282" s="66"/>
      <c r="Z282" s="43"/>
      <c r="AA282" s="43"/>
      <c r="AB282" s="43"/>
      <c r="AC282" s="43"/>
      <c r="AD282" s="43"/>
      <c r="AE282" s="43"/>
    </row>
    <row r="283" spans="11:31">
      <c r="K283" s="66"/>
      <c r="L283" s="74" t="s">
        <v>41</v>
      </c>
      <c r="M283" s="74"/>
      <c r="N283" s="74"/>
      <c r="O283" s="95">
        <f>O277+O281</f>
        <v>5514.7359080646875</v>
      </c>
      <c r="P283" s="95">
        <f t="shared" ref="P283:T283" si="231">P277+P281</f>
        <v>5459.9820265530134</v>
      </c>
      <c r="Q283" s="95">
        <f t="shared" si="231"/>
        <v>5433.858793910731</v>
      </c>
      <c r="R283" s="95">
        <f t="shared" si="231"/>
        <v>5438.199693425101</v>
      </c>
      <c r="S283" s="95">
        <f t="shared" si="231"/>
        <v>5474.9794456356121</v>
      </c>
      <c r="T283" s="95">
        <f t="shared" si="231"/>
        <v>5546.3244218131895</v>
      </c>
      <c r="V283" s="66"/>
      <c r="W283" s="74" t="s">
        <v>41</v>
      </c>
      <c r="X283" s="74"/>
      <c r="Y283" s="74"/>
      <c r="Z283" s="95">
        <f>Z277+Z281</f>
        <v>5514.7359080646875</v>
      </c>
      <c r="AA283" s="95">
        <f t="shared" ref="AA283:AE283" si="232">AA277+AA281</f>
        <v>5459.9820265530134</v>
      </c>
      <c r="AB283" s="95">
        <f t="shared" si="232"/>
        <v>5433.858793910731</v>
      </c>
      <c r="AC283" s="95">
        <f t="shared" si="232"/>
        <v>5438.199693425101</v>
      </c>
      <c r="AD283" s="95">
        <f t="shared" si="232"/>
        <v>5474.9794456356121</v>
      </c>
      <c r="AE283" s="95">
        <f t="shared" si="232"/>
        <v>5546.3244218131895</v>
      </c>
    </row>
    <row r="284" spans="11:31">
      <c r="K284" s="66"/>
      <c r="O284" s="43"/>
      <c r="P284" s="43"/>
      <c r="Q284" s="43"/>
      <c r="R284" s="43"/>
      <c r="S284" s="43"/>
      <c r="T284" s="43"/>
      <c r="V284" s="66"/>
      <c r="Z284" s="43"/>
      <c r="AA284" s="43"/>
      <c r="AB284" s="43"/>
      <c r="AC284" s="43"/>
      <c r="AD284" s="43"/>
      <c r="AE284" s="43"/>
    </row>
    <row r="285" spans="11:31">
      <c r="K285" s="66"/>
      <c r="L285" s="74" t="s">
        <v>42</v>
      </c>
      <c r="M285" s="74"/>
      <c r="N285" s="74"/>
      <c r="O285" s="43"/>
      <c r="P285" s="43"/>
      <c r="Q285" s="43"/>
      <c r="R285" s="43"/>
      <c r="S285" s="43"/>
      <c r="T285" s="43"/>
      <c r="V285" s="66"/>
      <c r="W285" s="74" t="s">
        <v>42</v>
      </c>
      <c r="X285" s="74"/>
      <c r="Y285" s="74"/>
      <c r="Z285" s="43"/>
      <c r="AA285" s="43"/>
      <c r="AB285" s="43"/>
      <c r="AC285" s="43"/>
      <c r="AD285" s="43"/>
      <c r="AE285" s="43"/>
    </row>
    <row r="286" spans="11:31">
      <c r="K286" s="66"/>
      <c r="L286" s="31" t="s">
        <v>43</v>
      </c>
      <c r="O286" s="79">
        <v>74.571428571428584</v>
      </c>
      <c r="P286" s="79">
        <v>77.682857142857159</v>
      </c>
      <c r="Q286" s="79">
        <v>80.899200000000022</v>
      </c>
      <c r="R286" s="79">
        <v>84.221845714285735</v>
      </c>
      <c r="S286" s="79">
        <v>87.651971794285743</v>
      </c>
      <c r="T286" s="79">
        <v>91.190514359314307</v>
      </c>
      <c r="V286" s="66"/>
      <c r="W286" s="31" t="s">
        <v>43</v>
      </c>
      <c r="Z286" s="79">
        <v>74.571428571428584</v>
      </c>
      <c r="AA286" s="79">
        <v>77.682857142857159</v>
      </c>
      <c r="AB286" s="79">
        <v>80.899200000000022</v>
      </c>
      <c r="AC286" s="79">
        <v>84.221845714285735</v>
      </c>
      <c r="AD286" s="79">
        <v>87.651971794285743</v>
      </c>
      <c r="AE286" s="79">
        <v>91.190514359314307</v>
      </c>
    </row>
    <row r="287" spans="11:31">
      <c r="K287" s="66"/>
      <c r="L287" s="31" t="s">
        <v>44</v>
      </c>
      <c r="O287" s="79">
        <v>200</v>
      </c>
      <c r="P287" s="79">
        <v>200</v>
      </c>
      <c r="Q287" s="79">
        <v>200</v>
      </c>
      <c r="R287" s="79">
        <v>200</v>
      </c>
      <c r="S287" s="79">
        <v>200</v>
      </c>
      <c r="T287" s="79">
        <v>200</v>
      </c>
      <c r="V287" s="66"/>
      <c r="W287" s="31" t="s">
        <v>44</v>
      </c>
      <c r="Z287" s="79">
        <v>200</v>
      </c>
      <c r="AA287" s="79">
        <v>200</v>
      </c>
      <c r="AB287" s="79">
        <v>200</v>
      </c>
      <c r="AC287" s="79">
        <v>200</v>
      </c>
      <c r="AD287" s="79">
        <v>200</v>
      </c>
      <c r="AE287" s="79">
        <v>200</v>
      </c>
    </row>
    <row r="288" spans="11:31">
      <c r="K288" s="66"/>
      <c r="L288" s="31" t="s">
        <v>37</v>
      </c>
      <c r="O288" s="73">
        <v>6.3</v>
      </c>
      <c r="P288" s="73">
        <v>6.3</v>
      </c>
      <c r="Q288" s="73">
        <v>6.3</v>
      </c>
      <c r="R288" s="73">
        <v>6.3</v>
      </c>
      <c r="S288" s="73">
        <v>6.3</v>
      </c>
      <c r="T288" s="73">
        <v>6.3</v>
      </c>
      <c r="V288" s="66"/>
      <c r="W288" s="31" t="s">
        <v>37</v>
      </c>
      <c r="Z288" s="73">
        <v>6.3</v>
      </c>
      <c r="AA288" s="73">
        <v>6.3</v>
      </c>
      <c r="AB288" s="73">
        <v>6.3</v>
      </c>
      <c r="AC288" s="73">
        <v>6.3</v>
      </c>
      <c r="AD288" s="73">
        <v>6.3</v>
      </c>
      <c r="AE288" s="73">
        <v>6.3</v>
      </c>
    </row>
    <row r="289" spans="2:32">
      <c r="K289" s="66"/>
      <c r="L289" s="31" t="s">
        <v>45</v>
      </c>
      <c r="O289" s="54">
        <f>SUM(O286:O288)</f>
        <v>280.87142857142857</v>
      </c>
      <c r="P289" s="54">
        <f t="shared" ref="P289:T289" si="233">SUM(P286:P288)</f>
        <v>283.9828571428572</v>
      </c>
      <c r="Q289" s="54">
        <f t="shared" si="233"/>
        <v>287.19920000000002</v>
      </c>
      <c r="R289" s="54">
        <f t="shared" si="233"/>
        <v>290.52184571428575</v>
      </c>
      <c r="S289" s="54">
        <f t="shared" si="233"/>
        <v>293.95197179428573</v>
      </c>
      <c r="T289" s="54">
        <f t="shared" si="233"/>
        <v>297.49051435931432</v>
      </c>
      <c r="V289" s="66"/>
      <c r="W289" s="31" t="s">
        <v>45</v>
      </c>
      <c r="Z289" s="54">
        <f>SUM(Z286:Z288)</f>
        <v>280.87142857142857</v>
      </c>
      <c r="AA289" s="54">
        <f t="shared" ref="AA289:AE289" si="234">SUM(AA286:AA288)</f>
        <v>283.9828571428572</v>
      </c>
      <c r="AB289" s="54">
        <f t="shared" si="234"/>
        <v>287.19920000000002</v>
      </c>
      <c r="AC289" s="54">
        <f t="shared" si="234"/>
        <v>290.52184571428575</v>
      </c>
      <c r="AD289" s="54">
        <f t="shared" si="234"/>
        <v>293.95197179428573</v>
      </c>
      <c r="AE289" s="54">
        <f t="shared" si="234"/>
        <v>297.49051435931432</v>
      </c>
    </row>
    <row r="290" spans="2:32">
      <c r="K290" s="66"/>
      <c r="O290" s="43"/>
      <c r="P290" s="43"/>
      <c r="Q290" s="43"/>
      <c r="R290" s="43"/>
      <c r="S290" s="43"/>
      <c r="T290" s="43"/>
      <c r="V290" s="66"/>
      <c r="Z290" s="43"/>
      <c r="AA290" s="43"/>
      <c r="AB290" s="43"/>
      <c r="AC290" s="43"/>
      <c r="AD290" s="43"/>
      <c r="AE290" s="43"/>
    </row>
    <row r="291" spans="2:32">
      <c r="K291" s="66"/>
      <c r="L291" s="31" t="s">
        <v>46</v>
      </c>
      <c r="O291" s="79">
        <v>1400</v>
      </c>
      <c r="P291" s="79">
        <v>1200</v>
      </c>
      <c r="Q291" s="79">
        <v>1000</v>
      </c>
      <c r="R291" s="79">
        <v>800</v>
      </c>
      <c r="S291" s="79">
        <v>600</v>
      </c>
      <c r="T291" s="79">
        <v>400</v>
      </c>
      <c r="V291" s="66"/>
      <c r="W291" s="31" t="s">
        <v>46</v>
      </c>
      <c r="Z291" s="79">
        <v>1400</v>
      </c>
      <c r="AA291" s="79">
        <v>1200</v>
      </c>
      <c r="AB291" s="79">
        <v>1000</v>
      </c>
      <c r="AC291" s="79">
        <v>800</v>
      </c>
      <c r="AD291" s="79">
        <v>600</v>
      </c>
      <c r="AE291" s="79">
        <v>400</v>
      </c>
    </row>
    <row r="292" spans="2:32">
      <c r="K292" s="66"/>
      <c r="L292" s="31" t="s">
        <v>37</v>
      </c>
      <c r="O292" s="73">
        <v>2</v>
      </c>
      <c r="P292" s="73">
        <v>2</v>
      </c>
      <c r="Q292" s="73">
        <v>2</v>
      </c>
      <c r="R292" s="73">
        <v>2</v>
      </c>
      <c r="S292" s="73">
        <v>2</v>
      </c>
      <c r="T292" s="73">
        <v>2</v>
      </c>
      <c r="V292" s="66"/>
      <c r="W292" s="31" t="s">
        <v>37</v>
      </c>
      <c r="Z292" s="73">
        <v>2</v>
      </c>
      <c r="AA292" s="73">
        <v>2</v>
      </c>
      <c r="AB292" s="73">
        <v>2</v>
      </c>
      <c r="AC292" s="73">
        <v>2</v>
      </c>
      <c r="AD292" s="73">
        <v>2</v>
      </c>
      <c r="AE292" s="73">
        <v>2</v>
      </c>
    </row>
    <row r="293" spans="2:32">
      <c r="K293" s="66"/>
      <c r="L293" s="31" t="s">
        <v>47</v>
      </c>
      <c r="O293" s="54">
        <f t="shared" ref="O293:T293" si="235">SUM(O291:O292)</f>
        <v>1402</v>
      </c>
      <c r="P293" s="54">
        <f t="shared" si="235"/>
        <v>1202</v>
      </c>
      <c r="Q293" s="54">
        <f t="shared" si="235"/>
        <v>1002</v>
      </c>
      <c r="R293" s="54">
        <f t="shared" si="235"/>
        <v>802</v>
      </c>
      <c r="S293" s="54">
        <f t="shared" si="235"/>
        <v>602</v>
      </c>
      <c r="T293" s="54">
        <f t="shared" si="235"/>
        <v>402</v>
      </c>
      <c r="V293" s="66"/>
      <c r="W293" s="31" t="s">
        <v>47</v>
      </c>
      <c r="Z293" s="54">
        <f t="shared" ref="Z293:AE293" si="236">SUM(Z291:Z292)</f>
        <v>1402</v>
      </c>
      <c r="AA293" s="54">
        <f t="shared" si="236"/>
        <v>1202</v>
      </c>
      <c r="AB293" s="54">
        <f t="shared" si="236"/>
        <v>1002</v>
      </c>
      <c r="AC293" s="54">
        <f t="shared" si="236"/>
        <v>802</v>
      </c>
      <c r="AD293" s="54">
        <f t="shared" si="236"/>
        <v>602</v>
      </c>
      <c r="AE293" s="54">
        <f t="shared" si="236"/>
        <v>402</v>
      </c>
    </row>
    <row r="294" spans="2:32" s="74" customFormat="1">
      <c r="B294" s="31"/>
      <c r="C294" s="31"/>
      <c r="D294" s="31"/>
      <c r="E294" s="31"/>
      <c r="F294" s="31"/>
      <c r="G294" s="31"/>
      <c r="H294" s="31"/>
      <c r="I294" s="31"/>
      <c r="J294" s="31"/>
      <c r="K294" s="98"/>
      <c r="L294" s="31"/>
      <c r="M294" s="31"/>
      <c r="N294" s="31"/>
      <c r="O294" s="43"/>
      <c r="P294" s="43"/>
      <c r="Q294" s="43"/>
      <c r="R294" s="43"/>
      <c r="S294" s="43"/>
      <c r="T294" s="43"/>
      <c r="U294" s="31"/>
      <c r="V294" s="66"/>
      <c r="W294" s="31"/>
      <c r="X294" s="31"/>
      <c r="Y294" s="31"/>
      <c r="Z294" s="43"/>
      <c r="AA294" s="43"/>
      <c r="AB294" s="43"/>
      <c r="AC294" s="43"/>
      <c r="AD294" s="43"/>
      <c r="AE294" s="43"/>
      <c r="AF294" s="31"/>
    </row>
    <row r="295" spans="2:32" s="74" customFormat="1">
      <c r="B295" s="31"/>
      <c r="C295" s="31"/>
      <c r="D295" s="31"/>
      <c r="E295" s="31"/>
      <c r="F295" s="31"/>
      <c r="G295" s="31"/>
      <c r="H295" s="31"/>
      <c r="I295" s="31"/>
      <c r="J295" s="31"/>
      <c r="K295" s="98"/>
      <c r="L295" s="74" t="s">
        <v>48</v>
      </c>
      <c r="O295" s="95">
        <f>O289+O293</f>
        <v>1682.8714285714286</v>
      </c>
      <c r="P295" s="95">
        <f t="shared" ref="P295:T295" si="237">P289+P293</f>
        <v>1485.9828571428573</v>
      </c>
      <c r="Q295" s="95">
        <f t="shared" si="237"/>
        <v>1289.1992</v>
      </c>
      <c r="R295" s="95">
        <f t="shared" si="237"/>
        <v>1092.5218457142857</v>
      </c>
      <c r="S295" s="95">
        <f t="shared" si="237"/>
        <v>895.95197179428578</v>
      </c>
      <c r="T295" s="95">
        <f t="shared" si="237"/>
        <v>699.49051435931437</v>
      </c>
      <c r="V295" s="98"/>
      <c r="W295" s="74" t="s">
        <v>48</v>
      </c>
      <c r="Z295" s="95">
        <f>Z289+Z293</f>
        <v>1682.8714285714286</v>
      </c>
      <c r="AA295" s="95">
        <f t="shared" ref="AA295:AE295" si="238">AA289+AA293</f>
        <v>1485.9828571428573</v>
      </c>
      <c r="AB295" s="95">
        <f t="shared" si="238"/>
        <v>1289.1992</v>
      </c>
      <c r="AC295" s="95">
        <f t="shared" si="238"/>
        <v>1092.5218457142857</v>
      </c>
      <c r="AD295" s="95">
        <f t="shared" si="238"/>
        <v>895.95197179428578</v>
      </c>
      <c r="AE295" s="95">
        <f t="shared" si="238"/>
        <v>699.49051435931437</v>
      </c>
    </row>
    <row r="296" spans="2:32">
      <c r="K296" s="66"/>
      <c r="O296" s="43"/>
      <c r="P296" s="43"/>
      <c r="Q296" s="43"/>
      <c r="R296" s="43"/>
      <c r="S296" s="43"/>
      <c r="T296" s="43"/>
      <c r="U296" s="74"/>
      <c r="V296" s="98"/>
      <c r="Z296" s="43"/>
      <c r="AA296" s="43"/>
      <c r="AB296" s="43"/>
      <c r="AC296" s="43"/>
      <c r="AD296" s="43"/>
      <c r="AE296" s="43"/>
      <c r="AF296" s="74"/>
    </row>
    <row r="297" spans="2:32">
      <c r="K297" s="66"/>
      <c r="L297" s="74" t="s">
        <v>49</v>
      </c>
      <c r="M297" s="74"/>
      <c r="N297" s="74"/>
      <c r="O297" s="43"/>
      <c r="P297" s="43"/>
      <c r="Q297" s="43"/>
      <c r="R297" s="43"/>
      <c r="S297" s="43"/>
      <c r="T297" s="43"/>
      <c r="V297" s="66"/>
      <c r="W297" s="74" t="s">
        <v>49</v>
      </c>
      <c r="X297" s="74"/>
      <c r="Y297" s="74"/>
      <c r="Z297" s="43"/>
      <c r="AA297" s="43"/>
      <c r="AB297" s="43"/>
      <c r="AC297" s="43"/>
      <c r="AD297" s="43"/>
      <c r="AE297" s="43"/>
    </row>
    <row r="298" spans="2:32">
      <c r="K298" s="66"/>
      <c r="L298" s="31" t="s">
        <v>50</v>
      </c>
      <c r="O298" s="79">
        <v>2200</v>
      </c>
      <c r="P298" s="79">
        <v>2200</v>
      </c>
      <c r="Q298" s="79">
        <v>2200</v>
      </c>
      <c r="R298" s="79">
        <v>2200</v>
      </c>
      <c r="S298" s="79">
        <v>2200</v>
      </c>
      <c r="T298" s="79">
        <v>2200</v>
      </c>
      <c r="V298" s="66"/>
      <c r="W298" s="31" t="s">
        <v>50</v>
      </c>
      <c r="Z298" s="79">
        <v>2200</v>
      </c>
      <c r="AA298" s="79">
        <v>2200</v>
      </c>
      <c r="AB298" s="79">
        <v>2200</v>
      </c>
      <c r="AC298" s="79">
        <v>2200</v>
      </c>
      <c r="AD298" s="79">
        <v>2200</v>
      </c>
      <c r="AE298" s="79">
        <v>2200</v>
      </c>
    </row>
    <row r="299" spans="2:32">
      <c r="L299" s="31" t="s">
        <v>51</v>
      </c>
      <c r="O299" s="73">
        <v>1631.8644794932586</v>
      </c>
      <c r="P299" s="73">
        <v>1773.9991694101559</v>
      </c>
      <c r="Q299" s="73">
        <v>1944.6595939107308</v>
      </c>
      <c r="R299" s="73">
        <v>2145.677847710816</v>
      </c>
      <c r="S299" s="73">
        <v>2379.0274738413264</v>
      </c>
      <c r="T299" s="73">
        <v>2646.8339074538749</v>
      </c>
      <c r="V299" s="66"/>
      <c r="W299" s="31" t="s">
        <v>51</v>
      </c>
      <c r="Z299" s="73">
        <v>1631.8644794932586</v>
      </c>
      <c r="AA299" s="73">
        <v>1773.9991694101559</v>
      </c>
      <c r="AB299" s="73">
        <v>1944.6595939107308</v>
      </c>
      <c r="AC299" s="73">
        <v>2145.677847710816</v>
      </c>
      <c r="AD299" s="73">
        <v>2379.0274738413264</v>
      </c>
      <c r="AE299" s="73">
        <v>2646.8339074538749</v>
      </c>
    </row>
    <row r="300" spans="2:32">
      <c r="L300" s="74" t="s">
        <v>52</v>
      </c>
      <c r="M300" s="74"/>
      <c r="N300" s="74"/>
      <c r="O300" s="95">
        <f>SUM(O298:O299)</f>
        <v>3831.8644794932588</v>
      </c>
      <c r="P300" s="95">
        <f t="shared" ref="P300:T300" si="239">SUM(P298:P299)</f>
        <v>3973.9991694101559</v>
      </c>
      <c r="Q300" s="95">
        <f t="shared" si="239"/>
        <v>4144.659593910731</v>
      </c>
      <c r="R300" s="95">
        <f t="shared" si="239"/>
        <v>4345.6778477108164</v>
      </c>
      <c r="S300" s="95">
        <f t="shared" si="239"/>
        <v>4579.0274738413264</v>
      </c>
      <c r="T300" s="95">
        <f t="shared" si="239"/>
        <v>4846.8339074538744</v>
      </c>
      <c r="W300" s="74" t="s">
        <v>52</v>
      </c>
      <c r="X300" s="74"/>
      <c r="Y300" s="74"/>
      <c r="Z300" s="95">
        <f>SUM(Z298:Z299)</f>
        <v>3831.8644794932588</v>
      </c>
      <c r="AA300" s="95">
        <f t="shared" ref="AA300:AE300" si="240">SUM(AA298:AA299)</f>
        <v>3973.9991694101559</v>
      </c>
      <c r="AB300" s="95">
        <f t="shared" si="240"/>
        <v>4144.659593910731</v>
      </c>
      <c r="AC300" s="95">
        <f t="shared" si="240"/>
        <v>4345.6778477108164</v>
      </c>
      <c r="AD300" s="95">
        <f t="shared" si="240"/>
        <v>4579.0274738413264</v>
      </c>
      <c r="AE300" s="95">
        <f t="shared" si="240"/>
        <v>4846.8339074538744</v>
      </c>
    </row>
    <row r="301" spans="2:32">
      <c r="L301" s="74"/>
      <c r="M301" s="74"/>
      <c r="N301" s="74"/>
      <c r="O301" s="95"/>
      <c r="P301" s="95"/>
      <c r="Q301" s="95"/>
      <c r="R301" s="95"/>
      <c r="S301" s="95"/>
      <c r="T301" s="95"/>
      <c r="W301" s="74"/>
      <c r="X301" s="74"/>
      <c r="Y301" s="74"/>
      <c r="Z301" s="95"/>
      <c r="AA301" s="95"/>
      <c r="AB301" s="95"/>
      <c r="AC301" s="95"/>
      <c r="AD301" s="95"/>
      <c r="AE301" s="95"/>
    </row>
    <row r="302" spans="2:32">
      <c r="L302" s="74" t="s">
        <v>53</v>
      </c>
      <c r="M302" s="74"/>
      <c r="N302" s="74"/>
      <c r="O302" s="95">
        <f>O295+O300</f>
        <v>5514.7359080646875</v>
      </c>
      <c r="P302" s="95">
        <f t="shared" ref="P302:T302" si="241">P295+P300</f>
        <v>5459.9820265530134</v>
      </c>
      <c r="Q302" s="95">
        <f t="shared" si="241"/>
        <v>5433.858793910731</v>
      </c>
      <c r="R302" s="95">
        <f t="shared" si="241"/>
        <v>5438.1996934251019</v>
      </c>
      <c r="S302" s="95">
        <f t="shared" si="241"/>
        <v>5474.9794456356121</v>
      </c>
      <c r="T302" s="95">
        <f t="shared" si="241"/>
        <v>5546.3244218131886</v>
      </c>
      <c r="W302" s="74" t="s">
        <v>53</v>
      </c>
      <c r="X302" s="74"/>
      <c r="Y302" s="74"/>
      <c r="Z302" s="95">
        <f>Z295+Z300</f>
        <v>5514.7359080646875</v>
      </c>
      <c r="AA302" s="95">
        <f t="shared" ref="AA302:AE302" si="242">AA295+AA300</f>
        <v>5459.9820265530134</v>
      </c>
      <c r="AB302" s="95">
        <f t="shared" si="242"/>
        <v>5433.858793910731</v>
      </c>
      <c r="AC302" s="95">
        <f t="shared" si="242"/>
        <v>5438.1996934251019</v>
      </c>
      <c r="AD302" s="95">
        <f t="shared" si="242"/>
        <v>5474.9794456356121</v>
      </c>
      <c r="AE302" s="95">
        <f t="shared" si="242"/>
        <v>5546.3244218131886</v>
      </c>
    </row>
    <row r="303" spans="2:32">
      <c r="L303" s="67" t="s">
        <v>54</v>
      </c>
      <c r="M303" s="67"/>
      <c r="N303" s="67"/>
      <c r="O303" s="43">
        <f t="shared" ref="O303:T303" si="243">O283-O302</f>
        <v>0</v>
      </c>
      <c r="P303" s="43">
        <f t="shared" si="243"/>
        <v>0</v>
      </c>
      <c r="Q303" s="43">
        <f t="shared" si="243"/>
        <v>0</v>
      </c>
      <c r="R303" s="43">
        <f t="shared" si="243"/>
        <v>0</v>
      </c>
      <c r="S303" s="43">
        <f t="shared" si="243"/>
        <v>0</v>
      </c>
      <c r="T303" s="43">
        <f t="shared" si="243"/>
        <v>0</v>
      </c>
      <c r="W303" s="67" t="s">
        <v>54</v>
      </c>
      <c r="X303" s="67"/>
      <c r="Y303" s="67"/>
      <c r="Z303" s="43">
        <f t="shared" ref="Z303:AE303" si="244">Z283-Z302</f>
        <v>0</v>
      </c>
      <c r="AA303" s="43">
        <f t="shared" si="244"/>
        <v>0</v>
      </c>
      <c r="AB303" s="43">
        <f t="shared" si="244"/>
        <v>0</v>
      </c>
      <c r="AC303" s="43">
        <f t="shared" si="244"/>
        <v>0</v>
      </c>
      <c r="AD303" s="43">
        <f t="shared" si="244"/>
        <v>0</v>
      </c>
      <c r="AE303" s="43">
        <f t="shared" si="244"/>
        <v>0</v>
      </c>
    </row>
    <row r="304" spans="2:32">
      <c r="L304" s="76"/>
      <c r="M304" s="76"/>
      <c r="N304" s="76"/>
      <c r="O304" s="115"/>
      <c r="P304" s="115"/>
      <c r="Q304" s="115"/>
      <c r="R304" s="115"/>
      <c r="S304" s="115"/>
      <c r="T304" s="115"/>
      <c r="W304" s="76"/>
      <c r="X304" s="76"/>
      <c r="Y304" s="76"/>
      <c r="Z304" s="115"/>
      <c r="AA304" s="115"/>
      <c r="AB304" s="115"/>
      <c r="AC304" s="115"/>
      <c r="AD304" s="115"/>
      <c r="AE304" s="115"/>
    </row>
    <row r="305" spans="15:31">
      <c r="O305" s="72"/>
      <c r="P305" s="72"/>
      <c r="Q305" s="72"/>
      <c r="R305" s="72"/>
      <c r="S305" s="72"/>
      <c r="T305" s="72"/>
      <c r="Z305" s="72"/>
      <c r="AA305" s="72"/>
      <c r="AB305" s="72"/>
      <c r="AC305" s="72"/>
      <c r="AD305" s="72"/>
      <c r="AE305" s="72"/>
    </row>
  </sheetData>
  <conditionalFormatting sqref="D125:I125">
    <cfRule type="expression" dxfId="9" priority="8">
      <formula>D125&lt;&gt;0</formula>
    </cfRule>
  </conditionalFormatting>
  <conditionalFormatting sqref="I25">
    <cfRule type="cellIs" dxfId="8" priority="13" operator="notEqual">
      <formula>"Balanced"</formula>
    </cfRule>
  </conditionalFormatting>
  <conditionalFormatting sqref="M125:T125">
    <cfRule type="expression" dxfId="7" priority="4">
      <formula>M125&lt;&gt;0</formula>
    </cfRule>
  </conditionalFormatting>
  <conditionalFormatting sqref="O214:T214">
    <cfRule type="expression" dxfId="6" priority="12">
      <formula>O214&lt;&gt;0</formula>
    </cfRule>
  </conditionalFormatting>
  <conditionalFormatting sqref="O303:T303">
    <cfRule type="expression" dxfId="5" priority="11">
      <formula>O303&lt;&gt;0</formula>
    </cfRule>
  </conditionalFormatting>
  <conditionalFormatting sqref="S25">
    <cfRule type="cellIs" dxfId="4" priority="7" operator="notEqual">
      <formula>"Balanced"</formula>
    </cfRule>
  </conditionalFormatting>
  <conditionalFormatting sqref="X125:AE125">
    <cfRule type="expression" dxfId="3" priority="1">
      <formula>X125&lt;&gt;0</formula>
    </cfRule>
  </conditionalFormatting>
  <conditionalFormatting sqref="Z214:AE214">
    <cfRule type="expression" dxfId="2" priority="10">
      <formula>Z214&lt;&gt;0</formula>
    </cfRule>
  </conditionalFormatting>
  <conditionalFormatting sqref="Z303:AE303">
    <cfRule type="expression" dxfId="1" priority="9">
      <formula>Z303&lt;&gt;0</formula>
    </cfRule>
  </conditionalFormatting>
  <conditionalFormatting sqref="AD25">
    <cfRule type="cellIs" dxfId="0" priority="6" operator="notEqual">
      <formula>"Balanced"</formula>
    </cfRule>
  </conditionalFormatting>
  <dataValidations disablePrompts="1" count="1">
    <dataValidation type="decimal" allowBlank="1" showInputMessage="1" showErrorMessage="1" error="Please input a percentage between 20% and 100%" sqref="E26" xr:uid="{CCEF9CFE-F0CD-446C-A5C7-A8461C1FAFAC}">
      <formula1>0.2</formula1>
      <formula2>1</formula2>
    </dataValidation>
  </dataValidations>
  <hyperlinks>
    <hyperlink ref="D4" location="Pro_Forma_FS" tooltip="Pro Forma Financial Statements" display="Click Here" xr:uid="{58474570-F870-4313-93DF-216189E69611}"/>
  </hyperlink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Acquisition</vt:lpstr>
      <vt:lpstr>CaseData</vt:lpstr>
      <vt:lpstr>CaseSolution</vt:lpstr>
      <vt:lpstr>company</vt:lpstr>
      <vt:lpstr>method_selector</vt:lpstr>
      <vt:lpstr>methods</vt:lpstr>
      <vt:lpstr>Acquisition!Print_Area</vt:lpstr>
      <vt:lpstr>Acquisition!Print_Titles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2026-09-14T15:53:16Z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2026-09-14T07:19:15Z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fcddd916-efeb-474b-9165-a91b5becc12f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